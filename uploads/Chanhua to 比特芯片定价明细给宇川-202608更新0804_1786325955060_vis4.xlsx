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ixia.lu\Desktop\20260803\"/>
    </mc:Choice>
  </mc:AlternateContent>
  <bookViews>
    <workbookView windowWidth="25600" windowHeight="10600"/>
  </bookViews>
  <sheets>
    <sheet name="PO" sheetId="1" r:id="rId1"/>
    <sheet name="价目表0701" sheetId="7" r:id="rId2"/>
    <sheet name="价目表名称" sheetId="4" r:id="rId3"/>
    <sheet name="历史" sheetId="5" state="hidden" r:id="rId4"/>
    <sheet name="一揽子" sheetId="6" state="hidden" r:id="rId5"/>
    <sheet name="型号" sheetId="9" r:id="rId6"/>
  </sheets>
  <definedNames>
    <definedName name="_xlnm._FilterDatabase" localSheetId="0" hidden="1">PO!$A$1:$L$34</definedName>
    <definedName name="_xlnm._FilterDatabase" localSheetId="1" hidden="1">价目表0701!$A$1:$S$37</definedName>
    <definedName name="_xlnm._FilterDatabase" localSheetId="3" hidden="1">历史!$A$2:$R$35</definedName>
    <definedName name="_xlnm._FilterDatabase" localSheetId="4" hidden="1">一揽子!$A$2:$BD$20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若有新增芯片，请后面添加</t>
        </r>
      </text>
    </comment>
  </commentList>
</comments>
</file>

<file path=xl/sharedStrings.xml><?xml version="1.0" encoding="utf-8"?>
<sst xmlns="http://schemas.openxmlformats.org/spreadsheetml/2006/main" count="1139" uniqueCount="200">
  <si>
    <t>芯片型号</t>
  </si>
  <si>
    <t>时间</t>
  </si>
  <si>
    <t>贸易流</t>
  </si>
  <si>
    <t>价格保留四位小数（USD）</t>
  </si>
  <si>
    <t>单位芯片成本测算</t>
  </si>
  <si>
    <t>保留4位小数</t>
  </si>
  <si>
    <t>BM1398</t>
  </si>
  <si>
    <t>Chanhua——&gt;SG/HK</t>
  </si>
  <si>
    <t>BM1746</t>
  </si>
  <si>
    <t>BM1362</t>
  </si>
  <si>
    <t>BM1368+</t>
  </si>
  <si>
    <t>BM1368</t>
  </si>
  <si>
    <t>BM1764</t>
  </si>
  <si>
    <t>BM1798</t>
  </si>
  <si>
    <t>BM1489</t>
  </si>
  <si>
    <t>BM1366</t>
  </si>
  <si>
    <t>BM2100</t>
  </si>
  <si>
    <t>BM1727</t>
  </si>
  <si>
    <t>BM1766</t>
  </si>
  <si>
    <t>BM2042</t>
  </si>
  <si>
    <t>BM2110</t>
  </si>
  <si>
    <t>BM2130</t>
  </si>
  <si>
    <t>BM2280</t>
  </si>
  <si>
    <t>BM1684</t>
  </si>
  <si>
    <t>BM2280 8A</t>
  </si>
  <si>
    <t>BM2380</t>
  </si>
  <si>
    <t>BM1370</t>
  </si>
  <si>
    <t>BM2382</t>
  </si>
  <si>
    <t>BM1491</t>
  </si>
  <si>
    <t>BM1372</t>
  </si>
  <si>
    <t>BM2460</t>
  </si>
  <si>
    <t>BM1368MD</t>
  </si>
  <si>
    <t>BM1340</t>
  </si>
  <si>
    <t>BM2384</t>
  </si>
  <si>
    <t>BM1373</t>
  </si>
  <si>
    <t>更新</t>
  </si>
  <si>
    <t>BM1493</t>
  </si>
  <si>
    <t>BM1374</t>
  </si>
  <si>
    <t>BM1376</t>
  </si>
  <si>
    <t>BM2560</t>
  </si>
  <si>
    <t>产品上下文</t>
  </si>
  <si>
    <t>产品属性</t>
  </si>
  <si>
    <t>产品值</t>
  </si>
  <si>
    <t>产品说明</t>
  </si>
  <si>
    <t>单位</t>
  </si>
  <si>
    <t>主要单位</t>
  </si>
  <si>
    <t>行类型</t>
  </si>
  <si>
    <t>分段价格类型</t>
  </si>
  <si>
    <t>应用方法</t>
  </si>
  <si>
    <t>值</t>
  </si>
  <si>
    <t>动态公式</t>
  </si>
  <si>
    <t>静态公式</t>
  </si>
  <si>
    <t>起始日期</t>
  </si>
  <si>
    <t>终止日期</t>
  </si>
  <si>
    <t>优先顺序</t>
  </si>
  <si>
    <t>[ ]</t>
  </si>
  <si>
    <t>型号</t>
  </si>
  <si>
    <t>项目</t>
  </si>
  <si>
    <t>项目编号</t>
  </si>
  <si>
    <t>Y31010513</t>
  </si>
  <si>
    <t>BTC,BM1368PA芯片,FCLGA,6*8,ED,6mm x 8mm PKG size, 3L LGA ,exposed die，NSMD pad</t>
  </si>
  <si>
    <t>PCS</t>
  </si>
  <si>
    <t>价目表行</t>
  </si>
  <si>
    <t>单价</t>
  </si>
  <si>
    <t>2024.05.01</t>
  </si>
  <si>
    <t>.</t>
  </si>
  <si>
    <t>Y31010515</t>
  </si>
  <si>
    <t>BTC,BM1368PB芯片,FCLGA,6*8,ED,6mm x 8mm PKG size, 3L LGA ,exposed die，NSMD pad</t>
  </si>
  <si>
    <t>Y31010506</t>
  </si>
  <si>
    <t>BTC_BM1368AA,FCLGA,6*8,ED,6mm x 8mm PKG size, 3L LGA ,exposed die，NSMD pad</t>
  </si>
  <si>
    <t>Y31090501</t>
  </si>
  <si>
    <t>其他小币种,BM2380AA芯片,FCLGA,8*8,ED,molding, exposed die, high thermal EMC, 3L substrate</t>
  </si>
  <si>
    <t>Y09BM2042010</t>
  </si>
  <si>
    <t>BM2042AA芯片-6mm x 6mm, molding,  exposed die,  CTM IO, 3L substrate</t>
  </si>
  <si>
    <t>Y09BM1366D10</t>
  </si>
  <si>
    <t>BM1366AL芯片-6mm x 7mm,  molding,  exposed die,  CTM IO, 30LD MP,  serial power supply,  3L substrate</t>
  </si>
  <si>
    <t>Y30010511</t>
  </si>
  <si>
    <t>BTC,BM1370晶圆,N3E,Fab18,BSL,N3E,Fab18，with PI,with Bumping，serial mode，</t>
  </si>
  <si>
    <t>Y31010518</t>
  </si>
  <si>
    <t>BTC,BM1366BP芯片,FCLGA,6*8,BSM,6mm x 7mm, molding, exposed die, CTM IO,30LD MP, serial power supply, 3L substrate，BSM</t>
  </si>
  <si>
    <t>Y31010519</t>
  </si>
  <si>
    <t>BTC,BM1370AA芯片,FCLGA,8*8,ED,8mm x 8mm PKG size, 3L LGA ,exposed die</t>
  </si>
  <si>
    <t>Y30020502</t>
  </si>
  <si>
    <t>ETH,BM2282ST_WF晶圆,N22,Fab15,BSL,22nm, Fab15, total 49 layer， structure wafer</t>
  </si>
  <si>
    <t>Y30020501</t>
  </si>
  <si>
    <t>ETH,BM2282_WF晶圆,N22,FAB15,BSL,22nm, Fab15, total 49 layer, real wafer</t>
  </si>
  <si>
    <t>Y30020503</t>
  </si>
  <si>
    <t>ETH,BM2282AP晶圆,N25,AP,BSL,25nm，AP DRAM wafer</t>
  </si>
  <si>
    <t>Y31010521</t>
  </si>
  <si>
    <t>BTC,BM1368PM芯片,FCLGA,6*8mm,BSM,6mm x 8mm PKG size, 3L LGA ,exposed die，NSMD pad ,with BSM</t>
  </si>
  <si>
    <t>Y31010523</t>
  </si>
  <si>
    <t>BTC,BM1370PP芯片,FCLGA,8*8mm,expose die,8mm x 8mm PKG size, 3L LGA ,exposed die</t>
  </si>
  <si>
    <t>Y09BM1489010</t>
  </si>
  <si>
    <t>BM1489芯片-molding,exposed die,CTM IO</t>
  </si>
  <si>
    <t>Y09BM1366820</t>
  </si>
  <si>
    <t>BM1366AG芯片-6mm x 7mm, molding, exposed die, CTM IO,30LD MP, serial power supply, 3L substrate</t>
  </si>
  <si>
    <t>Y09BM2110010</t>
  </si>
  <si>
    <t>BM2110AA芯片-6mm x 6mm, molding,  exposed die,  CTM IO, 3L substrate</t>
  </si>
  <si>
    <t>Y09BM2130010</t>
  </si>
  <si>
    <t>BM2130AA芯片-6mm x 6mm, molding,  exposed die,  CTM IO, 3L substrate</t>
  </si>
  <si>
    <t>Y31010520</t>
  </si>
  <si>
    <t>BTC,BM1368PV芯片,FCLGA,6*8mm,exposed die,6mm x 8mm PKG size, 3L LGA ,exposed die，NSMD pad</t>
  </si>
  <si>
    <t>Y31090502</t>
  </si>
  <si>
    <t>其他小币种,BM2382AA芯片,FCLGA,8*8mm,exposed die,8mm x 8mm PKG size, 3L LGA ,exposed die</t>
  </si>
  <si>
    <t>Y31010524</t>
  </si>
  <si>
    <t>BTC,BM1370PB芯片,FCLGA,8*8mm,ED,8mm x 8mm PKG size, 3L LGA ,exposed die</t>
  </si>
  <si>
    <t>Y31010525</t>
  </si>
  <si>
    <t>BTC,BM1370BB,FCLGA,8*8mm,ED,8mm x 8mm PKG size, 3L LGA ,exposed die</t>
  </si>
  <si>
    <t>Y09BM1766010</t>
  </si>
  <si>
    <t>BM1766AA芯片-6mm x 6mm, molding,  exposed die,  CTM IO, 3L substrate</t>
  </si>
  <si>
    <t>Y31010516</t>
  </si>
  <si>
    <t>BTC,BM1368BS芯片,FCLGA,6*8,BSM,6mm x 8mm PKG size, 3L LGA ,exposed die，NSMD pad ,with BSM</t>
  </si>
  <si>
    <t>Y31010527</t>
  </si>
  <si>
    <t>BTC,BM1370BC,FCLGA,8*8mm,exposedie,8mm x 8mm PKG size, 3L LGA ,exposed die</t>
  </si>
  <si>
    <t>Y31010529</t>
  </si>
  <si>
    <t>BTC,BM1370AH芯片,FCLGA,8*8mm,exposedie,8mm x 8mm PKG size, 4L LGA ,exposed die</t>
  </si>
  <si>
    <t>Y31010522</t>
  </si>
  <si>
    <t>BTC,BM1368MD芯片,FCBGA,98*89mm,expose die,98*89 PKG size，8L FCBGA，bare die， stiffener Ring</t>
  </si>
  <si>
    <t>Y31090503</t>
  </si>
  <si>
    <t>其他小币种,BM2460,FCLGA,10*10mm,exposedie,FCLGA芯片 10×10  exposed die</t>
  </si>
  <si>
    <t>Y09BM2280010</t>
  </si>
  <si>
    <t>BM2280AA芯片-Bare?die,?BGA?50x50,?with?capacitors</t>
  </si>
  <si>
    <t>Y31030502</t>
  </si>
  <si>
    <t>LTC,BM1491AA芯片,FCLGA,8X10mm,overmolding,8X10 PKG size ，overmolding，3L</t>
  </si>
  <si>
    <t>Y31010530</t>
  </si>
  <si>
    <t>BTC,BM1370PA,FCLGA,8X8mm,exposedie,8mm x 8mm PKG size, 3L LGA ,exposed die</t>
  </si>
  <si>
    <t>Y31010528</t>
  </si>
  <si>
    <t>BTC,BM1372AA,FCLGA,12*13mm,exposedie,12mm x 13mm PKG size, 4L LGA ,exposed die</t>
  </si>
  <si>
    <t>Y31010532</t>
  </si>
  <si>
    <t>BTC,BM1372BB芯片,FCLGA,12*13mm,expose die,12mm x 13mm PKG size, 4L LGA ,exposed die</t>
  </si>
  <si>
    <t>Y31010539</t>
  </si>
  <si>
    <t>BTC,BM2384BA芯片,FCLGA,8*8mm,exposeddie,8mm x 8mm PKG size, 3L LGA ,exposed die</t>
  </si>
  <si>
    <t>Y31010536</t>
  </si>
  <si>
    <t>BTC,BM1370PF芯片,FCLGA,8*8mm,exposedie,8mm x 8mm PKG size, 3L LGA ,exposed die</t>
  </si>
  <si>
    <t>Y31010533</t>
  </si>
  <si>
    <t>BTC,BM1370PM芯片,FCLGA,8*8mm,BSM,8mm x 8mm PKG size, 3L LGA ,exposed die,BSM</t>
  </si>
  <si>
    <t>1403 USD INT VAT0（下订单使用）</t>
  </si>
  <si>
    <t>芯片类型</t>
  </si>
  <si>
    <t>2021.09.14</t>
  </si>
  <si>
    <t>BM2282</t>
  </si>
  <si>
    <t>PO，</t>
  </si>
  <si>
    <t>编号</t>
  </si>
  <si>
    <t>类型</t>
  </si>
  <si>
    <t>物料</t>
  </si>
  <si>
    <t>版本</t>
  </si>
  <si>
    <t>含税价格</t>
  </si>
  <si>
    <t>税率</t>
  </si>
  <si>
    <t>摘要</t>
  </si>
  <si>
    <t>数量</t>
  </si>
  <si>
    <t>价格</t>
  </si>
  <si>
    <t>最小包装（PCS）</t>
  </si>
  <si>
    <t>交期（天）</t>
  </si>
  <si>
    <t>品牌/厂商</t>
  </si>
  <si>
    <t>MPN/原厂料号</t>
  </si>
  <si>
    <t>供应商配置标识</t>
  </si>
  <si>
    <t>金额</t>
  </si>
  <si>
    <t>借记帐户</t>
  </si>
  <si>
    <t>保留      |</t>
  </si>
  <si>
    <t>辅助 单位</t>
  </si>
  <si>
    <t>辅助 数量</t>
  </si>
  <si>
    <t>等级</t>
  </si>
  <si>
    <t>价目表价格</t>
  </si>
  <si>
    <t>市场价格</t>
  </si>
  <si>
    <t>价格类型</t>
  </si>
  <si>
    <t>允许改写价格</t>
  </si>
  <si>
    <t>价格限制</t>
  </si>
  <si>
    <t>议价</t>
  </si>
  <si>
    <t>合同</t>
  </si>
  <si>
    <t>合同所属组织</t>
  </si>
  <si>
    <t>原始单据：单据类型</t>
  </si>
  <si>
    <t>原始单据：单据</t>
  </si>
  <si>
    <t>原始单据：行</t>
  </si>
  <si>
    <t>原始单据：所属组织</t>
  </si>
  <si>
    <t>供应商 报价单</t>
  </si>
  <si>
    <t>合同 编号</t>
  </si>
  <si>
    <t>备注</t>
  </si>
  <si>
    <t>UN 编号</t>
  </si>
  <si>
    <t>UN 编号 说明</t>
  </si>
  <si>
    <t>危险等级</t>
  </si>
  <si>
    <t>资本费用</t>
  </si>
  <si>
    <t>事务处理性质</t>
  </si>
  <si>
    <t>名字</t>
  </si>
  <si>
    <t>姓氏</t>
  </si>
  <si>
    <t>最小 发放额</t>
  </si>
  <si>
    <t>议定 数量</t>
  </si>
  <si>
    <t>议定 金额</t>
  </si>
  <si>
    <t>发放 数量</t>
  </si>
  <si>
    <t>发放 金额</t>
  </si>
  <si>
    <t>到期日</t>
  </si>
  <si>
    <t>累计定价</t>
  </si>
  <si>
    <t>[  ]</t>
  </si>
  <si>
    <t>货物</t>
  </si>
  <si>
    <t>00.00.00</t>
  </si>
  <si>
    <t>个</t>
  </si>
  <si>
    <t>比特</t>
  </si>
  <si>
    <t>*</t>
  </si>
  <si>
    <t>....</t>
  </si>
  <si>
    <t>00.116.11601</t>
  </si>
  <si>
    <t>BM1370晶圆</t>
  </si>
  <si>
    <t>BM2282晶圆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</si>
</sst>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_ "/>
    <numFmt numFmtId="178" formatCode="_ * #,##0.0000_ ;_ * \-#,##0.0000_ ;_ * &quot;-&quot;??.00_ ;_ @_ "/>
  </numFmts>
  <fonts count="29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1"/>
      <name val="等线"/>
      <charset val="134"/>
    </font>
    <font>
      <sz val="10"/>
      <color rgb="FFFF0000"/>
      <name val="宋体"/>
      <charset val="134"/>
    </font>
    <font>
      <sz val="11"/>
      <name val="等线"/>
      <charset val="134"/>
    </font>
    <font>
      <sz val="10.5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43" fontId="0" fillId="2" borderId="0" xfId="1" applyFont="1" applyFill="1" applyAlignment="1"/>
    <xf numFmtId="43" fontId="0" fillId="0" borderId="0" xfId="1" applyFont="1" applyAlignment="1"/>
    <xf numFmtId="0" fontId="0" fillId="0" borderId="0" xfId="0" applyFont="1"/>
    <xf numFmtId="0" fontId="0" fillId="0" borderId="0" xfId="0" applyFill="1"/>
    <xf numFmtId="43" fontId="0" fillId="0" borderId="0" xfId="0" applyNumberFormat="1"/>
    <xf numFmtId="0" fontId="0" fillId="0" borderId="0" xfId="0" applyFont="1" applyFill="1"/>
    <xf numFmtId="0" fontId="0" fillId="3" borderId="0" xfId="0" applyFill="1"/>
    <xf numFmtId="176" fontId="0" fillId="0" borderId="0" xfId="0" applyNumberFormat="1"/>
    <xf numFmtId="176" fontId="0" fillId="0" borderId="0" xfId="0" applyNumberFormat="1" applyFill="1"/>
    <xf numFmtId="43" fontId="0" fillId="0" borderId="0" xfId="0" applyNumberForma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2" fillId="0" borderId="0" xfId="0" applyFont="1" applyFill="1"/>
    <xf numFmtId="0" fontId="2" fillId="2" borderId="0" xfId="0" applyFont="1" applyFill="1"/>
    <xf numFmtId="0" fontId="1" fillId="2" borderId="0" xfId="0" applyFont="1" applyFill="1"/>
    <xf numFmtId="177" fontId="1" fillId="0" borderId="0" xfId="0" applyNumberFormat="1" applyFont="1" applyFill="1"/>
    <xf numFmtId="43" fontId="1" fillId="0" borderId="0" xfId="0" applyNumberFormat="1" applyFont="1" applyFill="1"/>
    <xf numFmtId="0" fontId="3" fillId="0" borderId="1" xfId="0" applyFont="1" applyFill="1" applyBorder="1" applyAlignment="1">
      <alignment horizontal="center"/>
    </xf>
    <xf numFmtId="177" fontId="3" fillId="0" borderId="1" xfId="1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 vertical="center" wrapText="1"/>
    </xf>
    <xf numFmtId="177" fontId="4" fillId="4" borderId="0" xfId="0" applyNumberFormat="1" applyFont="1" applyFill="1" applyAlignment="1">
      <alignment horizontal="right" vertical="center" wrapText="1"/>
    </xf>
    <xf numFmtId="0" fontId="5" fillId="2" borderId="0" xfId="0" applyFont="1" applyFill="1" applyAlignment="1">
      <alignment horizontal="center"/>
    </xf>
    <xf numFmtId="43" fontId="1" fillId="0" borderId="0" xfId="0" applyNumberFormat="1" applyFont="1" applyFill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177" fontId="1" fillId="0" borderId="1" xfId="0" applyNumberFormat="1" applyFont="1" applyFill="1" applyBorder="1"/>
    <xf numFmtId="0" fontId="6" fillId="0" borderId="0" xfId="0" applyFont="1" applyFill="1" applyAlignment="1">
      <alignment horizontal="left"/>
    </xf>
    <xf numFmtId="177" fontId="6" fillId="0" borderId="0" xfId="0" applyNumberFormat="1" applyFont="1" applyFill="1" applyAlignment="1">
      <alignment horizontal="right"/>
    </xf>
    <xf numFmtId="178" fontId="6" fillId="0" borderId="0" xfId="0" applyNumberFormat="1" applyFont="1" applyFill="1" applyAlignment="1">
      <alignment horizontal="right"/>
    </xf>
    <xf numFmtId="0" fontId="2" fillId="0" borderId="1" xfId="0" applyFont="1" applyFill="1" applyBorder="1"/>
    <xf numFmtId="177" fontId="2" fillId="0" borderId="1" xfId="0" applyNumberFormat="1" applyFont="1" applyFill="1" applyBorder="1"/>
    <xf numFmtId="0" fontId="6" fillId="0" borderId="0" xfId="0" applyFont="1" applyFill="1" applyAlignment="1"/>
    <xf numFmtId="0" fontId="6" fillId="0" borderId="1" xfId="0" applyFont="1" applyFill="1" applyBorder="1" applyAlignment="1"/>
    <xf numFmtId="0" fontId="7" fillId="0" borderId="0" xfId="0" applyFont="1" applyFill="1" applyAlignment="1">
      <alignment vertic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177" fontId="2" fillId="2" borderId="1" xfId="0" applyNumberFormat="1" applyFont="1" applyFill="1" applyBorder="1"/>
    <xf numFmtId="0" fontId="1" fillId="2" borderId="1" xfId="0" applyFont="1" applyFill="1" applyBorder="1"/>
    <xf numFmtId="177" fontId="1" fillId="2" borderId="1" xfId="0" applyNumberFormat="1" applyFont="1" applyFill="1" applyBorder="1"/>
    <xf numFmtId="0" fontId="1" fillId="0" borderId="1" xfId="0" applyFont="1" applyFill="1" applyBorder="1"/>
    <xf numFmtId="0" fontId="6" fillId="0" borderId="1" xfId="0" applyFont="1" applyFill="1" applyBorder="1" applyAlignment="1">
      <alignment horizontal="left"/>
    </xf>
    <xf numFmtId="177" fontId="1" fillId="0" borderId="1" xfId="0" applyNumberFormat="1" applyFont="1" applyFill="1" applyBorder="1"/>
    <xf numFmtId="0" fontId="5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1"/>
  <sheetViews>
    <sheetView tabSelected="1" zoomScale="110" zoomScaleNormal="110" workbookViewId="0">
      <pane ySplit="1" topLeftCell="A2" activePane="bottomLeft" state="frozen"/>
      <selection/>
      <selection pane="bottomLeft" activeCell="P12" sqref="P12"/>
    </sheetView>
  </sheetViews>
  <sheetFormatPr defaultColWidth="8.83333333333333" defaultRowHeight="13"/>
  <cols>
    <col min="1" max="1" width="9.5" style="13" customWidth="1"/>
    <col min="2" max="2" width="13.3333333333333" style="12" customWidth="1"/>
    <col min="3" max="3" width="16.25" style="12" customWidth="1"/>
    <col min="4" max="4" width="27.0416666666667" style="17" customWidth="1"/>
    <col min="5" max="6" width="8.83333333333333" style="13"/>
    <col min="7" max="7" width="8.83333333333333" style="14" hidden="1" customWidth="1"/>
    <col min="8" max="8" width="10.4166666666667" style="14" hidden="1" customWidth="1"/>
    <col min="9" max="9" width="12.775" style="13" hidden="1" customWidth="1"/>
    <col min="10" max="10" width="8.83333333333333" style="13" hidden="1" customWidth="1"/>
    <col min="11" max="11" width="8.83333333333333" style="18" hidden="1" customWidth="1"/>
    <col min="12" max="12" width="8.83333333333333" style="13" hidden="1" customWidth="1"/>
    <col min="13" max="15" width="8.83333333333333" style="13" customWidth="1"/>
    <col min="16" max="16384" width="8.83333333333333" style="13"/>
  </cols>
  <sheetData>
    <row r="1" s="12" customFormat="1" ht="12" customHeight="1" spans="1:11">
      <c r="A1" s="19" t="s">
        <v>0</v>
      </c>
      <c r="B1" s="19" t="s">
        <v>1</v>
      </c>
      <c r="C1" s="19" t="s">
        <v>2</v>
      </c>
      <c r="D1" s="20" t="s">
        <v>3</v>
      </c>
      <c r="G1" s="21" t="s">
        <v>0</v>
      </c>
      <c r="H1" s="22" t="s">
        <v>4</v>
      </c>
      <c r="I1" s="23" t="s">
        <v>5</v>
      </c>
      <c r="K1" s="24"/>
    </row>
    <row r="2" s="13" customFormat="1" ht="14" spans="1:11">
      <c r="A2" s="25" t="s">
        <v>6</v>
      </c>
      <c r="B2" s="26">
        <v>202608</v>
      </c>
      <c r="C2" s="26" t="s">
        <v>7</v>
      </c>
      <c r="D2" s="27">
        <v>3.7699</v>
      </c>
      <c r="G2" s="28" t="s">
        <v>6</v>
      </c>
      <c r="H2" s="29">
        <v>3.76988841896588</v>
      </c>
      <c r="I2" s="13">
        <f>ROUND(H2,4)</f>
        <v>3.7699</v>
      </c>
      <c r="J2" s="13" t="b">
        <f>A2=G2</f>
        <v>1</v>
      </c>
      <c r="K2" s="18">
        <f>D2-I2</f>
        <v>0</v>
      </c>
    </row>
    <row r="3" s="13" customFormat="1" ht="14" spans="1:11">
      <c r="A3" s="25" t="s">
        <v>8</v>
      </c>
      <c r="B3" s="26">
        <v>202608</v>
      </c>
      <c r="C3" s="26" t="s">
        <v>7</v>
      </c>
      <c r="D3" s="27">
        <v>57.6365</v>
      </c>
      <c r="E3" s="13"/>
      <c r="G3" s="28" t="s">
        <v>8</v>
      </c>
      <c r="H3" s="30">
        <v>57.6364608607962</v>
      </c>
      <c r="I3" s="13">
        <f t="shared" ref="I3:I32" si="0">ROUND(H3,4)</f>
        <v>57.6365</v>
      </c>
      <c r="J3" s="13" t="b">
        <f t="shared" ref="J3:J32" si="1">A3=G3</f>
        <v>1</v>
      </c>
      <c r="K3" s="18">
        <f t="shared" ref="K3:K32" si="2">D3-I3</f>
        <v>0</v>
      </c>
    </row>
    <row r="4" s="13" customFormat="1" ht="14" spans="1:11">
      <c r="A4" s="25" t="s">
        <v>9</v>
      </c>
      <c r="B4" s="26">
        <v>202608</v>
      </c>
      <c r="C4" s="26" t="s">
        <v>7</v>
      </c>
      <c r="D4" s="27">
        <v>2.4828</v>
      </c>
      <c r="G4" s="28" t="s">
        <v>9</v>
      </c>
      <c r="H4" s="29">
        <v>2.48283105927098</v>
      </c>
      <c r="I4" s="13">
        <f t="shared" si="0"/>
        <v>2.4828</v>
      </c>
      <c r="J4" s="13" t="b">
        <f t="shared" si="1"/>
        <v>1</v>
      </c>
      <c r="K4" s="18">
        <f t="shared" si="2"/>
        <v>0</v>
      </c>
    </row>
    <row r="5" s="13" customFormat="1" ht="14" spans="1:11">
      <c r="A5" s="25" t="s">
        <v>10</v>
      </c>
      <c r="B5" s="26">
        <v>202608</v>
      </c>
      <c r="C5" s="26" t="s">
        <v>7</v>
      </c>
      <c r="D5" s="27">
        <v>4.0901</v>
      </c>
      <c r="G5" s="28" t="s">
        <v>10</v>
      </c>
      <c r="H5" s="29">
        <v>4.09005945062342</v>
      </c>
      <c r="I5" s="13">
        <f t="shared" si="0"/>
        <v>4.0901</v>
      </c>
      <c r="J5" s="13" t="b">
        <f t="shared" si="1"/>
        <v>1</v>
      </c>
      <c r="K5" s="18">
        <f t="shared" si="2"/>
        <v>0</v>
      </c>
    </row>
    <row r="6" s="13" customFormat="1" ht="14" spans="1:11">
      <c r="A6" s="25" t="s">
        <v>11</v>
      </c>
      <c r="B6" s="26">
        <v>202608</v>
      </c>
      <c r="C6" s="26" t="s">
        <v>7</v>
      </c>
      <c r="D6" s="27">
        <v>5.0536</v>
      </c>
      <c r="G6" s="28" t="s">
        <v>11</v>
      </c>
      <c r="H6" s="29">
        <v>5.05361190736309</v>
      </c>
      <c r="I6" s="13">
        <f t="shared" si="0"/>
        <v>5.0536</v>
      </c>
      <c r="J6" s="13" t="b">
        <f t="shared" si="1"/>
        <v>1</v>
      </c>
      <c r="K6" s="18">
        <f t="shared" si="2"/>
        <v>0</v>
      </c>
    </row>
    <row r="7" s="13" customFormat="1" ht="14" spans="1:11">
      <c r="A7" s="25" t="s">
        <v>12</v>
      </c>
      <c r="B7" s="26">
        <v>202608</v>
      </c>
      <c r="C7" s="26" t="s">
        <v>7</v>
      </c>
      <c r="D7" s="27">
        <v>3.5349</v>
      </c>
      <c r="G7" s="28" t="s">
        <v>12</v>
      </c>
      <c r="H7" s="29">
        <v>3.53491405257816</v>
      </c>
      <c r="I7" s="13">
        <f t="shared" si="0"/>
        <v>3.5349</v>
      </c>
      <c r="J7" s="13" t="b">
        <f t="shared" si="1"/>
        <v>1</v>
      </c>
      <c r="K7" s="18">
        <f t="shared" si="2"/>
        <v>0</v>
      </c>
    </row>
    <row r="8" s="13" customFormat="1" ht="14" spans="1:11">
      <c r="A8" s="25" t="s">
        <v>13</v>
      </c>
      <c r="B8" s="26">
        <v>202608</v>
      </c>
      <c r="C8" s="26" t="s">
        <v>7</v>
      </c>
      <c r="D8" s="27">
        <v>200.2487</v>
      </c>
      <c r="G8" s="28" t="s">
        <v>13</v>
      </c>
      <c r="H8" s="29">
        <v>200.24868246562</v>
      </c>
      <c r="I8" s="13">
        <f t="shared" si="0"/>
        <v>200.2487</v>
      </c>
      <c r="J8" s="13" t="b">
        <f t="shared" si="1"/>
        <v>1</v>
      </c>
      <c r="K8" s="18">
        <f t="shared" si="2"/>
        <v>0</v>
      </c>
    </row>
    <row r="9" s="13" customFormat="1" ht="14" spans="1:11">
      <c r="A9" s="25" t="s">
        <v>14</v>
      </c>
      <c r="B9" s="26">
        <v>202608</v>
      </c>
      <c r="C9" s="26" t="s">
        <v>7</v>
      </c>
      <c r="D9" s="27">
        <v>5.2113</v>
      </c>
      <c r="G9" s="28" t="s">
        <v>14</v>
      </c>
      <c r="H9" s="29">
        <v>5.21131854227521</v>
      </c>
      <c r="I9" s="13">
        <f t="shared" si="0"/>
        <v>5.2113</v>
      </c>
      <c r="J9" s="13" t="b">
        <f t="shared" si="1"/>
        <v>1</v>
      </c>
      <c r="K9" s="18">
        <f t="shared" si="2"/>
        <v>0</v>
      </c>
    </row>
    <row r="10" s="13" customFormat="1" ht="14" spans="1:11">
      <c r="A10" s="25" t="s">
        <v>15</v>
      </c>
      <c r="B10" s="26">
        <v>202608</v>
      </c>
      <c r="C10" s="26" t="s">
        <v>7</v>
      </c>
      <c r="D10" s="27">
        <v>3.7914</v>
      </c>
      <c r="G10" s="28" t="s">
        <v>15</v>
      </c>
      <c r="H10" s="29">
        <v>3.79144978923285</v>
      </c>
      <c r="I10" s="13">
        <f t="shared" si="0"/>
        <v>3.7914</v>
      </c>
      <c r="J10" s="13" t="b">
        <f t="shared" si="1"/>
        <v>1</v>
      </c>
      <c r="K10" s="18">
        <f t="shared" si="2"/>
        <v>0</v>
      </c>
    </row>
    <row r="11" s="13" customFormat="1" ht="14" spans="1:11">
      <c r="A11" s="25" t="s">
        <v>16</v>
      </c>
      <c r="B11" s="26">
        <v>202608</v>
      </c>
      <c r="C11" s="26" t="s">
        <v>7</v>
      </c>
      <c r="D11" s="27">
        <v>3.4623</v>
      </c>
      <c r="G11" s="28" t="s">
        <v>16</v>
      </c>
      <c r="H11" s="29">
        <v>3.46228106759082</v>
      </c>
      <c r="I11" s="13">
        <f t="shared" si="0"/>
        <v>3.4623</v>
      </c>
      <c r="J11" s="13" t="b">
        <f t="shared" si="1"/>
        <v>1</v>
      </c>
      <c r="K11" s="18">
        <f t="shared" si="2"/>
        <v>0</v>
      </c>
    </row>
    <row r="12" s="13" customFormat="1" ht="14" spans="1:11">
      <c r="A12" s="25" t="s">
        <v>17</v>
      </c>
      <c r="B12" s="26">
        <v>202608</v>
      </c>
      <c r="C12" s="26" t="s">
        <v>7</v>
      </c>
      <c r="D12" s="27">
        <v>3.4712</v>
      </c>
      <c r="G12" s="28" t="s">
        <v>17</v>
      </c>
      <c r="H12" s="29">
        <v>3.47120606759082</v>
      </c>
      <c r="I12" s="13">
        <f t="shared" si="0"/>
        <v>3.4712</v>
      </c>
      <c r="J12" s="13" t="b">
        <f t="shared" si="1"/>
        <v>1</v>
      </c>
      <c r="K12" s="18">
        <f t="shared" si="2"/>
        <v>0</v>
      </c>
    </row>
    <row r="13" s="13" customFormat="1" ht="14" spans="1:11">
      <c r="A13" s="25" t="s">
        <v>18</v>
      </c>
      <c r="B13" s="26">
        <v>202608</v>
      </c>
      <c r="C13" s="26" t="s">
        <v>7</v>
      </c>
      <c r="D13" s="27">
        <v>3.4712</v>
      </c>
      <c r="G13" s="28" t="s">
        <v>18</v>
      </c>
      <c r="H13" s="29">
        <v>3.47120606759082</v>
      </c>
      <c r="I13" s="13">
        <f t="shared" si="0"/>
        <v>3.4712</v>
      </c>
      <c r="J13" s="13" t="b">
        <f t="shared" si="1"/>
        <v>1</v>
      </c>
      <c r="K13" s="18">
        <f t="shared" si="2"/>
        <v>0</v>
      </c>
    </row>
    <row r="14" s="13" customFormat="1" ht="14" spans="1:11">
      <c r="A14" s="25" t="s">
        <v>19</v>
      </c>
      <c r="B14" s="26">
        <v>202608</v>
      </c>
      <c r="C14" s="26" t="s">
        <v>7</v>
      </c>
      <c r="D14" s="27">
        <v>3.4712</v>
      </c>
      <c r="G14" s="28" t="s">
        <v>19</v>
      </c>
      <c r="H14" s="29">
        <v>3.47120606759082</v>
      </c>
      <c r="I14" s="13">
        <f t="shared" si="0"/>
        <v>3.4712</v>
      </c>
      <c r="J14" s="13" t="b">
        <f t="shared" si="1"/>
        <v>1</v>
      </c>
      <c r="K14" s="18">
        <f t="shared" si="2"/>
        <v>0</v>
      </c>
    </row>
    <row r="15" s="13" customFormat="1" ht="14" spans="1:11">
      <c r="A15" s="25" t="s">
        <v>20</v>
      </c>
      <c r="B15" s="26">
        <v>202608</v>
      </c>
      <c r="C15" s="26" t="s">
        <v>7</v>
      </c>
      <c r="D15" s="27">
        <v>3.4712</v>
      </c>
      <c r="G15" s="28" t="s">
        <v>20</v>
      </c>
      <c r="H15" s="29">
        <v>3.47120606759082</v>
      </c>
      <c r="I15" s="13">
        <f t="shared" si="0"/>
        <v>3.4712</v>
      </c>
      <c r="J15" s="13" t="b">
        <f t="shared" si="1"/>
        <v>1</v>
      </c>
      <c r="K15" s="18">
        <f t="shared" si="2"/>
        <v>0</v>
      </c>
    </row>
    <row r="16" s="13" customFormat="1" ht="14" spans="1:11">
      <c r="A16" s="25" t="s">
        <v>21</v>
      </c>
      <c r="B16" s="26">
        <v>202608</v>
      </c>
      <c r="C16" s="26" t="s">
        <v>7</v>
      </c>
      <c r="D16" s="27">
        <v>3.4712</v>
      </c>
      <c r="G16" s="28" t="s">
        <v>21</v>
      </c>
      <c r="H16" s="29">
        <v>3.47120606759082</v>
      </c>
      <c r="I16" s="13">
        <f t="shared" si="0"/>
        <v>3.4712</v>
      </c>
      <c r="J16" s="13" t="b">
        <f t="shared" si="1"/>
        <v>1</v>
      </c>
      <c r="K16" s="18">
        <f t="shared" si="2"/>
        <v>0</v>
      </c>
    </row>
    <row r="17" s="13" customFormat="1" ht="14" spans="1:12">
      <c r="A17" s="25" t="s">
        <v>22</v>
      </c>
      <c r="B17" s="26">
        <v>202608</v>
      </c>
      <c r="C17" s="26" t="s">
        <v>7</v>
      </c>
      <c r="D17" s="27">
        <v>250.5673</v>
      </c>
      <c r="G17" s="28" t="s">
        <v>22</v>
      </c>
      <c r="H17" s="29">
        <v>250.567303763432</v>
      </c>
      <c r="I17" s="13">
        <f t="shared" si="0"/>
        <v>250.5673</v>
      </c>
      <c r="J17" s="13" t="b">
        <f t="shared" si="1"/>
        <v>1</v>
      </c>
      <c r="K17" s="18">
        <f t="shared" si="2"/>
        <v>0</v>
      </c>
    </row>
    <row r="18" s="13" customFormat="1" ht="14" spans="1:12">
      <c r="A18" s="25" t="s">
        <v>23</v>
      </c>
      <c r="B18" s="26">
        <v>202608</v>
      </c>
      <c r="C18" s="26" t="s">
        <v>7</v>
      </c>
      <c r="D18" s="27">
        <v>55.1336</v>
      </c>
      <c r="G18" s="28" t="s">
        <v>23</v>
      </c>
      <c r="H18" s="29">
        <v>55.1336469658512</v>
      </c>
      <c r="I18" s="13">
        <f t="shared" si="0"/>
        <v>55.1336</v>
      </c>
      <c r="J18" s="13" t="b">
        <f t="shared" si="1"/>
        <v>1</v>
      </c>
      <c r="K18" s="18">
        <f t="shared" si="2"/>
        <v>0</v>
      </c>
    </row>
    <row r="19" s="13" customFormat="1" ht="14" spans="1:12">
      <c r="A19" s="25" t="s">
        <v>24</v>
      </c>
      <c r="B19" s="26">
        <v>202608</v>
      </c>
      <c r="C19" s="26" t="s">
        <v>7</v>
      </c>
      <c r="D19" s="27">
        <v>2324.8445</v>
      </c>
      <c r="G19" s="28" t="s">
        <v>24</v>
      </c>
      <c r="H19" s="29">
        <v>2324.84445310543</v>
      </c>
      <c r="I19" s="13">
        <f t="shared" si="0"/>
        <v>2324.8445</v>
      </c>
      <c r="J19" s="13" t="b">
        <f t="shared" si="1"/>
        <v>1</v>
      </c>
      <c r="K19" s="18">
        <f t="shared" si="2"/>
        <v>0</v>
      </c>
    </row>
    <row r="20" s="13" customFormat="1" ht="14" spans="1:12">
      <c r="A20" s="25" t="s">
        <v>25</v>
      </c>
      <c r="B20" s="26">
        <v>202608</v>
      </c>
      <c r="C20" s="26" t="s">
        <v>7</v>
      </c>
      <c r="D20" s="27">
        <v>2.2925</v>
      </c>
      <c r="G20" s="28" t="s">
        <v>25</v>
      </c>
      <c r="H20" s="29">
        <v>2.29252788136591</v>
      </c>
      <c r="I20" s="13">
        <f t="shared" si="0"/>
        <v>2.2925</v>
      </c>
      <c r="J20" s="13" t="b">
        <f t="shared" si="1"/>
        <v>1</v>
      </c>
      <c r="K20" s="18">
        <f t="shared" si="2"/>
        <v>0</v>
      </c>
    </row>
    <row r="21" s="13" customFormat="1" ht="14" spans="1:12">
      <c r="A21" s="25" t="s">
        <v>26</v>
      </c>
      <c r="B21" s="26">
        <v>202608</v>
      </c>
      <c r="C21" s="26" t="s">
        <v>7</v>
      </c>
      <c r="D21" s="27">
        <v>8.4438</v>
      </c>
      <c r="E21" s="13"/>
      <c r="G21" s="28" t="s">
        <v>26</v>
      </c>
      <c r="H21" s="29">
        <v>8.44382699824801</v>
      </c>
      <c r="I21" s="13">
        <f t="shared" si="0"/>
        <v>8.4438</v>
      </c>
      <c r="J21" s="13" t="b">
        <f t="shared" si="1"/>
        <v>1</v>
      </c>
      <c r="K21" s="18">
        <f t="shared" si="2"/>
        <v>0</v>
      </c>
    </row>
    <row r="22" s="13" customFormat="1" ht="14" spans="1:12">
      <c r="A22" s="25" t="s">
        <v>27</v>
      </c>
      <c r="B22" s="26">
        <v>202608</v>
      </c>
      <c r="C22" s="26" t="s">
        <v>7</v>
      </c>
      <c r="D22" s="27">
        <v>2.9837</v>
      </c>
      <c r="G22" s="28" t="s">
        <v>27</v>
      </c>
      <c r="H22" s="29">
        <v>2.9837211539186</v>
      </c>
      <c r="I22" s="13">
        <f t="shared" si="0"/>
        <v>2.9837</v>
      </c>
      <c r="J22" s="13" t="b">
        <f t="shared" si="1"/>
        <v>1</v>
      </c>
      <c r="K22" s="18">
        <f t="shared" si="2"/>
        <v>0</v>
      </c>
    </row>
    <row r="23" s="14" customFormat="1" ht="14" spans="1:12">
      <c r="A23" s="31" t="s">
        <v>28</v>
      </c>
      <c r="B23" s="26">
        <v>202608</v>
      </c>
      <c r="C23" s="26" t="s">
        <v>7</v>
      </c>
      <c r="D23" s="32">
        <v>12.745</v>
      </c>
      <c r="G23" s="33" t="s">
        <v>28</v>
      </c>
      <c r="H23" s="29">
        <v>12.7449617527045</v>
      </c>
      <c r="I23" s="13">
        <f t="shared" si="0"/>
        <v>12.745</v>
      </c>
      <c r="J23" s="13" t="b">
        <f t="shared" si="1"/>
        <v>1</v>
      </c>
      <c r="K23" s="18">
        <f t="shared" si="2"/>
        <v>0</v>
      </c>
    </row>
    <row r="24" s="14" customFormat="1" ht="14" spans="1:12">
      <c r="A24" s="31" t="s">
        <v>29</v>
      </c>
      <c r="B24" s="26">
        <v>202608</v>
      </c>
      <c r="C24" s="26" t="s">
        <v>7</v>
      </c>
      <c r="D24" s="32">
        <v>31.8244</v>
      </c>
      <c r="G24" s="33" t="s">
        <v>29</v>
      </c>
      <c r="H24" s="29">
        <v>31.8244289707207</v>
      </c>
      <c r="I24" s="13">
        <f t="shared" si="0"/>
        <v>31.8244</v>
      </c>
      <c r="J24" s="13" t="b">
        <f t="shared" si="1"/>
        <v>1</v>
      </c>
      <c r="K24" s="18">
        <f t="shared" si="2"/>
        <v>0</v>
      </c>
    </row>
    <row r="25" s="14" customFormat="1" ht="14" spans="1:12">
      <c r="A25" s="31" t="s">
        <v>30</v>
      </c>
      <c r="B25" s="26">
        <v>202608</v>
      </c>
      <c r="C25" s="26" t="s">
        <v>7</v>
      </c>
      <c r="D25" s="32">
        <v>11.2214</v>
      </c>
      <c r="G25" s="33" t="s">
        <v>30</v>
      </c>
      <c r="H25" s="29">
        <v>11.2213508213799</v>
      </c>
      <c r="I25" s="13">
        <f t="shared" si="0"/>
        <v>11.2214</v>
      </c>
      <c r="J25" s="13" t="b">
        <f t="shared" si="1"/>
        <v>1</v>
      </c>
      <c r="K25" s="18">
        <f t="shared" si="2"/>
        <v>0</v>
      </c>
    </row>
    <row r="26" s="14" customFormat="1" ht="14" spans="1:12">
      <c r="A26" s="31" t="s">
        <v>31</v>
      </c>
      <c r="B26" s="26">
        <v>202608</v>
      </c>
      <c r="C26" s="26" t="s">
        <v>7</v>
      </c>
      <c r="D26" s="32">
        <v>1490.092</v>
      </c>
      <c r="E26" s="13"/>
      <c r="G26" s="33" t="s">
        <v>31</v>
      </c>
      <c r="H26" s="29">
        <v>1490.09197028286</v>
      </c>
      <c r="I26" s="13">
        <f t="shared" si="0"/>
        <v>1490.092</v>
      </c>
      <c r="J26" s="13" t="b">
        <f t="shared" si="1"/>
        <v>1</v>
      </c>
      <c r="K26" s="18">
        <f t="shared" si="2"/>
        <v>0</v>
      </c>
    </row>
    <row r="27" s="14" customFormat="1" ht="14" spans="1:12">
      <c r="A27" s="34" t="s">
        <v>32</v>
      </c>
      <c r="B27" s="26">
        <v>202608</v>
      </c>
      <c r="C27" s="26" t="s">
        <v>7</v>
      </c>
      <c r="D27" s="32">
        <v>17.4733</v>
      </c>
      <c r="G27" s="33" t="s">
        <v>32</v>
      </c>
      <c r="H27" s="29">
        <v>17.4732997056972</v>
      </c>
      <c r="I27" s="13">
        <f t="shared" si="0"/>
        <v>17.4733</v>
      </c>
      <c r="J27" s="13" t="b">
        <f t="shared" si="1"/>
        <v>1</v>
      </c>
      <c r="K27" s="18">
        <f t="shared" si="2"/>
        <v>0</v>
      </c>
    </row>
    <row r="28" s="13" customFormat="1" ht="17" spans="1:12">
      <c r="A28" s="25" t="s">
        <v>33</v>
      </c>
      <c r="B28" s="26">
        <v>202608</v>
      </c>
      <c r="C28" s="26" t="s">
        <v>7</v>
      </c>
      <c r="D28" s="27">
        <v>7.8846</v>
      </c>
      <c r="G28" s="35" t="s">
        <v>33</v>
      </c>
      <c r="H28" s="29">
        <v>7.88456817764754</v>
      </c>
      <c r="I28" s="13">
        <f t="shared" si="0"/>
        <v>7.8846</v>
      </c>
      <c r="J28" s="13" t="b">
        <f t="shared" si="1"/>
        <v>1</v>
      </c>
      <c r="K28" s="18">
        <f t="shared" si="2"/>
        <v>0</v>
      </c>
    </row>
    <row r="29" s="15" customFormat="1" spans="1:12">
      <c r="A29" s="36" t="s">
        <v>34</v>
      </c>
      <c r="B29" s="37">
        <v>202608</v>
      </c>
      <c r="C29" s="37" t="s">
        <v>7</v>
      </c>
      <c r="D29" s="38">
        <v>28.4759</v>
      </c>
      <c r="E29" s="15" t="s">
        <v>35</v>
      </c>
      <c r="F29" s="15"/>
      <c r="G29" s="14" t="s">
        <v>34</v>
      </c>
      <c r="H29" s="14">
        <v>28.4758804623615</v>
      </c>
      <c r="I29" s="13">
        <f t="shared" si="0"/>
        <v>28.4759</v>
      </c>
      <c r="J29" s="13" t="b">
        <f t="shared" si="1"/>
        <v>1</v>
      </c>
      <c r="K29" s="18">
        <f t="shared" si="2"/>
        <v>0</v>
      </c>
      <c r="L29" s="14"/>
    </row>
    <row r="30" s="13" customFormat="1" spans="1:12">
      <c r="A30" s="25" t="s">
        <v>36</v>
      </c>
      <c r="B30" s="26">
        <v>202608</v>
      </c>
      <c r="C30" s="26" t="s">
        <v>7</v>
      </c>
      <c r="D30" s="27">
        <v>21.1352</v>
      </c>
      <c r="G30" s="14" t="s">
        <v>36</v>
      </c>
      <c r="H30" s="14">
        <v>21.1352354235823</v>
      </c>
      <c r="I30" s="13">
        <f t="shared" si="0"/>
        <v>21.1352</v>
      </c>
      <c r="J30" s="13" t="b">
        <f t="shared" si="1"/>
        <v>1</v>
      </c>
      <c r="K30" s="18">
        <f t="shared" si="2"/>
        <v>0</v>
      </c>
    </row>
    <row r="31" s="16" customFormat="1" spans="1:12">
      <c r="A31" s="39" t="s">
        <v>37</v>
      </c>
      <c r="B31" s="37">
        <v>202608</v>
      </c>
      <c r="C31" s="37" t="s">
        <v>7</v>
      </c>
      <c r="D31" s="40">
        <v>37.6147</v>
      </c>
      <c r="E31" s="15" t="s">
        <v>35</v>
      </c>
      <c r="F31" s="16"/>
      <c r="G31" s="14" t="s">
        <v>37</v>
      </c>
      <c r="H31" s="14">
        <v>37.6146582153707</v>
      </c>
      <c r="I31" s="13">
        <f t="shared" si="0"/>
        <v>37.6147</v>
      </c>
      <c r="J31" s="13" t="b">
        <f t="shared" si="1"/>
        <v>1</v>
      </c>
      <c r="K31" s="18">
        <f t="shared" si="2"/>
        <v>0</v>
      </c>
      <c r="L31" s="13"/>
    </row>
    <row r="32" s="13" customFormat="1" spans="1:12">
      <c r="A32" s="41" t="s">
        <v>38</v>
      </c>
      <c r="B32" s="26">
        <v>202608</v>
      </c>
      <c r="C32" s="26" t="s">
        <v>7</v>
      </c>
      <c r="D32" s="27">
        <v>29.3258</v>
      </c>
      <c r="E32" s="13"/>
      <c r="F32" s="13"/>
      <c r="G32" s="14" t="s">
        <v>38</v>
      </c>
      <c r="H32" s="14">
        <v>29.3257962159257</v>
      </c>
      <c r="I32" s="13">
        <f t="shared" si="0"/>
        <v>29.3258</v>
      </c>
      <c r="J32" s="13" t="b">
        <f t="shared" si="1"/>
        <v>1</v>
      </c>
      <c r="K32" s="18">
        <f t="shared" si="2"/>
        <v>0</v>
      </c>
    </row>
    <row r="33" s="13" customFormat="1" ht="14" spans="1:11">
      <c r="A33" s="42" t="s">
        <v>39</v>
      </c>
      <c r="B33" s="26">
        <v>202608</v>
      </c>
      <c r="C33" s="26" t="s">
        <v>7</v>
      </c>
      <c r="D33" s="43">
        <v>6.42934856836342</v>
      </c>
      <c r="E33" s="13"/>
      <c r="F33" s="13"/>
      <c r="G33" s="14"/>
      <c r="H33" s="14"/>
      <c r="I33" s="13"/>
      <c r="J33" s="13"/>
      <c r="K33" s="18"/>
    </row>
    <row r="34" s="13" customFormat="1" ht="14" spans="1:11">
      <c r="A34" s="42">
        <v>1300</v>
      </c>
      <c r="B34" s="26">
        <v>202608</v>
      </c>
      <c r="C34" s="26" t="s">
        <v>7</v>
      </c>
      <c r="D34" s="43">
        <v>36.8261107411533</v>
      </c>
      <c r="E34" s="13"/>
      <c r="F34" s="13"/>
      <c r="K34" s="18"/>
    </row>
    <row r="35" s="13" customFormat="1" spans="1:11">
      <c r="B35" s="12"/>
      <c r="C35" s="12"/>
      <c r="D35" s="17"/>
      <c r="E35" s="13"/>
      <c r="F35" s="13"/>
      <c r="G35" s="14"/>
      <c r="H35" s="14"/>
      <c r="I35" s="13"/>
      <c r="J35" s="13"/>
      <c r="K35" s="18"/>
    </row>
    <row r="36" s="13" customFormat="1" spans="1:11">
      <c r="B36" s="12"/>
      <c r="C36" s="12"/>
      <c r="D36" s="17"/>
      <c r="E36" s="13"/>
      <c r="F36" s="13"/>
      <c r="K36" s="18"/>
    </row>
    <row r="37" s="13" customFormat="1" spans="1:11">
      <c r="B37" s="12"/>
      <c r="C37" s="12"/>
      <c r="D37" s="17"/>
      <c r="E37" s="13"/>
      <c r="F37" s="13"/>
      <c r="G37" s="14"/>
      <c r="H37" s="14"/>
      <c r="I37" s="13"/>
      <c r="J37" s="13"/>
      <c r="K37" s="18"/>
    </row>
    <row r="41" spans="1:11">
      <c r="E41" s="44"/>
    </row>
  </sheetData>
  <autoFilter xmlns:etc="http://www.wps.cn/officeDocument/2017/etCustomData" ref="A1:L34" etc:filterBottomFollowUsedRange="0">
    <extLst/>
  </autoFilter>
  <pageMargins left="0.7" right="0.7" top="0.75" bottom="0.75" header="0.3" footer="0.3"/>
  <pageSetup paperSize="9" scale="95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80" zoomScaleNormal="80" topLeftCell="C1" workbookViewId="0">
      <pane ySplit="1" topLeftCell="A2" activePane="bottomLeft" state="frozen"/>
      <selection/>
      <selection pane="bottomLeft" activeCell="E42" sqref="E42"/>
    </sheetView>
  </sheetViews>
  <sheetFormatPr defaultColWidth="8.66666666666667" defaultRowHeight="14"/>
  <cols>
    <col min="2" max="2" width="12.1833333333333" customWidth="1"/>
    <col min="3" max="3" width="21.2416666666667" customWidth="1"/>
    <col min="4" max="4" width="20.5833333333333" customWidth="1"/>
    <col min="10" max="10" width="9.41666666666667"/>
    <col min="17" max="17" width="12.8333333333333" customWidth="1"/>
    <col min="18" max="18" width="10.5"/>
    <col min="19" max="19" width="20" style="6" customWidth="1"/>
  </cols>
  <sheetData>
    <row r="1" spans="1:19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s="7" t="s">
        <v>56</v>
      </c>
    </row>
    <row r="2" spans="1:19">
      <c r="A2" t="s">
        <v>57</v>
      </c>
      <c r="B2" t="s">
        <v>58</v>
      </c>
      <c r="C2" t="s">
        <v>59</v>
      </c>
      <c r="D2" t="s">
        <v>60</v>
      </c>
      <c r="E2" t="s">
        <v>61</v>
      </c>
      <c r="G2" t="s">
        <v>62</v>
      </c>
      <c r="I2" t="s">
        <v>63</v>
      </c>
      <c r="J2">
        <v>4.0901</v>
      </c>
      <c r="M2" t="s">
        <v>64</v>
      </c>
      <c r="O2">
        <v>110</v>
      </c>
      <c r="P2" t="s">
        <v>65</v>
      </c>
      <c r="Q2" t="str">
        <f>VLOOKUP(C2,型号!A:C,3,0)</f>
        <v>BM1368+</v>
      </c>
      <c r="R2">
        <f>_xlfn.XLOOKUP(Q2,PO!A:A,PO!D:D,1,0)</f>
        <v>4.0901</v>
      </c>
      <c r="S2" s="6">
        <f>R2-J2</f>
        <v>0</v>
      </c>
    </row>
    <row r="3" spans="1:19">
      <c r="A3" t="s">
        <v>57</v>
      </c>
      <c r="B3" t="s">
        <v>58</v>
      </c>
      <c r="C3" t="s">
        <v>66</v>
      </c>
      <c r="D3" t="s">
        <v>67</v>
      </c>
      <c r="E3" t="s">
        <v>61</v>
      </c>
      <c r="G3" t="s">
        <v>62</v>
      </c>
      <c r="I3" t="s">
        <v>63</v>
      </c>
      <c r="J3">
        <v>4.0901</v>
      </c>
      <c r="M3" t="s">
        <v>64</v>
      </c>
      <c r="O3">
        <v>110</v>
      </c>
      <c r="P3" t="s">
        <v>65</v>
      </c>
      <c r="Q3" t="str">
        <f>VLOOKUP(C3,型号!A:C,3,0)</f>
        <v>BM1368+</v>
      </c>
      <c r="R3">
        <f>_xlfn.XLOOKUP(Q3,PO!A:A,PO!D:D,1,0)</f>
        <v>4.0901</v>
      </c>
      <c r="S3" s="6">
        <f t="shared" ref="S2:S37" si="0">R3-J3</f>
        <v>0</v>
      </c>
    </row>
    <row r="4" spans="1:19">
      <c r="A4" t="s">
        <v>57</v>
      </c>
      <c r="B4" t="s">
        <v>58</v>
      </c>
      <c r="C4" t="s">
        <v>68</v>
      </c>
      <c r="D4" t="s">
        <v>69</v>
      </c>
      <c r="E4" t="s">
        <v>61</v>
      </c>
      <c r="G4" t="s">
        <v>62</v>
      </c>
      <c r="I4" t="s">
        <v>63</v>
      </c>
      <c r="J4">
        <v>5.0536</v>
      </c>
      <c r="M4" t="s">
        <v>64</v>
      </c>
      <c r="O4">
        <v>110</v>
      </c>
      <c r="P4" t="s">
        <v>65</v>
      </c>
      <c r="Q4" t="str">
        <f>VLOOKUP(C4,型号!A:C,3,0)</f>
        <v>BM1368</v>
      </c>
      <c r="R4">
        <f>_xlfn.XLOOKUP(Q4,PO!A:A,PO!D:D,1,0)</f>
        <v>5.0536</v>
      </c>
      <c r="S4" s="6">
        <f t="shared" si="0"/>
        <v>0</v>
      </c>
    </row>
    <row r="5" spans="1:19">
      <c r="A5" t="s">
        <v>57</v>
      </c>
      <c r="B5" t="s">
        <v>58</v>
      </c>
      <c r="C5" t="s">
        <v>70</v>
      </c>
      <c r="D5" t="s">
        <v>71</v>
      </c>
      <c r="E5" t="s">
        <v>61</v>
      </c>
      <c r="G5" t="s">
        <v>62</v>
      </c>
      <c r="I5" t="s">
        <v>63</v>
      </c>
      <c r="J5">
        <v>2.2925</v>
      </c>
      <c r="M5" t="s">
        <v>64</v>
      </c>
      <c r="O5">
        <v>110</v>
      </c>
      <c r="P5" t="s">
        <v>65</v>
      </c>
      <c r="Q5" t="str">
        <f>VLOOKUP(C5,型号!A:C,3,0)</f>
        <v>BM2380</v>
      </c>
      <c r="R5">
        <f>_xlfn.XLOOKUP(Q5,PO!A:A,PO!D:D,1,0)</f>
        <v>2.2925</v>
      </c>
      <c r="S5" s="6">
        <f t="shared" si="0"/>
        <v>0</v>
      </c>
    </row>
    <row r="6" spans="1:19">
      <c r="A6" t="s">
        <v>57</v>
      </c>
      <c r="B6" t="s">
        <v>58</v>
      </c>
      <c r="C6" t="s">
        <v>72</v>
      </c>
      <c r="D6" t="s">
        <v>73</v>
      </c>
      <c r="E6" t="s">
        <v>61</v>
      </c>
      <c r="G6" t="s">
        <v>62</v>
      </c>
      <c r="I6" t="s">
        <v>63</v>
      </c>
      <c r="J6">
        <v>3.4712</v>
      </c>
      <c r="M6" t="s">
        <v>64</v>
      </c>
      <c r="O6">
        <v>110</v>
      </c>
      <c r="P6" t="s">
        <v>65</v>
      </c>
      <c r="Q6" t="str">
        <f>VLOOKUP(C6,型号!A:C,3,0)</f>
        <v>BM2042</v>
      </c>
      <c r="R6">
        <f>_xlfn.XLOOKUP(Q6,PO!A:A,PO!D:D,1,0)</f>
        <v>3.4712</v>
      </c>
      <c r="S6" s="6">
        <f t="shared" si="0"/>
        <v>0</v>
      </c>
    </row>
    <row r="7" spans="1:19">
      <c r="A7" t="s">
        <v>57</v>
      </c>
      <c r="B7" t="s">
        <v>58</v>
      </c>
      <c r="C7" t="s">
        <v>74</v>
      </c>
      <c r="D7" t="s">
        <v>75</v>
      </c>
      <c r="E7" t="s">
        <v>61</v>
      </c>
      <c r="G7" t="s">
        <v>62</v>
      </c>
      <c r="I7" t="s">
        <v>63</v>
      </c>
      <c r="J7">
        <v>3.7914</v>
      </c>
      <c r="M7" t="s">
        <v>64</v>
      </c>
      <c r="O7">
        <v>110</v>
      </c>
      <c r="P7" t="s">
        <v>65</v>
      </c>
      <c r="Q7" t="str">
        <f>VLOOKUP(C7,型号!A:C,3,0)</f>
        <v>BM1366</v>
      </c>
      <c r="R7">
        <f>_xlfn.XLOOKUP(Q7,PO!A:A,PO!D:D,1,0)</f>
        <v>3.7914</v>
      </c>
      <c r="S7" s="6">
        <f t="shared" si="0"/>
        <v>0</v>
      </c>
    </row>
    <row r="8" spans="1:19">
      <c r="A8" t="s">
        <v>57</v>
      </c>
      <c r="B8" t="s">
        <v>58</v>
      </c>
      <c r="C8" t="s">
        <v>76</v>
      </c>
      <c r="D8" t="s">
        <v>77</v>
      </c>
      <c r="E8" t="s">
        <v>61</v>
      </c>
      <c r="G8" t="s">
        <v>62</v>
      </c>
      <c r="I8" t="s">
        <v>63</v>
      </c>
      <c r="J8">
        <v>0</v>
      </c>
      <c r="M8" t="s">
        <v>64</v>
      </c>
      <c r="O8">
        <v>110</v>
      </c>
      <c r="P8" t="s">
        <v>65</v>
      </c>
      <c r="Q8" t="str">
        <f>VLOOKUP(C8,型号!A:C,3,0)</f>
        <v>BM1370晶圆</v>
      </c>
      <c r="R8">
        <f>_xlfn.XLOOKUP(Q8,PO!A:A,PO!D:D,1,0)</f>
        <v>1</v>
      </c>
      <c r="S8" s="6">
        <f t="shared" si="0"/>
        <v>1</v>
      </c>
    </row>
    <row r="9" spans="1:19">
      <c r="A9" t="s">
        <v>57</v>
      </c>
      <c r="B9" t="s">
        <v>58</v>
      </c>
      <c r="C9" t="s">
        <v>78</v>
      </c>
      <c r="D9" t="s">
        <v>79</v>
      </c>
      <c r="E9" t="s">
        <v>61</v>
      </c>
      <c r="G9" t="s">
        <v>62</v>
      </c>
      <c r="I9" t="s">
        <v>63</v>
      </c>
      <c r="J9">
        <v>3.7914</v>
      </c>
      <c r="M9" t="s">
        <v>64</v>
      </c>
      <c r="O9">
        <v>110</v>
      </c>
      <c r="P9" t="s">
        <v>65</v>
      </c>
      <c r="Q9" t="str">
        <f>VLOOKUP(C9,型号!A:C,3,0)</f>
        <v>BM1366</v>
      </c>
      <c r="R9">
        <f>_xlfn.XLOOKUP(Q9,PO!A:A,PO!D:D,1,0)</f>
        <v>3.7914</v>
      </c>
      <c r="S9" s="6">
        <f t="shared" si="0"/>
        <v>0</v>
      </c>
    </row>
    <row r="10" spans="1:19">
      <c r="A10" t="s">
        <v>57</v>
      </c>
      <c r="B10" t="s">
        <v>58</v>
      </c>
      <c r="C10" t="s">
        <v>80</v>
      </c>
      <c r="D10" t="s">
        <v>81</v>
      </c>
      <c r="E10" t="s">
        <v>61</v>
      </c>
      <c r="G10" t="s">
        <v>62</v>
      </c>
      <c r="I10" t="s">
        <v>63</v>
      </c>
      <c r="J10" s="8">
        <v>8.4438</v>
      </c>
      <c r="M10" t="s">
        <v>64</v>
      </c>
      <c r="O10">
        <v>110</v>
      </c>
      <c r="P10" t="s">
        <v>65</v>
      </c>
      <c r="Q10" t="str">
        <f>VLOOKUP(C10,型号!A:C,3,0)</f>
        <v>BM1370</v>
      </c>
      <c r="R10" s="9">
        <f>_xlfn.XLOOKUP(Q10,PO!A:A,PO!D:D,1,0)</f>
        <v>8.4438</v>
      </c>
      <c r="S10" s="6">
        <f t="shared" si="0"/>
        <v>0</v>
      </c>
    </row>
    <row r="11" spans="1:19">
      <c r="A11" t="s">
        <v>57</v>
      </c>
      <c r="B11" t="s">
        <v>58</v>
      </c>
      <c r="C11" t="s">
        <v>82</v>
      </c>
      <c r="D11" t="s">
        <v>83</v>
      </c>
      <c r="E11" t="s">
        <v>61</v>
      </c>
      <c r="G11" t="s">
        <v>62</v>
      </c>
      <c r="I11" t="s">
        <v>63</v>
      </c>
      <c r="J11">
        <v>0</v>
      </c>
      <c r="M11" t="s">
        <v>64</v>
      </c>
      <c r="O11">
        <v>110</v>
      </c>
      <c r="P11" t="s">
        <v>65</v>
      </c>
      <c r="Q11" t="str">
        <f>VLOOKUP(C11,型号!A:C,3,0)</f>
        <v>BM2282晶圆</v>
      </c>
      <c r="R11">
        <f>_xlfn.XLOOKUP(Q11,PO!A:A,PO!D:D,1,0)</f>
        <v>1</v>
      </c>
      <c r="S11" s="6">
        <f t="shared" si="0"/>
        <v>1</v>
      </c>
    </row>
    <row r="12" spans="1:19">
      <c r="A12" t="s">
        <v>57</v>
      </c>
      <c r="B12" t="s">
        <v>58</v>
      </c>
      <c r="C12" t="s">
        <v>84</v>
      </c>
      <c r="D12" t="s">
        <v>85</v>
      </c>
      <c r="E12" t="s">
        <v>61</v>
      </c>
      <c r="G12" t="s">
        <v>62</v>
      </c>
      <c r="I12" t="s">
        <v>63</v>
      </c>
      <c r="J12">
        <v>0</v>
      </c>
      <c r="M12" t="s">
        <v>64</v>
      </c>
      <c r="O12">
        <v>110</v>
      </c>
      <c r="P12" t="s">
        <v>65</v>
      </c>
      <c r="Q12" t="str">
        <f>VLOOKUP(C12,型号!A:C,3,0)</f>
        <v>BM2282晶圆</v>
      </c>
      <c r="R12">
        <f>_xlfn.XLOOKUP(Q12,PO!A:A,PO!D:D,1,0)</f>
        <v>1</v>
      </c>
      <c r="S12" s="6">
        <f t="shared" si="0"/>
        <v>1</v>
      </c>
    </row>
    <row r="13" spans="1:19">
      <c r="A13" t="s">
        <v>57</v>
      </c>
      <c r="B13" t="s">
        <v>58</v>
      </c>
      <c r="C13" t="s">
        <v>86</v>
      </c>
      <c r="D13" t="s">
        <v>87</v>
      </c>
      <c r="E13" t="s">
        <v>61</v>
      </c>
      <c r="G13" t="s">
        <v>62</v>
      </c>
      <c r="I13" t="s">
        <v>63</v>
      </c>
      <c r="J13">
        <v>0</v>
      </c>
      <c r="M13" t="s">
        <v>64</v>
      </c>
      <c r="O13">
        <v>110</v>
      </c>
      <c r="P13" t="s">
        <v>65</v>
      </c>
      <c r="Q13" t="str">
        <f>VLOOKUP(C13,型号!A:C,3,0)</f>
        <v>BM2282晶圆</v>
      </c>
      <c r="R13">
        <f>_xlfn.XLOOKUP(Q13,PO!A:A,PO!D:D,1,0)</f>
        <v>1</v>
      </c>
      <c r="S13" s="6">
        <f t="shared" si="0"/>
        <v>1</v>
      </c>
    </row>
    <row r="14" spans="1:19">
      <c r="A14" t="s">
        <v>57</v>
      </c>
      <c r="B14" t="s">
        <v>58</v>
      </c>
      <c r="C14" t="s">
        <v>88</v>
      </c>
      <c r="D14" t="s">
        <v>89</v>
      </c>
      <c r="E14" t="s">
        <v>61</v>
      </c>
      <c r="G14" t="s">
        <v>62</v>
      </c>
      <c r="I14" t="s">
        <v>63</v>
      </c>
      <c r="J14">
        <v>4.0901</v>
      </c>
      <c r="M14" t="s">
        <v>64</v>
      </c>
      <c r="O14">
        <v>110</v>
      </c>
      <c r="P14" t="s">
        <v>65</v>
      </c>
      <c r="Q14" t="str">
        <f>VLOOKUP(C14,型号!A:C,3,0)</f>
        <v>BM1368+</v>
      </c>
      <c r="R14">
        <f>_xlfn.XLOOKUP(Q14,PO!A:A,PO!D:D,1,0)</f>
        <v>4.0901</v>
      </c>
      <c r="S14" s="6">
        <f t="shared" si="0"/>
        <v>0</v>
      </c>
    </row>
    <row r="15" spans="1:19">
      <c r="A15" t="s">
        <v>57</v>
      </c>
      <c r="B15" t="s">
        <v>58</v>
      </c>
      <c r="C15" t="s">
        <v>90</v>
      </c>
      <c r="D15" t="s">
        <v>91</v>
      </c>
      <c r="E15" t="s">
        <v>61</v>
      </c>
      <c r="G15" t="s">
        <v>62</v>
      </c>
      <c r="I15" t="s">
        <v>63</v>
      </c>
      <c r="J15" s="8">
        <v>8.4438</v>
      </c>
      <c r="M15" t="s">
        <v>64</v>
      </c>
      <c r="O15">
        <v>110</v>
      </c>
      <c r="P15" t="s">
        <v>65</v>
      </c>
      <c r="Q15" t="str">
        <f>VLOOKUP(C15,型号!A:C,3,0)</f>
        <v>BM1370</v>
      </c>
      <c r="R15" s="9">
        <f>_xlfn.XLOOKUP(Q15,PO!A:A,PO!D:D,1,0)</f>
        <v>8.4438</v>
      </c>
      <c r="S15" s="6">
        <f t="shared" si="0"/>
        <v>0</v>
      </c>
    </row>
    <row r="16" spans="1:19">
      <c r="A16" t="s">
        <v>57</v>
      </c>
      <c r="B16" t="s">
        <v>58</v>
      </c>
      <c r="C16" t="s">
        <v>92</v>
      </c>
      <c r="D16" t="s">
        <v>93</v>
      </c>
      <c r="E16" t="s">
        <v>61</v>
      </c>
      <c r="G16" t="s">
        <v>62</v>
      </c>
      <c r="I16" t="s">
        <v>63</v>
      </c>
      <c r="J16">
        <v>5.2113</v>
      </c>
      <c r="M16" t="s">
        <v>64</v>
      </c>
      <c r="O16">
        <v>110</v>
      </c>
      <c r="P16" t="s">
        <v>65</v>
      </c>
      <c r="Q16" t="str">
        <f>VLOOKUP(C16,型号!A:C,3,0)</f>
        <v>BM1489</v>
      </c>
      <c r="R16">
        <f>_xlfn.XLOOKUP(Q16,PO!A:A,PO!D:D,1,0)</f>
        <v>5.2113</v>
      </c>
      <c r="S16" s="6">
        <f t="shared" si="0"/>
        <v>0</v>
      </c>
    </row>
    <row r="17" spans="1:19">
      <c r="A17" t="s">
        <v>57</v>
      </c>
      <c r="B17" t="s">
        <v>58</v>
      </c>
      <c r="C17" t="s">
        <v>94</v>
      </c>
      <c r="D17" t="s">
        <v>95</v>
      </c>
      <c r="E17" t="s">
        <v>61</v>
      </c>
      <c r="G17" t="s">
        <v>62</v>
      </c>
      <c r="I17" t="s">
        <v>63</v>
      </c>
      <c r="J17">
        <v>3.7914</v>
      </c>
      <c r="M17" t="s">
        <v>64</v>
      </c>
      <c r="O17">
        <v>110</v>
      </c>
      <c r="P17" t="s">
        <v>65</v>
      </c>
      <c r="Q17" t="str">
        <f>VLOOKUP(C17,型号!A:C,3,0)</f>
        <v>BM1366</v>
      </c>
      <c r="R17">
        <f>_xlfn.XLOOKUP(Q17,PO!A:A,PO!D:D,1,0)</f>
        <v>3.7914</v>
      </c>
      <c r="S17" s="6">
        <f t="shared" si="0"/>
        <v>0</v>
      </c>
    </row>
    <row r="18" spans="1:19">
      <c r="A18" t="s">
        <v>57</v>
      </c>
      <c r="B18" t="s">
        <v>58</v>
      </c>
      <c r="C18" t="s">
        <v>96</v>
      </c>
      <c r="D18" t="s">
        <v>97</v>
      </c>
      <c r="E18" t="s">
        <v>61</v>
      </c>
      <c r="G18" t="s">
        <v>62</v>
      </c>
      <c r="I18" t="s">
        <v>63</v>
      </c>
      <c r="J18">
        <v>3.4712</v>
      </c>
      <c r="M18" t="s">
        <v>64</v>
      </c>
      <c r="O18">
        <v>110</v>
      </c>
      <c r="P18" t="s">
        <v>65</v>
      </c>
      <c r="Q18" t="str">
        <f>VLOOKUP(C18,型号!A:C,3,0)</f>
        <v>BM2110</v>
      </c>
      <c r="R18">
        <f>_xlfn.XLOOKUP(Q18,PO!A:A,PO!D:D,1,0)</f>
        <v>3.4712</v>
      </c>
      <c r="S18" s="6">
        <f t="shared" si="0"/>
        <v>0</v>
      </c>
    </row>
    <row r="19" spans="1:19">
      <c r="A19" t="s">
        <v>57</v>
      </c>
      <c r="B19" t="s">
        <v>58</v>
      </c>
      <c r="C19" t="s">
        <v>98</v>
      </c>
      <c r="D19" t="s">
        <v>99</v>
      </c>
      <c r="E19" t="s">
        <v>61</v>
      </c>
      <c r="G19" t="s">
        <v>62</v>
      </c>
      <c r="I19" t="s">
        <v>63</v>
      </c>
      <c r="J19">
        <v>3.4712</v>
      </c>
      <c r="M19" t="s">
        <v>64</v>
      </c>
      <c r="O19">
        <v>110</v>
      </c>
      <c r="P19" t="s">
        <v>65</v>
      </c>
      <c r="Q19" t="str">
        <f>VLOOKUP(C19,型号!A:C,3,0)</f>
        <v>BM2130</v>
      </c>
      <c r="R19">
        <f>_xlfn.XLOOKUP(Q19,PO!A:A,PO!D:D,1,0)</f>
        <v>3.4712</v>
      </c>
      <c r="S19" s="6">
        <f t="shared" si="0"/>
        <v>0</v>
      </c>
    </row>
    <row r="20" spans="1:19">
      <c r="A20" t="s">
        <v>57</v>
      </c>
      <c r="B20" t="s">
        <v>58</v>
      </c>
      <c r="C20" t="s">
        <v>100</v>
      </c>
      <c r="D20" t="s">
        <v>101</v>
      </c>
      <c r="E20" t="s">
        <v>61</v>
      </c>
      <c r="G20" t="s">
        <v>62</v>
      </c>
      <c r="I20" t="s">
        <v>63</v>
      </c>
      <c r="J20">
        <v>4.0901</v>
      </c>
      <c r="M20" t="s">
        <v>64</v>
      </c>
      <c r="O20">
        <v>110</v>
      </c>
      <c r="P20" t="s">
        <v>65</v>
      </c>
      <c r="Q20" t="str">
        <f>VLOOKUP(C20,型号!A:C,3,0)</f>
        <v>BM1368+</v>
      </c>
      <c r="R20">
        <f>_xlfn.XLOOKUP(Q20,PO!A:A,PO!D:D,1,0)</f>
        <v>4.0901</v>
      </c>
      <c r="S20" s="6">
        <f t="shared" si="0"/>
        <v>0</v>
      </c>
    </row>
    <row r="21" spans="1:19">
      <c r="A21" t="s">
        <v>57</v>
      </c>
      <c r="B21" t="s">
        <v>58</v>
      </c>
      <c r="C21" t="s">
        <v>102</v>
      </c>
      <c r="D21" t="s">
        <v>103</v>
      </c>
      <c r="E21" t="s">
        <v>61</v>
      </c>
      <c r="G21" t="s">
        <v>62</v>
      </c>
      <c r="I21" t="s">
        <v>63</v>
      </c>
      <c r="J21">
        <v>2.9837</v>
      </c>
      <c r="M21" t="s">
        <v>64</v>
      </c>
      <c r="O21">
        <v>110</v>
      </c>
      <c r="P21" t="s">
        <v>65</v>
      </c>
      <c r="Q21" t="str">
        <f>VLOOKUP(C21,型号!A:C,3,0)</f>
        <v>BM2382</v>
      </c>
      <c r="R21">
        <f>_xlfn.XLOOKUP(Q21,PO!A:A,PO!D:D,1,0)</f>
        <v>2.9837</v>
      </c>
      <c r="S21" s="6">
        <f t="shared" si="0"/>
        <v>0</v>
      </c>
    </row>
    <row r="22" spans="1:19">
      <c r="A22" t="s">
        <v>57</v>
      </c>
      <c r="B22" t="s">
        <v>58</v>
      </c>
      <c r="C22" t="s">
        <v>104</v>
      </c>
      <c r="D22" t="s">
        <v>105</v>
      </c>
      <c r="E22" t="s">
        <v>61</v>
      </c>
      <c r="G22" t="s">
        <v>62</v>
      </c>
      <c r="I22" t="s">
        <v>63</v>
      </c>
      <c r="J22" s="8">
        <v>8.4438</v>
      </c>
      <c r="M22" t="s">
        <v>64</v>
      </c>
      <c r="O22">
        <v>110</v>
      </c>
      <c r="P22" t="s">
        <v>65</v>
      </c>
      <c r="Q22" t="str">
        <f>VLOOKUP(C22,型号!A:C,3,0)</f>
        <v>BM1370</v>
      </c>
      <c r="R22" s="9">
        <f>_xlfn.XLOOKUP(Q22,PO!A:A,PO!D:D,1,0)</f>
        <v>8.4438</v>
      </c>
      <c r="S22" s="6">
        <f t="shared" si="0"/>
        <v>0</v>
      </c>
    </row>
    <row r="23" spans="1:19">
      <c r="A23" t="s">
        <v>57</v>
      </c>
      <c r="B23" t="s">
        <v>58</v>
      </c>
      <c r="C23" t="s">
        <v>106</v>
      </c>
      <c r="D23" t="s">
        <v>107</v>
      </c>
      <c r="E23" t="s">
        <v>61</v>
      </c>
      <c r="G23" t="s">
        <v>62</v>
      </c>
      <c r="I23" t="s">
        <v>63</v>
      </c>
      <c r="J23" s="8">
        <v>8.4438</v>
      </c>
      <c r="M23" t="s">
        <v>64</v>
      </c>
      <c r="O23">
        <v>110</v>
      </c>
      <c r="P23" t="s">
        <v>65</v>
      </c>
      <c r="Q23" t="str">
        <f>VLOOKUP(C23,型号!A:C,3,0)</f>
        <v>BM1370</v>
      </c>
      <c r="R23" s="9">
        <f>_xlfn.XLOOKUP(Q23,PO!A:A,PO!D:D,1,0)</f>
        <v>8.4438</v>
      </c>
      <c r="S23" s="6">
        <f t="shared" si="0"/>
        <v>0</v>
      </c>
    </row>
    <row r="24" spans="1:19">
      <c r="A24" t="s">
        <v>57</v>
      </c>
      <c r="B24" t="s">
        <v>58</v>
      </c>
      <c r="C24" t="s">
        <v>108</v>
      </c>
      <c r="D24" t="s">
        <v>109</v>
      </c>
      <c r="E24" t="s">
        <v>61</v>
      </c>
      <c r="G24" t="s">
        <v>62</v>
      </c>
      <c r="I24" t="s">
        <v>63</v>
      </c>
      <c r="J24">
        <v>3.4712</v>
      </c>
      <c r="M24" t="s">
        <v>64</v>
      </c>
      <c r="O24">
        <v>110</v>
      </c>
      <c r="P24" t="s">
        <v>65</v>
      </c>
      <c r="Q24" t="str">
        <f>VLOOKUP(C24,型号!A:C,3,0)</f>
        <v>BM1766</v>
      </c>
      <c r="R24">
        <f>_xlfn.XLOOKUP(Q24,PO!A:A,PO!D:D,1,0)</f>
        <v>3.4712</v>
      </c>
      <c r="S24" s="6">
        <f t="shared" si="0"/>
        <v>0</v>
      </c>
    </row>
    <row r="25" spans="1:19">
      <c r="A25" t="s">
        <v>57</v>
      </c>
      <c r="B25" t="s">
        <v>58</v>
      </c>
      <c r="C25" t="s">
        <v>110</v>
      </c>
      <c r="D25" t="s">
        <v>111</v>
      </c>
      <c r="E25" t="s">
        <v>61</v>
      </c>
      <c r="G25" t="s">
        <v>62</v>
      </c>
      <c r="I25" t="s">
        <v>63</v>
      </c>
      <c r="J25">
        <v>5.0536</v>
      </c>
      <c r="M25" t="s">
        <v>64</v>
      </c>
      <c r="O25">
        <v>110</v>
      </c>
      <c r="P25" t="s">
        <v>65</v>
      </c>
      <c r="Q25" t="str">
        <f>VLOOKUP(C25,型号!A:C,3,0)</f>
        <v>BM1368</v>
      </c>
      <c r="R25">
        <f>_xlfn.XLOOKUP(Q25,PO!A:A,PO!D:D,1,0)</f>
        <v>5.0536</v>
      </c>
      <c r="S25" s="6">
        <f t="shared" si="0"/>
        <v>0</v>
      </c>
    </row>
    <row r="26" spans="1:19">
      <c r="A26" t="s">
        <v>57</v>
      </c>
      <c r="B26" t="s">
        <v>58</v>
      </c>
      <c r="C26" t="s">
        <v>112</v>
      </c>
      <c r="D26" t="s">
        <v>113</v>
      </c>
      <c r="E26" t="s">
        <v>61</v>
      </c>
      <c r="G26" t="s">
        <v>62</v>
      </c>
      <c r="I26" t="s">
        <v>63</v>
      </c>
      <c r="J26" s="8">
        <v>8.4438</v>
      </c>
      <c r="M26" t="s">
        <v>64</v>
      </c>
      <c r="O26">
        <v>110</v>
      </c>
      <c r="P26" t="s">
        <v>65</v>
      </c>
      <c r="Q26" t="str">
        <f>VLOOKUP(C26,型号!A:C,3,0)</f>
        <v>BM1370</v>
      </c>
      <c r="R26" s="9">
        <f>_xlfn.XLOOKUP(Q26,PO!A:A,PO!D:D,1,0)</f>
        <v>8.4438</v>
      </c>
      <c r="S26" s="6">
        <f t="shared" si="0"/>
        <v>0</v>
      </c>
    </row>
    <row r="27" spans="1:19">
      <c r="A27" t="s">
        <v>57</v>
      </c>
      <c r="B27" t="s">
        <v>58</v>
      </c>
      <c r="C27" t="s">
        <v>114</v>
      </c>
      <c r="D27" t="s">
        <v>115</v>
      </c>
      <c r="E27" t="s">
        <v>61</v>
      </c>
      <c r="G27" t="s">
        <v>62</v>
      </c>
      <c r="I27" t="s">
        <v>63</v>
      </c>
      <c r="J27" s="8">
        <v>8.4438</v>
      </c>
      <c r="M27" t="s">
        <v>64</v>
      </c>
      <c r="O27">
        <v>110</v>
      </c>
      <c r="P27" t="s">
        <v>65</v>
      </c>
      <c r="Q27" t="str">
        <f>VLOOKUP(C27,型号!A:C,3,0)</f>
        <v>BM1370</v>
      </c>
      <c r="R27" s="9">
        <f>_xlfn.XLOOKUP(Q27,PO!A:A,PO!D:D,1,0)</f>
        <v>8.4438</v>
      </c>
      <c r="S27" s="6">
        <f t="shared" si="0"/>
        <v>0</v>
      </c>
    </row>
    <row r="28" spans="1:19">
      <c r="A28" t="s">
        <v>57</v>
      </c>
      <c r="B28" t="s">
        <v>58</v>
      </c>
      <c r="C28" t="s">
        <v>116</v>
      </c>
      <c r="D28" t="s">
        <v>117</v>
      </c>
      <c r="E28" t="s">
        <v>61</v>
      </c>
      <c r="G28" t="s">
        <v>62</v>
      </c>
      <c r="I28" t="s">
        <v>63</v>
      </c>
      <c r="J28">
        <v>1490.092</v>
      </c>
      <c r="M28" t="s">
        <v>64</v>
      </c>
      <c r="O28">
        <v>110</v>
      </c>
      <c r="P28" t="s">
        <v>65</v>
      </c>
      <c r="Q28" t="str">
        <f>VLOOKUP(C28,型号!A:C,3,0)</f>
        <v>BM1368MD</v>
      </c>
      <c r="R28">
        <f>_xlfn.XLOOKUP(Q28,PO!A:A,PO!D:D,1,0)</f>
        <v>1490.092</v>
      </c>
      <c r="S28" s="6">
        <f t="shared" si="0"/>
        <v>0</v>
      </c>
    </row>
    <row r="29" spans="1:19">
      <c r="A29" t="s">
        <v>57</v>
      </c>
      <c r="B29" t="s">
        <v>58</v>
      </c>
      <c r="C29" t="s">
        <v>118</v>
      </c>
      <c r="D29" t="s">
        <v>119</v>
      </c>
      <c r="E29" t="s">
        <v>61</v>
      </c>
      <c r="G29" t="s">
        <v>62</v>
      </c>
      <c r="I29" t="s">
        <v>63</v>
      </c>
      <c r="J29">
        <v>11.2214</v>
      </c>
      <c r="M29" t="s">
        <v>64</v>
      </c>
      <c r="O29">
        <v>110</v>
      </c>
      <c r="P29" t="s">
        <v>65</v>
      </c>
      <c r="Q29" t="str">
        <f>VLOOKUP(C29,型号!A:C,3,0)</f>
        <v>BM2460</v>
      </c>
      <c r="R29">
        <f>_xlfn.XLOOKUP(Q29,PO!A:A,PO!D:D,1,0)</f>
        <v>11.2214</v>
      </c>
      <c r="S29" s="6">
        <f t="shared" si="0"/>
        <v>0</v>
      </c>
    </row>
    <row r="30" spans="1:19">
      <c r="A30" t="s">
        <v>57</v>
      </c>
      <c r="B30" t="s">
        <v>58</v>
      </c>
      <c r="C30" t="s">
        <v>120</v>
      </c>
      <c r="D30" t="s">
        <v>121</v>
      </c>
      <c r="E30" t="s">
        <v>61</v>
      </c>
      <c r="G30" t="s">
        <v>62</v>
      </c>
      <c r="I30" t="s">
        <v>63</v>
      </c>
      <c r="J30">
        <v>250.5673</v>
      </c>
      <c r="M30" t="s">
        <v>64</v>
      </c>
      <c r="O30">
        <v>110</v>
      </c>
      <c r="P30" t="s">
        <v>65</v>
      </c>
      <c r="Q30" t="str">
        <f>VLOOKUP(C30,型号!A:C,3,0)</f>
        <v>BM2280</v>
      </c>
      <c r="R30">
        <f>_xlfn.XLOOKUP(Q30,PO!A:A,PO!D:D,1,0)</f>
        <v>250.5673</v>
      </c>
      <c r="S30" s="6">
        <f t="shared" si="0"/>
        <v>0</v>
      </c>
    </row>
    <row r="31" spans="1:19">
      <c r="A31" t="s">
        <v>57</v>
      </c>
      <c r="B31" t="s">
        <v>58</v>
      </c>
      <c r="C31" t="s">
        <v>122</v>
      </c>
      <c r="D31" t="s">
        <v>123</v>
      </c>
      <c r="E31" t="s">
        <v>61</v>
      </c>
      <c r="G31" t="s">
        <v>62</v>
      </c>
      <c r="I31" t="s">
        <v>63</v>
      </c>
      <c r="J31">
        <v>12.745</v>
      </c>
      <c r="M31" t="s">
        <v>64</v>
      </c>
      <c r="O31">
        <v>110</v>
      </c>
      <c r="P31" t="s">
        <v>65</v>
      </c>
      <c r="Q31" t="str">
        <f>VLOOKUP(C31,型号!A:C,3,0)</f>
        <v>BM1491</v>
      </c>
      <c r="R31">
        <f>_xlfn.XLOOKUP(Q31,PO!A:A,PO!D:D,1,0)</f>
        <v>12.745</v>
      </c>
      <c r="S31" s="6">
        <f t="shared" si="0"/>
        <v>0</v>
      </c>
    </row>
    <row r="32" spans="1:19">
      <c r="A32" t="s">
        <v>57</v>
      </c>
      <c r="B32" t="s">
        <v>58</v>
      </c>
      <c r="C32" t="s">
        <v>124</v>
      </c>
      <c r="D32" t="s">
        <v>125</v>
      </c>
      <c r="E32" t="s">
        <v>61</v>
      </c>
      <c r="G32" t="s">
        <v>62</v>
      </c>
      <c r="I32" t="s">
        <v>63</v>
      </c>
      <c r="J32" s="8">
        <v>8.4438</v>
      </c>
      <c r="M32" t="s">
        <v>64</v>
      </c>
      <c r="O32">
        <v>110</v>
      </c>
      <c r="P32" t="s">
        <v>65</v>
      </c>
      <c r="Q32" t="str">
        <f>VLOOKUP(C32,型号!A:C,3,0)</f>
        <v>BM1370</v>
      </c>
      <c r="R32" s="9">
        <f>_xlfn.XLOOKUP(Q32,PO!A:A,PO!D:D,1,0)</f>
        <v>8.4438</v>
      </c>
      <c r="S32" s="6">
        <f t="shared" si="0"/>
        <v>0</v>
      </c>
    </row>
    <row r="33" spans="1:19">
      <c r="A33" t="s">
        <v>57</v>
      </c>
      <c r="B33" t="s">
        <v>58</v>
      </c>
      <c r="C33" t="s">
        <v>126</v>
      </c>
      <c r="D33" t="s">
        <v>127</v>
      </c>
      <c r="E33" t="s">
        <v>61</v>
      </c>
      <c r="G33" t="s">
        <v>62</v>
      </c>
      <c r="I33" t="s">
        <v>63</v>
      </c>
      <c r="J33">
        <v>31.8244</v>
      </c>
      <c r="M33" t="s">
        <v>64</v>
      </c>
      <c r="O33">
        <v>110</v>
      </c>
      <c r="P33" t="s">
        <v>65</v>
      </c>
      <c r="Q33" t="str">
        <f>VLOOKUP(C33,型号!A:C,3,0)</f>
        <v>BM1372</v>
      </c>
      <c r="R33">
        <f>_xlfn.XLOOKUP(Q33,PO!A:A,PO!D:D,1,0)</f>
        <v>31.8244</v>
      </c>
      <c r="S33" s="6">
        <f t="shared" si="0"/>
        <v>0</v>
      </c>
    </row>
    <row r="34" spans="1:19">
      <c r="A34" t="s">
        <v>57</v>
      </c>
      <c r="B34" t="s">
        <v>58</v>
      </c>
      <c r="C34" t="s">
        <v>128</v>
      </c>
      <c r="D34" t="s">
        <v>129</v>
      </c>
      <c r="E34" t="s">
        <v>61</v>
      </c>
      <c r="G34" t="s">
        <v>62</v>
      </c>
      <c r="I34" t="s">
        <v>63</v>
      </c>
      <c r="J34">
        <v>31.8244</v>
      </c>
      <c r="M34" t="s">
        <v>64</v>
      </c>
      <c r="O34">
        <v>110</v>
      </c>
      <c r="P34" t="s">
        <v>65</v>
      </c>
      <c r="Q34" t="str">
        <f>VLOOKUP(C34,型号!A:C,3,0)</f>
        <v>BM1372</v>
      </c>
      <c r="R34">
        <f>_xlfn.XLOOKUP(Q34,PO!A:A,PO!D:D,1,0)</f>
        <v>31.8244</v>
      </c>
      <c r="S34" s="6">
        <f t="shared" si="0"/>
        <v>0</v>
      </c>
    </row>
    <row r="35" spans="1:19">
      <c r="A35" t="s">
        <v>57</v>
      </c>
      <c r="B35" t="s">
        <v>58</v>
      </c>
      <c r="C35" t="s">
        <v>130</v>
      </c>
      <c r="D35" t="s">
        <v>131</v>
      </c>
      <c r="E35" t="s">
        <v>61</v>
      </c>
      <c r="G35" t="s">
        <v>62</v>
      </c>
      <c r="I35" t="s">
        <v>63</v>
      </c>
      <c r="J35">
        <v>7.8846</v>
      </c>
      <c r="M35" t="s">
        <v>64</v>
      </c>
      <c r="O35">
        <v>110</v>
      </c>
      <c r="P35" t="s">
        <v>65</v>
      </c>
      <c r="Q35" t="str">
        <f>VLOOKUP(C35,型号!A:C,3,0)</f>
        <v>BM2384</v>
      </c>
      <c r="R35">
        <f>_xlfn.XLOOKUP(Q35,PO!A:A,PO!D:D,1,0)</f>
        <v>7.8846</v>
      </c>
      <c r="S35" s="6">
        <f t="shared" si="0"/>
        <v>0</v>
      </c>
    </row>
    <row r="36" spans="1:19">
      <c r="A36" t="s">
        <v>57</v>
      </c>
      <c r="B36" t="s">
        <v>58</v>
      </c>
      <c r="C36" t="s">
        <v>132</v>
      </c>
      <c r="D36" t="s">
        <v>133</v>
      </c>
      <c r="E36" t="s">
        <v>61</v>
      </c>
      <c r="G36" t="s">
        <v>62</v>
      </c>
      <c r="I36" t="s">
        <v>63</v>
      </c>
      <c r="J36" s="8">
        <v>8.4438</v>
      </c>
      <c r="M36" t="s">
        <v>64</v>
      </c>
      <c r="O36">
        <v>110</v>
      </c>
      <c r="P36" t="s">
        <v>65</v>
      </c>
      <c r="Q36" t="str">
        <f>VLOOKUP(C36,型号!A:C,3,0)</f>
        <v>BM1370</v>
      </c>
      <c r="R36" s="9">
        <f>_xlfn.XLOOKUP(Q36,PO!A:A,PO!D:D,1,0)</f>
        <v>8.4438</v>
      </c>
      <c r="S36" s="6">
        <f t="shared" si="0"/>
        <v>0</v>
      </c>
    </row>
    <row r="37" s="5" customFormat="1" spans="1:19">
      <c r="A37" s="5" t="s">
        <v>57</v>
      </c>
      <c r="B37" s="5" t="s">
        <v>58</v>
      </c>
      <c r="C37" s="5" t="s">
        <v>134</v>
      </c>
      <c r="D37" s="5" t="s">
        <v>135</v>
      </c>
      <c r="E37" s="5" t="s">
        <v>61</v>
      </c>
      <c r="G37" s="5" t="s">
        <v>62</v>
      </c>
      <c r="I37" s="5" t="s">
        <v>63</v>
      </c>
      <c r="J37" s="8">
        <v>8.4438</v>
      </c>
      <c r="M37" s="5" t="s">
        <v>64</v>
      </c>
      <c r="O37" s="5">
        <v>110</v>
      </c>
      <c r="P37" s="5" t="s">
        <v>65</v>
      </c>
      <c r="Q37" s="5" t="str">
        <f>VLOOKUP(C37,型号!A:C,3,0)</f>
        <v>BM1370</v>
      </c>
      <c r="R37" s="10">
        <f>_xlfn.XLOOKUP(Q37,PO!A:A,PO!D:D,1,0)</f>
        <v>8.4438</v>
      </c>
      <c r="S37" s="11">
        <f t="shared" si="0"/>
        <v>0</v>
      </c>
    </row>
  </sheetData>
  <autoFilter xmlns:etc="http://www.wps.cn/officeDocument/2017/etCustomData" ref="A1:S3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1" sqref="F21"/>
    </sheetView>
  </sheetViews>
  <sheetFormatPr defaultColWidth="9" defaultRowHeight="14"/>
  <sheetData>
    <row r="1" spans="1:1">
      <c r="A1" s="4" t="s">
        <v>136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S35"/>
  <sheetViews>
    <sheetView workbookViewId="0">
      <pane ySplit="2" topLeftCell="A3" activePane="bottomLeft" state="frozen"/>
      <selection/>
      <selection pane="bottomLeft" activeCell="S43" sqref="S43"/>
    </sheetView>
  </sheetViews>
  <sheetFormatPr defaultColWidth="8.66666666666667" defaultRowHeight="14"/>
  <cols>
    <col min="4" max="4" width="11.75" customWidth="1"/>
    <col min="5" max="10" width="8.66666666666667" customWidth="1"/>
    <col min="11" max="15" width="8.66666666666667" hidden="1" customWidth="1"/>
    <col min="16" max="16" width="5.41666666666667" hidden="1" customWidth="1"/>
    <col min="18" max="18" width="9.41666666666667"/>
    <col min="19" max="19" width="10.5"/>
  </cols>
  <sheetData>
    <row r="2" spans="1:19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s="1" t="s">
        <v>137</v>
      </c>
    </row>
    <row r="3" hidden="1" spans="1:19">
      <c r="A3" t="s">
        <v>57</v>
      </c>
      <c r="B3" t="s">
        <v>58</v>
      </c>
      <c r="C3" t="s">
        <v>59</v>
      </c>
      <c r="D3" t="s">
        <v>60</v>
      </c>
      <c r="E3" t="s">
        <v>61</v>
      </c>
      <c r="G3" t="s">
        <v>62</v>
      </c>
      <c r="I3" t="s">
        <v>63</v>
      </c>
      <c r="J3">
        <v>4.3874</v>
      </c>
      <c r="M3" t="s">
        <v>138</v>
      </c>
      <c r="O3">
        <v>220</v>
      </c>
      <c r="P3" t="s">
        <v>65</v>
      </c>
      <c r="Q3" t="s">
        <v>10</v>
      </c>
      <c r="R3">
        <v>4.382</v>
      </c>
      <c r="S3">
        <f>J3-R3</f>
        <v>0.00540000000000074</v>
      </c>
    </row>
    <row r="4" hidden="1" spans="1:19">
      <c r="A4" t="s">
        <v>57</v>
      </c>
      <c r="B4" t="s">
        <v>58</v>
      </c>
      <c r="C4" t="s">
        <v>66</v>
      </c>
      <c r="D4" t="s">
        <v>67</v>
      </c>
      <c r="E4" t="s">
        <v>61</v>
      </c>
      <c r="G4" t="s">
        <v>62</v>
      </c>
      <c r="I4" t="s">
        <v>63</v>
      </c>
      <c r="J4">
        <v>4.3874</v>
      </c>
      <c r="M4" t="s">
        <v>138</v>
      </c>
      <c r="O4">
        <v>220</v>
      </c>
      <c r="P4" t="s">
        <v>65</v>
      </c>
      <c r="Q4" t="s">
        <v>10</v>
      </c>
      <c r="R4">
        <v>4.382</v>
      </c>
      <c r="S4">
        <f t="shared" ref="S4:S35" si="0">J4-R4</f>
        <v>0.00540000000000074</v>
      </c>
    </row>
    <row r="5" hidden="1" spans="1:19">
      <c r="A5" t="s">
        <v>57</v>
      </c>
      <c r="B5" t="s">
        <v>58</v>
      </c>
      <c r="C5" t="s">
        <v>68</v>
      </c>
      <c r="D5" t="s">
        <v>69</v>
      </c>
      <c r="E5" t="s">
        <v>61</v>
      </c>
      <c r="G5" t="s">
        <v>62</v>
      </c>
      <c r="I5" t="s">
        <v>63</v>
      </c>
      <c r="J5">
        <v>5.4206</v>
      </c>
      <c r="M5" t="s">
        <v>138</v>
      </c>
      <c r="O5">
        <v>220</v>
      </c>
      <c r="P5" t="s">
        <v>65</v>
      </c>
      <c r="Q5" t="s">
        <v>11</v>
      </c>
      <c r="R5">
        <v>5.4151</v>
      </c>
      <c r="S5">
        <f t="shared" si="0"/>
        <v>0.0055000000000005</v>
      </c>
    </row>
    <row r="6" hidden="1" spans="1:19">
      <c r="A6" t="s">
        <v>57</v>
      </c>
      <c r="B6" t="s">
        <v>58</v>
      </c>
      <c r="C6" t="s">
        <v>70</v>
      </c>
      <c r="D6" t="s">
        <v>71</v>
      </c>
      <c r="E6" t="s">
        <v>61</v>
      </c>
      <c r="G6" t="s">
        <v>62</v>
      </c>
      <c r="I6" t="s">
        <v>63</v>
      </c>
      <c r="J6">
        <v>2.2925</v>
      </c>
      <c r="M6" t="s">
        <v>138</v>
      </c>
      <c r="O6">
        <v>220</v>
      </c>
      <c r="P6" t="s">
        <v>65</v>
      </c>
      <c r="Q6" t="s">
        <v>25</v>
      </c>
      <c r="R6">
        <v>2.2925</v>
      </c>
      <c r="S6">
        <f t="shared" si="0"/>
        <v>0</v>
      </c>
    </row>
    <row r="7" hidden="1" spans="1:19">
      <c r="A7" t="s">
        <v>57</v>
      </c>
      <c r="B7" t="s">
        <v>58</v>
      </c>
      <c r="C7" t="s">
        <v>72</v>
      </c>
      <c r="D7" t="s">
        <v>73</v>
      </c>
      <c r="E7" t="s">
        <v>61</v>
      </c>
      <c r="G7" t="s">
        <v>62</v>
      </c>
      <c r="I7" t="s">
        <v>63</v>
      </c>
      <c r="J7">
        <v>3.4623</v>
      </c>
      <c r="M7" t="s">
        <v>138</v>
      </c>
      <c r="O7">
        <v>220</v>
      </c>
      <c r="P7" t="s">
        <v>65</v>
      </c>
      <c r="Q7" t="s">
        <v>16</v>
      </c>
      <c r="R7">
        <v>3.4623</v>
      </c>
      <c r="S7">
        <f t="shared" si="0"/>
        <v>0</v>
      </c>
    </row>
    <row r="8" hidden="1" spans="1:19">
      <c r="A8" t="s">
        <v>57</v>
      </c>
      <c r="B8" t="s">
        <v>58</v>
      </c>
      <c r="C8" t="s">
        <v>74</v>
      </c>
      <c r="D8" t="s">
        <v>75</v>
      </c>
      <c r="E8" t="s">
        <v>61</v>
      </c>
      <c r="G8" t="s">
        <v>62</v>
      </c>
      <c r="I8" t="s">
        <v>63</v>
      </c>
      <c r="J8">
        <v>4.0649</v>
      </c>
      <c r="M8" t="s">
        <v>138</v>
      </c>
      <c r="O8">
        <v>220</v>
      </c>
      <c r="P8" t="s">
        <v>65</v>
      </c>
      <c r="Q8" t="s">
        <v>15</v>
      </c>
      <c r="R8">
        <v>4.0649</v>
      </c>
      <c r="S8">
        <f t="shared" si="0"/>
        <v>0</v>
      </c>
    </row>
    <row r="9" hidden="1" spans="1:19">
      <c r="A9" t="s">
        <v>57</v>
      </c>
      <c r="B9" t="s">
        <v>58</v>
      </c>
      <c r="C9" t="s">
        <v>76</v>
      </c>
      <c r="D9" t="s">
        <v>77</v>
      </c>
      <c r="E9" t="s">
        <v>61</v>
      </c>
      <c r="G9" t="s">
        <v>62</v>
      </c>
      <c r="I9" t="s">
        <v>63</v>
      </c>
      <c r="J9">
        <v>0</v>
      </c>
      <c r="M9" t="s">
        <v>138</v>
      </c>
      <c r="O9">
        <v>220</v>
      </c>
      <c r="P9" t="s">
        <v>65</v>
      </c>
      <c r="Q9" t="s">
        <v>26</v>
      </c>
      <c r="R9">
        <v>8.5278</v>
      </c>
      <c r="S9">
        <f t="shared" si="0"/>
        <v>-8.5278</v>
      </c>
    </row>
    <row r="10" hidden="1" spans="1:19">
      <c r="A10" t="s">
        <v>57</v>
      </c>
      <c r="B10" t="s">
        <v>58</v>
      </c>
      <c r="C10" t="s">
        <v>78</v>
      </c>
      <c r="D10" t="s">
        <v>79</v>
      </c>
      <c r="E10" t="s">
        <v>61</v>
      </c>
      <c r="G10" t="s">
        <v>62</v>
      </c>
      <c r="I10" t="s">
        <v>63</v>
      </c>
      <c r="J10">
        <v>4.0649</v>
      </c>
      <c r="M10" t="s">
        <v>138</v>
      </c>
      <c r="O10">
        <v>220</v>
      </c>
      <c r="P10" t="s">
        <v>65</v>
      </c>
      <c r="Q10" t="s">
        <v>15</v>
      </c>
      <c r="R10">
        <v>4.0649</v>
      </c>
      <c r="S10">
        <f t="shared" si="0"/>
        <v>0</v>
      </c>
    </row>
    <row r="11" spans="1:19">
      <c r="A11" t="s">
        <v>57</v>
      </c>
      <c r="B11" t="s">
        <v>58</v>
      </c>
      <c r="C11" t="s">
        <v>80</v>
      </c>
      <c r="D11" t="s">
        <v>81</v>
      </c>
      <c r="E11" t="s">
        <v>61</v>
      </c>
      <c r="G11" t="s">
        <v>62</v>
      </c>
      <c r="I11" t="s">
        <v>63</v>
      </c>
      <c r="J11">
        <v>8.5529</v>
      </c>
      <c r="M11" t="s">
        <v>138</v>
      </c>
      <c r="O11">
        <v>220</v>
      </c>
      <c r="P11" t="s">
        <v>65</v>
      </c>
      <c r="Q11" t="s">
        <v>26</v>
      </c>
      <c r="R11">
        <v>8.5278</v>
      </c>
      <c r="S11">
        <f t="shared" si="0"/>
        <v>0.0251000000000001</v>
      </c>
    </row>
    <row r="12" hidden="1" spans="1:19">
      <c r="A12" t="s">
        <v>57</v>
      </c>
      <c r="B12" t="s">
        <v>58</v>
      </c>
      <c r="C12" t="s">
        <v>82</v>
      </c>
      <c r="D12" t="s">
        <v>83</v>
      </c>
      <c r="E12" t="s">
        <v>61</v>
      </c>
      <c r="G12" t="s">
        <v>62</v>
      </c>
      <c r="I12" t="s">
        <v>63</v>
      </c>
      <c r="J12">
        <v>5033.56</v>
      </c>
      <c r="M12" t="s">
        <v>138</v>
      </c>
      <c r="O12">
        <v>220</v>
      </c>
      <c r="P12" t="s">
        <v>65</v>
      </c>
      <c r="Q12" t="s">
        <v>139</v>
      </c>
      <c r="R12">
        <v>0</v>
      </c>
      <c r="S12">
        <f t="shared" si="0"/>
        <v>5033.56</v>
      </c>
    </row>
    <row r="13" hidden="1" spans="1:19">
      <c r="A13" t="s">
        <v>57</v>
      </c>
      <c r="B13" t="s">
        <v>58</v>
      </c>
      <c r="C13" t="s">
        <v>84</v>
      </c>
      <c r="D13" t="s">
        <v>85</v>
      </c>
      <c r="E13" t="s">
        <v>61</v>
      </c>
      <c r="G13" t="s">
        <v>62</v>
      </c>
      <c r="I13" t="s">
        <v>63</v>
      </c>
      <c r="J13">
        <v>5033.56</v>
      </c>
      <c r="M13" t="s">
        <v>138</v>
      </c>
      <c r="O13">
        <v>220</v>
      </c>
      <c r="P13" t="s">
        <v>65</v>
      </c>
      <c r="Q13" t="s">
        <v>139</v>
      </c>
      <c r="R13">
        <v>0</v>
      </c>
      <c r="S13">
        <f t="shared" si="0"/>
        <v>5033.56</v>
      </c>
    </row>
    <row r="14" hidden="1" spans="1:19">
      <c r="A14" t="s">
        <v>57</v>
      </c>
      <c r="B14" t="s">
        <v>58</v>
      </c>
      <c r="C14" t="s">
        <v>86</v>
      </c>
      <c r="D14" t="s">
        <v>87</v>
      </c>
      <c r="E14" t="s">
        <v>61</v>
      </c>
      <c r="G14" t="s">
        <v>62</v>
      </c>
      <c r="I14" t="s">
        <v>63</v>
      </c>
      <c r="J14">
        <v>1500</v>
      </c>
      <c r="M14" t="s">
        <v>138</v>
      </c>
      <c r="O14">
        <v>220</v>
      </c>
      <c r="P14" t="s">
        <v>65</v>
      </c>
      <c r="Q14" t="s">
        <v>139</v>
      </c>
      <c r="R14">
        <v>0</v>
      </c>
      <c r="S14">
        <f t="shared" si="0"/>
        <v>1500</v>
      </c>
    </row>
    <row r="15" hidden="1" spans="1:19">
      <c r="A15" t="s">
        <v>57</v>
      </c>
      <c r="B15" t="s">
        <v>58</v>
      </c>
      <c r="C15" t="s">
        <v>88</v>
      </c>
      <c r="D15" t="s">
        <v>89</v>
      </c>
      <c r="E15" t="s">
        <v>61</v>
      </c>
      <c r="G15" t="s">
        <v>62</v>
      </c>
      <c r="I15" t="s">
        <v>63</v>
      </c>
      <c r="J15">
        <v>4.3874</v>
      </c>
      <c r="M15" t="s">
        <v>138</v>
      </c>
      <c r="O15">
        <v>220</v>
      </c>
      <c r="P15" t="s">
        <v>65</v>
      </c>
      <c r="Q15" t="s">
        <v>10</v>
      </c>
      <c r="R15">
        <v>4.382</v>
      </c>
      <c r="S15">
        <f t="shared" si="0"/>
        <v>0.00540000000000074</v>
      </c>
    </row>
    <row r="16" hidden="1" spans="1:19">
      <c r="A16" t="s">
        <v>57</v>
      </c>
      <c r="B16" t="s">
        <v>58</v>
      </c>
      <c r="C16" t="s">
        <v>90</v>
      </c>
      <c r="D16" t="s">
        <v>91</v>
      </c>
      <c r="E16" t="s">
        <v>61</v>
      </c>
      <c r="G16" t="s">
        <v>62</v>
      </c>
      <c r="I16" t="s">
        <v>63</v>
      </c>
      <c r="J16">
        <v>8.5529</v>
      </c>
      <c r="M16" t="s">
        <v>138</v>
      </c>
      <c r="O16">
        <v>220</v>
      </c>
      <c r="P16" t="s">
        <v>65</v>
      </c>
      <c r="Q16" t="s">
        <v>26</v>
      </c>
      <c r="R16">
        <v>8.5278</v>
      </c>
      <c r="S16">
        <f t="shared" si="0"/>
        <v>0.0251000000000001</v>
      </c>
    </row>
    <row r="17" hidden="1" spans="1:19">
      <c r="A17" t="s">
        <v>57</v>
      </c>
      <c r="B17" t="s">
        <v>58</v>
      </c>
      <c r="C17" t="s">
        <v>92</v>
      </c>
      <c r="D17" t="s">
        <v>93</v>
      </c>
      <c r="E17" t="s">
        <v>61</v>
      </c>
      <c r="G17" t="s">
        <v>62</v>
      </c>
      <c r="I17" t="s">
        <v>63</v>
      </c>
      <c r="J17">
        <v>5.7392</v>
      </c>
      <c r="M17" t="s">
        <v>138</v>
      </c>
      <c r="O17">
        <v>220</v>
      </c>
      <c r="P17" t="s">
        <v>65</v>
      </c>
      <c r="Q17" t="s">
        <v>14</v>
      </c>
      <c r="R17">
        <v>5.7392</v>
      </c>
      <c r="S17">
        <f t="shared" si="0"/>
        <v>0</v>
      </c>
    </row>
    <row r="18" hidden="1" spans="1:19">
      <c r="A18" t="s">
        <v>57</v>
      </c>
      <c r="B18" t="s">
        <v>58</v>
      </c>
      <c r="C18" t="s">
        <v>94</v>
      </c>
      <c r="D18" t="s">
        <v>95</v>
      </c>
      <c r="E18" t="s">
        <v>61</v>
      </c>
      <c r="G18" t="s">
        <v>62</v>
      </c>
      <c r="I18" t="s">
        <v>63</v>
      </c>
      <c r="J18">
        <v>4.0649</v>
      </c>
      <c r="M18" t="s">
        <v>138</v>
      </c>
      <c r="O18">
        <v>220</v>
      </c>
      <c r="P18" t="s">
        <v>65</v>
      </c>
      <c r="Q18" t="s">
        <v>15</v>
      </c>
      <c r="R18">
        <v>4.0649</v>
      </c>
      <c r="S18">
        <f t="shared" si="0"/>
        <v>0</v>
      </c>
    </row>
    <row r="19" hidden="1" spans="1:19">
      <c r="A19" t="s">
        <v>57</v>
      </c>
      <c r="B19" t="s">
        <v>58</v>
      </c>
      <c r="C19" t="s">
        <v>96</v>
      </c>
      <c r="D19" t="s">
        <v>97</v>
      </c>
      <c r="E19" t="s">
        <v>61</v>
      </c>
      <c r="G19" t="s">
        <v>62</v>
      </c>
      <c r="I19" t="s">
        <v>63</v>
      </c>
      <c r="J19">
        <v>3.4623</v>
      </c>
      <c r="M19" t="s">
        <v>138</v>
      </c>
      <c r="O19">
        <v>220</v>
      </c>
      <c r="P19" t="s">
        <v>65</v>
      </c>
      <c r="Q19" t="s">
        <v>16</v>
      </c>
      <c r="R19">
        <v>3.4623</v>
      </c>
      <c r="S19">
        <f t="shared" si="0"/>
        <v>0</v>
      </c>
    </row>
    <row r="20" hidden="1" spans="1:19">
      <c r="A20" t="s">
        <v>57</v>
      </c>
      <c r="B20" t="s">
        <v>58</v>
      </c>
      <c r="C20" t="s">
        <v>98</v>
      </c>
      <c r="D20" t="s">
        <v>99</v>
      </c>
      <c r="E20" t="s">
        <v>61</v>
      </c>
      <c r="G20" t="s">
        <v>62</v>
      </c>
      <c r="I20" t="s">
        <v>63</v>
      </c>
      <c r="J20">
        <v>3.4623</v>
      </c>
      <c r="M20" t="s">
        <v>138</v>
      </c>
      <c r="O20">
        <v>220</v>
      </c>
      <c r="P20" t="s">
        <v>65</v>
      </c>
      <c r="Q20" t="s">
        <v>16</v>
      </c>
      <c r="R20">
        <v>3.4623</v>
      </c>
      <c r="S20">
        <f t="shared" si="0"/>
        <v>0</v>
      </c>
    </row>
    <row r="21" hidden="1" spans="1:19">
      <c r="A21" t="s">
        <v>57</v>
      </c>
      <c r="B21" t="s">
        <v>58</v>
      </c>
      <c r="C21" t="s">
        <v>100</v>
      </c>
      <c r="D21" t="s">
        <v>101</v>
      </c>
      <c r="E21" t="s">
        <v>61</v>
      </c>
      <c r="G21" t="s">
        <v>62</v>
      </c>
      <c r="I21" t="s">
        <v>63</v>
      </c>
      <c r="J21">
        <v>4.3874</v>
      </c>
      <c r="M21" t="s">
        <v>138</v>
      </c>
      <c r="O21">
        <v>220</v>
      </c>
      <c r="P21" t="s">
        <v>65</v>
      </c>
      <c r="Q21" t="s">
        <v>10</v>
      </c>
      <c r="R21">
        <v>4.382</v>
      </c>
      <c r="S21">
        <f t="shared" si="0"/>
        <v>0.00540000000000074</v>
      </c>
    </row>
    <row r="22" hidden="1" spans="1:19">
      <c r="A22" t="s">
        <v>57</v>
      </c>
      <c r="B22" t="s">
        <v>58</v>
      </c>
      <c r="C22" t="s">
        <v>102</v>
      </c>
      <c r="D22" t="s">
        <v>103</v>
      </c>
      <c r="E22" t="s">
        <v>61</v>
      </c>
      <c r="G22" t="s">
        <v>62</v>
      </c>
      <c r="I22" t="s">
        <v>63</v>
      </c>
      <c r="J22">
        <v>2.9793</v>
      </c>
      <c r="M22" t="s">
        <v>138</v>
      </c>
      <c r="O22">
        <v>220</v>
      </c>
      <c r="P22" t="s">
        <v>65</v>
      </c>
      <c r="Q22" t="s">
        <v>27</v>
      </c>
      <c r="R22">
        <v>2.9899</v>
      </c>
      <c r="S22">
        <f t="shared" si="0"/>
        <v>-0.0106000000000002</v>
      </c>
    </row>
    <row r="23" hidden="1" spans="1:19">
      <c r="A23" t="s">
        <v>57</v>
      </c>
      <c r="B23" t="s">
        <v>58</v>
      </c>
      <c r="C23" t="s">
        <v>104</v>
      </c>
      <c r="D23" t="s">
        <v>105</v>
      </c>
      <c r="E23" t="s">
        <v>61</v>
      </c>
      <c r="G23" t="s">
        <v>62</v>
      </c>
      <c r="I23" t="s">
        <v>63</v>
      </c>
      <c r="J23">
        <v>8.5529</v>
      </c>
      <c r="M23" t="s">
        <v>138</v>
      </c>
      <c r="O23">
        <v>220</v>
      </c>
      <c r="P23" t="s">
        <v>65</v>
      </c>
      <c r="Q23" t="s">
        <v>26</v>
      </c>
      <c r="R23">
        <v>8.5278</v>
      </c>
      <c r="S23">
        <f t="shared" si="0"/>
        <v>0.0251000000000001</v>
      </c>
    </row>
    <row r="24" hidden="1" spans="1:19">
      <c r="A24" t="s">
        <v>57</v>
      </c>
      <c r="B24" t="s">
        <v>58</v>
      </c>
      <c r="C24" t="s">
        <v>106</v>
      </c>
      <c r="D24" t="s">
        <v>107</v>
      </c>
      <c r="E24" t="s">
        <v>61</v>
      </c>
      <c r="G24" t="s">
        <v>62</v>
      </c>
      <c r="I24" t="s">
        <v>63</v>
      </c>
      <c r="J24">
        <v>8.5529</v>
      </c>
      <c r="M24" t="s">
        <v>138</v>
      </c>
      <c r="O24">
        <v>220</v>
      </c>
      <c r="P24" t="s">
        <v>65</v>
      </c>
      <c r="Q24" t="s">
        <v>26</v>
      </c>
      <c r="R24">
        <v>8.5278</v>
      </c>
      <c r="S24">
        <f t="shared" si="0"/>
        <v>0.0251000000000001</v>
      </c>
    </row>
    <row r="25" hidden="1" spans="1:19">
      <c r="A25" t="s">
        <v>57</v>
      </c>
      <c r="B25" t="s">
        <v>58</v>
      </c>
      <c r="C25" t="s">
        <v>108</v>
      </c>
      <c r="D25" t="s">
        <v>109</v>
      </c>
      <c r="E25" t="s">
        <v>61</v>
      </c>
      <c r="G25" t="s">
        <v>62</v>
      </c>
      <c r="I25" t="s">
        <v>63</v>
      </c>
      <c r="J25">
        <v>3.4623</v>
      </c>
      <c r="M25" t="s">
        <v>138</v>
      </c>
      <c r="O25">
        <v>220</v>
      </c>
      <c r="P25" t="s">
        <v>65</v>
      </c>
      <c r="Q25" t="s">
        <v>16</v>
      </c>
      <c r="R25">
        <v>3.4623</v>
      </c>
      <c r="S25">
        <f t="shared" si="0"/>
        <v>0</v>
      </c>
    </row>
    <row r="26" hidden="1" spans="1:19">
      <c r="A26" t="s">
        <v>57</v>
      </c>
      <c r="B26" t="s">
        <v>58</v>
      </c>
      <c r="C26" t="s">
        <v>110</v>
      </c>
      <c r="D26" t="s">
        <v>111</v>
      </c>
      <c r="E26" t="s">
        <v>61</v>
      </c>
      <c r="G26" t="s">
        <v>62</v>
      </c>
      <c r="I26" t="s">
        <v>63</v>
      </c>
      <c r="J26">
        <v>5.4206</v>
      </c>
      <c r="M26" t="s">
        <v>138</v>
      </c>
      <c r="O26">
        <v>220</v>
      </c>
      <c r="P26" t="s">
        <v>65</v>
      </c>
      <c r="Q26" t="s">
        <v>11</v>
      </c>
      <c r="R26">
        <v>5.4151</v>
      </c>
      <c r="S26">
        <f t="shared" si="0"/>
        <v>0.0055000000000005</v>
      </c>
    </row>
    <row r="27" hidden="1" spans="1:19">
      <c r="A27" t="s">
        <v>57</v>
      </c>
      <c r="B27" t="s">
        <v>58</v>
      </c>
      <c r="C27" t="s">
        <v>112</v>
      </c>
      <c r="D27" t="s">
        <v>113</v>
      </c>
      <c r="E27" t="s">
        <v>61</v>
      </c>
      <c r="G27" t="s">
        <v>62</v>
      </c>
      <c r="I27" t="s">
        <v>63</v>
      </c>
      <c r="J27">
        <v>8.5529</v>
      </c>
      <c r="M27" t="s">
        <v>138</v>
      </c>
      <c r="O27">
        <v>220</v>
      </c>
      <c r="P27" t="s">
        <v>65</v>
      </c>
      <c r="Q27" t="s">
        <v>26</v>
      </c>
      <c r="R27">
        <v>8.5278</v>
      </c>
      <c r="S27">
        <f t="shared" si="0"/>
        <v>0.0251000000000001</v>
      </c>
    </row>
    <row r="28" hidden="1" spans="1:19">
      <c r="A28" t="s">
        <v>57</v>
      </c>
      <c r="B28" t="s">
        <v>58</v>
      </c>
      <c r="C28" t="s">
        <v>114</v>
      </c>
      <c r="D28" t="s">
        <v>115</v>
      </c>
      <c r="E28" t="s">
        <v>61</v>
      </c>
      <c r="G28" t="s">
        <v>62</v>
      </c>
      <c r="I28" t="s">
        <v>63</v>
      </c>
      <c r="J28">
        <v>8.5529</v>
      </c>
      <c r="M28" t="s">
        <v>138</v>
      </c>
      <c r="O28">
        <v>220</v>
      </c>
      <c r="P28" t="s">
        <v>65</v>
      </c>
      <c r="Q28" t="s">
        <v>26</v>
      </c>
      <c r="R28">
        <v>8.5278</v>
      </c>
      <c r="S28">
        <f t="shared" si="0"/>
        <v>0.0251000000000001</v>
      </c>
    </row>
    <row r="29" hidden="1" spans="1:19">
      <c r="A29" t="s">
        <v>57</v>
      </c>
      <c r="B29" t="s">
        <v>58</v>
      </c>
      <c r="C29" t="s">
        <v>116</v>
      </c>
      <c r="D29" t="s">
        <v>117</v>
      </c>
      <c r="E29" t="s">
        <v>61</v>
      </c>
      <c r="G29" t="s">
        <v>62</v>
      </c>
      <c r="I29" t="s">
        <v>63</v>
      </c>
      <c r="J29">
        <v>1080.1792</v>
      </c>
      <c r="M29" t="s">
        <v>138</v>
      </c>
      <c r="O29">
        <v>220</v>
      </c>
      <c r="P29" t="s">
        <v>65</v>
      </c>
      <c r="Q29" t="s">
        <v>31</v>
      </c>
      <c r="R29">
        <v>69.0336</v>
      </c>
      <c r="S29">
        <f t="shared" si="0"/>
        <v>1011.1456</v>
      </c>
    </row>
    <row r="30" hidden="1" spans="1:19">
      <c r="A30" t="s">
        <v>57</v>
      </c>
      <c r="B30" t="s">
        <v>58</v>
      </c>
      <c r="C30" t="s">
        <v>118</v>
      </c>
      <c r="D30" t="s">
        <v>119</v>
      </c>
      <c r="E30" t="s">
        <v>61</v>
      </c>
      <c r="G30" t="s">
        <v>62</v>
      </c>
      <c r="I30" t="s">
        <v>63</v>
      </c>
      <c r="J30">
        <v>11.7402</v>
      </c>
      <c r="M30" t="s">
        <v>138</v>
      </c>
      <c r="O30">
        <v>220</v>
      </c>
      <c r="P30" t="s">
        <v>65</v>
      </c>
      <c r="Q30" t="s">
        <v>30</v>
      </c>
      <c r="R30">
        <v>11.2362</v>
      </c>
      <c r="S30">
        <f t="shared" si="0"/>
        <v>0.504</v>
      </c>
    </row>
    <row r="31" hidden="1" spans="1:19">
      <c r="A31" t="s">
        <v>57</v>
      </c>
      <c r="B31" t="s">
        <v>58</v>
      </c>
      <c r="C31" t="s">
        <v>120</v>
      </c>
      <c r="D31" t="s">
        <v>121</v>
      </c>
      <c r="E31" t="s">
        <v>61</v>
      </c>
      <c r="G31" t="s">
        <v>62</v>
      </c>
      <c r="I31" t="s">
        <v>63</v>
      </c>
      <c r="J31">
        <v>250.5673</v>
      </c>
      <c r="M31" t="s">
        <v>138</v>
      </c>
      <c r="O31">
        <v>220</v>
      </c>
      <c r="P31" t="s">
        <v>65</v>
      </c>
      <c r="Q31" t="s">
        <v>22</v>
      </c>
      <c r="R31">
        <v>250.5673</v>
      </c>
      <c r="S31">
        <f t="shared" si="0"/>
        <v>0</v>
      </c>
    </row>
    <row r="32" hidden="1" spans="1:19">
      <c r="A32" t="s">
        <v>57</v>
      </c>
      <c r="B32" t="s">
        <v>58</v>
      </c>
      <c r="C32" t="s">
        <v>122</v>
      </c>
      <c r="D32" t="s">
        <v>123</v>
      </c>
      <c r="E32" t="s">
        <v>61</v>
      </c>
      <c r="G32" t="s">
        <v>62</v>
      </c>
      <c r="I32" t="s">
        <v>63</v>
      </c>
      <c r="J32">
        <v>11.2528</v>
      </c>
      <c r="M32" t="s">
        <v>138</v>
      </c>
      <c r="O32">
        <v>220</v>
      </c>
      <c r="P32" t="s">
        <v>65</v>
      </c>
      <c r="Q32" t="s">
        <v>28</v>
      </c>
      <c r="R32">
        <v>11.213</v>
      </c>
      <c r="S32">
        <f t="shared" si="0"/>
        <v>0.0398000000000014</v>
      </c>
    </row>
    <row r="33" hidden="1" spans="1:19">
      <c r="A33" t="s">
        <v>57</v>
      </c>
      <c r="B33" t="s">
        <v>58</v>
      </c>
      <c r="C33" t="s">
        <v>124</v>
      </c>
      <c r="D33" t="s">
        <v>125</v>
      </c>
      <c r="E33" t="s">
        <v>61</v>
      </c>
      <c r="G33" t="s">
        <v>62</v>
      </c>
      <c r="I33" t="s">
        <v>63</v>
      </c>
      <c r="J33">
        <v>8.5529</v>
      </c>
      <c r="M33" t="s">
        <v>138</v>
      </c>
      <c r="O33">
        <v>220</v>
      </c>
      <c r="P33" t="s">
        <v>65</v>
      </c>
      <c r="Q33" t="s">
        <v>26</v>
      </c>
      <c r="R33">
        <v>8.5278</v>
      </c>
      <c r="S33">
        <f t="shared" si="0"/>
        <v>0.0251000000000001</v>
      </c>
    </row>
    <row r="34" hidden="1" spans="1:19">
      <c r="A34" t="s">
        <v>57</v>
      </c>
      <c r="B34" t="s">
        <v>58</v>
      </c>
      <c r="C34" t="s">
        <v>126</v>
      </c>
      <c r="D34" t="s">
        <v>127</v>
      </c>
      <c r="E34" t="s">
        <v>61</v>
      </c>
      <c r="G34" t="s">
        <v>62</v>
      </c>
      <c r="I34" t="s">
        <v>63</v>
      </c>
      <c r="J34">
        <v>31.5585</v>
      </c>
      <c r="M34" t="s">
        <v>138</v>
      </c>
      <c r="O34">
        <v>220</v>
      </c>
      <c r="P34" t="s">
        <v>65</v>
      </c>
      <c r="Q34" t="s">
        <v>29</v>
      </c>
      <c r="R34">
        <v>31.8244</v>
      </c>
      <c r="S34">
        <f t="shared" si="0"/>
        <v>-0.265900000000002</v>
      </c>
    </row>
    <row r="35" hidden="1" spans="1:19">
      <c r="A35" t="s">
        <v>57</v>
      </c>
      <c r="B35" t="s">
        <v>58</v>
      </c>
      <c r="C35" t="s">
        <v>128</v>
      </c>
      <c r="D35" t="s">
        <v>129</v>
      </c>
      <c r="E35" t="s">
        <v>61</v>
      </c>
      <c r="G35" t="s">
        <v>62</v>
      </c>
      <c r="I35" t="s">
        <v>63</v>
      </c>
      <c r="J35">
        <v>31.5585</v>
      </c>
      <c r="M35" t="s">
        <v>138</v>
      </c>
      <c r="O35">
        <v>220</v>
      </c>
      <c r="P35" t="s">
        <v>65</v>
      </c>
      <c r="Q35" t="e">
        <v>#N/A</v>
      </c>
      <c r="R35">
        <v>0</v>
      </c>
      <c r="S35">
        <f t="shared" si="0"/>
        <v>31.5585</v>
      </c>
    </row>
  </sheetData>
  <autoFilter xmlns:etc="http://www.wps.cn/officeDocument/2017/etCustomData" ref="A2:R35" etc:filterBottomFollowUsedRange="0">
    <filterColumn colId="2">
      <customFilters>
        <customFilter operator="equal" val="Y31010519"/>
      </customFilters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BD20"/>
  <sheetViews>
    <sheetView workbookViewId="0">
      <pane ySplit="2" topLeftCell="A3" activePane="bottomLeft" state="frozen"/>
      <selection/>
      <selection pane="bottomLeft" activeCell="G29" sqref="G29"/>
    </sheetView>
  </sheetViews>
  <sheetFormatPr defaultColWidth="8.66666666666667" defaultRowHeight="14"/>
  <cols>
    <col min="1" max="1" width="11.5833333333333"/>
    <col min="4" max="4" width="15.9166666666667" customWidth="1"/>
    <col min="9" max="9" width="40.6666666666667" customWidth="1"/>
  </cols>
  <sheetData>
    <row r="2" spans="1:56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44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144</v>
      </c>
      <c r="AM2" t="s">
        <v>175</v>
      </c>
      <c r="AN2" t="s">
        <v>176</v>
      </c>
      <c r="AO2" t="s">
        <v>177</v>
      </c>
      <c r="AP2" t="s">
        <v>178</v>
      </c>
      <c r="AQ2" t="s">
        <v>179</v>
      </c>
      <c r="AR2" t="s">
        <v>180</v>
      </c>
      <c r="AS2" t="s">
        <v>181</v>
      </c>
      <c r="AT2" t="s">
        <v>182</v>
      </c>
      <c r="AU2" t="s">
        <v>52</v>
      </c>
      <c r="AV2" t="s">
        <v>53</v>
      </c>
      <c r="AW2" t="s">
        <v>183</v>
      </c>
      <c r="AX2" t="s">
        <v>184</v>
      </c>
      <c r="AY2" t="s">
        <v>185</v>
      </c>
      <c r="AZ2" t="s">
        <v>186</v>
      </c>
      <c r="BA2" t="s">
        <v>187</v>
      </c>
      <c r="BB2" t="s">
        <v>188</v>
      </c>
      <c r="BC2" t="s">
        <v>189</v>
      </c>
      <c r="BD2" t="s">
        <v>190</v>
      </c>
    </row>
    <row r="3" s="1" customFormat="1" spans="1:56">
      <c r="A3" s="1">
        <v>202410100001</v>
      </c>
      <c r="B3" s="1">
        <v>1</v>
      </c>
      <c r="C3" s="1" t="s">
        <v>191</v>
      </c>
      <c r="D3" s="1" t="s">
        <v>80</v>
      </c>
      <c r="F3" s="1">
        <v>8.5278</v>
      </c>
      <c r="G3" s="1">
        <v>0</v>
      </c>
      <c r="H3" s="1" t="s">
        <v>192</v>
      </c>
      <c r="I3" s="1" t="s">
        <v>81</v>
      </c>
      <c r="J3" s="1" t="s">
        <v>193</v>
      </c>
      <c r="K3" s="1" t="e">
        <f>VLOOKUP(D3,#REF!,15,0)</f>
        <v>#REF!</v>
      </c>
      <c r="L3" s="1">
        <v>8.5278</v>
      </c>
      <c r="M3" s="1" t="e">
        <f>VLOOKUP(K3,PO!A:D,4,0)</f>
        <v>#REF!</v>
      </c>
      <c r="N3" s="2" t="e">
        <f>L3-M3</f>
        <v>#REF!</v>
      </c>
      <c r="O3" s="1" t="s">
        <v>194</v>
      </c>
      <c r="P3" s="1" t="s">
        <v>194</v>
      </c>
      <c r="X3" s="1">
        <v>0</v>
      </c>
      <c r="AC3" s="1" t="s">
        <v>195</v>
      </c>
      <c r="BC3" s="1" t="s">
        <v>195</v>
      </c>
      <c r="BD3" s="1" t="s">
        <v>196</v>
      </c>
    </row>
    <row r="4" s="1" customFormat="1" spans="1:56">
      <c r="A4" s="1">
        <v>202410100002</v>
      </c>
      <c r="B4" s="1">
        <v>2</v>
      </c>
      <c r="C4" s="1" t="s">
        <v>191</v>
      </c>
      <c r="D4" s="1" t="s">
        <v>112</v>
      </c>
      <c r="F4" s="1">
        <v>8.5278</v>
      </c>
      <c r="G4" s="1">
        <v>0</v>
      </c>
      <c r="H4" s="1" t="s">
        <v>192</v>
      </c>
      <c r="I4" s="1" t="s">
        <v>113</v>
      </c>
      <c r="J4" s="1" t="s">
        <v>193</v>
      </c>
      <c r="K4" s="1" t="e">
        <f>VLOOKUP(D4,#REF!,15,0)</f>
        <v>#REF!</v>
      </c>
      <c r="L4" s="1">
        <v>8.5278</v>
      </c>
      <c r="M4" s="1" t="e">
        <f>VLOOKUP(K4,PO!A:D,4,0)</f>
        <v>#REF!</v>
      </c>
      <c r="N4" s="2" t="e">
        <f t="shared" ref="N4:N20" si="0">L4-M4</f>
        <v>#REF!</v>
      </c>
      <c r="O4" s="1" t="s">
        <v>194</v>
      </c>
      <c r="P4" s="1" t="s">
        <v>194</v>
      </c>
      <c r="X4" s="1">
        <v>0</v>
      </c>
      <c r="AC4" s="1" t="s">
        <v>195</v>
      </c>
      <c r="BC4" s="1" t="s">
        <v>195</v>
      </c>
      <c r="BD4" s="1" t="s">
        <v>196</v>
      </c>
    </row>
    <row r="5" s="1" customFormat="1" spans="1:56">
      <c r="A5" s="1">
        <v>202410100003</v>
      </c>
      <c r="B5" s="1">
        <v>3</v>
      </c>
      <c r="C5" s="1" t="s">
        <v>191</v>
      </c>
      <c r="D5" s="1" t="s">
        <v>66</v>
      </c>
      <c r="F5" s="1">
        <v>5.4151</v>
      </c>
      <c r="G5" s="1">
        <v>0</v>
      </c>
      <c r="H5" s="1" t="s">
        <v>192</v>
      </c>
      <c r="I5" s="1" t="s">
        <v>67</v>
      </c>
      <c r="J5" s="1" t="s">
        <v>193</v>
      </c>
      <c r="K5" s="1" t="e">
        <f>VLOOKUP(D5,#REF!,15,0)</f>
        <v>#REF!</v>
      </c>
      <c r="L5" s="1">
        <v>5.4151</v>
      </c>
      <c r="M5" s="1" t="e">
        <f>VLOOKUP(K5,PO!A:D,4,0)</f>
        <v>#REF!</v>
      </c>
      <c r="N5" s="2" t="e">
        <f t="shared" si="0"/>
        <v>#REF!</v>
      </c>
      <c r="O5" s="1" t="s">
        <v>194</v>
      </c>
      <c r="P5" s="1" t="s">
        <v>194</v>
      </c>
      <c r="X5" s="1">
        <v>0</v>
      </c>
      <c r="AC5" s="1" t="s">
        <v>195</v>
      </c>
      <c r="BC5" s="1" t="s">
        <v>195</v>
      </c>
      <c r="BD5" s="1" t="s">
        <v>196</v>
      </c>
    </row>
    <row r="6" s="1" customFormat="1" spans="1:56">
      <c r="A6" s="1">
        <v>202410100004</v>
      </c>
      <c r="B6" s="1">
        <v>4</v>
      </c>
      <c r="C6" s="1" t="s">
        <v>191</v>
      </c>
      <c r="D6" s="1" t="s">
        <v>74</v>
      </c>
      <c r="F6" s="1">
        <v>4.0649</v>
      </c>
      <c r="G6" s="1">
        <v>0</v>
      </c>
      <c r="H6" s="1" t="s">
        <v>197</v>
      </c>
      <c r="I6" s="1" t="s">
        <v>75</v>
      </c>
      <c r="J6" s="1" t="s">
        <v>193</v>
      </c>
      <c r="K6" s="1" t="e">
        <f>VLOOKUP(D6,#REF!,15,0)</f>
        <v>#REF!</v>
      </c>
      <c r="L6" s="1">
        <v>4.0649</v>
      </c>
      <c r="M6" s="1" t="e">
        <f>VLOOKUP(K6,PO!A:D,4,0)</f>
        <v>#REF!</v>
      </c>
      <c r="N6" s="2" t="e">
        <f t="shared" si="0"/>
        <v>#REF!</v>
      </c>
      <c r="O6" s="1" t="s">
        <v>194</v>
      </c>
      <c r="P6" s="1" t="s">
        <v>194</v>
      </c>
      <c r="X6" s="1">
        <v>0</v>
      </c>
      <c r="AC6" s="1" t="s">
        <v>195</v>
      </c>
      <c r="BC6" s="1" t="s">
        <v>195</v>
      </c>
      <c r="BD6" s="1" t="s">
        <v>196</v>
      </c>
    </row>
    <row r="7" hidden="1" spans="1:56">
      <c r="A7">
        <v>202410100005</v>
      </c>
      <c r="B7">
        <v>5</v>
      </c>
      <c r="C7" t="s">
        <v>191</v>
      </c>
      <c r="D7" t="s">
        <v>66</v>
      </c>
      <c r="F7">
        <v>4.382</v>
      </c>
      <c r="G7">
        <v>0</v>
      </c>
      <c r="H7" t="s">
        <v>192</v>
      </c>
      <c r="I7" t="s">
        <v>67</v>
      </c>
      <c r="J7" t="s">
        <v>193</v>
      </c>
      <c r="K7" t="e">
        <f>VLOOKUP(D7,#REF!,15,0)</f>
        <v>#REF!</v>
      </c>
      <c r="L7">
        <v>4.382</v>
      </c>
      <c r="M7" t="e">
        <f>VLOOKUP(K7,PO!A:D,4,0)</f>
        <v>#REF!</v>
      </c>
      <c r="N7" s="3" t="e">
        <f t="shared" si="0"/>
        <v>#REF!</v>
      </c>
      <c r="O7" t="s">
        <v>194</v>
      </c>
      <c r="P7" t="s">
        <v>194</v>
      </c>
      <c r="X7">
        <v>0</v>
      </c>
      <c r="AC7" t="s">
        <v>195</v>
      </c>
      <c r="BC7" t="s">
        <v>195</v>
      </c>
      <c r="BD7" t="s">
        <v>196</v>
      </c>
    </row>
    <row r="8" s="1" customFormat="1" spans="1:56">
      <c r="A8" s="1">
        <v>202410100006</v>
      </c>
      <c r="B8" s="1">
        <v>6</v>
      </c>
      <c r="C8" s="1" t="s">
        <v>191</v>
      </c>
      <c r="D8" s="1" t="s">
        <v>124</v>
      </c>
      <c r="F8" s="1">
        <v>8.5278</v>
      </c>
      <c r="G8" s="1">
        <v>0</v>
      </c>
      <c r="H8" s="1" t="s">
        <v>192</v>
      </c>
      <c r="I8" s="1" t="s">
        <v>125</v>
      </c>
      <c r="J8" s="1" t="s">
        <v>193</v>
      </c>
      <c r="K8" s="1" t="e">
        <f>VLOOKUP(D8,#REF!,15,0)</f>
        <v>#REF!</v>
      </c>
      <c r="L8" s="1">
        <v>8.5278</v>
      </c>
      <c r="M8" s="1" t="e">
        <f>VLOOKUP(K8,PO!A:D,4,0)</f>
        <v>#REF!</v>
      </c>
      <c r="N8" s="2" t="e">
        <f t="shared" si="0"/>
        <v>#REF!</v>
      </c>
      <c r="O8" s="1" t="s">
        <v>194</v>
      </c>
      <c r="P8" s="1" t="s">
        <v>194</v>
      </c>
      <c r="X8" s="1">
        <v>0</v>
      </c>
      <c r="AC8" s="1" t="s">
        <v>195</v>
      </c>
      <c r="BC8" s="1" t="s">
        <v>195</v>
      </c>
      <c r="BD8" s="1" t="s">
        <v>196</v>
      </c>
    </row>
    <row r="9" s="1" customFormat="1" spans="1:56">
      <c r="A9" s="1">
        <v>202410100007</v>
      </c>
      <c r="B9" s="1">
        <v>7</v>
      </c>
      <c r="C9" s="1" t="s">
        <v>191</v>
      </c>
      <c r="D9" s="1" t="s">
        <v>80</v>
      </c>
      <c r="F9" s="1">
        <v>8.5278</v>
      </c>
      <c r="G9" s="1">
        <v>0</v>
      </c>
      <c r="H9" s="1" t="s">
        <v>192</v>
      </c>
      <c r="I9" s="1" t="s">
        <v>81</v>
      </c>
      <c r="J9" s="1" t="s">
        <v>193</v>
      </c>
      <c r="K9" s="1" t="e">
        <f>VLOOKUP(D9,#REF!,15,0)</f>
        <v>#REF!</v>
      </c>
      <c r="L9" s="1">
        <v>8.5278</v>
      </c>
      <c r="M9" s="1" t="e">
        <f>VLOOKUP(K9,PO!A:D,4,0)</f>
        <v>#REF!</v>
      </c>
      <c r="N9" s="2" t="e">
        <f t="shared" si="0"/>
        <v>#REF!</v>
      </c>
      <c r="O9" s="1" t="s">
        <v>194</v>
      </c>
      <c r="P9" s="1" t="s">
        <v>194</v>
      </c>
      <c r="X9" s="1">
        <v>0</v>
      </c>
      <c r="AC9" s="1" t="s">
        <v>195</v>
      </c>
      <c r="BC9" s="1" t="s">
        <v>195</v>
      </c>
      <c r="BD9" s="1" t="s">
        <v>196</v>
      </c>
    </row>
    <row r="10" s="1" customFormat="1" spans="1:56">
      <c r="A10" s="1">
        <v>202410100008</v>
      </c>
      <c r="B10" s="1">
        <v>8</v>
      </c>
      <c r="C10" s="1" t="s">
        <v>191</v>
      </c>
      <c r="D10" s="1" t="s">
        <v>112</v>
      </c>
      <c r="F10" s="1">
        <v>8.5278</v>
      </c>
      <c r="G10" s="1">
        <v>0</v>
      </c>
      <c r="H10" s="1" t="s">
        <v>192</v>
      </c>
      <c r="I10" s="1" t="s">
        <v>113</v>
      </c>
      <c r="J10" s="1" t="s">
        <v>193</v>
      </c>
      <c r="K10" s="1" t="e">
        <f>VLOOKUP(D10,#REF!,15,0)</f>
        <v>#REF!</v>
      </c>
      <c r="L10" s="1">
        <v>8.5278</v>
      </c>
      <c r="M10" s="1" t="e">
        <f>VLOOKUP(K10,PO!A:D,4,0)</f>
        <v>#REF!</v>
      </c>
      <c r="N10" s="2" t="e">
        <f t="shared" si="0"/>
        <v>#REF!</v>
      </c>
      <c r="O10" s="1" t="s">
        <v>194</v>
      </c>
      <c r="P10" s="1" t="s">
        <v>194</v>
      </c>
      <c r="X10" s="1">
        <v>0</v>
      </c>
      <c r="AC10" s="1" t="s">
        <v>195</v>
      </c>
      <c r="BC10" s="1" t="s">
        <v>195</v>
      </c>
      <c r="BD10" s="1" t="s">
        <v>196</v>
      </c>
    </row>
    <row r="11" s="1" customFormat="1" spans="1:56">
      <c r="A11" s="1">
        <v>202410100009</v>
      </c>
      <c r="B11" s="1">
        <v>9</v>
      </c>
      <c r="C11" s="1" t="s">
        <v>191</v>
      </c>
      <c r="D11" s="1" t="s">
        <v>66</v>
      </c>
      <c r="F11" s="1">
        <v>5.4151</v>
      </c>
      <c r="G11" s="1">
        <v>0</v>
      </c>
      <c r="H11" s="1" t="s">
        <v>192</v>
      </c>
      <c r="I11" s="1" t="s">
        <v>67</v>
      </c>
      <c r="J11" s="1" t="s">
        <v>193</v>
      </c>
      <c r="K11" s="1" t="e">
        <f>VLOOKUP(D11,#REF!,15,0)</f>
        <v>#REF!</v>
      </c>
      <c r="L11" s="1">
        <v>5.4151</v>
      </c>
      <c r="M11" s="1" t="e">
        <f>VLOOKUP(K11,PO!A:D,4,0)</f>
        <v>#REF!</v>
      </c>
      <c r="N11" s="2" t="e">
        <f t="shared" si="0"/>
        <v>#REF!</v>
      </c>
      <c r="O11" s="1" t="s">
        <v>194</v>
      </c>
      <c r="P11" s="1" t="s">
        <v>194</v>
      </c>
      <c r="X11" s="1">
        <v>0</v>
      </c>
      <c r="AC11" s="1" t="s">
        <v>195</v>
      </c>
      <c r="BC11" s="1" t="s">
        <v>195</v>
      </c>
      <c r="BD11" s="1" t="s">
        <v>196</v>
      </c>
    </row>
    <row r="12" hidden="1" spans="1:56">
      <c r="A12">
        <v>202410100010</v>
      </c>
      <c r="B12">
        <v>10</v>
      </c>
      <c r="C12" t="s">
        <v>191</v>
      </c>
      <c r="D12" t="s">
        <v>68</v>
      </c>
      <c r="F12">
        <v>5.4151</v>
      </c>
      <c r="G12">
        <v>0</v>
      </c>
      <c r="H12" t="s">
        <v>197</v>
      </c>
      <c r="I12" t="s">
        <v>69</v>
      </c>
      <c r="J12" t="s">
        <v>193</v>
      </c>
      <c r="K12" t="e">
        <f>VLOOKUP(D12,#REF!,15,0)</f>
        <v>#REF!</v>
      </c>
      <c r="L12">
        <v>5.4151</v>
      </c>
      <c r="M12" t="e">
        <f>VLOOKUP(K12,PO!A:D,4,0)</f>
        <v>#REF!</v>
      </c>
      <c r="N12" s="3" t="e">
        <f t="shared" si="0"/>
        <v>#REF!</v>
      </c>
      <c r="O12" t="s">
        <v>194</v>
      </c>
      <c r="P12" t="s">
        <v>194</v>
      </c>
      <c r="X12">
        <v>0</v>
      </c>
      <c r="AC12" t="s">
        <v>195</v>
      </c>
      <c r="BC12" t="s">
        <v>195</v>
      </c>
      <c r="BD12" t="s">
        <v>196</v>
      </c>
    </row>
    <row r="13" hidden="1" spans="1:56">
      <c r="A13">
        <v>202410100011</v>
      </c>
      <c r="B13">
        <v>11</v>
      </c>
      <c r="C13" t="s">
        <v>191</v>
      </c>
      <c r="D13" t="s">
        <v>100</v>
      </c>
      <c r="F13">
        <v>4.382</v>
      </c>
      <c r="G13">
        <v>0</v>
      </c>
      <c r="H13" t="s">
        <v>192</v>
      </c>
      <c r="I13" t="s">
        <v>101</v>
      </c>
      <c r="J13" t="s">
        <v>193</v>
      </c>
      <c r="K13" t="e">
        <f>VLOOKUP(D13,#REF!,15,0)</f>
        <v>#REF!</v>
      </c>
      <c r="L13">
        <v>4.382</v>
      </c>
      <c r="M13" t="e">
        <f>VLOOKUP(K13,PO!A:D,4,0)</f>
        <v>#REF!</v>
      </c>
      <c r="N13" s="3" t="e">
        <f t="shared" si="0"/>
        <v>#REF!</v>
      </c>
      <c r="O13" t="s">
        <v>194</v>
      </c>
      <c r="P13" t="s">
        <v>194</v>
      </c>
      <c r="X13">
        <v>0</v>
      </c>
      <c r="AC13" t="s">
        <v>195</v>
      </c>
      <c r="BC13" t="s">
        <v>195</v>
      </c>
      <c r="BD13" t="s">
        <v>196</v>
      </c>
    </row>
    <row r="14" hidden="1" spans="1:56">
      <c r="A14">
        <v>202410100012</v>
      </c>
      <c r="B14">
        <v>12</v>
      </c>
      <c r="C14" t="s">
        <v>191</v>
      </c>
      <c r="D14" t="s">
        <v>88</v>
      </c>
      <c r="F14">
        <v>4.382</v>
      </c>
      <c r="G14">
        <v>0</v>
      </c>
      <c r="H14" t="s">
        <v>192</v>
      </c>
      <c r="I14" t="s">
        <v>89</v>
      </c>
      <c r="J14" t="s">
        <v>193</v>
      </c>
      <c r="K14" t="e">
        <f>VLOOKUP(D14,#REF!,15,0)</f>
        <v>#REF!</v>
      </c>
      <c r="L14">
        <v>4.382</v>
      </c>
      <c r="M14" t="e">
        <f>VLOOKUP(K14,PO!A:D,4,0)</f>
        <v>#REF!</v>
      </c>
      <c r="N14" s="3" t="e">
        <f t="shared" si="0"/>
        <v>#REF!</v>
      </c>
      <c r="O14" t="s">
        <v>194</v>
      </c>
      <c r="P14" t="s">
        <v>194</v>
      </c>
      <c r="X14">
        <v>0</v>
      </c>
      <c r="AC14" t="s">
        <v>195</v>
      </c>
      <c r="BC14" t="s">
        <v>195</v>
      </c>
      <c r="BD14" t="s">
        <v>196</v>
      </c>
    </row>
    <row r="15" s="1" customFormat="1" spans="1:56">
      <c r="A15" s="1">
        <v>202410100013</v>
      </c>
      <c r="B15" s="1">
        <v>13</v>
      </c>
      <c r="C15" s="1" t="s">
        <v>191</v>
      </c>
      <c r="D15" s="1" t="s">
        <v>100</v>
      </c>
      <c r="F15" s="1">
        <v>5.4151</v>
      </c>
      <c r="G15" s="1">
        <v>0</v>
      </c>
      <c r="H15" s="1" t="s">
        <v>192</v>
      </c>
      <c r="I15" s="1" t="s">
        <v>101</v>
      </c>
      <c r="J15" s="1" t="s">
        <v>193</v>
      </c>
      <c r="K15" s="1" t="e">
        <f>VLOOKUP(D15,#REF!,15,0)</f>
        <v>#REF!</v>
      </c>
      <c r="L15" s="1">
        <v>5.4151</v>
      </c>
      <c r="M15" s="1" t="e">
        <f>VLOOKUP(K15,PO!A:D,4,0)</f>
        <v>#REF!</v>
      </c>
      <c r="N15" s="2" t="e">
        <f t="shared" si="0"/>
        <v>#REF!</v>
      </c>
      <c r="O15" s="1" t="s">
        <v>194</v>
      </c>
      <c r="P15" s="1" t="s">
        <v>194</v>
      </c>
      <c r="X15" s="1">
        <v>0</v>
      </c>
      <c r="AC15" s="1" t="s">
        <v>195</v>
      </c>
      <c r="BC15" s="1" t="s">
        <v>195</v>
      </c>
      <c r="BD15" s="1" t="s">
        <v>196</v>
      </c>
    </row>
    <row r="16" hidden="1" spans="1:56">
      <c r="A16">
        <v>202410100014</v>
      </c>
      <c r="B16">
        <v>14</v>
      </c>
      <c r="C16" t="s">
        <v>191</v>
      </c>
      <c r="D16" t="s">
        <v>68</v>
      </c>
      <c r="F16">
        <v>5.4151</v>
      </c>
      <c r="G16">
        <v>0</v>
      </c>
      <c r="H16" t="s">
        <v>197</v>
      </c>
      <c r="I16" t="s">
        <v>69</v>
      </c>
      <c r="J16" t="s">
        <v>193</v>
      </c>
      <c r="K16" t="e">
        <f>VLOOKUP(D16,#REF!,15,0)</f>
        <v>#REF!</v>
      </c>
      <c r="L16">
        <v>5.4151</v>
      </c>
      <c r="M16" t="e">
        <f>VLOOKUP(K16,PO!A:D,4,0)</f>
        <v>#REF!</v>
      </c>
      <c r="N16" s="3" t="e">
        <f t="shared" si="0"/>
        <v>#REF!</v>
      </c>
      <c r="O16" t="s">
        <v>194</v>
      </c>
      <c r="P16" t="s">
        <v>194</v>
      </c>
      <c r="X16">
        <v>0</v>
      </c>
      <c r="AC16" t="s">
        <v>195</v>
      </c>
      <c r="BC16" t="s">
        <v>195</v>
      </c>
      <c r="BD16" t="s">
        <v>196</v>
      </c>
    </row>
    <row r="17" s="1" customFormat="1" spans="1:56">
      <c r="A17" s="1">
        <v>202410100015</v>
      </c>
      <c r="B17" s="1">
        <v>15</v>
      </c>
      <c r="C17" s="1" t="s">
        <v>191</v>
      </c>
      <c r="D17" s="1" t="s">
        <v>74</v>
      </c>
      <c r="F17" s="1">
        <v>4.0649</v>
      </c>
      <c r="G17" s="1">
        <v>0</v>
      </c>
      <c r="H17" s="1" t="s">
        <v>197</v>
      </c>
      <c r="I17" s="1" t="s">
        <v>75</v>
      </c>
      <c r="J17" s="1" t="s">
        <v>193</v>
      </c>
      <c r="K17" s="1" t="e">
        <f>VLOOKUP(D17,#REF!,15,0)</f>
        <v>#REF!</v>
      </c>
      <c r="L17" s="1">
        <v>4.0649</v>
      </c>
      <c r="M17" s="1" t="e">
        <f>VLOOKUP(K17,PO!A:D,4,0)</f>
        <v>#REF!</v>
      </c>
      <c r="N17" s="2" t="e">
        <f t="shared" si="0"/>
        <v>#REF!</v>
      </c>
      <c r="O17" s="1" t="s">
        <v>194</v>
      </c>
      <c r="P17" s="1" t="s">
        <v>194</v>
      </c>
      <c r="X17" s="1">
        <v>0</v>
      </c>
      <c r="AC17" s="1" t="s">
        <v>195</v>
      </c>
      <c r="BC17" s="1" t="s">
        <v>195</v>
      </c>
      <c r="BD17" s="1" t="s">
        <v>196</v>
      </c>
    </row>
    <row r="18" hidden="1" spans="1:56">
      <c r="A18">
        <v>202410100016</v>
      </c>
      <c r="B18">
        <v>16</v>
      </c>
      <c r="C18" t="s">
        <v>191</v>
      </c>
      <c r="D18" t="s">
        <v>66</v>
      </c>
      <c r="F18">
        <v>4.382</v>
      </c>
      <c r="G18">
        <v>0</v>
      </c>
      <c r="H18" t="s">
        <v>192</v>
      </c>
      <c r="I18" t="s">
        <v>67</v>
      </c>
      <c r="J18" t="s">
        <v>193</v>
      </c>
      <c r="K18" t="e">
        <f>VLOOKUP(D18,#REF!,15,0)</f>
        <v>#REF!</v>
      </c>
      <c r="L18">
        <v>4.382</v>
      </c>
      <c r="M18" t="e">
        <f>VLOOKUP(K18,PO!A:D,4,0)</f>
        <v>#REF!</v>
      </c>
      <c r="N18" s="3" t="e">
        <f t="shared" si="0"/>
        <v>#REF!</v>
      </c>
      <c r="O18" t="s">
        <v>194</v>
      </c>
      <c r="P18" t="s">
        <v>194</v>
      </c>
      <c r="X18">
        <v>0</v>
      </c>
      <c r="AC18" t="s">
        <v>195</v>
      </c>
      <c r="BC18" t="s">
        <v>195</v>
      </c>
      <c r="BD18" t="s">
        <v>196</v>
      </c>
    </row>
    <row r="19" s="1" customFormat="1" spans="1:56">
      <c r="A19" s="1">
        <v>202410100017</v>
      </c>
      <c r="B19" s="1">
        <v>17</v>
      </c>
      <c r="C19" s="1" t="s">
        <v>191</v>
      </c>
      <c r="D19" s="1" t="s">
        <v>74</v>
      </c>
      <c r="F19" s="1">
        <v>4.0649</v>
      </c>
      <c r="G19" s="1">
        <v>0</v>
      </c>
      <c r="H19" s="1" t="s">
        <v>197</v>
      </c>
      <c r="I19" s="1" t="s">
        <v>75</v>
      </c>
      <c r="J19" s="1" t="s">
        <v>193</v>
      </c>
      <c r="K19" s="1" t="e">
        <f>VLOOKUP(D19,#REF!,15,0)</f>
        <v>#REF!</v>
      </c>
      <c r="L19" s="1">
        <v>4.0649</v>
      </c>
      <c r="M19" s="1" t="e">
        <f>VLOOKUP(K19,PO!A:D,4,0)</f>
        <v>#REF!</v>
      </c>
      <c r="N19" s="2" t="e">
        <f t="shared" si="0"/>
        <v>#REF!</v>
      </c>
      <c r="O19" s="1" t="s">
        <v>194</v>
      </c>
      <c r="P19" s="1" t="s">
        <v>194</v>
      </c>
      <c r="X19" s="1">
        <v>0</v>
      </c>
      <c r="AC19" s="1" t="s">
        <v>195</v>
      </c>
      <c r="BC19" s="1" t="s">
        <v>195</v>
      </c>
      <c r="BD19" s="1" t="s">
        <v>196</v>
      </c>
    </row>
    <row r="20" hidden="1" spans="1:56">
      <c r="A20">
        <v>202410100018</v>
      </c>
      <c r="B20">
        <v>18</v>
      </c>
      <c r="C20" t="s">
        <v>191</v>
      </c>
      <c r="D20" t="s">
        <v>66</v>
      </c>
      <c r="F20">
        <v>4.382</v>
      </c>
      <c r="G20">
        <v>0</v>
      </c>
      <c r="H20" t="s">
        <v>192</v>
      </c>
      <c r="I20" t="s">
        <v>67</v>
      </c>
      <c r="J20" t="s">
        <v>193</v>
      </c>
      <c r="K20" t="e">
        <f>VLOOKUP(D20,#REF!,15,0)</f>
        <v>#REF!</v>
      </c>
      <c r="L20">
        <v>4.382</v>
      </c>
      <c r="M20" t="e">
        <f>VLOOKUP(K20,PO!A:D,4,0)</f>
        <v>#REF!</v>
      </c>
      <c r="N20" s="3" t="e">
        <f t="shared" si="0"/>
        <v>#REF!</v>
      </c>
      <c r="O20" t="s">
        <v>194</v>
      </c>
      <c r="P20" t="s">
        <v>194</v>
      </c>
      <c r="X20">
        <v>0</v>
      </c>
      <c r="AC20" t="s">
        <v>195</v>
      </c>
      <c r="BC20" t="s">
        <v>195</v>
      </c>
      <c r="BD20" t="s">
        <v>196</v>
      </c>
    </row>
  </sheetData>
  <autoFilter xmlns:etc="http://www.wps.cn/officeDocument/2017/etCustomData" ref="A2:BD20" etc:filterBottomFollowUsedRange="0">
    <filterColumn colId="13">
      <filters>
        <filter val="-0.01"/>
        <filter val="0.22"/>
        <filter val="1.03"/>
      </filters>
    </filterColumn>
    <extLst/>
  </autoFilter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pane ySplit="1" topLeftCell="A11" activePane="bottomLeft" state="frozen"/>
      <selection/>
      <selection pane="bottomLeft" activeCell="G21" sqref="G21"/>
    </sheetView>
  </sheetViews>
  <sheetFormatPr defaultColWidth="8.66666666666667" defaultRowHeight="14" outlineLevelCol="2"/>
  <cols>
    <col min="2" max="2" width="13.3333333333333" customWidth="1"/>
    <col min="3" max="3" width="22.5" customWidth="1"/>
  </cols>
  <sheetData>
    <row r="1" spans="1:3">
      <c r="A1" t="s">
        <v>42</v>
      </c>
      <c r="B1" t="s">
        <v>43</v>
      </c>
      <c r="C1" t="s">
        <v>56</v>
      </c>
    </row>
    <row r="2" spans="1:3">
      <c r="A2" t="s">
        <v>59</v>
      </c>
      <c r="B2" t="s">
        <v>60</v>
      </c>
      <c r="C2" t="s">
        <v>10</v>
      </c>
    </row>
    <row r="3" spans="1:3">
      <c r="A3" t="s">
        <v>66</v>
      </c>
      <c r="B3" t="s">
        <v>67</v>
      </c>
      <c r="C3" t="s">
        <v>10</v>
      </c>
    </row>
    <row r="4" spans="1:3">
      <c r="A4" t="s">
        <v>68</v>
      </c>
      <c r="B4" t="s">
        <v>69</v>
      </c>
      <c r="C4" t="s">
        <v>11</v>
      </c>
    </row>
    <row r="5" spans="1:3">
      <c r="A5" t="s">
        <v>70</v>
      </c>
      <c r="B5" t="s">
        <v>71</v>
      </c>
      <c r="C5" t="s">
        <v>25</v>
      </c>
    </row>
    <row r="6" spans="1:3">
      <c r="A6" t="s">
        <v>72</v>
      </c>
      <c r="B6" t="s">
        <v>73</v>
      </c>
      <c r="C6" t="s">
        <v>19</v>
      </c>
    </row>
    <row r="7" spans="1:3">
      <c r="A7" t="s">
        <v>74</v>
      </c>
      <c r="B7" t="s">
        <v>75</v>
      </c>
      <c r="C7" t="s">
        <v>15</v>
      </c>
    </row>
    <row r="8" spans="1:3">
      <c r="A8" t="s">
        <v>76</v>
      </c>
      <c r="B8" t="s">
        <v>77</v>
      </c>
      <c r="C8" t="s">
        <v>198</v>
      </c>
    </row>
    <row r="9" spans="1:3">
      <c r="A9" t="s">
        <v>78</v>
      </c>
      <c r="B9" t="s">
        <v>79</v>
      </c>
      <c r="C9" t="s">
        <v>15</v>
      </c>
    </row>
    <row r="10" spans="1:3">
      <c r="A10" t="s">
        <v>80</v>
      </c>
      <c r="B10" t="s">
        <v>81</v>
      </c>
      <c r="C10" t="s">
        <v>26</v>
      </c>
    </row>
    <row r="11" spans="1:3">
      <c r="A11" t="s">
        <v>82</v>
      </c>
      <c r="B11" t="s">
        <v>83</v>
      </c>
      <c r="C11" t="s">
        <v>199</v>
      </c>
    </row>
    <row r="12" spans="1:3">
      <c r="A12" t="s">
        <v>84</v>
      </c>
      <c r="B12" t="s">
        <v>85</v>
      </c>
      <c r="C12" t="s">
        <v>199</v>
      </c>
    </row>
    <row r="13" spans="1:3">
      <c r="A13" t="s">
        <v>86</v>
      </c>
      <c r="B13" t="s">
        <v>87</v>
      </c>
      <c r="C13" t="s">
        <v>199</v>
      </c>
    </row>
    <row r="14" spans="1:3">
      <c r="A14" t="s">
        <v>88</v>
      </c>
      <c r="B14" t="s">
        <v>89</v>
      </c>
      <c r="C14" t="s">
        <v>10</v>
      </c>
    </row>
    <row r="15" spans="1:3">
      <c r="A15" t="s">
        <v>90</v>
      </c>
      <c r="B15" t="s">
        <v>91</v>
      </c>
      <c r="C15" t="s">
        <v>26</v>
      </c>
    </row>
    <row r="16" spans="1:3">
      <c r="A16" t="s">
        <v>92</v>
      </c>
      <c r="B16" t="s">
        <v>93</v>
      </c>
      <c r="C16" t="s">
        <v>14</v>
      </c>
    </row>
    <row r="17" spans="1:3">
      <c r="A17" t="s">
        <v>94</v>
      </c>
      <c r="B17" t="s">
        <v>95</v>
      </c>
      <c r="C17" t="s">
        <v>15</v>
      </c>
    </row>
    <row r="18" spans="1:3">
      <c r="A18" t="s">
        <v>96</v>
      </c>
      <c r="B18" t="s">
        <v>97</v>
      </c>
      <c r="C18" t="s">
        <v>20</v>
      </c>
    </row>
    <row r="19" spans="1:3">
      <c r="A19" t="s">
        <v>98</v>
      </c>
      <c r="B19" t="s">
        <v>99</v>
      </c>
      <c r="C19" t="s">
        <v>21</v>
      </c>
    </row>
    <row r="20" spans="1:3">
      <c r="A20" t="s">
        <v>100</v>
      </c>
      <c r="B20" t="s">
        <v>101</v>
      </c>
      <c r="C20" t="s">
        <v>10</v>
      </c>
    </row>
    <row r="21" spans="1:3">
      <c r="A21" t="s">
        <v>102</v>
      </c>
      <c r="B21" t="s">
        <v>103</v>
      </c>
      <c r="C21" t="s">
        <v>27</v>
      </c>
    </row>
    <row r="22" spans="1:3">
      <c r="A22" t="s">
        <v>104</v>
      </c>
      <c r="B22" t="s">
        <v>105</v>
      </c>
      <c r="C22" t="s">
        <v>26</v>
      </c>
    </row>
    <row r="23" spans="1:3">
      <c r="A23" t="s">
        <v>106</v>
      </c>
      <c r="B23" t="s">
        <v>107</v>
      </c>
      <c r="C23" t="s">
        <v>26</v>
      </c>
    </row>
    <row r="24" spans="1:3">
      <c r="A24" t="s">
        <v>108</v>
      </c>
      <c r="B24" t="s">
        <v>109</v>
      </c>
      <c r="C24" t="s">
        <v>18</v>
      </c>
    </row>
    <row r="25" spans="1:3">
      <c r="A25" t="s">
        <v>110</v>
      </c>
      <c r="B25" t="s">
        <v>111</v>
      </c>
      <c r="C25" t="s">
        <v>11</v>
      </c>
    </row>
    <row r="26" spans="1:3">
      <c r="A26" t="s">
        <v>112</v>
      </c>
      <c r="B26" t="s">
        <v>113</v>
      </c>
      <c r="C26" t="s">
        <v>26</v>
      </c>
    </row>
    <row r="27" spans="1:3">
      <c r="A27" t="s">
        <v>114</v>
      </c>
      <c r="B27" t="s">
        <v>115</v>
      </c>
      <c r="C27" t="s">
        <v>26</v>
      </c>
    </row>
    <row r="28" spans="1:3">
      <c r="A28" t="s">
        <v>116</v>
      </c>
      <c r="B28" t="s">
        <v>117</v>
      </c>
      <c r="C28" t="s">
        <v>31</v>
      </c>
    </row>
    <row r="29" spans="1:3">
      <c r="A29" t="s">
        <v>118</v>
      </c>
      <c r="B29" t="s">
        <v>119</v>
      </c>
      <c r="C29" t="s">
        <v>30</v>
      </c>
    </row>
    <row r="30" spans="1:3">
      <c r="A30" t="s">
        <v>120</v>
      </c>
      <c r="B30" t="s">
        <v>121</v>
      </c>
      <c r="C30" t="s">
        <v>22</v>
      </c>
    </row>
    <row r="31" spans="1:3">
      <c r="A31" t="s">
        <v>122</v>
      </c>
      <c r="B31" t="s">
        <v>123</v>
      </c>
      <c r="C31" t="s">
        <v>28</v>
      </c>
    </row>
    <row r="32" spans="1:3">
      <c r="A32" t="s">
        <v>124</v>
      </c>
      <c r="B32" t="s">
        <v>125</v>
      </c>
      <c r="C32" t="s">
        <v>26</v>
      </c>
    </row>
    <row r="33" spans="1:3">
      <c r="A33" t="s">
        <v>126</v>
      </c>
      <c r="B33" t="s">
        <v>127</v>
      </c>
      <c r="C33" t="s">
        <v>29</v>
      </c>
    </row>
    <row r="34" spans="1:3">
      <c r="A34" t="s">
        <v>128</v>
      </c>
      <c r="B34" t="s">
        <v>129</v>
      </c>
      <c r="C34" t="s">
        <v>29</v>
      </c>
    </row>
    <row r="35" spans="1:3">
      <c r="A35" t="s">
        <v>130</v>
      </c>
      <c r="B35" t="s">
        <v>131</v>
      </c>
      <c r="C35" t="s">
        <v>33</v>
      </c>
    </row>
    <row r="36" spans="1:3">
      <c r="A36" t="s">
        <v>132</v>
      </c>
      <c r="B36" t="s">
        <v>133</v>
      </c>
      <c r="C36" t="s">
        <v>26</v>
      </c>
    </row>
    <row r="37" spans="1:3">
      <c r="A37" t="s">
        <v>134</v>
      </c>
      <c r="B37" t="s">
        <v>135</v>
      </c>
      <c r="C37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PO</vt:lpstr>
      <vt:lpstr>价目表0701</vt:lpstr>
      <vt:lpstr>价目表名称</vt:lpstr>
      <vt:lpstr>历史</vt:lpstr>
      <vt:lpstr>一揽子</vt:lpstr>
      <vt:lpstr>型号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豆子。</cp:lastModifiedBy>
  <dcterms:created xsi:type="dcterms:W3CDTF">2015-06-05T18:19:00Z</dcterms:created>
  <dcterms:modified xsi:type="dcterms:W3CDTF">2026-08-04T08:14:12Z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5B77E7CEEC58BC6AFAE8886BEB80DBEB">
    <vt:lpwstr>otCYQxs9Dbw2bUEn/Soxv9pYAoWsCRIsU8+gIbxzzmNcJN13+qHIPyWmbF9hFzPHyi2m8DLwi54E5OVVM5pJ0yGmgAiYTaR6oYUdYZxdjep6I9xviFUFZ9aTScfBW9OGUbb1WMdbrPWZqse1XwamD3cuVDP8/TLsUTSXJZoKRR5k4SO2hlGy+D6kcS3siye3yUWkxzCtKvPlZzbkEHTHOBsszG1nLz6EGpkDw4hgJcjVIUlLUsgIbsqkoIXAUyF</vt:lpwstr>
  </property>
  <property fmtid="{D5CDD505-2E9C-101B-9397-08002B2CF9AE}" pid="3" name="ICV">
    <vt:lpwstr>68E6F6523BEF4E008E159F38FE0AC504_13</vt:lpwstr>
  </property>
  <property fmtid="{D5CDD505-2E9C-101B-9397-08002B2CF9AE}" pid="4" name="KSOProductBuildVer">
    <vt:lpwstr>2052-12.1.0.28043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