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6" activeTab="9"/>
  </bookViews>
  <sheets>
    <sheet name="Sheet4" sheetId="11" state="hidden" r:id="rId1"/>
    <sheet name="Sheet5" sheetId="12" state="hidden" r:id="rId2"/>
    <sheet name="Sheet6" sheetId="15" state="hidden" r:id="rId3"/>
    <sheet name="Sheet7" sheetId="16" state="hidden" r:id="rId4"/>
    <sheet name="Sheet9" sheetId="18" state="hidden" r:id="rId5"/>
    <sheet name="比特方舟" sheetId="24" r:id="rId6"/>
    <sheet name="海口世纪透视" sheetId="27" r:id="rId7"/>
    <sheet name="海口世纪" sheetId="22" r:id="rId8"/>
    <sheet name="世纪透视" sheetId="8" r:id="rId9"/>
    <sheet name="世纪云芯" sheetId="4" r:id="rId10"/>
    <sheet name="智能云芯" sheetId="3" r:id="rId11"/>
    <sheet name="Sheet2" sheetId="9" state="hidden" r:id="rId12"/>
    <sheet name="Sheet3" sheetId="10" state="hidden" r:id="rId13"/>
    <sheet name="Sheet1" sheetId="14" state="hidden" r:id="rId14"/>
    <sheet name="Sheet8" sheetId="17" state="hidden" r:id="rId15"/>
  </sheets>
  <definedNames>
    <definedName name="_xlnm._FilterDatabase" localSheetId="5" hidden="1">比特方舟!$A$1:$V$3</definedName>
    <definedName name="_xlnm._FilterDatabase" localSheetId="7" hidden="1">海口世纪!$A$1:$W$13</definedName>
    <definedName name="_xlnm._FilterDatabase" localSheetId="9" hidden="1">世纪云芯!$A$1:$W$128</definedName>
    <definedName name="_xlnm._FilterDatabase" localSheetId="10" hidden="1">智能云芯!$A$1:$P$124</definedName>
  </definedNames>
  <calcPr calcId="191029"/>
  <pivotCaches>
    <pivotCache cacheId="0" r:id="rId16"/>
    <pivotCache cacheId="1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ESC</author>
  </authors>
  <commentList>
    <comment ref="E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红色字体是修改了主体的2023-12-9</t>
        </r>
      </text>
    </comment>
    <comment ref="I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黄色底的数量是有过修改的</t>
        </r>
      </text>
    </comment>
    <comment ref="K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黄色底色是邮件申请价格了的，或者是工价格公式计算的价格</t>
        </r>
      </text>
    </comment>
    <comment ref="Q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1099231206151615 （销售主体香港比特，就在香港比特下面下载加载单） 订单加载成功：仓库=销售主体，本期实发数量=订单行数量，箱数=实际箱数，是否报关=是，抬头报关=海南比特大陆科技有限公司，报关单价=进口单价美金，发货日期=下单日期，成交方式=FOB，物流商=自提，备注（货代+税代）如，货代香远，税代讯宇</t>
        </r>
      </text>
    </comment>
    <comment ref="T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如果与我们的芯片进口价格差异不大（不超过10%），且原因均因为不同批次，历史给封测厂的芯片成本价格较高导致的，可以使用该公式。公式=（原厂价格-芯片定价）/芯片定价</t>
        </r>
      </text>
    </comment>
    <comment ref="U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1099231206151615 （销售主体香港比特，就在香港比特下面下载加载单） 订单加载成功：仓库=销售主体，本期实发数量=订单行数量，箱数=实际箱数，是否报关=是，抬头报关=海南比特大陆科技有限公司，报关单价=进口单价美金，发货日期=下单日期，成交方式=FOB，物流商=自提，备注（货代+税代）如，货代香远，税代讯宇</t>
        </r>
      </text>
    </comment>
    <comment ref="O35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XJ未测芯片，不含测试费，价格为印尼奥海退XJ的原价格</t>
        </r>
      </text>
    </comment>
    <comment ref="H37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JSCC出深圳，工程批非量产</t>
        </r>
      </text>
    </comment>
    <comment ref="O38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只有封测费</t>
        </r>
      </text>
    </comment>
    <comment ref="O49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只有封测费</t>
        </r>
      </text>
    </comment>
    <comment ref="O74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CJ2504CHH044</t>
        </r>
      </text>
    </comment>
    <comment ref="O75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CJ2504CHH048</t>
        </r>
      </text>
    </comment>
    <comment ref="O75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CJ2504CHH048</t>
        </r>
      </text>
    </comment>
    <comment ref="O76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CJ2504CHH050 </t>
        </r>
      </text>
    </comment>
    <comment ref="O76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CJ2504CHH050 </t>
        </r>
      </text>
    </comment>
    <comment ref="O76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CJ2504CHH054</t>
        </r>
      </text>
    </comment>
    <comment ref="O78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HN20250411-3</t>
        </r>
      </text>
    </comment>
    <comment ref="O78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HN20250411-3</t>
        </r>
      </text>
    </comment>
    <comment ref="O79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79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79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79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HN20250411-5</t>
        </r>
      </text>
    </comment>
    <comment ref="O80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价格高于芯片定价
</t>
        </r>
      </text>
    </comment>
    <comment ref="O80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只有加工费</t>
        </r>
      </text>
    </comment>
    <comment ref="O80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250417-7C </t>
        </r>
      </text>
    </comment>
    <comment ref="O81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CJ2504CHH058</t>
        </r>
      </text>
    </comment>
    <comment ref="O81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CJ2504CHH059</t>
        </r>
      </text>
    </comment>
    <comment ref="O81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CJ2504CHH061</t>
        </r>
      </text>
    </comment>
    <comment ref="O81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CJ2504CHH061</t>
        </r>
      </text>
    </comment>
    <comment ref="O82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CJ2504CHH063</t>
        </r>
      </text>
    </comment>
    <comment ref="O82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CJ2504CHH063</t>
        </r>
      </text>
    </comment>
    <comment ref="O86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HN20250425-1</t>
        </r>
      </text>
    </comment>
    <comment ref="O86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HN20250425-1</t>
        </r>
      </text>
    </comment>
    <comment ref="O86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HN20250425-2</t>
        </r>
      </text>
    </comment>
    <comment ref="O92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250512-7A</t>
        </r>
      </text>
    </comment>
    <comment ref="O93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250512-7C</t>
        </r>
      </text>
    </comment>
  </commentList>
</comments>
</file>

<file path=xl/comments2.xml><?xml version="1.0" encoding="utf-8"?>
<comments xmlns="http://schemas.openxmlformats.org/spreadsheetml/2006/main">
  <authors>
    <author>ESC</author>
  </authors>
  <commentList>
    <comment ref="E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红色字体是修改了主体的2023-12-9</t>
        </r>
      </text>
    </comment>
    <comment ref="I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黄色底的数量是有过修改的</t>
        </r>
      </text>
    </comment>
    <comment ref="K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黄色底色是邮件申请价格了的，或者是工价格公式计算的价格</t>
        </r>
      </text>
    </comment>
    <comment ref="R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1099231206151615 （销售主体香港比特，就在香港比特下面下载加载单） 订单加载成功：仓库=销售主体，本期实发数量=订单行数量，箱数=实际箱数，是否报关=是，抬头报关=海南比特大陆科技有限公司，报关单价=进口单价美金，发货日期=下单日期，成交方式=FOB，物流商=自提，备注（货代+税代）如，货代香远，税代讯宇</t>
        </r>
      </text>
    </comment>
    <comment ref="U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如果与我们的芯片进口价格差异不大（不超过10%），且原因均因为不同批次，历史给封测厂的芯片成本价格较高导致的，可以使用该公式。公式=（原厂价格-芯片定价）/芯片定价</t>
        </r>
      </text>
    </comment>
    <comment ref="V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1099231206151615 （销售主体香港比特，就在香港比特下面下载加载单） 订单加载成功：仓库=销售主体，本期实发数量=订单行数量，箱数=实际箱数，是否报关=是，抬头报关=海南比特大陆科技有限公司，报关单价=进口单价美金，发货日期=下单日期，成交方式=FOB，物流商=自提，备注（货代+税代）如，货代香远，税代讯宇</t>
        </r>
      </text>
    </comment>
    <comment ref="O10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原厂资料只显示了测试费</t>
        </r>
      </text>
    </comment>
    <comment ref="K18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进口报关单价4.077USD修改统计表单价，原因：朗华未按照委托单价4.47USD申报</t>
        </r>
      </text>
    </comment>
    <comment ref="K188" authorId="0">
      <text>
        <r>
          <rPr>
            <sz val="9"/>
            <rFont val="宋体"/>
            <charset val="134"/>
          </rPr>
          <t xml:space="preserve">ESC:
进口报关单价4.077USD修改统计表单价，原因：朗华未按照委托单价4.47USD申报
</t>
        </r>
      </text>
    </comment>
    <comment ref="O35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只有封测费</t>
        </r>
      </text>
    </comment>
    <comment ref="O47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只有封测费</t>
        </r>
      </text>
    </comment>
    <comment ref="O72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CJ2504CHH044</t>
        </r>
      </text>
    </comment>
    <comment ref="O73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CJ2504CHH048</t>
        </r>
      </text>
    </comment>
    <comment ref="O73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CJ2504CHH048</t>
        </r>
      </text>
    </comment>
    <comment ref="O73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CJ2504CHH050 </t>
        </r>
      </text>
    </comment>
    <comment ref="O73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CJ2504CHH050 </t>
        </r>
      </text>
    </comment>
    <comment ref="O74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CJ2504CHH054</t>
        </r>
      </text>
    </comment>
    <comment ref="O76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HN20250411-3</t>
        </r>
      </text>
    </comment>
    <comment ref="O76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HN20250411-3</t>
        </r>
      </text>
    </comment>
    <comment ref="O76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76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76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77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HN20250411-5</t>
        </r>
      </text>
    </comment>
    <comment ref="O77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价格高于芯片定价
</t>
        </r>
      </text>
    </comment>
    <comment ref="O77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只有加工费</t>
        </r>
      </text>
    </comment>
    <comment ref="O78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250417-7C </t>
        </r>
      </text>
    </comment>
    <comment ref="O79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CJ2504CHH058</t>
        </r>
      </text>
    </comment>
    <comment ref="O79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CJ2504CHH059</t>
        </r>
      </text>
    </comment>
    <comment ref="O79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CJ2504CHH061</t>
        </r>
      </text>
    </comment>
    <comment ref="O79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CJ2504CHH061</t>
        </r>
      </text>
    </comment>
    <comment ref="O79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CJ2504CHH063</t>
        </r>
      </text>
    </comment>
    <comment ref="O79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CJ2504CHH063</t>
        </r>
      </text>
    </comment>
    <comment ref="O83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HN20250425-1</t>
        </r>
      </text>
    </comment>
    <comment ref="O83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HN20250425-1</t>
        </r>
      </text>
    </comment>
    <comment ref="O84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HN20250425-2</t>
        </r>
      </text>
    </comment>
    <comment ref="O90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250512-7A</t>
        </r>
      </text>
    </comment>
    <comment ref="O90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250512-7C</t>
        </r>
      </text>
    </comment>
  </commentList>
</comments>
</file>

<file path=xl/comments3.xml><?xml version="1.0" encoding="utf-8"?>
<comments xmlns="http://schemas.openxmlformats.org/spreadsheetml/2006/main">
  <authors>
    <author>ESC</author>
  </authors>
  <commentList>
    <comment ref="U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如果与我们的芯片进口价格差异不大（不超过10%），且原因均因为不同批次，历史给封测厂的芯片成本价格较高导致的，可以使用该公式。公式=（原厂价格-芯片定价）/芯片定价</t>
        </r>
      </text>
    </comment>
    <comment ref="V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1099231206151615 （销售主体香港比特，就在香港比特下面下载加载单） 订单加载成功：仓库=销售主体，本期实发数量=订单行数量，箱数=实际箱数，是否报关=是，抬头报关=海南比特大陆科技有限公司，报关单价=进口单价美金，发货日期=下单日期，成交方式=FOB，物流商=自提，备注（货代+税代）如，货代香远，税代讯宇</t>
        </r>
      </text>
    </comment>
    <comment ref="I1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修改了统计表数量，报关数量154颗</t>
        </r>
      </text>
    </comment>
    <comment ref="L1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实际报关总价5003.46USD</t>
        </r>
      </text>
    </comment>
    <comment ref="H8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=BM1340</t>
        </r>
      </text>
    </comment>
    <comment ref="H11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开始量产
</t>
        </r>
      </text>
    </comment>
    <comment ref="O11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原产8.728价格可能少复制了2，到时候找原厂修改出厂价</t>
        </r>
      </text>
    </comment>
    <comment ref="O362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XJ未测芯片，不含测试费，价格为印尼奥海退XJ的原价格</t>
        </r>
      </text>
    </comment>
    <comment ref="H38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JSCC出深圳，工程批非量产</t>
        </r>
      </text>
    </comment>
    <comment ref="O39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只有封测费</t>
        </r>
      </text>
    </comment>
    <comment ref="O50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只有封测费</t>
        </r>
      </text>
    </comment>
    <comment ref="O75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CJ2504CHH044</t>
        </r>
      </text>
    </comment>
    <comment ref="O76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CJ2504CHH048</t>
        </r>
      </text>
    </comment>
    <comment ref="O76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CJ2504CHH048</t>
        </r>
      </text>
    </comment>
    <comment ref="O76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CJ2504CHH050 </t>
        </r>
      </text>
    </comment>
    <comment ref="O77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CJ2504CHH050 </t>
        </r>
      </text>
    </comment>
    <comment ref="O77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CJ2504CHH054</t>
        </r>
      </text>
    </comment>
    <comment ref="O79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HN20250411-3</t>
        </r>
      </text>
    </comment>
    <comment ref="O79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HN20250411-3</t>
        </r>
      </text>
    </comment>
    <comment ref="O79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80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80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HN20250411-4</t>
        </r>
      </text>
    </comment>
    <comment ref="O80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HN20250411-5</t>
        </r>
      </text>
    </comment>
    <comment ref="O81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价格高于芯片定价
</t>
        </r>
      </text>
    </comment>
    <comment ref="O81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只有加工费</t>
        </r>
      </text>
    </comment>
    <comment ref="O81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250417-7C </t>
        </r>
      </text>
    </comment>
    <comment ref="O82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CJ2504CHH058</t>
        </r>
      </text>
    </comment>
    <comment ref="O824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CJ2504CHH059</t>
        </r>
      </text>
    </comment>
    <comment ref="O82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CJ2504CHH061</t>
        </r>
      </text>
    </comment>
    <comment ref="O82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CJ2504CHH061</t>
        </r>
      </text>
    </comment>
    <comment ref="O83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CJ2504CHH063</t>
        </r>
      </text>
    </comment>
    <comment ref="O83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CJ2504CHH063</t>
        </r>
      </text>
    </comment>
    <comment ref="O87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HN20250425-1</t>
        </r>
      </text>
    </comment>
    <comment ref="O87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HN20250425-1</t>
        </r>
      </text>
    </comment>
    <comment ref="O87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HN20250425-2</t>
        </r>
      </text>
    </comment>
    <comment ref="O938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250512-7A</t>
        </r>
      </text>
    </comment>
    <comment ref="O93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250512-7C</t>
        </r>
      </text>
    </comment>
    <comment ref="H155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工程批</t>
        </r>
      </text>
    </comment>
    <comment ref="H161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开始量产</t>
        </r>
      </text>
    </comment>
    <comment ref="H162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工程批非量产</t>
        </r>
      </text>
    </comment>
    <comment ref="H166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焦键小批量，工程批</t>
        </r>
      </text>
    </comment>
    <comment ref="O167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验证费</t>
        </r>
      </text>
    </comment>
    <comment ref="H1721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dummy假片，按照BM1373AA芯片进口</t>
        </r>
      </text>
    </comment>
    <comment ref="H1733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PB2540PB=BM1340
</t>
        </r>
      </text>
    </comment>
    <comment ref="H1735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非量产</t>
        </r>
      </text>
    </comment>
    <comment ref="O174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只有验证费</t>
        </r>
      </text>
    </comment>
    <comment ref="H174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SPILSZ已量产
</t>
        </r>
      </text>
    </comment>
    <comment ref="H1756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非量产</t>
        </r>
      </text>
    </comment>
    <comment ref="H1769" authorId="0">
      <text>
        <r>
          <rPr>
            <b/>
            <sz val="9"/>
            <rFont val="宋体"/>
            <charset val="134"/>
          </rPr>
          <t>ESC:XJ 非量产 工程批</t>
        </r>
      </text>
    </comment>
    <comment ref="H179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非量产</t>
        </r>
      </text>
    </comment>
    <comment ref="O181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只有验证费
</t>
        </r>
      </text>
    </comment>
    <comment ref="H1818" authorId="0">
      <text>
        <r>
          <rPr>
            <b/>
            <sz val="9"/>
            <rFont val="宋体"/>
            <charset val="134"/>
          </rPr>
          <t>ESC:非量产</t>
        </r>
      </text>
    </comment>
    <comment ref="H1819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高导热EMC验证,北京研发用</t>
        </r>
      </text>
    </comment>
    <comment ref="H182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按BM1373AA量产价格进口</t>
        </r>
      </text>
    </comment>
    <comment ref="O1820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只有封装费</t>
        </r>
      </text>
    </comment>
    <comment ref="H2087" authorId="0">
      <text>
        <r>
          <rPr>
            <b/>
            <sz val="9"/>
            <rFont val="宋体"/>
            <charset val="134"/>
          </rPr>
          <t>ESC:</t>
        </r>
        <r>
          <rPr>
            <sz val="9"/>
            <rFont val="宋体"/>
            <charset val="134"/>
          </rPr>
          <t xml:space="preserve">
=BM1340</t>
        </r>
      </text>
    </comment>
  </commentList>
</comments>
</file>

<file path=xl/sharedStrings.xml><?xml version="1.0" encoding="utf-8"?>
<sst xmlns="http://schemas.openxmlformats.org/spreadsheetml/2006/main" count="18098" uniqueCount="870">
  <si>
    <t>序号</t>
  </si>
  <si>
    <t>所属月份</t>
  </si>
  <si>
    <t>下单日期</t>
  </si>
  <si>
    <t>销售主体</t>
  </si>
  <si>
    <t>协议</t>
  </si>
  <si>
    <t>供应商</t>
  </si>
  <si>
    <t>型号</t>
  </si>
  <si>
    <t>数量</t>
  </si>
  <si>
    <t>单位</t>
  </si>
  <si>
    <t>报关单价(USD)</t>
  </si>
  <si>
    <t>委托报关总价(USD)</t>
  </si>
  <si>
    <t>原产国</t>
  </si>
  <si>
    <t>申报抬头</t>
  </si>
  <si>
    <t>原厂价格</t>
  </si>
  <si>
    <t>税代</t>
  </si>
  <si>
    <t>SO</t>
  </si>
  <si>
    <t>物料编码/箱数</t>
  </si>
  <si>
    <t>备注（物流商或ERP导出的报关单价</t>
  </si>
  <si>
    <t>定价（USD）</t>
  </si>
  <si>
    <t>SO2</t>
  </si>
  <si>
    <t>新加坡比特</t>
  </si>
  <si>
    <t>集成电路</t>
  </si>
  <si>
    <t>HN</t>
  </si>
  <si>
    <t>BM2382AA</t>
  </si>
  <si>
    <t>PCS</t>
  </si>
  <si>
    <t>中国</t>
  </si>
  <si>
    <t>LH24-020059</t>
  </si>
  <si>
    <t>朗华</t>
  </si>
  <si>
    <t>香港比特</t>
  </si>
  <si>
    <t>JSCC</t>
  </si>
  <si>
    <t>BM1366AL</t>
  </si>
  <si>
    <t>韩国</t>
  </si>
  <si>
    <t>XJ</t>
  </si>
  <si>
    <t>BM1366FO</t>
  </si>
  <si>
    <t>LH24-020067</t>
  </si>
  <si>
    <t>LH24-020132</t>
  </si>
  <si>
    <t>中国台湾</t>
  </si>
  <si>
    <t>BM1366AG</t>
  </si>
  <si>
    <t>LH24-020134</t>
  </si>
  <si>
    <t>TF</t>
  </si>
  <si>
    <t>BM22808A</t>
  </si>
  <si>
    <t>NJVT</t>
  </si>
  <si>
    <t>BM1368PB</t>
  </si>
  <si>
    <t>世纪通</t>
  </si>
  <si>
    <t>LH24-020217</t>
  </si>
  <si>
    <t>LH24-020228</t>
  </si>
  <si>
    <t>SCK</t>
  </si>
  <si>
    <t>BM1370AA</t>
  </si>
  <si>
    <t>LH24-020362</t>
  </si>
  <si>
    <t>LH24-020367</t>
  </si>
  <si>
    <t>BM1368AA</t>
  </si>
  <si>
    <t>LH24-020378</t>
  </si>
  <si>
    <t>LH24-020387</t>
  </si>
  <si>
    <t>LH24-020393</t>
  </si>
  <si>
    <t>LH24-020413</t>
  </si>
  <si>
    <t>LH24-020476</t>
  </si>
  <si>
    <t>BM1366AB</t>
  </si>
  <si>
    <t>LH24-020463</t>
  </si>
  <si>
    <t>LH24-020462</t>
  </si>
  <si>
    <t>SPILSZ</t>
  </si>
  <si>
    <t>LH24-020477</t>
  </si>
  <si>
    <t>LH24-020491</t>
  </si>
  <si>
    <t>LH24-020498</t>
  </si>
  <si>
    <t>26、28</t>
  </si>
  <si>
    <t>LH24-020497</t>
  </si>
  <si>
    <t>LH24-020496</t>
  </si>
  <si>
    <t>LH24-020508</t>
  </si>
  <si>
    <t>LH24-020510</t>
  </si>
  <si>
    <t>LH24-020515</t>
  </si>
  <si>
    <t>LH24-020514</t>
  </si>
  <si>
    <t>LH24-020517</t>
  </si>
  <si>
    <t>LH24-020518</t>
  </si>
  <si>
    <t>BM2110AA</t>
  </si>
  <si>
    <t>LH24-020523</t>
  </si>
  <si>
    <t>BM1368PV</t>
  </si>
  <si>
    <t>LH24-020522</t>
  </si>
  <si>
    <t>LH24-020521</t>
  </si>
  <si>
    <t>LH24-020520</t>
  </si>
  <si>
    <t>LH24-020519</t>
  </si>
  <si>
    <t>LH24-020524</t>
  </si>
  <si>
    <t>LH24-020525</t>
  </si>
  <si>
    <t>LH24-020529</t>
  </si>
  <si>
    <t>LH24-020531</t>
  </si>
  <si>
    <t>LH24-020532</t>
  </si>
  <si>
    <t>LH24-020537</t>
  </si>
  <si>
    <t>LH24-020539</t>
  </si>
  <si>
    <t>LH24-020549</t>
  </si>
  <si>
    <t>LH24-020557</t>
  </si>
  <si>
    <t>LH24-020709</t>
  </si>
  <si>
    <t>APEX</t>
  </si>
  <si>
    <t>LH24-020824</t>
  </si>
  <si>
    <t>LH24-020823</t>
  </si>
  <si>
    <t>LH24-020864</t>
  </si>
  <si>
    <t>LH24-021103</t>
  </si>
  <si>
    <t>LH24-021104</t>
  </si>
  <si>
    <t>LH24-021125</t>
  </si>
  <si>
    <t>LH24-021168</t>
  </si>
  <si>
    <t>LH24-021307</t>
  </si>
  <si>
    <t>LH24-021311</t>
  </si>
  <si>
    <t>BM1366BP</t>
  </si>
  <si>
    <t>LH24-021349</t>
  </si>
  <si>
    <t>LH24-021386</t>
  </si>
  <si>
    <t>BM1368PM</t>
  </si>
  <si>
    <t>LH24-021571</t>
  </si>
  <si>
    <t>LH24-021836</t>
  </si>
  <si>
    <t>LH24-021858</t>
  </si>
  <si>
    <t>LH24-021870</t>
  </si>
  <si>
    <t>LH24-021857</t>
  </si>
  <si>
    <t>LH24-021890</t>
  </si>
  <si>
    <t>LH24-030090</t>
  </si>
  <si>
    <t>BM1370PB</t>
  </si>
  <si>
    <t>LH24-030113</t>
  </si>
  <si>
    <t>LH24-030220</t>
  </si>
  <si>
    <t>LH24-030312</t>
  </si>
  <si>
    <t>马来西亚</t>
  </si>
  <si>
    <t>LH24-030286</t>
  </si>
  <si>
    <t>LH24-030297</t>
  </si>
  <si>
    <t>LH24-030459</t>
  </si>
  <si>
    <t>BM2042AA</t>
  </si>
  <si>
    <t>LH24-030457</t>
  </si>
  <si>
    <t>BM2280AA</t>
  </si>
  <si>
    <t>进口主体</t>
  </si>
  <si>
    <t>海南比特方舟</t>
  </si>
  <si>
    <t>BM1491AA</t>
  </si>
  <si>
    <t>I-HNBTFZ260116</t>
  </si>
  <si>
    <t>I-HNBTFZ260129</t>
  </si>
  <si>
    <t>求和项:委托报关总价(USD)</t>
  </si>
  <si>
    <t>求和项:委托报关总价(USD)2</t>
  </si>
  <si>
    <t>总计</t>
  </si>
  <si>
    <t>PO</t>
  </si>
  <si>
    <t>海口世纪云芯</t>
  </si>
  <si>
    <t>BM1370PF</t>
  </si>
  <si>
    <t>LH26-032847</t>
  </si>
  <si>
    <t>HSJ202603200193</t>
  </si>
  <si>
    <t>ASECL</t>
  </si>
  <si>
    <t>BM1370BC</t>
  </si>
  <si>
    <t>LH26-032973</t>
  </si>
  <si>
    <t>HSJ202603200194</t>
  </si>
  <si>
    <t>9板93箱+4纸箱</t>
  </si>
  <si>
    <t>HSJ202603200294</t>
  </si>
  <si>
    <t>LH26-032909</t>
  </si>
  <si>
    <t>HSJ202603200295</t>
  </si>
  <si>
    <t>10木箱+1纸箱</t>
  </si>
  <si>
    <t>I-HKSJYX260320</t>
  </si>
  <si>
    <t>SZK202603201793</t>
  </si>
  <si>
    <t>3木箱</t>
  </si>
  <si>
    <t>SZK202603207993</t>
  </si>
  <si>
    <t>1木箱</t>
  </si>
  <si>
    <t>BM1370PA</t>
  </si>
  <si>
    <t>LH26-032974</t>
  </si>
  <si>
    <t>HSJ202603210193</t>
  </si>
  <si>
    <t>HSJ202603210194</t>
  </si>
  <si>
    <t>2纸箱</t>
  </si>
  <si>
    <t>HSJ202603210294</t>
  </si>
  <si>
    <t>4纸箱+2木箱</t>
  </si>
  <si>
    <t>I-HKSJYX260323</t>
  </si>
  <si>
    <t>HSJ202603230294</t>
  </si>
  <si>
    <t>2木箱</t>
  </si>
  <si>
    <t>I-HKSJYX260323A</t>
  </si>
  <si>
    <t>HSJ202603230295</t>
  </si>
  <si>
    <t>4托4箱+8木箱</t>
  </si>
  <si>
    <t>I-HKSJYX260331</t>
  </si>
  <si>
    <t>HSJ202603300194</t>
  </si>
  <si>
    <t>1155260331091850</t>
  </si>
  <si>
    <t>1板12箱</t>
  </si>
  <si>
    <t>朗华5，世纪通3，富森2</t>
  </si>
  <si>
    <t>(空白)</t>
  </si>
  <si>
    <t>富森</t>
  </si>
  <si>
    <t>深圳世纪云芯</t>
  </si>
  <si>
    <t>SPILTW</t>
  </si>
  <si>
    <t>BM1374AA</t>
  </si>
  <si>
    <t>I-SJYX260103</t>
  </si>
  <si>
    <t>ASE</t>
  </si>
  <si>
    <t>BM1373BS</t>
  </si>
  <si>
    <t>I-SJYX260103A</t>
  </si>
  <si>
    <t>LH26-010387</t>
  </si>
  <si>
    <t>BM1373CC</t>
  </si>
  <si>
    <t>LH26-010414</t>
  </si>
  <si>
    <t>2木箱1纸箱</t>
  </si>
  <si>
    <t>BM1373AA</t>
  </si>
  <si>
    <t>I-SJYX260108</t>
  </si>
  <si>
    <t>I-SJYX260108A</t>
  </si>
  <si>
    <t>LH26-010858</t>
  </si>
  <si>
    <t>LH26-011052</t>
  </si>
  <si>
    <t>LH26-011245</t>
  </si>
  <si>
    <t>LH26-011506</t>
  </si>
  <si>
    <t>1纸箱</t>
  </si>
  <si>
    <t>9纸箱+3木箱</t>
  </si>
  <si>
    <t>I-SJYX260119</t>
  </si>
  <si>
    <t>BM1340BA</t>
  </si>
  <si>
    <t>I-SJYX260119A</t>
  </si>
  <si>
    <t>LH26-011692</t>
  </si>
  <si>
    <t>FA260106608</t>
  </si>
  <si>
    <t>FA260106609</t>
  </si>
  <si>
    <t>FA260106610</t>
  </si>
  <si>
    <t>BM1374CC</t>
  </si>
  <si>
    <t>I-SJYX260122</t>
  </si>
  <si>
    <t>FA260106611</t>
  </si>
  <si>
    <t>LH26-012241</t>
  </si>
  <si>
    <t>LH26-012242</t>
  </si>
  <si>
    <t>I-SJYX260127</t>
  </si>
  <si>
    <t>LH26-012442</t>
  </si>
  <si>
    <t>I-SJYX260127A</t>
  </si>
  <si>
    <t>1木箱+1纸箱</t>
  </si>
  <si>
    <t>I-SJYX260128</t>
  </si>
  <si>
    <t>I-SJYX260130</t>
  </si>
  <si>
    <t>I-SJYX260131</t>
  </si>
  <si>
    <t>LH26-020098</t>
  </si>
  <si>
    <t>2木箱+1纸箱</t>
  </si>
  <si>
    <t>FA260207349</t>
  </si>
  <si>
    <t>I-SJYX260204</t>
  </si>
  <si>
    <t>I-SJYX260206</t>
  </si>
  <si>
    <t>I-SJYX260206A</t>
  </si>
  <si>
    <t>LH26-020977</t>
  </si>
  <si>
    <t>LH26-020995</t>
  </si>
  <si>
    <t>I-SJYX260211</t>
  </si>
  <si>
    <t>FA260207350</t>
  </si>
  <si>
    <t>I-SJYX260211A</t>
  </si>
  <si>
    <t>PB2540</t>
  </si>
  <si>
    <t>FA260207351</t>
  </si>
  <si>
    <t>LH26-021196</t>
  </si>
  <si>
    <t>I-SJYX260214</t>
  </si>
  <si>
    <t>LH26-021208</t>
  </si>
  <si>
    <t>LH26-021209</t>
  </si>
  <si>
    <t>FA260207352</t>
  </si>
  <si>
    <t>BM1373BM</t>
  </si>
  <si>
    <t>LH26-021331</t>
  </si>
  <si>
    <t>LH26-021375</t>
  </si>
  <si>
    <t>3纸箱+2木箱</t>
  </si>
  <si>
    <t>1纸箱+2木箱</t>
  </si>
  <si>
    <t>I-SJYX260226</t>
  </si>
  <si>
    <t>LH26-027573</t>
  </si>
  <si>
    <t>I-SJYX260302</t>
  </si>
  <si>
    <t>I-SJYX260302A</t>
  </si>
  <si>
    <t>LH26-030387</t>
  </si>
  <si>
    <t>FA260308912</t>
  </si>
  <si>
    <t>FA260308913</t>
  </si>
  <si>
    <t>I-SJYX260306</t>
  </si>
  <si>
    <t>I-SJYX260306A</t>
  </si>
  <si>
    <t>LH26-030843</t>
  </si>
  <si>
    <t>SZK202603090187</t>
  </si>
  <si>
    <t>1155260309173738</t>
  </si>
  <si>
    <t>LH26-030841</t>
  </si>
  <si>
    <t>SZK202603090182</t>
  </si>
  <si>
    <t>1155260309173045</t>
  </si>
  <si>
    <t>SZK202603090185</t>
  </si>
  <si>
    <t>1155260309173053</t>
  </si>
  <si>
    <t>LH26-031056</t>
  </si>
  <si>
    <t>SZK202603110187</t>
  </si>
  <si>
    <t>1155260311171130</t>
  </si>
  <si>
    <t>SZK202603110182</t>
  </si>
  <si>
    <t>1155260311171145</t>
  </si>
  <si>
    <t>SZK202603110185</t>
  </si>
  <si>
    <t>1155260311171157</t>
  </si>
  <si>
    <t>I-SJYX260312</t>
  </si>
  <si>
    <t>SZK202603120182</t>
  </si>
  <si>
    <t>1155260312185222</t>
  </si>
  <si>
    <t>SZK202603120185</t>
  </si>
  <si>
    <t>1155260312185235</t>
  </si>
  <si>
    <t>LH26-031570</t>
  </si>
  <si>
    <t>SZK202603160185</t>
  </si>
  <si>
    <t>SZK202603160182</t>
  </si>
  <si>
    <t>FA260308914</t>
  </si>
  <si>
    <t>SZK202603190993</t>
  </si>
  <si>
    <t>1155260319161409</t>
  </si>
  <si>
    <t>FA260308915</t>
  </si>
  <si>
    <t>SZK202603201093</t>
  </si>
  <si>
    <t>SZK202603200993</t>
  </si>
  <si>
    <t>LH26-032975</t>
  </si>
  <si>
    <t>SZK202603210931</t>
  </si>
  <si>
    <t>SZK202603210993</t>
  </si>
  <si>
    <t>4纸箱</t>
  </si>
  <si>
    <t>SZK202603211793</t>
  </si>
  <si>
    <t>BM1746AA</t>
  </si>
  <si>
    <t>SZK202603217993</t>
  </si>
  <si>
    <t>FA260308916</t>
  </si>
  <si>
    <t>SZK202603261790</t>
  </si>
  <si>
    <t>1155260326171240</t>
  </si>
  <si>
    <t>6托7箱</t>
  </si>
  <si>
    <t>SZK202603261791</t>
  </si>
  <si>
    <t>1155260326171330</t>
  </si>
  <si>
    <t>I-SJYX260327</t>
  </si>
  <si>
    <t>SZK202603271790</t>
  </si>
  <si>
    <t>1155260327135510</t>
  </si>
  <si>
    <t>12箱</t>
  </si>
  <si>
    <t>LH26-033504</t>
  </si>
  <si>
    <t>SZK202603271791</t>
  </si>
  <si>
    <t>1155260327135520</t>
  </si>
  <si>
    <t>1纸箱+1木箱</t>
  </si>
  <si>
    <t>SZK202603271792</t>
  </si>
  <si>
    <t>1155260327135640</t>
  </si>
  <si>
    <t>LH26-033761</t>
  </si>
  <si>
    <t>SZK202603301793</t>
  </si>
  <si>
    <t>1155260331091827</t>
  </si>
  <si>
    <t>3纸箱</t>
  </si>
  <si>
    <t>BM1493AA</t>
  </si>
  <si>
    <t>I-SJYX260402</t>
  </si>
  <si>
    <t>SZK202604021002</t>
  </si>
  <si>
    <t>1155260402150018</t>
  </si>
  <si>
    <t>SZK202604021003</t>
  </si>
  <si>
    <t>1155260402150027</t>
  </si>
  <si>
    <t>I-SJYX260403</t>
  </si>
  <si>
    <t>SZK202604031000</t>
  </si>
  <si>
    <t>1155260403114207</t>
  </si>
  <si>
    <t>2托2箱</t>
  </si>
  <si>
    <t>SZK202604031001</t>
  </si>
  <si>
    <t>1155260403114216</t>
  </si>
  <si>
    <t>LH26-040358</t>
  </si>
  <si>
    <t>SZK202604071000</t>
  </si>
  <si>
    <t>7托7箱+1木箱</t>
  </si>
  <si>
    <t>SZK202604071001</t>
  </si>
  <si>
    <t>I-SJYX260408</t>
  </si>
  <si>
    <t>SZK202604081000</t>
  </si>
  <si>
    <t>1155260408161055</t>
  </si>
  <si>
    <t>1托1箱</t>
  </si>
  <si>
    <t>FA260407155</t>
  </si>
  <si>
    <t>SZK202604101000</t>
  </si>
  <si>
    <t>1155260410152830</t>
  </si>
  <si>
    <t>FA260407156</t>
  </si>
  <si>
    <t>SZK202604101001</t>
  </si>
  <si>
    <t>1155260410152838</t>
  </si>
  <si>
    <t>5箱</t>
  </si>
  <si>
    <t>I-SJYX260414</t>
  </si>
  <si>
    <t>SZK202604141000</t>
  </si>
  <si>
    <t>1155260414112703</t>
  </si>
  <si>
    <t>5托5箱</t>
  </si>
  <si>
    <t>LH26-041622</t>
  </si>
  <si>
    <t>SZK202604151000</t>
  </si>
  <si>
    <t>1155260415172815</t>
  </si>
  <si>
    <t>2箱</t>
  </si>
  <si>
    <t>LH26-041763</t>
  </si>
  <si>
    <t>SZK202604161000</t>
  </si>
  <si>
    <t>1155260416173404</t>
  </si>
  <si>
    <t>4托4箱+1木箱</t>
  </si>
  <si>
    <t>SZK202604161001</t>
  </si>
  <si>
    <t>1155260416173409</t>
  </si>
  <si>
    <t>FA260407157</t>
  </si>
  <si>
    <t>SZK202604171000</t>
  </si>
  <si>
    <t>1155260417152904</t>
  </si>
  <si>
    <t>I-SJYX260417</t>
  </si>
  <si>
    <t>SZK202604171001</t>
  </si>
  <si>
    <t>1155260417152912</t>
  </si>
  <si>
    <t>1箱</t>
  </si>
  <si>
    <t>FA260407158</t>
  </si>
  <si>
    <t>SZK202604201000</t>
  </si>
  <si>
    <t>1155260420101023</t>
  </si>
  <si>
    <t>3箱</t>
  </si>
  <si>
    <t>I-SJYX260423</t>
  </si>
  <si>
    <t>SZK202604231000</t>
  </si>
  <si>
    <t>1155260423111645</t>
  </si>
  <si>
    <t>I-SJYX260423A</t>
  </si>
  <si>
    <t>SZK202604231001</t>
  </si>
  <si>
    <t>1155260423170848</t>
  </si>
  <si>
    <t>18箱</t>
  </si>
  <si>
    <t>SZK202604231002</t>
  </si>
  <si>
    <t>1155260423170857</t>
  </si>
  <si>
    <t>SZK202604231003</t>
  </si>
  <si>
    <t>1155260423170905</t>
  </si>
  <si>
    <t>SZK202604231004</t>
  </si>
  <si>
    <t>1155260423170916</t>
  </si>
  <si>
    <t>I-SJYX260425</t>
  </si>
  <si>
    <t>BM1374PA</t>
  </si>
  <si>
    <t>I-SJYX260502</t>
  </si>
  <si>
    <t>SZK202605030185</t>
  </si>
  <si>
    <t>I-SJYX260505</t>
  </si>
  <si>
    <t>SZK202605061000</t>
  </si>
  <si>
    <t>1155260506103457</t>
  </si>
  <si>
    <t>LH26-050030</t>
  </si>
  <si>
    <t>SZK202605061001</t>
  </si>
  <si>
    <t>1155260506103517</t>
  </si>
  <si>
    <t>LH26-050052</t>
  </si>
  <si>
    <t>SZK202605061002</t>
  </si>
  <si>
    <t>1155260506111638</t>
  </si>
  <si>
    <t>4托4箱</t>
  </si>
  <si>
    <t>I-SJYX260508</t>
  </si>
  <si>
    <t>LH26-050454</t>
  </si>
  <si>
    <t>SZK202605091000</t>
  </si>
  <si>
    <t>1155260509144538</t>
  </si>
  <si>
    <t>LH26-050491</t>
  </si>
  <si>
    <t>SZK202605110185</t>
  </si>
  <si>
    <t>1155260511190750</t>
  </si>
  <si>
    <t>SZK202605110186</t>
  </si>
  <si>
    <t>1155260511190804</t>
  </si>
  <si>
    <t>11纸箱</t>
  </si>
  <si>
    <t>WINSTEK</t>
  </si>
  <si>
    <t>I-SJYX260513</t>
  </si>
  <si>
    <t>SZK202605130185</t>
  </si>
  <si>
    <t>1155260513162258</t>
  </si>
  <si>
    <t>13纸箱</t>
  </si>
  <si>
    <t>LH26-051176</t>
  </si>
  <si>
    <t>6箱</t>
  </si>
  <si>
    <t>FA260508522</t>
  </si>
  <si>
    <t>4箱</t>
  </si>
  <si>
    <t>商品</t>
  </si>
  <si>
    <t>报关单价        (USD)</t>
  </si>
  <si>
    <t>关税     (RMB)</t>
  </si>
  <si>
    <t>入仓号</t>
  </si>
  <si>
    <t>物料编码</t>
  </si>
  <si>
    <t>晶体管</t>
  </si>
  <si>
    <t>威健</t>
  </si>
  <si>
    <t>IMZC120R040M2H</t>
  </si>
  <si>
    <t>LH26-010140</t>
  </si>
  <si>
    <t>SZ5502</t>
  </si>
  <si>
    <t>Y11030519</t>
  </si>
  <si>
    <t>IPW95R130PFD7</t>
  </si>
  <si>
    <t>Y11030507</t>
  </si>
  <si>
    <t>安富利</t>
  </si>
  <si>
    <t>HR1000AGS-Z</t>
  </si>
  <si>
    <t>LH26-010137</t>
  </si>
  <si>
    <t>Y090HR1000C8</t>
  </si>
  <si>
    <t>MP9931GR-Z</t>
  </si>
  <si>
    <t>LH26-010134</t>
  </si>
  <si>
    <t>Y09010563</t>
  </si>
  <si>
    <t>多元件集成电路</t>
  </si>
  <si>
    <t>文晔</t>
  </si>
  <si>
    <t>LM75AD，118</t>
  </si>
  <si>
    <t>LH26-010067</t>
  </si>
  <si>
    <t>Y09A0LM75AC2</t>
  </si>
  <si>
    <t>MP8796BGVT-3333-Z</t>
  </si>
  <si>
    <t>LH26-010335</t>
  </si>
  <si>
    <t>Y090MP879601</t>
  </si>
  <si>
    <t>MP9442GJ-Z</t>
  </si>
  <si>
    <t>LH26-010350</t>
  </si>
  <si>
    <t>Y09010564</t>
  </si>
  <si>
    <t>ISL99360FRZ-T</t>
  </si>
  <si>
    <t>Y09099360F75</t>
  </si>
  <si>
    <t>光敏半导体器件</t>
  </si>
  <si>
    <t>肖克利</t>
  </si>
  <si>
    <t>TLP170J(TP,F)</t>
  </si>
  <si>
    <t>I-ZNYXSH260109</t>
  </si>
  <si>
    <t>TPH1R306PL,LQ(M1W</t>
  </si>
  <si>
    <t>TPH9R00CQ5,LQ(T</t>
  </si>
  <si>
    <t>LH26-010696</t>
  </si>
  <si>
    <t>LH26-010679</t>
  </si>
  <si>
    <t>LH26-010830</t>
  </si>
  <si>
    <t>LH26-010828</t>
  </si>
  <si>
    <t>I-ZNYXSH260114</t>
  </si>
  <si>
    <t>衡喻</t>
  </si>
  <si>
    <t>STM32G474RBT3</t>
  </si>
  <si>
    <t>LH26-011312</t>
  </si>
  <si>
    <t>Y09260511</t>
  </si>
  <si>
    <t>STM32G030K6T6</t>
  </si>
  <si>
    <t>Y09260512</t>
  </si>
  <si>
    <t>L6599ADTR</t>
  </si>
  <si>
    <t>Y090L6599A01</t>
  </si>
  <si>
    <t>盈凯微</t>
  </si>
  <si>
    <t>CH224A</t>
  </si>
  <si>
    <t>LH26-011311</t>
  </si>
  <si>
    <t>Y09560555</t>
  </si>
  <si>
    <t>LH26-011300</t>
  </si>
  <si>
    <t>IS43TR16128DL-125KBLI</t>
  </si>
  <si>
    <t>LH26-011871</t>
  </si>
  <si>
    <t>Y09F43TR1601</t>
  </si>
  <si>
    <t>MP8904DD-LF-Z</t>
  </si>
  <si>
    <t>LH26-020371</t>
  </si>
  <si>
    <t>Y091MP8904L7</t>
  </si>
  <si>
    <t>MP1653GTF-Z</t>
  </si>
  <si>
    <t>Y090MP1653L4</t>
  </si>
  <si>
    <t>MP2973GQK-0040-Z</t>
  </si>
  <si>
    <t>Y09260004</t>
  </si>
  <si>
    <t>MP86956GMJ-Z</t>
  </si>
  <si>
    <t>Y090MP8695C9</t>
  </si>
  <si>
    <t>ICE2QR4765</t>
  </si>
  <si>
    <t>Y09ICE2Q4765</t>
  </si>
  <si>
    <t>场效应管</t>
  </si>
  <si>
    <t>IPD60R600P7S</t>
  </si>
  <si>
    <t>LH26-020379</t>
  </si>
  <si>
    <t>Y201PD60R09A</t>
  </si>
  <si>
    <t>LH26-020811</t>
  </si>
  <si>
    <t>LH26-021006</t>
  </si>
  <si>
    <t>LH26-021004</t>
  </si>
  <si>
    <t>LH26-021109</t>
  </si>
  <si>
    <t>ISL91212AIIZ-TR5897</t>
  </si>
  <si>
    <t>LH26-021079</t>
  </si>
  <si>
    <t>Y09H91212AH8</t>
  </si>
  <si>
    <t>MT29F2G08ABAGAWP-IT:G</t>
  </si>
  <si>
    <t>LH26-021047</t>
  </si>
  <si>
    <t>Y090GAWPTGF2</t>
  </si>
  <si>
    <t>MT41K128M16JT-125:K</t>
  </si>
  <si>
    <t>Y09FMT41K1B1</t>
  </si>
  <si>
    <t>M88RT51632A1</t>
  </si>
  <si>
    <t>LH26-021320</t>
  </si>
  <si>
    <t>Y09410513</t>
  </si>
  <si>
    <t>TPH2R70AR5,LQ(M1</t>
  </si>
  <si>
    <t>I-ZNYXSH260227</t>
  </si>
  <si>
    <t>接插件</t>
  </si>
  <si>
    <t>新蕾</t>
  </si>
  <si>
    <t>FX23-80P-0.5SV20</t>
  </si>
  <si>
    <t>LH26-030584</t>
  </si>
  <si>
    <t>Y04280545</t>
  </si>
  <si>
    <t>LH26-030515</t>
  </si>
  <si>
    <t>MT53E2G32D4DE-046 WT:C</t>
  </si>
  <si>
    <t>Y09350523</t>
  </si>
  <si>
    <t>MP1608GTL-Z</t>
  </si>
  <si>
    <t>LH26-030875</t>
  </si>
  <si>
    <t>Y09010552</t>
  </si>
  <si>
    <t>LH26-030873</t>
  </si>
  <si>
    <t>IMLT65R040M2H</t>
  </si>
  <si>
    <t>LH26-031413</t>
  </si>
  <si>
    <t>Y11010539</t>
  </si>
  <si>
    <t>IMCQ120R040M2H</t>
  </si>
  <si>
    <t>Y11010538</t>
  </si>
  <si>
    <t>富昌</t>
  </si>
  <si>
    <t>STM32L071C8T6</t>
  </si>
  <si>
    <t>LH26-031354</t>
  </si>
  <si>
    <t>Y09032L07106</t>
  </si>
  <si>
    <t>LH26-031352</t>
  </si>
  <si>
    <t>MPQ8645PGVT-0000-Z</t>
  </si>
  <si>
    <t>Y09060501</t>
  </si>
  <si>
    <t>MPC22175-130-T</t>
  </si>
  <si>
    <t>LH26-031568</t>
  </si>
  <si>
    <t>开关</t>
  </si>
  <si>
    <t>K5V1GN43T</t>
  </si>
  <si>
    <t>LH26-032933</t>
  </si>
  <si>
    <t>Y04HK5VGN405</t>
  </si>
  <si>
    <t>FX10B-144S-SV(21)</t>
  </si>
  <si>
    <t>LH26-032926</t>
  </si>
  <si>
    <t>Y04G84809603</t>
  </si>
  <si>
    <t>Winkee</t>
  </si>
  <si>
    <t>CA-IS3722CHG</t>
  </si>
  <si>
    <t>LH26-040021</t>
  </si>
  <si>
    <t>Y09080516</t>
  </si>
  <si>
    <t>ICK202602270040</t>
  </si>
  <si>
    <t>ISL80113IRAJZ-T</t>
  </si>
  <si>
    <t>LH26-040018</t>
  </si>
  <si>
    <t>Y091SL8013H7</t>
  </si>
  <si>
    <t>ICK202511060039</t>
  </si>
  <si>
    <t>MT53E1G32D2FW-046 WT:B</t>
  </si>
  <si>
    <t>LH26-040257</t>
  </si>
  <si>
    <t>Y09350511</t>
  </si>
  <si>
    <t>ICK202603230007</t>
  </si>
  <si>
    <t>MT62F2G32D4DS-023 WT:C</t>
  </si>
  <si>
    <t>Y09370006</t>
  </si>
  <si>
    <t>MT62F4G32D8DV-023 WT:C</t>
  </si>
  <si>
    <t>Y09370016</t>
  </si>
  <si>
    <t>MT53E512M32D1ZW-046 IT:B</t>
  </si>
  <si>
    <t>Y09350578-SN</t>
  </si>
  <si>
    <t>ICK202603120007</t>
  </si>
  <si>
    <t>LH26-040204</t>
  </si>
  <si>
    <t>ICK202601220073</t>
  </si>
  <si>
    <t>ICK202512110008</t>
  </si>
  <si>
    <t>ISL68224IRAZ-T</t>
  </si>
  <si>
    <t>Y09H68224RB3</t>
  </si>
  <si>
    <t>ICK202512170050</t>
  </si>
  <si>
    <t>LH26-040749</t>
  </si>
  <si>
    <t>ICK202512090005</t>
  </si>
  <si>
    <t>LH26-040873</t>
  </si>
  <si>
    <t>ICK202602270042</t>
  </si>
  <si>
    <t>WMB045N12HG4</t>
  </si>
  <si>
    <t>LH26-040869</t>
  </si>
  <si>
    <t>Y11010551</t>
  </si>
  <si>
    <t>ICK202603190021</t>
  </si>
  <si>
    <t>ICK202603190058</t>
  </si>
  <si>
    <t>LH26-041528</t>
  </si>
  <si>
    <t>ICK202603230006</t>
  </si>
  <si>
    <t>MP2985BGLUT-007A-Z</t>
  </si>
  <si>
    <t>LH26-041444</t>
  </si>
  <si>
    <t>Y09560571-SN</t>
  </si>
  <si>
    <t>ICK202603120002</t>
  </si>
  <si>
    <t>MP5475GU-0008-Z</t>
  </si>
  <si>
    <t>LH26-041647</t>
  </si>
  <si>
    <t>Y09HMP5475B3</t>
  </si>
  <si>
    <t>ICK202507100041</t>
  </si>
  <si>
    <t>RC19020AGN6#BD0</t>
  </si>
  <si>
    <t>LH26-041638</t>
  </si>
  <si>
    <t>Y09400511</t>
  </si>
  <si>
    <t>ICK202510150055</t>
  </si>
  <si>
    <t>NCP4390DR2G</t>
  </si>
  <si>
    <t>LH26-041824</t>
  </si>
  <si>
    <t>Y09540501</t>
  </si>
  <si>
    <t>ICK202604020021</t>
  </si>
  <si>
    <t>LH26-041741</t>
  </si>
  <si>
    <t>ICK202512240051</t>
  </si>
  <si>
    <t>LH26-041892</t>
  </si>
  <si>
    <t>ICK202512050047</t>
  </si>
  <si>
    <t>LH26-042551</t>
  </si>
  <si>
    <t>MP5475GU-0007-Z</t>
  </si>
  <si>
    <t>Y09HMP547500</t>
  </si>
  <si>
    <t>ICK202503170028</t>
  </si>
  <si>
    <t>ICK202506190082</t>
  </si>
  <si>
    <t>IPL60R125P7</t>
  </si>
  <si>
    <t>Y20360R12010</t>
  </si>
  <si>
    <t>ICK202505290102</t>
  </si>
  <si>
    <t>ICK202505260035</t>
  </si>
  <si>
    <t>LH26-042549</t>
  </si>
  <si>
    <t>FX10B-144P-SV1(91)</t>
  </si>
  <si>
    <t>LH26-042548</t>
  </si>
  <si>
    <t>Y04284809603</t>
  </si>
  <si>
    <t>ICK202604150063</t>
  </si>
  <si>
    <t>MORRIHAN</t>
  </si>
  <si>
    <t>MT53E512M32D1ZW-046 WT:B</t>
  </si>
  <si>
    <t>LH26-042805</t>
  </si>
  <si>
    <t>Y09350509</t>
  </si>
  <si>
    <t>ICK202604150037</t>
  </si>
  <si>
    <t>MT53E1G32D2FW-046 IT:B</t>
  </si>
  <si>
    <t>Y09350577-SN</t>
  </si>
  <si>
    <t>ICK202604150066</t>
  </si>
  <si>
    <t>LH26-042794</t>
  </si>
  <si>
    <t>R5F572TFEGFP#10</t>
  </si>
  <si>
    <t>Y090R5F57202</t>
  </si>
  <si>
    <t>ICK202508140066</t>
  </si>
  <si>
    <t>LH26-042793</t>
  </si>
  <si>
    <t>ICK202508060038</t>
  </si>
  <si>
    <t>LH26-042896</t>
  </si>
  <si>
    <t>ICK202601140023</t>
  </si>
  <si>
    <t>IPD60R180P7S</t>
  </si>
  <si>
    <t>Y11010547</t>
  </si>
  <si>
    <t>ICK202603120032</t>
  </si>
  <si>
    <t>LH26-043160</t>
  </si>
  <si>
    <t>ICK202504300066</t>
  </si>
  <si>
    <t>LH26-050124</t>
  </si>
  <si>
    <t>LH26-050080</t>
  </si>
  <si>
    <t>武汉力源</t>
  </si>
  <si>
    <t>FAN7688SJX</t>
  </si>
  <si>
    <t>LH26-050599</t>
  </si>
  <si>
    <t>Y090AN768834</t>
  </si>
  <si>
    <t>ICK202512050041/ICK202601150020/ICK202601070050/ICK202512050041</t>
  </si>
  <si>
    <t>LH26-050598</t>
  </si>
  <si>
    <t>ICK202603270035/ICK202601150020/ICK202601070050</t>
  </si>
  <si>
    <t>LH26-050570</t>
  </si>
  <si>
    <t>LH26-050569</t>
  </si>
  <si>
    <t>LH26-050568</t>
  </si>
  <si>
    <t>ICK202603190056</t>
  </si>
  <si>
    <t>LH26-050704</t>
  </si>
  <si>
    <t>ICK202601290029</t>
  </si>
  <si>
    <t>LH26-050865</t>
  </si>
  <si>
    <t>ICK202603270038</t>
  </si>
  <si>
    <t>LH26-051285</t>
  </si>
  <si>
    <t>LH26-051282</t>
  </si>
  <si>
    <t>ICK202605080005</t>
  </si>
  <si>
    <t>ICK202602270043</t>
  </si>
  <si>
    <t>LH26-051440</t>
  </si>
  <si>
    <t>LH26-051419</t>
  </si>
  <si>
    <t>BM1370PP</t>
  </si>
  <si>
    <t>韩</t>
  </si>
  <si>
    <t>1099240104113357</t>
  </si>
  <si>
    <t>BM2380AA</t>
  </si>
  <si>
    <t>中</t>
  </si>
  <si>
    <t>LH24-010059</t>
  </si>
  <si>
    <t>1099240103163712</t>
  </si>
  <si>
    <t>BM1489</t>
  </si>
  <si>
    <t>LH24-010094</t>
  </si>
  <si>
    <t>1099240103163747</t>
  </si>
  <si>
    <t>1099240103163822</t>
  </si>
  <si>
    <t>LH24-010187</t>
  </si>
  <si>
    <t>1099240103163903</t>
  </si>
  <si>
    <t>1099240103163938</t>
  </si>
  <si>
    <t>LH24-010253</t>
  </si>
  <si>
    <t>1099240104115607</t>
  </si>
  <si>
    <t>LH24-010250</t>
  </si>
  <si>
    <t>1099240104115642</t>
  </si>
  <si>
    <t>1099240104115718</t>
  </si>
  <si>
    <t>LH24-010369</t>
  </si>
  <si>
    <t>1099240105145147</t>
  </si>
  <si>
    <t>台</t>
  </si>
  <si>
    <t>1099240105145318</t>
  </si>
  <si>
    <t>LH24-010360</t>
  </si>
  <si>
    <t>1099240105145408</t>
  </si>
  <si>
    <t>1099240105145450</t>
  </si>
  <si>
    <t>1099240105145655</t>
  </si>
  <si>
    <t>1099240105211810</t>
  </si>
  <si>
    <t>LH24-010661</t>
  </si>
  <si>
    <t>1099240105211846</t>
  </si>
  <si>
    <t>1099240105211930</t>
  </si>
  <si>
    <t>LH24-010657</t>
  </si>
  <si>
    <t>LH24-010660</t>
  </si>
  <si>
    <t>1099240105212006</t>
  </si>
  <si>
    <t>1099240108134150</t>
  </si>
  <si>
    <t>1099240108134231</t>
  </si>
  <si>
    <t>1099240109105940</t>
  </si>
  <si>
    <t>1099240109110245</t>
  </si>
  <si>
    <t>1099240109110418</t>
  </si>
  <si>
    <t>1099240109110529</t>
  </si>
  <si>
    <t>LH24-010777</t>
  </si>
  <si>
    <t>1099240109110604</t>
  </si>
  <si>
    <t>1099240109110726</t>
  </si>
  <si>
    <t>1099240109110814</t>
  </si>
  <si>
    <t>1099240109110847</t>
  </si>
  <si>
    <t>1099240109110937</t>
  </si>
  <si>
    <t>BM1366BS</t>
  </si>
  <si>
    <t>1099240110163604</t>
  </si>
  <si>
    <t>LH24-010962</t>
  </si>
  <si>
    <t>1099240110163719</t>
  </si>
  <si>
    <t>1099240110163847</t>
  </si>
  <si>
    <t>1099240110164108</t>
  </si>
  <si>
    <t>1099240110164155</t>
  </si>
  <si>
    <t>LH24-010948</t>
  </si>
  <si>
    <t>1099240110164314</t>
  </si>
  <si>
    <t>1099240110164405</t>
  </si>
  <si>
    <t>LH24-010996</t>
  </si>
  <si>
    <t>1099240110165407</t>
  </si>
  <si>
    <t>1099240110164526</t>
  </si>
  <si>
    <t>1099240110164608</t>
  </si>
  <si>
    <t>LH24-010989</t>
  </si>
  <si>
    <t>1099240110165328</t>
  </si>
  <si>
    <t>1099240110165114</t>
  </si>
  <si>
    <t>LH24-011103</t>
  </si>
  <si>
    <t>1099240111183151</t>
  </si>
  <si>
    <t>1099240111183230</t>
  </si>
  <si>
    <t>LH24-011105</t>
  </si>
  <si>
    <t>1099240111183308</t>
  </si>
  <si>
    <t>1099240111183351</t>
  </si>
  <si>
    <t>1099240111183433</t>
  </si>
  <si>
    <t>1099240111183515</t>
  </si>
  <si>
    <t>1099240111183550</t>
  </si>
  <si>
    <t>1099240111183638</t>
  </si>
  <si>
    <t>LH24-011321</t>
  </si>
  <si>
    <t>1099240112200309</t>
  </si>
  <si>
    <t>1099240112200355</t>
  </si>
  <si>
    <t>LH24-011323</t>
  </si>
  <si>
    <t>1099240112200444</t>
  </si>
  <si>
    <t>1099240112200746</t>
  </si>
  <si>
    <t>1099240112200700</t>
  </si>
  <si>
    <t>1099240112200615</t>
  </si>
  <si>
    <t>LH24-011352</t>
  </si>
  <si>
    <t>1099240112200917</t>
  </si>
  <si>
    <t>LH24-011516</t>
  </si>
  <si>
    <t>1099240114100316</t>
  </si>
  <si>
    <t>1099240114100422</t>
  </si>
  <si>
    <t>LH24-011487</t>
  </si>
  <si>
    <t>1099240114100544</t>
  </si>
  <si>
    <t>1099240114100504</t>
  </si>
  <si>
    <t>LH24-011473</t>
  </si>
  <si>
    <t>1099240114100709</t>
  </si>
  <si>
    <t>1099240114100755</t>
  </si>
  <si>
    <t>LH24-011515</t>
  </si>
  <si>
    <t>1099240114100627</t>
  </si>
  <si>
    <t>LH24-011579</t>
  </si>
  <si>
    <t>1099240114100900</t>
  </si>
  <si>
    <t>1099240114100950</t>
  </si>
  <si>
    <t>LH24-011580</t>
  </si>
  <si>
    <t>1099240114101030</t>
  </si>
  <si>
    <t>LH24-011644</t>
  </si>
  <si>
    <t>1099240116145842</t>
  </si>
  <si>
    <t>LH24-011788</t>
  </si>
  <si>
    <t>1099240117111705</t>
  </si>
  <si>
    <t>LH24-011813</t>
  </si>
  <si>
    <t>1099240117111804</t>
  </si>
  <si>
    <t>LH24-011855</t>
  </si>
  <si>
    <t>1099240117112900</t>
  </si>
  <si>
    <t>LH24-011854</t>
  </si>
  <si>
    <t>1099240118101346</t>
  </si>
  <si>
    <t>1099240118101246</t>
  </si>
  <si>
    <t>LH24-011915</t>
  </si>
  <si>
    <t>1099240117111903</t>
  </si>
  <si>
    <t>LH24-011792</t>
  </si>
  <si>
    <t>1099240118163825</t>
  </si>
  <si>
    <t>12托</t>
  </si>
  <si>
    <t>1099240118163920</t>
  </si>
  <si>
    <t>LH24-012102</t>
  </si>
  <si>
    <t>1099240118164346</t>
  </si>
  <si>
    <t>LH24-012107</t>
  </si>
  <si>
    <t>1099240118164305</t>
  </si>
  <si>
    <t>1099240118164219</t>
  </si>
  <si>
    <t>LH24-012044</t>
  </si>
  <si>
    <t>LH24-012097</t>
  </si>
  <si>
    <t>1099240118163548</t>
  </si>
  <si>
    <t>1099240118163436</t>
  </si>
  <si>
    <t>1099240118163625</t>
  </si>
  <si>
    <t>LH24-012113</t>
  </si>
  <si>
    <t>1099240118164130</t>
  </si>
  <si>
    <t>LH24-012208</t>
  </si>
  <si>
    <t>1099240119120218</t>
  </si>
  <si>
    <t>LH24-012207</t>
  </si>
  <si>
    <t>1099240119120658</t>
  </si>
  <si>
    <t>1099240119120618</t>
  </si>
  <si>
    <t>LH24-012266</t>
  </si>
  <si>
    <t>1099240119120737</t>
  </si>
  <si>
    <t>1099240119120814</t>
  </si>
  <si>
    <t>LH24-012311</t>
  </si>
  <si>
    <t>1099240119120321</t>
  </si>
  <si>
    <t>LH24-012307</t>
  </si>
  <si>
    <t>1099240119120402</t>
  </si>
  <si>
    <t>1099240119120535</t>
  </si>
  <si>
    <t>1-2</t>
  </si>
  <si>
    <t>1-3</t>
  </si>
  <si>
    <t>1-1</t>
  </si>
  <si>
    <t>1-6</t>
  </si>
  <si>
    <t>1-4</t>
  </si>
  <si>
    <t>LH24-012356</t>
  </si>
  <si>
    <t>1099240122095417</t>
  </si>
  <si>
    <t>LH24-012358</t>
  </si>
  <si>
    <t>1099240122095340</t>
  </si>
  <si>
    <t>1099240122095302</t>
  </si>
  <si>
    <t>1099240122095923</t>
  </si>
  <si>
    <t>LH24-012404</t>
  </si>
  <si>
    <t>1099240122100003</t>
  </si>
  <si>
    <t>LH24-012446</t>
  </si>
  <si>
    <t>1099240122095539</t>
  </si>
  <si>
    <t>1099240122095617</t>
  </si>
  <si>
    <t>1099240122095649</t>
  </si>
  <si>
    <t>1099240122095500</t>
  </si>
  <si>
    <t>1099240122100100</t>
  </si>
  <si>
    <t>LH24-012513</t>
  </si>
  <si>
    <t>1099240123173048</t>
  </si>
  <si>
    <t>LH24-012227</t>
  </si>
  <si>
    <t>1099240123172624</t>
  </si>
  <si>
    <t>AG 286、AL 446</t>
  </si>
  <si>
    <t>1099240123172705</t>
  </si>
  <si>
    <t>LH24-012609</t>
  </si>
  <si>
    <t>1099240123173007</t>
  </si>
  <si>
    <t>LH24-012624</t>
  </si>
  <si>
    <t>1099240125155636</t>
  </si>
  <si>
    <t>LH24-012600</t>
  </si>
  <si>
    <t>1099240123172740</t>
  </si>
  <si>
    <t>1099240123172821</t>
  </si>
  <si>
    <t>LH24-012634</t>
  </si>
  <si>
    <t>1099240123172855</t>
  </si>
  <si>
    <t>1099240123172936</t>
  </si>
  <si>
    <t>LH24-012839</t>
  </si>
  <si>
    <t>1099240124200245</t>
  </si>
  <si>
    <t>LH24-012838</t>
  </si>
  <si>
    <t>1099240124200337</t>
  </si>
  <si>
    <t>1099240124200418</t>
  </si>
  <si>
    <t>LH24-012837</t>
  </si>
  <si>
    <t>1099240124200459</t>
  </si>
  <si>
    <t>BM2130AA</t>
  </si>
  <si>
    <t>LH24-012868</t>
  </si>
  <si>
    <t>1099240125163156</t>
  </si>
  <si>
    <t>LH24-012872</t>
  </si>
  <si>
    <t>1099240125163416</t>
  </si>
  <si>
    <t>1099240125163627</t>
  </si>
  <si>
    <t>1099240125163446</t>
  </si>
  <si>
    <t>LH24-012897</t>
  </si>
  <si>
    <t>1099240125163236</t>
  </si>
  <si>
    <t>LH24-012938</t>
  </si>
  <si>
    <t>1099240125163306</t>
  </si>
  <si>
    <t>1099240125163518</t>
  </si>
  <si>
    <t>1099240125163346</t>
  </si>
  <si>
    <t>1099240125163549</t>
  </si>
  <si>
    <t>LH24-013015</t>
  </si>
  <si>
    <t>1099240125162929</t>
  </si>
  <si>
    <t>LH24-013014</t>
  </si>
  <si>
    <t>1099240125163007</t>
  </si>
  <si>
    <t>1099240125163126</t>
  </si>
  <si>
    <t>1099240125163038</t>
  </si>
  <si>
    <t>LH24-013062</t>
  </si>
  <si>
    <t>1099240129103204</t>
  </si>
  <si>
    <t>LH24-013067</t>
  </si>
  <si>
    <t>1099240126181634</t>
  </si>
  <si>
    <t>LH24-013065</t>
  </si>
  <si>
    <t>1099240126181752</t>
  </si>
  <si>
    <t>LH24-013186</t>
  </si>
  <si>
    <t>1099240127160340</t>
  </si>
  <si>
    <t>LH24-013191</t>
  </si>
  <si>
    <t>1099240127160429</t>
  </si>
  <si>
    <t>1099240127160503</t>
  </si>
  <si>
    <t>1099240129103749</t>
  </si>
  <si>
    <t>1099240130110303</t>
  </si>
  <si>
    <t>1099240130110339</t>
  </si>
  <si>
    <t>1099240130110658</t>
  </si>
  <si>
    <t>1099240130110730</t>
  </si>
  <si>
    <t>1099240130110419</t>
  </si>
  <si>
    <t>1099240130110616</t>
  </si>
  <si>
    <t>1099240130110459</t>
  </si>
  <si>
    <t>1099240131112808</t>
  </si>
  <si>
    <t>1099240131112736</t>
  </si>
  <si>
    <t>1099240201182205</t>
  </si>
  <si>
    <t>1099240201182546</t>
  </si>
  <si>
    <t>1099240201182616</t>
  </si>
  <si>
    <t>1099240201182052</t>
  </si>
  <si>
    <t>1099240201181940</t>
  </si>
  <si>
    <t>1099240201182016</t>
  </si>
  <si>
    <t>1099240201182310</t>
  </si>
  <si>
    <t>1099240201182355</t>
  </si>
  <si>
    <t>1099240201182236</t>
  </si>
  <si>
    <t>1099240201182123</t>
  </si>
  <si>
    <t>实际进口报关日期是2月1号</t>
  </si>
  <si>
    <t>1099240201182510</t>
  </si>
  <si>
    <t>1099240201182434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</si>
</sst>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);[Red]\(0.00\)"/>
    <numFmt numFmtId="178" formatCode="0_);[Red]\(0\)"/>
    <numFmt numFmtId="179" formatCode="yyyy/m/d;@"/>
    <numFmt numFmtId="180" formatCode="0.00_ "/>
    <numFmt numFmtId="181" formatCode="0_ "/>
    <numFmt numFmtId="182" formatCode="#,##0.0000"/>
    <numFmt numFmtId="183" formatCode="0.000_ "/>
  </numFmts>
  <fonts count="49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b/>
      <sz val="9"/>
      <color rgb="FFFF0000"/>
      <name val="微软雅黑"/>
      <charset val="134"/>
    </font>
    <font>
      <sz val="9"/>
      <name val="微软雅黑"/>
      <charset val="134"/>
    </font>
    <font>
      <sz val="9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sz val="10"/>
      <name val="宋体"/>
      <charset val="134"/>
    </font>
    <font>
      <b/>
      <sz val="11"/>
      <name val="宋体"/>
      <charset val="134"/>
      <scheme val="minor"/>
    </font>
    <font>
      <b/>
      <sz val="9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1"/>
      <color indexed="0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1"/>
      <color rgb="FFC00000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"/>
      <charset val="136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5" borderId="16" applyNumberFormat="0" applyAlignment="0" applyProtection="0">
      <alignment vertical="center"/>
    </xf>
    <xf numFmtId="0" fontId="36" fillId="6" borderId="17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7" borderId="18" applyNumberFormat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1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46" fillId="0" borderId="0"/>
    <xf numFmtId="0" fontId="0" fillId="0" borderId="0"/>
  </cellStyleXfs>
  <cellXfs count="17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78" fontId="9" fillId="0" borderId="1" xfId="0" applyNumberFormat="1" applyFont="1" applyFill="1" applyBorder="1" applyAlignment="1">
      <alignment horizontal="center"/>
    </xf>
    <xf numFmtId="177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178" fontId="9" fillId="0" borderId="2" xfId="0" applyNumberFormat="1" applyFont="1" applyFill="1" applyBorder="1" applyAlignment="1">
      <alignment horizontal="center"/>
    </xf>
    <xf numFmtId="177" fontId="9" fillId="0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3" fillId="0" borderId="1" xfId="50" applyNumberFormat="1" applyFont="1" applyFill="1" applyBorder="1" applyAlignment="1">
      <alignment horizontal="center" vertical="center"/>
    </xf>
    <xf numFmtId="3" fontId="13" fillId="0" borderId="1" xfId="5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3" fillId="0" borderId="1" xfId="5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/>
    <xf numFmtId="0" fontId="12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80" fontId="4" fillId="0" borderId="0" xfId="0" applyNumberFormat="1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 wrapText="1"/>
    </xf>
    <xf numFmtId="180" fontId="15" fillId="0" borderId="1" xfId="0" applyNumberFormat="1" applyFont="1" applyFill="1" applyBorder="1" applyAlignment="1">
      <alignment horizontal="center" vertical="center" wrapText="1"/>
    </xf>
    <xf numFmtId="180" fontId="14" fillId="0" borderId="0" xfId="0" applyNumberFormat="1" applyFont="1" applyFill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/>
    </xf>
    <xf numFmtId="180" fontId="4" fillId="0" borderId="0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/>
    </xf>
    <xf numFmtId="180" fontId="5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176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Alignment="1">
      <alignment horizontal="center"/>
    </xf>
    <xf numFmtId="0" fontId="19" fillId="0" borderId="1" xfId="0" applyFont="1" applyFill="1" applyBorder="1" applyAlignment="1">
      <alignment horizontal="center" vertical="center" wrapText="1"/>
    </xf>
    <xf numFmtId="176" fontId="18" fillId="0" borderId="7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/>
    </xf>
    <xf numFmtId="176" fontId="5" fillId="0" borderId="7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76" fontId="16" fillId="0" borderId="0" xfId="0" applyNumberFormat="1" applyFont="1" applyFill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20" fillId="0" borderId="1" xfId="0" applyFont="1" applyFill="1" applyBorder="1" applyAlignment="1">
      <alignment horizontal="center"/>
    </xf>
    <xf numFmtId="180" fontId="21" fillId="0" borderId="1" xfId="0" applyNumberFormat="1" applyFont="1" applyFill="1" applyBorder="1" applyAlignment="1">
      <alignment horizontal="center" vertical="center"/>
    </xf>
    <xf numFmtId="180" fontId="21" fillId="2" borderId="1" xfId="0" applyNumberFormat="1" applyFont="1" applyFill="1" applyBorder="1" applyAlignment="1">
      <alignment horizontal="center" vertical="center"/>
    </xf>
    <xf numFmtId="180" fontId="22" fillId="2" borderId="1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80" fontId="23" fillId="2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3" fontId="4" fillId="0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180" fontId="4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10" fontId="0" fillId="0" borderId="0" xfId="3" applyNumberFormat="1">
      <alignment vertical="center"/>
    </xf>
    <xf numFmtId="49" fontId="14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83" fontId="4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49" fontId="14" fillId="0" borderId="2" xfId="0" applyNumberFormat="1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4" fillId="0" borderId="9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16" fillId="0" borderId="3" xfId="0" applyNumberFormat="1" applyFont="1" applyFill="1" applyBorder="1" applyAlignment="1">
      <alignment vertical="center"/>
    </xf>
    <xf numFmtId="0" fontId="16" fillId="0" borderId="2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0,0&#13;&#10;NA&#13;&#10;" xfId="50"/>
    <cellStyle name="常规 3" xfId="51"/>
    <cellStyle name="常规_Sheet1" xfId="52"/>
    <cellStyle name="常规_手写报关单" xfId="53"/>
    <cellStyle name="常规_韩国_1" xfId="54"/>
    <cellStyle name="??&amp;_x0012_?&amp;_x000B_?_x0008_*_x0007_?_x0007__x0001__x0001_" xfId="55"/>
    <cellStyle name="常规 2" xfId="56"/>
  </cellStyles>
  <dxfs count="21"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4.583599537" refreshedBy="ESC" recordCount="129">
  <cacheSource type="worksheet">
    <worksheetSource ref="A1:V1048576" sheet="世纪云芯"/>
  </cacheSource>
  <cacheFields count="22">
    <cacheField name="序号" numFmtId="0">
      <sharedItems containsString="0" containsBlank="1" containsNumber="1" containsInteger="1" minValue="1" maxValue="128" count="1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m/>
      </sharedItems>
    </cacheField>
    <cacheField name="所属月份" numFmtId="0">
      <sharedItems containsString="0" containsBlank="1" containsNumber="1" containsInteger="1" minValue="1" maxValue="12" count="13">
        <n v="1"/>
        <n v="2"/>
        <n v="3"/>
        <n v="4"/>
        <n v="5"/>
        <m/>
        <n v="6" u="1"/>
        <n v="7" u="1"/>
        <n v="8" u="1"/>
        <n v="9" u="1"/>
        <n v="10" u="1"/>
        <n v="11" u="1"/>
        <n v="12" u="1"/>
      </sharedItems>
    </cacheField>
    <cacheField name="进口主体" numFmtId="0">
      <sharedItems containsBlank="1" count="2">
        <s v="深圳世纪云芯"/>
        <m/>
      </sharedItems>
    </cacheField>
    <cacheField name="下单日期" numFmtId="0">
      <sharedItems containsString="0" containsBlank="1" containsNumber="1" containsInteger="1" minValue="20260103" maxValue="20260522" count="67">
        <n v="20260103"/>
        <n v="20260107"/>
        <n v="20260108"/>
        <n v="20260112"/>
        <n v="20260113"/>
        <n v="20260114"/>
        <n v="20260116"/>
        <n v="20260119"/>
        <n v="20260120"/>
        <n v="20260121"/>
        <n v="20260122"/>
        <n v="20260126"/>
        <n v="20260127"/>
        <n v="20260128"/>
        <n v="20260130"/>
        <n v="20260131"/>
        <n v="20260202"/>
        <n v="20260203"/>
        <n v="20260204"/>
        <n v="20260206"/>
        <n v="20260210"/>
        <n v="20260211"/>
        <n v="20260212"/>
        <n v="20260213"/>
        <n v="20260214"/>
        <n v="20260215"/>
        <n v="20260224"/>
        <n v="20260225"/>
        <n v="20260226"/>
        <n v="20260228"/>
        <n v="20260302"/>
        <n v="20260305"/>
        <n v="20260306"/>
        <n v="20260309"/>
        <n v="20260311"/>
        <n v="20260312"/>
        <n v="20260316"/>
        <n v="20260319"/>
        <n v="20260320"/>
        <n v="20260321"/>
        <n v="20260326"/>
        <n v="20260327"/>
        <n v="20260330"/>
        <n v="20260402"/>
        <n v="20260403"/>
        <n v="20260407"/>
        <n v="20260408"/>
        <n v="20260410"/>
        <n v="20260414"/>
        <n v="20260415"/>
        <n v="20260416"/>
        <n v="20260417"/>
        <n v="20260423"/>
        <n v="20260425"/>
        <n v="20260502"/>
        <n v="20260505"/>
        <n v="20260506"/>
        <n v="20260508"/>
        <n v="20260509"/>
        <n v="20260511"/>
        <n v="20260513"/>
        <n v="20260515"/>
        <n v="20260517"/>
        <n v="20260520"/>
        <n v="20260521"/>
        <n v="20260522"/>
        <m/>
      </sharedItems>
    </cacheField>
    <cacheField name="销售主体" numFmtId="0">
      <sharedItems containsBlank="1" count="2">
        <s v="新加坡比特"/>
        <m/>
      </sharedItems>
    </cacheField>
    <cacheField name="协议" numFmtId="0">
      <sharedItems containsBlank="1" count="2">
        <s v="集成电路"/>
        <m/>
      </sharedItems>
    </cacheField>
    <cacheField name="供应商" numFmtId="0">
      <sharedItems containsBlank="1" count="9">
        <s v="SPILTW"/>
        <s v="ASE"/>
        <s v="XJ"/>
        <s v="NJVT"/>
        <s v="SPILSZ"/>
        <s v="ASECL"/>
        <s v="HN"/>
        <s v="WINSTEK"/>
        <m/>
      </sharedItems>
    </cacheField>
    <cacheField name="型号" numFmtId="0">
      <sharedItems containsBlank="1" count="17">
        <s v="BM1374AA"/>
        <s v="BM1373BS"/>
        <s v="BM1370PF"/>
        <s v="BM1373CC"/>
        <s v="BM1373AA"/>
        <s v="BM1370PA"/>
        <s v="BM1340BA"/>
        <s v="BM1374CC"/>
        <s v="BM1368AA"/>
        <s v="BM1368PB"/>
        <s v="PB2540"/>
        <s v="BM1373BM"/>
        <s v="BM1370BC"/>
        <s v="BM1746AA"/>
        <s v="BM1493AA"/>
        <s v="BM1374PA"/>
        <m/>
      </sharedItems>
    </cacheField>
    <cacheField name="数量" numFmtId="0">
      <sharedItems containsString="0" containsBlank="1" containsNumber="1" containsInteger="1" minValue="10" maxValue="120126" count="120">
        <n v="6676"/>
        <n v="7752"/>
        <n v="47844"/>
        <n v="32470"/>
        <n v="154"/>
        <n v="1495"/>
        <n v="38913"/>
        <n v="28001"/>
        <n v="149"/>
        <n v="1897"/>
        <n v="119191"/>
        <n v="28916"/>
        <n v="944"/>
        <n v="7166"/>
        <n v="3800"/>
        <n v="5790"/>
        <n v="9584"/>
        <n v="4000"/>
        <n v="3180"/>
        <n v="5479"/>
        <n v="11862"/>
        <n v="11919"/>
        <n v="2685"/>
        <n v="1096"/>
        <n v="9476"/>
        <n v="8963"/>
        <n v="17724"/>
        <n v="3994"/>
        <n v="3212"/>
        <n v="11134"/>
        <n v="13200"/>
        <n v="65844"/>
        <n v="49400"/>
        <n v="5729"/>
        <n v="3637"/>
        <n v="14576"/>
        <n v="63562"/>
        <n v="77"/>
        <n v="1570"/>
        <n v="18326"/>
        <n v="3130"/>
        <n v="11850"/>
        <n v="11877"/>
        <n v="3415"/>
        <n v="5638"/>
        <n v="9538"/>
        <n v="14000"/>
        <n v="15083"/>
        <n v="19361"/>
        <n v="16296"/>
        <n v="15807"/>
        <n v="19081"/>
        <n v="14961"/>
        <n v="19454"/>
        <n v="31509"/>
        <n v="18018"/>
        <n v="623"/>
        <n v="70"/>
        <n v="735"/>
        <n v="34200"/>
        <n v="12000"/>
        <n v="1200"/>
        <n v="34751"/>
        <n v="12235"/>
        <n v="957"/>
        <n v="3600"/>
        <n v="4570"/>
        <n v="120126"/>
        <n v="44871"/>
        <n v="15057"/>
        <n v="23544"/>
        <n v="18467"/>
        <n v="15200"/>
        <n v="10800"/>
        <n v="7959"/>
        <n v="10"/>
        <n v="11781"/>
        <n v="9649"/>
        <n v="12434"/>
        <n v="92354"/>
        <n v="12"/>
        <n v="34507"/>
        <n v="19891"/>
        <n v="47760"/>
        <n v="372"/>
        <n v="638"/>
        <n v="61"/>
        <n v="2000"/>
        <n v="5990"/>
        <n v="29794"/>
        <n v="16985"/>
        <n v="3894"/>
        <n v="3961"/>
        <n v="805"/>
        <n v="24000"/>
        <n v="361"/>
        <n v="19939"/>
        <n v="17456"/>
        <n v="13284"/>
        <n v="8000"/>
        <n v="29332"/>
        <n v="12260"/>
        <n v="61076"/>
        <n v="8996"/>
        <n v="153"/>
        <n v="3192"/>
        <n v="16711"/>
        <n v="792"/>
        <n v="11830"/>
        <n v="3905"/>
        <n v="752"/>
        <n v="5157"/>
        <n v="2912"/>
        <n v="448"/>
        <n v="63518"/>
        <n v="9310"/>
        <n v="4542"/>
        <n v="5641"/>
        <n v="780"/>
        <m/>
      </sharedItems>
    </cacheField>
    <cacheField name="单位" numFmtId="0">
      <sharedItems containsBlank="1" count="2">
        <s v="PCS"/>
        <m/>
      </sharedItems>
    </cacheField>
    <cacheField name="报关单价(USD)" numFmtId="0">
      <sharedItems containsString="0" containsBlank="1" containsNumber="1" minValue="4.39" maxValue="58.79" count="19">
        <n v="42.7"/>
        <n v="32.49"/>
        <n v="9.01"/>
        <n v="17.82"/>
        <n v="5.16"/>
        <n v="4.39"/>
        <n v="32.17"/>
        <n v="8.8"/>
        <n v="42.63"/>
        <n v="17.81"/>
        <n v="54.26"/>
        <n v="21.56"/>
        <n v="58.79"/>
        <n v="32.16"/>
        <n v="8.81"/>
        <n v="38.37"/>
        <n v="8.61"/>
        <n v="29.02"/>
        <m/>
      </sharedItems>
    </cacheField>
    <cacheField name="委托报关总价(USD)" numFmtId="0">
      <sharedItems containsString="0" containsBlank="1" containsNumber="1" minValue="426.3" maxValue="2118201.48" count="126">
        <n v="285065.2"/>
        <n v="251862.48"/>
        <n v="431074.44"/>
        <n v="1054950.3"/>
        <n v="5003.46"/>
        <n v="48572.55"/>
        <n v="350606.13"/>
        <n v="909752.49"/>
        <n v="4841.01"/>
        <n v="17091.97"/>
        <n v="1073910.91"/>
        <n v="1234713.2"/>
        <n v="16822.08"/>
        <n v="64565.66"/>
        <n v="34238"/>
        <n v="52167.9"/>
        <n v="86351.84"/>
        <n v="129960"/>
        <n v="135786"/>
        <n v="49365.79"/>
        <n v="506507.4"/>
        <n v="508941.3"/>
        <n v="13854.6"/>
        <n v="4811.44"/>
        <n v="404625.2"/>
        <n v="80756.63"/>
        <n v="575852.76"/>
        <n v="129765.06"/>
        <n v="137152.4"/>
        <n v="475421.8"/>
        <n v="428868"/>
        <n v="2118201.48"/>
        <n v="434720"/>
        <n v="184301.93"/>
        <n v="117002.29"/>
        <n v="468909.92"/>
        <n v="559345.6"/>
        <n v="2477.09"/>
        <n v="50506.9"/>
        <n v="781237.38"/>
        <n v="133431.9"/>
        <n v="505165.5"/>
        <n v="506316.51"/>
        <n v="109860.55"/>
        <n v="181374.46"/>
        <n v="406604.94"/>
        <n v="249340"/>
        <n v="642988.29"/>
        <n v="4954.18"/>
        <n v="622843.37"/>
        <n v="524242.32"/>
        <n v="673852.41"/>
        <n v="813423.03"/>
        <n v="637787.43"/>
        <n v="625835.18"/>
        <n v="1013644.53"/>
        <n v="579639.06"/>
        <n v="26558.49"/>
        <n v="2251.9"/>
        <n v="31333.05"/>
        <n v="300960"/>
        <n v="386040"/>
        <n v="38604"/>
        <n v="305808.8"/>
        <n v="107668"/>
        <n v="30786.69"/>
        <n v="115812"/>
        <n v="40216"/>
        <n v="1057108.8"/>
        <n v="394864.8"/>
        <n v="132501.6"/>
        <n v="757410.48"/>
        <n v="594083.39"/>
        <n v="133760"/>
        <n v="347436"/>
        <n v="339292.17"/>
        <n v="426.3"/>
        <n v="502224.03"/>
        <n v="84911.2"/>
        <n v="109419.2"/>
        <n v="812715.2"/>
        <n v="651.12"/>
        <n v="614569.67"/>
        <n v="847953.33"/>
        <n v="420288"/>
        <n v="20184.72"/>
        <n v="424644"/>
        <n v="13755.28"/>
        <n v="3586.19"/>
        <n v="64320"/>
        <n v="192638.4"/>
        <n v="958175.04"/>
        <n v="546237.6"/>
        <n v="125231.04"/>
        <n v="127385.76"/>
        <n v="47325.95"/>
        <n v="427680"/>
        <n v="21223.19"/>
        <n v="641238.24"/>
        <n v="561384.96"/>
        <n v="771840"/>
        <n v="4952.64"/>
        <n v="117032.04"/>
        <n v="257280"/>
        <n v="258414.92"/>
        <n v="108010.6"/>
        <n v="538079.56"/>
        <n v="289311.36"/>
        <n v="4920.48"/>
        <n v="122477.04"/>
        <n v="641201.07"/>
        <n v="30389.04"/>
        <n v="101856.3"/>
        <n v="69587.1"/>
        <n v="2476.32"/>
        <n v="28854.24"/>
        <n v="44401.77"/>
        <n v="171196.48"/>
        <n v="14407.68"/>
        <n v="116080"/>
        <n v="546889.98"/>
        <n v="357224.7"/>
        <n v="174276.54"/>
        <n v="216445.17"/>
        <n v="29928.6"/>
        <m/>
      </sharedItems>
    </cacheField>
    <cacheField name="原产国" numFmtId="0">
      <sharedItems containsBlank="1" count="2">
        <s v="中国台湾"/>
        <m/>
      </sharedItems>
    </cacheField>
    <cacheField name="申报抬头" numFmtId="0">
      <sharedItems containsBlank="1" count="91">
        <s v="I-SJYX260103"/>
        <s v="I-SJYX260103A"/>
        <s v="LH26-010387"/>
        <s v="LH26-010414"/>
        <s v="I-SJYX260108"/>
        <s v="I-SJYX260108A"/>
        <s v="LH26-010858"/>
        <s v="LH26-011052"/>
        <s v="LH26-011245"/>
        <s v="LH26-011506"/>
        <s v="I-SJYX260119"/>
        <s v="I-SJYX260119A"/>
        <s v="LH26-011692"/>
        <s v="FA260106608"/>
        <s v="FA260106609"/>
        <s v="FA260106610"/>
        <s v="I-SJYX260122"/>
        <s v="FA260106611"/>
        <s v="LH26-012241"/>
        <s v="LH26-012242"/>
        <s v="I-SJYX260127"/>
        <s v="LH26-012442"/>
        <s v="I-SJYX260127A"/>
        <s v="I-SJYX260128"/>
        <s v="I-SJYX260130"/>
        <s v="I-SJYX260131"/>
        <s v="LH26-020098"/>
        <s v="FA260207349"/>
        <s v="I-SJYX260204"/>
        <s v="I-SJYX260206"/>
        <s v="I-SJYX260206A"/>
        <s v="LH26-020977"/>
        <s v="LH26-020995"/>
        <s v="I-SJYX260211"/>
        <s v="FA260207350"/>
        <s v="I-SJYX260211A"/>
        <s v="FA260207351"/>
        <s v="LH26-021196"/>
        <s v="I-SJYX260214"/>
        <s v="LH26-021208"/>
        <s v="LH26-021209"/>
        <s v="FA260207352"/>
        <s v="LH26-021331"/>
        <s v="LH26-021375"/>
        <s v="I-SJYX260226"/>
        <s v="LH26-027573"/>
        <s v="I-SJYX260302"/>
        <s v="I-SJYX260302A"/>
        <s v="LH26-030387"/>
        <s v="FA260308912"/>
        <s v="FA260308913"/>
        <s v="I-SJYX260306"/>
        <s v="I-SJYX260306A"/>
        <s v="LH26-030843"/>
        <s v="LH26-030841"/>
        <s v="LH26-031056"/>
        <s v="I-SJYX260312"/>
        <s v="LH26-031570"/>
        <s v="FA260308914"/>
        <s v="FA260308915"/>
        <s v="LH26-032975"/>
        <s v="FA260308916"/>
        <s v="I-SJYX260327"/>
        <s v="LH26-033504"/>
        <s v="LH26-033761"/>
        <s v="I-SJYX260402"/>
        <s v="I-SJYX260403"/>
        <s v="LH26-040358"/>
        <s v="I-SJYX260408"/>
        <s v="FA260407155"/>
        <s v="FA260407156"/>
        <s v="I-SJYX260414"/>
        <s v="LH26-041622"/>
        <s v="LH26-041763"/>
        <s v="FA260407157"/>
        <s v="I-SJYX260417"/>
        <s v="FA260407158"/>
        <s v="I-SJYX260423"/>
        <s v="I-SJYX260423A"/>
        <s v="I-SJYX260425"/>
        <s v="I-SJYX260502"/>
        <s v="I-SJYX260505"/>
        <s v="LH26-050030"/>
        <s v="LH26-050052"/>
        <s v="I-SJYX260508"/>
        <s v="LH26-050454"/>
        <s v="LH26-050491"/>
        <s v="I-SJYX260513"/>
        <m/>
        <s v="LH26-051176"/>
        <s v="FA260508522"/>
      </sharedItems>
    </cacheField>
    <cacheField name="原厂价格" numFmtId="0">
      <sharedItems containsString="0" containsBlank="1" containsNumber="1" minValue="4.3" maxValue="49.8462" count="71">
        <n v="33"/>
        <n v="29.03"/>
        <n v="7.9912"/>
        <n v="28.838"/>
        <n v="28.81"/>
        <n v="27.863537"/>
        <n v="8.02"/>
        <n v="27.776964"/>
        <n v="7.7284"/>
        <n v="7.9911"/>
        <n v="14.055678"/>
        <n v="8.008001"/>
        <n v="7.788"/>
        <n v="27.683738"/>
        <n v="7.9913"/>
        <n v="4.3"/>
        <n v="7.9915"/>
        <n v="29.7991"/>
        <n v="29.3231"/>
        <n v="28.76"/>
        <n v="7.992"/>
        <n v="29.0297"/>
        <n v="7.9922"/>
        <n v="28.9613"/>
        <n v="14.169011"/>
        <n v="32.604326"/>
        <n v="29.17"/>
        <n v="28.9283"/>
        <n v="27.819429"/>
        <n v="35.354803"/>
        <n v="8.008"/>
        <n v="8.00816609593969"/>
        <n v="7.9943"/>
        <n v="7.7034"/>
        <n v="7.1817"/>
        <n v="27.457712"/>
        <n v="32.55733"/>
        <n v="35.77"/>
        <n v="32.599573"/>
        <n v="49.8462"/>
        <n v="8.011"/>
        <n v="14.171499"/>
        <n v="7.9945"/>
        <n v="49.8461"/>
        <n v="18.8622"/>
        <n v="27.863485"/>
        <n v="27.864801"/>
        <n v="27.887898"/>
        <n v="27.845446"/>
        <n v="27.896325"/>
        <n v="27.854515"/>
        <n v="14.105218"/>
        <n v="27.882932"/>
        <n v="27.539399"/>
        <n v="27.853113"/>
        <n v="7.9809"/>
        <n v="27.445223"/>
        <n v="7.7037"/>
        <n v="28.9"/>
        <n v="33.2"/>
        <n v="28.728"/>
        <n v="29.525152"/>
        <n v="14.201915"/>
        <n v="29.310279"/>
        <n v="27.1205"/>
        <n v="28.3759"/>
        <n v="7.9928"/>
        <n v="29.3896"/>
        <n v="29.1187"/>
        <n v="29.419372"/>
        <m/>
      </sharedItems>
    </cacheField>
    <cacheField name="税代" numFmtId="0">
      <sharedItems containsBlank="1" count="5">
        <s v="世纪通"/>
        <s v="朗华"/>
        <s v="富森"/>
        <m/>
        <s v="中国" u="1"/>
      </sharedItems>
    </cacheField>
    <cacheField name="PO" numFmtId="0">
      <sharedItems containsBlank="1" count="53">
        <m/>
        <s v="SZK202603090187"/>
        <s v="SZK202603090182"/>
        <s v="SZK202603090185"/>
        <s v="SZK202603110187"/>
        <s v="SZK202603110182"/>
        <s v="SZK202603110185"/>
        <s v="SZK202603120182"/>
        <s v="SZK202603120185"/>
        <s v="SZK202603160185"/>
        <s v="SZK202603160182"/>
        <s v="SZK202603190993"/>
        <s v="SZK202603201093"/>
        <s v="SZK202603200993"/>
        <s v="SZK202603210931"/>
        <s v="SZK202603210993"/>
        <s v="SZK202603211793"/>
        <s v="SZK202603217993"/>
        <s v="SZK202603261790"/>
        <s v="SZK202603261791"/>
        <s v="SZK202603271790"/>
        <s v="SZK202603271791"/>
        <s v="SZK202603271792"/>
        <s v="SZK202603301793"/>
        <s v="SZK202604021002"/>
        <s v="SZK202604021003"/>
        <s v="SZK202604031000"/>
        <s v="SZK202604031001"/>
        <s v="SZK202604071000"/>
        <s v="SZK202604071001"/>
        <s v="SZK202604081000"/>
        <s v="SZK202604101000"/>
        <s v="SZK202604101001"/>
        <s v="SZK202604141000"/>
        <s v="SZK202604151000"/>
        <s v="SZK202604161000"/>
        <s v="SZK202604161001"/>
        <s v="SZK202604171000"/>
        <s v="SZK202604171001"/>
        <s v="SZK202604201000"/>
        <s v="SZK202604231000"/>
        <s v="SZK202604231001"/>
        <s v="SZK202604231002"/>
        <s v="SZK202604231003"/>
        <s v="SZK202604231004"/>
        <s v="SZK202605030185"/>
        <s v="SZK202605061000"/>
        <s v="SZK202605061001"/>
        <s v="SZK202605061002"/>
        <s v="SZK202605091000"/>
        <s v="SZK202605110185"/>
        <s v="SZK202605110186"/>
        <s v="SZK202605130185"/>
      </sharedItems>
    </cacheField>
    <cacheField name="SO" numFmtId="0">
      <sharedItems containsBlank="1" count="42">
        <m/>
        <s v="1155260309173738"/>
        <s v="1155260309173045"/>
        <s v="1155260309173053"/>
        <s v="1155260311171130"/>
        <s v="1155260311171145"/>
        <s v="1155260311171157"/>
        <s v="1155260312185222"/>
        <s v="1155260312185235"/>
        <s v="1155260319161409"/>
        <s v="1155260326171240"/>
        <s v="1155260326171330"/>
        <s v="1155260327135510"/>
        <s v="1155260327135520"/>
        <s v="1155260327135640"/>
        <s v="1155260331091827"/>
        <s v="1155260402150018"/>
        <s v="1155260402150027"/>
        <s v="1155260403114207"/>
        <s v="1155260403114216"/>
        <s v="1155260408161055"/>
        <s v="1155260410152830"/>
        <s v="1155260410152838"/>
        <s v="1155260414112703"/>
        <s v="1155260415172815"/>
        <s v="1155260416173404"/>
        <s v="1155260416173409"/>
        <s v="1155260417152904"/>
        <s v="1155260417152912"/>
        <s v="1155260420101023"/>
        <s v="1155260423111645"/>
        <s v="1155260423170848"/>
        <s v="1155260423170857"/>
        <s v="1155260423170905"/>
        <s v="1155260423170916"/>
        <s v="1155260506103457"/>
        <s v="1155260506103517"/>
        <s v="1155260506111638"/>
        <s v="1155260509144538"/>
        <s v="1155260511190750"/>
        <s v="1155260511190804"/>
        <s v="1155260513162258"/>
      </sharedItems>
    </cacheField>
    <cacheField name="物料编码/箱数" numFmtId="0">
      <sharedItems containsBlank="1" containsNumber="1" containsInteger="1" containsMixedTypes="1" count="45">
        <n v="5"/>
        <n v="1"/>
        <n v="2"/>
        <s v="2木箱1纸箱"/>
        <n v="9"/>
        <m/>
        <s v="1纸箱"/>
        <s v="9纸箱+3木箱"/>
        <n v="13"/>
        <s v="1木箱"/>
        <n v="4"/>
        <n v="6"/>
        <n v="8"/>
        <n v="7"/>
        <n v="3"/>
        <s v="1木箱+1纸箱"/>
        <s v="2木箱+1纸箱"/>
        <n v="11"/>
        <n v="10"/>
        <s v="3纸箱+2木箱"/>
        <s v="1纸箱+2木箱"/>
        <s v="2纸箱"/>
        <n v="25"/>
        <n v="12"/>
        <s v="4纸箱"/>
        <s v="6托7箱"/>
        <s v="12箱"/>
        <s v="1纸箱+1木箱"/>
        <s v="3纸箱"/>
        <s v="2托2箱"/>
        <s v="7托7箱+1木箱"/>
        <s v="1托1箱"/>
        <s v="5箱"/>
        <s v="5托5箱"/>
        <s v="2箱"/>
        <s v="4托4箱+1木箱"/>
        <s v="2木箱"/>
        <s v="1箱"/>
        <s v="3箱"/>
        <s v="18箱"/>
        <s v="4托4箱"/>
        <s v="11纸箱"/>
        <s v="13纸箱"/>
        <s v="6箱"/>
        <s v="4箱"/>
      </sharedItems>
    </cacheField>
    <cacheField name="备注（物流商或ERP导出的报关单价" numFmtId="0">
      <sharedItems containsString="0" containsBlank="1" containsNonDate="0" count="1">
        <m/>
      </sharedItems>
    </cacheField>
    <cacheField name="定价（USD）" numFmtId="180">
      <sharedItems containsString="0" containsBlank="1" containsNumber="1" minValue="4.386" maxValue="4.386" count="2">
        <m/>
        <n v="4.386"/>
      </sharedItems>
    </cacheField>
    <cacheField name="SO2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3.6780787037" refreshedBy="ESC" recordCount="13">
  <cacheSource type="worksheet">
    <worksheetSource ref="A1:P1048576" sheet="海口世纪"/>
  </cacheSource>
  <cacheFields count="16">
    <cacheField name="序号" numFmtId="0">
      <sharedItems containsString="0" containsBlank="1" containsNumber="1" containsInteger="1" minValue="0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所属月份" numFmtId="0">
      <sharedItems containsString="0" containsBlank="1" containsNumber="1" containsInteger="1" minValue="0" maxValue="3" count="2">
        <n v="3"/>
        <m/>
      </sharedItems>
    </cacheField>
    <cacheField name="进口主体" numFmtId="0">
      <sharedItems containsBlank="1" count="2">
        <s v="海口世纪云芯"/>
        <m/>
      </sharedItems>
    </cacheField>
    <cacheField name="下单日期" numFmtId="0">
      <sharedItems containsString="0" containsBlank="1" containsNumber="1" containsInteger="1" minValue="0" maxValue="20260330" count="5">
        <n v="20260320"/>
        <n v="20260321"/>
        <n v="20260323"/>
        <n v="20260330"/>
        <m/>
      </sharedItems>
    </cacheField>
    <cacheField name="销售主体" numFmtId="0">
      <sharedItems containsBlank="1" count="2">
        <s v="新加坡比特"/>
        <m/>
      </sharedItems>
    </cacheField>
    <cacheField name="协议" numFmtId="0">
      <sharedItems containsBlank="1" count="2">
        <s v="集成电路"/>
        <m/>
      </sharedItems>
    </cacheField>
    <cacheField name="供应商" numFmtId="0">
      <sharedItems containsBlank="1" count="7">
        <s v="JSCC"/>
        <s v="ASECL"/>
        <s v="SPILSZ"/>
        <s v="NJVT"/>
        <s v="XJ"/>
        <s v="HN"/>
        <m/>
      </sharedItems>
    </cacheField>
    <cacheField name="型号" numFmtId="0">
      <sharedItems containsBlank="1" count="4">
        <s v="BM1370PF"/>
        <s v="BM1370BC"/>
        <s v="BM1370PA"/>
        <m/>
      </sharedItems>
    </cacheField>
    <cacheField name="数量" numFmtId="0">
      <sharedItems containsString="0" containsBlank="1" containsNumber="1" containsInteger="1" minValue="0" maxValue="1285970" count="13">
        <n v="132227"/>
        <n v="53424"/>
        <n v="1285970"/>
        <n v="589146"/>
        <n v="284392"/>
        <n v="212430"/>
        <n v="158007"/>
        <n v="7207"/>
        <n v="845751"/>
        <n v="253946"/>
        <n v="416848"/>
        <n v="203587"/>
        <m/>
      </sharedItems>
    </cacheField>
    <cacheField name="单位" numFmtId="0">
      <sharedItems containsBlank="1" count="2">
        <s v="PCS"/>
        <m/>
      </sharedItems>
    </cacheField>
    <cacheField name="报关单价(USD)" numFmtId="0">
      <sharedItems containsString="0" containsBlank="1" containsNumber="1" minValue="0" maxValue="8.8" count="2">
        <n v="8.8"/>
        <m/>
      </sharedItems>
    </cacheField>
    <cacheField name="委托报关总价(USD)" numFmtId="0">
      <sharedItems containsString="0" containsBlank="1" containsNumber="1" minValue="0" maxValue="11316536" count="13">
        <n v="1163597.6"/>
        <n v="470131.2"/>
        <n v="11316536"/>
        <n v="5184484.8"/>
        <n v="2502649.6"/>
        <n v="1869384"/>
        <n v="1390461.6"/>
        <n v="63421.6"/>
        <n v="7442608.8"/>
        <n v="2234724.8"/>
        <n v="3668262.4"/>
        <n v="1791565.6"/>
        <m/>
      </sharedItems>
    </cacheField>
    <cacheField name="原产国" numFmtId="0">
      <sharedItems containsBlank="1" count="2">
        <s v="中国台湾"/>
        <m/>
      </sharedItems>
    </cacheField>
    <cacheField name="申报抬头" numFmtId="0">
      <sharedItems containsBlank="1" count="9">
        <s v="LH26-032847"/>
        <s v="LH26-032973"/>
        <s v="LH26-032909"/>
        <s v="I-HKSJYX260320"/>
        <s v="LH26-032974"/>
        <s v="I-HKSJYX260323"/>
        <s v="I-HKSJYX260323A"/>
        <s v="I-HKSJYX260331"/>
        <m/>
      </sharedItems>
    </cacheField>
    <cacheField name="原厂价格" numFmtId="0">
      <sharedItems containsString="0" containsBlank="1" containsNumber="1" minValue="0" maxValue="8.03100001575138" count="9">
        <n v="8.02002"/>
        <n v="8.02"/>
        <n v="8.011"/>
        <n v="7.788"/>
        <n v="7.7034"/>
        <n v="7.1817"/>
        <n v="7.9943"/>
        <n v="8.03100001575138"/>
        <m/>
      </sharedItems>
    </cacheField>
    <cacheField name="税代" numFmtId="0">
      <sharedItems containsBlank="1" count="3">
        <s v="朗华"/>
        <s v="世纪通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1"/>
    <x v="0"/>
    <x v="1"/>
    <x v="1"/>
    <x v="0"/>
    <x v="1"/>
    <x v="1"/>
    <x v="0"/>
    <x v="0"/>
    <x v="0"/>
    <x v="1"/>
    <x v="0"/>
    <x v="0"/>
    <x v="0"/>
  </r>
  <r>
    <x v="2"/>
    <x v="0"/>
    <x v="0"/>
    <x v="1"/>
    <x v="0"/>
    <x v="0"/>
    <x v="2"/>
    <x v="2"/>
    <x v="2"/>
    <x v="0"/>
    <x v="2"/>
    <x v="2"/>
    <x v="0"/>
    <x v="2"/>
    <x v="2"/>
    <x v="1"/>
    <x v="0"/>
    <x v="0"/>
    <x v="2"/>
    <x v="0"/>
    <x v="0"/>
    <x v="0"/>
  </r>
  <r>
    <x v="3"/>
    <x v="0"/>
    <x v="0"/>
    <x v="1"/>
    <x v="0"/>
    <x v="0"/>
    <x v="3"/>
    <x v="3"/>
    <x v="3"/>
    <x v="0"/>
    <x v="1"/>
    <x v="3"/>
    <x v="0"/>
    <x v="3"/>
    <x v="3"/>
    <x v="1"/>
    <x v="0"/>
    <x v="0"/>
    <x v="3"/>
    <x v="0"/>
    <x v="0"/>
    <x v="0"/>
  </r>
  <r>
    <x v="4"/>
    <x v="0"/>
    <x v="0"/>
    <x v="2"/>
    <x v="0"/>
    <x v="0"/>
    <x v="1"/>
    <x v="4"/>
    <x v="4"/>
    <x v="0"/>
    <x v="1"/>
    <x v="4"/>
    <x v="0"/>
    <x v="4"/>
    <x v="4"/>
    <x v="0"/>
    <x v="0"/>
    <x v="0"/>
    <x v="1"/>
    <x v="0"/>
    <x v="0"/>
    <x v="0"/>
  </r>
  <r>
    <x v="5"/>
    <x v="0"/>
    <x v="0"/>
    <x v="2"/>
    <x v="0"/>
    <x v="0"/>
    <x v="4"/>
    <x v="3"/>
    <x v="5"/>
    <x v="0"/>
    <x v="1"/>
    <x v="5"/>
    <x v="0"/>
    <x v="5"/>
    <x v="5"/>
    <x v="0"/>
    <x v="0"/>
    <x v="0"/>
    <x v="2"/>
    <x v="0"/>
    <x v="0"/>
    <x v="0"/>
  </r>
  <r>
    <x v="6"/>
    <x v="0"/>
    <x v="0"/>
    <x v="3"/>
    <x v="0"/>
    <x v="0"/>
    <x v="5"/>
    <x v="2"/>
    <x v="6"/>
    <x v="0"/>
    <x v="2"/>
    <x v="6"/>
    <x v="0"/>
    <x v="6"/>
    <x v="6"/>
    <x v="1"/>
    <x v="0"/>
    <x v="0"/>
    <x v="4"/>
    <x v="0"/>
    <x v="0"/>
    <x v="0"/>
  </r>
  <r>
    <x v="7"/>
    <x v="0"/>
    <x v="0"/>
    <x v="4"/>
    <x v="0"/>
    <x v="0"/>
    <x v="4"/>
    <x v="4"/>
    <x v="7"/>
    <x v="0"/>
    <x v="1"/>
    <x v="7"/>
    <x v="0"/>
    <x v="7"/>
    <x v="7"/>
    <x v="1"/>
    <x v="0"/>
    <x v="0"/>
    <x v="5"/>
    <x v="0"/>
    <x v="0"/>
    <x v="0"/>
  </r>
  <r>
    <x v="8"/>
    <x v="0"/>
    <x v="0"/>
    <x v="5"/>
    <x v="0"/>
    <x v="0"/>
    <x v="1"/>
    <x v="4"/>
    <x v="8"/>
    <x v="0"/>
    <x v="1"/>
    <x v="8"/>
    <x v="0"/>
    <x v="8"/>
    <x v="4"/>
    <x v="1"/>
    <x v="0"/>
    <x v="0"/>
    <x v="1"/>
    <x v="0"/>
    <x v="0"/>
    <x v="0"/>
  </r>
  <r>
    <x v="9"/>
    <x v="0"/>
    <x v="0"/>
    <x v="6"/>
    <x v="0"/>
    <x v="0"/>
    <x v="2"/>
    <x v="5"/>
    <x v="9"/>
    <x v="0"/>
    <x v="2"/>
    <x v="9"/>
    <x v="0"/>
    <x v="9"/>
    <x v="8"/>
    <x v="1"/>
    <x v="0"/>
    <x v="0"/>
    <x v="6"/>
    <x v="0"/>
    <x v="0"/>
    <x v="0"/>
  </r>
  <r>
    <x v="10"/>
    <x v="0"/>
    <x v="0"/>
    <x v="6"/>
    <x v="0"/>
    <x v="0"/>
    <x v="2"/>
    <x v="2"/>
    <x v="10"/>
    <x v="0"/>
    <x v="2"/>
    <x v="10"/>
    <x v="0"/>
    <x v="9"/>
    <x v="9"/>
    <x v="1"/>
    <x v="0"/>
    <x v="0"/>
    <x v="7"/>
    <x v="0"/>
    <x v="0"/>
    <x v="0"/>
  </r>
  <r>
    <x v="11"/>
    <x v="0"/>
    <x v="0"/>
    <x v="7"/>
    <x v="0"/>
    <x v="0"/>
    <x v="0"/>
    <x v="0"/>
    <x v="11"/>
    <x v="0"/>
    <x v="0"/>
    <x v="11"/>
    <x v="0"/>
    <x v="10"/>
    <x v="0"/>
    <x v="0"/>
    <x v="0"/>
    <x v="0"/>
    <x v="8"/>
    <x v="0"/>
    <x v="0"/>
    <x v="0"/>
  </r>
  <r>
    <x v="12"/>
    <x v="0"/>
    <x v="0"/>
    <x v="7"/>
    <x v="0"/>
    <x v="0"/>
    <x v="4"/>
    <x v="6"/>
    <x v="12"/>
    <x v="0"/>
    <x v="3"/>
    <x v="12"/>
    <x v="0"/>
    <x v="11"/>
    <x v="10"/>
    <x v="0"/>
    <x v="0"/>
    <x v="0"/>
    <x v="1"/>
    <x v="0"/>
    <x v="0"/>
    <x v="0"/>
  </r>
  <r>
    <x v="13"/>
    <x v="0"/>
    <x v="0"/>
    <x v="8"/>
    <x v="0"/>
    <x v="0"/>
    <x v="5"/>
    <x v="2"/>
    <x v="13"/>
    <x v="0"/>
    <x v="2"/>
    <x v="13"/>
    <x v="0"/>
    <x v="12"/>
    <x v="6"/>
    <x v="1"/>
    <x v="0"/>
    <x v="0"/>
    <x v="2"/>
    <x v="0"/>
    <x v="0"/>
    <x v="0"/>
  </r>
  <r>
    <x v="14"/>
    <x v="0"/>
    <x v="0"/>
    <x v="8"/>
    <x v="0"/>
    <x v="0"/>
    <x v="4"/>
    <x v="2"/>
    <x v="14"/>
    <x v="0"/>
    <x v="2"/>
    <x v="14"/>
    <x v="0"/>
    <x v="13"/>
    <x v="11"/>
    <x v="2"/>
    <x v="0"/>
    <x v="0"/>
    <x v="1"/>
    <x v="0"/>
    <x v="0"/>
    <x v="0"/>
  </r>
  <r>
    <x v="15"/>
    <x v="0"/>
    <x v="0"/>
    <x v="9"/>
    <x v="0"/>
    <x v="0"/>
    <x v="3"/>
    <x v="5"/>
    <x v="15"/>
    <x v="0"/>
    <x v="2"/>
    <x v="15"/>
    <x v="0"/>
    <x v="14"/>
    <x v="12"/>
    <x v="2"/>
    <x v="0"/>
    <x v="0"/>
    <x v="9"/>
    <x v="0"/>
    <x v="0"/>
    <x v="0"/>
  </r>
  <r>
    <x v="16"/>
    <x v="0"/>
    <x v="0"/>
    <x v="9"/>
    <x v="0"/>
    <x v="0"/>
    <x v="3"/>
    <x v="2"/>
    <x v="16"/>
    <x v="0"/>
    <x v="2"/>
    <x v="16"/>
    <x v="0"/>
    <x v="14"/>
    <x v="12"/>
    <x v="2"/>
    <x v="0"/>
    <x v="0"/>
    <x v="6"/>
    <x v="0"/>
    <x v="0"/>
    <x v="0"/>
  </r>
  <r>
    <x v="17"/>
    <x v="0"/>
    <x v="0"/>
    <x v="9"/>
    <x v="0"/>
    <x v="0"/>
    <x v="4"/>
    <x v="4"/>
    <x v="17"/>
    <x v="0"/>
    <x v="1"/>
    <x v="17"/>
    <x v="0"/>
    <x v="15"/>
    <x v="13"/>
    <x v="2"/>
    <x v="0"/>
    <x v="0"/>
    <x v="1"/>
    <x v="0"/>
    <x v="0"/>
    <x v="0"/>
  </r>
  <r>
    <x v="18"/>
    <x v="0"/>
    <x v="0"/>
    <x v="10"/>
    <x v="0"/>
    <x v="0"/>
    <x v="0"/>
    <x v="7"/>
    <x v="18"/>
    <x v="0"/>
    <x v="0"/>
    <x v="18"/>
    <x v="0"/>
    <x v="16"/>
    <x v="0"/>
    <x v="0"/>
    <x v="0"/>
    <x v="0"/>
    <x v="10"/>
    <x v="0"/>
    <x v="0"/>
    <x v="0"/>
  </r>
  <r>
    <x v="19"/>
    <x v="0"/>
    <x v="0"/>
    <x v="10"/>
    <x v="0"/>
    <x v="0"/>
    <x v="2"/>
    <x v="2"/>
    <x v="19"/>
    <x v="0"/>
    <x v="2"/>
    <x v="19"/>
    <x v="0"/>
    <x v="17"/>
    <x v="14"/>
    <x v="2"/>
    <x v="0"/>
    <x v="0"/>
    <x v="11"/>
    <x v="0"/>
    <x v="0"/>
    <x v="0"/>
  </r>
  <r>
    <x v="20"/>
    <x v="0"/>
    <x v="0"/>
    <x v="11"/>
    <x v="0"/>
    <x v="0"/>
    <x v="0"/>
    <x v="7"/>
    <x v="20"/>
    <x v="0"/>
    <x v="0"/>
    <x v="20"/>
    <x v="0"/>
    <x v="18"/>
    <x v="0"/>
    <x v="1"/>
    <x v="0"/>
    <x v="0"/>
    <x v="12"/>
    <x v="0"/>
    <x v="0"/>
    <x v="0"/>
  </r>
  <r>
    <x v="21"/>
    <x v="0"/>
    <x v="0"/>
    <x v="11"/>
    <x v="0"/>
    <x v="0"/>
    <x v="0"/>
    <x v="7"/>
    <x v="21"/>
    <x v="0"/>
    <x v="0"/>
    <x v="21"/>
    <x v="0"/>
    <x v="19"/>
    <x v="0"/>
    <x v="1"/>
    <x v="0"/>
    <x v="0"/>
    <x v="13"/>
    <x v="0"/>
    <x v="0"/>
    <x v="0"/>
  </r>
  <r>
    <x v="22"/>
    <x v="0"/>
    <x v="0"/>
    <x v="12"/>
    <x v="0"/>
    <x v="0"/>
    <x v="3"/>
    <x v="8"/>
    <x v="22"/>
    <x v="0"/>
    <x v="4"/>
    <x v="22"/>
    <x v="0"/>
    <x v="20"/>
    <x v="15"/>
    <x v="0"/>
    <x v="0"/>
    <x v="0"/>
    <x v="1"/>
    <x v="0"/>
    <x v="0"/>
    <x v="0"/>
  </r>
  <r>
    <x v="23"/>
    <x v="0"/>
    <x v="0"/>
    <x v="12"/>
    <x v="0"/>
    <x v="0"/>
    <x v="3"/>
    <x v="9"/>
    <x v="23"/>
    <x v="0"/>
    <x v="5"/>
    <x v="23"/>
    <x v="0"/>
    <x v="20"/>
    <x v="15"/>
    <x v="0"/>
    <x v="0"/>
    <x v="0"/>
    <x v="1"/>
    <x v="0"/>
    <x v="1"/>
    <x v="0"/>
  </r>
  <r>
    <x v="24"/>
    <x v="0"/>
    <x v="0"/>
    <x v="12"/>
    <x v="0"/>
    <x v="0"/>
    <x v="0"/>
    <x v="7"/>
    <x v="24"/>
    <x v="0"/>
    <x v="0"/>
    <x v="24"/>
    <x v="0"/>
    <x v="21"/>
    <x v="0"/>
    <x v="1"/>
    <x v="0"/>
    <x v="0"/>
    <x v="12"/>
    <x v="0"/>
    <x v="0"/>
    <x v="0"/>
  </r>
  <r>
    <x v="25"/>
    <x v="0"/>
    <x v="0"/>
    <x v="12"/>
    <x v="0"/>
    <x v="0"/>
    <x v="2"/>
    <x v="2"/>
    <x v="25"/>
    <x v="0"/>
    <x v="2"/>
    <x v="25"/>
    <x v="0"/>
    <x v="22"/>
    <x v="16"/>
    <x v="0"/>
    <x v="0"/>
    <x v="0"/>
    <x v="14"/>
    <x v="0"/>
    <x v="0"/>
    <x v="0"/>
  </r>
  <r>
    <x v="26"/>
    <x v="0"/>
    <x v="0"/>
    <x v="12"/>
    <x v="0"/>
    <x v="0"/>
    <x v="2"/>
    <x v="4"/>
    <x v="26"/>
    <x v="0"/>
    <x v="1"/>
    <x v="26"/>
    <x v="0"/>
    <x v="22"/>
    <x v="17"/>
    <x v="0"/>
    <x v="0"/>
    <x v="0"/>
    <x v="15"/>
    <x v="0"/>
    <x v="0"/>
    <x v="0"/>
  </r>
  <r>
    <x v="27"/>
    <x v="0"/>
    <x v="0"/>
    <x v="12"/>
    <x v="0"/>
    <x v="0"/>
    <x v="2"/>
    <x v="3"/>
    <x v="27"/>
    <x v="0"/>
    <x v="1"/>
    <x v="27"/>
    <x v="0"/>
    <x v="22"/>
    <x v="18"/>
    <x v="0"/>
    <x v="0"/>
    <x v="0"/>
    <x v="1"/>
    <x v="0"/>
    <x v="0"/>
    <x v="0"/>
  </r>
  <r>
    <x v="28"/>
    <x v="0"/>
    <x v="0"/>
    <x v="13"/>
    <x v="0"/>
    <x v="0"/>
    <x v="0"/>
    <x v="7"/>
    <x v="28"/>
    <x v="0"/>
    <x v="0"/>
    <x v="28"/>
    <x v="0"/>
    <x v="23"/>
    <x v="0"/>
    <x v="0"/>
    <x v="0"/>
    <x v="0"/>
    <x v="10"/>
    <x v="0"/>
    <x v="0"/>
    <x v="0"/>
  </r>
  <r>
    <x v="29"/>
    <x v="0"/>
    <x v="0"/>
    <x v="14"/>
    <x v="0"/>
    <x v="0"/>
    <x v="0"/>
    <x v="7"/>
    <x v="29"/>
    <x v="0"/>
    <x v="0"/>
    <x v="29"/>
    <x v="0"/>
    <x v="24"/>
    <x v="0"/>
    <x v="0"/>
    <x v="0"/>
    <x v="0"/>
    <x v="14"/>
    <x v="0"/>
    <x v="0"/>
    <x v="0"/>
  </r>
  <r>
    <x v="30"/>
    <x v="0"/>
    <x v="0"/>
    <x v="15"/>
    <x v="0"/>
    <x v="0"/>
    <x v="5"/>
    <x v="3"/>
    <x v="30"/>
    <x v="0"/>
    <x v="1"/>
    <x v="30"/>
    <x v="0"/>
    <x v="25"/>
    <x v="19"/>
    <x v="0"/>
    <x v="0"/>
    <x v="0"/>
    <x v="14"/>
    <x v="0"/>
    <x v="0"/>
    <x v="0"/>
  </r>
  <r>
    <x v="31"/>
    <x v="1"/>
    <x v="0"/>
    <x v="16"/>
    <x v="0"/>
    <x v="0"/>
    <x v="3"/>
    <x v="3"/>
    <x v="31"/>
    <x v="0"/>
    <x v="6"/>
    <x v="31"/>
    <x v="0"/>
    <x v="26"/>
    <x v="3"/>
    <x v="1"/>
    <x v="0"/>
    <x v="0"/>
    <x v="16"/>
    <x v="0"/>
    <x v="0"/>
    <x v="0"/>
  </r>
  <r>
    <x v="32"/>
    <x v="1"/>
    <x v="0"/>
    <x v="17"/>
    <x v="0"/>
    <x v="0"/>
    <x v="2"/>
    <x v="2"/>
    <x v="32"/>
    <x v="0"/>
    <x v="7"/>
    <x v="32"/>
    <x v="0"/>
    <x v="27"/>
    <x v="20"/>
    <x v="2"/>
    <x v="0"/>
    <x v="0"/>
    <x v="14"/>
    <x v="0"/>
    <x v="0"/>
    <x v="0"/>
  </r>
  <r>
    <x v="33"/>
    <x v="1"/>
    <x v="0"/>
    <x v="17"/>
    <x v="0"/>
    <x v="0"/>
    <x v="2"/>
    <x v="4"/>
    <x v="33"/>
    <x v="0"/>
    <x v="6"/>
    <x v="33"/>
    <x v="0"/>
    <x v="27"/>
    <x v="17"/>
    <x v="2"/>
    <x v="0"/>
    <x v="0"/>
    <x v="2"/>
    <x v="0"/>
    <x v="0"/>
    <x v="0"/>
  </r>
  <r>
    <x v="34"/>
    <x v="1"/>
    <x v="0"/>
    <x v="17"/>
    <x v="0"/>
    <x v="0"/>
    <x v="2"/>
    <x v="3"/>
    <x v="34"/>
    <x v="0"/>
    <x v="6"/>
    <x v="34"/>
    <x v="0"/>
    <x v="27"/>
    <x v="21"/>
    <x v="2"/>
    <x v="0"/>
    <x v="0"/>
    <x v="2"/>
    <x v="0"/>
    <x v="0"/>
    <x v="0"/>
  </r>
  <r>
    <x v="35"/>
    <x v="1"/>
    <x v="0"/>
    <x v="18"/>
    <x v="0"/>
    <x v="0"/>
    <x v="1"/>
    <x v="1"/>
    <x v="35"/>
    <x v="0"/>
    <x v="6"/>
    <x v="35"/>
    <x v="0"/>
    <x v="28"/>
    <x v="1"/>
    <x v="0"/>
    <x v="0"/>
    <x v="0"/>
    <x v="2"/>
    <x v="0"/>
    <x v="0"/>
    <x v="0"/>
  </r>
  <r>
    <x v="36"/>
    <x v="1"/>
    <x v="0"/>
    <x v="19"/>
    <x v="0"/>
    <x v="0"/>
    <x v="2"/>
    <x v="2"/>
    <x v="36"/>
    <x v="0"/>
    <x v="7"/>
    <x v="36"/>
    <x v="0"/>
    <x v="29"/>
    <x v="22"/>
    <x v="0"/>
    <x v="0"/>
    <x v="0"/>
    <x v="1"/>
    <x v="0"/>
    <x v="0"/>
    <x v="0"/>
  </r>
  <r>
    <x v="37"/>
    <x v="1"/>
    <x v="0"/>
    <x v="19"/>
    <x v="0"/>
    <x v="0"/>
    <x v="1"/>
    <x v="4"/>
    <x v="37"/>
    <x v="0"/>
    <x v="6"/>
    <x v="37"/>
    <x v="0"/>
    <x v="30"/>
    <x v="4"/>
    <x v="0"/>
    <x v="0"/>
    <x v="0"/>
    <x v="1"/>
    <x v="0"/>
    <x v="0"/>
    <x v="0"/>
  </r>
  <r>
    <x v="38"/>
    <x v="1"/>
    <x v="0"/>
    <x v="20"/>
    <x v="0"/>
    <x v="0"/>
    <x v="1"/>
    <x v="3"/>
    <x v="38"/>
    <x v="0"/>
    <x v="6"/>
    <x v="38"/>
    <x v="0"/>
    <x v="31"/>
    <x v="4"/>
    <x v="1"/>
    <x v="0"/>
    <x v="0"/>
    <x v="1"/>
    <x v="0"/>
    <x v="0"/>
    <x v="0"/>
  </r>
  <r>
    <x v="39"/>
    <x v="1"/>
    <x v="0"/>
    <x v="20"/>
    <x v="0"/>
    <x v="0"/>
    <x v="0"/>
    <x v="7"/>
    <x v="39"/>
    <x v="0"/>
    <x v="8"/>
    <x v="39"/>
    <x v="0"/>
    <x v="32"/>
    <x v="0"/>
    <x v="1"/>
    <x v="0"/>
    <x v="0"/>
    <x v="17"/>
    <x v="0"/>
    <x v="0"/>
    <x v="0"/>
  </r>
  <r>
    <x v="40"/>
    <x v="1"/>
    <x v="0"/>
    <x v="20"/>
    <x v="0"/>
    <x v="0"/>
    <x v="0"/>
    <x v="0"/>
    <x v="40"/>
    <x v="0"/>
    <x v="8"/>
    <x v="40"/>
    <x v="0"/>
    <x v="32"/>
    <x v="0"/>
    <x v="1"/>
    <x v="0"/>
    <x v="0"/>
    <x v="2"/>
    <x v="0"/>
    <x v="0"/>
    <x v="0"/>
  </r>
  <r>
    <x v="41"/>
    <x v="1"/>
    <x v="0"/>
    <x v="21"/>
    <x v="0"/>
    <x v="0"/>
    <x v="0"/>
    <x v="7"/>
    <x v="41"/>
    <x v="0"/>
    <x v="8"/>
    <x v="41"/>
    <x v="0"/>
    <x v="33"/>
    <x v="0"/>
    <x v="0"/>
    <x v="0"/>
    <x v="0"/>
    <x v="13"/>
    <x v="0"/>
    <x v="0"/>
    <x v="0"/>
  </r>
  <r>
    <x v="42"/>
    <x v="1"/>
    <x v="0"/>
    <x v="21"/>
    <x v="0"/>
    <x v="0"/>
    <x v="0"/>
    <x v="0"/>
    <x v="42"/>
    <x v="0"/>
    <x v="8"/>
    <x v="42"/>
    <x v="0"/>
    <x v="33"/>
    <x v="0"/>
    <x v="0"/>
    <x v="0"/>
    <x v="0"/>
    <x v="13"/>
    <x v="0"/>
    <x v="0"/>
    <x v="0"/>
  </r>
  <r>
    <x v="43"/>
    <x v="1"/>
    <x v="0"/>
    <x v="21"/>
    <x v="0"/>
    <x v="0"/>
    <x v="2"/>
    <x v="4"/>
    <x v="43"/>
    <x v="0"/>
    <x v="6"/>
    <x v="43"/>
    <x v="0"/>
    <x v="34"/>
    <x v="17"/>
    <x v="2"/>
    <x v="0"/>
    <x v="0"/>
    <x v="2"/>
    <x v="0"/>
    <x v="0"/>
    <x v="0"/>
  </r>
  <r>
    <x v="44"/>
    <x v="1"/>
    <x v="0"/>
    <x v="21"/>
    <x v="0"/>
    <x v="0"/>
    <x v="2"/>
    <x v="3"/>
    <x v="44"/>
    <x v="0"/>
    <x v="6"/>
    <x v="44"/>
    <x v="0"/>
    <x v="34"/>
    <x v="23"/>
    <x v="2"/>
    <x v="0"/>
    <x v="0"/>
    <x v="14"/>
    <x v="0"/>
    <x v="0"/>
    <x v="0"/>
  </r>
  <r>
    <x v="45"/>
    <x v="1"/>
    <x v="0"/>
    <x v="21"/>
    <x v="0"/>
    <x v="0"/>
    <x v="0"/>
    <x v="7"/>
    <x v="45"/>
    <x v="0"/>
    <x v="8"/>
    <x v="45"/>
    <x v="0"/>
    <x v="35"/>
    <x v="0"/>
    <x v="0"/>
    <x v="0"/>
    <x v="0"/>
    <x v="18"/>
    <x v="0"/>
    <x v="0"/>
    <x v="0"/>
  </r>
  <r>
    <x v="46"/>
    <x v="1"/>
    <x v="0"/>
    <x v="22"/>
    <x v="0"/>
    <x v="0"/>
    <x v="4"/>
    <x v="10"/>
    <x v="46"/>
    <x v="0"/>
    <x v="9"/>
    <x v="46"/>
    <x v="0"/>
    <x v="36"/>
    <x v="24"/>
    <x v="2"/>
    <x v="0"/>
    <x v="0"/>
    <x v="2"/>
    <x v="0"/>
    <x v="0"/>
    <x v="0"/>
  </r>
  <r>
    <x v="47"/>
    <x v="1"/>
    <x v="0"/>
    <x v="23"/>
    <x v="0"/>
    <x v="0"/>
    <x v="0"/>
    <x v="7"/>
    <x v="47"/>
    <x v="0"/>
    <x v="8"/>
    <x v="47"/>
    <x v="0"/>
    <x v="37"/>
    <x v="0"/>
    <x v="1"/>
    <x v="0"/>
    <x v="0"/>
    <x v="18"/>
    <x v="0"/>
    <x v="0"/>
    <x v="0"/>
  </r>
  <r>
    <x v="48"/>
    <x v="1"/>
    <x v="0"/>
    <x v="24"/>
    <x v="0"/>
    <x v="0"/>
    <x v="1"/>
    <x v="4"/>
    <x v="4"/>
    <x v="0"/>
    <x v="6"/>
    <x v="48"/>
    <x v="0"/>
    <x v="38"/>
    <x v="4"/>
    <x v="0"/>
    <x v="0"/>
    <x v="0"/>
    <x v="1"/>
    <x v="0"/>
    <x v="0"/>
    <x v="0"/>
  </r>
  <r>
    <x v="49"/>
    <x v="1"/>
    <x v="0"/>
    <x v="24"/>
    <x v="0"/>
    <x v="0"/>
    <x v="1"/>
    <x v="1"/>
    <x v="48"/>
    <x v="0"/>
    <x v="6"/>
    <x v="49"/>
    <x v="0"/>
    <x v="38"/>
    <x v="1"/>
    <x v="0"/>
    <x v="0"/>
    <x v="0"/>
    <x v="14"/>
    <x v="0"/>
    <x v="0"/>
    <x v="0"/>
  </r>
  <r>
    <x v="50"/>
    <x v="1"/>
    <x v="0"/>
    <x v="24"/>
    <x v="0"/>
    <x v="0"/>
    <x v="1"/>
    <x v="1"/>
    <x v="49"/>
    <x v="0"/>
    <x v="6"/>
    <x v="50"/>
    <x v="0"/>
    <x v="38"/>
    <x v="1"/>
    <x v="0"/>
    <x v="0"/>
    <x v="0"/>
    <x v="2"/>
    <x v="0"/>
    <x v="0"/>
    <x v="0"/>
  </r>
  <r>
    <x v="51"/>
    <x v="1"/>
    <x v="0"/>
    <x v="24"/>
    <x v="0"/>
    <x v="0"/>
    <x v="0"/>
    <x v="7"/>
    <x v="50"/>
    <x v="0"/>
    <x v="8"/>
    <x v="51"/>
    <x v="0"/>
    <x v="39"/>
    <x v="0"/>
    <x v="1"/>
    <x v="0"/>
    <x v="0"/>
    <x v="18"/>
    <x v="0"/>
    <x v="0"/>
    <x v="0"/>
  </r>
  <r>
    <x v="52"/>
    <x v="1"/>
    <x v="0"/>
    <x v="25"/>
    <x v="0"/>
    <x v="0"/>
    <x v="0"/>
    <x v="7"/>
    <x v="51"/>
    <x v="0"/>
    <x v="8"/>
    <x v="52"/>
    <x v="0"/>
    <x v="40"/>
    <x v="0"/>
    <x v="1"/>
    <x v="0"/>
    <x v="0"/>
    <x v="18"/>
    <x v="0"/>
    <x v="0"/>
    <x v="0"/>
  </r>
  <r>
    <x v="53"/>
    <x v="1"/>
    <x v="0"/>
    <x v="26"/>
    <x v="0"/>
    <x v="0"/>
    <x v="4"/>
    <x v="0"/>
    <x v="52"/>
    <x v="0"/>
    <x v="8"/>
    <x v="53"/>
    <x v="0"/>
    <x v="41"/>
    <x v="25"/>
    <x v="2"/>
    <x v="0"/>
    <x v="0"/>
    <x v="18"/>
    <x v="0"/>
    <x v="0"/>
    <x v="0"/>
  </r>
  <r>
    <x v="54"/>
    <x v="1"/>
    <x v="0"/>
    <x v="27"/>
    <x v="0"/>
    <x v="0"/>
    <x v="1"/>
    <x v="11"/>
    <x v="53"/>
    <x v="0"/>
    <x v="6"/>
    <x v="54"/>
    <x v="0"/>
    <x v="42"/>
    <x v="26"/>
    <x v="1"/>
    <x v="0"/>
    <x v="0"/>
    <x v="14"/>
    <x v="0"/>
    <x v="0"/>
    <x v="0"/>
  </r>
  <r>
    <x v="55"/>
    <x v="1"/>
    <x v="0"/>
    <x v="28"/>
    <x v="0"/>
    <x v="0"/>
    <x v="2"/>
    <x v="3"/>
    <x v="54"/>
    <x v="0"/>
    <x v="6"/>
    <x v="55"/>
    <x v="0"/>
    <x v="43"/>
    <x v="27"/>
    <x v="1"/>
    <x v="0"/>
    <x v="0"/>
    <x v="19"/>
    <x v="0"/>
    <x v="0"/>
    <x v="0"/>
  </r>
  <r>
    <x v="56"/>
    <x v="1"/>
    <x v="0"/>
    <x v="28"/>
    <x v="0"/>
    <x v="0"/>
    <x v="2"/>
    <x v="4"/>
    <x v="55"/>
    <x v="0"/>
    <x v="6"/>
    <x v="56"/>
    <x v="0"/>
    <x v="43"/>
    <x v="17"/>
    <x v="1"/>
    <x v="0"/>
    <x v="0"/>
    <x v="20"/>
    <x v="0"/>
    <x v="0"/>
    <x v="0"/>
  </r>
  <r>
    <x v="57"/>
    <x v="1"/>
    <x v="0"/>
    <x v="28"/>
    <x v="0"/>
    <x v="0"/>
    <x v="5"/>
    <x v="0"/>
    <x v="56"/>
    <x v="0"/>
    <x v="8"/>
    <x v="57"/>
    <x v="0"/>
    <x v="44"/>
    <x v="0"/>
    <x v="0"/>
    <x v="0"/>
    <x v="0"/>
    <x v="21"/>
    <x v="0"/>
    <x v="0"/>
    <x v="0"/>
  </r>
  <r>
    <x v="58"/>
    <x v="1"/>
    <x v="0"/>
    <x v="29"/>
    <x v="0"/>
    <x v="0"/>
    <x v="4"/>
    <x v="3"/>
    <x v="57"/>
    <x v="0"/>
    <x v="6"/>
    <x v="58"/>
    <x v="0"/>
    <x v="45"/>
    <x v="28"/>
    <x v="1"/>
    <x v="0"/>
    <x v="0"/>
    <x v="1"/>
    <x v="0"/>
    <x v="0"/>
    <x v="0"/>
  </r>
  <r>
    <x v="59"/>
    <x v="2"/>
    <x v="0"/>
    <x v="30"/>
    <x v="0"/>
    <x v="0"/>
    <x v="4"/>
    <x v="0"/>
    <x v="58"/>
    <x v="0"/>
    <x v="8"/>
    <x v="59"/>
    <x v="0"/>
    <x v="46"/>
    <x v="29"/>
    <x v="0"/>
    <x v="0"/>
    <x v="0"/>
    <x v="1"/>
    <x v="0"/>
    <x v="0"/>
    <x v="0"/>
  </r>
  <r>
    <x v="60"/>
    <x v="2"/>
    <x v="0"/>
    <x v="30"/>
    <x v="0"/>
    <x v="0"/>
    <x v="4"/>
    <x v="2"/>
    <x v="59"/>
    <x v="0"/>
    <x v="7"/>
    <x v="60"/>
    <x v="0"/>
    <x v="47"/>
    <x v="30"/>
    <x v="0"/>
    <x v="0"/>
    <x v="0"/>
    <x v="14"/>
    <x v="0"/>
    <x v="0"/>
    <x v="0"/>
  </r>
  <r>
    <x v="61"/>
    <x v="2"/>
    <x v="0"/>
    <x v="31"/>
    <x v="0"/>
    <x v="0"/>
    <x v="5"/>
    <x v="4"/>
    <x v="60"/>
    <x v="0"/>
    <x v="6"/>
    <x v="61"/>
    <x v="0"/>
    <x v="48"/>
    <x v="19"/>
    <x v="1"/>
    <x v="0"/>
    <x v="0"/>
    <x v="14"/>
    <x v="0"/>
    <x v="0"/>
    <x v="0"/>
  </r>
  <r>
    <x v="62"/>
    <x v="2"/>
    <x v="0"/>
    <x v="31"/>
    <x v="0"/>
    <x v="0"/>
    <x v="5"/>
    <x v="3"/>
    <x v="61"/>
    <x v="0"/>
    <x v="6"/>
    <x v="62"/>
    <x v="0"/>
    <x v="48"/>
    <x v="19"/>
    <x v="1"/>
    <x v="0"/>
    <x v="0"/>
    <x v="1"/>
    <x v="0"/>
    <x v="0"/>
    <x v="0"/>
  </r>
  <r>
    <x v="63"/>
    <x v="2"/>
    <x v="0"/>
    <x v="31"/>
    <x v="0"/>
    <x v="0"/>
    <x v="6"/>
    <x v="2"/>
    <x v="62"/>
    <x v="0"/>
    <x v="7"/>
    <x v="63"/>
    <x v="0"/>
    <x v="49"/>
    <x v="31"/>
    <x v="2"/>
    <x v="0"/>
    <x v="0"/>
    <x v="2"/>
    <x v="0"/>
    <x v="0"/>
    <x v="0"/>
  </r>
  <r>
    <x v="64"/>
    <x v="2"/>
    <x v="0"/>
    <x v="31"/>
    <x v="0"/>
    <x v="0"/>
    <x v="4"/>
    <x v="2"/>
    <x v="63"/>
    <x v="0"/>
    <x v="7"/>
    <x v="64"/>
    <x v="0"/>
    <x v="50"/>
    <x v="30"/>
    <x v="2"/>
    <x v="0"/>
    <x v="0"/>
    <x v="2"/>
    <x v="0"/>
    <x v="0"/>
    <x v="0"/>
  </r>
  <r>
    <x v="65"/>
    <x v="2"/>
    <x v="0"/>
    <x v="32"/>
    <x v="0"/>
    <x v="0"/>
    <x v="1"/>
    <x v="4"/>
    <x v="37"/>
    <x v="0"/>
    <x v="6"/>
    <x v="37"/>
    <x v="0"/>
    <x v="51"/>
    <x v="4"/>
    <x v="0"/>
    <x v="0"/>
    <x v="0"/>
    <x v="1"/>
    <x v="0"/>
    <x v="0"/>
    <x v="0"/>
  </r>
  <r>
    <x v="66"/>
    <x v="2"/>
    <x v="0"/>
    <x v="32"/>
    <x v="0"/>
    <x v="0"/>
    <x v="5"/>
    <x v="11"/>
    <x v="64"/>
    <x v="0"/>
    <x v="6"/>
    <x v="65"/>
    <x v="0"/>
    <x v="52"/>
    <x v="19"/>
    <x v="0"/>
    <x v="0"/>
    <x v="0"/>
    <x v="1"/>
    <x v="0"/>
    <x v="0"/>
    <x v="0"/>
  </r>
  <r>
    <x v="67"/>
    <x v="2"/>
    <x v="0"/>
    <x v="33"/>
    <x v="0"/>
    <x v="0"/>
    <x v="1"/>
    <x v="4"/>
    <x v="37"/>
    <x v="0"/>
    <x v="6"/>
    <x v="37"/>
    <x v="0"/>
    <x v="53"/>
    <x v="4"/>
    <x v="1"/>
    <x v="1"/>
    <x v="1"/>
    <x v="1"/>
    <x v="0"/>
    <x v="0"/>
    <x v="0"/>
  </r>
  <r>
    <x v="68"/>
    <x v="2"/>
    <x v="0"/>
    <x v="33"/>
    <x v="0"/>
    <x v="0"/>
    <x v="5"/>
    <x v="3"/>
    <x v="65"/>
    <x v="0"/>
    <x v="6"/>
    <x v="66"/>
    <x v="0"/>
    <x v="54"/>
    <x v="19"/>
    <x v="1"/>
    <x v="2"/>
    <x v="2"/>
    <x v="1"/>
    <x v="0"/>
    <x v="0"/>
    <x v="0"/>
  </r>
  <r>
    <x v="69"/>
    <x v="2"/>
    <x v="0"/>
    <x v="33"/>
    <x v="0"/>
    <x v="0"/>
    <x v="5"/>
    <x v="2"/>
    <x v="66"/>
    <x v="0"/>
    <x v="7"/>
    <x v="67"/>
    <x v="0"/>
    <x v="54"/>
    <x v="6"/>
    <x v="1"/>
    <x v="3"/>
    <x v="3"/>
    <x v="12"/>
    <x v="0"/>
    <x v="0"/>
    <x v="0"/>
  </r>
  <r>
    <x v="70"/>
    <x v="2"/>
    <x v="0"/>
    <x v="34"/>
    <x v="0"/>
    <x v="0"/>
    <x v="2"/>
    <x v="2"/>
    <x v="67"/>
    <x v="0"/>
    <x v="7"/>
    <x v="68"/>
    <x v="0"/>
    <x v="55"/>
    <x v="32"/>
    <x v="1"/>
    <x v="4"/>
    <x v="4"/>
    <x v="22"/>
    <x v="0"/>
    <x v="0"/>
    <x v="0"/>
  </r>
  <r>
    <x v="71"/>
    <x v="2"/>
    <x v="0"/>
    <x v="34"/>
    <x v="0"/>
    <x v="0"/>
    <x v="2"/>
    <x v="5"/>
    <x v="68"/>
    <x v="0"/>
    <x v="7"/>
    <x v="69"/>
    <x v="0"/>
    <x v="55"/>
    <x v="33"/>
    <x v="1"/>
    <x v="5"/>
    <x v="5"/>
    <x v="23"/>
    <x v="0"/>
    <x v="0"/>
    <x v="0"/>
  </r>
  <r>
    <x v="72"/>
    <x v="2"/>
    <x v="0"/>
    <x v="34"/>
    <x v="0"/>
    <x v="0"/>
    <x v="2"/>
    <x v="12"/>
    <x v="69"/>
    <x v="0"/>
    <x v="7"/>
    <x v="70"/>
    <x v="0"/>
    <x v="55"/>
    <x v="34"/>
    <x v="1"/>
    <x v="6"/>
    <x v="6"/>
    <x v="10"/>
    <x v="0"/>
    <x v="0"/>
    <x v="0"/>
  </r>
  <r>
    <x v="73"/>
    <x v="2"/>
    <x v="0"/>
    <x v="35"/>
    <x v="0"/>
    <x v="0"/>
    <x v="4"/>
    <x v="4"/>
    <x v="70"/>
    <x v="0"/>
    <x v="6"/>
    <x v="71"/>
    <x v="0"/>
    <x v="56"/>
    <x v="35"/>
    <x v="0"/>
    <x v="7"/>
    <x v="7"/>
    <x v="17"/>
    <x v="0"/>
    <x v="0"/>
    <x v="0"/>
  </r>
  <r>
    <x v="74"/>
    <x v="2"/>
    <x v="0"/>
    <x v="35"/>
    <x v="0"/>
    <x v="0"/>
    <x v="4"/>
    <x v="3"/>
    <x v="71"/>
    <x v="0"/>
    <x v="6"/>
    <x v="72"/>
    <x v="0"/>
    <x v="56"/>
    <x v="35"/>
    <x v="0"/>
    <x v="8"/>
    <x v="8"/>
    <x v="5"/>
    <x v="0"/>
    <x v="0"/>
    <x v="0"/>
  </r>
  <r>
    <x v="75"/>
    <x v="2"/>
    <x v="0"/>
    <x v="36"/>
    <x v="0"/>
    <x v="0"/>
    <x v="5"/>
    <x v="12"/>
    <x v="72"/>
    <x v="0"/>
    <x v="7"/>
    <x v="73"/>
    <x v="0"/>
    <x v="57"/>
    <x v="6"/>
    <x v="1"/>
    <x v="9"/>
    <x v="0"/>
    <x v="1"/>
    <x v="0"/>
    <x v="0"/>
    <x v="0"/>
  </r>
  <r>
    <x v="76"/>
    <x v="2"/>
    <x v="0"/>
    <x v="36"/>
    <x v="0"/>
    <x v="0"/>
    <x v="5"/>
    <x v="4"/>
    <x v="73"/>
    <x v="0"/>
    <x v="6"/>
    <x v="74"/>
    <x v="0"/>
    <x v="57"/>
    <x v="19"/>
    <x v="1"/>
    <x v="10"/>
    <x v="0"/>
    <x v="14"/>
    <x v="0"/>
    <x v="0"/>
    <x v="0"/>
  </r>
  <r>
    <x v="77"/>
    <x v="2"/>
    <x v="0"/>
    <x v="37"/>
    <x v="0"/>
    <x v="0"/>
    <x v="4"/>
    <x v="7"/>
    <x v="74"/>
    <x v="0"/>
    <x v="8"/>
    <x v="75"/>
    <x v="0"/>
    <x v="58"/>
    <x v="36"/>
    <x v="2"/>
    <x v="11"/>
    <x v="9"/>
    <x v="0"/>
    <x v="0"/>
    <x v="0"/>
    <x v="0"/>
  </r>
  <r>
    <x v="78"/>
    <x v="2"/>
    <x v="0"/>
    <x v="38"/>
    <x v="0"/>
    <x v="0"/>
    <x v="4"/>
    <x v="0"/>
    <x v="75"/>
    <x v="0"/>
    <x v="8"/>
    <x v="76"/>
    <x v="0"/>
    <x v="59"/>
    <x v="37"/>
    <x v="2"/>
    <x v="12"/>
    <x v="0"/>
    <x v="1"/>
    <x v="0"/>
    <x v="0"/>
    <x v="0"/>
  </r>
  <r>
    <x v="79"/>
    <x v="2"/>
    <x v="0"/>
    <x v="38"/>
    <x v="0"/>
    <x v="0"/>
    <x v="4"/>
    <x v="7"/>
    <x v="76"/>
    <x v="0"/>
    <x v="8"/>
    <x v="77"/>
    <x v="0"/>
    <x v="59"/>
    <x v="38"/>
    <x v="2"/>
    <x v="13"/>
    <x v="0"/>
    <x v="13"/>
    <x v="0"/>
    <x v="0"/>
    <x v="0"/>
  </r>
  <r>
    <x v="80"/>
    <x v="2"/>
    <x v="0"/>
    <x v="39"/>
    <x v="0"/>
    <x v="0"/>
    <x v="2"/>
    <x v="5"/>
    <x v="77"/>
    <x v="0"/>
    <x v="7"/>
    <x v="78"/>
    <x v="0"/>
    <x v="60"/>
    <x v="33"/>
    <x v="1"/>
    <x v="14"/>
    <x v="0"/>
    <x v="21"/>
    <x v="0"/>
    <x v="0"/>
    <x v="0"/>
  </r>
  <r>
    <x v="81"/>
    <x v="2"/>
    <x v="0"/>
    <x v="39"/>
    <x v="0"/>
    <x v="0"/>
    <x v="2"/>
    <x v="12"/>
    <x v="78"/>
    <x v="0"/>
    <x v="7"/>
    <x v="79"/>
    <x v="0"/>
    <x v="60"/>
    <x v="34"/>
    <x v="1"/>
    <x v="15"/>
    <x v="0"/>
    <x v="24"/>
    <x v="0"/>
    <x v="0"/>
    <x v="0"/>
  </r>
  <r>
    <x v="82"/>
    <x v="2"/>
    <x v="0"/>
    <x v="39"/>
    <x v="0"/>
    <x v="0"/>
    <x v="2"/>
    <x v="2"/>
    <x v="79"/>
    <x v="0"/>
    <x v="7"/>
    <x v="80"/>
    <x v="0"/>
    <x v="60"/>
    <x v="32"/>
    <x v="1"/>
    <x v="16"/>
    <x v="0"/>
    <x v="9"/>
    <x v="0"/>
    <x v="0"/>
    <x v="0"/>
  </r>
  <r>
    <x v="83"/>
    <x v="2"/>
    <x v="0"/>
    <x v="39"/>
    <x v="0"/>
    <x v="0"/>
    <x v="2"/>
    <x v="13"/>
    <x v="80"/>
    <x v="0"/>
    <x v="10"/>
    <x v="81"/>
    <x v="0"/>
    <x v="60"/>
    <x v="39"/>
    <x v="1"/>
    <x v="17"/>
    <x v="0"/>
    <x v="6"/>
    <x v="0"/>
    <x v="0"/>
    <x v="0"/>
  </r>
  <r>
    <x v="84"/>
    <x v="2"/>
    <x v="0"/>
    <x v="40"/>
    <x v="0"/>
    <x v="0"/>
    <x v="4"/>
    <x v="2"/>
    <x v="72"/>
    <x v="0"/>
    <x v="7"/>
    <x v="73"/>
    <x v="0"/>
    <x v="61"/>
    <x v="40"/>
    <x v="2"/>
    <x v="18"/>
    <x v="10"/>
    <x v="25"/>
    <x v="0"/>
    <x v="0"/>
    <x v="0"/>
  </r>
  <r>
    <x v="85"/>
    <x v="2"/>
    <x v="0"/>
    <x v="40"/>
    <x v="0"/>
    <x v="0"/>
    <x v="4"/>
    <x v="10"/>
    <x v="81"/>
    <x v="0"/>
    <x v="9"/>
    <x v="82"/>
    <x v="0"/>
    <x v="61"/>
    <x v="41"/>
    <x v="2"/>
    <x v="19"/>
    <x v="11"/>
    <x v="5"/>
    <x v="0"/>
    <x v="0"/>
    <x v="0"/>
  </r>
  <r>
    <x v="86"/>
    <x v="2"/>
    <x v="0"/>
    <x v="41"/>
    <x v="0"/>
    <x v="0"/>
    <x v="0"/>
    <x v="7"/>
    <x v="82"/>
    <x v="0"/>
    <x v="8"/>
    <x v="83"/>
    <x v="0"/>
    <x v="62"/>
    <x v="0"/>
    <x v="0"/>
    <x v="20"/>
    <x v="12"/>
    <x v="26"/>
    <x v="0"/>
    <x v="0"/>
    <x v="0"/>
  </r>
  <r>
    <x v="87"/>
    <x v="2"/>
    <x v="0"/>
    <x v="41"/>
    <x v="0"/>
    <x v="0"/>
    <x v="2"/>
    <x v="2"/>
    <x v="83"/>
    <x v="0"/>
    <x v="7"/>
    <x v="84"/>
    <x v="0"/>
    <x v="63"/>
    <x v="42"/>
    <x v="1"/>
    <x v="21"/>
    <x v="13"/>
    <x v="27"/>
    <x v="0"/>
    <x v="0"/>
    <x v="0"/>
  </r>
  <r>
    <x v="88"/>
    <x v="2"/>
    <x v="0"/>
    <x v="41"/>
    <x v="0"/>
    <x v="0"/>
    <x v="2"/>
    <x v="13"/>
    <x v="84"/>
    <x v="0"/>
    <x v="10"/>
    <x v="85"/>
    <x v="0"/>
    <x v="63"/>
    <x v="43"/>
    <x v="1"/>
    <x v="22"/>
    <x v="14"/>
    <x v="24"/>
    <x v="0"/>
    <x v="0"/>
    <x v="0"/>
  </r>
  <r>
    <x v="89"/>
    <x v="2"/>
    <x v="0"/>
    <x v="42"/>
    <x v="0"/>
    <x v="0"/>
    <x v="5"/>
    <x v="3"/>
    <x v="30"/>
    <x v="0"/>
    <x v="6"/>
    <x v="86"/>
    <x v="0"/>
    <x v="64"/>
    <x v="19"/>
    <x v="1"/>
    <x v="23"/>
    <x v="15"/>
    <x v="28"/>
    <x v="0"/>
    <x v="0"/>
    <x v="0"/>
  </r>
  <r>
    <x v="90"/>
    <x v="3"/>
    <x v="0"/>
    <x v="43"/>
    <x v="0"/>
    <x v="0"/>
    <x v="2"/>
    <x v="14"/>
    <x v="85"/>
    <x v="0"/>
    <x v="11"/>
    <x v="87"/>
    <x v="0"/>
    <x v="65"/>
    <x v="44"/>
    <x v="0"/>
    <x v="24"/>
    <x v="16"/>
    <x v="23"/>
    <x v="0"/>
    <x v="0"/>
    <x v="0"/>
  </r>
  <r>
    <x v="91"/>
    <x v="3"/>
    <x v="0"/>
    <x v="43"/>
    <x v="0"/>
    <x v="0"/>
    <x v="2"/>
    <x v="13"/>
    <x v="86"/>
    <x v="0"/>
    <x v="12"/>
    <x v="88"/>
    <x v="0"/>
    <x v="65"/>
    <x v="43"/>
    <x v="0"/>
    <x v="25"/>
    <x v="17"/>
    <x v="14"/>
    <x v="0"/>
    <x v="0"/>
    <x v="0"/>
  </r>
  <r>
    <x v="92"/>
    <x v="3"/>
    <x v="0"/>
    <x v="44"/>
    <x v="0"/>
    <x v="0"/>
    <x v="4"/>
    <x v="4"/>
    <x v="87"/>
    <x v="0"/>
    <x v="13"/>
    <x v="89"/>
    <x v="0"/>
    <x v="66"/>
    <x v="45"/>
    <x v="0"/>
    <x v="26"/>
    <x v="18"/>
    <x v="29"/>
    <x v="0"/>
    <x v="0"/>
    <x v="0"/>
  </r>
  <r>
    <x v="93"/>
    <x v="3"/>
    <x v="0"/>
    <x v="44"/>
    <x v="0"/>
    <x v="0"/>
    <x v="4"/>
    <x v="3"/>
    <x v="88"/>
    <x v="0"/>
    <x v="13"/>
    <x v="90"/>
    <x v="0"/>
    <x v="66"/>
    <x v="46"/>
    <x v="0"/>
    <x v="27"/>
    <x v="19"/>
    <x v="5"/>
    <x v="0"/>
    <x v="0"/>
    <x v="0"/>
  </r>
  <r>
    <x v="94"/>
    <x v="3"/>
    <x v="0"/>
    <x v="45"/>
    <x v="0"/>
    <x v="0"/>
    <x v="4"/>
    <x v="4"/>
    <x v="89"/>
    <x v="0"/>
    <x v="13"/>
    <x v="91"/>
    <x v="0"/>
    <x v="67"/>
    <x v="47"/>
    <x v="1"/>
    <x v="28"/>
    <x v="0"/>
    <x v="30"/>
    <x v="0"/>
    <x v="0"/>
    <x v="0"/>
  </r>
  <r>
    <x v="95"/>
    <x v="3"/>
    <x v="0"/>
    <x v="45"/>
    <x v="0"/>
    <x v="0"/>
    <x v="4"/>
    <x v="3"/>
    <x v="90"/>
    <x v="0"/>
    <x v="13"/>
    <x v="92"/>
    <x v="0"/>
    <x v="67"/>
    <x v="48"/>
    <x v="1"/>
    <x v="29"/>
    <x v="0"/>
    <x v="5"/>
    <x v="0"/>
    <x v="0"/>
    <x v="0"/>
  </r>
  <r>
    <x v="96"/>
    <x v="3"/>
    <x v="0"/>
    <x v="46"/>
    <x v="0"/>
    <x v="0"/>
    <x v="4"/>
    <x v="4"/>
    <x v="91"/>
    <x v="0"/>
    <x v="13"/>
    <x v="93"/>
    <x v="0"/>
    <x v="68"/>
    <x v="49"/>
    <x v="0"/>
    <x v="30"/>
    <x v="20"/>
    <x v="31"/>
    <x v="0"/>
    <x v="0"/>
    <x v="0"/>
  </r>
  <r>
    <x v="97"/>
    <x v="3"/>
    <x v="0"/>
    <x v="47"/>
    <x v="0"/>
    <x v="0"/>
    <x v="4"/>
    <x v="3"/>
    <x v="92"/>
    <x v="0"/>
    <x v="13"/>
    <x v="94"/>
    <x v="0"/>
    <x v="69"/>
    <x v="50"/>
    <x v="2"/>
    <x v="31"/>
    <x v="21"/>
    <x v="31"/>
    <x v="0"/>
    <x v="0"/>
    <x v="0"/>
  </r>
  <r>
    <x v="98"/>
    <x v="3"/>
    <x v="0"/>
    <x v="47"/>
    <x v="0"/>
    <x v="0"/>
    <x v="2"/>
    <x v="13"/>
    <x v="93"/>
    <x v="0"/>
    <x v="12"/>
    <x v="95"/>
    <x v="0"/>
    <x v="70"/>
    <x v="43"/>
    <x v="2"/>
    <x v="32"/>
    <x v="22"/>
    <x v="32"/>
    <x v="0"/>
    <x v="0"/>
    <x v="0"/>
  </r>
  <r>
    <x v="99"/>
    <x v="3"/>
    <x v="0"/>
    <x v="48"/>
    <x v="0"/>
    <x v="0"/>
    <x v="4"/>
    <x v="10"/>
    <x v="94"/>
    <x v="0"/>
    <x v="3"/>
    <x v="96"/>
    <x v="0"/>
    <x v="71"/>
    <x v="51"/>
    <x v="0"/>
    <x v="33"/>
    <x v="23"/>
    <x v="33"/>
    <x v="0"/>
    <x v="0"/>
    <x v="0"/>
  </r>
  <r>
    <x v="100"/>
    <x v="3"/>
    <x v="0"/>
    <x v="49"/>
    <x v="0"/>
    <x v="0"/>
    <x v="2"/>
    <x v="13"/>
    <x v="95"/>
    <x v="0"/>
    <x v="12"/>
    <x v="97"/>
    <x v="0"/>
    <x v="72"/>
    <x v="43"/>
    <x v="1"/>
    <x v="34"/>
    <x v="24"/>
    <x v="34"/>
    <x v="0"/>
    <x v="0"/>
    <x v="0"/>
  </r>
  <r>
    <x v="101"/>
    <x v="3"/>
    <x v="0"/>
    <x v="50"/>
    <x v="0"/>
    <x v="0"/>
    <x v="4"/>
    <x v="3"/>
    <x v="96"/>
    <x v="0"/>
    <x v="13"/>
    <x v="98"/>
    <x v="0"/>
    <x v="73"/>
    <x v="52"/>
    <x v="1"/>
    <x v="35"/>
    <x v="25"/>
    <x v="35"/>
    <x v="0"/>
    <x v="0"/>
    <x v="0"/>
  </r>
  <r>
    <x v="102"/>
    <x v="3"/>
    <x v="0"/>
    <x v="50"/>
    <x v="0"/>
    <x v="0"/>
    <x v="4"/>
    <x v="4"/>
    <x v="97"/>
    <x v="0"/>
    <x v="13"/>
    <x v="99"/>
    <x v="0"/>
    <x v="73"/>
    <x v="53"/>
    <x v="1"/>
    <x v="36"/>
    <x v="26"/>
    <x v="5"/>
    <x v="0"/>
    <x v="0"/>
    <x v="0"/>
  </r>
  <r>
    <x v="103"/>
    <x v="3"/>
    <x v="0"/>
    <x v="51"/>
    <x v="0"/>
    <x v="0"/>
    <x v="4"/>
    <x v="3"/>
    <x v="94"/>
    <x v="0"/>
    <x v="13"/>
    <x v="100"/>
    <x v="0"/>
    <x v="74"/>
    <x v="54"/>
    <x v="2"/>
    <x v="37"/>
    <x v="27"/>
    <x v="36"/>
    <x v="0"/>
    <x v="0"/>
    <x v="0"/>
  </r>
  <r>
    <x v="104"/>
    <x v="3"/>
    <x v="0"/>
    <x v="51"/>
    <x v="0"/>
    <x v="0"/>
    <x v="1"/>
    <x v="3"/>
    <x v="4"/>
    <x v="0"/>
    <x v="13"/>
    <x v="101"/>
    <x v="0"/>
    <x v="75"/>
    <x v="4"/>
    <x v="0"/>
    <x v="38"/>
    <x v="28"/>
    <x v="37"/>
    <x v="0"/>
    <x v="0"/>
    <x v="0"/>
  </r>
  <r>
    <x v="105"/>
    <x v="3"/>
    <x v="0"/>
    <x v="51"/>
    <x v="0"/>
    <x v="0"/>
    <x v="2"/>
    <x v="2"/>
    <x v="98"/>
    <x v="0"/>
    <x v="14"/>
    <x v="102"/>
    <x v="0"/>
    <x v="76"/>
    <x v="55"/>
    <x v="2"/>
    <x v="39"/>
    <x v="29"/>
    <x v="38"/>
    <x v="0"/>
    <x v="0"/>
    <x v="0"/>
  </r>
  <r>
    <x v="106"/>
    <x v="3"/>
    <x v="0"/>
    <x v="52"/>
    <x v="0"/>
    <x v="0"/>
    <x v="4"/>
    <x v="4"/>
    <x v="99"/>
    <x v="0"/>
    <x v="13"/>
    <x v="103"/>
    <x v="0"/>
    <x v="77"/>
    <x v="56"/>
    <x v="0"/>
    <x v="40"/>
    <x v="30"/>
    <x v="31"/>
    <x v="0"/>
    <x v="0"/>
    <x v="0"/>
  </r>
  <r>
    <x v="107"/>
    <x v="3"/>
    <x v="0"/>
    <x v="52"/>
    <x v="0"/>
    <x v="0"/>
    <x v="2"/>
    <x v="12"/>
    <x v="100"/>
    <x v="0"/>
    <x v="14"/>
    <x v="104"/>
    <x v="0"/>
    <x v="78"/>
    <x v="34"/>
    <x v="0"/>
    <x v="41"/>
    <x v="31"/>
    <x v="39"/>
    <x v="0"/>
    <x v="0"/>
    <x v="0"/>
  </r>
  <r>
    <x v="108"/>
    <x v="3"/>
    <x v="0"/>
    <x v="52"/>
    <x v="0"/>
    <x v="0"/>
    <x v="2"/>
    <x v="2"/>
    <x v="101"/>
    <x v="0"/>
    <x v="14"/>
    <x v="105"/>
    <x v="0"/>
    <x v="78"/>
    <x v="55"/>
    <x v="0"/>
    <x v="42"/>
    <x v="32"/>
    <x v="5"/>
    <x v="0"/>
    <x v="0"/>
    <x v="0"/>
  </r>
  <r>
    <x v="109"/>
    <x v="3"/>
    <x v="0"/>
    <x v="52"/>
    <x v="0"/>
    <x v="0"/>
    <x v="2"/>
    <x v="5"/>
    <x v="102"/>
    <x v="0"/>
    <x v="14"/>
    <x v="106"/>
    <x v="0"/>
    <x v="78"/>
    <x v="57"/>
    <x v="0"/>
    <x v="43"/>
    <x v="33"/>
    <x v="5"/>
    <x v="0"/>
    <x v="0"/>
    <x v="0"/>
  </r>
  <r>
    <x v="110"/>
    <x v="3"/>
    <x v="0"/>
    <x v="52"/>
    <x v="0"/>
    <x v="0"/>
    <x v="2"/>
    <x v="3"/>
    <x v="103"/>
    <x v="0"/>
    <x v="13"/>
    <x v="107"/>
    <x v="0"/>
    <x v="78"/>
    <x v="58"/>
    <x v="0"/>
    <x v="44"/>
    <x v="34"/>
    <x v="38"/>
    <x v="0"/>
    <x v="0"/>
    <x v="0"/>
  </r>
  <r>
    <x v="111"/>
    <x v="3"/>
    <x v="0"/>
    <x v="53"/>
    <x v="0"/>
    <x v="0"/>
    <x v="1"/>
    <x v="4"/>
    <x v="104"/>
    <x v="0"/>
    <x v="13"/>
    <x v="108"/>
    <x v="0"/>
    <x v="79"/>
    <x v="59"/>
    <x v="0"/>
    <x v="0"/>
    <x v="0"/>
    <x v="1"/>
    <x v="0"/>
    <x v="0"/>
    <x v="0"/>
  </r>
  <r>
    <x v="112"/>
    <x v="4"/>
    <x v="0"/>
    <x v="54"/>
    <x v="0"/>
    <x v="0"/>
    <x v="0"/>
    <x v="15"/>
    <x v="105"/>
    <x v="0"/>
    <x v="15"/>
    <x v="109"/>
    <x v="0"/>
    <x v="80"/>
    <x v="60"/>
    <x v="0"/>
    <x v="45"/>
    <x v="0"/>
    <x v="10"/>
    <x v="0"/>
    <x v="0"/>
    <x v="0"/>
  </r>
  <r>
    <x v="113"/>
    <x v="4"/>
    <x v="0"/>
    <x v="54"/>
    <x v="0"/>
    <x v="0"/>
    <x v="0"/>
    <x v="15"/>
    <x v="106"/>
    <x v="0"/>
    <x v="15"/>
    <x v="110"/>
    <x v="0"/>
    <x v="80"/>
    <x v="60"/>
    <x v="0"/>
    <x v="45"/>
    <x v="0"/>
    <x v="18"/>
    <x v="0"/>
    <x v="0"/>
    <x v="0"/>
  </r>
  <r>
    <x v="114"/>
    <x v="4"/>
    <x v="0"/>
    <x v="55"/>
    <x v="0"/>
    <x v="0"/>
    <x v="4"/>
    <x v="7"/>
    <x v="107"/>
    <x v="0"/>
    <x v="15"/>
    <x v="111"/>
    <x v="0"/>
    <x v="81"/>
    <x v="61"/>
    <x v="0"/>
    <x v="46"/>
    <x v="35"/>
    <x v="31"/>
    <x v="0"/>
    <x v="0"/>
    <x v="0"/>
  </r>
  <r>
    <x v="115"/>
    <x v="4"/>
    <x v="0"/>
    <x v="56"/>
    <x v="0"/>
    <x v="0"/>
    <x v="2"/>
    <x v="5"/>
    <x v="108"/>
    <x v="0"/>
    <x v="16"/>
    <x v="112"/>
    <x v="0"/>
    <x v="82"/>
    <x v="57"/>
    <x v="1"/>
    <x v="47"/>
    <x v="36"/>
    <x v="6"/>
    <x v="0"/>
    <x v="0"/>
    <x v="0"/>
  </r>
  <r>
    <x v="116"/>
    <x v="4"/>
    <x v="0"/>
    <x v="56"/>
    <x v="0"/>
    <x v="0"/>
    <x v="4"/>
    <x v="6"/>
    <x v="109"/>
    <x v="0"/>
    <x v="3"/>
    <x v="113"/>
    <x v="0"/>
    <x v="83"/>
    <x v="62"/>
    <x v="1"/>
    <x v="48"/>
    <x v="37"/>
    <x v="40"/>
    <x v="0"/>
    <x v="0"/>
    <x v="0"/>
  </r>
  <r>
    <x v="117"/>
    <x v="4"/>
    <x v="0"/>
    <x v="57"/>
    <x v="0"/>
    <x v="0"/>
    <x v="1"/>
    <x v="11"/>
    <x v="37"/>
    <x v="0"/>
    <x v="13"/>
    <x v="114"/>
    <x v="0"/>
    <x v="84"/>
    <x v="1"/>
    <x v="0"/>
    <x v="0"/>
    <x v="0"/>
    <x v="1"/>
    <x v="0"/>
    <x v="0"/>
    <x v="0"/>
  </r>
  <r>
    <x v="118"/>
    <x v="4"/>
    <x v="0"/>
    <x v="58"/>
    <x v="0"/>
    <x v="0"/>
    <x v="4"/>
    <x v="7"/>
    <x v="110"/>
    <x v="0"/>
    <x v="15"/>
    <x v="115"/>
    <x v="0"/>
    <x v="85"/>
    <x v="63"/>
    <x v="1"/>
    <x v="49"/>
    <x v="38"/>
    <x v="31"/>
    <x v="0"/>
    <x v="0"/>
    <x v="0"/>
  </r>
  <r>
    <x v="119"/>
    <x v="4"/>
    <x v="0"/>
    <x v="59"/>
    <x v="0"/>
    <x v="0"/>
    <x v="2"/>
    <x v="2"/>
    <x v="111"/>
    <x v="0"/>
    <x v="16"/>
    <x v="116"/>
    <x v="0"/>
    <x v="86"/>
    <x v="55"/>
    <x v="1"/>
    <x v="50"/>
    <x v="39"/>
    <x v="21"/>
    <x v="0"/>
    <x v="0"/>
    <x v="0"/>
  </r>
  <r>
    <x v="120"/>
    <x v="4"/>
    <x v="0"/>
    <x v="59"/>
    <x v="0"/>
    <x v="0"/>
    <x v="2"/>
    <x v="13"/>
    <x v="112"/>
    <x v="0"/>
    <x v="12"/>
    <x v="117"/>
    <x v="0"/>
    <x v="86"/>
    <x v="43"/>
    <x v="1"/>
    <x v="51"/>
    <x v="40"/>
    <x v="41"/>
    <x v="0"/>
    <x v="0"/>
    <x v="0"/>
  </r>
  <r>
    <x v="121"/>
    <x v="4"/>
    <x v="0"/>
    <x v="60"/>
    <x v="0"/>
    <x v="0"/>
    <x v="7"/>
    <x v="4"/>
    <x v="113"/>
    <x v="0"/>
    <x v="13"/>
    <x v="118"/>
    <x v="0"/>
    <x v="87"/>
    <x v="64"/>
    <x v="0"/>
    <x v="52"/>
    <x v="41"/>
    <x v="6"/>
    <x v="0"/>
    <x v="0"/>
    <x v="0"/>
  </r>
  <r>
    <x v="122"/>
    <x v="4"/>
    <x v="0"/>
    <x v="61"/>
    <x v="0"/>
    <x v="0"/>
    <x v="4"/>
    <x v="3"/>
    <x v="17"/>
    <x v="0"/>
    <x v="17"/>
    <x v="119"/>
    <x v="0"/>
    <x v="88"/>
    <x v="65"/>
    <x v="1"/>
    <x v="0"/>
    <x v="0"/>
    <x v="29"/>
    <x v="0"/>
    <x v="0"/>
    <x v="0"/>
  </r>
  <r>
    <x v="123"/>
    <x v="4"/>
    <x v="0"/>
    <x v="61"/>
    <x v="0"/>
    <x v="0"/>
    <x v="2"/>
    <x v="2"/>
    <x v="114"/>
    <x v="0"/>
    <x v="16"/>
    <x v="120"/>
    <x v="0"/>
    <x v="88"/>
    <x v="66"/>
    <x v="1"/>
    <x v="0"/>
    <x v="0"/>
    <x v="42"/>
    <x v="0"/>
    <x v="0"/>
    <x v="0"/>
  </r>
  <r>
    <x v="124"/>
    <x v="4"/>
    <x v="0"/>
    <x v="62"/>
    <x v="0"/>
    <x v="0"/>
    <x v="2"/>
    <x v="7"/>
    <x v="115"/>
    <x v="0"/>
    <x v="15"/>
    <x v="121"/>
    <x v="0"/>
    <x v="89"/>
    <x v="67"/>
    <x v="1"/>
    <x v="0"/>
    <x v="0"/>
    <x v="43"/>
    <x v="0"/>
    <x v="0"/>
    <x v="0"/>
  </r>
  <r>
    <x v="125"/>
    <x v="4"/>
    <x v="0"/>
    <x v="63"/>
    <x v="0"/>
    <x v="0"/>
    <x v="2"/>
    <x v="15"/>
    <x v="116"/>
    <x v="0"/>
    <x v="15"/>
    <x v="122"/>
    <x v="0"/>
    <x v="88"/>
    <x v="68"/>
    <x v="1"/>
    <x v="0"/>
    <x v="0"/>
    <x v="37"/>
    <x v="0"/>
    <x v="0"/>
    <x v="0"/>
  </r>
  <r>
    <x v="126"/>
    <x v="4"/>
    <x v="0"/>
    <x v="64"/>
    <x v="0"/>
    <x v="0"/>
    <x v="2"/>
    <x v="15"/>
    <x v="117"/>
    <x v="0"/>
    <x v="15"/>
    <x v="123"/>
    <x v="0"/>
    <x v="90"/>
    <x v="68"/>
    <x v="2"/>
    <x v="0"/>
    <x v="0"/>
    <x v="44"/>
    <x v="0"/>
    <x v="0"/>
    <x v="0"/>
  </r>
  <r>
    <x v="127"/>
    <x v="4"/>
    <x v="0"/>
    <x v="65"/>
    <x v="0"/>
    <x v="0"/>
    <x v="4"/>
    <x v="7"/>
    <x v="118"/>
    <x v="0"/>
    <x v="15"/>
    <x v="124"/>
    <x v="0"/>
    <x v="88"/>
    <x v="69"/>
    <x v="1"/>
    <x v="0"/>
    <x v="0"/>
    <x v="31"/>
    <x v="0"/>
    <x v="0"/>
    <x v="0"/>
  </r>
  <r>
    <x v="128"/>
    <x v="5"/>
    <x v="1"/>
    <x v="66"/>
    <x v="1"/>
    <x v="1"/>
    <x v="8"/>
    <x v="16"/>
    <x v="119"/>
    <x v="1"/>
    <x v="18"/>
    <x v="125"/>
    <x v="1"/>
    <x v="88"/>
    <x v="70"/>
    <x v="3"/>
    <x v="0"/>
    <x v="0"/>
    <x v="5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1"/>
    <x v="0"/>
    <x v="0"/>
    <x v="1"/>
    <x v="0"/>
    <x v="1"/>
    <x v="1"/>
    <x v="0"/>
  </r>
  <r>
    <x v="2"/>
    <x v="0"/>
    <x v="0"/>
    <x v="0"/>
    <x v="0"/>
    <x v="0"/>
    <x v="1"/>
    <x v="0"/>
    <x v="2"/>
    <x v="0"/>
    <x v="0"/>
    <x v="2"/>
    <x v="0"/>
    <x v="1"/>
    <x v="1"/>
    <x v="0"/>
  </r>
  <r>
    <x v="3"/>
    <x v="0"/>
    <x v="0"/>
    <x v="0"/>
    <x v="0"/>
    <x v="0"/>
    <x v="2"/>
    <x v="0"/>
    <x v="3"/>
    <x v="0"/>
    <x v="0"/>
    <x v="3"/>
    <x v="0"/>
    <x v="2"/>
    <x v="2"/>
    <x v="0"/>
  </r>
  <r>
    <x v="4"/>
    <x v="0"/>
    <x v="0"/>
    <x v="0"/>
    <x v="0"/>
    <x v="0"/>
    <x v="3"/>
    <x v="0"/>
    <x v="4"/>
    <x v="0"/>
    <x v="0"/>
    <x v="4"/>
    <x v="0"/>
    <x v="3"/>
    <x v="3"/>
    <x v="1"/>
  </r>
  <r>
    <x v="5"/>
    <x v="0"/>
    <x v="0"/>
    <x v="0"/>
    <x v="0"/>
    <x v="0"/>
    <x v="3"/>
    <x v="1"/>
    <x v="5"/>
    <x v="0"/>
    <x v="0"/>
    <x v="5"/>
    <x v="0"/>
    <x v="3"/>
    <x v="3"/>
    <x v="1"/>
  </r>
  <r>
    <x v="6"/>
    <x v="0"/>
    <x v="0"/>
    <x v="1"/>
    <x v="0"/>
    <x v="0"/>
    <x v="4"/>
    <x v="2"/>
    <x v="6"/>
    <x v="0"/>
    <x v="0"/>
    <x v="6"/>
    <x v="0"/>
    <x v="4"/>
    <x v="4"/>
    <x v="0"/>
  </r>
  <r>
    <x v="7"/>
    <x v="0"/>
    <x v="0"/>
    <x v="1"/>
    <x v="0"/>
    <x v="0"/>
    <x v="4"/>
    <x v="1"/>
    <x v="7"/>
    <x v="0"/>
    <x v="0"/>
    <x v="7"/>
    <x v="0"/>
    <x v="4"/>
    <x v="5"/>
    <x v="0"/>
  </r>
  <r>
    <x v="8"/>
    <x v="0"/>
    <x v="0"/>
    <x v="1"/>
    <x v="0"/>
    <x v="0"/>
    <x v="4"/>
    <x v="0"/>
    <x v="8"/>
    <x v="0"/>
    <x v="0"/>
    <x v="8"/>
    <x v="0"/>
    <x v="4"/>
    <x v="6"/>
    <x v="0"/>
  </r>
  <r>
    <x v="9"/>
    <x v="0"/>
    <x v="0"/>
    <x v="2"/>
    <x v="0"/>
    <x v="0"/>
    <x v="5"/>
    <x v="0"/>
    <x v="9"/>
    <x v="0"/>
    <x v="0"/>
    <x v="9"/>
    <x v="0"/>
    <x v="5"/>
    <x v="7"/>
    <x v="1"/>
  </r>
  <r>
    <x v="10"/>
    <x v="0"/>
    <x v="0"/>
    <x v="2"/>
    <x v="0"/>
    <x v="0"/>
    <x v="2"/>
    <x v="0"/>
    <x v="10"/>
    <x v="0"/>
    <x v="0"/>
    <x v="10"/>
    <x v="0"/>
    <x v="6"/>
    <x v="2"/>
    <x v="1"/>
  </r>
  <r>
    <x v="11"/>
    <x v="0"/>
    <x v="0"/>
    <x v="3"/>
    <x v="0"/>
    <x v="0"/>
    <x v="1"/>
    <x v="0"/>
    <x v="11"/>
    <x v="0"/>
    <x v="0"/>
    <x v="11"/>
    <x v="0"/>
    <x v="7"/>
    <x v="1"/>
    <x v="1"/>
  </r>
  <r>
    <x v="12"/>
    <x v="1"/>
    <x v="1"/>
    <x v="4"/>
    <x v="1"/>
    <x v="1"/>
    <x v="6"/>
    <x v="3"/>
    <x v="12"/>
    <x v="1"/>
    <x v="1"/>
    <x v="12"/>
    <x v="1"/>
    <x v="8"/>
    <x v="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7" firstHeaderRow="0" firstDataRow="1" firstDataCol="2"/>
  <pivotFields count="16">
    <pivotField compact="0" showAll="0">
      <items count="14"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multipleItemSelectionAllowed="1" showAll="0">
      <items count="3">
        <item x="0"/>
        <item h="1"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"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</pivotFields>
  <rowFields count="2">
    <field x="1"/>
    <field x="15"/>
  </rowFields>
  <rowItems count="4">
    <i>
      <x/>
    </i>
    <i r="1">
      <x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委托报关总价(USD)" fld="11" baseField="0" baseItem="0"/>
    <dataField name="求和项:委托报关总价(USD)2" fld="11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26" firstHeaderRow="0" firstDataRow="1" firstDataCol="2"/>
  <pivotFields count="22">
    <pivotField compact="0" showAll="0">
      <items count="130">
        <item x="0"/>
        <item x="12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axis="axisRow" compact="0" sortType="descending" showAll="0">
      <items count="14">
        <item x="5"/>
        <item m="1" x="12"/>
        <item m="1" x="11"/>
        <item m="1" x="10"/>
        <item m="1" x="9"/>
        <item m="1" x="8"/>
        <item m="1" x="7"/>
        <item m="1" x="6"/>
        <item x="4"/>
        <item x="3"/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8">
        <item x="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8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21">
        <item x="1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2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0"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showAll="0">
      <items count="127">
        <item x="1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3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2">
        <item x="88"/>
        <item x="0"/>
        <item x="1"/>
        <item x="2"/>
        <item x="3"/>
        <item x="4"/>
        <item x="5"/>
        <item x="6"/>
        <item x="7"/>
        <item x="8"/>
        <item x="10"/>
        <item x="11"/>
        <item x="9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13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t="default"/>
      </items>
    </pivotField>
    <pivotField compact="0" showAll="0">
      <items count="72">
        <item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Row" compact="0" showAll="0">
      <items count="6">
        <item x="1"/>
        <item x="0"/>
        <item x="3"/>
        <item x="2"/>
        <item m="1" x="4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6"/>
        <item x="27"/>
        <item x="24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46"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</pivotFields>
  <rowFields count="2">
    <field x="1"/>
    <field x="15"/>
  </rowFields>
  <rowItems count="23">
    <i>
      <x/>
    </i>
    <i r="1">
      <x v="2"/>
    </i>
    <i>
      <x v="8"/>
    </i>
    <i r="1">
      <x/>
    </i>
    <i r="1">
      <x v="1"/>
    </i>
    <i r="1">
      <x v="3"/>
    </i>
    <i>
      <x v="9"/>
    </i>
    <i r="1">
      <x/>
    </i>
    <i r="1">
      <x v="1"/>
    </i>
    <i r="1">
      <x v="3"/>
    </i>
    <i>
      <x v="10"/>
    </i>
    <i r="1">
      <x/>
    </i>
    <i r="1">
      <x v="1"/>
    </i>
    <i r="1">
      <x v="3"/>
    </i>
    <i>
      <x v="11"/>
    </i>
    <i r="1">
      <x/>
    </i>
    <i r="1">
      <x v="1"/>
    </i>
    <i r="1">
      <x v="3"/>
    </i>
    <i>
      <x v="12"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委托报关总价(USD)" fld="11" baseField="0" baseItem="0"/>
    <dataField name="求和项:委托报关总价(USD)2" fld="11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0">
      <pivotArea collapsedLevelsAreSubtotals="1" fieldPosition="0">
        <references count="2">
          <reference field="1" count="1" selected="0">
            <x v="11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3">
          <reference field="15" count="1" selected="0">
            <x v="0"/>
          </reference>
          <reference field="1" count="1" selected="0">
            <x v="11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3">
          <reference field="15" count="1" selected="0">
            <x v="1"/>
          </reference>
          <reference field="1" count="1" selected="0">
            <x v="11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表3" displayName="表3" ref="A1:T15" totalsRowShown="0">
  <autoFilter xmlns:etc="http://www.wps.cn/officeDocument/2017/etCustomData" ref="A1:T15" etc:filterBottomFollowUsedRange="0"/>
  <tableColumns count="20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  <tableColumn id="20" name="SO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表4" displayName="表4" ref="A1:T23" totalsRowShown="0">
  <autoFilter xmlns:etc="http://www.wps.cn/officeDocument/2017/etCustomData" ref="A1:T23" etc:filterBottomFollowUsedRange="0"/>
  <tableColumns count="20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  <tableColumn id="20" name="SO2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6" name="表6" displayName="表6" ref="A1:T2" totalsRowShown="0">
  <autoFilter xmlns:etc="http://www.wps.cn/officeDocument/2017/etCustomData" ref="A1:T2" etc:filterBottomFollowUsedRange="0"/>
  <tableColumns count="20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  <tableColumn id="20" name="SO2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7" name="表7" displayName="表7" ref="A1:T331" totalsRowShown="0">
  <autoFilter xmlns:etc="http://www.wps.cn/officeDocument/2017/etCustomData" ref="A1:T331" etc:filterBottomFollowUsedRange="0"/>
  <tableColumns count="20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  <tableColumn id="20" name="SO2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9" name="表9" displayName="表9" ref="A1:T228" totalsRowShown="0">
  <autoFilter xmlns:etc="http://www.wps.cn/officeDocument/2017/etCustomData" ref="A1:T228" etc:filterBottomFollowUsedRange="0"/>
  <tableColumns count="20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  <tableColumn id="20" name="SO2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1" name="表1" displayName="表1" ref="A1:S310" totalsRowShown="0">
  <autoFilter xmlns:etc="http://www.wps.cn/officeDocument/2017/etCustomData" ref="A1:S310" etc:filterBottomFollowUsedRange="0"/>
  <tableColumns count="19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id="2" name="表2" displayName="表2" ref="A1:S310" totalsRowShown="0">
  <autoFilter xmlns:etc="http://www.wps.cn/officeDocument/2017/etCustomData" ref="A1:S310" etc:filterBottomFollowUsedRange="0"/>
  <tableColumns count="19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5" name="表5" displayName="表5" ref="A1:S310" totalsRowShown="0">
  <autoFilter xmlns:etc="http://www.wps.cn/officeDocument/2017/etCustomData" ref="A1:S310" etc:filterBottomFollowUsedRange="0"/>
  <tableColumns count="19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8" name="表8" displayName="表8" ref="A1:S310" totalsRowShown="0">
  <autoFilter xmlns:etc="http://www.wps.cn/officeDocument/2017/etCustomData" ref="A1:S310" etc:filterBottomFollowUsedRange="0"/>
  <tableColumns count="19">
    <tableColumn id="1" name="序号"/>
    <tableColumn id="2" name="所属月份"/>
    <tableColumn id="3" name="下单日期"/>
    <tableColumn id="4" name="销售主体"/>
    <tableColumn id="5" name="协议"/>
    <tableColumn id="6" name="供应商"/>
    <tableColumn id="7" name="型号"/>
    <tableColumn id="8" name="数量"/>
    <tableColumn id="9" name="单位"/>
    <tableColumn id="10" name="报关单价(USD)"/>
    <tableColumn id="11" name="委托报关总价(USD)"/>
    <tableColumn id="12" name="原产国"/>
    <tableColumn id="13" name="申报抬头"/>
    <tableColumn id="14" name="原厂价格"/>
    <tableColumn id="15" name="税代"/>
    <tableColumn id="16" name="SO"/>
    <tableColumn id="17" name="物料编码/箱数"/>
    <tableColumn id="18" name="备注（物流商或ERP导出的报关单价"/>
    <tableColumn id="19" name="定价（USD）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L27" sqref="L27"/>
    </sheetView>
  </sheetViews>
  <sheetFormatPr defaultColWidth="8.72727272727273" defaultRowHeight="14"/>
  <cols>
    <col min="3" max="3" width="9.54545454545454"/>
    <col min="11" max="11" width="11.7272727272727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2</v>
      </c>
      <c r="C2">
        <v>20240201</v>
      </c>
      <c r="D2" t="s">
        <v>20</v>
      </c>
      <c r="E2" t="s">
        <v>21</v>
      </c>
      <c r="F2" t="s">
        <v>22</v>
      </c>
      <c r="G2" t="s">
        <v>23</v>
      </c>
      <c r="H2">
        <v>2429</v>
      </c>
      <c r="I2" t="s">
        <v>24</v>
      </c>
      <c r="J2">
        <v>3.44</v>
      </c>
      <c r="K2">
        <v>8355.76</v>
      </c>
      <c r="L2" t="s">
        <v>25</v>
      </c>
      <c r="M2" t="s">
        <v>26</v>
      </c>
      <c r="N2">
        <v>3.1943</v>
      </c>
      <c r="O2" t="s">
        <v>27</v>
      </c>
      <c r="Q2">
        <v>2</v>
      </c>
    </row>
    <row r="3" spans="1:20">
      <c r="A3">
        <v>2</v>
      </c>
      <c r="B3">
        <v>2</v>
      </c>
      <c r="C3">
        <v>20240201</v>
      </c>
      <c r="D3" t="s">
        <v>28</v>
      </c>
      <c r="E3" t="s">
        <v>21</v>
      </c>
      <c r="F3" t="s">
        <v>29</v>
      </c>
      <c r="G3" t="s">
        <v>30</v>
      </c>
      <c r="H3">
        <v>88327</v>
      </c>
      <c r="I3" t="s">
        <v>24</v>
      </c>
      <c r="J3">
        <v>4.14</v>
      </c>
      <c r="K3">
        <v>365673.78</v>
      </c>
      <c r="L3" t="s">
        <v>25</v>
      </c>
      <c r="M3" t="s">
        <v>26</v>
      </c>
      <c r="N3">
        <v>3.486</v>
      </c>
      <c r="O3" t="s">
        <v>27</v>
      </c>
      <c r="Q3">
        <v>72</v>
      </c>
      <c r="S3">
        <v>4.14</v>
      </c>
    </row>
    <row r="4" spans="1:20">
      <c r="A4">
        <v>3</v>
      </c>
      <c r="B4">
        <v>2</v>
      </c>
      <c r="C4">
        <v>20240201</v>
      </c>
      <c r="D4" t="s">
        <v>28</v>
      </c>
      <c r="E4" t="s">
        <v>21</v>
      </c>
      <c r="F4" t="s">
        <v>29</v>
      </c>
      <c r="G4" t="s">
        <v>30</v>
      </c>
      <c r="H4">
        <v>55801</v>
      </c>
      <c r="I4" t="s">
        <v>24</v>
      </c>
      <c r="J4">
        <v>5.01</v>
      </c>
      <c r="K4">
        <v>279563.01</v>
      </c>
      <c r="L4" t="s">
        <v>25</v>
      </c>
      <c r="M4" t="s">
        <v>26</v>
      </c>
      <c r="N4">
        <v>4.9112</v>
      </c>
      <c r="O4" t="s">
        <v>27</v>
      </c>
      <c r="S4">
        <v>4.14</v>
      </c>
    </row>
    <row r="5" spans="1:20">
      <c r="A5">
        <v>4</v>
      </c>
      <c r="B5">
        <v>2</v>
      </c>
      <c r="C5">
        <v>20240201</v>
      </c>
      <c r="D5" t="s">
        <v>28</v>
      </c>
      <c r="E5" t="s">
        <v>21</v>
      </c>
      <c r="F5" t="s">
        <v>29</v>
      </c>
      <c r="G5" t="s">
        <v>30</v>
      </c>
      <c r="H5">
        <v>178720</v>
      </c>
      <c r="I5" t="s">
        <v>24</v>
      </c>
      <c r="J5">
        <v>4.14</v>
      </c>
      <c r="K5">
        <v>739900.8</v>
      </c>
      <c r="L5" t="s">
        <v>31</v>
      </c>
      <c r="M5" t="s">
        <v>26</v>
      </c>
      <c r="N5">
        <v>4.0286</v>
      </c>
      <c r="O5" t="s">
        <v>27</v>
      </c>
      <c r="S5">
        <v>4.14</v>
      </c>
    </row>
    <row r="6" spans="1:20">
      <c r="A6">
        <v>5</v>
      </c>
      <c r="B6">
        <v>2</v>
      </c>
      <c r="C6">
        <v>20240201</v>
      </c>
      <c r="D6" t="s">
        <v>28</v>
      </c>
      <c r="E6" t="s">
        <v>21</v>
      </c>
      <c r="F6" t="s">
        <v>32</v>
      </c>
      <c r="G6" t="s">
        <v>33</v>
      </c>
      <c r="H6">
        <v>8146</v>
      </c>
      <c r="I6" t="s">
        <v>24</v>
      </c>
      <c r="J6">
        <v>4.14</v>
      </c>
      <c r="K6">
        <v>33724.44</v>
      </c>
      <c r="L6" t="s">
        <v>25</v>
      </c>
      <c r="M6" t="s">
        <v>34</v>
      </c>
      <c r="N6">
        <v>4.015</v>
      </c>
      <c r="O6" t="s">
        <v>27</v>
      </c>
      <c r="Q6">
        <v>90</v>
      </c>
    </row>
    <row r="7" spans="1:20">
      <c r="A7">
        <v>6</v>
      </c>
      <c r="B7">
        <v>2</v>
      </c>
      <c r="C7">
        <v>20240201</v>
      </c>
      <c r="D7" t="s">
        <v>28</v>
      </c>
      <c r="E7" t="s">
        <v>21</v>
      </c>
      <c r="F7" t="s">
        <v>29</v>
      </c>
      <c r="G7" t="s">
        <v>30</v>
      </c>
      <c r="H7">
        <v>172472</v>
      </c>
      <c r="I7" t="s">
        <v>24</v>
      </c>
      <c r="J7">
        <v>4.14</v>
      </c>
      <c r="K7">
        <v>714034.08</v>
      </c>
      <c r="L7" t="s">
        <v>25</v>
      </c>
      <c r="M7" t="s">
        <v>35</v>
      </c>
      <c r="N7">
        <v>3.4904</v>
      </c>
      <c r="O7" t="s">
        <v>27</v>
      </c>
      <c r="Q7">
        <v>127</v>
      </c>
    </row>
    <row r="8" spans="1:20">
      <c r="A8">
        <v>7</v>
      </c>
      <c r="B8">
        <v>2</v>
      </c>
      <c r="C8">
        <v>20240201</v>
      </c>
      <c r="D8" t="s">
        <v>28</v>
      </c>
      <c r="E8" t="s">
        <v>21</v>
      </c>
      <c r="F8" t="s">
        <v>29</v>
      </c>
      <c r="G8" t="s">
        <v>30</v>
      </c>
      <c r="H8">
        <v>51548</v>
      </c>
      <c r="I8" t="s">
        <v>24</v>
      </c>
      <c r="J8">
        <v>4.26</v>
      </c>
      <c r="K8">
        <v>219594.48</v>
      </c>
      <c r="L8" t="s">
        <v>25</v>
      </c>
      <c r="M8" t="s">
        <v>35</v>
      </c>
      <c r="N8">
        <v>4.2604</v>
      </c>
      <c r="O8" t="s">
        <v>27</v>
      </c>
    </row>
    <row r="9" spans="1:20">
      <c r="A9">
        <v>8</v>
      </c>
      <c r="B9">
        <v>2</v>
      </c>
      <c r="C9">
        <v>20240201</v>
      </c>
      <c r="D9" t="s">
        <v>28</v>
      </c>
      <c r="E9" t="s">
        <v>21</v>
      </c>
      <c r="F9" t="s">
        <v>29</v>
      </c>
      <c r="G9" t="s">
        <v>30</v>
      </c>
      <c r="H9">
        <v>523459</v>
      </c>
      <c r="I9" t="s">
        <v>24</v>
      </c>
      <c r="J9">
        <v>4.14</v>
      </c>
      <c r="K9">
        <v>2167120.26</v>
      </c>
      <c r="L9" t="s">
        <v>31</v>
      </c>
      <c r="M9" t="s">
        <v>35</v>
      </c>
      <c r="N9">
        <v>4.0286</v>
      </c>
      <c r="O9" t="s">
        <v>27</v>
      </c>
    </row>
    <row r="10" spans="1:20">
      <c r="A10">
        <v>9</v>
      </c>
      <c r="B10">
        <v>2</v>
      </c>
      <c r="C10">
        <v>20240201</v>
      </c>
      <c r="D10" t="s">
        <v>28</v>
      </c>
      <c r="E10" t="s">
        <v>21</v>
      </c>
      <c r="F10" t="s">
        <v>29</v>
      </c>
      <c r="G10" t="s">
        <v>30</v>
      </c>
      <c r="H10">
        <v>610</v>
      </c>
      <c r="I10" t="s">
        <v>24</v>
      </c>
      <c r="J10">
        <v>4.87</v>
      </c>
      <c r="K10">
        <v>2970.7</v>
      </c>
      <c r="L10" t="s">
        <v>36</v>
      </c>
      <c r="M10" t="s">
        <v>35</v>
      </c>
      <c r="N10">
        <v>4.8722</v>
      </c>
      <c r="O10" t="s">
        <v>27</v>
      </c>
    </row>
    <row r="11" spans="1:20">
      <c r="A11">
        <v>10</v>
      </c>
      <c r="B11">
        <v>2</v>
      </c>
      <c r="C11">
        <v>20240201</v>
      </c>
      <c r="D11" t="s">
        <v>28</v>
      </c>
      <c r="E11" t="s">
        <v>21</v>
      </c>
      <c r="F11" t="s">
        <v>29</v>
      </c>
      <c r="G11" t="s">
        <v>37</v>
      </c>
      <c r="H11">
        <v>810</v>
      </c>
      <c r="I11" t="s">
        <v>24</v>
      </c>
      <c r="J11">
        <v>4.14</v>
      </c>
      <c r="K11">
        <v>3353.4</v>
      </c>
      <c r="L11" t="s">
        <v>25</v>
      </c>
      <c r="M11" t="s">
        <v>38</v>
      </c>
      <c r="N11">
        <v>3.4941</v>
      </c>
      <c r="O11" t="s">
        <v>27</v>
      </c>
      <c r="Q11">
        <v>12</v>
      </c>
    </row>
    <row r="12" spans="1:20">
      <c r="A12">
        <v>11</v>
      </c>
      <c r="B12">
        <v>2</v>
      </c>
      <c r="C12">
        <v>20240201</v>
      </c>
      <c r="D12" t="s">
        <v>28</v>
      </c>
      <c r="E12" t="s">
        <v>21</v>
      </c>
      <c r="F12" t="s">
        <v>29</v>
      </c>
      <c r="G12" t="s">
        <v>37</v>
      </c>
      <c r="H12">
        <v>2374</v>
      </c>
      <c r="I12" t="s">
        <v>24</v>
      </c>
      <c r="J12">
        <v>4.14</v>
      </c>
      <c r="K12">
        <v>9828.36</v>
      </c>
      <c r="L12" t="s">
        <v>31</v>
      </c>
      <c r="M12" t="s">
        <v>38</v>
      </c>
      <c r="N12">
        <v>4.0286</v>
      </c>
      <c r="O12" t="s">
        <v>27</v>
      </c>
    </row>
    <row r="13" spans="1:20">
      <c r="A13">
        <v>12</v>
      </c>
      <c r="B13">
        <v>2</v>
      </c>
      <c r="C13">
        <v>20240202</v>
      </c>
      <c r="D13" t="s">
        <v>28</v>
      </c>
      <c r="E13" t="s">
        <v>21</v>
      </c>
      <c r="F13" t="s">
        <v>39</v>
      </c>
      <c r="G13" t="s">
        <v>40</v>
      </c>
      <c r="H13">
        <v>21</v>
      </c>
      <c r="I13" t="s">
        <v>24</v>
      </c>
      <c r="J13">
        <v>2106.81</v>
      </c>
      <c r="K13">
        <v>44243.01</v>
      </c>
      <c r="L13" t="s">
        <v>25</v>
      </c>
      <c r="O13" t="s">
        <v>27</v>
      </c>
      <c r="Q13">
        <v>1</v>
      </c>
    </row>
    <row r="14" spans="1:20">
      <c r="A14">
        <v>20</v>
      </c>
      <c r="B14">
        <v>2</v>
      </c>
      <c r="C14">
        <v>20240202</v>
      </c>
      <c r="D14" t="s">
        <v>28</v>
      </c>
      <c r="E14" t="s">
        <v>21</v>
      </c>
      <c r="F14" t="s">
        <v>29</v>
      </c>
      <c r="G14" t="s">
        <v>30</v>
      </c>
      <c r="H14">
        <v>2679</v>
      </c>
      <c r="I14" t="s">
        <v>24</v>
      </c>
      <c r="J14">
        <v>4.14</v>
      </c>
      <c r="K14">
        <v>11091.06</v>
      </c>
      <c r="L14" t="s">
        <v>25</v>
      </c>
      <c r="N14">
        <v>3.2544</v>
      </c>
      <c r="O14" t="s">
        <v>27</v>
      </c>
      <c r="Q14">
        <v>197</v>
      </c>
    </row>
    <row r="15" spans="1:20">
      <c r="A15">
        <v>21</v>
      </c>
      <c r="B15">
        <v>2</v>
      </c>
      <c r="C15">
        <v>20240202</v>
      </c>
      <c r="D15" t="s">
        <v>28</v>
      </c>
      <c r="E15" t="s">
        <v>21</v>
      </c>
      <c r="F15" t="s">
        <v>29</v>
      </c>
      <c r="G15" t="s">
        <v>30</v>
      </c>
      <c r="H15">
        <v>1314838</v>
      </c>
      <c r="I15" t="s">
        <v>24</v>
      </c>
      <c r="J15">
        <v>4.14</v>
      </c>
      <c r="K15">
        <v>5443429.32</v>
      </c>
      <c r="L15" t="s">
        <v>31</v>
      </c>
      <c r="N15">
        <v>4.0286</v>
      </c>
      <c r="O15" t="s">
        <v>27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L27" sqref="L27"/>
    </sheetView>
  </sheetViews>
  <sheetFormatPr defaultColWidth="8.72727272727273" defaultRowHeight="14"/>
  <cols>
    <col min="3" max="3" width="9.54545454545454"/>
    <col min="11" max="11" width="11.7272727272727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2</v>
      </c>
      <c r="C2">
        <v>20240201</v>
      </c>
      <c r="D2" t="s">
        <v>20</v>
      </c>
      <c r="E2" t="s">
        <v>21</v>
      </c>
      <c r="F2" t="s">
        <v>22</v>
      </c>
      <c r="G2" t="s">
        <v>23</v>
      </c>
      <c r="H2">
        <v>2429</v>
      </c>
      <c r="I2" t="s">
        <v>24</v>
      </c>
      <c r="J2">
        <v>3.44</v>
      </c>
      <c r="K2">
        <v>8355.76</v>
      </c>
      <c r="L2" t="s">
        <v>25</v>
      </c>
      <c r="M2" t="s">
        <v>26</v>
      </c>
      <c r="N2">
        <v>3.1943</v>
      </c>
      <c r="O2" t="s">
        <v>27</v>
      </c>
      <c r="Q2">
        <v>2</v>
      </c>
    </row>
    <row r="3" spans="1:20">
      <c r="A3">
        <v>2</v>
      </c>
      <c r="B3">
        <v>2</v>
      </c>
      <c r="C3">
        <v>20240201</v>
      </c>
      <c r="D3" t="s">
        <v>28</v>
      </c>
      <c r="E3" t="s">
        <v>21</v>
      </c>
      <c r="F3" t="s">
        <v>29</v>
      </c>
      <c r="G3" t="s">
        <v>30</v>
      </c>
      <c r="H3">
        <v>88327</v>
      </c>
      <c r="I3" t="s">
        <v>24</v>
      </c>
      <c r="J3">
        <v>4.14</v>
      </c>
      <c r="K3">
        <v>365673.78</v>
      </c>
      <c r="L3" t="s">
        <v>25</v>
      </c>
      <c r="M3" t="s">
        <v>26</v>
      </c>
      <c r="N3">
        <v>3.486</v>
      </c>
      <c r="O3" t="s">
        <v>27</v>
      </c>
      <c r="Q3">
        <v>72</v>
      </c>
      <c r="S3">
        <v>4.14</v>
      </c>
    </row>
    <row r="4" spans="1:20">
      <c r="A4">
        <v>3</v>
      </c>
      <c r="B4">
        <v>2</v>
      </c>
      <c r="C4">
        <v>20240201</v>
      </c>
      <c r="D4" t="s">
        <v>28</v>
      </c>
      <c r="E4" t="s">
        <v>21</v>
      </c>
      <c r="F4" t="s">
        <v>29</v>
      </c>
      <c r="G4" t="s">
        <v>30</v>
      </c>
      <c r="H4">
        <v>55801</v>
      </c>
      <c r="I4" t="s">
        <v>24</v>
      </c>
      <c r="J4">
        <v>5.01</v>
      </c>
      <c r="K4">
        <v>279563.01</v>
      </c>
      <c r="L4" t="s">
        <v>25</v>
      </c>
      <c r="M4" t="s">
        <v>26</v>
      </c>
      <c r="N4">
        <v>4.9112</v>
      </c>
      <c r="O4" t="s">
        <v>27</v>
      </c>
      <c r="S4">
        <v>4.14</v>
      </c>
    </row>
    <row r="5" spans="1:20">
      <c r="A5">
        <v>4</v>
      </c>
      <c r="B5">
        <v>2</v>
      </c>
      <c r="C5">
        <v>20240201</v>
      </c>
      <c r="D5" t="s">
        <v>28</v>
      </c>
      <c r="E5" t="s">
        <v>21</v>
      </c>
      <c r="F5" t="s">
        <v>29</v>
      </c>
      <c r="G5" t="s">
        <v>30</v>
      </c>
      <c r="H5">
        <v>178720</v>
      </c>
      <c r="I5" t="s">
        <v>24</v>
      </c>
      <c r="J5">
        <v>4.14</v>
      </c>
      <c r="K5">
        <v>739900.8</v>
      </c>
      <c r="L5" t="s">
        <v>31</v>
      </c>
      <c r="M5" t="s">
        <v>26</v>
      </c>
      <c r="N5">
        <v>4.0286</v>
      </c>
      <c r="O5" t="s">
        <v>27</v>
      </c>
      <c r="S5">
        <v>4.14</v>
      </c>
    </row>
    <row r="6" spans="1:20">
      <c r="A6">
        <v>5</v>
      </c>
      <c r="B6">
        <v>2</v>
      </c>
      <c r="C6">
        <v>20240201</v>
      </c>
      <c r="D6" t="s">
        <v>28</v>
      </c>
      <c r="E6" t="s">
        <v>21</v>
      </c>
      <c r="F6" t="s">
        <v>32</v>
      </c>
      <c r="G6" t="s">
        <v>33</v>
      </c>
      <c r="H6">
        <v>8146</v>
      </c>
      <c r="I6" t="s">
        <v>24</v>
      </c>
      <c r="J6">
        <v>4.14</v>
      </c>
      <c r="K6">
        <v>33724.44</v>
      </c>
      <c r="L6" t="s">
        <v>25</v>
      </c>
      <c r="M6" t="s">
        <v>34</v>
      </c>
      <c r="N6">
        <v>4.015</v>
      </c>
      <c r="O6" t="s">
        <v>27</v>
      </c>
      <c r="Q6">
        <v>90</v>
      </c>
    </row>
    <row r="7" spans="1:20">
      <c r="A7">
        <v>6</v>
      </c>
      <c r="B7">
        <v>2</v>
      </c>
      <c r="C7">
        <v>20240201</v>
      </c>
      <c r="D7" t="s">
        <v>28</v>
      </c>
      <c r="E7" t="s">
        <v>21</v>
      </c>
      <c r="F7" t="s">
        <v>29</v>
      </c>
      <c r="G7" t="s">
        <v>30</v>
      </c>
      <c r="H7">
        <v>172472</v>
      </c>
      <c r="I7" t="s">
        <v>24</v>
      </c>
      <c r="J7">
        <v>4.14</v>
      </c>
      <c r="K7">
        <v>714034.08</v>
      </c>
      <c r="L7" t="s">
        <v>25</v>
      </c>
      <c r="M7" t="s">
        <v>35</v>
      </c>
      <c r="N7">
        <v>3.4904</v>
      </c>
      <c r="O7" t="s">
        <v>27</v>
      </c>
      <c r="Q7">
        <v>127</v>
      </c>
    </row>
    <row r="8" spans="1:20">
      <c r="A8">
        <v>7</v>
      </c>
      <c r="B8">
        <v>2</v>
      </c>
      <c r="C8">
        <v>20240201</v>
      </c>
      <c r="D8" t="s">
        <v>28</v>
      </c>
      <c r="E8" t="s">
        <v>21</v>
      </c>
      <c r="F8" t="s">
        <v>29</v>
      </c>
      <c r="G8" t="s">
        <v>30</v>
      </c>
      <c r="H8">
        <v>51548</v>
      </c>
      <c r="I8" t="s">
        <v>24</v>
      </c>
      <c r="J8">
        <v>4.26</v>
      </c>
      <c r="K8">
        <v>219594.48</v>
      </c>
      <c r="L8" t="s">
        <v>25</v>
      </c>
      <c r="M8" t="s">
        <v>35</v>
      </c>
      <c r="N8">
        <v>4.2604</v>
      </c>
      <c r="O8" t="s">
        <v>27</v>
      </c>
    </row>
    <row r="9" spans="1:20">
      <c r="A9">
        <v>8</v>
      </c>
      <c r="B9">
        <v>2</v>
      </c>
      <c r="C9">
        <v>20240201</v>
      </c>
      <c r="D9" t="s">
        <v>28</v>
      </c>
      <c r="E9" t="s">
        <v>21</v>
      </c>
      <c r="F9" t="s">
        <v>29</v>
      </c>
      <c r="G9" t="s">
        <v>30</v>
      </c>
      <c r="H9">
        <v>523459</v>
      </c>
      <c r="I9" t="s">
        <v>24</v>
      </c>
      <c r="J9">
        <v>4.14</v>
      </c>
      <c r="K9">
        <v>2167120.26</v>
      </c>
      <c r="L9" t="s">
        <v>31</v>
      </c>
      <c r="M9" t="s">
        <v>35</v>
      </c>
      <c r="N9">
        <v>4.0286</v>
      </c>
      <c r="O9" t="s">
        <v>27</v>
      </c>
    </row>
    <row r="10" spans="1:20">
      <c r="A10">
        <v>9</v>
      </c>
      <c r="B10">
        <v>2</v>
      </c>
      <c r="C10">
        <v>20240201</v>
      </c>
      <c r="D10" t="s">
        <v>28</v>
      </c>
      <c r="E10" t="s">
        <v>21</v>
      </c>
      <c r="F10" t="s">
        <v>29</v>
      </c>
      <c r="G10" t="s">
        <v>30</v>
      </c>
      <c r="H10">
        <v>610</v>
      </c>
      <c r="I10" t="s">
        <v>24</v>
      </c>
      <c r="J10">
        <v>4.87</v>
      </c>
      <c r="K10">
        <v>2970.7</v>
      </c>
      <c r="L10" t="s">
        <v>36</v>
      </c>
      <c r="M10" t="s">
        <v>35</v>
      </c>
      <c r="N10">
        <v>4.8722</v>
      </c>
      <c r="O10" t="s">
        <v>27</v>
      </c>
    </row>
    <row r="11" spans="1:20">
      <c r="A11">
        <v>10</v>
      </c>
      <c r="B11">
        <v>2</v>
      </c>
      <c r="C11">
        <v>20240201</v>
      </c>
      <c r="D11" t="s">
        <v>28</v>
      </c>
      <c r="E11" t="s">
        <v>21</v>
      </c>
      <c r="F11" t="s">
        <v>29</v>
      </c>
      <c r="G11" t="s">
        <v>37</v>
      </c>
      <c r="H11">
        <v>810</v>
      </c>
      <c r="I11" t="s">
        <v>24</v>
      </c>
      <c r="J11">
        <v>4.14</v>
      </c>
      <c r="K11">
        <v>3353.4</v>
      </c>
      <c r="L11" t="s">
        <v>25</v>
      </c>
      <c r="M11" t="s">
        <v>38</v>
      </c>
      <c r="N11">
        <v>3.4941</v>
      </c>
      <c r="O11" t="s">
        <v>27</v>
      </c>
      <c r="Q11">
        <v>12</v>
      </c>
    </row>
    <row r="12" spans="1:20">
      <c r="A12">
        <v>11</v>
      </c>
      <c r="B12">
        <v>2</v>
      </c>
      <c r="C12">
        <v>20240201</v>
      </c>
      <c r="D12" t="s">
        <v>28</v>
      </c>
      <c r="E12" t="s">
        <v>21</v>
      </c>
      <c r="F12" t="s">
        <v>29</v>
      </c>
      <c r="G12" t="s">
        <v>37</v>
      </c>
      <c r="H12">
        <v>2374</v>
      </c>
      <c r="I12" t="s">
        <v>24</v>
      </c>
      <c r="J12">
        <v>4.14</v>
      </c>
      <c r="K12">
        <v>9828.36</v>
      </c>
      <c r="L12" t="s">
        <v>31</v>
      </c>
      <c r="M12" t="s">
        <v>38</v>
      </c>
      <c r="N12">
        <v>4.0286</v>
      </c>
      <c r="O12" t="s">
        <v>27</v>
      </c>
    </row>
    <row r="13" spans="1:20">
      <c r="A13">
        <v>12</v>
      </c>
      <c r="B13">
        <v>2</v>
      </c>
      <c r="C13">
        <v>20240202</v>
      </c>
      <c r="D13" t="s">
        <v>28</v>
      </c>
      <c r="E13" t="s">
        <v>21</v>
      </c>
      <c r="F13" t="s">
        <v>39</v>
      </c>
      <c r="G13" t="s">
        <v>40</v>
      </c>
      <c r="H13">
        <v>21</v>
      </c>
      <c r="I13" t="s">
        <v>24</v>
      </c>
      <c r="J13">
        <v>2106.81</v>
      </c>
      <c r="K13">
        <v>44243.01</v>
      </c>
      <c r="L13" t="s">
        <v>25</v>
      </c>
      <c r="O13" t="s">
        <v>27</v>
      </c>
      <c r="Q13">
        <v>1</v>
      </c>
    </row>
    <row r="14" spans="1:20">
      <c r="A14">
        <v>13</v>
      </c>
      <c r="B14">
        <v>2</v>
      </c>
      <c r="C14">
        <v>20240202</v>
      </c>
      <c r="D14" t="s">
        <v>20</v>
      </c>
      <c r="E14" t="s">
        <v>21</v>
      </c>
      <c r="F14" t="s">
        <v>41</v>
      </c>
      <c r="G14" t="s">
        <v>42</v>
      </c>
      <c r="H14">
        <v>49425</v>
      </c>
      <c r="I14" t="s">
        <v>24</v>
      </c>
      <c r="J14">
        <v>5.63</v>
      </c>
      <c r="K14">
        <v>278262.75</v>
      </c>
      <c r="L14" t="s">
        <v>31</v>
      </c>
      <c r="N14">
        <v>5.516</v>
      </c>
      <c r="O14" t="s">
        <v>43</v>
      </c>
      <c r="Q14">
        <v>4</v>
      </c>
    </row>
    <row r="15" spans="1:20">
      <c r="A15">
        <v>14</v>
      </c>
      <c r="B15">
        <v>2</v>
      </c>
      <c r="C15">
        <v>20240202</v>
      </c>
      <c r="D15" t="s">
        <v>28</v>
      </c>
      <c r="E15" t="s">
        <v>21</v>
      </c>
      <c r="F15" t="s">
        <v>32</v>
      </c>
      <c r="G15" t="s">
        <v>37</v>
      </c>
      <c r="H15">
        <v>544</v>
      </c>
      <c r="I15" t="s">
        <v>24</v>
      </c>
      <c r="J15">
        <v>4.14</v>
      </c>
      <c r="K15">
        <v>2252.16</v>
      </c>
      <c r="L15" t="s">
        <v>31</v>
      </c>
      <c r="N15">
        <v>4.015</v>
      </c>
      <c r="O15" t="s">
        <v>43</v>
      </c>
      <c r="Q15">
        <v>1</v>
      </c>
    </row>
    <row r="16" spans="1:20">
      <c r="A16">
        <v>15</v>
      </c>
      <c r="B16">
        <v>2</v>
      </c>
      <c r="C16">
        <v>20240202</v>
      </c>
      <c r="D16" t="s">
        <v>28</v>
      </c>
      <c r="E16" t="s">
        <v>21</v>
      </c>
      <c r="F16" t="s">
        <v>32</v>
      </c>
      <c r="G16" t="s">
        <v>30</v>
      </c>
      <c r="H16">
        <v>586188</v>
      </c>
      <c r="I16" t="s">
        <v>24</v>
      </c>
      <c r="J16">
        <v>4.14</v>
      </c>
      <c r="K16">
        <v>2426818.32</v>
      </c>
      <c r="L16" t="s">
        <v>31</v>
      </c>
      <c r="N16">
        <v>4.015</v>
      </c>
      <c r="O16" t="s">
        <v>43</v>
      </c>
      <c r="Q16">
        <v>62</v>
      </c>
    </row>
    <row r="17" spans="1:17">
      <c r="A17">
        <v>16</v>
      </c>
      <c r="B17">
        <v>2</v>
      </c>
      <c r="C17">
        <v>20240202</v>
      </c>
      <c r="D17" t="s">
        <v>28</v>
      </c>
      <c r="E17" t="s">
        <v>21</v>
      </c>
      <c r="F17" t="s">
        <v>32</v>
      </c>
      <c r="G17" t="s">
        <v>37</v>
      </c>
      <c r="H17">
        <v>17840</v>
      </c>
      <c r="I17" t="s">
        <v>24</v>
      </c>
      <c r="J17">
        <v>4.14</v>
      </c>
      <c r="K17">
        <v>73857.6</v>
      </c>
      <c r="L17" t="s">
        <v>36</v>
      </c>
      <c r="N17">
        <v>4.015</v>
      </c>
      <c r="O17" t="s">
        <v>43</v>
      </c>
      <c r="Q17">
        <v>6</v>
      </c>
    </row>
    <row r="18" spans="1:17">
      <c r="A18">
        <v>17</v>
      </c>
      <c r="B18">
        <v>2</v>
      </c>
      <c r="C18">
        <v>20240202</v>
      </c>
      <c r="D18" t="s">
        <v>28</v>
      </c>
      <c r="E18" t="s">
        <v>21</v>
      </c>
      <c r="F18" t="s">
        <v>32</v>
      </c>
      <c r="G18" t="s">
        <v>30</v>
      </c>
      <c r="H18">
        <v>10342</v>
      </c>
      <c r="I18" t="s">
        <v>24</v>
      </c>
      <c r="J18">
        <v>4.14</v>
      </c>
      <c r="K18">
        <v>42815.88</v>
      </c>
      <c r="L18" t="s">
        <v>36</v>
      </c>
      <c r="N18">
        <v>4.015</v>
      </c>
      <c r="O18" t="s">
        <v>43</v>
      </c>
      <c r="Q18">
        <v>4</v>
      </c>
    </row>
    <row r="19" spans="1:17">
      <c r="A19">
        <v>18</v>
      </c>
      <c r="B19">
        <v>2</v>
      </c>
      <c r="C19">
        <v>20240202</v>
      </c>
      <c r="D19" t="s">
        <v>28</v>
      </c>
      <c r="E19" t="s">
        <v>21</v>
      </c>
      <c r="F19" t="s">
        <v>32</v>
      </c>
      <c r="G19" t="s">
        <v>37</v>
      </c>
      <c r="H19">
        <v>70743</v>
      </c>
      <c r="I19" t="s">
        <v>24</v>
      </c>
      <c r="J19">
        <v>4.14</v>
      </c>
      <c r="K19">
        <v>292876.02</v>
      </c>
      <c r="L19" t="s">
        <v>25</v>
      </c>
      <c r="N19">
        <v>4.015</v>
      </c>
      <c r="O19" t="s">
        <v>43</v>
      </c>
      <c r="Q19">
        <v>21</v>
      </c>
    </row>
    <row r="20" spans="1:17">
      <c r="A20">
        <v>19</v>
      </c>
      <c r="B20">
        <v>2</v>
      </c>
      <c r="C20">
        <v>20240202</v>
      </c>
      <c r="D20" t="s">
        <v>28</v>
      </c>
      <c r="E20" t="s">
        <v>21</v>
      </c>
      <c r="F20" t="s">
        <v>32</v>
      </c>
      <c r="G20" t="s">
        <v>30</v>
      </c>
      <c r="H20">
        <v>795766</v>
      </c>
      <c r="I20" t="s">
        <v>24</v>
      </c>
      <c r="J20">
        <v>4.14</v>
      </c>
      <c r="K20">
        <v>3294471.24</v>
      </c>
      <c r="L20" t="s">
        <v>25</v>
      </c>
      <c r="N20">
        <v>4.015</v>
      </c>
      <c r="O20" t="s">
        <v>43</v>
      </c>
      <c r="Q20">
        <v>150</v>
      </c>
    </row>
    <row r="21" spans="1:17">
      <c r="A21">
        <v>20</v>
      </c>
      <c r="B21">
        <v>2</v>
      </c>
      <c r="C21">
        <v>20240202</v>
      </c>
      <c r="D21" t="s">
        <v>28</v>
      </c>
      <c r="E21" t="s">
        <v>21</v>
      </c>
      <c r="F21" t="s">
        <v>29</v>
      </c>
      <c r="G21" t="s">
        <v>30</v>
      </c>
      <c r="H21">
        <v>2679</v>
      </c>
      <c r="I21" t="s">
        <v>24</v>
      </c>
      <c r="J21">
        <v>4.14</v>
      </c>
      <c r="K21">
        <v>11091.06</v>
      </c>
      <c r="L21" t="s">
        <v>25</v>
      </c>
      <c r="N21">
        <v>3.2544</v>
      </c>
      <c r="O21" t="s">
        <v>27</v>
      </c>
      <c r="Q21">
        <v>197</v>
      </c>
    </row>
    <row r="22" spans="1:17">
      <c r="A22">
        <v>21</v>
      </c>
      <c r="B22">
        <v>2</v>
      </c>
      <c r="C22">
        <v>20240202</v>
      </c>
      <c r="D22" t="s">
        <v>28</v>
      </c>
      <c r="E22" t="s">
        <v>21</v>
      </c>
      <c r="F22" t="s">
        <v>29</v>
      </c>
      <c r="G22" t="s">
        <v>30</v>
      </c>
      <c r="H22">
        <v>1314838</v>
      </c>
      <c r="I22" t="s">
        <v>24</v>
      </c>
      <c r="J22">
        <v>4.14</v>
      </c>
      <c r="K22">
        <v>5443429.32</v>
      </c>
      <c r="L22" t="s">
        <v>31</v>
      </c>
      <c r="N22">
        <v>4.0286</v>
      </c>
      <c r="O22" t="s">
        <v>27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workbookViewId="0">
      <selection activeCell="A1" sqref="A1:T2"/>
    </sheetView>
  </sheetViews>
  <sheetFormatPr defaultColWidth="8.72727272727273" defaultRowHeight="1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0"/>
  <sheetViews>
    <sheetView workbookViewId="0">
      <selection activeCell="A1" sqref="A1:T331"/>
    </sheetView>
  </sheetViews>
  <sheetFormatPr defaultColWidth="8.72727272727273" defaultRowHeight="14"/>
  <cols>
    <col min="3" max="3" width="9.54545454545454"/>
    <col min="11" max="11" width="12.8181818181818"/>
    <col min="14" max="14" width="9.54545454545454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2</v>
      </c>
      <c r="C2">
        <v>20240201</v>
      </c>
      <c r="D2" t="s">
        <v>20</v>
      </c>
      <c r="E2" t="s">
        <v>21</v>
      </c>
      <c r="F2" t="s">
        <v>22</v>
      </c>
      <c r="G2" t="s">
        <v>23</v>
      </c>
      <c r="H2">
        <v>2429</v>
      </c>
      <c r="I2" t="s">
        <v>24</v>
      </c>
      <c r="J2">
        <v>3.44</v>
      </c>
      <c r="K2">
        <v>8355.76</v>
      </c>
      <c r="L2" t="s">
        <v>25</v>
      </c>
      <c r="M2" t="s">
        <v>26</v>
      </c>
      <c r="N2">
        <v>3.1943</v>
      </c>
      <c r="O2" t="s">
        <v>27</v>
      </c>
      <c r="Q2">
        <v>2</v>
      </c>
    </row>
    <row r="3" spans="1:20">
      <c r="A3">
        <v>2</v>
      </c>
      <c r="B3">
        <v>2</v>
      </c>
      <c r="C3">
        <v>20240201</v>
      </c>
      <c r="D3" t="s">
        <v>28</v>
      </c>
      <c r="E3" t="s">
        <v>21</v>
      </c>
      <c r="F3" t="s">
        <v>29</v>
      </c>
      <c r="G3" t="s">
        <v>30</v>
      </c>
      <c r="H3">
        <v>88327</v>
      </c>
      <c r="I3" t="s">
        <v>24</v>
      </c>
      <c r="J3">
        <v>4.14</v>
      </c>
      <c r="K3">
        <v>365673.78</v>
      </c>
      <c r="L3" t="s">
        <v>25</v>
      </c>
      <c r="M3" t="s">
        <v>26</v>
      </c>
      <c r="N3">
        <v>3.486</v>
      </c>
      <c r="O3" t="s">
        <v>27</v>
      </c>
      <c r="Q3">
        <v>72</v>
      </c>
      <c r="S3">
        <v>4.14</v>
      </c>
    </row>
    <row r="4" spans="1:20">
      <c r="A4">
        <v>3</v>
      </c>
      <c r="B4">
        <v>2</v>
      </c>
      <c r="C4">
        <v>20240201</v>
      </c>
      <c r="D4" t="s">
        <v>28</v>
      </c>
      <c r="E4" t="s">
        <v>21</v>
      </c>
      <c r="F4" t="s">
        <v>29</v>
      </c>
      <c r="G4" t="s">
        <v>30</v>
      </c>
      <c r="H4">
        <v>55801</v>
      </c>
      <c r="I4" t="s">
        <v>24</v>
      </c>
      <c r="J4">
        <v>5.01</v>
      </c>
      <c r="K4">
        <v>279563.01</v>
      </c>
      <c r="L4" t="s">
        <v>25</v>
      </c>
      <c r="M4" t="s">
        <v>26</v>
      </c>
      <c r="N4">
        <v>4.9112</v>
      </c>
      <c r="O4" t="s">
        <v>27</v>
      </c>
      <c r="S4">
        <v>4.14</v>
      </c>
    </row>
    <row r="5" spans="1:20">
      <c r="A5">
        <v>4</v>
      </c>
      <c r="B5">
        <v>2</v>
      </c>
      <c r="C5">
        <v>20240201</v>
      </c>
      <c r="D5" t="s">
        <v>28</v>
      </c>
      <c r="E5" t="s">
        <v>21</v>
      </c>
      <c r="F5" t="s">
        <v>29</v>
      </c>
      <c r="G5" t="s">
        <v>30</v>
      </c>
      <c r="H5">
        <v>178720</v>
      </c>
      <c r="I5" t="s">
        <v>24</v>
      </c>
      <c r="J5">
        <v>4.14</v>
      </c>
      <c r="K5">
        <v>739900.8</v>
      </c>
      <c r="L5" t="s">
        <v>31</v>
      </c>
      <c r="M5" t="s">
        <v>26</v>
      </c>
      <c r="N5">
        <v>4.0286</v>
      </c>
      <c r="O5" t="s">
        <v>27</v>
      </c>
      <c r="S5">
        <v>4.14</v>
      </c>
    </row>
    <row r="6" spans="1:20">
      <c r="A6">
        <v>5</v>
      </c>
      <c r="B6">
        <v>2</v>
      </c>
      <c r="C6">
        <v>20240201</v>
      </c>
      <c r="D6" t="s">
        <v>28</v>
      </c>
      <c r="E6" t="s">
        <v>21</v>
      </c>
      <c r="F6" t="s">
        <v>32</v>
      </c>
      <c r="G6" t="s">
        <v>33</v>
      </c>
      <c r="H6">
        <v>8146</v>
      </c>
      <c r="I6" t="s">
        <v>24</v>
      </c>
      <c r="J6">
        <v>4.14</v>
      </c>
      <c r="K6">
        <v>33724.44</v>
      </c>
      <c r="L6" t="s">
        <v>25</v>
      </c>
      <c r="M6" t="s">
        <v>34</v>
      </c>
      <c r="N6">
        <v>4.015</v>
      </c>
      <c r="O6" t="s">
        <v>27</v>
      </c>
      <c r="Q6">
        <v>90</v>
      </c>
    </row>
    <row r="7" spans="1:20">
      <c r="A7">
        <v>6</v>
      </c>
      <c r="B7">
        <v>2</v>
      </c>
      <c r="C7">
        <v>20240201</v>
      </c>
      <c r="D7" t="s">
        <v>28</v>
      </c>
      <c r="E7" t="s">
        <v>21</v>
      </c>
      <c r="F7" t="s">
        <v>29</v>
      </c>
      <c r="G7" t="s">
        <v>30</v>
      </c>
      <c r="H7">
        <v>172472</v>
      </c>
      <c r="I7" t="s">
        <v>24</v>
      </c>
      <c r="J7">
        <v>4.14</v>
      </c>
      <c r="K7">
        <v>714034.08</v>
      </c>
      <c r="L7" t="s">
        <v>25</v>
      </c>
      <c r="M7" t="s">
        <v>35</v>
      </c>
      <c r="N7">
        <v>3.4904</v>
      </c>
      <c r="O7" t="s">
        <v>27</v>
      </c>
      <c r="Q7">
        <v>127</v>
      </c>
    </row>
    <row r="8" spans="1:20">
      <c r="A8">
        <v>7</v>
      </c>
      <c r="B8">
        <v>2</v>
      </c>
      <c r="C8">
        <v>20240201</v>
      </c>
      <c r="D8" t="s">
        <v>28</v>
      </c>
      <c r="E8" t="s">
        <v>21</v>
      </c>
      <c r="F8" t="s">
        <v>29</v>
      </c>
      <c r="G8" t="s">
        <v>30</v>
      </c>
      <c r="H8">
        <v>51548</v>
      </c>
      <c r="I8" t="s">
        <v>24</v>
      </c>
      <c r="J8">
        <v>4.26</v>
      </c>
      <c r="K8">
        <v>219594.48</v>
      </c>
      <c r="L8" t="s">
        <v>25</v>
      </c>
      <c r="M8" t="s">
        <v>35</v>
      </c>
      <c r="N8">
        <v>4.2604</v>
      </c>
      <c r="O8" t="s">
        <v>27</v>
      </c>
    </row>
    <row r="9" spans="1:20">
      <c r="A9">
        <v>8</v>
      </c>
      <c r="B9">
        <v>2</v>
      </c>
      <c r="C9">
        <v>20240201</v>
      </c>
      <c r="D9" t="s">
        <v>28</v>
      </c>
      <c r="E9" t="s">
        <v>21</v>
      </c>
      <c r="F9" t="s">
        <v>29</v>
      </c>
      <c r="G9" t="s">
        <v>30</v>
      </c>
      <c r="H9">
        <v>523459</v>
      </c>
      <c r="I9" t="s">
        <v>24</v>
      </c>
      <c r="J9">
        <v>4.14</v>
      </c>
      <c r="K9">
        <v>2167120.26</v>
      </c>
      <c r="L9" t="s">
        <v>31</v>
      </c>
      <c r="M9" t="s">
        <v>35</v>
      </c>
      <c r="N9">
        <v>4.0286</v>
      </c>
      <c r="O9" t="s">
        <v>27</v>
      </c>
    </row>
    <row r="10" spans="1:20">
      <c r="A10">
        <v>9</v>
      </c>
      <c r="B10">
        <v>2</v>
      </c>
      <c r="C10">
        <v>20240201</v>
      </c>
      <c r="D10" t="s">
        <v>28</v>
      </c>
      <c r="E10" t="s">
        <v>21</v>
      </c>
      <c r="F10" t="s">
        <v>29</v>
      </c>
      <c r="G10" t="s">
        <v>30</v>
      </c>
      <c r="H10">
        <v>610</v>
      </c>
      <c r="I10" t="s">
        <v>24</v>
      </c>
      <c r="J10">
        <v>4.87</v>
      </c>
      <c r="K10">
        <v>2970.7</v>
      </c>
      <c r="L10" t="s">
        <v>36</v>
      </c>
      <c r="M10" t="s">
        <v>35</v>
      </c>
      <c r="N10">
        <v>4.8722</v>
      </c>
      <c r="O10" t="s">
        <v>27</v>
      </c>
    </row>
    <row r="11" spans="1:20">
      <c r="A11">
        <v>10</v>
      </c>
      <c r="B11">
        <v>2</v>
      </c>
      <c r="C11">
        <v>20240201</v>
      </c>
      <c r="D11" t="s">
        <v>28</v>
      </c>
      <c r="E11" t="s">
        <v>21</v>
      </c>
      <c r="F11" t="s">
        <v>29</v>
      </c>
      <c r="G11" t="s">
        <v>37</v>
      </c>
      <c r="H11">
        <v>810</v>
      </c>
      <c r="I11" t="s">
        <v>24</v>
      </c>
      <c r="J11">
        <v>4.14</v>
      </c>
      <c r="K11">
        <v>3353.4</v>
      </c>
      <c r="L11" t="s">
        <v>25</v>
      </c>
      <c r="M11" t="s">
        <v>38</v>
      </c>
      <c r="N11">
        <v>3.4941</v>
      </c>
      <c r="O11" t="s">
        <v>27</v>
      </c>
      <c r="Q11">
        <v>12</v>
      </c>
    </row>
    <row r="12" spans="1:20">
      <c r="A12">
        <v>11</v>
      </c>
      <c r="B12">
        <v>2</v>
      </c>
      <c r="C12">
        <v>20240201</v>
      </c>
      <c r="D12" t="s">
        <v>28</v>
      </c>
      <c r="E12" t="s">
        <v>21</v>
      </c>
      <c r="F12" t="s">
        <v>29</v>
      </c>
      <c r="G12" t="s">
        <v>37</v>
      </c>
      <c r="H12">
        <v>2374</v>
      </c>
      <c r="I12" t="s">
        <v>24</v>
      </c>
      <c r="J12">
        <v>4.14</v>
      </c>
      <c r="K12">
        <v>9828.36</v>
      </c>
      <c r="L12" t="s">
        <v>31</v>
      </c>
      <c r="M12" t="s">
        <v>38</v>
      </c>
      <c r="N12">
        <v>4.0286</v>
      </c>
      <c r="O12" t="s">
        <v>27</v>
      </c>
    </row>
    <row r="13" spans="1:20">
      <c r="A13">
        <v>12</v>
      </c>
      <c r="B13">
        <v>2</v>
      </c>
      <c r="C13">
        <v>20240202</v>
      </c>
      <c r="D13" t="s">
        <v>28</v>
      </c>
      <c r="E13" t="s">
        <v>21</v>
      </c>
      <c r="F13" t="s">
        <v>39</v>
      </c>
      <c r="G13" t="s">
        <v>40</v>
      </c>
      <c r="H13">
        <v>21</v>
      </c>
      <c r="I13" t="s">
        <v>24</v>
      </c>
      <c r="J13">
        <v>2106.81</v>
      </c>
      <c r="K13">
        <v>44243.01</v>
      </c>
      <c r="L13" t="s">
        <v>25</v>
      </c>
      <c r="M13" t="s">
        <v>44</v>
      </c>
      <c r="O13" t="s">
        <v>27</v>
      </c>
      <c r="Q13">
        <v>1</v>
      </c>
    </row>
    <row r="14" spans="1:20">
      <c r="A14">
        <v>13</v>
      </c>
      <c r="B14">
        <v>2</v>
      </c>
      <c r="C14">
        <v>20240202</v>
      </c>
      <c r="D14" t="s">
        <v>20</v>
      </c>
      <c r="E14" t="s">
        <v>21</v>
      </c>
      <c r="F14" t="s">
        <v>41</v>
      </c>
      <c r="G14" t="s">
        <v>42</v>
      </c>
      <c r="H14">
        <v>49425</v>
      </c>
      <c r="I14" t="s">
        <v>24</v>
      </c>
      <c r="J14">
        <v>5.63</v>
      </c>
      <c r="K14">
        <v>278262.75</v>
      </c>
      <c r="L14" t="s">
        <v>31</v>
      </c>
      <c r="N14">
        <v>5.516</v>
      </c>
      <c r="O14" t="s">
        <v>43</v>
      </c>
      <c r="Q14">
        <v>4</v>
      </c>
    </row>
    <row r="15" spans="1:20">
      <c r="A15">
        <v>14</v>
      </c>
      <c r="B15">
        <v>2</v>
      </c>
      <c r="C15">
        <v>20240202</v>
      </c>
      <c r="D15" t="s">
        <v>28</v>
      </c>
      <c r="E15" t="s">
        <v>21</v>
      </c>
      <c r="F15" t="s">
        <v>32</v>
      </c>
      <c r="G15" t="s">
        <v>37</v>
      </c>
      <c r="H15">
        <v>544</v>
      </c>
      <c r="I15" t="s">
        <v>24</v>
      </c>
      <c r="J15">
        <v>4.14</v>
      </c>
      <c r="K15">
        <v>2252.16</v>
      </c>
      <c r="L15" t="s">
        <v>31</v>
      </c>
      <c r="N15">
        <v>4.015</v>
      </c>
      <c r="O15" t="s">
        <v>43</v>
      </c>
      <c r="Q15">
        <v>1</v>
      </c>
    </row>
    <row r="16" spans="1:20">
      <c r="A16">
        <v>15</v>
      </c>
      <c r="B16">
        <v>2</v>
      </c>
      <c r="C16">
        <v>20240202</v>
      </c>
      <c r="D16" t="s">
        <v>28</v>
      </c>
      <c r="E16" t="s">
        <v>21</v>
      </c>
      <c r="F16" t="s">
        <v>32</v>
      </c>
      <c r="G16" t="s">
        <v>30</v>
      </c>
      <c r="H16">
        <v>586188</v>
      </c>
      <c r="I16" t="s">
        <v>24</v>
      </c>
      <c r="J16">
        <v>4.14</v>
      </c>
      <c r="K16">
        <v>2426818.32</v>
      </c>
      <c r="L16" t="s">
        <v>31</v>
      </c>
      <c r="N16">
        <v>4.015</v>
      </c>
      <c r="O16" t="s">
        <v>43</v>
      </c>
      <c r="Q16">
        <v>62</v>
      </c>
    </row>
    <row r="17" spans="1:17">
      <c r="A17">
        <v>16</v>
      </c>
      <c r="B17">
        <v>2</v>
      </c>
      <c r="C17">
        <v>20240202</v>
      </c>
      <c r="D17" t="s">
        <v>28</v>
      </c>
      <c r="E17" t="s">
        <v>21</v>
      </c>
      <c r="F17" t="s">
        <v>32</v>
      </c>
      <c r="G17" t="s">
        <v>37</v>
      </c>
      <c r="H17">
        <v>17840</v>
      </c>
      <c r="I17" t="s">
        <v>24</v>
      </c>
      <c r="J17">
        <v>4.14</v>
      </c>
      <c r="K17">
        <v>73857.6</v>
      </c>
      <c r="L17" t="s">
        <v>36</v>
      </c>
      <c r="N17">
        <v>4.015</v>
      </c>
      <c r="O17" t="s">
        <v>43</v>
      </c>
      <c r="Q17">
        <v>6</v>
      </c>
    </row>
    <row r="18" spans="1:17">
      <c r="A18">
        <v>17</v>
      </c>
      <c r="B18">
        <v>2</v>
      </c>
      <c r="C18">
        <v>20240202</v>
      </c>
      <c r="D18" t="s">
        <v>28</v>
      </c>
      <c r="E18" t="s">
        <v>21</v>
      </c>
      <c r="F18" t="s">
        <v>32</v>
      </c>
      <c r="G18" t="s">
        <v>30</v>
      </c>
      <c r="H18">
        <v>10342</v>
      </c>
      <c r="I18" t="s">
        <v>24</v>
      </c>
      <c r="J18">
        <v>4.14</v>
      </c>
      <c r="K18">
        <v>42815.88</v>
      </c>
      <c r="L18" t="s">
        <v>36</v>
      </c>
      <c r="N18">
        <v>4.015</v>
      </c>
      <c r="O18" t="s">
        <v>43</v>
      </c>
      <c r="Q18">
        <v>4</v>
      </c>
    </row>
    <row r="19" spans="1:17">
      <c r="A19">
        <v>18</v>
      </c>
      <c r="B19">
        <v>2</v>
      </c>
      <c r="C19">
        <v>20240202</v>
      </c>
      <c r="D19" t="s">
        <v>28</v>
      </c>
      <c r="E19" t="s">
        <v>21</v>
      </c>
      <c r="F19" t="s">
        <v>32</v>
      </c>
      <c r="G19" t="s">
        <v>37</v>
      </c>
      <c r="H19">
        <v>70743</v>
      </c>
      <c r="I19" t="s">
        <v>24</v>
      </c>
      <c r="J19">
        <v>4.14</v>
      </c>
      <c r="K19">
        <v>292876.02</v>
      </c>
      <c r="L19" t="s">
        <v>25</v>
      </c>
      <c r="N19">
        <v>4.015</v>
      </c>
      <c r="O19" t="s">
        <v>43</v>
      </c>
      <c r="Q19">
        <v>21</v>
      </c>
    </row>
    <row r="20" spans="1:17">
      <c r="A20">
        <v>19</v>
      </c>
      <c r="B20">
        <v>2</v>
      </c>
      <c r="C20">
        <v>20240202</v>
      </c>
      <c r="D20" t="s">
        <v>28</v>
      </c>
      <c r="E20" t="s">
        <v>21</v>
      </c>
      <c r="F20" t="s">
        <v>32</v>
      </c>
      <c r="G20" t="s">
        <v>30</v>
      </c>
      <c r="H20">
        <v>795766</v>
      </c>
      <c r="I20" t="s">
        <v>24</v>
      </c>
      <c r="J20">
        <v>4.14</v>
      </c>
      <c r="K20">
        <v>3294471.24</v>
      </c>
      <c r="L20" t="s">
        <v>25</v>
      </c>
      <c r="N20">
        <v>4.015</v>
      </c>
      <c r="O20" t="s">
        <v>43</v>
      </c>
      <c r="Q20">
        <v>150</v>
      </c>
    </row>
    <row r="21" spans="1:17">
      <c r="A21">
        <v>20</v>
      </c>
      <c r="B21">
        <v>2</v>
      </c>
      <c r="C21">
        <v>20240202</v>
      </c>
      <c r="D21" t="s">
        <v>28</v>
      </c>
      <c r="E21" t="s">
        <v>21</v>
      </c>
      <c r="F21" t="s">
        <v>29</v>
      </c>
      <c r="G21" t="s">
        <v>30</v>
      </c>
      <c r="H21">
        <v>2679</v>
      </c>
      <c r="I21" t="s">
        <v>24</v>
      </c>
      <c r="J21">
        <v>4.14</v>
      </c>
      <c r="K21">
        <v>11091.06</v>
      </c>
      <c r="L21" t="s">
        <v>25</v>
      </c>
      <c r="M21" t="s">
        <v>45</v>
      </c>
      <c r="N21">
        <v>3.2544</v>
      </c>
      <c r="O21" t="s">
        <v>27</v>
      </c>
      <c r="Q21">
        <v>197</v>
      </c>
    </row>
    <row r="22" spans="1:17">
      <c r="A22">
        <v>21</v>
      </c>
      <c r="B22">
        <v>2</v>
      </c>
      <c r="C22">
        <v>20240202</v>
      </c>
      <c r="D22" t="s">
        <v>28</v>
      </c>
      <c r="E22" t="s">
        <v>21</v>
      </c>
      <c r="F22" t="s">
        <v>29</v>
      </c>
      <c r="G22" t="s">
        <v>30</v>
      </c>
      <c r="H22">
        <v>1314838</v>
      </c>
      <c r="I22" t="s">
        <v>24</v>
      </c>
      <c r="J22">
        <v>4.14</v>
      </c>
      <c r="K22">
        <v>5443429.32</v>
      </c>
      <c r="L22" t="s">
        <v>31</v>
      </c>
      <c r="M22" t="s">
        <v>45</v>
      </c>
      <c r="N22">
        <v>4.0286</v>
      </c>
      <c r="O22" t="s">
        <v>27</v>
      </c>
    </row>
    <row r="23" spans="1:17">
      <c r="A23">
        <v>22</v>
      </c>
      <c r="B23">
        <v>2</v>
      </c>
      <c r="C23">
        <v>20240204</v>
      </c>
      <c r="D23" t="s">
        <v>28</v>
      </c>
      <c r="E23" t="s">
        <v>21</v>
      </c>
      <c r="F23" t="s">
        <v>32</v>
      </c>
      <c r="G23" t="s">
        <v>37</v>
      </c>
      <c r="H23">
        <v>1666</v>
      </c>
      <c r="I23" t="s">
        <v>24</v>
      </c>
      <c r="J23">
        <v>4.14</v>
      </c>
      <c r="K23">
        <v>6897.24</v>
      </c>
      <c r="L23" t="s">
        <v>25</v>
      </c>
      <c r="N23">
        <v>4.015</v>
      </c>
      <c r="O23" t="s">
        <v>43</v>
      </c>
      <c r="Q23">
        <v>2</v>
      </c>
    </row>
    <row r="24" spans="1:17">
      <c r="A24">
        <v>23</v>
      </c>
      <c r="B24">
        <v>2</v>
      </c>
      <c r="C24">
        <v>20240204</v>
      </c>
      <c r="D24" t="s">
        <v>28</v>
      </c>
      <c r="E24" t="s">
        <v>21</v>
      </c>
      <c r="F24" t="s">
        <v>32</v>
      </c>
      <c r="G24" t="s">
        <v>30</v>
      </c>
      <c r="H24">
        <v>42430</v>
      </c>
      <c r="I24" t="s">
        <v>24</v>
      </c>
      <c r="J24">
        <v>4.14</v>
      </c>
      <c r="K24">
        <v>175660.2</v>
      </c>
      <c r="L24" t="s">
        <v>25</v>
      </c>
      <c r="N24">
        <v>4.015</v>
      </c>
      <c r="O24" t="s">
        <v>43</v>
      </c>
      <c r="Q24">
        <v>14</v>
      </c>
    </row>
    <row r="25" spans="1:17">
      <c r="A25">
        <v>24</v>
      </c>
      <c r="B25">
        <v>2</v>
      </c>
      <c r="C25">
        <v>20240204</v>
      </c>
      <c r="D25" t="s">
        <v>28</v>
      </c>
      <c r="E25" t="s">
        <v>21</v>
      </c>
      <c r="F25" t="s">
        <v>29</v>
      </c>
      <c r="G25" t="s">
        <v>30</v>
      </c>
      <c r="H25">
        <v>79141</v>
      </c>
      <c r="I25" t="s">
        <v>24</v>
      </c>
      <c r="J25">
        <v>4.14</v>
      </c>
      <c r="K25">
        <v>327643.74</v>
      </c>
      <c r="L25" t="s">
        <v>25</v>
      </c>
      <c r="N25">
        <v>3.4872</v>
      </c>
      <c r="O25" t="s">
        <v>43</v>
      </c>
      <c r="Q25">
        <v>129</v>
      </c>
    </row>
    <row r="26" spans="1:17">
      <c r="A26">
        <v>25</v>
      </c>
      <c r="B26">
        <v>2</v>
      </c>
      <c r="C26">
        <v>20240204</v>
      </c>
      <c r="D26" t="s">
        <v>28</v>
      </c>
      <c r="E26" t="s">
        <v>21</v>
      </c>
      <c r="F26" t="s">
        <v>29</v>
      </c>
      <c r="G26" t="s">
        <v>30</v>
      </c>
      <c r="H26">
        <v>18012</v>
      </c>
      <c r="I26" t="s">
        <v>24</v>
      </c>
      <c r="J26">
        <v>4.99</v>
      </c>
      <c r="K26">
        <v>89879.88</v>
      </c>
      <c r="L26" t="s">
        <v>25</v>
      </c>
      <c r="N26">
        <v>4.8887</v>
      </c>
      <c r="O26" t="s">
        <v>43</v>
      </c>
    </row>
    <row r="27" spans="1:17">
      <c r="A27">
        <v>26</v>
      </c>
      <c r="B27">
        <v>2</v>
      </c>
      <c r="C27">
        <v>20240204</v>
      </c>
      <c r="D27" t="s">
        <v>28</v>
      </c>
      <c r="E27" t="s">
        <v>21</v>
      </c>
      <c r="F27" t="s">
        <v>29</v>
      </c>
      <c r="G27" t="s">
        <v>30</v>
      </c>
      <c r="H27">
        <v>671141</v>
      </c>
      <c r="I27" t="s">
        <v>24</v>
      </c>
      <c r="J27">
        <v>4.14</v>
      </c>
      <c r="K27">
        <v>2778523.74</v>
      </c>
      <c r="L27" t="s">
        <v>31</v>
      </c>
      <c r="N27">
        <v>4.0287</v>
      </c>
      <c r="O27" t="s">
        <v>43</v>
      </c>
    </row>
    <row r="28" spans="1:17">
      <c r="A28">
        <v>27</v>
      </c>
      <c r="B28">
        <v>2</v>
      </c>
      <c r="C28">
        <v>20240204</v>
      </c>
      <c r="D28" t="s">
        <v>28</v>
      </c>
      <c r="E28" t="s">
        <v>21</v>
      </c>
      <c r="F28" t="s">
        <v>29</v>
      </c>
      <c r="G28" t="s">
        <v>30</v>
      </c>
      <c r="H28">
        <v>2657</v>
      </c>
      <c r="I28" t="s">
        <v>24</v>
      </c>
      <c r="J28">
        <v>4.97</v>
      </c>
      <c r="K28">
        <v>13205.29</v>
      </c>
      <c r="L28" t="s">
        <v>36</v>
      </c>
      <c r="N28">
        <v>4.8726</v>
      </c>
      <c r="O28" t="s">
        <v>43</v>
      </c>
    </row>
    <row r="29" spans="1:17">
      <c r="A29">
        <v>28</v>
      </c>
      <c r="B29">
        <v>2</v>
      </c>
      <c r="C29">
        <v>20240204</v>
      </c>
      <c r="D29" t="s">
        <v>28</v>
      </c>
      <c r="E29" t="s">
        <v>21</v>
      </c>
      <c r="F29" t="s">
        <v>29</v>
      </c>
      <c r="G29" t="s">
        <v>37</v>
      </c>
      <c r="H29">
        <v>885</v>
      </c>
      <c r="I29" t="s">
        <v>24</v>
      </c>
      <c r="J29">
        <v>4.14</v>
      </c>
      <c r="K29">
        <v>3663.9</v>
      </c>
      <c r="L29" t="s">
        <v>25</v>
      </c>
      <c r="N29">
        <v>3.4934</v>
      </c>
      <c r="O29" t="s">
        <v>43</v>
      </c>
      <c r="Q29">
        <v>16</v>
      </c>
    </row>
    <row r="30" spans="1:17">
      <c r="A30">
        <v>29</v>
      </c>
      <c r="B30">
        <v>2</v>
      </c>
      <c r="C30">
        <v>20240204</v>
      </c>
      <c r="D30" t="s">
        <v>28</v>
      </c>
      <c r="E30" t="s">
        <v>21</v>
      </c>
      <c r="F30" t="s">
        <v>29</v>
      </c>
      <c r="G30" t="s">
        <v>37</v>
      </c>
      <c r="H30">
        <v>158</v>
      </c>
      <c r="I30" t="s">
        <v>24</v>
      </c>
      <c r="J30">
        <v>5.04</v>
      </c>
      <c r="K30">
        <v>796.32</v>
      </c>
      <c r="L30" t="s">
        <v>25</v>
      </c>
      <c r="N30">
        <v>4.9435</v>
      </c>
      <c r="O30" t="s">
        <v>43</v>
      </c>
    </row>
    <row r="31" spans="1:17">
      <c r="A31">
        <v>30</v>
      </c>
      <c r="B31">
        <v>2</v>
      </c>
      <c r="C31">
        <v>20240204</v>
      </c>
      <c r="D31" t="s">
        <v>28</v>
      </c>
      <c r="E31" t="s">
        <v>21</v>
      </c>
      <c r="F31" t="s">
        <v>29</v>
      </c>
      <c r="G31" t="s">
        <v>37</v>
      </c>
      <c r="H31">
        <v>10965</v>
      </c>
      <c r="I31" t="s">
        <v>24</v>
      </c>
      <c r="J31">
        <v>4.14</v>
      </c>
      <c r="K31">
        <v>45395.1</v>
      </c>
      <c r="L31" t="s">
        <v>31</v>
      </c>
      <c r="N31">
        <v>4.0287</v>
      </c>
      <c r="O31" t="s">
        <v>43</v>
      </c>
    </row>
    <row r="32" spans="1:17">
      <c r="A32">
        <v>31</v>
      </c>
      <c r="B32">
        <v>2</v>
      </c>
      <c r="C32">
        <v>20240204</v>
      </c>
      <c r="D32" t="s">
        <v>20</v>
      </c>
      <c r="E32" t="s">
        <v>21</v>
      </c>
      <c r="F32" t="s">
        <v>29</v>
      </c>
      <c r="G32" t="s">
        <v>30</v>
      </c>
      <c r="H32">
        <v>102337</v>
      </c>
      <c r="I32" t="s">
        <v>24</v>
      </c>
      <c r="J32">
        <v>4.14</v>
      </c>
      <c r="K32">
        <v>423675.18</v>
      </c>
      <c r="L32" t="s">
        <v>31</v>
      </c>
      <c r="N32">
        <v>4.02462</v>
      </c>
      <c r="O32" t="s">
        <v>43</v>
      </c>
      <c r="Q32">
        <v>32</v>
      </c>
    </row>
    <row r="33" spans="1:17">
      <c r="A33">
        <v>32</v>
      </c>
      <c r="B33">
        <v>2</v>
      </c>
      <c r="C33">
        <v>20240204</v>
      </c>
      <c r="D33" t="s">
        <v>20</v>
      </c>
      <c r="E33" t="s">
        <v>21</v>
      </c>
      <c r="F33" t="s">
        <v>32</v>
      </c>
      <c r="G33" t="s">
        <v>30</v>
      </c>
      <c r="H33">
        <v>157324</v>
      </c>
      <c r="I33" t="s">
        <v>24</v>
      </c>
      <c r="J33">
        <v>4.14</v>
      </c>
      <c r="K33">
        <v>651321.36</v>
      </c>
      <c r="L33" t="s">
        <v>31</v>
      </c>
      <c r="N33">
        <v>4.015</v>
      </c>
      <c r="O33" t="s">
        <v>43</v>
      </c>
      <c r="Q33">
        <v>20</v>
      </c>
    </row>
    <row r="34" spans="1:17">
      <c r="A34">
        <v>33</v>
      </c>
      <c r="B34">
        <v>2</v>
      </c>
      <c r="C34">
        <v>20240204</v>
      </c>
      <c r="D34" t="s">
        <v>20</v>
      </c>
      <c r="E34" t="s">
        <v>21</v>
      </c>
      <c r="F34" t="s">
        <v>32</v>
      </c>
      <c r="G34" t="s">
        <v>30</v>
      </c>
      <c r="H34">
        <v>40446</v>
      </c>
      <c r="I34" t="s">
        <v>24</v>
      </c>
      <c r="J34">
        <v>4.14</v>
      </c>
      <c r="K34">
        <v>167446.44</v>
      </c>
      <c r="L34" t="s">
        <v>25</v>
      </c>
      <c r="N34">
        <v>4.015</v>
      </c>
      <c r="O34" t="s">
        <v>43</v>
      </c>
      <c r="Q34">
        <v>4</v>
      </c>
    </row>
    <row r="35" spans="1:17">
      <c r="A35">
        <v>34</v>
      </c>
      <c r="B35">
        <v>2</v>
      </c>
      <c r="C35">
        <v>20240204</v>
      </c>
      <c r="D35" t="s">
        <v>20</v>
      </c>
      <c r="E35" t="s">
        <v>21</v>
      </c>
      <c r="F35" t="s">
        <v>46</v>
      </c>
      <c r="G35" t="s">
        <v>47</v>
      </c>
      <c r="H35">
        <v>77</v>
      </c>
      <c r="I35" t="s">
        <v>24</v>
      </c>
      <c r="J35">
        <v>7.46</v>
      </c>
      <c r="K35">
        <v>574.42</v>
      </c>
      <c r="L35" t="s">
        <v>31</v>
      </c>
      <c r="N35">
        <v>5.03</v>
      </c>
      <c r="O35" t="s">
        <v>43</v>
      </c>
      <c r="Q35">
        <v>1</v>
      </c>
    </row>
    <row r="36" spans="1:17">
      <c r="A36">
        <v>35</v>
      </c>
      <c r="B36">
        <v>2</v>
      </c>
      <c r="C36">
        <v>20240205</v>
      </c>
      <c r="D36" t="s">
        <v>28</v>
      </c>
      <c r="E36" t="s">
        <v>21</v>
      </c>
      <c r="F36" t="s">
        <v>32</v>
      </c>
      <c r="G36" t="s">
        <v>37</v>
      </c>
      <c r="H36">
        <v>754</v>
      </c>
      <c r="I36" t="s">
        <v>24</v>
      </c>
      <c r="J36">
        <v>4.14</v>
      </c>
      <c r="K36">
        <v>3121.56</v>
      </c>
      <c r="L36" t="s">
        <v>31</v>
      </c>
      <c r="M36" t="s">
        <v>48</v>
      </c>
      <c r="N36">
        <v>4.015</v>
      </c>
      <c r="O36" t="s">
        <v>27</v>
      </c>
      <c r="Q36">
        <v>1</v>
      </c>
    </row>
    <row r="37" spans="1:17">
      <c r="A37">
        <v>36</v>
      </c>
      <c r="B37">
        <v>2</v>
      </c>
      <c r="C37">
        <v>20240205</v>
      </c>
      <c r="D37" t="s">
        <v>28</v>
      </c>
      <c r="E37" t="s">
        <v>21</v>
      </c>
      <c r="F37" t="s">
        <v>32</v>
      </c>
      <c r="G37" t="s">
        <v>30</v>
      </c>
      <c r="H37">
        <v>9584</v>
      </c>
      <c r="I37" t="s">
        <v>24</v>
      </c>
      <c r="J37">
        <v>4.14</v>
      </c>
      <c r="K37">
        <v>39677.76</v>
      </c>
      <c r="L37" t="s">
        <v>31</v>
      </c>
      <c r="M37" t="s">
        <v>48</v>
      </c>
      <c r="N37">
        <v>4.015</v>
      </c>
      <c r="O37" t="s">
        <v>27</v>
      </c>
      <c r="Q37">
        <v>4</v>
      </c>
    </row>
    <row r="38" spans="1:17">
      <c r="A38">
        <v>37</v>
      </c>
      <c r="B38">
        <v>2</v>
      </c>
      <c r="C38">
        <v>20240205</v>
      </c>
      <c r="D38" t="s">
        <v>28</v>
      </c>
      <c r="E38" t="s">
        <v>21</v>
      </c>
      <c r="F38" t="s">
        <v>32</v>
      </c>
      <c r="G38" t="s">
        <v>37</v>
      </c>
      <c r="H38">
        <v>9744</v>
      </c>
      <c r="I38" t="s">
        <v>24</v>
      </c>
      <c r="J38">
        <v>4.14</v>
      </c>
      <c r="K38">
        <v>40340.16</v>
      </c>
      <c r="L38" t="s">
        <v>36</v>
      </c>
      <c r="M38" t="s">
        <v>48</v>
      </c>
      <c r="N38">
        <v>4.015</v>
      </c>
      <c r="O38" t="s">
        <v>27</v>
      </c>
      <c r="Q38">
        <v>1</v>
      </c>
    </row>
    <row r="39" spans="1:17">
      <c r="A39">
        <v>38</v>
      </c>
      <c r="B39">
        <v>2</v>
      </c>
      <c r="C39">
        <v>20240205</v>
      </c>
      <c r="D39" t="s">
        <v>28</v>
      </c>
      <c r="E39" t="s">
        <v>21</v>
      </c>
      <c r="F39" t="s">
        <v>32</v>
      </c>
      <c r="G39" t="s">
        <v>30</v>
      </c>
      <c r="H39">
        <v>600</v>
      </c>
      <c r="I39" t="s">
        <v>24</v>
      </c>
      <c r="J39">
        <v>4.14</v>
      </c>
      <c r="K39">
        <v>2484</v>
      </c>
      <c r="L39" t="s">
        <v>36</v>
      </c>
      <c r="M39" t="s">
        <v>48</v>
      </c>
      <c r="N39">
        <v>4.015</v>
      </c>
      <c r="O39" t="s">
        <v>27</v>
      </c>
      <c r="Q39">
        <v>1</v>
      </c>
    </row>
    <row r="40" spans="1:17">
      <c r="A40">
        <v>39</v>
      </c>
      <c r="B40">
        <v>2</v>
      </c>
      <c r="C40">
        <v>20240205</v>
      </c>
      <c r="D40" t="s">
        <v>28</v>
      </c>
      <c r="E40" t="s">
        <v>21</v>
      </c>
      <c r="F40" t="s">
        <v>32</v>
      </c>
      <c r="G40" t="s">
        <v>37</v>
      </c>
      <c r="H40">
        <v>17522</v>
      </c>
      <c r="I40" t="s">
        <v>24</v>
      </c>
      <c r="J40">
        <v>4.14</v>
      </c>
      <c r="K40">
        <v>72541.08</v>
      </c>
      <c r="L40" t="s">
        <v>25</v>
      </c>
      <c r="M40" t="s">
        <v>48</v>
      </c>
      <c r="N40">
        <v>4.015</v>
      </c>
      <c r="O40" t="s">
        <v>27</v>
      </c>
      <c r="Q40">
        <v>6</v>
      </c>
    </row>
    <row r="41" spans="1:17">
      <c r="A41">
        <v>40</v>
      </c>
      <c r="B41">
        <v>2</v>
      </c>
      <c r="C41">
        <v>20240205</v>
      </c>
      <c r="D41" t="s">
        <v>28</v>
      </c>
      <c r="E41" t="s">
        <v>21</v>
      </c>
      <c r="F41" t="s">
        <v>32</v>
      </c>
      <c r="G41" t="s">
        <v>30</v>
      </c>
      <c r="H41">
        <v>205446</v>
      </c>
      <c r="I41" t="s">
        <v>24</v>
      </c>
      <c r="J41">
        <v>4.14</v>
      </c>
      <c r="K41">
        <v>850546.44</v>
      </c>
      <c r="L41" t="s">
        <v>25</v>
      </c>
      <c r="M41" t="s">
        <v>48</v>
      </c>
      <c r="N41">
        <v>4.015</v>
      </c>
      <c r="O41" t="s">
        <v>27</v>
      </c>
      <c r="Q41">
        <v>36</v>
      </c>
    </row>
    <row r="42" spans="1:17">
      <c r="A42">
        <v>41</v>
      </c>
      <c r="B42">
        <v>2</v>
      </c>
      <c r="C42">
        <v>20240205</v>
      </c>
      <c r="D42" t="s">
        <v>20</v>
      </c>
      <c r="E42" t="s">
        <v>21</v>
      </c>
      <c r="F42" t="s">
        <v>41</v>
      </c>
      <c r="G42" t="s">
        <v>42</v>
      </c>
      <c r="H42">
        <v>264173</v>
      </c>
      <c r="I42" t="s">
        <v>24</v>
      </c>
      <c r="J42">
        <v>4.58</v>
      </c>
      <c r="K42">
        <v>1209912.34</v>
      </c>
      <c r="L42" t="s">
        <v>25</v>
      </c>
      <c r="M42" t="s">
        <v>49</v>
      </c>
      <c r="N42">
        <v>4.488</v>
      </c>
      <c r="O42" t="s">
        <v>27</v>
      </c>
      <c r="Q42">
        <v>25</v>
      </c>
    </row>
    <row r="43" spans="1:17">
      <c r="A43">
        <v>42</v>
      </c>
      <c r="B43">
        <v>2</v>
      </c>
      <c r="C43">
        <v>20240205</v>
      </c>
      <c r="D43" t="s">
        <v>20</v>
      </c>
      <c r="E43" t="s">
        <v>21</v>
      </c>
      <c r="F43" t="s">
        <v>41</v>
      </c>
      <c r="G43" t="s">
        <v>50</v>
      </c>
      <c r="H43">
        <v>23255</v>
      </c>
      <c r="I43" t="s">
        <v>24</v>
      </c>
      <c r="J43">
        <v>5.53</v>
      </c>
      <c r="K43">
        <v>128600.15</v>
      </c>
      <c r="L43" t="s">
        <v>25</v>
      </c>
      <c r="M43" t="s">
        <v>49</v>
      </c>
      <c r="N43">
        <v>4.786</v>
      </c>
      <c r="O43" t="s">
        <v>27</v>
      </c>
      <c r="Q43">
        <v>6</v>
      </c>
    </row>
    <row r="44" spans="1:17">
      <c r="A44">
        <v>43</v>
      </c>
      <c r="B44">
        <v>2</v>
      </c>
      <c r="C44">
        <v>20240205</v>
      </c>
      <c r="D44" t="s">
        <v>20</v>
      </c>
      <c r="E44" t="s">
        <v>21</v>
      </c>
      <c r="F44" t="s">
        <v>41</v>
      </c>
      <c r="G44" t="s">
        <v>42</v>
      </c>
      <c r="H44">
        <v>147952</v>
      </c>
      <c r="I44" t="s">
        <v>24</v>
      </c>
      <c r="J44">
        <v>5.63</v>
      </c>
      <c r="K44">
        <v>832969.76</v>
      </c>
      <c r="L44" t="s">
        <v>31</v>
      </c>
      <c r="M44" t="s">
        <v>49</v>
      </c>
      <c r="N44">
        <v>5.516</v>
      </c>
      <c r="O44" t="s">
        <v>27</v>
      </c>
      <c r="Q44">
        <v>17</v>
      </c>
    </row>
    <row r="45" spans="1:17">
      <c r="A45">
        <v>44</v>
      </c>
      <c r="B45">
        <v>2</v>
      </c>
      <c r="C45">
        <v>20240205</v>
      </c>
      <c r="D45" t="s">
        <v>20</v>
      </c>
      <c r="E45" t="s">
        <v>21</v>
      </c>
      <c r="F45" t="s">
        <v>41</v>
      </c>
      <c r="G45" t="s">
        <v>50</v>
      </c>
      <c r="H45">
        <v>8255</v>
      </c>
      <c r="I45" t="s">
        <v>24</v>
      </c>
      <c r="J45">
        <v>5.53</v>
      </c>
      <c r="K45">
        <v>45650.15</v>
      </c>
      <c r="L45" t="s">
        <v>25</v>
      </c>
      <c r="M45" t="s">
        <v>49</v>
      </c>
      <c r="N45">
        <v>4.786</v>
      </c>
      <c r="O45" t="s">
        <v>27</v>
      </c>
      <c r="Q45">
        <v>2</v>
      </c>
    </row>
    <row r="46" spans="1:17">
      <c r="A46">
        <v>45</v>
      </c>
      <c r="B46">
        <v>2</v>
      </c>
      <c r="C46">
        <v>20240205</v>
      </c>
      <c r="D46" t="s">
        <v>28</v>
      </c>
      <c r="E46" t="s">
        <v>21</v>
      </c>
      <c r="F46" t="s">
        <v>32</v>
      </c>
      <c r="G46" t="s">
        <v>30</v>
      </c>
      <c r="H46">
        <v>117314</v>
      </c>
      <c r="I46" t="s">
        <v>24</v>
      </c>
      <c r="J46">
        <v>4.14</v>
      </c>
      <c r="K46">
        <v>485679.96</v>
      </c>
      <c r="L46" t="s">
        <v>25</v>
      </c>
      <c r="M46" t="s">
        <v>51</v>
      </c>
      <c r="N46">
        <v>4.015</v>
      </c>
      <c r="O46" t="s">
        <v>27</v>
      </c>
      <c r="Q46">
        <v>45</v>
      </c>
    </row>
    <row r="47" spans="1:17">
      <c r="A47">
        <v>46</v>
      </c>
      <c r="B47">
        <v>2</v>
      </c>
      <c r="C47">
        <v>20240205</v>
      </c>
      <c r="D47" t="s">
        <v>20</v>
      </c>
      <c r="E47" t="s">
        <v>21</v>
      </c>
      <c r="F47" t="s">
        <v>39</v>
      </c>
      <c r="G47" t="s">
        <v>47</v>
      </c>
      <c r="H47">
        <v>1599</v>
      </c>
      <c r="I47" t="s">
        <v>24</v>
      </c>
      <c r="J47">
        <v>7.46</v>
      </c>
      <c r="K47">
        <v>11928.54</v>
      </c>
      <c r="L47" t="s">
        <v>25</v>
      </c>
      <c r="M47" t="s">
        <v>52</v>
      </c>
      <c r="N47">
        <v>5.111108</v>
      </c>
      <c r="O47" t="s">
        <v>27</v>
      </c>
      <c r="Q47">
        <v>2</v>
      </c>
    </row>
    <row r="48" spans="1:17">
      <c r="A48">
        <v>47</v>
      </c>
      <c r="B48">
        <v>2</v>
      </c>
      <c r="C48">
        <v>20240205</v>
      </c>
      <c r="D48" t="s">
        <v>20</v>
      </c>
      <c r="E48" t="s">
        <v>21</v>
      </c>
      <c r="F48" t="s">
        <v>22</v>
      </c>
      <c r="G48" t="s">
        <v>42</v>
      </c>
      <c r="H48">
        <v>354719</v>
      </c>
      <c r="I48" t="s">
        <v>24</v>
      </c>
      <c r="J48">
        <v>5.72</v>
      </c>
      <c r="K48">
        <v>2028992.68</v>
      </c>
      <c r="L48" t="s">
        <v>25</v>
      </c>
      <c r="M48" t="s">
        <v>53</v>
      </c>
      <c r="N48">
        <v>5.606</v>
      </c>
      <c r="O48" t="s">
        <v>27</v>
      </c>
      <c r="Q48">
        <v>16</v>
      </c>
    </row>
    <row r="49" spans="1:17">
      <c r="A49">
        <v>48</v>
      </c>
      <c r="B49">
        <v>2</v>
      </c>
      <c r="C49">
        <v>20240205</v>
      </c>
      <c r="D49" t="s">
        <v>20</v>
      </c>
      <c r="E49" t="s">
        <v>21</v>
      </c>
      <c r="F49" t="s">
        <v>22</v>
      </c>
      <c r="G49" t="s">
        <v>42</v>
      </c>
      <c r="H49">
        <v>37591</v>
      </c>
      <c r="I49" t="s">
        <v>24</v>
      </c>
      <c r="J49">
        <v>5.63</v>
      </c>
      <c r="K49">
        <v>211637.33</v>
      </c>
      <c r="L49" t="s">
        <v>31</v>
      </c>
      <c r="M49" t="s">
        <v>53</v>
      </c>
      <c r="N49">
        <v>5.516</v>
      </c>
      <c r="O49" t="s">
        <v>27</v>
      </c>
      <c r="Q49">
        <v>2</v>
      </c>
    </row>
    <row r="50" spans="1:17">
      <c r="A50">
        <v>49</v>
      </c>
      <c r="B50">
        <v>2</v>
      </c>
      <c r="C50">
        <v>20240205</v>
      </c>
      <c r="D50" t="s">
        <v>28</v>
      </c>
      <c r="E50" t="s">
        <v>21</v>
      </c>
      <c r="F50" t="s">
        <v>22</v>
      </c>
      <c r="G50" t="s">
        <v>37</v>
      </c>
      <c r="H50">
        <v>117825</v>
      </c>
      <c r="I50" t="s">
        <v>24</v>
      </c>
      <c r="J50">
        <v>5.2</v>
      </c>
      <c r="K50">
        <v>612690</v>
      </c>
      <c r="L50" t="s">
        <v>25</v>
      </c>
      <c r="M50" t="s">
        <v>54</v>
      </c>
      <c r="N50">
        <v>5.0971</v>
      </c>
      <c r="O50" t="s">
        <v>27</v>
      </c>
      <c r="Q50">
        <v>8</v>
      </c>
    </row>
    <row r="51" spans="1:17">
      <c r="A51">
        <v>50</v>
      </c>
      <c r="B51">
        <v>2</v>
      </c>
      <c r="C51">
        <v>20240205</v>
      </c>
      <c r="D51" t="s">
        <v>28</v>
      </c>
      <c r="E51" t="s">
        <v>21</v>
      </c>
      <c r="F51" t="s">
        <v>22</v>
      </c>
      <c r="G51" t="s">
        <v>30</v>
      </c>
      <c r="H51">
        <v>17999</v>
      </c>
      <c r="I51" t="s">
        <v>24</v>
      </c>
      <c r="J51">
        <v>5.2</v>
      </c>
      <c r="K51">
        <v>93594.8</v>
      </c>
      <c r="L51" t="s">
        <v>25</v>
      </c>
      <c r="M51" t="s">
        <v>54</v>
      </c>
      <c r="N51">
        <v>5.0971</v>
      </c>
      <c r="O51" t="s">
        <v>27</v>
      </c>
      <c r="Q51">
        <v>2</v>
      </c>
    </row>
    <row r="52" spans="1:17">
      <c r="A52">
        <v>51</v>
      </c>
      <c r="B52">
        <v>2</v>
      </c>
      <c r="C52">
        <v>20240205</v>
      </c>
      <c r="D52" t="s">
        <v>28</v>
      </c>
      <c r="E52" t="s">
        <v>21</v>
      </c>
      <c r="F52" t="s">
        <v>22</v>
      </c>
      <c r="G52" t="s">
        <v>37</v>
      </c>
      <c r="H52">
        <v>3567</v>
      </c>
      <c r="I52" t="s">
        <v>24</v>
      </c>
      <c r="J52">
        <v>5.2</v>
      </c>
      <c r="K52">
        <v>18548.4</v>
      </c>
      <c r="L52" t="s">
        <v>36</v>
      </c>
      <c r="M52" t="s">
        <v>54</v>
      </c>
      <c r="N52">
        <v>5.0971</v>
      </c>
      <c r="O52" t="s">
        <v>27</v>
      </c>
      <c r="Q52">
        <v>1</v>
      </c>
    </row>
    <row r="53" spans="1:17">
      <c r="A53">
        <v>52</v>
      </c>
      <c r="B53">
        <v>2</v>
      </c>
      <c r="C53">
        <v>20240205</v>
      </c>
      <c r="D53" t="s">
        <v>28</v>
      </c>
      <c r="E53" t="s">
        <v>21</v>
      </c>
      <c r="F53" t="s">
        <v>22</v>
      </c>
      <c r="G53" t="s">
        <v>30</v>
      </c>
      <c r="H53">
        <v>2963</v>
      </c>
      <c r="I53" t="s">
        <v>24</v>
      </c>
      <c r="J53">
        <v>5.2</v>
      </c>
      <c r="K53">
        <v>15407.6</v>
      </c>
      <c r="L53" t="s">
        <v>31</v>
      </c>
      <c r="M53" t="s">
        <v>54</v>
      </c>
      <c r="N53">
        <v>5.0971</v>
      </c>
      <c r="O53" t="s">
        <v>27</v>
      </c>
      <c r="Q53">
        <v>1</v>
      </c>
    </row>
    <row r="54" spans="1:17">
      <c r="A54">
        <v>53</v>
      </c>
      <c r="B54">
        <v>2</v>
      </c>
      <c r="C54">
        <v>20240206</v>
      </c>
      <c r="D54" t="s">
        <v>28</v>
      </c>
      <c r="E54" t="s">
        <v>21</v>
      </c>
      <c r="F54" t="s">
        <v>32</v>
      </c>
      <c r="G54" t="s">
        <v>30</v>
      </c>
      <c r="H54">
        <v>1099382</v>
      </c>
      <c r="I54" t="s">
        <v>24</v>
      </c>
      <c r="J54">
        <v>4.14</v>
      </c>
      <c r="K54">
        <v>4551441.48</v>
      </c>
      <c r="O54" t="s">
        <v>27</v>
      </c>
    </row>
    <row r="55" spans="1:17">
      <c r="A55">
        <v>54</v>
      </c>
      <c r="B55">
        <v>2</v>
      </c>
      <c r="C55">
        <v>20240206</v>
      </c>
      <c r="D55" t="s">
        <v>20</v>
      </c>
      <c r="E55" t="s">
        <v>21</v>
      </c>
      <c r="F55" t="s">
        <v>32</v>
      </c>
      <c r="G55" t="s">
        <v>30</v>
      </c>
      <c r="H55">
        <v>108676</v>
      </c>
      <c r="I55" t="s">
        <v>24</v>
      </c>
      <c r="J55">
        <v>4.14</v>
      </c>
      <c r="K55">
        <v>449918.64</v>
      </c>
      <c r="O55" t="s">
        <v>27</v>
      </c>
    </row>
    <row r="56" spans="1:17">
      <c r="A56">
        <v>55</v>
      </c>
      <c r="B56">
        <v>2</v>
      </c>
      <c r="C56">
        <v>20240206</v>
      </c>
      <c r="D56" t="s">
        <v>28</v>
      </c>
      <c r="E56" t="s">
        <v>21</v>
      </c>
      <c r="F56" t="s">
        <v>32</v>
      </c>
      <c r="G56" t="s">
        <v>37</v>
      </c>
      <c r="H56">
        <v>1447</v>
      </c>
      <c r="I56" t="s">
        <v>24</v>
      </c>
      <c r="J56">
        <v>4.14</v>
      </c>
      <c r="K56">
        <v>5990.58</v>
      </c>
      <c r="L56" t="s">
        <v>31</v>
      </c>
      <c r="M56" t="s">
        <v>55</v>
      </c>
      <c r="N56">
        <v>4.015</v>
      </c>
      <c r="O56" t="s">
        <v>27</v>
      </c>
      <c r="Q56">
        <v>5</v>
      </c>
    </row>
    <row r="57" spans="1:17">
      <c r="A57">
        <v>56</v>
      </c>
      <c r="B57">
        <v>2</v>
      </c>
      <c r="C57">
        <v>20240206</v>
      </c>
      <c r="D57" t="s">
        <v>28</v>
      </c>
      <c r="E57" t="s">
        <v>21</v>
      </c>
      <c r="F57" t="s">
        <v>32</v>
      </c>
      <c r="G57" t="s">
        <v>56</v>
      </c>
      <c r="H57">
        <v>120511</v>
      </c>
      <c r="I57" t="s">
        <v>24</v>
      </c>
      <c r="J57">
        <v>4.14</v>
      </c>
      <c r="K57">
        <v>498915.54</v>
      </c>
      <c r="L57" t="s">
        <v>31</v>
      </c>
      <c r="M57" t="s">
        <v>55</v>
      </c>
      <c r="N57">
        <v>4.021</v>
      </c>
      <c r="O57" t="s">
        <v>27</v>
      </c>
      <c r="Q57">
        <v>56</v>
      </c>
    </row>
    <row r="58" spans="1:17">
      <c r="A58">
        <v>57</v>
      </c>
      <c r="B58">
        <v>2</v>
      </c>
      <c r="C58">
        <v>20240206</v>
      </c>
      <c r="D58" t="s">
        <v>28</v>
      </c>
      <c r="E58" t="s">
        <v>21</v>
      </c>
      <c r="F58" t="s">
        <v>32</v>
      </c>
      <c r="G58" t="s">
        <v>56</v>
      </c>
      <c r="H58">
        <v>380879</v>
      </c>
      <c r="I58" t="s">
        <v>24</v>
      </c>
      <c r="J58">
        <v>4.14</v>
      </c>
      <c r="K58">
        <v>1576839.06</v>
      </c>
      <c r="L58" t="s">
        <v>31</v>
      </c>
      <c r="M58" t="s">
        <v>55</v>
      </c>
      <c r="N58">
        <v>4.015</v>
      </c>
      <c r="O58" t="s">
        <v>27</v>
      </c>
    </row>
    <row r="59" spans="1:17">
      <c r="A59">
        <v>58</v>
      </c>
      <c r="B59">
        <v>2</v>
      </c>
      <c r="C59">
        <v>20240206</v>
      </c>
      <c r="D59" t="s">
        <v>28</v>
      </c>
      <c r="E59" t="s">
        <v>21</v>
      </c>
      <c r="F59" t="s">
        <v>32</v>
      </c>
      <c r="G59" t="s">
        <v>37</v>
      </c>
      <c r="H59">
        <v>35324</v>
      </c>
      <c r="I59" t="s">
        <v>24</v>
      </c>
      <c r="J59">
        <v>4.14</v>
      </c>
      <c r="K59">
        <v>146241.36</v>
      </c>
      <c r="L59" t="s">
        <v>36</v>
      </c>
      <c r="M59" t="s">
        <v>55</v>
      </c>
      <c r="N59">
        <v>4.015</v>
      </c>
      <c r="O59" t="s">
        <v>27</v>
      </c>
      <c r="Q59">
        <v>11</v>
      </c>
    </row>
    <row r="60" spans="1:17">
      <c r="A60">
        <v>59</v>
      </c>
      <c r="B60">
        <v>2</v>
      </c>
      <c r="C60">
        <v>20240206</v>
      </c>
      <c r="D60" t="s">
        <v>28</v>
      </c>
      <c r="E60" t="s">
        <v>21</v>
      </c>
      <c r="F60" t="s">
        <v>32</v>
      </c>
      <c r="G60" t="s">
        <v>37</v>
      </c>
      <c r="H60">
        <v>76891</v>
      </c>
      <c r="I60" t="s">
        <v>24</v>
      </c>
      <c r="J60">
        <v>4.14</v>
      </c>
      <c r="K60">
        <v>318328.74</v>
      </c>
      <c r="L60" t="s">
        <v>25</v>
      </c>
      <c r="M60" t="s">
        <v>55</v>
      </c>
      <c r="N60">
        <v>4.015</v>
      </c>
      <c r="O60" t="s">
        <v>27</v>
      </c>
      <c r="Q60">
        <v>32</v>
      </c>
    </row>
    <row r="61" spans="1:17">
      <c r="A61">
        <v>60</v>
      </c>
      <c r="B61">
        <v>2</v>
      </c>
      <c r="C61">
        <v>20240206</v>
      </c>
      <c r="D61" t="s">
        <v>20</v>
      </c>
      <c r="E61" t="s">
        <v>21</v>
      </c>
      <c r="F61" t="s">
        <v>32</v>
      </c>
      <c r="G61" t="s">
        <v>42</v>
      </c>
      <c r="H61">
        <v>6861</v>
      </c>
      <c r="I61" t="s">
        <v>24</v>
      </c>
      <c r="J61">
        <v>4.48</v>
      </c>
      <c r="K61">
        <v>30737.28</v>
      </c>
      <c r="L61" t="s">
        <v>25</v>
      </c>
      <c r="M61" t="s">
        <v>57</v>
      </c>
      <c r="N61">
        <v>3.8117</v>
      </c>
      <c r="O61" t="s">
        <v>27</v>
      </c>
      <c r="Q61">
        <v>3</v>
      </c>
    </row>
    <row r="62" spans="1:17">
      <c r="A62">
        <v>61</v>
      </c>
      <c r="B62">
        <v>2</v>
      </c>
      <c r="C62">
        <v>20240206</v>
      </c>
      <c r="D62" t="s">
        <v>20</v>
      </c>
      <c r="E62" t="s">
        <v>21</v>
      </c>
      <c r="F62" t="s">
        <v>29</v>
      </c>
      <c r="G62" t="s">
        <v>30</v>
      </c>
      <c r="H62">
        <v>90421</v>
      </c>
      <c r="I62" t="s">
        <v>24</v>
      </c>
      <c r="J62">
        <v>4.14</v>
      </c>
      <c r="K62">
        <v>374342.94</v>
      </c>
      <c r="L62" t="s">
        <v>31</v>
      </c>
      <c r="M62" t="s">
        <v>58</v>
      </c>
      <c r="N62">
        <v>4.02463</v>
      </c>
      <c r="O62" t="s">
        <v>27</v>
      </c>
      <c r="Q62">
        <v>42</v>
      </c>
    </row>
    <row r="63" spans="1:17">
      <c r="A63">
        <v>62</v>
      </c>
      <c r="B63">
        <v>2</v>
      </c>
      <c r="C63">
        <v>20240206</v>
      </c>
      <c r="D63" t="s">
        <v>20</v>
      </c>
      <c r="E63" t="s">
        <v>21</v>
      </c>
      <c r="F63" t="s">
        <v>59</v>
      </c>
      <c r="G63" t="s">
        <v>47</v>
      </c>
      <c r="H63">
        <v>14564</v>
      </c>
      <c r="I63" t="s">
        <v>24</v>
      </c>
      <c r="J63">
        <v>7.46</v>
      </c>
      <c r="K63">
        <v>108647.44</v>
      </c>
      <c r="L63" t="s">
        <v>31</v>
      </c>
      <c r="M63" t="s">
        <v>60</v>
      </c>
      <c r="N63">
        <v>4.96</v>
      </c>
      <c r="O63" t="s">
        <v>27</v>
      </c>
      <c r="Q63">
        <v>31</v>
      </c>
    </row>
    <row r="64" spans="1:17">
      <c r="A64">
        <v>63</v>
      </c>
      <c r="B64">
        <v>2</v>
      </c>
      <c r="C64">
        <v>20240206</v>
      </c>
      <c r="D64" t="s">
        <v>20</v>
      </c>
      <c r="E64" t="s">
        <v>21</v>
      </c>
      <c r="F64" t="s">
        <v>22</v>
      </c>
      <c r="G64" t="s">
        <v>30</v>
      </c>
      <c r="H64">
        <v>566567</v>
      </c>
      <c r="I64" t="s">
        <v>24</v>
      </c>
      <c r="J64">
        <v>4.31</v>
      </c>
      <c r="K64">
        <v>2441903.77</v>
      </c>
      <c r="L64" t="s">
        <v>31</v>
      </c>
      <c r="M64" t="s">
        <v>61</v>
      </c>
      <c r="N64">
        <v>4.228</v>
      </c>
      <c r="O64" t="s">
        <v>27</v>
      </c>
      <c r="Q64">
        <v>30</v>
      </c>
    </row>
    <row r="65" spans="1:17">
      <c r="A65">
        <v>64</v>
      </c>
      <c r="B65">
        <v>2</v>
      </c>
      <c r="C65">
        <v>20240206</v>
      </c>
      <c r="D65" t="s">
        <v>20</v>
      </c>
      <c r="E65" t="s">
        <v>21</v>
      </c>
      <c r="F65" t="s">
        <v>22</v>
      </c>
      <c r="G65" t="s">
        <v>30</v>
      </c>
      <c r="H65">
        <v>83860</v>
      </c>
      <c r="I65" t="s">
        <v>24</v>
      </c>
      <c r="J65">
        <v>4.14</v>
      </c>
      <c r="K65">
        <v>347180.4</v>
      </c>
      <c r="L65" t="s">
        <v>25</v>
      </c>
      <c r="M65" t="s">
        <v>61</v>
      </c>
      <c r="N65">
        <v>3.5469</v>
      </c>
      <c r="O65" t="s">
        <v>27</v>
      </c>
      <c r="Q65">
        <v>17</v>
      </c>
    </row>
    <row r="66" spans="1:17">
      <c r="A66">
        <v>65</v>
      </c>
      <c r="B66">
        <v>2</v>
      </c>
      <c r="C66">
        <v>20240207</v>
      </c>
      <c r="D66" t="s">
        <v>28</v>
      </c>
      <c r="E66" t="s">
        <v>21</v>
      </c>
      <c r="F66" t="s">
        <v>41</v>
      </c>
      <c r="G66" t="s">
        <v>30</v>
      </c>
      <c r="H66">
        <v>457997</v>
      </c>
      <c r="I66" t="s">
        <v>24</v>
      </c>
      <c r="J66">
        <v>4.14</v>
      </c>
      <c r="K66">
        <v>1896107.58</v>
      </c>
      <c r="L66" t="s">
        <v>31</v>
      </c>
      <c r="M66" t="s">
        <v>62</v>
      </c>
      <c r="N66">
        <v>4.05</v>
      </c>
      <c r="O66" t="s">
        <v>27</v>
      </c>
      <c r="Q66">
        <v>67</v>
      </c>
    </row>
    <row r="67" spans="1:17">
      <c r="A67">
        <v>66</v>
      </c>
      <c r="B67">
        <v>2</v>
      </c>
      <c r="C67">
        <v>20240207</v>
      </c>
      <c r="D67" t="s">
        <v>28</v>
      </c>
      <c r="E67" t="s">
        <v>21</v>
      </c>
      <c r="F67" t="s">
        <v>41</v>
      </c>
      <c r="G67" t="s">
        <v>37</v>
      </c>
      <c r="H67">
        <v>2431</v>
      </c>
      <c r="I67" t="s">
        <v>24</v>
      </c>
      <c r="J67">
        <v>4.14</v>
      </c>
      <c r="K67">
        <v>10064.34</v>
      </c>
      <c r="L67" t="s">
        <v>31</v>
      </c>
      <c r="M67" t="s">
        <v>62</v>
      </c>
      <c r="N67">
        <v>4.05</v>
      </c>
      <c r="O67" t="s">
        <v>27</v>
      </c>
      <c r="Q67">
        <v>1</v>
      </c>
    </row>
    <row r="68" spans="1:17">
      <c r="A68">
        <v>67</v>
      </c>
      <c r="B68">
        <v>2</v>
      </c>
      <c r="C68">
        <v>20240207</v>
      </c>
      <c r="D68" t="s">
        <v>28</v>
      </c>
      <c r="E68" t="s">
        <v>21</v>
      </c>
      <c r="F68" t="s">
        <v>41</v>
      </c>
      <c r="G68" t="s">
        <v>37</v>
      </c>
      <c r="H68">
        <v>58131</v>
      </c>
      <c r="I68" t="s">
        <v>24</v>
      </c>
      <c r="J68">
        <v>4.14</v>
      </c>
      <c r="K68">
        <v>240662.34</v>
      </c>
      <c r="L68" t="s">
        <v>25</v>
      </c>
      <c r="M68" t="s">
        <v>62</v>
      </c>
      <c r="N68">
        <v>4.05</v>
      </c>
      <c r="O68" t="s">
        <v>27</v>
      </c>
      <c r="Q68">
        <v>9</v>
      </c>
    </row>
    <row r="69" spans="1:17">
      <c r="A69">
        <v>68</v>
      </c>
      <c r="B69">
        <v>2</v>
      </c>
      <c r="C69">
        <v>20240207</v>
      </c>
      <c r="D69" t="s">
        <v>28</v>
      </c>
      <c r="E69" t="s">
        <v>21</v>
      </c>
      <c r="F69" t="s">
        <v>41</v>
      </c>
      <c r="G69" t="s">
        <v>30</v>
      </c>
      <c r="H69">
        <v>213585</v>
      </c>
      <c r="I69" t="s">
        <v>24</v>
      </c>
      <c r="J69">
        <v>4.14</v>
      </c>
      <c r="K69">
        <v>884241.9</v>
      </c>
      <c r="L69" t="s">
        <v>25</v>
      </c>
      <c r="M69" t="s">
        <v>62</v>
      </c>
      <c r="N69">
        <v>4.05</v>
      </c>
      <c r="O69" t="s">
        <v>27</v>
      </c>
      <c r="Q69" t="s">
        <v>63</v>
      </c>
    </row>
    <row r="70" spans="1:17">
      <c r="A70">
        <v>69</v>
      </c>
      <c r="B70">
        <v>2</v>
      </c>
      <c r="C70">
        <v>20240207</v>
      </c>
      <c r="D70" t="s">
        <v>28</v>
      </c>
      <c r="E70" t="s">
        <v>21</v>
      </c>
      <c r="F70" t="s">
        <v>41</v>
      </c>
      <c r="G70" t="s">
        <v>30</v>
      </c>
      <c r="H70">
        <v>203150</v>
      </c>
      <c r="I70" t="s">
        <v>24</v>
      </c>
      <c r="J70">
        <v>4.14</v>
      </c>
      <c r="K70">
        <v>841041</v>
      </c>
      <c r="L70" t="s">
        <v>25</v>
      </c>
      <c r="M70" t="s">
        <v>62</v>
      </c>
      <c r="N70">
        <v>4.05</v>
      </c>
      <c r="O70" t="s">
        <v>27</v>
      </c>
      <c r="Q70">
        <v>25</v>
      </c>
    </row>
    <row r="71" spans="1:17">
      <c r="A71">
        <v>70</v>
      </c>
      <c r="B71">
        <v>2</v>
      </c>
      <c r="C71">
        <v>20240207</v>
      </c>
      <c r="D71" t="s">
        <v>28</v>
      </c>
      <c r="E71" t="s">
        <v>21</v>
      </c>
      <c r="F71" t="s">
        <v>41</v>
      </c>
      <c r="G71" t="s">
        <v>37</v>
      </c>
      <c r="H71">
        <v>24989</v>
      </c>
      <c r="I71" t="s">
        <v>24</v>
      </c>
      <c r="J71">
        <v>4.14</v>
      </c>
      <c r="K71">
        <v>103454.46</v>
      </c>
      <c r="L71" t="s">
        <v>25</v>
      </c>
      <c r="M71" t="s">
        <v>62</v>
      </c>
      <c r="N71">
        <v>4.05</v>
      </c>
      <c r="O71" t="s">
        <v>27</v>
      </c>
      <c r="Q71">
        <v>2</v>
      </c>
    </row>
    <row r="72" spans="1:17">
      <c r="A72">
        <v>71</v>
      </c>
      <c r="B72">
        <v>2</v>
      </c>
      <c r="C72">
        <v>20240207</v>
      </c>
      <c r="D72" t="s">
        <v>28</v>
      </c>
      <c r="E72" t="s">
        <v>21</v>
      </c>
      <c r="F72" t="s">
        <v>41</v>
      </c>
      <c r="G72" t="s">
        <v>30</v>
      </c>
      <c r="H72">
        <v>405500</v>
      </c>
      <c r="I72" t="s">
        <v>24</v>
      </c>
      <c r="J72">
        <v>4.14</v>
      </c>
      <c r="K72">
        <v>1678770</v>
      </c>
      <c r="L72" t="s">
        <v>31</v>
      </c>
      <c r="M72" t="s">
        <v>62</v>
      </c>
      <c r="N72">
        <v>4.05</v>
      </c>
      <c r="O72" t="s">
        <v>27</v>
      </c>
      <c r="Q72">
        <v>90</v>
      </c>
    </row>
    <row r="73" spans="1:17">
      <c r="A73">
        <v>72</v>
      </c>
      <c r="B73">
        <v>2</v>
      </c>
      <c r="C73">
        <v>20240207</v>
      </c>
      <c r="D73" t="s">
        <v>28</v>
      </c>
      <c r="E73" t="s">
        <v>21</v>
      </c>
      <c r="F73" t="s">
        <v>41</v>
      </c>
      <c r="G73" t="s">
        <v>37</v>
      </c>
      <c r="H73">
        <v>14021</v>
      </c>
      <c r="I73" t="s">
        <v>24</v>
      </c>
      <c r="J73">
        <v>4.14</v>
      </c>
      <c r="K73">
        <v>58046.94</v>
      </c>
      <c r="L73" t="s">
        <v>31</v>
      </c>
      <c r="M73" t="s">
        <v>62</v>
      </c>
      <c r="N73">
        <v>4.05</v>
      </c>
      <c r="O73" t="s">
        <v>27</v>
      </c>
      <c r="Q73">
        <v>8</v>
      </c>
    </row>
    <row r="74" spans="1:17">
      <c r="A74">
        <v>73</v>
      </c>
      <c r="B74">
        <v>2</v>
      </c>
      <c r="C74">
        <v>20240207</v>
      </c>
      <c r="D74" t="s">
        <v>28</v>
      </c>
      <c r="E74" t="s">
        <v>21</v>
      </c>
      <c r="F74" t="s">
        <v>41</v>
      </c>
      <c r="G74" t="s">
        <v>30</v>
      </c>
      <c r="H74">
        <v>184961</v>
      </c>
      <c r="I74" t="s">
        <v>24</v>
      </c>
      <c r="J74">
        <v>4.14</v>
      </c>
      <c r="K74">
        <v>765738.54</v>
      </c>
      <c r="L74" t="s">
        <v>31</v>
      </c>
      <c r="M74" t="s">
        <v>62</v>
      </c>
      <c r="N74">
        <v>4.05</v>
      </c>
      <c r="O74" t="s">
        <v>27</v>
      </c>
      <c r="Q74">
        <v>35</v>
      </c>
    </row>
    <row r="75" spans="1:17">
      <c r="A75">
        <v>74</v>
      </c>
      <c r="B75">
        <v>2</v>
      </c>
      <c r="C75">
        <v>20240207</v>
      </c>
      <c r="D75" t="s">
        <v>28</v>
      </c>
      <c r="E75" t="s">
        <v>21</v>
      </c>
      <c r="F75" t="s">
        <v>41</v>
      </c>
      <c r="G75" t="s">
        <v>37</v>
      </c>
      <c r="H75">
        <v>6965</v>
      </c>
      <c r="I75" t="s">
        <v>24</v>
      </c>
      <c r="J75">
        <v>4.14</v>
      </c>
      <c r="K75">
        <v>28835.1</v>
      </c>
      <c r="L75" t="s">
        <v>31</v>
      </c>
      <c r="M75" t="s">
        <v>62</v>
      </c>
      <c r="N75">
        <v>4.05</v>
      </c>
      <c r="O75" t="s">
        <v>27</v>
      </c>
      <c r="Q75">
        <v>6</v>
      </c>
    </row>
    <row r="76" spans="1:17">
      <c r="A76">
        <v>75</v>
      </c>
      <c r="B76">
        <v>2</v>
      </c>
      <c r="C76">
        <v>20240207</v>
      </c>
      <c r="D76" t="s">
        <v>28</v>
      </c>
      <c r="E76" t="s">
        <v>21</v>
      </c>
      <c r="F76" t="s">
        <v>41</v>
      </c>
      <c r="G76" t="s">
        <v>30</v>
      </c>
      <c r="H76">
        <v>19800</v>
      </c>
      <c r="I76" t="s">
        <v>24</v>
      </c>
      <c r="J76">
        <v>4.14</v>
      </c>
      <c r="K76">
        <v>81972</v>
      </c>
      <c r="L76" t="s">
        <v>25</v>
      </c>
      <c r="M76" t="s">
        <v>62</v>
      </c>
      <c r="N76">
        <v>4.05</v>
      </c>
      <c r="O76" t="s">
        <v>27</v>
      </c>
      <c r="Q76">
        <v>4</v>
      </c>
    </row>
    <row r="77" spans="1:17">
      <c r="A77">
        <v>76</v>
      </c>
      <c r="B77">
        <v>2</v>
      </c>
      <c r="C77">
        <v>20240207</v>
      </c>
      <c r="D77" t="s">
        <v>28</v>
      </c>
      <c r="E77" t="s">
        <v>21</v>
      </c>
      <c r="F77" t="s">
        <v>41</v>
      </c>
      <c r="G77" t="s">
        <v>37</v>
      </c>
      <c r="H77">
        <v>40900</v>
      </c>
      <c r="I77" t="s">
        <v>24</v>
      </c>
      <c r="J77">
        <v>4.14</v>
      </c>
      <c r="K77">
        <v>169326</v>
      </c>
      <c r="L77" t="s">
        <v>31</v>
      </c>
      <c r="M77" t="s">
        <v>62</v>
      </c>
      <c r="N77">
        <v>4.05</v>
      </c>
      <c r="O77" t="s">
        <v>27</v>
      </c>
      <c r="Q77">
        <v>18</v>
      </c>
    </row>
    <row r="78" spans="1:17">
      <c r="A78">
        <v>77</v>
      </c>
      <c r="B78">
        <v>2</v>
      </c>
      <c r="C78">
        <v>20240207</v>
      </c>
      <c r="D78" t="s">
        <v>28</v>
      </c>
      <c r="E78" t="s">
        <v>21</v>
      </c>
      <c r="F78" t="s">
        <v>41</v>
      </c>
      <c r="G78" t="s">
        <v>30</v>
      </c>
      <c r="H78">
        <v>158952</v>
      </c>
      <c r="I78" t="s">
        <v>24</v>
      </c>
      <c r="J78">
        <v>4.14</v>
      </c>
      <c r="K78">
        <v>658061.28</v>
      </c>
      <c r="L78" t="s">
        <v>31</v>
      </c>
      <c r="M78" t="s">
        <v>62</v>
      </c>
      <c r="N78">
        <v>4.05</v>
      </c>
      <c r="O78" t="s">
        <v>27</v>
      </c>
      <c r="Q78">
        <v>27</v>
      </c>
    </row>
    <row r="79" spans="1:17">
      <c r="A79">
        <v>78</v>
      </c>
      <c r="B79">
        <v>2</v>
      </c>
      <c r="C79">
        <v>20240207</v>
      </c>
      <c r="D79" t="s">
        <v>28</v>
      </c>
      <c r="E79" t="s">
        <v>21</v>
      </c>
      <c r="F79" t="s">
        <v>41</v>
      </c>
      <c r="G79" t="s">
        <v>30</v>
      </c>
      <c r="H79">
        <v>66198</v>
      </c>
      <c r="I79" t="s">
        <v>24</v>
      </c>
      <c r="J79">
        <v>4.14</v>
      </c>
      <c r="K79">
        <v>274059.72</v>
      </c>
      <c r="L79" t="s">
        <v>31</v>
      </c>
      <c r="M79" t="s">
        <v>62</v>
      </c>
      <c r="N79">
        <v>4.05</v>
      </c>
      <c r="O79" t="s">
        <v>27</v>
      </c>
      <c r="Q79">
        <v>19</v>
      </c>
    </row>
    <row r="80" spans="1:17">
      <c r="A80">
        <v>79</v>
      </c>
      <c r="B80">
        <v>2</v>
      </c>
      <c r="C80">
        <v>20240207</v>
      </c>
      <c r="D80" t="s">
        <v>28</v>
      </c>
      <c r="E80" t="s">
        <v>21</v>
      </c>
      <c r="F80" t="s">
        <v>41</v>
      </c>
      <c r="G80" t="s">
        <v>37</v>
      </c>
      <c r="H80">
        <v>14204</v>
      </c>
      <c r="I80" t="s">
        <v>24</v>
      </c>
      <c r="J80">
        <v>4.14</v>
      </c>
      <c r="K80">
        <v>58804.56</v>
      </c>
      <c r="L80" t="s">
        <v>31</v>
      </c>
      <c r="M80" t="s">
        <v>62</v>
      </c>
      <c r="N80">
        <v>4.05</v>
      </c>
      <c r="O80" t="s">
        <v>27</v>
      </c>
      <c r="Q80">
        <v>7</v>
      </c>
    </row>
    <row r="81" spans="1:17">
      <c r="A81">
        <v>80</v>
      </c>
      <c r="B81">
        <v>2</v>
      </c>
      <c r="C81">
        <v>20240207</v>
      </c>
      <c r="D81" t="s">
        <v>20</v>
      </c>
      <c r="E81" t="s">
        <v>21</v>
      </c>
      <c r="F81" t="s">
        <v>41</v>
      </c>
      <c r="G81" t="s">
        <v>30</v>
      </c>
      <c r="H81">
        <v>27720</v>
      </c>
      <c r="I81" t="s">
        <v>24</v>
      </c>
      <c r="J81">
        <v>4.14</v>
      </c>
      <c r="K81">
        <v>114760.8</v>
      </c>
      <c r="L81" t="s">
        <v>31</v>
      </c>
      <c r="M81" t="s">
        <v>64</v>
      </c>
      <c r="N81">
        <v>4.05</v>
      </c>
      <c r="O81" t="s">
        <v>27</v>
      </c>
      <c r="Q81">
        <v>2</v>
      </c>
    </row>
    <row r="82" spans="1:17">
      <c r="A82">
        <v>81</v>
      </c>
      <c r="B82">
        <v>2</v>
      </c>
      <c r="C82">
        <v>20240207</v>
      </c>
      <c r="D82" t="s">
        <v>28</v>
      </c>
      <c r="E82" t="s">
        <v>21</v>
      </c>
      <c r="F82" t="s">
        <v>22</v>
      </c>
      <c r="G82" t="s">
        <v>37</v>
      </c>
      <c r="H82">
        <v>101257</v>
      </c>
      <c r="I82" t="s">
        <v>24</v>
      </c>
      <c r="J82">
        <v>5.07</v>
      </c>
      <c r="K82">
        <v>513372.99</v>
      </c>
      <c r="L82" t="s">
        <v>25</v>
      </c>
      <c r="M82" t="s">
        <v>65</v>
      </c>
      <c r="N82">
        <v>4.9657</v>
      </c>
      <c r="O82" t="s">
        <v>27</v>
      </c>
      <c r="Q82">
        <v>6</v>
      </c>
    </row>
    <row r="83" spans="1:17">
      <c r="A83">
        <v>82</v>
      </c>
      <c r="B83">
        <v>2</v>
      </c>
      <c r="C83">
        <v>20240207</v>
      </c>
      <c r="D83" t="s">
        <v>28</v>
      </c>
      <c r="E83" t="s">
        <v>21</v>
      </c>
      <c r="F83" t="s">
        <v>22</v>
      </c>
      <c r="G83" t="s">
        <v>37</v>
      </c>
      <c r="H83">
        <v>48331</v>
      </c>
      <c r="I83" t="s">
        <v>24</v>
      </c>
      <c r="J83">
        <v>4.28</v>
      </c>
      <c r="K83">
        <v>206856.68</v>
      </c>
      <c r="L83" t="s">
        <v>25</v>
      </c>
      <c r="M83" t="s">
        <v>65</v>
      </c>
      <c r="N83">
        <v>4.192</v>
      </c>
      <c r="O83" t="s">
        <v>27</v>
      </c>
      <c r="Q83">
        <v>4</v>
      </c>
    </row>
    <row r="84" spans="1:17">
      <c r="A84">
        <v>83</v>
      </c>
      <c r="B84">
        <v>2</v>
      </c>
      <c r="C84">
        <v>20240207</v>
      </c>
      <c r="D84" t="s">
        <v>28</v>
      </c>
      <c r="E84" t="s">
        <v>21</v>
      </c>
      <c r="F84" t="s">
        <v>22</v>
      </c>
      <c r="G84" t="s">
        <v>37</v>
      </c>
      <c r="H84">
        <v>7423</v>
      </c>
      <c r="I84" t="s">
        <v>24</v>
      </c>
      <c r="J84">
        <v>4.14</v>
      </c>
      <c r="K84">
        <v>30731.22</v>
      </c>
      <c r="L84" t="s">
        <v>25</v>
      </c>
      <c r="M84" t="s">
        <v>65</v>
      </c>
      <c r="N84">
        <v>3.529</v>
      </c>
      <c r="O84" t="s">
        <v>27</v>
      </c>
      <c r="Q84">
        <v>2</v>
      </c>
    </row>
    <row r="85" spans="1:17">
      <c r="A85">
        <v>84</v>
      </c>
      <c r="B85">
        <v>2</v>
      </c>
      <c r="C85">
        <v>20240207</v>
      </c>
      <c r="D85" t="s">
        <v>28</v>
      </c>
      <c r="E85" t="s">
        <v>21</v>
      </c>
      <c r="F85" t="s">
        <v>22</v>
      </c>
      <c r="G85" t="s">
        <v>37</v>
      </c>
      <c r="H85">
        <v>72662</v>
      </c>
      <c r="I85" t="s">
        <v>24</v>
      </c>
      <c r="J85">
        <v>4.14</v>
      </c>
      <c r="K85">
        <v>300820.68</v>
      </c>
      <c r="L85" t="s">
        <v>25</v>
      </c>
      <c r="M85" t="s">
        <v>65</v>
      </c>
      <c r="N85">
        <v>3.5715</v>
      </c>
      <c r="O85" t="s">
        <v>27</v>
      </c>
      <c r="Q85">
        <v>5</v>
      </c>
    </row>
    <row r="86" spans="1:17">
      <c r="A86">
        <v>85</v>
      </c>
      <c r="B86">
        <v>2</v>
      </c>
      <c r="C86">
        <v>20240207</v>
      </c>
      <c r="D86" t="s">
        <v>28</v>
      </c>
      <c r="E86" t="s">
        <v>21</v>
      </c>
      <c r="F86" t="s">
        <v>22</v>
      </c>
      <c r="G86" t="s">
        <v>30</v>
      </c>
      <c r="H86">
        <v>10254</v>
      </c>
      <c r="I86" t="s">
        <v>24</v>
      </c>
      <c r="J86">
        <v>4.14</v>
      </c>
      <c r="K86">
        <v>42451.56</v>
      </c>
      <c r="L86" t="s">
        <v>25</v>
      </c>
      <c r="M86" t="s">
        <v>65</v>
      </c>
      <c r="N86">
        <v>4.049</v>
      </c>
      <c r="O86" t="s">
        <v>27</v>
      </c>
      <c r="Q86">
        <v>6</v>
      </c>
    </row>
    <row r="87" spans="1:17">
      <c r="A87">
        <v>86</v>
      </c>
      <c r="B87">
        <v>2</v>
      </c>
      <c r="C87">
        <v>20240207</v>
      </c>
      <c r="D87" t="s">
        <v>28</v>
      </c>
      <c r="E87" t="s">
        <v>21</v>
      </c>
      <c r="F87" t="s">
        <v>22</v>
      </c>
      <c r="G87" t="s">
        <v>30</v>
      </c>
      <c r="H87">
        <v>22485</v>
      </c>
      <c r="I87" t="s">
        <v>24</v>
      </c>
      <c r="J87">
        <v>4.14</v>
      </c>
      <c r="K87">
        <v>93087.9</v>
      </c>
      <c r="L87" t="s">
        <v>25</v>
      </c>
      <c r="M87" t="s">
        <v>65</v>
      </c>
      <c r="N87">
        <v>3.517</v>
      </c>
      <c r="O87" t="s">
        <v>27</v>
      </c>
      <c r="Q87">
        <v>13</v>
      </c>
    </row>
    <row r="88" spans="1:17">
      <c r="A88">
        <v>87</v>
      </c>
      <c r="B88">
        <v>2</v>
      </c>
      <c r="C88">
        <v>20240207</v>
      </c>
      <c r="D88" t="s">
        <v>28</v>
      </c>
      <c r="E88" t="s">
        <v>21</v>
      </c>
      <c r="F88" t="s">
        <v>22</v>
      </c>
      <c r="G88" t="s">
        <v>30</v>
      </c>
      <c r="H88">
        <v>122258</v>
      </c>
      <c r="I88" t="s">
        <v>24</v>
      </c>
      <c r="J88">
        <v>4.14</v>
      </c>
      <c r="K88">
        <v>506148.12</v>
      </c>
      <c r="L88" t="s">
        <v>25</v>
      </c>
      <c r="M88" t="s">
        <v>65</v>
      </c>
      <c r="N88">
        <v>3.7043</v>
      </c>
      <c r="O88" t="s">
        <v>27</v>
      </c>
      <c r="Q88">
        <v>9</v>
      </c>
    </row>
    <row r="89" spans="1:17">
      <c r="A89">
        <v>88</v>
      </c>
      <c r="B89">
        <v>2</v>
      </c>
      <c r="C89">
        <v>20240207</v>
      </c>
      <c r="D89" t="s">
        <v>28</v>
      </c>
      <c r="E89" t="s">
        <v>21</v>
      </c>
      <c r="F89" t="s">
        <v>22</v>
      </c>
      <c r="G89" t="s">
        <v>30</v>
      </c>
      <c r="H89">
        <v>300171</v>
      </c>
      <c r="I89" t="s">
        <v>24</v>
      </c>
      <c r="J89">
        <v>4.14</v>
      </c>
      <c r="K89">
        <v>1242707.94</v>
      </c>
      <c r="L89" t="s">
        <v>25</v>
      </c>
      <c r="M89" t="s">
        <v>65</v>
      </c>
      <c r="N89">
        <v>3.5675</v>
      </c>
      <c r="O89" t="s">
        <v>27</v>
      </c>
      <c r="Q89">
        <v>14</v>
      </c>
    </row>
    <row r="90" spans="1:17">
      <c r="A90">
        <v>89</v>
      </c>
      <c r="B90">
        <v>2</v>
      </c>
      <c r="C90">
        <v>20240207</v>
      </c>
      <c r="D90" t="s">
        <v>28</v>
      </c>
      <c r="E90" t="s">
        <v>21</v>
      </c>
      <c r="F90" t="s">
        <v>22</v>
      </c>
      <c r="G90" t="s">
        <v>30</v>
      </c>
      <c r="H90">
        <v>253215</v>
      </c>
      <c r="I90" t="s">
        <v>24</v>
      </c>
      <c r="J90">
        <v>4.14</v>
      </c>
      <c r="K90">
        <v>1048310.1</v>
      </c>
      <c r="L90" t="s">
        <v>25</v>
      </c>
      <c r="M90" t="s">
        <v>65</v>
      </c>
      <c r="N90">
        <v>3.7839</v>
      </c>
      <c r="O90" t="s">
        <v>27</v>
      </c>
      <c r="Q90">
        <v>24</v>
      </c>
    </row>
    <row r="91" spans="1:17">
      <c r="A91">
        <v>90</v>
      </c>
      <c r="B91">
        <v>2</v>
      </c>
      <c r="C91">
        <v>20240207</v>
      </c>
      <c r="D91" t="s">
        <v>28</v>
      </c>
      <c r="E91" t="s">
        <v>21</v>
      </c>
      <c r="F91" t="s">
        <v>22</v>
      </c>
      <c r="G91" t="s">
        <v>30</v>
      </c>
      <c r="H91">
        <v>204649</v>
      </c>
      <c r="I91" t="s">
        <v>24</v>
      </c>
      <c r="J91">
        <v>4.14</v>
      </c>
      <c r="K91">
        <v>847246.86</v>
      </c>
      <c r="L91" t="s">
        <v>25</v>
      </c>
      <c r="M91" t="s">
        <v>65</v>
      </c>
      <c r="N91">
        <v>3.5991</v>
      </c>
      <c r="O91" t="s">
        <v>27</v>
      </c>
      <c r="Q91">
        <v>21</v>
      </c>
    </row>
    <row r="92" spans="1:17">
      <c r="A92">
        <v>91</v>
      </c>
      <c r="B92">
        <v>2</v>
      </c>
      <c r="C92">
        <v>20240207</v>
      </c>
      <c r="D92" t="s">
        <v>28</v>
      </c>
      <c r="E92" t="s">
        <v>21</v>
      </c>
      <c r="F92" t="s">
        <v>22</v>
      </c>
      <c r="G92" t="s">
        <v>37</v>
      </c>
      <c r="H92">
        <v>28275</v>
      </c>
      <c r="I92" t="s">
        <v>24</v>
      </c>
      <c r="J92">
        <v>4.14</v>
      </c>
      <c r="K92">
        <v>117058.5</v>
      </c>
      <c r="L92" t="s">
        <v>36</v>
      </c>
      <c r="M92" t="s">
        <v>65</v>
      </c>
      <c r="N92">
        <v>4.0844</v>
      </c>
      <c r="O92" t="s">
        <v>27</v>
      </c>
      <c r="Q92">
        <v>4</v>
      </c>
    </row>
    <row r="93" spans="1:17">
      <c r="A93">
        <v>92</v>
      </c>
      <c r="B93">
        <v>2</v>
      </c>
      <c r="C93">
        <v>20240207</v>
      </c>
      <c r="D93" t="s">
        <v>28</v>
      </c>
      <c r="E93" t="s">
        <v>21</v>
      </c>
      <c r="F93" t="s">
        <v>22</v>
      </c>
      <c r="G93" t="s">
        <v>30</v>
      </c>
      <c r="H93">
        <v>38578</v>
      </c>
      <c r="I93" t="s">
        <v>24</v>
      </c>
      <c r="J93">
        <v>4.14</v>
      </c>
      <c r="K93">
        <v>159712.92</v>
      </c>
      <c r="L93" t="s">
        <v>36</v>
      </c>
      <c r="M93" t="s">
        <v>65</v>
      </c>
      <c r="N93">
        <v>4.0562</v>
      </c>
      <c r="O93" t="s">
        <v>27</v>
      </c>
      <c r="Q93">
        <v>13</v>
      </c>
    </row>
    <row r="94" spans="1:17">
      <c r="A94">
        <v>93</v>
      </c>
      <c r="B94">
        <v>2</v>
      </c>
      <c r="C94">
        <v>20240207</v>
      </c>
      <c r="D94" t="s">
        <v>28</v>
      </c>
      <c r="E94" t="s">
        <v>21</v>
      </c>
      <c r="F94" t="s">
        <v>22</v>
      </c>
      <c r="G94" t="s">
        <v>37</v>
      </c>
      <c r="H94">
        <v>97172</v>
      </c>
      <c r="I94" t="s">
        <v>24</v>
      </c>
      <c r="J94">
        <v>4.14</v>
      </c>
      <c r="K94">
        <v>402292.08</v>
      </c>
      <c r="L94" t="s">
        <v>31</v>
      </c>
      <c r="M94" t="s">
        <v>65</v>
      </c>
      <c r="N94">
        <v>4.0619</v>
      </c>
      <c r="O94" t="s">
        <v>27</v>
      </c>
      <c r="Q94">
        <v>5</v>
      </c>
    </row>
    <row r="95" spans="1:17">
      <c r="A95">
        <v>94</v>
      </c>
      <c r="B95">
        <v>2</v>
      </c>
      <c r="C95">
        <v>20240207</v>
      </c>
      <c r="D95" t="s">
        <v>28</v>
      </c>
      <c r="E95" t="s">
        <v>21</v>
      </c>
      <c r="F95" t="s">
        <v>22</v>
      </c>
      <c r="G95" t="s">
        <v>30</v>
      </c>
      <c r="H95">
        <v>1305787</v>
      </c>
      <c r="I95" t="s">
        <v>24</v>
      </c>
      <c r="J95">
        <v>4.14</v>
      </c>
      <c r="K95">
        <v>5405958.18</v>
      </c>
      <c r="L95" t="s">
        <v>31</v>
      </c>
      <c r="M95" t="s">
        <v>65</v>
      </c>
      <c r="N95">
        <v>4.0967</v>
      </c>
      <c r="O95" t="s">
        <v>27</v>
      </c>
      <c r="Q95">
        <v>57</v>
      </c>
    </row>
    <row r="96" spans="1:17">
      <c r="A96">
        <v>95</v>
      </c>
      <c r="B96">
        <v>2</v>
      </c>
      <c r="C96">
        <v>20240207</v>
      </c>
      <c r="D96" t="s">
        <v>20</v>
      </c>
      <c r="E96" t="s">
        <v>21</v>
      </c>
      <c r="F96" t="s">
        <v>32</v>
      </c>
      <c r="G96" t="s">
        <v>42</v>
      </c>
      <c r="H96">
        <v>136552</v>
      </c>
      <c r="I96" t="s">
        <v>24</v>
      </c>
      <c r="J96">
        <v>4.48</v>
      </c>
      <c r="K96">
        <v>611752.96</v>
      </c>
      <c r="L96" t="s">
        <v>25</v>
      </c>
      <c r="M96" t="s">
        <v>66</v>
      </c>
      <c r="N96">
        <v>3.8117</v>
      </c>
      <c r="O96" t="s">
        <v>27</v>
      </c>
      <c r="Q96">
        <v>30</v>
      </c>
    </row>
    <row r="97" spans="1:17">
      <c r="A97">
        <v>96</v>
      </c>
      <c r="B97">
        <v>2</v>
      </c>
      <c r="C97">
        <v>20240207</v>
      </c>
      <c r="D97" t="s">
        <v>20</v>
      </c>
      <c r="E97" t="s">
        <v>21</v>
      </c>
      <c r="F97" t="s">
        <v>22</v>
      </c>
      <c r="G97" t="s">
        <v>42</v>
      </c>
      <c r="H97">
        <v>1513570</v>
      </c>
      <c r="I97" t="s">
        <v>24</v>
      </c>
      <c r="J97">
        <v>5.62</v>
      </c>
      <c r="K97">
        <v>8506263.4</v>
      </c>
      <c r="L97" t="s">
        <v>31</v>
      </c>
      <c r="M97" t="s">
        <v>67</v>
      </c>
      <c r="N97">
        <v>5.5067</v>
      </c>
      <c r="O97" t="s">
        <v>27</v>
      </c>
      <c r="Q97">
        <v>62</v>
      </c>
    </row>
    <row r="98" spans="1:17">
      <c r="A98">
        <v>97</v>
      </c>
      <c r="B98">
        <v>2</v>
      </c>
      <c r="C98">
        <v>20240207</v>
      </c>
      <c r="D98" t="s">
        <v>20</v>
      </c>
      <c r="E98" t="s">
        <v>21</v>
      </c>
      <c r="F98" t="s">
        <v>22</v>
      </c>
      <c r="G98" t="s">
        <v>42</v>
      </c>
      <c r="H98">
        <v>171732</v>
      </c>
      <c r="I98" t="s">
        <v>24</v>
      </c>
      <c r="J98">
        <v>4.48</v>
      </c>
      <c r="K98">
        <v>769359.36</v>
      </c>
      <c r="L98" t="s">
        <v>25</v>
      </c>
      <c r="M98" t="s">
        <v>67</v>
      </c>
      <c r="N98">
        <v>4.3544</v>
      </c>
      <c r="O98" t="s">
        <v>27</v>
      </c>
      <c r="Q98">
        <v>10</v>
      </c>
    </row>
    <row r="99" spans="1:17">
      <c r="A99">
        <v>98</v>
      </c>
      <c r="B99">
        <v>2</v>
      </c>
      <c r="C99">
        <v>20240207</v>
      </c>
      <c r="D99" t="s">
        <v>20</v>
      </c>
      <c r="E99" t="s">
        <v>21</v>
      </c>
      <c r="F99" t="s">
        <v>22</v>
      </c>
      <c r="G99" t="s">
        <v>42</v>
      </c>
      <c r="H99">
        <v>99785</v>
      </c>
      <c r="I99" t="s">
        <v>24</v>
      </c>
      <c r="J99">
        <v>5.32</v>
      </c>
      <c r="K99">
        <v>530856.2</v>
      </c>
      <c r="L99" t="s">
        <v>25</v>
      </c>
      <c r="M99" t="s">
        <v>67</v>
      </c>
      <c r="N99">
        <v>5.2204</v>
      </c>
      <c r="O99" t="s">
        <v>27</v>
      </c>
      <c r="Q99">
        <v>7</v>
      </c>
    </row>
    <row r="100" spans="1:17">
      <c r="A100">
        <v>99</v>
      </c>
      <c r="B100">
        <v>2</v>
      </c>
      <c r="C100">
        <v>20240207</v>
      </c>
      <c r="D100" t="s">
        <v>28</v>
      </c>
      <c r="E100" t="s">
        <v>21</v>
      </c>
      <c r="F100" t="s">
        <v>29</v>
      </c>
      <c r="G100" t="s">
        <v>30</v>
      </c>
      <c r="H100">
        <v>30135</v>
      </c>
      <c r="I100" t="s">
        <v>24</v>
      </c>
      <c r="J100">
        <v>4.14</v>
      </c>
      <c r="K100">
        <v>124758.9</v>
      </c>
      <c r="L100" t="s">
        <v>25</v>
      </c>
      <c r="M100" t="s">
        <v>68</v>
      </c>
      <c r="N100">
        <v>3.4603</v>
      </c>
      <c r="O100" t="s">
        <v>27</v>
      </c>
      <c r="Q100">
        <v>130</v>
      </c>
    </row>
    <row r="101" spans="1:17">
      <c r="A101">
        <v>100</v>
      </c>
      <c r="B101">
        <v>2</v>
      </c>
      <c r="C101">
        <v>20240207</v>
      </c>
      <c r="D101" t="s">
        <v>28</v>
      </c>
      <c r="E101" t="s">
        <v>21</v>
      </c>
      <c r="F101" t="s">
        <v>29</v>
      </c>
      <c r="G101" t="s">
        <v>30</v>
      </c>
      <c r="H101">
        <v>29115</v>
      </c>
      <c r="I101" t="s">
        <v>24</v>
      </c>
      <c r="J101">
        <v>4.73</v>
      </c>
      <c r="K101">
        <v>137713.95</v>
      </c>
      <c r="L101" t="s">
        <v>25</v>
      </c>
      <c r="M101" t="s">
        <v>68</v>
      </c>
      <c r="N101">
        <v>4.6375</v>
      </c>
      <c r="O101" t="s">
        <v>27</v>
      </c>
    </row>
    <row r="102" spans="1:17">
      <c r="A102">
        <v>101</v>
      </c>
      <c r="B102">
        <v>2</v>
      </c>
      <c r="C102">
        <v>20240207</v>
      </c>
      <c r="D102" t="s">
        <v>28</v>
      </c>
      <c r="E102" t="s">
        <v>21</v>
      </c>
      <c r="F102" t="s">
        <v>29</v>
      </c>
      <c r="G102" t="s">
        <v>30</v>
      </c>
      <c r="H102">
        <v>84851</v>
      </c>
      <c r="I102" t="s">
        <v>24</v>
      </c>
      <c r="J102">
        <v>4.14</v>
      </c>
      <c r="K102">
        <v>351283.14</v>
      </c>
      <c r="L102" t="s">
        <v>31</v>
      </c>
      <c r="M102" t="s">
        <v>68</v>
      </c>
      <c r="N102">
        <v>4.0286</v>
      </c>
      <c r="O102" t="s">
        <v>27</v>
      </c>
    </row>
    <row r="103" spans="1:17">
      <c r="A103">
        <v>102</v>
      </c>
      <c r="B103">
        <v>2</v>
      </c>
      <c r="C103">
        <v>20240207</v>
      </c>
      <c r="D103" t="s">
        <v>28</v>
      </c>
      <c r="E103" t="s">
        <v>21</v>
      </c>
      <c r="F103" t="s">
        <v>29</v>
      </c>
      <c r="G103" t="s">
        <v>30</v>
      </c>
      <c r="H103">
        <v>2452</v>
      </c>
      <c r="I103" t="s">
        <v>24</v>
      </c>
      <c r="J103">
        <v>4.97</v>
      </c>
      <c r="K103">
        <v>12186.44</v>
      </c>
      <c r="L103" t="s">
        <v>36</v>
      </c>
      <c r="M103" t="s">
        <v>68</v>
      </c>
      <c r="N103">
        <v>4.8746</v>
      </c>
      <c r="O103" t="s">
        <v>27</v>
      </c>
    </row>
    <row r="104" spans="1:17">
      <c r="A104">
        <v>103</v>
      </c>
      <c r="B104">
        <v>2</v>
      </c>
      <c r="C104">
        <v>20240207</v>
      </c>
      <c r="D104" t="s">
        <v>28</v>
      </c>
      <c r="E104" t="s">
        <v>21</v>
      </c>
      <c r="F104" t="s">
        <v>29</v>
      </c>
      <c r="G104" t="s">
        <v>37</v>
      </c>
      <c r="H104">
        <v>585</v>
      </c>
      <c r="I104" t="s">
        <v>24</v>
      </c>
      <c r="J104">
        <v>4.14</v>
      </c>
      <c r="K104">
        <v>2421.9</v>
      </c>
      <c r="L104" t="s">
        <v>25</v>
      </c>
      <c r="M104" t="s">
        <v>69</v>
      </c>
      <c r="N104">
        <v>3.4877</v>
      </c>
      <c r="O104" t="s">
        <v>27</v>
      </c>
      <c r="Q104">
        <v>29</v>
      </c>
    </row>
    <row r="105" spans="1:17">
      <c r="A105">
        <v>104</v>
      </c>
      <c r="B105">
        <v>2</v>
      </c>
      <c r="C105">
        <v>20240207</v>
      </c>
      <c r="D105" t="s">
        <v>28</v>
      </c>
      <c r="E105" t="s">
        <v>21</v>
      </c>
      <c r="F105" t="s">
        <v>29</v>
      </c>
      <c r="G105" t="s">
        <v>37</v>
      </c>
      <c r="H105">
        <v>149</v>
      </c>
      <c r="I105" t="s">
        <v>24</v>
      </c>
      <c r="J105">
        <v>5</v>
      </c>
      <c r="K105">
        <v>745</v>
      </c>
      <c r="L105" t="s">
        <v>25</v>
      </c>
      <c r="M105" t="s">
        <v>69</v>
      </c>
      <c r="N105">
        <v>4.9059</v>
      </c>
      <c r="O105" t="s">
        <v>27</v>
      </c>
    </row>
    <row r="106" spans="1:17">
      <c r="A106">
        <v>105</v>
      </c>
      <c r="B106">
        <v>2</v>
      </c>
      <c r="C106">
        <v>20240207</v>
      </c>
      <c r="D106" t="s">
        <v>28</v>
      </c>
      <c r="E106" t="s">
        <v>21</v>
      </c>
      <c r="F106" t="s">
        <v>29</v>
      </c>
      <c r="G106" t="s">
        <v>37</v>
      </c>
      <c r="H106">
        <v>1577</v>
      </c>
      <c r="I106" t="s">
        <v>24</v>
      </c>
      <c r="J106">
        <v>4.14</v>
      </c>
      <c r="K106">
        <v>6528.78</v>
      </c>
      <c r="L106" t="s">
        <v>31</v>
      </c>
      <c r="M106" t="s">
        <v>69</v>
      </c>
      <c r="N106">
        <v>4.0287</v>
      </c>
      <c r="O106" t="s">
        <v>27</v>
      </c>
    </row>
    <row r="107" spans="1:17">
      <c r="A107">
        <v>106</v>
      </c>
      <c r="B107">
        <v>2</v>
      </c>
      <c r="C107">
        <v>20240208</v>
      </c>
      <c r="D107" t="s">
        <v>28</v>
      </c>
      <c r="E107" t="s">
        <v>21</v>
      </c>
      <c r="F107" t="s">
        <v>41</v>
      </c>
      <c r="G107" t="s">
        <v>30</v>
      </c>
      <c r="H107">
        <v>849534</v>
      </c>
      <c r="I107" t="s">
        <v>24</v>
      </c>
      <c r="J107">
        <v>4.14</v>
      </c>
      <c r="K107">
        <v>3517070.76</v>
      </c>
      <c r="L107" t="s">
        <v>25</v>
      </c>
      <c r="M107" t="s">
        <v>70</v>
      </c>
      <c r="N107">
        <v>4.05</v>
      </c>
      <c r="O107" t="s">
        <v>27</v>
      </c>
      <c r="Q107">
        <v>116</v>
      </c>
    </row>
    <row r="108" spans="1:17">
      <c r="A108">
        <v>107</v>
      </c>
      <c r="B108">
        <v>2</v>
      </c>
      <c r="C108">
        <v>20240208</v>
      </c>
      <c r="D108" t="s">
        <v>28</v>
      </c>
      <c r="E108" t="s">
        <v>21</v>
      </c>
      <c r="F108" t="s">
        <v>41</v>
      </c>
      <c r="G108" t="s">
        <v>37</v>
      </c>
      <c r="H108">
        <v>170284</v>
      </c>
      <c r="I108" t="s">
        <v>24</v>
      </c>
      <c r="J108">
        <v>4.14</v>
      </c>
      <c r="K108">
        <v>704975.76</v>
      </c>
      <c r="L108" t="s">
        <v>25</v>
      </c>
      <c r="M108" t="s">
        <v>70</v>
      </c>
      <c r="N108">
        <v>4.05</v>
      </c>
      <c r="O108" t="s">
        <v>27</v>
      </c>
      <c r="Q108">
        <v>29</v>
      </c>
    </row>
    <row r="109" spans="1:17">
      <c r="A109">
        <v>108</v>
      </c>
      <c r="B109">
        <v>2</v>
      </c>
      <c r="C109">
        <v>20240208</v>
      </c>
      <c r="D109" t="s">
        <v>28</v>
      </c>
      <c r="E109" t="s">
        <v>21</v>
      </c>
      <c r="F109" t="s">
        <v>41</v>
      </c>
      <c r="G109" t="s">
        <v>30</v>
      </c>
      <c r="H109">
        <v>203622</v>
      </c>
      <c r="I109" t="s">
        <v>24</v>
      </c>
      <c r="J109">
        <v>4.14</v>
      </c>
      <c r="K109">
        <v>842995.08</v>
      </c>
      <c r="L109" t="s">
        <v>25</v>
      </c>
      <c r="M109" t="s">
        <v>70</v>
      </c>
      <c r="N109">
        <v>4.05</v>
      </c>
      <c r="O109" t="s">
        <v>27</v>
      </c>
      <c r="Q109">
        <v>28</v>
      </c>
    </row>
    <row r="110" spans="1:17">
      <c r="A110">
        <v>109</v>
      </c>
      <c r="B110">
        <v>2</v>
      </c>
      <c r="C110">
        <v>20240208</v>
      </c>
      <c r="D110" t="s">
        <v>28</v>
      </c>
      <c r="E110" t="s">
        <v>21</v>
      </c>
      <c r="F110" t="s">
        <v>41</v>
      </c>
      <c r="G110" t="s">
        <v>37</v>
      </c>
      <c r="H110">
        <v>50793</v>
      </c>
      <c r="I110" t="s">
        <v>24</v>
      </c>
      <c r="J110">
        <v>4.14</v>
      </c>
      <c r="K110">
        <v>210283.02</v>
      </c>
      <c r="L110" t="s">
        <v>25</v>
      </c>
      <c r="M110" t="s">
        <v>70</v>
      </c>
      <c r="N110">
        <v>4.05</v>
      </c>
      <c r="O110" t="s">
        <v>27</v>
      </c>
      <c r="Q110">
        <v>11</v>
      </c>
    </row>
    <row r="111" spans="1:17">
      <c r="A111">
        <v>110</v>
      </c>
      <c r="B111">
        <v>2</v>
      </c>
      <c r="C111">
        <v>20240208</v>
      </c>
      <c r="D111" t="s">
        <v>28</v>
      </c>
      <c r="E111" t="s">
        <v>21</v>
      </c>
      <c r="F111" t="s">
        <v>41</v>
      </c>
      <c r="G111" t="s">
        <v>30</v>
      </c>
      <c r="H111">
        <v>427810</v>
      </c>
      <c r="I111" t="s">
        <v>24</v>
      </c>
      <c r="J111">
        <v>4.14</v>
      </c>
      <c r="K111">
        <v>1771133.4</v>
      </c>
      <c r="L111" t="s">
        <v>31</v>
      </c>
      <c r="M111" t="s">
        <v>70</v>
      </c>
      <c r="N111">
        <v>4.05</v>
      </c>
      <c r="O111" t="s">
        <v>27</v>
      </c>
      <c r="Q111">
        <v>61</v>
      </c>
    </row>
    <row r="112" spans="1:17">
      <c r="A112">
        <v>111</v>
      </c>
      <c r="B112">
        <v>2</v>
      </c>
      <c r="C112">
        <v>20240208</v>
      </c>
      <c r="D112" t="s">
        <v>28</v>
      </c>
      <c r="E112" t="s">
        <v>21</v>
      </c>
      <c r="F112" t="s">
        <v>41</v>
      </c>
      <c r="G112" t="s">
        <v>37</v>
      </c>
      <c r="H112">
        <v>121565</v>
      </c>
      <c r="I112" t="s">
        <v>24</v>
      </c>
      <c r="J112">
        <v>4.14</v>
      </c>
      <c r="K112">
        <v>503279.1</v>
      </c>
      <c r="L112" t="s">
        <v>31</v>
      </c>
      <c r="M112" t="s">
        <v>70</v>
      </c>
      <c r="N112">
        <v>4.05</v>
      </c>
      <c r="O112" t="s">
        <v>27</v>
      </c>
      <c r="Q112">
        <v>21</v>
      </c>
    </row>
    <row r="113" spans="1:17">
      <c r="A113">
        <v>112</v>
      </c>
      <c r="B113">
        <v>2</v>
      </c>
      <c r="C113">
        <v>20240208</v>
      </c>
      <c r="D113" t="s">
        <v>28</v>
      </c>
      <c r="E113" t="s">
        <v>21</v>
      </c>
      <c r="F113" t="s">
        <v>41</v>
      </c>
      <c r="G113" t="s">
        <v>30</v>
      </c>
      <c r="H113">
        <v>3960</v>
      </c>
      <c r="I113" t="s">
        <v>24</v>
      </c>
      <c r="J113">
        <v>4.14</v>
      </c>
      <c r="K113">
        <v>16394.4</v>
      </c>
      <c r="L113" t="s">
        <v>25</v>
      </c>
      <c r="M113" t="s">
        <v>70</v>
      </c>
      <c r="N113">
        <v>4.05</v>
      </c>
      <c r="O113" t="s">
        <v>27</v>
      </c>
      <c r="Q113">
        <v>1</v>
      </c>
    </row>
    <row r="114" spans="1:17">
      <c r="A114">
        <v>113</v>
      </c>
      <c r="B114">
        <v>2</v>
      </c>
      <c r="C114">
        <v>20240208</v>
      </c>
      <c r="D114" t="s">
        <v>20</v>
      </c>
      <c r="E114" t="s">
        <v>21</v>
      </c>
      <c r="F114" t="s">
        <v>41</v>
      </c>
      <c r="G114" t="s">
        <v>30</v>
      </c>
      <c r="H114">
        <v>114083</v>
      </c>
      <c r="I114" t="s">
        <v>24</v>
      </c>
      <c r="J114">
        <v>4.14</v>
      </c>
      <c r="K114">
        <v>472303.62</v>
      </c>
      <c r="L114" t="s">
        <v>31</v>
      </c>
      <c r="M114" t="s">
        <v>71</v>
      </c>
      <c r="N114">
        <v>4.05</v>
      </c>
      <c r="O114" t="s">
        <v>27</v>
      </c>
      <c r="Q114">
        <v>12</v>
      </c>
    </row>
    <row r="115" spans="1:17">
      <c r="A115">
        <v>114</v>
      </c>
      <c r="B115">
        <v>2</v>
      </c>
      <c r="C115">
        <v>20240208</v>
      </c>
      <c r="D115" t="s">
        <v>20</v>
      </c>
      <c r="E115" t="s">
        <v>21</v>
      </c>
      <c r="F115" t="s">
        <v>41</v>
      </c>
      <c r="G115" t="s">
        <v>30</v>
      </c>
      <c r="H115">
        <v>45721</v>
      </c>
      <c r="I115" t="s">
        <v>24</v>
      </c>
      <c r="J115">
        <v>4.14</v>
      </c>
      <c r="K115">
        <v>189284.94</v>
      </c>
      <c r="L115" t="s">
        <v>25</v>
      </c>
      <c r="M115" t="s">
        <v>71</v>
      </c>
      <c r="N115">
        <v>4.05</v>
      </c>
      <c r="O115" t="s">
        <v>27</v>
      </c>
      <c r="Q115">
        <v>13</v>
      </c>
    </row>
    <row r="116" spans="1:17">
      <c r="A116">
        <v>115</v>
      </c>
      <c r="B116">
        <v>2</v>
      </c>
      <c r="C116">
        <v>20240208</v>
      </c>
      <c r="D116" t="s">
        <v>28</v>
      </c>
      <c r="E116" t="s">
        <v>21</v>
      </c>
      <c r="F116" t="s">
        <v>29</v>
      </c>
      <c r="G116" t="s">
        <v>37</v>
      </c>
      <c r="H116">
        <v>952</v>
      </c>
      <c r="I116" t="s">
        <v>24</v>
      </c>
      <c r="J116">
        <v>4.14</v>
      </c>
      <c r="K116">
        <v>3941.28</v>
      </c>
      <c r="L116" t="s">
        <v>25</v>
      </c>
      <c r="N116">
        <v>3.4864</v>
      </c>
      <c r="O116" t="s">
        <v>43</v>
      </c>
      <c r="Q116">
        <v>27</v>
      </c>
    </row>
    <row r="117" spans="1:17">
      <c r="A117">
        <v>116</v>
      </c>
      <c r="B117">
        <v>2</v>
      </c>
      <c r="C117">
        <v>20240208</v>
      </c>
      <c r="D117" t="s">
        <v>28</v>
      </c>
      <c r="E117" t="s">
        <v>21</v>
      </c>
      <c r="F117" t="s">
        <v>29</v>
      </c>
      <c r="G117" t="s">
        <v>37</v>
      </c>
      <c r="H117">
        <v>9</v>
      </c>
      <c r="I117" t="s">
        <v>24</v>
      </c>
      <c r="J117">
        <v>5.04</v>
      </c>
      <c r="K117">
        <v>45.36</v>
      </c>
      <c r="L117" t="s">
        <v>25</v>
      </c>
      <c r="N117">
        <v>4.9411</v>
      </c>
      <c r="O117" t="s">
        <v>43</v>
      </c>
    </row>
    <row r="118" spans="1:17">
      <c r="A118">
        <v>117</v>
      </c>
      <c r="B118">
        <v>2</v>
      </c>
      <c r="C118">
        <v>20240208</v>
      </c>
      <c r="D118" t="s">
        <v>28</v>
      </c>
      <c r="E118" t="s">
        <v>21</v>
      </c>
      <c r="F118" t="s">
        <v>29</v>
      </c>
      <c r="G118" t="s">
        <v>37</v>
      </c>
      <c r="H118">
        <v>5085</v>
      </c>
      <c r="I118" t="s">
        <v>24</v>
      </c>
      <c r="J118">
        <v>4.14</v>
      </c>
      <c r="K118">
        <v>21051.9</v>
      </c>
      <c r="L118" t="s">
        <v>31</v>
      </c>
      <c r="N118">
        <v>4.0287</v>
      </c>
      <c r="O118" t="s">
        <v>43</v>
      </c>
    </row>
    <row r="119" spans="1:17">
      <c r="A119">
        <v>118</v>
      </c>
      <c r="B119">
        <v>2</v>
      </c>
      <c r="C119">
        <v>20240208</v>
      </c>
      <c r="D119" t="s">
        <v>28</v>
      </c>
      <c r="E119" t="s">
        <v>21</v>
      </c>
      <c r="F119" t="s">
        <v>29</v>
      </c>
      <c r="G119" t="s">
        <v>30</v>
      </c>
      <c r="H119">
        <v>62762</v>
      </c>
      <c r="I119" t="s">
        <v>24</v>
      </c>
      <c r="J119">
        <v>4.14</v>
      </c>
      <c r="K119">
        <v>259834.68</v>
      </c>
      <c r="L119" t="s">
        <v>25</v>
      </c>
      <c r="N119">
        <v>3.4831</v>
      </c>
      <c r="O119" t="s">
        <v>43</v>
      </c>
      <c r="Q119">
        <v>75</v>
      </c>
    </row>
    <row r="120" spans="1:17">
      <c r="A120">
        <v>119</v>
      </c>
      <c r="B120">
        <v>2</v>
      </c>
      <c r="C120">
        <v>20240208</v>
      </c>
      <c r="D120" t="s">
        <v>28</v>
      </c>
      <c r="E120" t="s">
        <v>21</v>
      </c>
      <c r="F120" t="s">
        <v>29</v>
      </c>
      <c r="G120" t="s">
        <v>30</v>
      </c>
      <c r="H120">
        <v>4837</v>
      </c>
      <c r="I120" t="s">
        <v>24</v>
      </c>
      <c r="J120">
        <v>4.96</v>
      </c>
      <c r="K120">
        <v>23991.52</v>
      </c>
      <c r="L120" t="s">
        <v>25</v>
      </c>
      <c r="N120">
        <v>4.8635</v>
      </c>
      <c r="O120" t="s">
        <v>43</v>
      </c>
    </row>
    <row r="121" spans="1:17">
      <c r="A121">
        <v>120</v>
      </c>
      <c r="B121">
        <v>2</v>
      </c>
      <c r="C121">
        <v>20240208</v>
      </c>
      <c r="D121" t="s">
        <v>28</v>
      </c>
      <c r="E121" t="s">
        <v>21</v>
      </c>
      <c r="F121" t="s">
        <v>29</v>
      </c>
      <c r="G121" t="s">
        <v>30</v>
      </c>
      <c r="H121">
        <v>4103</v>
      </c>
      <c r="I121" t="s">
        <v>24</v>
      </c>
      <c r="J121">
        <v>4.14</v>
      </c>
      <c r="K121">
        <v>16986.42</v>
      </c>
      <c r="L121" t="s">
        <v>31</v>
      </c>
      <c r="N121">
        <v>4.0233</v>
      </c>
      <c r="O121" t="s">
        <v>43</v>
      </c>
    </row>
    <row r="122" spans="1:17">
      <c r="A122">
        <v>121</v>
      </c>
      <c r="B122">
        <v>2</v>
      </c>
      <c r="C122">
        <v>20240208</v>
      </c>
      <c r="D122" t="s">
        <v>28</v>
      </c>
      <c r="E122" t="s">
        <v>21</v>
      </c>
      <c r="F122" t="s">
        <v>29</v>
      </c>
      <c r="G122" t="s">
        <v>30</v>
      </c>
      <c r="H122">
        <v>268</v>
      </c>
      <c r="I122" t="s">
        <v>24</v>
      </c>
      <c r="J122">
        <v>4.98</v>
      </c>
      <c r="K122">
        <v>1334.64</v>
      </c>
      <c r="L122" t="s">
        <v>36</v>
      </c>
      <c r="N122">
        <v>4.8838</v>
      </c>
      <c r="O122" t="s">
        <v>43</v>
      </c>
    </row>
    <row r="123" spans="1:17">
      <c r="A123">
        <v>122</v>
      </c>
      <c r="B123">
        <v>2</v>
      </c>
      <c r="C123">
        <v>20240212</v>
      </c>
      <c r="D123" t="s">
        <v>20</v>
      </c>
      <c r="E123" t="s">
        <v>21</v>
      </c>
      <c r="F123" t="s">
        <v>22</v>
      </c>
      <c r="G123" t="s">
        <v>50</v>
      </c>
      <c r="H123">
        <v>445461</v>
      </c>
      <c r="I123" t="s">
        <v>24</v>
      </c>
      <c r="J123">
        <v>5.53</v>
      </c>
      <c r="K123">
        <v>2463399.33</v>
      </c>
      <c r="L123" t="s">
        <v>25</v>
      </c>
      <c r="N123">
        <v>4.5368</v>
      </c>
      <c r="O123" t="s">
        <v>43</v>
      </c>
      <c r="Q123">
        <v>22</v>
      </c>
    </row>
    <row r="124" spans="1:17">
      <c r="A124">
        <v>123</v>
      </c>
      <c r="B124">
        <v>2</v>
      </c>
      <c r="C124">
        <v>20240212</v>
      </c>
      <c r="D124" t="s">
        <v>20</v>
      </c>
      <c r="E124" t="s">
        <v>21</v>
      </c>
      <c r="F124" t="s">
        <v>22</v>
      </c>
      <c r="G124" t="s">
        <v>42</v>
      </c>
      <c r="H124">
        <v>276311</v>
      </c>
      <c r="I124" t="s">
        <v>24</v>
      </c>
      <c r="J124">
        <v>4.48</v>
      </c>
      <c r="K124">
        <v>1237873.28</v>
      </c>
      <c r="L124" t="s">
        <v>25</v>
      </c>
      <c r="N124">
        <v>3.8273</v>
      </c>
      <c r="O124" t="s">
        <v>43</v>
      </c>
      <c r="Q124">
        <v>18</v>
      </c>
    </row>
    <row r="125" spans="1:17">
      <c r="A125">
        <v>124</v>
      </c>
      <c r="B125">
        <v>2</v>
      </c>
      <c r="C125">
        <v>20240212</v>
      </c>
      <c r="D125" t="s">
        <v>20</v>
      </c>
      <c r="E125" t="s">
        <v>21</v>
      </c>
      <c r="F125" t="s">
        <v>22</v>
      </c>
      <c r="G125" t="s">
        <v>42</v>
      </c>
      <c r="H125">
        <v>23674</v>
      </c>
      <c r="I125" t="s">
        <v>24</v>
      </c>
      <c r="J125">
        <v>4.48</v>
      </c>
      <c r="K125">
        <v>106059.52</v>
      </c>
      <c r="L125" t="s">
        <v>25</v>
      </c>
      <c r="N125">
        <v>3.8273</v>
      </c>
      <c r="O125" t="s">
        <v>43</v>
      </c>
      <c r="Q125">
        <v>4</v>
      </c>
    </row>
    <row r="126" spans="1:17">
      <c r="A126">
        <v>125</v>
      </c>
      <c r="B126">
        <v>2</v>
      </c>
      <c r="C126">
        <v>20240212</v>
      </c>
      <c r="D126" t="s">
        <v>20</v>
      </c>
      <c r="E126" t="s">
        <v>21</v>
      </c>
      <c r="F126" t="s">
        <v>22</v>
      </c>
      <c r="G126" t="s">
        <v>42</v>
      </c>
      <c r="H126">
        <v>240326</v>
      </c>
      <c r="I126" t="s">
        <v>24</v>
      </c>
      <c r="J126">
        <v>5.53</v>
      </c>
      <c r="K126">
        <v>1329002.78</v>
      </c>
      <c r="L126" t="s">
        <v>31</v>
      </c>
      <c r="N126">
        <v>3.896</v>
      </c>
      <c r="O126" t="s">
        <v>43</v>
      </c>
      <c r="Q126">
        <v>17</v>
      </c>
    </row>
    <row r="127" spans="1:17">
      <c r="A127">
        <v>126</v>
      </c>
      <c r="B127">
        <v>2</v>
      </c>
      <c r="C127">
        <v>20240212</v>
      </c>
      <c r="D127" t="s">
        <v>20</v>
      </c>
      <c r="E127" t="s">
        <v>21</v>
      </c>
      <c r="F127" t="s">
        <v>22</v>
      </c>
      <c r="G127" t="s">
        <v>50</v>
      </c>
      <c r="H127">
        <v>35375</v>
      </c>
      <c r="I127" t="s">
        <v>24</v>
      </c>
      <c r="J127">
        <v>4.9</v>
      </c>
      <c r="K127">
        <v>173337.5</v>
      </c>
      <c r="L127" t="s">
        <v>36</v>
      </c>
      <c r="N127">
        <v>4.806</v>
      </c>
      <c r="O127" t="s">
        <v>43</v>
      </c>
      <c r="Q127">
        <v>4</v>
      </c>
    </row>
    <row r="128" spans="1:17">
      <c r="A128">
        <v>127</v>
      </c>
      <c r="B128">
        <v>2</v>
      </c>
      <c r="C128">
        <v>20240212</v>
      </c>
      <c r="D128" t="s">
        <v>28</v>
      </c>
      <c r="E128" t="s">
        <v>21</v>
      </c>
      <c r="F128" t="s">
        <v>22</v>
      </c>
      <c r="G128" t="s">
        <v>50</v>
      </c>
      <c r="H128">
        <v>88254</v>
      </c>
      <c r="I128" t="s">
        <v>24</v>
      </c>
      <c r="J128">
        <v>5.72</v>
      </c>
      <c r="K128">
        <v>504812.88</v>
      </c>
      <c r="L128" t="s">
        <v>25</v>
      </c>
      <c r="N128">
        <v>5.606</v>
      </c>
      <c r="O128" t="s">
        <v>43</v>
      </c>
      <c r="Q128">
        <v>6</v>
      </c>
    </row>
    <row r="129" spans="1:19">
      <c r="A129">
        <v>128</v>
      </c>
      <c r="B129">
        <v>2</v>
      </c>
      <c r="C129">
        <v>20240212</v>
      </c>
      <c r="D129" t="s">
        <v>20</v>
      </c>
      <c r="E129" t="s">
        <v>21</v>
      </c>
      <c r="F129" t="s">
        <v>59</v>
      </c>
      <c r="G129" t="s">
        <v>42</v>
      </c>
      <c r="H129">
        <v>405964</v>
      </c>
      <c r="I129" t="s">
        <v>24</v>
      </c>
      <c r="J129">
        <v>4.58</v>
      </c>
      <c r="K129">
        <v>1859315.12</v>
      </c>
      <c r="L129" t="s">
        <v>25</v>
      </c>
      <c r="N129">
        <v>4.492</v>
      </c>
      <c r="O129" t="s">
        <v>43</v>
      </c>
      <c r="Q129">
        <v>26</v>
      </c>
    </row>
    <row r="130" spans="1:19">
      <c r="A130">
        <v>129</v>
      </c>
      <c r="B130">
        <v>2</v>
      </c>
      <c r="C130">
        <v>20240212</v>
      </c>
      <c r="D130" t="s">
        <v>20</v>
      </c>
      <c r="E130" t="s">
        <v>21</v>
      </c>
      <c r="F130" t="s">
        <v>59</v>
      </c>
      <c r="G130" t="s">
        <v>42</v>
      </c>
      <c r="H130">
        <v>580231</v>
      </c>
      <c r="I130" t="s">
        <v>24</v>
      </c>
      <c r="J130">
        <v>4.58</v>
      </c>
      <c r="K130">
        <v>2657457.98</v>
      </c>
      <c r="L130" t="s">
        <v>25</v>
      </c>
      <c r="N130">
        <v>4.4912</v>
      </c>
      <c r="O130" t="s">
        <v>43</v>
      </c>
      <c r="Q130">
        <v>38</v>
      </c>
    </row>
    <row r="131" spans="1:19">
      <c r="A131">
        <v>130</v>
      </c>
      <c r="B131">
        <v>2</v>
      </c>
      <c r="C131">
        <v>20240212</v>
      </c>
      <c r="D131" t="s">
        <v>20</v>
      </c>
      <c r="E131" t="s">
        <v>21</v>
      </c>
      <c r="F131" t="s">
        <v>32</v>
      </c>
      <c r="G131" t="s">
        <v>72</v>
      </c>
      <c r="H131">
        <v>22349</v>
      </c>
      <c r="I131" t="s">
        <v>24</v>
      </c>
      <c r="J131">
        <v>3.53</v>
      </c>
      <c r="K131">
        <v>78891.97</v>
      </c>
      <c r="L131" t="s">
        <v>31</v>
      </c>
      <c r="N131">
        <v>3.2196</v>
      </c>
      <c r="O131" t="s">
        <v>43</v>
      </c>
      <c r="Q131">
        <v>4</v>
      </c>
    </row>
    <row r="132" spans="1:19">
      <c r="A132">
        <v>131</v>
      </c>
      <c r="B132">
        <v>2</v>
      </c>
      <c r="C132">
        <v>20240212</v>
      </c>
      <c r="D132" t="s">
        <v>20</v>
      </c>
      <c r="E132" t="s">
        <v>21</v>
      </c>
      <c r="F132" t="s">
        <v>32</v>
      </c>
      <c r="G132" t="s">
        <v>50</v>
      </c>
      <c r="H132">
        <v>655306</v>
      </c>
      <c r="I132" t="s">
        <v>24</v>
      </c>
      <c r="J132">
        <v>5.53</v>
      </c>
      <c r="K132">
        <v>3623842.18</v>
      </c>
      <c r="L132" t="s">
        <v>25</v>
      </c>
      <c r="N132">
        <v>4.7765</v>
      </c>
      <c r="O132" t="s">
        <v>43</v>
      </c>
      <c r="Q132">
        <v>53</v>
      </c>
    </row>
    <row r="133" spans="1:19">
      <c r="A133">
        <v>132</v>
      </c>
      <c r="B133">
        <v>2</v>
      </c>
      <c r="C133">
        <v>20240212</v>
      </c>
      <c r="D133" t="s">
        <v>20</v>
      </c>
      <c r="E133" t="s">
        <v>21</v>
      </c>
      <c r="F133" t="s">
        <v>32</v>
      </c>
      <c r="G133" t="s">
        <v>42</v>
      </c>
      <c r="H133">
        <v>124985</v>
      </c>
      <c r="I133" t="s">
        <v>24</v>
      </c>
      <c r="J133">
        <v>4.48</v>
      </c>
      <c r="K133">
        <v>559932.8</v>
      </c>
      <c r="L133" t="s">
        <v>25</v>
      </c>
      <c r="N133">
        <v>3.8117</v>
      </c>
      <c r="O133" t="s">
        <v>43</v>
      </c>
      <c r="Q133">
        <v>10</v>
      </c>
    </row>
    <row r="134" spans="1:19">
      <c r="A134">
        <v>133</v>
      </c>
      <c r="B134">
        <v>2</v>
      </c>
      <c r="C134">
        <v>20240212</v>
      </c>
      <c r="D134" t="s">
        <v>28</v>
      </c>
      <c r="E134" t="s">
        <v>21</v>
      </c>
      <c r="F134" t="s">
        <v>32</v>
      </c>
      <c r="G134" t="s">
        <v>50</v>
      </c>
      <c r="H134">
        <v>1353570</v>
      </c>
      <c r="I134" t="s">
        <v>24</v>
      </c>
      <c r="J134">
        <v>5.53</v>
      </c>
      <c r="K134">
        <v>7485242.1</v>
      </c>
      <c r="L134" t="s">
        <v>25</v>
      </c>
      <c r="N134">
        <v>4.7765</v>
      </c>
      <c r="O134" t="s">
        <v>43</v>
      </c>
      <c r="Q134">
        <v>137</v>
      </c>
    </row>
    <row r="135" spans="1:19">
      <c r="A135">
        <v>134</v>
      </c>
      <c r="B135">
        <v>2</v>
      </c>
      <c r="C135">
        <v>20240215</v>
      </c>
      <c r="D135" t="s">
        <v>20</v>
      </c>
      <c r="E135" t="s">
        <v>21</v>
      </c>
      <c r="F135" t="s">
        <v>41</v>
      </c>
      <c r="G135" t="s">
        <v>42</v>
      </c>
      <c r="H135">
        <v>131762</v>
      </c>
      <c r="I135" t="s">
        <v>24</v>
      </c>
      <c r="J135">
        <v>5.63</v>
      </c>
      <c r="K135">
        <v>741820.06</v>
      </c>
      <c r="L135" t="s">
        <v>25</v>
      </c>
      <c r="M135" t="s">
        <v>73</v>
      </c>
      <c r="N135">
        <v>5.516</v>
      </c>
      <c r="O135" t="s">
        <v>27</v>
      </c>
      <c r="Q135">
        <v>14</v>
      </c>
      <c r="S135">
        <v>4.48</v>
      </c>
    </row>
    <row r="136" spans="1:19">
      <c r="A136">
        <v>135</v>
      </c>
      <c r="B136">
        <v>2</v>
      </c>
      <c r="C136">
        <v>20240215</v>
      </c>
      <c r="D136" t="s">
        <v>20</v>
      </c>
      <c r="E136" t="s">
        <v>21</v>
      </c>
      <c r="F136" t="s">
        <v>41</v>
      </c>
      <c r="G136" t="s">
        <v>42</v>
      </c>
      <c r="H136">
        <v>60657</v>
      </c>
      <c r="I136" t="s">
        <v>24</v>
      </c>
      <c r="J136">
        <v>5.63</v>
      </c>
      <c r="K136">
        <v>341498.91</v>
      </c>
      <c r="L136" t="s">
        <v>25</v>
      </c>
      <c r="M136" t="s">
        <v>73</v>
      </c>
      <c r="N136">
        <v>5.516</v>
      </c>
      <c r="O136" t="s">
        <v>27</v>
      </c>
      <c r="Q136">
        <v>8</v>
      </c>
      <c r="S136">
        <v>4.48</v>
      </c>
    </row>
    <row r="137" spans="1:19">
      <c r="A137">
        <v>136</v>
      </c>
      <c r="B137">
        <v>2</v>
      </c>
      <c r="C137">
        <v>20240215</v>
      </c>
      <c r="D137" t="s">
        <v>20</v>
      </c>
      <c r="E137" t="s">
        <v>21</v>
      </c>
      <c r="F137" t="s">
        <v>41</v>
      </c>
      <c r="G137" t="s">
        <v>42</v>
      </c>
      <c r="H137">
        <v>51909</v>
      </c>
      <c r="I137" t="s">
        <v>24</v>
      </c>
      <c r="J137">
        <v>5.63</v>
      </c>
      <c r="K137">
        <v>292247.67</v>
      </c>
      <c r="L137" t="s">
        <v>31</v>
      </c>
      <c r="M137" t="s">
        <v>73</v>
      </c>
      <c r="N137">
        <v>5.516</v>
      </c>
      <c r="O137" t="s">
        <v>27</v>
      </c>
      <c r="Q137">
        <v>7</v>
      </c>
      <c r="S137">
        <v>4.48</v>
      </c>
    </row>
    <row r="138" spans="1:19">
      <c r="A138">
        <v>137</v>
      </c>
      <c r="B138">
        <v>2</v>
      </c>
      <c r="C138">
        <v>20240215</v>
      </c>
      <c r="D138" t="s">
        <v>20</v>
      </c>
      <c r="E138" t="s">
        <v>21</v>
      </c>
      <c r="F138" t="s">
        <v>41</v>
      </c>
      <c r="G138" t="s">
        <v>50</v>
      </c>
      <c r="H138">
        <v>117845</v>
      </c>
      <c r="I138" t="s">
        <v>24</v>
      </c>
      <c r="J138">
        <v>5.53</v>
      </c>
      <c r="K138">
        <v>651682.85</v>
      </c>
      <c r="L138" t="s">
        <v>25</v>
      </c>
      <c r="M138" t="s">
        <v>73</v>
      </c>
      <c r="N138">
        <v>4.816</v>
      </c>
      <c r="O138" t="s">
        <v>27</v>
      </c>
      <c r="Q138">
        <v>20</v>
      </c>
    </row>
    <row r="139" spans="1:19">
      <c r="A139">
        <v>138</v>
      </c>
      <c r="B139">
        <v>2</v>
      </c>
      <c r="C139">
        <v>20240215</v>
      </c>
      <c r="D139" t="s">
        <v>20</v>
      </c>
      <c r="E139" t="s">
        <v>21</v>
      </c>
      <c r="F139" t="s">
        <v>41</v>
      </c>
      <c r="G139" t="s">
        <v>42</v>
      </c>
      <c r="H139">
        <v>29135</v>
      </c>
      <c r="I139" t="s">
        <v>24</v>
      </c>
      <c r="J139">
        <v>5.63</v>
      </c>
      <c r="K139">
        <v>164030.05</v>
      </c>
      <c r="L139" t="s">
        <v>31</v>
      </c>
      <c r="M139" t="s">
        <v>73</v>
      </c>
      <c r="N139">
        <v>5.516</v>
      </c>
      <c r="O139" t="s">
        <v>27</v>
      </c>
      <c r="Q139">
        <v>6</v>
      </c>
      <c r="S139">
        <v>4.48</v>
      </c>
    </row>
    <row r="140" spans="1:19">
      <c r="A140">
        <v>139</v>
      </c>
      <c r="B140">
        <v>2</v>
      </c>
      <c r="C140">
        <v>20240215</v>
      </c>
      <c r="D140" t="s">
        <v>20</v>
      </c>
      <c r="E140" t="s">
        <v>21</v>
      </c>
      <c r="F140" t="s">
        <v>41</v>
      </c>
      <c r="G140" t="s">
        <v>74</v>
      </c>
      <c r="H140">
        <v>61928</v>
      </c>
      <c r="I140" t="s">
        <v>24</v>
      </c>
      <c r="J140">
        <v>5.63</v>
      </c>
      <c r="K140">
        <v>348654.64</v>
      </c>
      <c r="L140" t="s">
        <v>31</v>
      </c>
      <c r="M140" t="s">
        <v>73</v>
      </c>
      <c r="N140">
        <v>5.516</v>
      </c>
      <c r="O140" t="s">
        <v>27</v>
      </c>
      <c r="Q140">
        <v>8</v>
      </c>
      <c r="S140">
        <v>4.48</v>
      </c>
    </row>
    <row r="141" spans="1:19">
      <c r="A141">
        <v>140</v>
      </c>
      <c r="B141">
        <v>2</v>
      </c>
      <c r="C141">
        <v>20240215</v>
      </c>
      <c r="D141" t="s">
        <v>28</v>
      </c>
      <c r="E141" t="s">
        <v>21</v>
      </c>
      <c r="F141" t="s">
        <v>41</v>
      </c>
      <c r="G141" t="s">
        <v>50</v>
      </c>
      <c r="H141">
        <v>151098</v>
      </c>
      <c r="I141" t="s">
        <v>24</v>
      </c>
      <c r="J141">
        <v>5.53</v>
      </c>
      <c r="K141">
        <v>835571.94</v>
      </c>
      <c r="L141" t="s">
        <v>25</v>
      </c>
      <c r="M141" t="s">
        <v>75</v>
      </c>
      <c r="N141">
        <v>4.816</v>
      </c>
      <c r="O141" t="s">
        <v>27</v>
      </c>
      <c r="Q141">
        <v>16</v>
      </c>
      <c r="S141">
        <v>4.48</v>
      </c>
    </row>
    <row r="142" spans="1:19">
      <c r="A142">
        <v>141</v>
      </c>
      <c r="B142">
        <v>2</v>
      </c>
      <c r="C142">
        <v>20240215</v>
      </c>
      <c r="D142" t="s">
        <v>28</v>
      </c>
      <c r="E142" t="s">
        <v>21</v>
      </c>
      <c r="F142" t="s">
        <v>29</v>
      </c>
      <c r="G142" t="s">
        <v>30</v>
      </c>
      <c r="H142">
        <v>348296</v>
      </c>
      <c r="I142" t="s">
        <v>24</v>
      </c>
      <c r="J142">
        <v>4.14</v>
      </c>
      <c r="K142">
        <v>1441945.44</v>
      </c>
      <c r="L142" t="s">
        <v>31</v>
      </c>
      <c r="M142" t="s">
        <v>76</v>
      </c>
      <c r="N142">
        <v>4.02862</v>
      </c>
      <c r="O142" t="s">
        <v>27</v>
      </c>
      <c r="Q142">
        <v>88</v>
      </c>
      <c r="S142">
        <v>4.48</v>
      </c>
    </row>
    <row r="143" spans="1:19">
      <c r="A143">
        <v>142</v>
      </c>
      <c r="B143">
        <v>2</v>
      </c>
      <c r="C143">
        <v>20240215</v>
      </c>
      <c r="D143" t="s">
        <v>28</v>
      </c>
      <c r="E143" t="s">
        <v>21</v>
      </c>
      <c r="F143" t="s">
        <v>29</v>
      </c>
      <c r="G143" t="s">
        <v>37</v>
      </c>
      <c r="H143">
        <v>108540</v>
      </c>
      <c r="I143" t="s">
        <v>24</v>
      </c>
      <c r="J143">
        <v>4.14</v>
      </c>
      <c r="K143">
        <v>449355.6</v>
      </c>
      <c r="L143" t="s">
        <v>31</v>
      </c>
      <c r="M143" t="s">
        <v>77</v>
      </c>
      <c r="N143">
        <v>4.04226</v>
      </c>
      <c r="O143" t="s">
        <v>27</v>
      </c>
      <c r="Q143">
        <v>15</v>
      </c>
      <c r="S143">
        <v>4.48</v>
      </c>
    </row>
    <row r="144" spans="1:19">
      <c r="A144">
        <v>143</v>
      </c>
      <c r="B144">
        <v>2</v>
      </c>
      <c r="C144">
        <v>20240215</v>
      </c>
      <c r="D144" t="s">
        <v>20</v>
      </c>
      <c r="E144" t="s">
        <v>21</v>
      </c>
      <c r="F144" t="s">
        <v>29</v>
      </c>
      <c r="G144" t="s">
        <v>42</v>
      </c>
      <c r="H144">
        <v>5762</v>
      </c>
      <c r="I144" t="s">
        <v>24</v>
      </c>
      <c r="J144">
        <v>4.48</v>
      </c>
      <c r="K144">
        <v>25813.76</v>
      </c>
      <c r="L144" t="s">
        <v>25</v>
      </c>
      <c r="M144" t="s">
        <v>78</v>
      </c>
      <c r="N144">
        <v>3.8022</v>
      </c>
      <c r="O144" t="s">
        <v>27</v>
      </c>
      <c r="Q144">
        <v>724</v>
      </c>
      <c r="S144">
        <v>4.48</v>
      </c>
    </row>
    <row r="145" spans="1:19">
      <c r="A145">
        <v>144</v>
      </c>
      <c r="B145">
        <v>2</v>
      </c>
      <c r="C145">
        <v>20240215</v>
      </c>
      <c r="D145" t="s">
        <v>20</v>
      </c>
      <c r="E145" t="s">
        <v>21</v>
      </c>
      <c r="F145" t="s">
        <v>29</v>
      </c>
      <c r="G145" t="s">
        <v>42</v>
      </c>
      <c r="H145">
        <v>1477</v>
      </c>
      <c r="I145" t="s">
        <v>24</v>
      </c>
      <c r="J145">
        <v>5.75</v>
      </c>
      <c r="K145">
        <v>8492.75</v>
      </c>
      <c r="L145" t="s">
        <v>25</v>
      </c>
      <c r="M145" t="s">
        <v>78</v>
      </c>
      <c r="N145">
        <v>5.6384</v>
      </c>
      <c r="O145" t="s">
        <v>27</v>
      </c>
      <c r="S145">
        <v>4.48</v>
      </c>
    </row>
    <row r="146" spans="1:19">
      <c r="A146">
        <v>145</v>
      </c>
      <c r="B146">
        <v>2</v>
      </c>
      <c r="C146">
        <v>20240215</v>
      </c>
      <c r="D146" t="s">
        <v>20</v>
      </c>
      <c r="E146" t="s">
        <v>21</v>
      </c>
      <c r="F146" t="s">
        <v>29</v>
      </c>
      <c r="G146" t="s">
        <v>42</v>
      </c>
      <c r="H146">
        <v>4457688</v>
      </c>
      <c r="I146" t="s">
        <v>24</v>
      </c>
      <c r="J146">
        <v>5.08</v>
      </c>
      <c r="K146">
        <v>22645055.04</v>
      </c>
      <c r="L146" t="s">
        <v>31</v>
      </c>
      <c r="M146" t="s">
        <v>78</v>
      </c>
      <c r="N146">
        <v>4.9842</v>
      </c>
      <c r="O146" t="s">
        <v>27</v>
      </c>
      <c r="S146">
        <v>4.48</v>
      </c>
    </row>
    <row r="147" spans="1:19">
      <c r="A147">
        <v>146</v>
      </c>
      <c r="B147">
        <v>2</v>
      </c>
      <c r="C147">
        <v>20240215</v>
      </c>
      <c r="D147" t="s">
        <v>20</v>
      </c>
      <c r="E147" t="s">
        <v>21</v>
      </c>
      <c r="F147" t="s">
        <v>22</v>
      </c>
      <c r="G147" t="s">
        <v>42</v>
      </c>
      <c r="H147">
        <v>570387</v>
      </c>
      <c r="I147" t="s">
        <v>24</v>
      </c>
      <c r="J147">
        <v>4.48</v>
      </c>
      <c r="K147">
        <v>2555333.76</v>
      </c>
      <c r="L147" t="s">
        <v>31</v>
      </c>
      <c r="M147" t="s">
        <v>79</v>
      </c>
      <c r="N147">
        <v>3.9533</v>
      </c>
      <c r="O147" t="s">
        <v>27</v>
      </c>
      <c r="Q147">
        <v>23</v>
      </c>
      <c r="S147">
        <v>4.48</v>
      </c>
    </row>
    <row r="148" spans="1:19">
      <c r="A148">
        <v>147</v>
      </c>
      <c r="B148">
        <v>2</v>
      </c>
      <c r="C148">
        <v>20240215</v>
      </c>
      <c r="D148" t="s">
        <v>20</v>
      </c>
      <c r="E148" t="s">
        <v>21</v>
      </c>
      <c r="F148" t="s">
        <v>22</v>
      </c>
      <c r="G148" t="s">
        <v>42</v>
      </c>
      <c r="H148">
        <v>564074</v>
      </c>
      <c r="I148" t="s">
        <v>24</v>
      </c>
      <c r="J148">
        <v>4.48</v>
      </c>
      <c r="K148">
        <v>2527051.52</v>
      </c>
      <c r="L148" t="s">
        <v>25</v>
      </c>
      <c r="M148" t="s">
        <v>79</v>
      </c>
      <c r="N148">
        <v>3.8</v>
      </c>
      <c r="O148" t="s">
        <v>27</v>
      </c>
      <c r="Q148">
        <v>23</v>
      </c>
      <c r="S148">
        <v>4.48</v>
      </c>
    </row>
    <row r="149" spans="1:19">
      <c r="A149">
        <v>148</v>
      </c>
      <c r="B149">
        <v>2</v>
      </c>
      <c r="C149">
        <v>20240215</v>
      </c>
      <c r="D149" t="s">
        <v>20</v>
      </c>
      <c r="E149" t="s">
        <v>21</v>
      </c>
      <c r="F149" t="s">
        <v>22</v>
      </c>
      <c r="G149" t="s">
        <v>42</v>
      </c>
      <c r="H149">
        <v>23592</v>
      </c>
      <c r="I149" t="s">
        <v>24</v>
      </c>
      <c r="J149">
        <v>5.72</v>
      </c>
      <c r="K149">
        <v>134946.24</v>
      </c>
      <c r="L149" t="s">
        <v>25</v>
      </c>
      <c r="M149" t="s">
        <v>79</v>
      </c>
      <c r="N149">
        <v>5.606</v>
      </c>
      <c r="O149" t="s">
        <v>27</v>
      </c>
      <c r="Q149">
        <v>2</v>
      </c>
      <c r="S149">
        <v>4.48</v>
      </c>
    </row>
    <row r="150" spans="1:19">
      <c r="A150">
        <v>149</v>
      </c>
      <c r="B150">
        <v>2</v>
      </c>
      <c r="C150">
        <v>20240215</v>
      </c>
      <c r="D150" t="s">
        <v>20</v>
      </c>
      <c r="E150" t="s">
        <v>21</v>
      </c>
      <c r="F150" t="s">
        <v>32</v>
      </c>
      <c r="G150" t="s">
        <v>42</v>
      </c>
      <c r="H150">
        <v>178212</v>
      </c>
      <c r="I150" t="s">
        <v>24</v>
      </c>
      <c r="J150">
        <v>4.48</v>
      </c>
      <c r="K150">
        <v>798389.76</v>
      </c>
      <c r="L150" t="s">
        <v>25</v>
      </c>
      <c r="M150" t="s">
        <v>80</v>
      </c>
      <c r="N150">
        <v>3.8117</v>
      </c>
      <c r="O150" t="s">
        <v>27</v>
      </c>
      <c r="Q150">
        <v>16</v>
      </c>
      <c r="S150">
        <v>4.48</v>
      </c>
    </row>
    <row r="151" spans="1:19">
      <c r="A151">
        <v>150</v>
      </c>
      <c r="B151">
        <v>2</v>
      </c>
      <c r="C151">
        <v>20240218</v>
      </c>
      <c r="D151" t="s">
        <v>20</v>
      </c>
      <c r="E151" t="s">
        <v>21</v>
      </c>
      <c r="F151" t="s">
        <v>41</v>
      </c>
      <c r="G151" t="s">
        <v>74</v>
      </c>
      <c r="H151">
        <v>52776</v>
      </c>
      <c r="I151" t="s">
        <v>24</v>
      </c>
      <c r="J151">
        <v>5.63</v>
      </c>
      <c r="K151">
        <v>297128.88</v>
      </c>
      <c r="L151" t="s">
        <v>31</v>
      </c>
      <c r="M151" t="s">
        <v>81</v>
      </c>
      <c r="N151">
        <v>5.516</v>
      </c>
      <c r="O151" t="s">
        <v>27</v>
      </c>
      <c r="Q151">
        <v>11</v>
      </c>
    </row>
    <row r="152" spans="1:19">
      <c r="A152">
        <v>151</v>
      </c>
      <c r="B152">
        <v>2</v>
      </c>
      <c r="C152">
        <v>20240218</v>
      </c>
      <c r="D152" t="s">
        <v>20</v>
      </c>
      <c r="E152" t="s">
        <v>21</v>
      </c>
      <c r="F152" t="s">
        <v>41</v>
      </c>
      <c r="G152" t="s">
        <v>42</v>
      </c>
      <c r="H152">
        <v>246693</v>
      </c>
      <c r="I152" t="s">
        <v>24</v>
      </c>
      <c r="J152">
        <v>5.63</v>
      </c>
      <c r="K152">
        <v>1388881.59</v>
      </c>
      <c r="L152" t="s">
        <v>31</v>
      </c>
      <c r="M152" t="s">
        <v>81</v>
      </c>
      <c r="N152">
        <v>5.516</v>
      </c>
      <c r="O152" t="s">
        <v>27</v>
      </c>
      <c r="Q152">
        <v>25</v>
      </c>
    </row>
    <row r="153" spans="1:19">
      <c r="A153">
        <v>152</v>
      </c>
      <c r="B153">
        <v>2</v>
      </c>
      <c r="C153">
        <v>20240218</v>
      </c>
      <c r="D153" t="s">
        <v>20</v>
      </c>
      <c r="E153" t="s">
        <v>21</v>
      </c>
      <c r="F153" t="s">
        <v>41</v>
      </c>
      <c r="G153" t="s">
        <v>74</v>
      </c>
      <c r="H153">
        <v>170457</v>
      </c>
      <c r="I153" t="s">
        <v>24</v>
      </c>
      <c r="J153">
        <v>5.63</v>
      </c>
      <c r="K153">
        <v>959672.91</v>
      </c>
      <c r="L153" t="s">
        <v>25</v>
      </c>
      <c r="M153" t="s">
        <v>81</v>
      </c>
      <c r="N153">
        <v>5.516</v>
      </c>
      <c r="O153" t="s">
        <v>27</v>
      </c>
      <c r="Q153">
        <v>19</v>
      </c>
    </row>
    <row r="154" spans="1:19">
      <c r="A154">
        <v>153</v>
      </c>
      <c r="B154">
        <v>2</v>
      </c>
      <c r="C154">
        <v>20240218</v>
      </c>
      <c r="D154" t="s">
        <v>20</v>
      </c>
      <c r="E154" t="s">
        <v>21</v>
      </c>
      <c r="F154" t="s">
        <v>41</v>
      </c>
      <c r="G154" t="s">
        <v>42</v>
      </c>
      <c r="H154">
        <v>76849</v>
      </c>
      <c r="I154" t="s">
        <v>24</v>
      </c>
      <c r="J154">
        <v>5.63</v>
      </c>
      <c r="K154">
        <v>432659.87</v>
      </c>
      <c r="L154" t="s">
        <v>25</v>
      </c>
      <c r="M154" t="s">
        <v>81</v>
      </c>
      <c r="N154">
        <v>5.516</v>
      </c>
      <c r="O154" t="s">
        <v>27</v>
      </c>
      <c r="Q154">
        <v>8</v>
      </c>
    </row>
    <row r="155" spans="1:19">
      <c r="A155">
        <v>154</v>
      </c>
      <c r="B155">
        <v>2</v>
      </c>
      <c r="C155">
        <v>20240218</v>
      </c>
      <c r="D155" t="s">
        <v>20</v>
      </c>
      <c r="E155" t="s">
        <v>21</v>
      </c>
      <c r="F155" t="s">
        <v>41</v>
      </c>
      <c r="G155" t="s">
        <v>42</v>
      </c>
      <c r="H155">
        <v>11553</v>
      </c>
      <c r="I155" t="s">
        <v>24</v>
      </c>
      <c r="J155">
        <v>5.63</v>
      </c>
      <c r="K155">
        <v>65043.39</v>
      </c>
      <c r="L155" t="s">
        <v>25</v>
      </c>
      <c r="M155" t="s">
        <v>81</v>
      </c>
      <c r="N155">
        <v>5.516</v>
      </c>
      <c r="O155" t="s">
        <v>27</v>
      </c>
      <c r="Q155">
        <v>2</v>
      </c>
    </row>
    <row r="156" spans="1:19">
      <c r="A156">
        <v>155</v>
      </c>
      <c r="B156">
        <v>2</v>
      </c>
      <c r="C156">
        <v>20240218</v>
      </c>
      <c r="D156" t="s">
        <v>20</v>
      </c>
      <c r="E156" t="s">
        <v>21</v>
      </c>
      <c r="F156" t="s">
        <v>41</v>
      </c>
      <c r="G156" t="s">
        <v>42</v>
      </c>
      <c r="H156">
        <v>15313</v>
      </c>
      <c r="I156" t="s">
        <v>24</v>
      </c>
      <c r="J156">
        <v>5.63</v>
      </c>
      <c r="K156">
        <v>86212.19</v>
      </c>
      <c r="L156" t="s">
        <v>31</v>
      </c>
      <c r="M156" t="s">
        <v>81</v>
      </c>
      <c r="N156">
        <v>5.516</v>
      </c>
      <c r="O156" t="s">
        <v>27</v>
      </c>
      <c r="Q156">
        <v>2</v>
      </c>
    </row>
    <row r="157" spans="1:19">
      <c r="A157">
        <v>156</v>
      </c>
      <c r="B157">
        <v>2</v>
      </c>
      <c r="C157">
        <v>20240218</v>
      </c>
      <c r="D157" t="s">
        <v>28</v>
      </c>
      <c r="E157" t="s">
        <v>21</v>
      </c>
      <c r="F157" t="s">
        <v>41</v>
      </c>
      <c r="G157" t="s">
        <v>50</v>
      </c>
      <c r="H157">
        <v>1511</v>
      </c>
      <c r="I157" t="s">
        <v>24</v>
      </c>
      <c r="J157">
        <v>5.53</v>
      </c>
      <c r="K157">
        <v>8355.83</v>
      </c>
      <c r="L157" t="s">
        <v>25</v>
      </c>
      <c r="M157" t="s">
        <v>82</v>
      </c>
      <c r="N157">
        <v>4.816</v>
      </c>
      <c r="O157" t="s">
        <v>27</v>
      </c>
      <c r="Q157">
        <v>1</v>
      </c>
    </row>
    <row r="158" spans="1:19">
      <c r="A158">
        <v>157</v>
      </c>
      <c r="B158">
        <v>2</v>
      </c>
      <c r="C158">
        <v>20240218</v>
      </c>
      <c r="D158" t="s">
        <v>20</v>
      </c>
      <c r="E158" t="s">
        <v>21</v>
      </c>
      <c r="F158" t="s">
        <v>41</v>
      </c>
      <c r="G158" t="s">
        <v>42</v>
      </c>
      <c r="H158">
        <v>332017</v>
      </c>
      <c r="I158" t="s">
        <v>24</v>
      </c>
      <c r="J158">
        <v>5.63</v>
      </c>
      <c r="K158">
        <v>1869255.71</v>
      </c>
      <c r="L158" t="s">
        <v>25</v>
      </c>
      <c r="M158" t="s">
        <v>83</v>
      </c>
      <c r="N158">
        <v>5.516</v>
      </c>
      <c r="O158" t="s">
        <v>27</v>
      </c>
      <c r="Q158">
        <v>47</v>
      </c>
    </row>
    <row r="159" spans="1:19">
      <c r="A159">
        <v>158</v>
      </c>
      <c r="B159">
        <v>2</v>
      </c>
      <c r="C159">
        <v>20240218</v>
      </c>
      <c r="D159" t="s">
        <v>20</v>
      </c>
      <c r="E159" t="s">
        <v>21</v>
      </c>
      <c r="F159" t="s">
        <v>41</v>
      </c>
      <c r="G159" t="s">
        <v>74</v>
      </c>
      <c r="H159">
        <v>519403</v>
      </c>
      <c r="I159" t="s">
        <v>24</v>
      </c>
      <c r="J159">
        <v>5.63</v>
      </c>
      <c r="K159">
        <v>2924238.89</v>
      </c>
      <c r="L159" t="s">
        <v>25</v>
      </c>
      <c r="M159" t="s">
        <v>83</v>
      </c>
      <c r="N159">
        <v>5.516</v>
      </c>
      <c r="O159" t="s">
        <v>27</v>
      </c>
      <c r="Q159">
        <v>57</v>
      </c>
    </row>
    <row r="160" spans="1:19">
      <c r="A160">
        <v>159</v>
      </c>
      <c r="B160">
        <v>2</v>
      </c>
      <c r="C160">
        <v>20240218</v>
      </c>
      <c r="D160" t="s">
        <v>20</v>
      </c>
      <c r="E160" t="s">
        <v>21</v>
      </c>
      <c r="F160" t="s">
        <v>41</v>
      </c>
      <c r="G160" t="s">
        <v>42</v>
      </c>
      <c r="H160">
        <v>1149993</v>
      </c>
      <c r="I160" t="s">
        <v>24</v>
      </c>
      <c r="J160">
        <v>5.63</v>
      </c>
      <c r="K160">
        <v>6474460.59</v>
      </c>
      <c r="L160" t="s">
        <v>31</v>
      </c>
      <c r="M160" t="s">
        <v>83</v>
      </c>
      <c r="N160">
        <v>5.516</v>
      </c>
      <c r="O160" t="s">
        <v>27</v>
      </c>
      <c r="Q160">
        <v>96</v>
      </c>
    </row>
    <row r="161" spans="1:17">
      <c r="A161">
        <v>160</v>
      </c>
      <c r="B161">
        <v>2</v>
      </c>
      <c r="C161">
        <v>20240218</v>
      </c>
      <c r="D161" t="s">
        <v>20</v>
      </c>
      <c r="E161" t="s">
        <v>21</v>
      </c>
      <c r="F161" t="s">
        <v>41</v>
      </c>
      <c r="G161" t="s">
        <v>74</v>
      </c>
      <c r="H161">
        <v>479797</v>
      </c>
      <c r="I161" t="s">
        <v>24</v>
      </c>
      <c r="J161">
        <v>5.63</v>
      </c>
      <c r="K161">
        <v>2701257.11</v>
      </c>
      <c r="L161" t="s">
        <v>31</v>
      </c>
      <c r="M161" t="s">
        <v>83</v>
      </c>
      <c r="N161">
        <v>5.516</v>
      </c>
      <c r="O161" t="s">
        <v>27</v>
      </c>
      <c r="Q161">
        <v>41</v>
      </c>
    </row>
    <row r="162" spans="1:17">
      <c r="A162">
        <v>161</v>
      </c>
      <c r="B162">
        <v>2</v>
      </c>
      <c r="C162">
        <v>20240218</v>
      </c>
      <c r="D162" t="s">
        <v>20</v>
      </c>
      <c r="E162" t="s">
        <v>21</v>
      </c>
      <c r="F162" t="s">
        <v>41</v>
      </c>
      <c r="G162" t="s">
        <v>42</v>
      </c>
      <c r="H162">
        <v>16279</v>
      </c>
      <c r="I162" t="s">
        <v>24</v>
      </c>
      <c r="J162">
        <v>5.63</v>
      </c>
      <c r="K162">
        <v>91650.77</v>
      </c>
      <c r="L162" t="s">
        <v>25</v>
      </c>
      <c r="M162" t="s">
        <v>83</v>
      </c>
      <c r="N162">
        <v>5.516</v>
      </c>
      <c r="O162" t="s">
        <v>27</v>
      </c>
      <c r="Q162">
        <v>7</v>
      </c>
    </row>
    <row r="163" spans="1:17">
      <c r="A163">
        <v>162</v>
      </c>
      <c r="B163">
        <v>2</v>
      </c>
      <c r="C163">
        <v>20240218</v>
      </c>
      <c r="D163" t="s">
        <v>20</v>
      </c>
      <c r="E163" t="s">
        <v>21</v>
      </c>
      <c r="F163" t="s">
        <v>41</v>
      </c>
      <c r="G163" t="s">
        <v>42</v>
      </c>
      <c r="H163">
        <v>30575</v>
      </c>
      <c r="I163" t="s">
        <v>24</v>
      </c>
      <c r="J163">
        <v>5.63</v>
      </c>
      <c r="K163">
        <v>172137.25</v>
      </c>
      <c r="L163" t="s">
        <v>31</v>
      </c>
      <c r="M163" t="s">
        <v>83</v>
      </c>
      <c r="N163">
        <v>5.516</v>
      </c>
      <c r="O163" t="s">
        <v>27</v>
      </c>
      <c r="Q163">
        <v>3</v>
      </c>
    </row>
    <row r="164" spans="1:17">
      <c r="A164">
        <v>163</v>
      </c>
      <c r="B164">
        <v>2</v>
      </c>
      <c r="C164">
        <v>20240218</v>
      </c>
      <c r="D164" t="s">
        <v>20</v>
      </c>
      <c r="E164" t="s">
        <v>21</v>
      </c>
      <c r="F164" t="s">
        <v>41</v>
      </c>
      <c r="G164" t="s">
        <v>50</v>
      </c>
      <c r="H164">
        <v>24574</v>
      </c>
      <c r="I164" t="s">
        <v>24</v>
      </c>
      <c r="J164">
        <v>5.53</v>
      </c>
      <c r="K164">
        <v>135894.22</v>
      </c>
      <c r="L164" t="s">
        <v>25</v>
      </c>
      <c r="M164" t="s">
        <v>83</v>
      </c>
      <c r="N164">
        <v>4.816</v>
      </c>
      <c r="O164" t="s">
        <v>27</v>
      </c>
      <c r="Q164">
        <v>9</v>
      </c>
    </row>
    <row r="165" spans="1:17">
      <c r="A165">
        <v>164</v>
      </c>
      <c r="B165">
        <v>2</v>
      </c>
      <c r="C165">
        <v>20240218</v>
      </c>
      <c r="D165" t="s">
        <v>20</v>
      </c>
      <c r="E165" t="s">
        <v>21</v>
      </c>
      <c r="F165" t="s">
        <v>41</v>
      </c>
      <c r="G165" t="s">
        <v>42</v>
      </c>
      <c r="H165">
        <v>51397</v>
      </c>
      <c r="I165" t="s">
        <v>24</v>
      </c>
      <c r="J165">
        <v>5.63</v>
      </c>
      <c r="K165">
        <v>289365.11</v>
      </c>
      <c r="L165" t="s">
        <v>25</v>
      </c>
      <c r="M165" t="s">
        <v>83</v>
      </c>
      <c r="N165">
        <v>5.516</v>
      </c>
      <c r="O165" t="s">
        <v>27</v>
      </c>
      <c r="Q165">
        <v>7</v>
      </c>
    </row>
    <row r="166" spans="1:17">
      <c r="A166">
        <v>165</v>
      </c>
      <c r="B166">
        <v>2</v>
      </c>
      <c r="C166">
        <v>20240218</v>
      </c>
      <c r="D166" t="s">
        <v>20</v>
      </c>
      <c r="E166" t="s">
        <v>21</v>
      </c>
      <c r="F166" t="s">
        <v>41</v>
      </c>
      <c r="G166" t="s">
        <v>74</v>
      </c>
      <c r="H166">
        <v>31635</v>
      </c>
      <c r="I166" t="s">
        <v>24</v>
      </c>
      <c r="J166">
        <v>5.63</v>
      </c>
      <c r="K166">
        <v>178105.05</v>
      </c>
      <c r="L166" t="s">
        <v>25</v>
      </c>
      <c r="M166" t="s">
        <v>83</v>
      </c>
      <c r="N166">
        <v>5.516</v>
      </c>
      <c r="O166" t="s">
        <v>27</v>
      </c>
      <c r="Q166">
        <v>4</v>
      </c>
    </row>
    <row r="167" spans="1:17">
      <c r="A167">
        <v>166</v>
      </c>
      <c r="B167">
        <v>2</v>
      </c>
      <c r="C167">
        <v>20240218</v>
      </c>
      <c r="D167" t="s">
        <v>20</v>
      </c>
      <c r="E167" t="s">
        <v>21</v>
      </c>
      <c r="F167" t="s">
        <v>41</v>
      </c>
      <c r="G167" t="s">
        <v>42</v>
      </c>
      <c r="H167">
        <v>3662</v>
      </c>
      <c r="I167" t="s">
        <v>24</v>
      </c>
      <c r="J167">
        <v>5.63</v>
      </c>
      <c r="K167">
        <v>20617.06</v>
      </c>
      <c r="L167" t="s">
        <v>25</v>
      </c>
      <c r="M167" t="s">
        <v>83</v>
      </c>
      <c r="N167">
        <v>5.516</v>
      </c>
      <c r="O167" t="s">
        <v>27</v>
      </c>
      <c r="Q167">
        <v>2</v>
      </c>
    </row>
    <row r="168" spans="1:17">
      <c r="A168">
        <v>167</v>
      </c>
      <c r="B168">
        <v>2</v>
      </c>
      <c r="C168">
        <v>20240218</v>
      </c>
      <c r="D168" t="s">
        <v>20</v>
      </c>
      <c r="E168" t="s">
        <v>21</v>
      </c>
      <c r="F168" t="s">
        <v>41</v>
      </c>
      <c r="G168" t="s">
        <v>42</v>
      </c>
      <c r="H168">
        <v>192481</v>
      </c>
      <c r="I168" t="s">
        <v>24</v>
      </c>
      <c r="J168">
        <v>5.63</v>
      </c>
      <c r="K168">
        <v>1083668.03</v>
      </c>
      <c r="L168" t="s">
        <v>31</v>
      </c>
      <c r="M168" t="s">
        <v>83</v>
      </c>
      <c r="N168">
        <v>5.516</v>
      </c>
      <c r="O168" t="s">
        <v>27</v>
      </c>
      <c r="Q168">
        <v>20</v>
      </c>
    </row>
    <row r="169" spans="1:17">
      <c r="A169">
        <v>168</v>
      </c>
      <c r="B169">
        <v>2</v>
      </c>
      <c r="C169">
        <v>20240218</v>
      </c>
      <c r="D169" t="s">
        <v>20</v>
      </c>
      <c r="E169" t="s">
        <v>21</v>
      </c>
      <c r="F169" t="s">
        <v>41</v>
      </c>
      <c r="G169" t="s">
        <v>74</v>
      </c>
      <c r="H169">
        <v>25586</v>
      </c>
      <c r="I169" t="s">
        <v>24</v>
      </c>
      <c r="J169">
        <v>5.63</v>
      </c>
      <c r="K169">
        <v>144049.18</v>
      </c>
      <c r="L169" t="s">
        <v>31</v>
      </c>
      <c r="M169" t="s">
        <v>83</v>
      </c>
      <c r="N169">
        <v>5.516</v>
      </c>
      <c r="O169" t="s">
        <v>27</v>
      </c>
      <c r="Q169">
        <v>3</v>
      </c>
    </row>
    <row r="170" spans="1:17">
      <c r="A170">
        <v>169</v>
      </c>
      <c r="B170">
        <v>2</v>
      </c>
      <c r="C170">
        <v>20240218</v>
      </c>
      <c r="D170" t="s">
        <v>20</v>
      </c>
      <c r="E170" t="s">
        <v>21</v>
      </c>
      <c r="F170" t="s">
        <v>41</v>
      </c>
      <c r="G170" t="s">
        <v>74</v>
      </c>
      <c r="H170">
        <v>82413</v>
      </c>
      <c r="I170" t="s">
        <v>24</v>
      </c>
      <c r="J170">
        <v>5.63</v>
      </c>
      <c r="K170">
        <v>463985.19</v>
      </c>
      <c r="L170" t="s">
        <v>31</v>
      </c>
      <c r="M170" t="s">
        <v>83</v>
      </c>
      <c r="N170">
        <v>5.516</v>
      </c>
      <c r="O170" t="s">
        <v>27</v>
      </c>
      <c r="Q170">
        <v>7</v>
      </c>
    </row>
    <row r="171" spans="1:17">
      <c r="A171">
        <v>170</v>
      </c>
      <c r="B171">
        <v>2</v>
      </c>
      <c r="C171">
        <v>20240218</v>
      </c>
      <c r="D171" t="s">
        <v>20</v>
      </c>
      <c r="E171" t="s">
        <v>21</v>
      </c>
      <c r="F171" t="s">
        <v>41</v>
      </c>
      <c r="G171" t="s">
        <v>74</v>
      </c>
      <c r="H171">
        <v>78759</v>
      </c>
      <c r="I171" t="s">
        <v>24</v>
      </c>
      <c r="J171">
        <v>5.63</v>
      </c>
      <c r="K171">
        <v>443413.17</v>
      </c>
      <c r="L171" t="s">
        <v>25</v>
      </c>
      <c r="M171" t="s">
        <v>83</v>
      </c>
      <c r="N171">
        <v>5.516</v>
      </c>
      <c r="O171" t="s">
        <v>27</v>
      </c>
      <c r="Q171">
        <v>9</v>
      </c>
    </row>
    <row r="172" spans="1:17">
      <c r="A172">
        <v>171</v>
      </c>
      <c r="B172">
        <v>2</v>
      </c>
      <c r="C172">
        <v>20240218</v>
      </c>
      <c r="D172" t="s">
        <v>20</v>
      </c>
      <c r="E172" t="s">
        <v>21</v>
      </c>
      <c r="F172" t="s">
        <v>32</v>
      </c>
      <c r="G172" t="s">
        <v>72</v>
      </c>
      <c r="H172">
        <v>272208</v>
      </c>
      <c r="I172" t="s">
        <v>24</v>
      </c>
      <c r="J172">
        <v>3.53</v>
      </c>
      <c r="K172">
        <v>960894.24</v>
      </c>
      <c r="L172" t="s">
        <v>31</v>
      </c>
      <c r="M172" t="s">
        <v>84</v>
      </c>
      <c r="N172">
        <v>3.2196</v>
      </c>
      <c r="O172" t="s">
        <v>27</v>
      </c>
      <c r="Q172">
        <v>102</v>
      </c>
    </row>
    <row r="173" spans="1:17">
      <c r="A173">
        <v>172</v>
      </c>
      <c r="B173">
        <v>2</v>
      </c>
      <c r="C173">
        <v>20240218</v>
      </c>
      <c r="D173" t="s">
        <v>20</v>
      </c>
      <c r="E173" t="s">
        <v>21</v>
      </c>
      <c r="F173" t="s">
        <v>32</v>
      </c>
      <c r="G173" t="s">
        <v>50</v>
      </c>
      <c r="H173">
        <v>899456</v>
      </c>
      <c r="I173" t="s">
        <v>24</v>
      </c>
      <c r="J173">
        <v>5.53</v>
      </c>
      <c r="K173">
        <v>4973991.68</v>
      </c>
      <c r="L173" t="s">
        <v>25</v>
      </c>
      <c r="M173" t="s">
        <v>84</v>
      </c>
      <c r="N173">
        <v>4.7765</v>
      </c>
      <c r="O173" t="s">
        <v>27</v>
      </c>
      <c r="Q173">
        <v>123</v>
      </c>
    </row>
    <row r="174" spans="1:17">
      <c r="A174">
        <v>173</v>
      </c>
      <c r="B174">
        <v>2</v>
      </c>
      <c r="C174">
        <v>20240218</v>
      </c>
      <c r="D174" t="s">
        <v>20</v>
      </c>
      <c r="E174" t="s">
        <v>21</v>
      </c>
      <c r="F174" t="s">
        <v>32</v>
      </c>
      <c r="G174" t="s">
        <v>50</v>
      </c>
      <c r="H174">
        <v>328509</v>
      </c>
      <c r="I174" t="s">
        <v>24</v>
      </c>
      <c r="J174">
        <v>5.53</v>
      </c>
      <c r="K174">
        <v>1816654.77</v>
      </c>
      <c r="L174" t="s">
        <v>31</v>
      </c>
      <c r="M174" t="s">
        <v>84</v>
      </c>
      <c r="N174">
        <v>4.7765</v>
      </c>
      <c r="O174" t="s">
        <v>27</v>
      </c>
      <c r="Q174">
        <v>31</v>
      </c>
    </row>
    <row r="175" spans="1:17">
      <c r="A175">
        <v>174</v>
      </c>
      <c r="B175">
        <v>2</v>
      </c>
      <c r="C175">
        <v>20240218</v>
      </c>
      <c r="D175" t="s">
        <v>20</v>
      </c>
      <c r="E175" t="s">
        <v>21</v>
      </c>
      <c r="F175" t="s">
        <v>22</v>
      </c>
      <c r="G175" t="s">
        <v>50</v>
      </c>
      <c r="H175">
        <v>76642</v>
      </c>
      <c r="I175" t="s">
        <v>24</v>
      </c>
      <c r="J175">
        <v>5.53</v>
      </c>
      <c r="K175">
        <v>423830.26</v>
      </c>
      <c r="L175" t="s">
        <v>31</v>
      </c>
      <c r="M175" t="s">
        <v>85</v>
      </c>
      <c r="N175">
        <v>4.0393</v>
      </c>
      <c r="O175" t="s">
        <v>27</v>
      </c>
      <c r="Q175">
        <v>4</v>
      </c>
    </row>
    <row r="176" spans="1:17">
      <c r="A176">
        <v>175</v>
      </c>
      <c r="B176">
        <v>2</v>
      </c>
      <c r="C176">
        <v>20240218</v>
      </c>
      <c r="D176" t="s">
        <v>20</v>
      </c>
      <c r="E176" t="s">
        <v>21</v>
      </c>
      <c r="F176" t="s">
        <v>22</v>
      </c>
      <c r="G176" t="s">
        <v>42</v>
      </c>
      <c r="H176">
        <v>556413</v>
      </c>
      <c r="I176" t="s">
        <v>24</v>
      </c>
      <c r="J176">
        <v>4.48</v>
      </c>
      <c r="K176">
        <v>2492730.24</v>
      </c>
      <c r="L176" t="s">
        <v>31</v>
      </c>
      <c r="M176" t="s">
        <v>85</v>
      </c>
      <c r="N176">
        <v>4.232</v>
      </c>
      <c r="O176" t="s">
        <v>27</v>
      </c>
      <c r="Q176">
        <v>30</v>
      </c>
    </row>
    <row r="177" spans="1:19">
      <c r="A177">
        <v>176</v>
      </c>
      <c r="B177">
        <v>2</v>
      </c>
      <c r="C177">
        <v>20240218</v>
      </c>
      <c r="D177" t="s">
        <v>20</v>
      </c>
      <c r="E177" t="s">
        <v>21</v>
      </c>
      <c r="F177" t="s">
        <v>22</v>
      </c>
      <c r="G177" t="s">
        <v>74</v>
      </c>
      <c r="H177">
        <v>363327</v>
      </c>
      <c r="I177" t="s">
        <v>24</v>
      </c>
      <c r="J177">
        <v>5.63</v>
      </c>
      <c r="K177">
        <v>2045531.01</v>
      </c>
      <c r="L177" t="s">
        <v>31</v>
      </c>
      <c r="M177" t="s">
        <v>85</v>
      </c>
      <c r="N177">
        <v>5.516</v>
      </c>
      <c r="O177" t="s">
        <v>27</v>
      </c>
      <c r="Q177">
        <v>14</v>
      </c>
    </row>
    <row r="178" spans="1:19">
      <c r="A178">
        <v>177</v>
      </c>
      <c r="B178">
        <v>2</v>
      </c>
      <c r="C178">
        <v>20240218</v>
      </c>
      <c r="D178" t="s">
        <v>20</v>
      </c>
      <c r="E178" t="s">
        <v>21</v>
      </c>
      <c r="F178" t="s">
        <v>22</v>
      </c>
      <c r="G178" t="s">
        <v>50</v>
      </c>
      <c r="H178">
        <v>374379</v>
      </c>
      <c r="I178" t="s">
        <v>24</v>
      </c>
      <c r="J178">
        <v>5.53</v>
      </c>
      <c r="K178">
        <v>2070315.87</v>
      </c>
      <c r="L178" t="s">
        <v>36</v>
      </c>
      <c r="M178" t="s">
        <v>85</v>
      </c>
      <c r="N178">
        <v>4.794</v>
      </c>
      <c r="O178" t="s">
        <v>27</v>
      </c>
      <c r="Q178">
        <v>21</v>
      </c>
    </row>
    <row r="179" spans="1:19">
      <c r="A179">
        <v>178</v>
      </c>
      <c r="B179">
        <v>2</v>
      </c>
      <c r="C179">
        <v>20240218</v>
      </c>
      <c r="D179" t="s">
        <v>20</v>
      </c>
      <c r="E179" t="s">
        <v>21</v>
      </c>
      <c r="F179" t="s">
        <v>22</v>
      </c>
      <c r="G179" t="s">
        <v>50</v>
      </c>
      <c r="H179">
        <v>261315</v>
      </c>
      <c r="I179" t="s">
        <v>24</v>
      </c>
      <c r="J179">
        <v>5.53</v>
      </c>
      <c r="K179">
        <v>1445071.95</v>
      </c>
      <c r="L179" t="s">
        <v>25</v>
      </c>
      <c r="M179" t="s">
        <v>85</v>
      </c>
      <c r="N179">
        <v>4.5368</v>
      </c>
      <c r="O179" t="s">
        <v>27</v>
      </c>
      <c r="Q179">
        <v>15</v>
      </c>
    </row>
    <row r="180" spans="1:19">
      <c r="A180">
        <v>179</v>
      </c>
      <c r="B180">
        <v>2</v>
      </c>
      <c r="C180">
        <v>20240218</v>
      </c>
      <c r="D180" t="s">
        <v>20</v>
      </c>
      <c r="E180" t="s">
        <v>21</v>
      </c>
      <c r="F180" t="s">
        <v>22</v>
      </c>
      <c r="G180" t="s">
        <v>42</v>
      </c>
      <c r="H180">
        <v>77135</v>
      </c>
      <c r="I180" t="s">
        <v>24</v>
      </c>
      <c r="J180">
        <v>4.48</v>
      </c>
      <c r="K180">
        <v>345564.8</v>
      </c>
      <c r="L180" t="s">
        <v>25</v>
      </c>
      <c r="M180" t="s">
        <v>85</v>
      </c>
      <c r="N180">
        <v>4.604</v>
      </c>
      <c r="O180" t="s">
        <v>27</v>
      </c>
      <c r="Q180">
        <v>3</v>
      </c>
    </row>
    <row r="181" spans="1:19">
      <c r="A181">
        <v>180</v>
      </c>
      <c r="B181">
        <v>2</v>
      </c>
      <c r="C181">
        <v>20240218</v>
      </c>
      <c r="D181" t="s">
        <v>20</v>
      </c>
      <c r="E181" t="s">
        <v>21</v>
      </c>
      <c r="F181" t="s">
        <v>22</v>
      </c>
      <c r="G181" t="s">
        <v>42</v>
      </c>
      <c r="H181">
        <v>326072</v>
      </c>
      <c r="I181" t="s">
        <v>24</v>
      </c>
      <c r="J181">
        <v>4.48</v>
      </c>
      <c r="K181">
        <v>1460802.56</v>
      </c>
      <c r="L181" t="s">
        <v>25</v>
      </c>
      <c r="M181" t="s">
        <v>85</v>
      </c>
      <c r="N181">
        <v>4.604</v>
      </c>
      <c r="O181" t="s">
        <v>27</v>
      </c>
      <c r="Q181">
        <v>15</v>
      </c>
    </row>
    <row r="182" spans="1:19">
      <c r="A182">
        <v>181</v>
      </c>
      <c r="B182">
        <v>2</v>
      </c>
      <c r="C182">
        <v>20240218</v>
      </c>
      <c r="D182" t="s">
        <v>20</v>
      </c>
      <c r="E182" t="s">
        <v>21</v>
      </c>
      <c r="F182" t="s">
        <v>22</v>
      </c>
      <c r="G182" t="s">
        <v>42</v>
      </c>
      <c r="H182">
        <v>524277</v>
      </c>
      <c r="I182" t="s">
        <v>24</v>
      </c>
      <c r="J182">
        <v>4.48</v>
      </c>
      <c r="K182">
        <v>2348760.96</v>
      </c>
      <c r="L182" t="s">
        <v>25</v>
      </c>
      <c r="M182" t="s">
        <v>85</v>
      </c>
      <c r="N182">
        <v>3.8</v>
      </c>
      <c r="O182" t="s">
        <v>27</v>
      </c>
      <c r="Q182">
        <v>30</v>
      </c>
    </row>
    <row r="183" spans="1:19">
      <c r="A183">
        <v>182</v>
      </c>
      <c r="B183">
        <v>2</v>
      </c>
      <c r="C183">
        <v>20240218</v>
      </c>
      <c r="D183" t="s">
        <v>20</v>
      </c>
      <c r="E183" t="s">
        <v>21</v>
      </c>
      <c r="F183" t="s">
        <v>22</v>
      </c>
      <c r="G183" t="s">
        <v>74</v>
      </c>
      <c r="H183">
        <v>418628</v>
      </c>
      <c r="I183" t="s">
        <v>24</v>
      </c>
      <c r="J183">
        <v>4.48</v>
      </c>
      <c r="K183">
        <v>1875453.44</v>
      </c>
      <c r="L183" t="s">
        <v>25</v>
      </c>
      <c r="M183" t="s">
        <v>85</v>
      </c>
      <c r="N183">
        <v>3.8013</v>
      </c>
      <c r="O183" t="s">
        <v>27</v>
      </c>
      <c r="Q183">
        <v>16</v>
      </c>
    </row>
    <row r="184" spans="1:19">
      <c r="A184">
        <v>183</v>
      </c>
      <c r="B184">
        <v>2</v>
      </c>
      <c r="C184">
        <v>20240218</v>
      </c>
      <c r="D184" t="s">
        <v>20</v>
      </c>
      <c r="E184" t="s">
        <v>21</v>
      </c>
      <c r="F184" t="s">
        <v>29</v>
      </c>
      <c r="G184" t="s">
        <v>50</v>
      </c>
      <c r="H184">
        <v>348165</v>
      </c>
      <c r="I184" t="s">
        <v>24</v>
      </c>
      <c r="J184">
        <v>5.7</v>
      </c>
      <c r="K184">
        <v>1984540.5</v>
      </c>
      <c r="L184" t="s">
        <v>31</v>
      </c>
      <c r="M184" t="s">
        <v>86</v>
      </c>
      <c r="N184">
        <v>5.59</v>
      </c>
      <c r="O184" t="s">
        <v>27</v>
      </c>
      <c r="Q184">
        <v>44</v>
      </c>
      <c r="S184">
        <v>5.53</v>
      </c>
    </row>
    <row r="185" spans="1:19">
      <c r="A185">
        <v>184</v>
      </c>
      <c r="B185">
        <v>2</v>
      </c>
      <c r="C185">
        <v>20240218</v>
      </c>
      <c r="D185" t="s">
        <v>20</v>
      </c>
      <c r="E185" t="s">
        <v>21</v>
      </c>
      <c r="F185" t="s">
        <v>29</v>
      </c>
      <c r="G185" t="s">
        <v>42</v>
      </c>
      <c r="H185">
        <v>222130</v>
      </c>
      <c r="I185" t="s">
        <v>24</v>
      </c>
      <c r="J185">
        <v>5.7</v>
      </c>
      <c r="K185">
        <v>1266141</v>
      </c>
      <c r="L185" t="s">
        <v>31</v>
      </c>
      <c r="M185" t="s">
        <v>86</v>
      </c>
      <c r="N185">
        <v>5.59</v>
      </c>
      <c r="O185" t="s">
        <v>27</v>
      </c>
      <c r="Q185">
        <v>43</v>
      </c>
      <c r="S185">
        <v>4.48</v>
      </c>
    </row>
    <row r="186" spans="1:19">
      <c r="A186">
        <v>185</v>
      </c>
      <c r="B186">
        <v>2</v>
      </c>
      <c r="C186">
        <v>20240218</v>
      </c>
      <c r="D186" t="s">
        <v>20</v>
      </c>
      <c r="E186" t="s">
        <v>21</v>
      </c>
      <c r="F186" t="s">
        <v>29</v>
      </c>
      <c r="G186" t="s">
        <v>42</v>
      </c>
      <c r="H186">
        <v>276837</v>
      </c>
      <c r="I186" t="s">
        <v>24</v>
      </c>
      <c r="J186">
        <v>5.7</v>
      </c>
      <c r="K186">
        <v>1577970.9</v>
      </c>
      <c r="L186" t="s">
        <v>31</v>
      </c>
      <c r="M186" t="s">
        <v>86</v>
      </c>
      <c r="N186">
        <v>5.59</v>
      </c>
      <c r="O186" t="s">
        <v>27</v>
      </c>
      <c r="Q186">
        <v>45</v>
      </c>
      <c r="S186">
        <v>4.48</v>
      </c>
    </row>
    <row r="187" spans="1:19">
      <c r="A187">
        <v>186</v>
      </c>
      <c r="B187">
        <v>2</v>
      </c>
      <c r="C187">
        <v>20240218</v>
      </c>
      <c r="D187" t="s">
        <v>20</v>
      </c>
      <c r="E187" t="s">
        <v>21</v>
      </c>
      <c r="F187" t="s">
        <v>29</v>
      </c>
      <c r="G187" t="s">
        <v>74</v>
      </c>
      <c r="H187">
        <v>37497</v>
      </c>
      <c r="I187" t="s">
        <v>24</v>
      </c>
      <c r="J187">
        <v>5.63</v>
      </c>
      <c r="K187">
        <v>211108.11</v>
      </c>
      <c r="L187" t="s">
        <v>25</v>
      </c>
      <c r="M187" t="s">
        <v>86</v>
      </c>
      <c r="N187">
        <v>5.52</v>
      </c>
      <c r="O187" t="s">
        <v>27</v>
      </c>
      <c r="Q187">
        <v>39</v>
      </c>
      <c r="S187">
        <v>4.48</v>
      </c>
    </row>
    <row r="188" spans="1:19">
      <c r="A188">
        <v>187</v>
      </c>
      <c r="B188">
        <v>2</v>
      </c>
      <c r="C188">
        <v>20240218</v>
      </c>
      <c r="D188" t="s">
        <v>20</v>
      </c>
      <c r="E188" t="s">
        <v>21</v>
      </c>
      <c r="F188" t="s">
        <v>29</v>
      </c>
      <c r="G188" t="s">
        <v>74</v>
      </c>
      <c r="H188">
        <v>43020</v>
      </c>
      <c r="I188" t="s">
        <v>24</v>
      </c>
      <c r="J188">
        <v>5.63</v>
      </c>
      <c r="K188">
        <v>242202.6</v>
      </c>
      <c r="L188" t="s">
        <v>31</v>
      </c>
      <c r="M188" t="s">
        <v>86</v>
      </c>
      <c r="N188">
        <v>5.52</v>
      </c>
      <c r="O188" t="s">
        <v>27</v>
      </c>
      <c r="Q188">
        <v>45</v>
      </c>
      <c r="S188">
        <v>4.48</v>
      </c>
    </row>
    <row r="189" spans="1:19">
      <c r="A189">
        <v>188</v>
      </c>
      <c r="B189">
        <v>2</v>
      </c>
      <c r="C189">
        <v>20240218</v>
      </c>
      <c r="D189" t="s">
        <v>20</v>
      </c>
      <c r="E189" t="s">
        <v>21</v>
      </c>
      <c r="F189" t="s">
        <v>29</v>
      </c>
      <c r="G189" t="s">
        <v>50</v>
      </c>
      <c r="H189">
        <v>9799</v>
      </c>
      <c r="I189" t="s">
        <v>24</v>
      </c>
      <c r="J189">
        <v>5.7</v>
      </c>
      <c r="K189">
        <v>55854.3</v>
      </c>
      <c r="L189" t="s">
        <v>25</v>
      </c>
      <c r="M189" t="s">
        <v>86</v>
      </c>
      <c r="N189">
        <v>5.59</v>
      </c>
      <c r="O189" t="s">
        <v>27</v>
      </c>
      <c r="Q189">
        <v>16</v>
      </c>
      <c r="S189">
        <v>5.53</v>
      </c>
    </row>
    <row r="190" spans="1:19">
      <c r="A190">
        <v>189</v>
      </c>
      <c r="B190">
        <v>2</v>
      </c>
      <c r="C190">
        <v>20240218</v>
      </c>
      <c r="D190" t="s">
        <v>20</v>
      </c>
      <c r="E190" t="s">
        <v>21</v>
      </c>
      <c r="F190" t="s">
        <v>29</v>
      </c>
      <c r="G190" t="s">
        <v>42</v>
      </c>
      <c r="H190">
        <v>50</v>
      </c>
      <c r="I190" t="s">
        <v>24</v>
      </c>
      <c r="J190">
        <v>5.7</v>
      </c>
      <c r="K190">
        <v>285</v>
      </c>
      <c r="L190" t="s">
        <v>25</v>
      </c>
      <c r="M190" t="s">
        <v>86</v>
      </c>
      <c r="N190">
        <v>5.59</v>
      </c>
      <c r="O190" t="s">
        <v>27</v>
      </c>
      <c r="Q190">
        <v>1</v>
      </c>
      <c r="S190">
        <v>4.48</v>
      </c>
    </row>
    <row r="191" spans="1:19">
      <c r="A191">
        <v>190</v>
      </c>
      <c r="B191">
        <v>2</v>
      </c>
      <c r="C191">
        <v>20240218</v>
      </c>
      <c r="D191" t="s">
        <v>20</v>
      </c>
      <c r="E191" t="s">
        <v>21</v>
      </c>
      <c r="F191" t="s">
        <v>29</v>
      </c>
      <c r="G191" t="s">
        <v>42</v>
      </c>
      <c r="H191">
        <v>245</v>
      </c>
      <c r="I191" t="s">
        <v>24</v>
      </c>
      <c r="J191">
        <v>5.7</v>
      </c>
      <c r="K191">
        <v>1396.5</v>
      </c>
      <c r="L191" t="s">
        <v>31</v>
      </c>
      <c r="M191" t="s">
        <v>86</v>
      </c>
      <c r="N191">
        <v>5.59</v>
      </c>
      <c r="O191" t="s">
        <v>27</v>
      </c>
      <c r="Q191">
        <v>1</v>
      </c>
      <c r="S191">
        <v>4.48</v>
      </c>
    </row>
    <row r="192" spans="1:19">
      <c r="A192">
        <v>191</v>
      </c>
      <c r="B192">
        <v>2</v>
      </c>
      <c r="C192">
        <v>20240218</v>
      </c>
      <c r="D192" t="s">
        <v>20</v>
      </c>
      <c r="E192" t="s">
        <v>21</v>
      </c>
      <c r="F192" t="s">
        <v>29</v>
      </c>
      <c r="G192" t="s">
        <v>74</v>
      </c>
      <c r="H192">
        <v>550</v>
      </c>
      <c r="I192" t="s">
        <v>24</v>
      </c>
      <c r="J192">
        <v>5.63</v>
      </c>
      <c r="K192">
        <v>3096.5</v>
      </c>
      <c r="L192" t="s">
        <v>31</v>
      </c>
      <c r="M192" t="s">
        <v>86</v>
      </c>
      <c r="N192">
        <v>5.52</v>
      </c>
      <c r="O192" t="s">
        <v>27</v>
      </c>
      <c r="Q192">
        <v>6</v>
      </c>
      <c r="S192">
        <v>4.48</v>
      </c>
    </row>
    <row r="193" spans="1:19">
      <c r="A193">
        <v>192</v>
      </c>
      <c r="B193">
        <v>2</v>
      </c>
      <c r="C193">
        <v>20240218</v>
      </c>
      <c r="D193" t="s">
        <v>20</v>
      </c>
      <c r="E193" t="s">
        <v>21</v>
      </c>
      <c r="F193" t="s">
        <v>29</v>
      </c>
      <c r="G193" t="s">
        <v>42</v>
      </c>
      <c r="H193">
        <v>64997</v>
      </c>
      <c r="I193" t="s">
        <v>24</v>
      </c>
      <c r="J193">
        <v>5.7</v>
      </c>
      <c r="K193">
        <v>370482.9</v>
      </c>
      <c r="L193" t="s">
        <v>31</v>
      </c>
      <c r="M193" t="s">
        <v>86</v>
      </c>
      <c r="N193">
        <v>5.59</v>
      </c>
      <c r="O193" t="s">
        <v>27</v>
      </c>
      <c r="Q193">
        <v>11</v>
      </c>
      <c r="S193">
        <v>4.48</v>
      </c>
    </row>
    <row r="194" spans="1:19">
      <c r="A194">
        <v>193</v>
      </c>
      <c r="B194">
        <v>2</v>
      </c>
      <c r="C194">
        <v>20240218</v>
      </c>
      <c r="D194" t="s">
        <v>20</v>
      </c>
      <c r="E194" t="s">
        <v>21</v>
      </c>
      <c r="F194" t="s">
        <v>29</v>
      </c>
      <c r="G194" t="s">
        <v>74</v>
      </c>
      <c r="H194">
        <v>149870</v>
      </c>
      <c r="I194" t="s">
        <v>24</v>
      </c>
      <c r="J194">
        <v>5.63</v>
      </c>
      <c r="K194">
        <v>843768.1</v>
      </c>
      <c r="L194" t="s">
        <v>25</v>
      </c>
      <c r="M194" t="s">
        <v>86</v>
      </c>
      <c r="N194">
        <v>5.52</v>
      </c>
      <c r="O194" t="s">
        <v>27</v>
      </c>
      <c r="Q194">
        <v>20</v>
      </c>
      <c r="S194">
        <v>4.48</v>
      </c>
    </row>
    <row r="195" spans="1:19">
      <c r="A195">
        <v>194</v>
      </c>
      <c r="B195">
        <v>2</v>
      </c>
      <c r="C195">
        <v>20240218</v>
      </c>
      <c r="D195" t="s">
        <v>20</v>
      </c>
      <c r="E195" t="s">
        <v>21</v>
      </c>
      <c r="F195" t="s">
        <v>29</v>
      </c>
      <c r="G195" t="s">
        <v>74</v>
      </c>
      <c r="H195">
        <v>784410</v>
      </c>
      <c r="I195" t="s">
        <v>24</v>
      </c>
      <c r="J195">
        <v>5.63</v>
      </c>
      <c r="K195">
        <v>4416228.3</v>
      </c>
      <c r="L195" t="s">
        <v>25</v>
      </c>
      <c r="M195" t="s">
        <v>86</v>
      </c>
      <c r="N195">
        <v>5.52</v>
      </c>
      <c r="O195" t="s">
        <v>27</v>
      </c>
      <c r="Q195">
        <v>75</v>
      </c>
      <c r="S195">
        <v>4.48</v>
      </c>
    </row>
    <row r="196" spans="1:19">
      <c r="A196">
        <v>195</v>
      </c>
      <c r="B196">
        <v>2</v>
      </c>
      <c r="C196">
        <v>20240218</v>
      </c>
      <c r="D196" t="s">
        <v>20</v>
      </c>
      <c r="E196" t="s">
        <v>21</v>
      </c>
      <c r="F196" t="s">
        <v>29</v>
      </c>
      <c r="G196" t="s">
        <v>74</v>
      </c>
      <c r="H196">
        <v>777696</v>
      </c>
      <c r="I196" t="s">
        <v>24</v>
      </c>
      <c r="J196">
        <v>5.63</v>
      </c>
      <c r="K196">
        <v>4378428.48</v>
      </c>
      <c r="L196" t="s">
        <v>31</v>
      </c>
      <c r="M196" t="s">
        <v>86</v>
      </c>
      <c r="N196">
        <v>5.52</v>
      </c>
      <c r="O196" t="s">
        <v>27</v>
      </c>
      <c r="Q196">
        <v>76</v>
      </c>
      <c r="S196">
        <v>4.48</v>
      </c>
    </row>
    <row r="197" spans="1:19">
      <c r="A197">
        <v>196</v>
      </c>
      <c r="B197">
        <v>2</v>
      </c>
      <c r="C197">
        <v>20240218</v>
      </c>
      <c r="D197" t="s">
        <v>20</v>
      </c>
      <c r="E197" t="s">
        <v>21</v>
      </c>
      <c r="F197" t="s">
        <v>29</v>
      </c>
      <c r="G197" t="s">
        <v>74</v>
      </c>
      <c r="H197">
        <v>25467</v>
      </c>
      <c r="I197" t="s">
        <v>24</v>
      </c>
      <c r="J197">
        <v>5.63</v>
      </c>
      <c r="K197">
        <v>143379.21</v>
      </c>
      <c r="L197" t="s">
        <v>25</v>
      </c>
      <c r="M197" t="s">
        <v>86</v>
      </c>
      <c r="N197">
        <v>5.52</v>
      </c>
      <c r="O197" t="s">
        <v>27</v>
      </c>
      <c r="Q197">
        <v>3</v>
      </c>
      <c r="S197">
        <v>4.48</v>
      </c>
    </row>
    <row r="198" spans="1:19">
      <c r="A198">
        <v>197</v>
      </c>
      <c r="B198">
        <v>2</v>
      </c>
      <c r="C198">
        <v>20240218</v>
      </c>
      <c r="D198" t="s">
        <v>20</v>
      </c>
      <c r="E198" t="s">
        <v>21</v>
      </c>
      <c r="F198" t="s">
        <v>29</v>
      </c>
      <c r="G198" t="s">
        <v>74</v>
      </c>
      <c r="H198">
        <v>113959</v>
      </c>
      <c r="I198" t="s">
        <v>24</v>
      </c>
      <c r="J198">
        <v>5.63</v>
      </c>
      <c r="K198">
        <v>641589.17</v>
      </c>
      <c r="L198" t="s">
        <v>31</v>
      </c>
      <c r="M198" t="s">
        <v>86</v>
      </c>
      <c r="N198">
        <v>5.52</v>
      </c>
      <c r="O198" t="s">
        <v>27</v>
      </c>
      <c r="Q198">
        <v>11</v>
      </c>
      <c r="S198">
        <v>4.48</v>
      </c>
    </row>
    <row r="199" spans="1:19">
      <c r="A199">
        <v>198</v>
      </c>
      <c r="B199">
        <v>2</v>
      </c>
      <c r="C199">
        <v>20240218</v>
      </c>
      <c r="D199" t="s">
        <v>20</v>
      </c>
      <c r="E199" t="s">
        <v>21</v>
      </c>
      <c r="F199" t="s">
        <v>29</v>
      </c>
      <c r="G199" t="s">
        <v>50</v>
      </c>
      <c r="H199">
        <v>114794</v>
      </c>
      <c r="I199" t="s">
        <v>24</v>
      </c>
      <c r="J199">
        <v>5.7</v>
      </c>
      <c r="K199">
        <v>654325.8</v>
      </c>
      <c r="L199" t="s">
        <v>31</v>
      </c>
      <c r="M199" t="s">
        <v>86</v>
      </c>
      <c r="N199">
        <v>5.59</v>
      </c>
      <c r="O199" t="s">
        <v>27</v>
      </c>
      <c r="Q199">
        <v>14</v>
      </c>
      <c r="S199">
        <v>5.53</v>
      </c>
    </row>
    <row r="200" spans="1:19">
      <c r="A200">
        <v>199</v>
      </c>
      <c r="B200">
        <v>2</v>
      </c>
      <c r="C200">
        <v>20240218</v>
      </c>
      <c r="D200" t="s">
        <v>20</v>
      </c>
      <c r="E200" t="s">
        <v>21</v>
      </c>
      <c r="F200" t="s">
        <v>29</v>
      </c>
      <c r="G200" t="s">
        <v>42</v>
      </c>
      <c r="H200">
        <v>521790</v>
      </c>
      <c r="I200" t="s">
        <v>24</v>
      </c>
      <c r="J200">
        <v>5.7</v>
      </c>
      <c r="K200">
        <v>2974203</v>
      </c>
      <c r="L200" t="s">
        <v>31</v>
      </c>
      <c r="M200" t="s">
        <v>86</v>
      </c>
      <c r="N200">
        <v>5.59</v>
      </c>
      <c r="O200" t="s">
        <v>27</v>
      </c>
      <c r="Q200">
        <v>57</v>
      </c>
      <c r="S200">
        <v>4.48</v>
      </c>
    </row>
    <row r="201" spans="1:19">
      <c r="A201">
        <v>200</v>
      </c>
      <c r="B201">
        <v>2</v>
      </c>
      <c r="C201">
        <v>20240218</v>
      </c>
      <c r="D201" t="s">
        <v>20</v>
      </c>
      <c r="E201" t="s">
        <v>21</v>
      </c>
      <c r="F201" t="s">
        <v>29</v>
      </c>
      <c r="G201" t="s">
        <v>74</v>
      </c>
      <c r="H201">
        <v>18049</v>
      </c>
      <c r="I201" t="s">
        <v>24</v>
      </c>
      <c r="J201">
        <v>5.63</v>
      </c>
      <c r="K201">
        <v>101615.87</v>
      </c>
      <c r="L201" t="s">
        <v>31</v>
      </c>
      <c r="M201" t="s">
        <v>86</v>
      </c>
      <c r="N201">
        <v>5.52</v>
      </c>
      <c r="O201" t="s">
        <v>27</v>
      </c>
      <c r="Q201">
        <v>2</v>
      </c>
      <c r="S201">
        <v>4.48</v>
      </c>
    </row>
    <row r="202" spans="1:19">
      <c r="A202">
        <v>201</v>
      </c>
      <c r="B202">
        <v>2</v>
      </c>
      <c r="C202">
        <v>20240219</v>
      </c>
      <c r="D202" t="s">
        <v>20</v>
      </c>
      <c r="E202" t="s">
        <v>21</v>
      </c>
      <c r="F202" t="s">
        <v>59</v>
      </c>
      <c r="G202" t="s">
        <v>42</v>
      </c>
      <c r="H202">
        <v>364952</v>
      </c>
      <c r="I202" t="s">
        <v>24</v>
      </c>
      <c r="J202">
        <v>4.48</v>
      </c>
      <c r="K202">
        <v>1634984.96</v>
      </c>
      <c r="L202" t="s">
        <v>25</v>
      </c>
      <c r="M202" t="s">
        <v>87</v>
      </c>
      <c r="N202">
        <v>4.0421</v>
      </c>
      <c r="O202" t="s">
        <v>27</v>
      </c>
      <c r="Q202">
        <v>66</v>
      </c>
    </row>
    <row r="203" spans="1:19">
      <c r="A203">
        <v>202</v>
      </c>
      <c r="B203">
        <v>2</v>
      </c>
      <c r="C203">
        <v>20240219</v>
      </c>
      <c r="D203" t="s">
        <v>20</v>
      </c>
      <c r="E203" t="s">
        <v>21</v>
      </c>
      <c r="F203" t="s">
        <v>59</v>
      </c>
      <c r="G203" t="s">
        <v>74</v>
      </c>
      <c r="H203">
        <v>680400</v>
      </c>
      <c r="I203" t="s">
        <v>24</v>
      </c>
      <c r="J203">
        <v>4.48</v>
      </c>
      <c r="K203">
        <v>3048192</v>
      </c>
      <c r="L203" t="s">
        <v>25</v>
      </c>
      <c r="M203" t="s">
        <v>87</v>
      </c>
      <c r="N203">
        <v>4.0421</v>
      </c>
      <c r="O203" t="s">
        <v>27</v>
      </c>
    </row>
    <row r="204" spans="1:19">
      <c r="A204">
        <v>203</v>
      </c>
      <c r="B204">
        <v>2</v>
      </c>
      <c r="C204">
        <v>20240219</v>
      </c>
      <c r="D204" t="s">
        <v>20</v>
      </c>
      <c r="E204" t="s">
        <v>21</v>
      </c>
      <c r="F204" t="s">
        <v>41</v>
      </c>
      <c r="G204" t="s">
        <v>42</v>
      </c>
      <c r="H204">
        <v>361360</v>
      </c>
      <c r="I204" t="s">
        <v>24</v>
      </c>
      <c r="J204">
        <v>5.63</v>
      </c>
      <c r="K204">
        <v>2034456.8</v>
      </c>
      <c r="L204" t="s">
        <v>31</v>
      </c>
      <c r="N204">
        <v>5.516</v>
      </c>
      <c r="O204" t="s">
        <v>43</v>
      </c>
      <c r="Q204">
        <v>41</v>
      </c>
    </row>
    <row r="205" spans="1:19">
      <c r="A205">
        <v>204</v>
      </c>
      <c r="B205">
        <v>2</v>
      </c>
      <c r="C205">
        <v>20240219</v>
      </c>
      <c r="D205" t="s">
        <v>20</v>
      </c>
      <c r="E205" t="s">
        <v>21</v>
      </c>
      <c r="F205" t="s">
        <v>41</v>
      </c>
      <c r="G205" t="s">
        <v>74</v>
      </c>
      <c r="H205">
        <v>134976</v>
      </c>
      <c r="I205" t="s">
        <v>24</v>
      </c>
      <c r="J205">
        <v>5.63</v>
      </c>
      <c r="K205">
        <v>759914.88</v>
      </c>
      <c r="L205" t="s">
        <v>31</v>
      </c>
      <c r="N205">
        <v>5.516</v>
      </c>
      <c r="O205" t="s">
        <v>43</v>
      </c>
      <c r="Q205">
        <v>14</v>
      </c>
    </row>
    <row r="206" spans="1:19">
      <c r="A206">
        <v>205</v>
      </c>
      <c r="B206">
        <v>2</v>
      </c>
      <c r="C206">
        <v>20240219</v>
      </c>
      <c r="D206" t="s">
        <v>20</v>
      </c>
      <c r="E206" t="s">
        <v>21</v>
      </c>
      <c r="F206" t="s">
        <v>41</v>
      </c>
      <c r="G206" t="s">
        <v>74</v>
      </c>
      <c r="H206">
        <v>214255</v>
      </c>
      <c r="I206" t="s">
        <v>24</v>
      </c>
      <c r="J206">
        <v>5.63</v>
      </c>
      <c r="K206">
        <v>1206255.65</v>
      </c>
      <c r="L206" t="s">
        <v>25</v>
      </c>
      <c r="N206">
        <v>5.516</v>
      </c>
      <c r="O206" t="s">
        <v>43</v>
      </c>
      <c r="Q206">
        <v>23</v>
      </c>
    </row>
    <row r="207" spans="1:19">
      <c r="A207">
        <v>206</v>
      </c>
      <c r="B207">
        <v>2</v>
      </c>
      <c r="C207">
        <v>20240219</v>
      </c>
      <c r="D207" t="s">
        <v>20</v>
      </c>
      <c r="E207" t="s">
        <v>21</v>
      </c>
      <c r="F207" t="s">
        <v>41</v>
      </c>
      <c r="G207" t="s">
        <v>42</v>
      </c>
      <c r="H207">
        <v>45282</v>
      </c>
      <c r="I207" t="s">
        <v>24</v>
      </c>
      <c r="J207">
        <v>5.63</v>
      </c>
      <c r="K207">
        <v>254937.66</v>
      </c>
      <c r="L207" t="s">
        <v>25</v>
      </c>
      <c r="N207">
        <v>5.516</v>
      </c>
      <c r="O207" t="s">
        <v>43</v>
      </c>
      <c r="Q207">
        <v>7</v>
      </c>
    </row>
    <row r="208" spans="1:19">
      <c r="A208">
        <v>207</v>
      </c>
      <c r="B208">
        <v>2</v>
      </c>
      <c r="C208">
        <v>20240219</v>
      </c>
      <c r="D208" t="s">
        <v>20</v>
      </c>
      <c r="E208" t="s">
        <v>21</v>
      </c>
      <c r="F208" t="s">
        <v>32</v>
      </c>
      <c r="G208" t="s">
        <v>72</v>
      </c>
      <c r="H208">
        <v>51959</v>
      </c>
      <c r="I208" t="s">
        <v>24</v>
      </c>
      <c r="J208">
        <v>3.53</v>
      </c>
      <c r="K208">
        <v>183415.27</v>
      </c>
      <c r="L208" t="s">
        <v>31</v>
      </c>
      <c r="N208">
        <v>3.2196</v>
      </c>
      <c r="O208" t="s">
        <v>43</v>
      </c>
      <c r="Q208">
        <v>10</v>
      </c>
    </row>
    <row r="209" spans="1:17">
      <c r="A209">
        <v>208</v>
      </c>
      <c r="B209">
        <v>2</v>
      </c>
      <c r="C209">
        <v>20240220</v>
      </c>
      <c r="D209" t="s">
        <v>20</v>
      </c>
      <c r="E209" t="s">
        <v>21</v>
      </c>
      <c r="F209" t="s">
        <v>32</v>
      </c>
      <c r="G209" t="s">
        <v>50</v>
      </c>
      <c r="H209">
        <v>583731</v>
      </c>
      <c r="I209" t="s">
        <v>24</v>
      </c>
      <c r="J209">
        <v>5.53</v>
      </c>
      <c r="K209">
        <v>3228032.43</v>
      </c>
      <c r="L209" t="s">
        <v>31</v>
      </c>
      <c r="N209">
        <v>4.7765</v>
      </c>
      <c r="O209" t="s">
        <v>43</v>
      </c>
      <c r="Q209">
        <v>55</v>
      </c>
    </row>
    <row r="210" spans="1:17">
      <c r="A210">
        <v>209</v>
      </c>
      <c r="B210">
        <v>2</v>
      </c>
      <c r="C210">
        <v>20240220</v>
      </c>
      <c r="D210" t="s">
        <v>20</v>
      </c>
      <c r="E210" t="s">
        <v>21</v>
      </c>
      <c r="F210" t="s">
        <v>32</v>
      </c>
      <c r="G210" t="s">
        <v>50</v>
      </c>
      <c r="H210">
        <v>985146</v>
      </c>
      <c r="I210" t="s">
        <v>24</v>
      </c>
      <c r="J210">
        <v>5.53</v>
      </c>
      <c r="K210">
        <v>5447857.38</v>
      </c>
      <c r="L210" t="s">
        <v>25</v>
      </c>
      <c r="N210">
        <v>4.7765</v>
      </c>
      <c r="O210" t="s">
        <v>43</v>
      </c>
      <c r="Q210">
        <v>114</v>
      </c>
    </row>
    <row r="211" spans="1:17">
      <c r="A211">
        <v>210</v>
      </c>
      <c r="B211">
        <v>2</v>
      </c>
      <c r="C211">
        <v>20240220</v>
      </c>
      <c r="D211" t="s">
        <v>20</v>
      </c>
      <c r="E211" t="s">
        <v>21</v>
      </c>
      <c r="F211" t="s">
        <v>32</v>
      </c>
      <c r="G211" t="s">
        <v>72</v>
      </c>
      <c r="H211">
        <v>40649</v>
      </c>
      <c r="I211" t="s">
        <v>24</v>
      </c>
      <c r="J211">
        <v>3.53</v>
      </c>
      <c r="K211">
        <v>143490.97</v>
      </c>
      <c r="L211" t="s">
        <v>31</v>
      </c>
      <c r="N211">
        <v>3.2196</v>
      </c>
      <c r="O211" t="s">
        <v>43</v>
      </c>
      <c r="Q211">
        <v>21</v>
      </c>
    </row>
    <row r="212" spans="1:17">
      <c r="A212">
        <v>211</v>
      </c>
      <c r="B212">
        <v>2</v>
      </c>
      <c r="C212">
        <v>20240220</v>
      </c>
      <c r="D212" t="s">
        <v>20</v>
      </c>
      <c r="E212" t="s">
        <v>21</v>
      </c>
      <c r="F212" t="s">
        <v>22</v>
      </c>
      <c r="G212" t="s">
        <v>23</v>
      </c>
      <c r="H212">
        <v>48779</v>
      </c>
      <c r="I212" t="s">
        <v>24</v>
      </c>
      <c r="J212">
        <v>3.44</v>
      </c>
      <c r="K212">
        <v>167799.76</v>
      </c>
      <c r="L212" t="s">
        <v>25</v>
      </c>
      <c r="N212">
        <v>3.1776</v>
      </c>
      <c r="O212" t="s">
        <v>43</v>
      </c>
      <c r="Q212">
        <v>12</v>
      </c>
    </row>
    <row r="213" spans="1:17">
      <c r="A213">
        <v>212</v>
      </c>
      <c r="B213">
        <v>2</v>
      </c>
      <c r="C213">
        <v>20240220</v>
      </c>
      <c r="D213" t="s">
        <v>20</v>
      </c>
      <c r="E213" t="s">
        <v>21</v>
      </c>
      <c r="F213" t="s">
        <v>22</v>
      </c>
      <c r="G213" t="s">
        <v>42</v>
      </c>
      <c r="H213">
        <v>291605</v>
      </c>
      <c r="I213" t="s">
        <v>24</v>
      </c>
      <c r="J213">
        <v>4.48</v>
      </c>
      <c r="K213">
        <v>1306390.4</v>
      </c>
      <c r="L213" t="s">
        <v>25</v>
      </c>
      <c r="N213">
        <v>4.102</v>
      </c>
      <c r="O213" t="s">
        <v>43</v>
      </c>
      <c r="Q213">
        <v>14</v>
      </c>
    </row>
    <row r="214" spans="1:17">
      <c r="A214">
        <v>213</v>
      </c>
      <c r="B214">
        <v>2</v>
      </c>
      <c r="C214">
        <v>20240220</v>
      </c>
      <c r="D214" t="s">
        <v>20</v>
      </c>
      <c r="E214" t="s">
        <v>21</v>
      </c>
      <c r="F214" t="s">
        <v>22</v>
      </c>
      <c r="G214" t="s">
        <v>42</v>
      </c>
      <c r="H214">
        <v>372840</v>
      </c>
      <c r="I214" t="s">
        <v>24</v>
      </c>
      <c r="J214">
        <v>4.48</v>
      </c>
      <c r="K214">
        <v>1670323.2</v>
      </c>
      <c r="L214" t="s">
        <v>25</v>
      </c>
      <c r="N214">
        <v>4.102</v>
      </c>
      <c r="O214" t="s">
        <v>43</v>
      </c>
      <c r="Q214">
        <v>17</v>
      </c>
    </row>
    <row r="215" spans="1:17">
      <c r="A215">
        <v>214</v>
      </c>
      <c r="B215">
        <v>2</v>
      </c>
      <c r="C215">
        <v>20240220</v>
      </c>
      <c r="D215" t="s">
        <v>20</v>
      </c>
      <c r="E215" t="s">
        <v>21</v>
      </c>
      <c r="F215" t="s">
        <v>22</v>
      </c>
      <c r="G215" t="s">
        <v>42</v>
      </c>
      <c r="H215">
        <v>11993</v>
      </c>
      <c r="I215" t="s">
        <v>24</v>
      </c>
      <c r="J215">
        <v>4.48</v>
      </c>
      <c r="K215">
        <v>53728.64</v>
      </c>
      <c r="L215" t="s">
        <v>25</v>
      </c>
      <c r="N215">
        <v>3.8</v>
      </c>
      <c r="O215" t="s">
        <v>43</v>
      </c>
      <c r="Q215">
        <v>1</v>
      </c>
    </row>
    <row r="216" spans="1:17">
      <c r="A216">
        <v>215</v>
      </c>
      <c r="B216">
        <v>2</v>
      </c>
      <c r="C216">
        <v>20240220</v>
      </c>
      <c r="D216" t="s">
        <v>20</v>
      </c>
      <c r="E216" t="s">
        <v>21</v>
      </c>
      <c r="F216" t="s">
        <v>22</v>
      </c>
      <c r="G216" t="s">
        <v>42</v>
      </c>
      <c r="H216">
        <v>60503</v>
      </c>
      <c r="I216" t="s">
        <v>24</v>
      </c>
      <c r="J216">
        <v>4.48</v>
      </c>
      <c r="K216">
        <v>271053.44</v>
      </c>
      <c r="L216" t="s">
        <v>31</v>
      </c>
      <c r="N216">
        <v>4.0393</v>
      </c>
      <c r="O216" t="s">
        <v>43</v>
      </c>
      <c r="Q216">
        <v>3</v>
      </c>
    </row>
    <row r="217" spans="1:17">
      <c r="A217">
        <v>216</v>
      </c>
      <c r="B217">
        <v>2</v>
      </c>
      <c r="C217">
        <v>20240220</v>
      </c>
      <c r="D217" t="s">
        <v>20</v>
      </c>
      <c r="E217" t="s">
        <v>21</v>
      </c>
      <c r="F217" t="s">
        <v>22</v>
      </c>
      <c r="G217" t="s">
        <v>50</v>
      </c>
      <c r="H217">
        <v>872466</v>
      </c>
      <c r="I217" t="s">
        <v>24</v>
      </c>
      <c r="J217">
        <v>5.53</v>
      </c>
      <c r="K217">
        <v>4824736.98</v>
      </c>
      <c r="L217" t="s">
        <v>36</v>
      </c>
      <c r="N217">
        <v>4.7954</v>
      </c>
      <c r="O217" t="s">
        <v>43</v>
      </c>
      <c r="Q217">
        <v>36</v>
      </c>
    </row>
    <row r="218" spans="1:17">
      <c r="A218">
        <v>217</v>
      </c>
      <c r="B218">
        <v>2</v>
      </c>
      <c r="C218">
        <v>20240220</v>
      </c>
      <c r="D218" t="s">
        <v>20</v>
      </c>
      <c r="E218" t="s">
        <v>21</v>
      </c>
      <c r="F218" t="s">
        <v>41</v>
      </c>
      <c r="G218" t="s">
        <v>74</v>
      </c>
      <c r="H218">
        <v>5852</v>
      </c>
      <c r="I218" t="s">
        <v>24</v>
      </c>
      <c r="J218">
        <v>5.63</v>
      </c>
      <c r="K218">
        <v>32946.76</v>
      </c>
      <c r="L218" t="s">
        <v>25</v>
      </c>
      <c r="M218" t="s">
        <v>88</v>
      </c>
      <c r="N218">
        <v>5.516</v>
      </c>
      <c r="O218" t="s">
        <v>27</v>
      </c>
      <c r="Q218">
        <v>1</v>
      </c>
    </row>
    <row r="219" spans="1:17">
      <c r="A219">
        <v>218</v>
      </c>
      <c r="B219">
        <v>2</v>
      </c>
      <c r="C219">
        <v>20240220</v>
      </c>
      <c r="D219" t="s">
        <v>20</v>
      </c>
      <c r="E219" t="s">
        <v>21</v>
      </c>
      <c r="F219" t="s">
        <v>41</v>
      </c>
      <c r="G219" t="s">
        <v>42</v>
      </c>
      <c r="H219">
        <v>1016</v>
      </c>
      <c r="I219" t="s">
        <v>24</v>
      </c>
      <c r="J219">
        <v>5.63</v>
      </c>
      <c r="K219">
        <v>5720.08</v>
      </c>
      <c r="L219" t="s">
        <v>25</v>
      </c>
      <c r="M219" t="s">
        <v>88</v>
      </c>
      <c r="N219">
        <v>5.516</v>
      </c>
      <c r="O219" t="s">
        <v>27</v>
      </c>
      <c r="Q219">
        <v>1</v>
      </c>
    </row>
    <row r="220" spans="1:17">
      <c r="A220">
        <v>219</v>
      </c>
      <c r="B220">
        <v>2</v>
      </c>
      <c r="C220">
        <v>20240220</v>
      </c>
      <c r="D220" t="s">
        <v>20</v>
      </c>
      <c r="E220" t="s">
        <v>21</v>
      </c>
      <c r="F220" t="s">
        <v>41</v>
      </c>
      <c r="G220" t="s">
        <v>74</v>
      </c>
      <c r="H220">
        <v>17698</v>
      </c>
      <c r="I220" t="s">
        <v>24</v>
      </c>
      <c r="J220">
        <v>5.63</v>
      </c>
      <c r="K220">
        <v>99639.74</v>
      </c>
      <c r="L220" t="s">
        <v>31</v>
      </c>
      <c r="M220" t="s">
        <v>88</v>
      </c>
      <c r="N220">
        <v>5.516</v>
      </c>
      <c r="O220" t="s">
        <v>27</v>
      </c>
      <c r="Q220">
        <v>2</v>
      </c>
    </row>
    <row r="221" spans="1:17">
      <c r="A221">
        <v>220</v>
      </c>
      <c r="B221">
        <v>2</v>
      </c>
      <c r="C221">
        <v>20240220</v>
      </c>
      <c r="D221" t="s">
        <v>20</v>
      </c>
      <c r="E221" t="s">
        <v>21</v>
      </c>
      <c r="F221" t="s">
        <v>41</v>
      </c>
      <c r="G221" t="s">
        <v>42</v>
      </c>
      <c r="H221">
        <v>64817</v>
      </c>
      <c r="I221" t="s">
        <v>24</v>
      </c>
      <c r="J221">
        <v>5.63</v>
      </c>
      <c r="K221">
        <v>364919.71</v>
      </c>
      <c r="L221" t="s">
        <v>31</v>
      </c>
      <c r="M221" t="s">
        <v>88</v>
      </c>
      <c r="N221">
        <v>5.516</v>
      </c>
      <c r="O221" t="s">
        <v>27</v>
      </c>
      <c r="Q221">
        <v>7</v>
      </c>
    </row>
    <row r="222" spans="1:17">
      <c r="A222">
        <v>221</v>
      </c>
      <c r="B222">
        <v>2</v>
      </c>
      <c r="C222">
        <v>20240220</v>
      </c>
      <c r="D222" t="s">
        <v>20</v>
      </c>
      <c r="E222" t="s">
        <v>21</v>
      </c>
      <c r="F222" t="s">
        <v>41</v>
      </c>
      <c r="G222" t="s">
        <v>42</v>
      </c>
      <c r="H222">
        <v>22263</v>
      </c>
      <c r="I222" t="s">
        <v>24</v>
      </c>
      <c r="J222">
        <v>5.63</v>
      </c>
      <c r="K222">
        <v>125340.69</v>
      </c>
      <c r="L222" t="s">
        <v>25</v>
      </c>
      <c r="M222" t="s">
        <v>88</v>
      </c>
      <c r="N222">
        <v>5.516</v>
      </c>
      <c r="O222" t="s">
        <v>27</v>
      </c>
      <c r="Q222">
        <v>4</v>
      </c>
    </row>
    <row r="223" spans="1:17">
      <c r="A223">
        <v>222</v>
      </c>
      <c r="B223">
        <v>2</v>
      </c>
      <c r="C223">
        <v>20240220</v>
      </c>
      <c r="D223" t="s">
        <v>20</v>
      </c>
      <c r="E223" t="s">
        <v>21</v>
      </c>
      <c r="F223" t="s">
        <v>41</v>
      </c>
      <c r="G223" t="s">
        <v>42</v>
      </c>
      <c r="H223">
        <v>19599</v>
      </c>
      <c r="I223" t="s">
        <v>24</v>
      </c>
      <c r="J223">
        <v>5.63</v>
      </c>
      <c r="K223">
        <v>110342.37</v>
      </c>
      <c r="L223" t="s">
        <v>31</v>
      </c>
      <c r="M223" t="s">
        <v>88</v>
      </c>
      <c r="N223">
        <v>5.516</v>
      </c>
      <c r="O223" t="s">
        <v>27</v>
      </c>
      <c r="Q223">
        <v>3</v>
      </c>
    </row>
    <row r="224" spans="1:17">
      <c r="A224">
        <v>223</v>
      </c>
      <c r="B224">
        <v>2</v>
      </c>
      <c r="C224">
        <v>20240220</v>
      </c>
      <c r="D224" t="s">
        <v>20</v>
      </c>
      <c r="E224" t="s">
        <v>21</v>
      </c>
      <c r="F224" t="s">
        <v>41</v>
      </c>
      <c r="G224" t="s">
        <v>50</v>
      </c>
      <c r="H224">
        <v>92721</v>
      </c>
      <c r="I224" t="s">
        <v>24</v>
      </c>
      <c r="J224">
        <v>5.53</v>
      </c>
      <c r="K224">
        <v>512747.13</v>
      </c>
      <c r="L224" t="s">
        <v>25</v>
      </c>
      <c r="M224" t="s">
        <v>88</v>
      </c>
      <c r="N224">
        <v>4.816</v>
      </c>
      <c r="O224" t="s">
        <v>27</v>
      </c>
      <c r="Q224">
        <v>13</v>
      </c>
    </row>
    <row r="225" spans="1:20">
      <c r="A225">
        <v>224</v>
      </c>
      <c r="B225">
        <v>2</v>
      </c>
      <c r="C225">
        <v>20240220</v>
      </c>
      <c r="D225" t="s">
        <v>20</v>
      </c>
      <c r="E225" t="s">
        <v>21</v>
      </c>
      <c r="F225" t="s">
        <v>41</v>
      </c>
      <c r="G225" t="s">
        <v>74</v>
      </c>
      <c r="H225">
        <v>127156</v>
      </c>
      <c r="I225" t="s">
        <v>24</v>
      </c>
      <c r="J225">
        <v>5.63</v>
      </c>
      <c r="K225">
        <v>715888.28</v>
      </c>
      <c r="L225" t="s">
        <v>31</v>
      </c>
      <c r="M225" t="s">
        <v>88</v>
      </c>
      <c r="N225">
        <v>5.516</v>
      </c>
      <c r="O225" t="s">
        <v>27</v>
      </c>
      <c r="Q225">
        <v>15</v>
      </c>
    </row>
    <row r="226" spans="1:20">
      <c r="A226">
        <v>225</v>
      </c>
      <c r="B226">
        <v>2</v>
      </c>
      <c r="C226">
        <v>20240220</v>
      </c>
      <c r="D226" t="s">
        <v>20</v>
      </c>
      <c r="E226" t="s">
        <v>21</v>
      </c>
      <c r="F226" t="s">
        <v>41</v>
      </c>
      <c r="G226" t="s">
        <v>74</v>
      </c>
      <c r="H226">
        <v>24032</v>
      </c>
      <c r="I226" t="s">
        <v>24</v>
      </c>
      <c r="J226">
        <v>5.63</v>
      </c>
      <c r="K226">
        <v>135300.16</v>
      </c>
      <c r="L226" t="s">
        <v>25</v>
      </c>
      <c r="M226" t="s">
        <v>88</v>
      </c>
      <c r="N226">
        <v>5.516</v>
      </c>
      <c r="O226" t="s">
        <v>27</v>
      </c>
      <c r="Q226">
        <v>4</v>
      </c>
    </row>
    <row r="227" spans="1:20">
      <c r="A227">
        <v>226</v>
      </c>
      <c r="B227">
        <v>2</v>
      </c>
      <c r="C227">
        <v>20240220</v>
      </c>
      <c r="D227" t="s">
        <v>20</v>
      </c>
      <c r="E227" t="s">
        <v>21</v>
      </c>
      <c r="F227" t="s">
        <v>41</v>
      </c>
      <c r="G227" t="s">
        <v>42</v>
      </c>
      <c r="H227">
        <v>39260</v>
      </c>
      <c r="I227" t="s">
        <v>24</v>
      </c>
      <c r="J227">
        <v>5.63</v>
      </c>
      <c r="K227">
        <v>221033.8</v>
      </c>
      <c r="L227" t="s">
        <v>25</v>
      </c>
      <c r="M227" t="s">
        <v>88</v>
      </c>
      <c r="N227">
        <v>5.516</v>
      </c>
      <c r="O227" t="s">
        <v>27</v>
      </c>
      <c r="Q227">
        <v>5</v>
      </c>
    </row>
    <row r="228" spans="1:20">
      <c r="A228">
        <v>227</v>
      </c>
      <c r="B228">
        <v>2</v>
      </c>
      <c r="C228">
        <v>20240220</v>
      </c>
      <c r="D228" t="s">
        <v>20</v>
      </c>
      <c r="E228" t="s">
        <v>21</v>
      </c>
      <c r="F228" t="s">
        <v>41</v>
      </c>
      <c r="G228" t="s">
        <v>74</v>
      </c>
      <c r="H228">
        <v>108061</v>
      </c>
      <c r="I228" t="s">
        <v>24</v>
      </c>
      <c r="J228">
        <v>5.63</v>
      </c>
      <c r="K228">
        <v>608383.43</v>
      </c>
      <c r="L228" t="s">
        <v>31</v>
      </c>
      <c r="M228" t="s">
        <v>88</v>
      </c>
      <c r="N228">
        <v>5.516</v>
      </c>
      <c r="O228" t="s">
        <v>27</v>
      </c>
      <c r="Q228">
        <v>13</v>
      </c>
    </row>
    <row r="229" spans="1:20">
      <c r="A229">
        <v>228</v>
      </c>
      <c r="B229">
        <v>2</v>
      </c>
      <c r="C229">
        <v>20240220</v>
      </c>
      <c r="D229" t="s">
        <v>20</v>
      </c>
      <c r="E229" t="s">
        <v>21</v>
      </c>
      <c r="F229" t="s">
        <v>41</v>
      </c>
      <c r="G229" t="s">
        <v>42</v>
      </c>
      <c r="H229">
        <v>5489</v>
      </c>
      <c r="I229" t="s">
        <v>24</v>
      </c>
      <c r="J229">
        <v>5.63</v>
      </c>
      <c r="K229">
        <v>30903.07</v>
      </c>
      <c r="L229" t="s">
        <v>31</v>
      </c>
      <c r="M229" t="s">
        <v>88</v>
      </c>
      <c r="N229">
        <v>5.516</v>
      </c>
      <c r="O229" t="s">
        <v>27</v>
      </c>
      <c r="Q229">
        <v>4</v>
      </c>
    </row>
    <row r="230" spans="1:20">
      <c r="A230">
        <v>229</v>
      </c>
      <c r="B230">
        <v>2</v>
      </c>
      <c r="C230">
        <v>20240220</v>
      </c>
      <c r="D230" t="s">
        <v>20</v>
      </c>
      <c r="E230" t="s">
        <v>21</v>
      </c>
      <c r="F230" t="s">
        <v>41</v>
      </c>
      <c r="G230" t="s">
        <v>42</v>
      </c>
      <c r="H230">
        <v>18642</v>
      </c>
      <c r="I230" t="s">
        <v>24</v>
      </c>
      <c r="J230">
        <v>5.63</v>
      </c>
      <c r="K230">
        <v>104954.46</v>
      </c>
      <c r="L230" t="s">
        <v>25</v>
      </c>
      <c r="M230" t="s">
        <v>88</v>
      </c>
      <c r="N230">
        <v>5.516</v>
      </c>
      <c r="O230" t="s">
        <v>27</v>
      </c>
      <c r="Q230">
        <v>4</v>
      </c>
    </row>
    <row r="231" spans="1:20">
      <c r="A231">
        <v>230</v>
      </c>
      <c r="B231">
        <v>2</v>
      </c>
      <c r="C231">
        <v>20240220</v>
      </c>
      <c r="D231" t="s">
        <v>20</v>
      </c>
      <c r="E231" t="s">
        <v>21</v>
      </c>
      <c r="F231" t="s">
        <v>41</v>
      </c>
      <c r="G231" t="s">
        <v>42</v>
      </c>
      <c r="H231">
        <v>1136</v>
      </c>
      <c r="I231" t="s">
        <v>24</v>
      </c>
      <c r="J231">
        <v>5.63</v>
      </c>
      <c r="K231">
        <v>6395.68</v>
      </c>
      <c r="L231" t="s">
        <v>31</v>
      </c>
      <c r="M231" t="s">
        <v>88</v>
      </c>
      <c r="N231">
        <v>5.516</v>
      </c>
      <c r="O231" t="s">
        <v>27</v>
      </c>
      <c r="Q231">
        <v>1</v>
      </c>
    </row>
    <row r="232" spans="1:20">
      <c r="A232">
        <v>231</v>
      </c>
      <c r="B232">
        <v>2</v>
      </c>
      <c r="C232">
        <v>20240220</v>
      </c>
      <c r="D232" t="s">
        <v>20</v>
      </c>
      <c r="E232" t="s">
        <v>21</v>
      </c>
      <c r="F232" t="s">
        <v>46</v>
      </c>
      <c r="G232" t="s">
        <v>47</v>
      </c>
      <c r="H232">
        <v>154</v>
      </c>
      <c r="I232" t="s">
        <v>24</v>
      </c>
      <c r="J232">
        <v>7.46</v>
      </c>
      <c r="K232">
        <v>1148.84</v>
      </c>
      <c r="L232" t="s">
        <v>31</v>
      </c>
      <c r="N232">
        <v>5.19</v>
      </c>
      <c r="O232" t="s">
        <v>43</v>
      </c>
      <c r="Q232">
        <v>1</v>
      </c>
      <c r="T232" t="s">
        <v>89</v>
      </c>
    </row>
    <row r="233" spans="1:20">
      <c r="A233">
        <v>232</v>
      </c>
      <c r="B233">
        <v>2</v>
      </c>
      <c r="C233">
        <v>20240221</v>
      </c>
      <c r="D233" t="s">
        <v>28</v>
      </c>
      <c r="E233" t="s">
        <v>21</v>
      </c>
      <c r="F233" t="s">
        <v>22</v>
      </c>
      <c r="G233" t="s">
        <v>30</v>
      </c>
      <c r="H233">
        <v>184800</v>
      </c>
      <c r="I233" t="s">
        <v>24</v>
      </c>
      <c r="J233">
        <v>4.14</v>
      </c>
      <c r="K233">
        <v>765072</v>
      </c>
      <c r="L233" t="s">
        <v>31</v>
      </c>
      <c r="M233" t="s">
        <v>90</v>
      </c>
      <c r="N233">
        <v>4.0377</v>
      </c>
      <c r="O233" t="s">
        <v>27</v>
      </c>
      <c r="Q233">
        <v>10</v>
      </c>
    </row>
    <row r="234" spans="1:20">
      <c r="A234">
        <v>233</v>
      </c>
      <c r="B234">
        <v>2</v>
      </c>
      <c r="C234">
        <v>20240221</v>
      </c>
      <c r="D234" t="s">
        <v>20</v>
      </c>
      <c r="E234" t="s">
        <v>21</v>
      </c>
      <c r="F234" t="s">
        <v>32</v>
      </c>
      <c r="G234" t="s">
        <v>50</v>
      </c>
      <c r="H234">
        <v>26180</v>
      </c>
      <c r="I234" t="s">
        <v>24</v>
      </c>
      <c r="J234">
        <v>5.53</v>
      </c>
      <c r="K234">
        <v>144775.4</v>
      </c>
      <c r="L234" t="s">
        <v>25</v>
      </c>
      <c r="M234" t="s">
        <v>91</v>
      </c>
      <c r="N234">
        <v>4.7765</v>
      </c>
      <c r="O234" t="s">
        <v>27</v>
      </c>
      <c r="Q234">
        <v>7</v>
      </c>
    </row>
    <row r="235" spans="1:20">
      <c r="A235">
        <v>234</v>
      </c>
      <c r="B235">
        <v>2</v>
      </c>
      <c r="C235">
        <v>20240221</v>
      </c>
      <c r="D235" t="s">
        <v>28</v>
      </c>
      <c r="E235" t="s">
        <v>21</v>
      </c>
      <c r="F235" t="s">
        <v>29</v>
      </c>
      <c r="G235" t="s">
        <v>37</v>
      </c>
      <c r="H235">
        <v>65514</v>
      </c>
      <c r="I235" t="s">
        <v>24</v>
      </c>
      <c r="J235">
        <v>4.14</v>
      </c>
      <c r="K235">
        <v>271227.96</v>
      </c>
      <c r="L235" t="s">
        <v>31</v>
      </c>
      <c r="M235" t="s">
        <v>92</v>
      </c>
      <c r="N235">
        <v>4.02862</v>
      </c>
      <c r="O235" t="s">
        <v>27</v>
      </c>
      <c r="Q235">
        <v>14</v>
      </c>
    </row>
    <row r="236" spans="1:20">
      <c r="A236">
        <v>235</v>
      </c>
      <c r="B236">
        <v>2</v>
      </c>
      <c r="C236">
        <v>20240222</v>
      </c>
      <c r="D236" t="s">
        <v>20</v>
      </c>
      <c r="E236" t="s">
        <v>21</v>
      </c>
      <c r="F236" t="s">
        <v>22</v>
      </c>
      <c r="G236" t="s">
        <v>23</v>
      </c>
      <c r="H236">
        <v>110238</v>
      </c>
      <c r="I236" t="s">
        <v>24</v>
      </c>
      <c r="J236">
        <v>3.44</v>
      </c>
      <c r="K236">
        <v>379218.72</v>
      </c>
      <c r="L236" t="s">
        <v>31</v>
      </c>
      <c r="N236">
        <v>3.1757</v>
      </c>
      <c r="O236" t="s">
        <v>43</v>
      </c>
      <c r="Q236">
        <v>12</v>
      </c>
    </row>
    <row r="237" spans="1:20">
      <c r="A237">
        <v>236</v>
      </c>
      <c r="B237">
        <v>2</v>
      </c>
      <c r="C237">
        <v>20240222</v>
      </c>
      <c r="D237" t="s">
        <v>20</v>
      </c>
      <c r="E237" t="s">
        <v>21</v>
      </c>
      <c r="F237" t="s">
        <v>29</v>
      </c>
      <c r="G237" t="s">
        <v>50</v>
      </c>
      <c r="H237">
        <v>81999</v>
      </c>
      <c r="I237" t="s">
        <v>24</v>
      </c>
      <c r="J237">
        <v>5.53</v>
      </c>
      <c r="K237">
        <v>453454.47</v>
      </c>
      <c r="L237" t="s">
        <v>31</v>
      </c>
      <c r="N237">
        <v>5</v>
      </c>
      <c r="O237" t="s">
        <v>43</v>
      </c>
      <c r="Q237">
        <v>6</v>
      </c>
    </row>
    <row r="238" spans="1:20">
      <c r="A238">
        <v>237</v>
      </c>
      <c r="B238">
        <v>2</v>
      </c>
      <c r="C238">
        <v>20240222</v>
      </c>
      <c r="D238" t="s">
        <v>20</v>
      </c>
      <c r="E238" t="s">
        <v>21</v>
      </c>
      <c r="F238" t="s">
        <v>29</v>
      </c>
      <c r="G238" t="s">
        <v>74</v>
      </c>
      <c r="H238">
        <v>18795</v>
      </c>
      <c r="I238" t="s">
        <v>24</v>
      </c>
      <c r="J238">
        <v>5.1</v>
      </c>
      <c r="K238">
        <v>95854.5</v>
      </c>
      <c r="L238" t="s">
        <v>31</v>
      </c>
      <c r="N238">
        <v>5</v>
      </c>
      <c r="O238" t="s">
        <v>43</v>
      </c>
      <c r="Q238">
        <v>2</v>
      </c>
      <c r="S238">
        <v>4.48</v>
      </c>
    </row>
    <row r="239" spans="1:20">
      <c r="A239">
        <v>238</v>
      </c>
      <c r="B239">
        <v>2</v>
      </c>
      <c r="C239">
        <v>20240222</v>
      </c>
      <c r="D239" t="s">
        <v>20</v>
      </c>
      <c r="E239" t="s">
        <v>21</v>
      </c>
      <c r="F239" t="s">
        <v>29</v>
      </c>
      <c r="G239" t="s">
        <v>42</v>
      </c>
      <c r="H239">
        <v>2903</v>
      </c>
      <c r="I239" t="s">
        <v>24</v>
      </c>
      <c r="J239">
        <v>5.63</v>
      </c>
      <c r="K239">
        <v>16343.89</v>
      </c>
      <c r="L239" t="s">
        <v>31</v>
      </c>
      <c r="N239">
        <v>5.52</v>
      </c>
      <c r="O239" t="s">
        <v>43</v>
      </c>
      <c r="Q239">
        <v>49</v>
      </c>
      <c r="S239">
        <v>4.48</v>
      </c>
    </row>
    <row r="240" spans="1:20">
      <c r="A240">
        <v>239</v>
      </c>
      <c r="B240">
        <v>2</v>
      </c>
      <c r="C240">
        <v>20240222</v>
      </c>
      <c r="D240" t="s">
        <v>20</v>
      </c>
      <c r="E240" t="s">
        <v>21</v>
      </c>
      <c r="F240" t="s">
        <v>29</v>
      </c>
      <c r="G240" t="s">
        <v>42</v>
      </c>
      <c r="H240">
        <v>36</v>
      </c>
      <c r="I240" t="s">
        <v>24</v>
      </c>
      <c r="J240">
        <v>5.1</v>
      </c>
      <c r="K240">
        <v>183.6</v>
      </c>
      <c r="L240" t="s">
        <v>25</v>
      </c>
      <c r="N240">
        <v>5</v>
      </c>
      <c r="O240" t="s">
        <v>43</v>
      </c>
      <c r="Q240">
        <v>1</v>
      </c>
      <c r="S240">
        <v>4.48</v>
      </c>
    </row>
    <row r="241" spans="1:19">
      <c r="A241">
        <v>240</v>
      </c>
      <c r="B241">
        <v>2</v>
      </c>
      <c r="C241">
        <v>20240222</v>
      </c>
      <c r="D241" t="s">
        <v>20</v>
      </c>
      <c r="E241" t="s">
        <v>21</v>
      </c>
      <c r="F241" t="s">
        <v>29</v>
      </c>
      <c r="G241" t="s">
        <v>42</v>
      </c>
      <c r="H241">
        <v>65</v>
      </c>
      <c r="I241" t="s">
        <v>24</v>
      </c>
      <c r="J241">
        <v>5.63</v>
      </c>
      <c r="K241">
        <v>365.95</v>
      </c>
      <c r="L241" t="s">
        <v>31</v>
      </c>
      <c r="N241">
        <v>5.52</v>
      </c>
      <c r="O241" t="s">
        <v>43</v>
      </c>
      <c r="Q241">
        <v>2</v>
      </c>
      <c r="S241">
        <v>4.48</v>
      </c>
    </row>
    <row r="242" spans="1:19">
      <c r="A242">
        <v>241</v>
      </c>
      <c r="B242">
        <v>2</v>
      </c>
      <c r="C242">
        <v>20240222</v>
      </c>
      <c r="D242" t="s">
        <v>20</v>
      </c>
      <c r="E242" t="s">
        <v>21</v>
      </c>
      <c r="F242" t="s">
        <v>29</v>
      </c>
      <c r="G242" t="s">
        <v>42</v>
      </c>
      <c r="H242">
        <v>204</v>
      </c>
      <c r="I242" t="s">
        <v>24</v>
      </c>
      <c r="J242">
        <v>5.63</v>
      </c>
      <c r="K242">
        <v>1148.52</v>
      </c>
      <c r="L242" t="s">
        <v>31</v>
      </c>
      <c r="N242">
        <v>5.52</v>
      </c>
      <c r="O242" t="s">
        <v>43</v>
      </c>
      <c r="Q242">
        <v>2</v>
      </c>
      <c r="S242">
        <v>4.48</v>
      </c>
    </row>
    <row r="243" spans="1:19">
      <c r="A243">
        <v>242</v>
      </c>
      <c r="B243">
        <v>2</v>
      </c>
      <c r="C243">
        <v>20240223</v>
      </c>
      <c r="D243" t="s">
        <v>28</v>
      </c>
      <c r="E243" t="s">
        <v>21</v>
      </c>
      <c r="F243" t="s">
        <v>32</v>
      </c>
      <c r="G243" t="s">
        <v>33</v>
      </c>
      <c r="H243">
        <v>44918</v>
      </c>
      <c r="I243" t="s">
        <v>24</v>
      </c>
      <c r="J243">
        <v>4.14</v>
      </c>
      <c r="K243">
        <v>185960.52</v>
      </c>
      <c r="L243" t="s">
        <v>25</v>
      </c>
      <c r="M243" t="s">
        <v>93</v>
      </c>
      <c r="N243">
        <v>4.015</v>
      </c>
      <c r="O243" t="s">
        <v>27</v>
      </c>
      <c r="Q243">
        <v>134</v>
      </c>
    </row>
    <row r="244" spans="1:19">
      <c r="A244">
        <v>243</v>
      </c>
      <c r="B244">
        <v>2</v>
      </c>
      <c r="C244">
        <v>20240223</v>
      </c>
      <c r="D244" t="s">
        <v>20</v>
      </c>
      <c r="E244" t="s">
        <v>21</v>
      </c>
      <c r="F244" t="s">
        <v>32</v>
      </c>
      <c r="G244" t="s">
        <v>50</v>
      </c>
      <c r="H244">
        <v>425282</v>
      </c>
      <c r="I244" t="s">
        <v>24</v>
      </c>
      <c r="J244">
        <v>5.53</v>
      </c>
      <c r="K244">
        <v>2351809.46</v>
      </c>
      <c r="L244" t="s">
        <v>31</v>
      </c>
      <c r="M244" t="s">
        <v>94</v>
      </c>
      <c r="N244">
        <v>4.7765</v>
      </c>
      <c r="O244" t="s">
        <v>27</v>
      </c>
      <c r="Q244">
        <v>56</v>
      </c>
    </row>
    <row r="245" spans="1:19">
      <c r="A245">
        <v>244</v>
      </c>
      <c r="B245">
        <v>2</v>
      </c>
      <c r="C245">
        <v>20240223</v>
      </c>
      <c r="D245" t="s">
        <v>20</v>
      </c>
      <c r="E245" t="s">
        <v>21</v>
      </c>
      <c r="F245" t="s">
        <v>32</v>
      </c>
      <c r="G245" t="s">
        <v>50</v>
      </c>
      <c r="H245">
        <v>982174</v>
      </c>
      <c r="I245" t="s">
        <v>24</v>
      </c>
      <c r="J245">
        <v>5.53</v>
      </c>
      <c r="K245">
        <v>5431422.22</v>
      </c>
      <c r="L245" t="s">
        <v>25</v>
      </c>
      <c r="M245" t="s">
        <v>94</v>
      </c>
      <c r="N245">
        <v>4.7765</v>
      </c>
      <c r="O245" t="s">
        <v>27</v>
      </c>
      <c r="Q245">
        <v>103</v>
      </c>
    </row>
    <row r="246" spans="1:19">
      <c r="A246">
        <v>245</v>
      </c>
      <c r="B246">
        <v>2</v>
      </c>
      <c r="C246">
        <v>20240223</v>
      </c>
      <c r="D246" t="s">
        <v>20</v>
      </c>
      <c r="E246" t="s">
        <v>21</v>
      </c>
      <c r="F246" t="s">
        <v>32</v>
      </c>
      <c r="G246" t="s">
        <v>42</v>
      </c>
      <c r="H246">
        <v>117319</v>
      </c>
      <c r="I246" t="s">
        <v>24</v>
      </c>
      <c r="J246">
        <v>4.48</v>
      </c>
      <c r="K246">
        <v>525589.12</v>
      </c>
      <c r="L246" t="s">
        <v>25</v>
      </c>
      <c r="M246" t="s">
        <v>94</v>
      </c>
      <c r="N246">
        <v>3.8117</v>
      </c>
      <c r="O246" t="s">
        <v>27</v>
      </c>
      <c r="Q246">
        <v>10</v>
      </c>
    </row>
    <row r="247" spans="1:19">
      <c r="A247">
        <v>246</v>
      </c>
      <c r="B247">
        <v>2</v>
      </c>
      <c r="C247">
        <v>20240223</v>
      </c>
      <c r="D247" t="s">
        <v>20</v>
      </c>
      <c r="E247" t="s">
        <v>21</v>
      </c>
      <c r="F247" t="s">
        <v>41</v>
      </c>
      <c r="G247" t="s">
        <v>42</v>
      </c>
      <c r="H247">
        <v>13024</v>
      </c>
      <c r="I247" t="s">
        <v>24</v>
      </c>
      <c r="J247">
        <v>5.63</v>
      </c>
      <c r="K247">
        <v>73325.12</v>
      </c>
      <c r="L247" t="s">
        <v>25</v>
      </c>
      <c r="N247">
        <v>5.516</v>
      </c>
      <c r="O247" t="s">
        <v>43</v>
      </c>
      <c r="Q247">
        <v>3</v>
      </c>
      <c r="S247">
        <v>4.48</v>
      </c>
    </row>
    <row r="248" spans="1:19">
      <c r="A248">
        <v>247</v>
      </c>
      <c r="B248">
        <v>2</v>
      </c>
      <c r="C248">
        <v>20240223</v>
      </c>
      <c r="D248" t="s">
        <v>20</v>
      </c>
      <c r="E248" t="s">
        <v>21</v>
      </c>
      <c r="F248" t="s">
        <v>41</v>
      </c>
      <c r="G248" t="s">
        <v>42</v>
      </c>
      <c r="H248">
        <v>31344</v>
      </c>
      <c r="I248" t="s">
        <v>24</v>
      </c>
      <c r="J248">
        <v>5.63</v>
      </c>
      <c r="K248">
        <v>176466.72</v>
      </c>
      <c r="L248" t="s">
        <v>31</v>
      </c>
      <c r="N248">
        <v>5.516</v>
      </c>
      <c r="O248" t="s">
        <v>43</v>
      </c>
      <c r="Q248">
        <v>6</v>
      </c>
      <c r="S248">
        <v>4.48</v>
      </c>
    </row>
    <row r="249" spans="1:19">
      <c r="A249">
        <v>248</v>
      </c>
      <c r="B249">
        <v>2</v>
      </c>
      <c r="C249">
        <v>20240223</v>
      </c>
      <c r="D249" t="s">
        <v>20</v>
      </c>
      <c r="E249" t="s">
        <v>21</v>
      </c>
      <c r="F249" t="s">
        <v>41</v>
      </c>
      <c r="G249" t="s">
        <v>42</v>
      </c>
      <c r="H249">
        <v>3512</v>
      </c>
      <c r="I249" t="s">
        <v>24</v>
      </c>
      <c r="J249">
        <v>5.63</v>
      </c>
      <c r="K249">
        <v>19772.56</v>
      </c>
      <c r="L249" t="s">
        <v>25</v>
      </c>
      <c r="N249">
        <v>5.516</v>
      </c>
      <c r="O249" t="s">
        <v>43</v>
      </c>
      <c r="Q249">
        <v>1</v>
      </c>
      <c r="S249">
        <v>4.48</v>
      </c>
    </row>
    <row r="250" spans="1:19">
      <c r="A250">
        <v>249</v>
      </c>
      <c r="B250">
        <v>2</v>
      </c>
      <c r="C250">
        <v>20240223</v>
      </c>
      <c r="D250" t="s">
        <v>20</v>
      </c>
      <c r="E250" t="s">
        <v>21</v>
      </c>
      <c r="F250" t="s">
        <v>41</v>
      </c>
      <c r="G250" t="s">
        <v>42</v>
      </c>
      <c r="H250">
        <v>56368</v>
      </c>
      <c r="I250" t="s">
        <v>24</v>
      </c>
      <c r="J250">
        <v>5.63</v>
      </c>
      <c r="K250">
        <v>317351.84</v>
      </c>
      <c r="L250" t="s">
        <v>31</v>
      </c>
      <c r="N250">
        <v>5.516</v>
      </c>
      <c r="O250" t="s">
        <v>43</v>
      </c>
      <c r="Q250">
        <v>7</v>
      </c>
      <c r="S250">
        <v>4.48</v>
      </c>
    </row>
    <row r="251" spans="1:19">
      <c r="A251">
        <v>250</v>
      </c>
      <c r="B251">
        <v>2</v>
      </c>
      <c r="C251">
        <v>20240223</v>
      </c>
      <c r="D251" t="s">
        <v>20</v>
      </c>
      <c r="E251" t="s">
        <v>21</v>
      </c>
      <c r="F251" t="s">
        <v>41</v>
      </c>
      <c r="G251" t="s">
        <v>42</v>
      </c>
      <c r="H251">
        <v>1657</v>
      </c>
      <c r="I251" t="s">
        <v>24</v>
      </c>
      <c r="J251">
        <v>5.63</v>
      </c>
      <c r="K251">
        <v>9328.91</v>
      </c>
      <c r="L251" t="s">
        <v>31</v>
      </c>
      <c r="N251">
        <v>5.516</v>
      </c>
      <c r="O251" t="s">
        <v>43</v>
      </c>
      <c r="Q251">
        <v>1</v>
      </c>
      <c r="S251">
        <v>4.48</v>
      </c>
    </row>
    <row r="252" spans="1:19">
      <c r="A252">
        <v>251</v>
      </c>
      <c r="B252">
        <v>2</v>
      </c>
      <c r="C252">
        <v>20240223</v>
      </c>
      <c r="D252" t="s">
        <v>20</v>
      </c>
      <c r="E252" t="s">
        <v>21</v>
      </c>
      <c r="F252" t="s">
        <v>41</v>
      </c>
      <c r="G252" t="s">
        <v>42</v>
      </c>
      <c r="H252">
        <v>2813</v>
      </c>
      <c r="I252" t="s">
        <v>24</v>
      </c>
      <c r="J252">
        <v>5.63</v>
      </c>
      <c r="K252">
        <v>15837.19</v>
      </c>
      <c r="L252" t="s">
        <v>25</v>
      </c>
      <c r="N252">
        <v>5.516</v>
      </c>
      <c r="O252" t="s">
        <v>43</v>
      </c>
      <c r="Q252">
        <v>1</v>
      </c>
      <c r="S252">
        <v>4.48</v>
      </c>
    </row>
    <row r="253" spans="1:19">
      <c r="A253">
        <v>252</v>
      </c>
      <c r="B253">
        <v>2</v>
      </c>
      <c r="C253">
        <v>20240223</v>
      </c>
      <c r="D253" t="s">
        <v>20</v>
      </c>
      <c r="E253" t="s">
        <v>21</v>
      </c>
      <c r="F253" t="s">
        <v>59</v>
      </c>
      <c r="G253" t="s">
        <v>42</v>
      </c>
      <c r="H253">
        <v>544888</v>
      </c>
      <c r="I253" t="s">
        <v>24</v>
      </c>
      <c r="J253">
        <v>4.48</v>
      </c>
      <c r="K253">
        <v>2441098.24</v>
      </c>
      <c r="L253" t="s">
        <v>25</v>
      </c>
      <c r="M253" t="s">
        <v>95</v>
      </c>
      <c r="N253">
        <v>4.3709</v>
      </c>
      <c r="O253" t="s">
        <v>27</v>
      </c>
      <c r="Q253">
        <v>45</v>
      </c>
      <c r="S253">
        <v>4.48</v>
      </c>
    </row>
    <row r="254" spans="1:19">
      <c r="A254">
        <v>253</v>
      </c>
      <c r="B254">
        <v>2</v>
      </c>
      <c r="C254">
        <v>20240223</v>
      </c>
      <c r="D254" t="s">
        <v>20</v>
      </c>
      <c r="E254" t="s">
        <v>21</v>
      </c>
      <c r="F254" t="s">
        <v>59</v>
      </c>
      <c r="G254" t="s">
        <v>74</v>
      </c>
      <c r="H254">
        <v>112752</v>
      </c>
      <c r="I254" t="s">
        <v>24</v>
      </c>
      <c r="J254">
        <v>4.48</v>
      </c>
      <c r="K254">
        <v>505128.96</v>
      </c>
      <c r="L254" t="s">
        <v>25</v>
      </c>
      <c r="M254" t="s">
        <v>95</v>
      </c>
      <c r="N254">
        <v>4.3709</v>
      </c>
      <c r="O254" t="s">
        <v>27</v>
      </c>
      <c r="S254">
        <v>4.48</v>
      </c>
    </row>
    <row r="255" spans="1:19">
      <c r="A255">
        <v>254</v>
      </c>
      <c r="B255">
        <v>2</v>
      </c>
      <c r="C255">
        <v>20240223</v>
      </c>
      <c r="D255" t="s">
        <v>20</v>
      </c>
      <c r="E255" t="s">
        <v>21</v>
      </c>
      <c r="F255" t="s">
        <v>29</v>
      </c>
      <c r="G255" t="s">
        <v>42</v>
      </c>
      <c r="H255">
        <v>342</v>
      </c>
      <c r="I255" t="s">
        <v>24</v>
      </c>
      <c r="J255">
        <v>5.74</v>
      </c>
      <c r="K255">
        <v>1963.08</v>
      </c>
      <c r="L255" t="s">
        <v>25</v>
      </c>
      <c r="M255" t="s">
        <v>96</v>
      </c>
      <c r="N255">
        <v>5.627</v>
      </c>
      <c r="O255" t="s">
        <v>27</v>
      </c>
      <c r="Q255">
        <v>155</v>
      </c>
    </row>
    <row r="256" spans="1:19">
      <c r="A256">
        <v>255</v>
      </c>
      <c r="B256">
        <v>2</v>
      </c>
      <c r="C256">
        <v>20240223</v>
      </c>
      <c r="D256" t="s">
        <v>20</v>
      </c>
      <c r="E256" t="s">
        <v>21</v>
      </c>
      <c r="F256" t="s">
        <v>29</v>
      </c>
      <c r="G256" t="s">
        <v>42</v>
      </c>
      <c r="H256">
        <v>592143</v>
      </c>
      <c r="I256" t="s">
        <v>24</v>
      </c>
      <c r="J256">
        <v>4.48</v>
      </c>
      <c r="K256">
        <v>2652800.64</v>
      </c>
      <c r="L256" t="s">
        <v>31</v>
      </c>
      <c r="M256" t="s">
        <v>96</v>
      </c>
      <c r="N256">
        <v>3.9104</v>
      </c>
      <c r="O256" t="s">
        <v>27</v>
      </c>
    </row>
    <row r="257" spans="1:19">
      <c r="A257">
        <v>256</v>
      </c>
      <c r="B257">
        <v>2</v>
      </c>
      <c r="C257">
        <v>20240225</v>
      </c>
      <c r="D257" t="s">
        <v>20</v>
      </c>
      <c r="E257" t="s">
        <v>21</v>
      </c>
      <c r="F257" t="s">
        <v>22</v>
      </c>
      <c r="G257" t="s">
        <v>42</v>
      </c>
      <c r="H257">
        <v>1417106</v>
      </c>
      <c r="I257" t="s">
        <v>24</v>
      </c>
      <c r="J257">
        <v>5.36</v>
      </c>
      <c r="K257">
        <v>7595688.16</v>
      </c>
      <c r="L257" t="s">
        <v>31</v>
      </c>
      <c r="M257" t="s">
        <v>97</v>
      </c>
      <c r="N257">
        <v>5.2591</v>
      </c>
      <c r="O257" t="s">
        <v>27</v>
      </c>
      <c r="Q257">
        <v>51</v>
      </c>
    </row>
    <row r="258" spans="1:19">
      <c r="A258">
        <v>257</v>
      </c>
      <c r="B258">
        <v>2</v>
      </c>
      <c r="C258">
        <v>20240225</v>
      </c>
      <c r="D258" t="s">
        <v>20</v>
      </c>
      <c r="E258" t="s">
        <v>21</v>
      </c>
      <c r="F258" t="s">
        <v>22</v>
      </c>
      <c r="G258" t="s">
        <v>42</v>
      </c>
      <c r="H258">
        <v>729395</v>
      </c>
      <c r="I258" t="s">
        <v>24</v>
      </c>
      <c r="J258">
        <v>4.48</v>
      </c>
      <c r="K258">
        <v>3267689.6</v>
      </c>
      <c r="L258" t="s">
        <v>25</v>
      </c>
      <c r="M258" t="s">
        <v>97</v>
      </c>
      <c r="N258">
        <v>4.3942</v>
      </c>
      <c r="O258" t="s">
        <v>27</v>
      </c>
      <c r="Q258">
        <v>29</v>
      </c>
    </row>
    <row r="259" spans="1:19">
      <c r="A259">
        <v>258</v>
      </c>
      <c r="B259">
        <v>2</v>
      </c>
      <c r="C259">
        <v>20240226</v>
      </c>
      <c r="D259" t="s">
        <v>20</v>
      </c>
      <c r="E259" t="s">
        <v>21</v>
      </c>
      <c r="F259" t="s">
        <v>32</v>
      </c>
      <c r="G259" t="s">
        <v>42</v>
      </c>
      <c r="H259">
        <v>346159</v>
      </c>
      <c r="I259" t="s">
        <v>24</v>
      </c>
      <c r="J259">
        <v>4.48</v>
      </c>
      <c r="K259">
        <v>1550792.32</v>
      </c>
      <c r="L259" t="s">
        <v>25</v>
      </c>
      <c r="M259" t="s">
        <v>98</v>
      </c>
      <c r="N259">
        <v>3.8117</v>
      </c>
      <c r="O259" t="s">
        <v>27</v>
      </c>
      <c r="Q259">
        <v>46</v>
      </c>
    </row>
    <row r="260" spans="1:19">
      <c r="A260">
        <v>259</v>
      </c>
      <c r="B260">
        <v>2</v>
      </c>
      <c r="C260">
        <v>20240226</v>
      </c>
      <c r="D260" t="s">
        <v>20</v>
      </c>
      <c r="E260" t="s">
        <v>21</v>
      </c>
      <c r="F260" t="s">
        <v>32</v>
      </c>
      <c r="G260" t="s">
        <v>99</v>
      </c>
      <c r="H260">
        <v>12563</v>
      </c>
      <c r="I260" t="s">
        <v>24</v>
      </c>
      <c r="J260">
        <v>4.14</v>
      </c>
      <c r="K260">
        <v>52010.82</v>
      </c>
      <c r="L260" t="s">
        <v>31</v>
      </c>
      <c r="M260" t="s">
        <v>98</v>
      </c>
      <c r="N260">
        <v>4.015</v>
      </c>
      <c r="O260" t="s">
        <v>27</v>
      </c>
      <c r="Q260">
        <v>1</v>
      </c>
    </row>
    <row r="261" spans="1:19">
      <c r="A261">
        <v>260</v>
      </c>
      <c r="B261">
        <v>2</v>
      </c>
      <c r="C261">
        <v>20240226</v>
      </c>
      <c r="D261" t="s">
        <v>20</v>
      </c>
      <c r="E261" t="s">
        <v>21</v>
      </c>
      <c r="F261" t="s">
        <v>29</v>
      </c>
      <c r="G261" t="s">
        <v>42</v>
      </c>
      <c r="H261">
        <v>1737</v>
      </c>
      <c r="I261" t="s">
        <v>24</v>
      </c>
      <c r="J261">
        <v>5.75</v>
      </c>
      <c r="K261">
        <v>9987.75</v>
      </c>
      <c r="L261" t="s">
        <v>25</v>
      </c>
      <c r="M261" t="s">
        <v>100</v>
      </c>
      <c r="N261">
        <v>5.6383</v>
      </c>
      <c r="O261" t="s">
        <v>27</v>
      </c>
      <c r="Q261">
        <v>737</v>
      </c>
      <c r="S261">
        <v>4.48</v>
      </c>
    </row>
    <row r="262" spans="1:19">
      <c r="A262">
        <v>261</v>
      </c>
      <c r="B262">
        <v>2</v>
      </c>
      <c r="C262">
        <v>20240226</v>
      </c>
      <c r="D262" t="s">
        <v>20</v>
      </c>
      <c r="E262" t="s">
        <v>21</v>
      </c>
      <c r="F262" t="s">
        <v>29</v>
      </c>
      <c r="G262" t="s">
        <v>42</v>
      </c>
      <c r="H262">
        <v>6975516</v>
      </c>
      <c r="I262" t="s">
        <v>24</v>
      </c>
      <c r="J262">
        <v>5.07</v>
      </c>
      <c r="K262">
        <v>35365866.12</v>
      </c>
      <c r="L262" t="s">
        <v>31</v>
      </c>
      <c r="M262" t="s">
        <v>100</v>
      </c>
      <c r="N262">
        <v>4.9674</v>
      </c>
      <c r="O262" t="s">
        <v>27</v>
      </c>
      <c r="S262">
        <v>4.48</v>
      </c>
    </row>
    <row r="263" spans="1:19">
      <c r="A263">
        <v>262</v>
      </c>
      <c r="B263">
        <v>2</v>
      </c>
      <c r="C263">
        <v>20240226</v>
      </c>
      <c r="D263" t="s">
        <v>20</v>
      </c>
      <c r="E263" t="s">
        <v>21</v>
      </c>
      <c r="F263" t="s">
        <v>22</v>
      </c>
      <c r="G263" t="s">
        <v>50</v>
      </c>
      <c r="H263">
        <v>11248</v>
      </c>
      <c r="I263" t="s">
        <v>24</v>
      </c>
      <c r="J263">
        <v>5.53</v>
      </c>
      <c r="K263">
        <v>62201.44</v>
      </c>
      <c r="L263" t="s">
        <v>25</v>
      </c>
      <c r="M263" t="s">
        <v>101</v>
      </c>
      <c r="N263">
        <v>4.5368</v>
      </c>
      <c r="O263" t="s">
        <v>27</v>
      </c>
      <c r="Q263">
        <v>4</v>
      </c>
    </row>
    <row r="264" spans="1:19">
      <c r="A264">
        <v>263</v>
      </c>
      <c r="B264">
        <v>2</v>
      </c>
      <c r="C264">
        <v>20240226</v>
      </c>
      <c r="D264" t="s">
        <v>20</v>
      </c>
      <c r="E264" t="s">
        <v>21</v>
      </c>
      <c r="F264" t="s">
        <v>22</v>
      </c>
      <c r="G264" t="s">
        <v>23</v>
      </c>
      <c r="H264">
        <v>22336</v>
      </c>
      <c r="I264" t="s">
        <v>24</v>
      </c>
      <c r="J264">
        <v>3.44</v>
      </c>
      <c r="K264">
        <v>76835.84</v>
      </c>
      <c r="L264" t="s">
        <v>25</v>
      </c>
      <c r="M264" t="s">
        <v>101</v>
      </c>
      <c r="N264">
        <v>3.1776</v>
      </c>
      <c r="O264" t="s">
        <v>27</v>
      </c>
      <c r="Q264">
        <v>16</v>
      </c>
    </row>
    <row r="265" spans="1:19">
      <c r="A265">
        <v>264</v>
      </c>
      <c r="B265">
        <v>2</v>
      </c>
      <c r="C265">
        <v>20240226</v>
      </c>
      <c r="D265" t="s">
        <v>20</v>
      </c>
      <c r="E265" t="s">
        <v>21</v>
      </c>
      <c r="F265" t="s">
        <v>22</v>
      </c>
      <c r="G265" t="s">
        <v>42</v>
      </c>
      <c r="H265">
        <v>274163</v>
      </c>
      <c r="I265" t="s">
        <v>24</v>
      </c>
      <c r="J265">
        <v>4.48</v>
      </c>
      <c r="K265">
        <v>1228250.24</v>
      </c>
      <c r="L265" t="s">
        <v>25</v>
      </c>
      <c r="M265" t="s">
        <v>101</v>
      </c>
      <c r="N265">
        <v>3.8151</v>
      </c>
      <c r="O265" t="s">
        <v>27</v>
      </c>
      <c r="Q265">
        <v>16</v>
      </c>
    </row>
    <row r="266" spans="1:19">
      <c r="A266">
        <v>265</v>
      </c>
      <c r="B266">
        <v>2</v>
      </c>
      <c r="C266">
        <v>20240226</v>
      </c>
      <c r="D266" t="s">
        <v>20</v>
      </c>
      <c r="E266" t="s">
        <v>21</v>
      </c>
      <c r="F266" t="s">
        <v>22</v>
      </c>
      <c r="G266" t="s">
        <v>42</v>
      </c>
      <c r="H266">
        <v>404333</v>
      </c>
      <c r="I266" t="s">
        <v>24</v>
      </c>
      <c r="J266">
        <v>4.48</v>
      </c>
      <c r="K266">
        <v>1811411.84</v>
      </c>
      <c r="L266" t="s">
        <v>25</v>
      </c>
      <c r="M266" t="s">
        <v>101</v>
      </c>
      <c r="N266">
        <v>4.2562</v>
      </c>
      <c r="O266" t="s">
        <v>27</v>
      </c>
      <c r="Q266">
        <v>20</v>
      </c>
    </row>
    <row r="267" spans="1:19">
      <c r="A267">
        <v>266</v>
      </c>
      <c r="B267">
        <v>2</v>
      </c>
      <c r="C267">
        <v>20240226</v>
      </c>
      <c r="D267" t="s">
        <v>20</v>
      </c>
      <c r="E267" t="s">
        <v>21</v>
      </c>
      <c r="F267" t="s">
        <v>22</v>
      </c>
      <c r="G267" t="s">
        <v>42</v>
      </c>
      <c r="H267">
        <v>188637</v>
      </c>
      <c r="I267" t="s">
        <v>24</v>
      </c>
      <c r="J267">
        <v>4.48</v>
      </c>
      <c r="K267">
        <v>845093.76</v>
      </c>
      <c r="L267" t="s">
        <v>25</v>
      </c>
      <c r="M267" t="s">
        <v>101</v>
      </c>
      <c r="N267">
        <v>4.2562</v>
      </c>
      <c r="O267" t="s">
        <v>27</v>
      </c>
      <c r="Q267">
        <v>11</v>
      </c>
    </row>
    <row r="268" spans="1:19">
      <c r="A268">
        <v>267</v>
      </c>
      <c r="B268">
        <v>2</v>
      </c>
      <c r="C268">
        <v>20240226</v>
      </c>
      <c r="D268" t="s">
        <v>20</v>
      </c>
      <c r="E268" t="s">
        <v>21</v>
      </c>
      <c r="F268" t="s">
        <v>22</v>
      </c>
      <c r="G268" t="s">
        <v>50</v>
      </c>
      <c r="H268">
        <v>51744</v>
      </c>
      <c r="I268" t="s">
        <v>24</v>
      </c>
      <c r="J268">
        <v>5.53</v>
      </c>
      <c r="K268">
        <v>286144.32</v>
      </c>
      <c r="L268" t="s">
        <v>31</v>
      </c>
      <c r="M268" t="s">
        <v>101</v>
      </c>
      <c r="N268">
        <v>4.0393</v>
      </c>
      <c r="O268" t="s">
        <v>27</v>
      </c>
      <c r="Q268">
        <v>3</v>
      </c>
    </row>
    <row r="269" spans="1:19">
      <c r="A269">
        <v>268</v>
      </c>
      <c r="B269">
        <v>2</v>
      </c>
      <c r="C269">
        <v>20240226</v>
      </c>
      <c r="D269" t="s">
        <v>20</v>
      </c>
      <c r="E269" t="s">
        <v>21</v>
      </c>
      <c r="F269" t="s">
        <v>22</v>
      </c>
      <c r="G269" t="s">
        <v>42</v>
      </c>
      <c r="H269">
        <v>1096612</v>
      </c>
      <c r="I269" t="s">
        <v>24</v>
      </c>
      <c r="J269">
        <v>5.63</v>
      </c>
      <c r="K269">
        <v>6173925.56</v>
      </c>
      <c r="L269" t="s">
        <v>31</v>
      </c>
      <c r="M269" t="s">
        <v>101</v>
      </c>
      <c r="N269">
        <v>5.516</v>
      </c>
      <c r="O269" t="s">
        <v>27</v>
      </c>
      <c r="Q269">
        <v>38</v>
      </c>
      <c r="S269">
        <v>4.48</v>
      </c>
    </row>
    <row r="270" spans="1:19">
      <c r="A270">
        <v>269</v>
      </c>
      <c r="B270">
        <v>2</v>
      </c>
      <c r="C270">
        <v>20240226</v>
      </c>
      <c r="D270" t="s">
        <v>20</v>
      </c>
      <c r="E270" t="s">
        <v>21</v>
      </c>
      <c r="F270" t="s">
        <v>22</v>
      </c>
      <c r="G270" t="s">
        <v>42</v>
      </c>
      <c r="H270">
        <v>153080</v>
      </c>
      <c r="I270" t="s">
        <v>24</v>
      </c>
      <c r="J270">
        <v>4.48</v>
      </c>
      <c r="K270">
        <v>685798.4</v>
      </c>
      <c r="L270" t="s">
        <v>31</v>
      </c>
      <c r="M270" t="s">
        <v>101</v>
      </c>
      <c r="N270">
        <v>3.262</v>
      </c>
      <c r="O270" t="s">
        <v>27</v>
      </c>
      <c r="Q270">
        <v>10</v>
      </c>
    </row>
    <row r="271" spans="1:19">
      <c r="A271">
        <v>270</v>
      </c>
      <c r="B271">
        <v>2</v>
      </c>
      <c r="C271">
        <v>20240226</v>
      </c>
      <c r="D271" t="s">
        <v>20</v>
      </c>
      <c r="E271" t="s">
        <v>21</v>
      </c>
      <c r="F271" t="s">
        <v>22</v>
      </c>
      <c r="G271" t="s">
        <v>50</v>
      </c>
      <c r="H271">
        <v>50660</v>
      </c>
      <c r="I271" t="s">
        <v>24</v>
      </c>
      <c r="J271">
        <v>5.53</v>
      </c>
      <c r="K271">
        <v>280149.8</v>
      </c>
      <c r="L271" t="s">
        <v>36</v>
      </c>
      <c r="M271" t="s">
        <v>101</v>
      </c>
      <c r="N271">
        <v>4.7934</v>
      </c>
      <c r="O271" t="s">
        <v>27</v>
      </c>
      <c r="Q271">
        <v>2</v>
      </c>
    </row>
    <row r="272" spans="1:19">
      <c r="A272">
        <v>271</v>
      </c>
      <c r="B272">
        <v>2</v>
      </c>
      <c r="C272">
        <v>20240227</v>
      </c>
      <c r="D272" t="s">
        <v>20</v>
      </c>
      <c r="E272" t="s">
        <v>21</v>
      </c>
      <c r="F272" t="s">
        <v>29</v>
      </c>
      <c r="G272" t="s">
        <v>102</v>
      </c>
      <c r="H272">
        <v>8134</v>
      </c>
      <c r="I272" t="s">
        <v>24</v>
      </c>
      <c r="J272">
        <v>5.1</v>
      </c>
      <c r="K272">
        <v>41483.4</v>
      </c>
      <c r="L272" t="s">
        <v>31</v>
      </c>
      <c r="N272">
        <v>5</v>
      </c>
      <c r="O272" t="s">
        <v>43</v>
      </c>
      <c r="Q272">
        <v>2</v>
      </c>
      <c r="S272">
        <v>4.48</v>
      </c>
    </row>
    <row r="273" spans="1:19">
      <c r="A273">
        <v>272</v>
      </c>
      <c r="B273">
        <v>2</v>
      </c>
      <c r="C273">
        <v>20240227</v>
      </c>
      <c r="D273" t="s">
        <v>20</v>
      </c>
      <c r="E273" t="s">
        <v>21</v>
      </c>
      <c r="F273" t="s">
        <v>29</v>
      </c>
      <c r="G273" t="s">
        <v>42</v>
      </c>
      <c r="H273">
        <v>179568</v>
      </c>
      <c r="I273" t="s">
        <v>24</v>
      </c>
      <c r="J273">
        <v>5.1</v>
      </c>
      <c r="K273">
        <v>915796.8</v>
      </c>
      <c r="L273" t="s">
        <v>31</v>
      </c>
      <c r="N273">
        <v>5</v>
      </c>
      <c r="O273" t="s">
        <v>43</v>
      </c>
      <c r="Q273">
        <v>25</v>
      </c>
      <c r="S273">
        <v>4.48</v>
      </c>
    </row>
    <row r="274" spans="1:19">
      <c r="A274">
        <v>273</v>
      </c>
      <c r="B274">
        <v>2</v>
      </c>
      <c r="C274">
        <v>20240227</v>
      </c>
      <c r="D274" t="s">
        <v>20</v>
      </c>
      <c r="E274" t="s">
        <v>21</v>
      </c>
      <c r="F274" t="s">
        <v>22</v>
      </c>
      <c r="G274" t="s">
        <v>42</v>
      </c>
      <c r="H274">
        <v>15689</v>
      </c>
      <c r="I274" t="s">
        <v>24</v>
      </c>
      <c r="J274">
        <v>4.48</v>
      </c>
      <c r="K274">
        <v>70286.72</v>
      </c>
      <c r="L274" t="s">
        <v>25</v>
      </c>
      <c r="M274" t="s">
        <v>103</v>
      </c>
      <c r="N274">
        <v>3.8</v>
      </c>
      <c r="O274" t="s">
        <v>27</v>
      </c>
      <c r="Q274">
        <v>1</v>
      </c>
    </row>
    <row r="275" spans="1:19">
      <c r="A275">
        <v>274</v>
      </c>
      <c r="B275">
        <v>2</v>
      </c>
      <c r="C275">
        <v>20240227</v>
      </c>
      <c r="D275" t="s">
        <v>20</v>
      </c>
      <c r="E275" t="s">
        <v>21</v>
      </c>
      <c r="F275" t="s">
        <v>22</v>
      </c>
      <c r="G275" t="s">
        <v>74</v>
      </c>
      <c r="H275">
        <v>115496</v>
      </c>
      <c r="I275" t="s">
        <v>24</v>
      </c>
      <c r="J275">
        <v>5.63</v>
      </c>
      <c r="K275">
        <v>650242.48</v>
      </c>
      <c r="L275" t="s">
        <v>31</v>
      </c>
      <c r="M275" t="s">
        <v>103</v>
      </c>
      <c r="N275">
        <v>5.516</v>
      </c>
      <c r="O275" t="s">
        <v>27</v>
      </c>
      <c r="Q275">
        <v>5</v>
      </c>
    </row>
    <row r="276" spans="1:19">
      <c r="A276">
        <v>275</v>
      </c>
      <c r="B276">
        <v>2</v>
      </c>
      <c r="C276">
        <v>20240227</v>
      </c>
      <c r="D276" t="s">
        <v>20</v>
      </c>
      <c r="E276" t="s">
        <v>21</v>
      </c>
      <c r="F276" t="s">
        <v>22</v>
      </c>
      <c r="G276" t="s">
        <v>42</v>
      </c>
      <c r="H276">
        <v>61611</v>
      </c>
      <c r="I276" t="s">
        <v>24</v>
      </c>
      <c r="J276">
        <v>4.48</v>
      </c>
      <c r="K276">
        <v>276017.28</v>
      </c>
      <c r="L276" t="s">
        <v>31</v>
      </c>
      <c r="M276" t="s">
        <v>103</v>
      </c>
      <c r="N276">
        <v>3.9886</v>
      </c>
      <c r="O276" t="s">
        <v>27</v>
      </c>
      <c r="Q276">
        <v>3</v>
      </c>
    </row>
    <row r="277" spans="1:19">
      <c r="A277">
        <v>276</v>
      </c>
      <c r="B277">
        <v>2</v>
      </c>
      <c r="C277">
        <v>20240228</v>
      </c>
      <c r="D277" t="s">
        <v>28</v>
      </c>
      <c r="E277" t="s">
        <v>21</v>
      </c>
      <c r="F277" t="s">
        <v>41</v>
      </c>
      <c r="G277" t="s">
        <v>30</v>
      </c>
      <c r="H277">
        <v>1740</v>
      </c>
      <c r="I277" t="s">
        <v>24</v>
      </c>
      <c r="J277">
        <v>4.14</v>
      </c>
      <c r="K277">
        <v>7203.6</v>
      </c>
      <c r="L277" t="s">
        <v>25</v>
      </c>
      <c r="N277">
        <v>4.05</v>
      </c>
      <c r="O277" t="s">
        <v>43</v>
      </c>
      <c r="Q277">
        <v>2</v>
      </c>
    </row>
    <row r="278" spans="1:19">
      <c r="A278">
        <v>277</v>
      </c>
      <c r="B278">
        <v>2</v>
      </c>
      <c r="C278">
        <v>20240228</v>
      </c>
      <c r="D278" t="s">
        <v>20</v>
      </c>
      <c r="E278" t="s">
        <v>21</v>
      </c>
      <c r="F278" t="s">
        <v>29</v>
      </c>
      <c r="G278" t="s">
        <v>74</v>
      </c>
      <c r="H278">
        <v>106935</v>
      </c>
      <c r="I278" t="s">
        <v>24</v>
      </c>
      <c r="J278">
        <v>4.48</v>
      </c>
      <c r="K278">
        <v>479068.8</v>
      </c>
      <c r="L278" t="s">
        <v>25</v>
      </c>
      <c r="N278">
        <v>3.8021</v>
      </c>
      <c r="O278" t="s">
        <v>43</v>
      </c>
      <c r="Q278">
        <v>126</v>
      </c>
      <c r="S278">
        <v>4.48</v>
      </c>
    </row>
    <row r="279" spans="1:19">
      <c r="A279">
        <v>278</v>
      </c>
      <c r="B279">
        <v>2</v>
      </c>
      <c r="C279">
        <v>20240228</v>
      </c>
      <c r="D279" t="s">
        <v>20</v>
      </c>
      <c r="E279" t="s">
        <v>21</v>
      </c>
      <c r="F279" t="s">
        <v>29</v>
      </c>
      <c r="G279" t="s">
        <v>74</v>
      </c>
      <c r="H279">
        <v>117945</v>
      </c>
      <c r="I279" t="s">
        <v>24</v>
      </c>
      <c r="J279">
        <v>4.61</v>
      </c>
      <c r="K279">
        <v>543726.45</v>
      </c>
      <c r="L279" t="s">
        <v>31</v>
      </c>
      <c r="N279">
        <v>4.5227</v>
      </c>
      <c r="O279" t="s">
        <v>43</v>
      </c>
      <c r="S279">
        <v>4.48</v>
      </c>
    </row>
    <row r="280" spans="1:19">
      <c r="A280">
        <v>279</v>
      </c>
      <c r="B280">
        <v>2</v>
      </c>
      <c r="C280">
        <v>20240229</v>
      </c>
      <c r="D280" t="s">
        <v>20</v>
      </c>
      <c r="E280" t="s">
        <v>21</v>
      </c>
      <c r="F280" t="s">
        <v>32</v>
      </c>
      <c r="G280" t="s">
        <v>50</v>
      </c>
      <c r="H280">
        <v>26180</v>
      </c>
      <c r="I280" t="s">
        <v>24</v>
      </c>
      <c r="J280">
        <v>5.53</v>
      </c>
      <c r="K280">
        <v>144775.4</v>
      </c>
      <c r="L280" t="s">
        <v>25</v>
      </c>
      <c r="M280" t="s">
        <v>104</v>
      </c>
      <c r="N280">
        <v>4.7765</v>
      </c>
      <c r="O280" t="s">
        <v>27</v>
      </c>
      <c r="Q280">
        <v>7</v>
      </c>
    </row>
    <row r="281" spans="1:19">
      <c r="A281">
        <v>280</v>
      </c>
      <c r="B281">
        <v>2</v>
      </c>
      <c r="C281">
        <v>20240229</v>
      </c>
      <c r="D281" t="s">
        <v>28</v>
      </c>
      <c r="E281" t="s">
        <v>21</v>
      </c>
      <c r="F281" t="s">
        <v>32</v>
      </c>
      <c r="G281" t="s">
        <v>37</v>
      </c>
      <c r="H281">
        <v>18708</v>
      </c>
      <c r="I281" t="s">
        <v>24</v>
      </c>
      <c r="J281">
        <v>4.14</v>
      </c>
      <c r="K281">
        <v>77451.12</v>
      </c>
      <c r="L281" t="s">
        <v>31</v>
      </c>
      <c r="M281" t="s">
        <v>105</v>
      </c>
      <c r="N281">
        <v>4.015</v>
      </c>
      <c r="O281" t="s">
        <v>27</v>
      </c>
      <c r="Q281">
        <v>22</v>
      </c>
    </row>
    <row r="282" spans="1:19">
      <c r="A282">
        <v>281</v>
      </c>
      <c r="B282">
        <v>2</v>
      </c>
      <c r="C282">
        <v>20240229</v>
      </c>
      <c r="D282" t="s">
        <v>28</v>
      </c>
      <c r="E282" t="s">
        <v>21</v>
      </c>
      <c r="F282" t="s">
        <v>32</v>
      </c>
      <c r="G282" t="s">
        <v>37</v>
      </c>
      <c r="H282">
        <v>12524</v>
      </c>
      <c r="I282" t="s">
        <v>24</v>
      </c>
      <c r="J282">
        <v>4.14</v>
      </c>
      <c r="K282">
        <v>51849.36</v>
      </c>
      <c r="L282" t="s">
        <v>36</v>
      </c>
      <c r="M282" t="s">
        <v>105</v>
      </c>
      <c r="N282">
        <v>4.015</v>
      </c>
      <c r="O282" t="s">
        <v>27</v>
      </c>
      <c r="Q282">
        <v>9</v>
      </c>
    </row>
    <row r="283" spans="1:19">
      <c r="A283">
        <v>282</v>
      </c>
      <c r="B283">
        <v>2</v>
      </c>
      <c r="C283">
        <v>20240229</v>
      </c>
      <c r="D283" t="s">
        <v>28</v>
      </c>
      <c r="E283" t="s">
        <v>21</v>
      </c>
      <c r="F283" t="s">
        <v>32</v>
      </c>
      <c r="G283" t="s">
        <v>37</v>
      </c>
      <c r="H283">
        <v>16823</v>
      </c>
      <c r="I283" t="s">
        <v>24</v>
      </c>
      <c r="J283">
        <v>4.14</v>
      </c>
      <c r="K283">
        <v>69647.22</v>
      </c>
      <c r="L283" t="s">
        <v>25</v>
      </c>
      <c r="M283" t="s">
        <v>105</v>
      </c>
      <c r="N283">
        <v>4.015</v>
      </c>
      <c r="O283" t="s">
        <v>27</v>
      </c>
      <c r="Q283">
        <v>27</v>
      </c>
    </row>
    <row r="284" spans="1:19">
      <c r="A284">
        <v>283</v>
      </c>
      <c r="B284">
        <v>2</v>
      </c>
      <c r="C284">
        <v>20240229</v>
      </c>
      <c r="D284" t="s">
        <v>28</v>
      </c>
      <c r="E284" t="s">
        <v>21</v>
      </c>
      <c r="F284" t="s">
        <v>32</v>
      </c>
      <c r="G284" t="s">
        <v>30</v>
      </c>
      <c r="H284">
        <v>152250</v>
      </c>
      <c r="I284" t="s">
        <v>24</v>
      </c>
      <c r="J284">
        <v>4.14</v>
      </c>
      <c r="K284">
        <v>630315</v>
      </c>
      <c r="L284" t="s">
        <v>25</v>
      </c>
      <c r="M284" t="s">
        <v>105</v>
      </c>
      <c r="N284">
        <v>4.015</v>
      </c>
      <c r="O284" t="s">
        <v>27</v>
      </c>
      <c r="Q284">
        <v>47</v>
      </c>
    </row>
    <row r="285" spans="1:19">
      <c r="A285">
        <v>284</v>
      </c>
      <c r="B285">
        <v>2</v>
      </c>
      <c r="C285">
        <v>20240229</v>
      </c>
      <c r="D285" t="s">
        <v>20</v>
      </c>
      <c r="E285" t="s">
        <v>21</v>
      </c>
      <c r="F285" t="s">
        <v>22</v>
      </c>
      <c r="G285" t="s">
        <v>50</v>
      </c>
      <c r="H285">
        <v>1710076</v>
      </c>
      <c r="I285" t="s">
        <v>24</v>
      </c>
      <c r="J285">
        <v>5.53</v>
      </c>
      <c r="K285">
        <v>9456720.28</v>
      </c>
      <c r="L285" t="s">
        <v>25</v>
      </c>
      <c r="M285" t="s">
        <v>106</v>
      </c>
      <c r="N285">
        <v>4.04</v>
      </c>
      <c r="O285" t="s">
        <v>27</v>
      </c>
      <c r="Q285">
        <v>68</v>
      </c>
    </row>
    <row r="286" spans="1:19">
      <c r="A286">
        <v>285</v>
      </c>
      <c r="B286">
        <v>2</v>
      </c>
      <c r="C286">
        <v>20240229</v>
      </c>
      <c r="D286" t="s">
        <v>20</v>
      </c>
      <c r="E286" t="s">
        <v>21</v>
      </c>
      <c r="F286" t="s">
        <v>22</v>
      </c>
      <c r="G286" t="s">
        <v>42</v>
      </c>
      <c r="H286">
        <v>7776</v>
      </c>
      <c r="I286" t="s">
        <v>24</v>
      </c>
      <c r="J286">
        <v>5.72</v>
      </c>
      <c r="K286">
        <v>44478.72</v>
      </c>
      <c r="L286" t="s">
        <v>25</v>
      </c>
      <c r="M286" t="s">
        <v>106</v>
      </c>
      <c r="N286">
        <v>5.606</v>
      </c>
      <c r="O286" t="s">
        <v>27</v>
      </c>
      <c r="Q286">
        <v>1</v>
      </c>
    </row>
    <row r="287" spans="1:19">
      <c r="A287">
        <v>286</v>
      </c>
      <c r="B287">
        <v>2</v>
      </c>
      <c r="C287">
        <v>20240229</v>
      </c>
      <c r="D287" t="s">
        <v>20</v>
      </c>
      <c r="E287" t="s">
        <v>21</v>
      </c>
      <c r="F287" t="s">
        <v>22</v>
      </c>
      <c r="G287" t="s">
        <v>74</v>
      </c>
      <c r="H287">
        <v>108057</v>
      </c>
      <c r="I287" t="s">
        <v>24</v>
      </c>
      <c r="J287">
        <v>4.48</v>
      </c>
      <c r="K287">
        <v>484095.36</v>
      </c>
      <c r="L287" t="s">
        <v>25</v>
      </c>
      <c r="M287" t="s">
        <v>106</v>
      </c>
      <c r="N287">
        <v>3.8012</v>
      </c>
      <c r="O287" t="s">
        <v>27</v>
      </c>
      <c r="Q287">
        <v>6</v>
      </c>
    </row>
    <row r="288" spans="1:19">
      <c r="A288">
        <v>287</v>
      </c>
      <c r="B288">
        <v>2</v>
      </c>
      <c r="C288">
        <v>20240229</v>
      </c>
      <c r="D288" t="s">
        <v>20</v>
      </c>
      <c r="E288" t="s">
        <v>21</v>
      </c>
      <c r="F288" t="s">
        <v>22</v>
      </c>
      <c r="G288" t="s">
        <v>50</v>
      </c>
      <c r="H288">
        <v>649433</v>
      </c>
      <c r="I288" t="s">
        <v>24</v>
      </c>
      <c r="J288">
        <v>5.53</v>
      </c>
      <c r="K288">
        <v>3591364.49</v>
      </c>
      <c r="L288" t="s">
        <v>36</v>
      </c>
      <c r="M288" t="s">
        <v>106</v>
      </c>
      <c r="N288">
        <v>4.8027</v>
      </c>
      <c r="O288" t="s">
        <v>27</v>
      </c>
      <c r="Q288">
        <v>34</v>
      </c>
    </row>
    <row r="289" spans="1:19">
      <c r="A289">
        <v>288</v>
      </c>
      <c r="B289">
        <v>2</v>
      </c>
      <c r="C289">
        <v>20240229</v>
      </c>
      <c r="D289" t="s">
        <v>20</v>
      </c>
      <c r="E289" t="s">
        <v>21</v>
      </c>
      <c r="F289" t="s">
        <v>22</v>
      </c>
      <c r="G289" t="s">
        <v>50</v>
      </c>
      <c r="H289">
        <v>59496</v>
      </c>
      <c r="I289" t="s">
        <v>24</v>
      </c>
      <c r="J289">
        <v>5.53</v>
      </c>
      <c r="K289">
        <v>329012.88</v>
      </c>
      <c r="L289" t="s">
        <v>31</v>
      </c>
      <c r="M289" t="s">
        <v>106</v>
      </c>
      <c r="N289">
        <v>4.627</v>
      </c>
      <c r="O289" t="s">
        <v>27</v>
      </c>
      <c r="Q289">
        <v>5</v>
      </c>
    </row>
    <row r="290" spans="1:19">
      <c r="A290">
        <v>289</v>
      </c>
      <c r="B290">
        <v>2</v>
      </c>
      <c r="C290">
        <v>20240229</v>
      </c>
      <c r="D290" t="s">
        <v>20</v>
      </c>
      <c r="E290" t="s">
        <v>21</v>
      </c>
      <c r="F290" t="s">
        <v>22</v>
      </c>
      <c r="G290" t="s">
        <v>74</v>
      </c>
      <c r="H290">
        <v>11218</v>
      </c>
      <c r="I290" t="s">
        <v>24</v>
      </c>
      <c r="J290">
        <v>5.63</v>
      </c>
      <c r="K290">
        <v>63157.34</v>
      </c>
      <c r="L290" t="s">
        <v>31</v>
      </c>
      <c r="M290" t="s">
        <v>106</v>
      </c>
      <c r="N290">
        <v>5.516</v>
      </c>
      <c r="O290" t="s">
        <v>27</v>
      </c>
      <c r="Q290">
        <v>2</v>
      </c>
    </row>
    <row r="291" spans="1:19">
      <c r="A291">
        <v>290</v>
      </c>
      <c r="B291">
        <v>2</v>
      </c>
      <c r="C291">
        <v>20240229</v>
      </c>
      <c r="D291" t="s">
        <v>28</v>
      </c>
      <c r="E291" t="s">
        <v>21</v>
      </c>
      <c r="F291" t="s">
        <v>22</v>
      </c>
      <c r="G291" t="s">
        <v>37</v>
      </c>
      <c r="H291">
        <v>14728</v>
      </c>
      <c r="I291" t="s">
        <v>24</v>
      </c>
      <c r="J291">
        <v>5.16</v>
      </c>
      <c r="K291">
        <v>75996.48</v>
      </c>
      <c r="L291" t="s">
        <v>25</v>
      </c>
      <c r="M291" t="s">
        <v>107</v>
      </c>
      <c r="N291">
        <v>5.0611</v>
      </c>
      <c r="O291" t="s">
        <v>27</v>
      </c>
      <c r="Q291">
        <v>1</v>
      </c>
    </row>
    <row r="292" spans="1:19">
      <c r="A292">
        <v>291</v>
      </c>
      <c r="B292">
        <v>2</v>
      </c>
      <c r="C292">
        <v>20240229</v>
      </c>
      <c r="D292" t="s">
        <v>28</v>
      </c>
      <c r="E292" t="s">
        <v>21</v>
      </c>
      <c r="F292" t="s">
        <v>22</v>
      </c>
      <c r="G292" t="s">
        <v>37</v>
      </c>
      <c r="H292">
        <v>5195</v>
      </c>
      <c r="I292" t="s">
        <v>24</v>
      </c>
      <c r="J292">
        <v>5.16</v>
      </c>
      <c r="K292">
        <v>26806.2</v>
      </c>
      <c r="L292" t="s">
        <v>25</v>
      </c>
      <c r="M292" t="s">
        <v>107</v>
      </c>
      <c r="N292">
        <v>5.0611</v>
      </c>
      <c r="O292" t="s">
        <v>27</v>
      </c>
      <c r="Q292">
        <v>1</v>
      </c>
    </row>
    <row r="293" spans="1:19">
      <c r="A293">
        <v>292</v>
      </c>
      <c r="B293">
        <v>2</v>
      </c>
      <c r="C293">
        <v>20240229</v>
      </c>
      <c r="D293" t="s">
        <v>28</v>
      </c>
      <c r="E293" t="s">
        <v>21</v>
      </c>
      <c r="F293" t="s">
        <v>22</v>
      </c>
      <c r="G293" t="s">
        <v>37</v>
      </c>
      <c r="H293">
        <v>517</v>
      </c>
      <c r="I293" t="s">
        <v>24</v>
      </c>
      <c r="J293">
        <v>5.16</v>
      </c>
      <c r="K293">
        <v>2667.72</v>
      </c>
      <c r="L293" t="s">
        <v>25</v>
      </c>
      <c r="M293" t="s">
        <v>107</v>
      </c>
      <c r="N293">
        <v>5.0611</v>
      </c>
      <c r="O293" t="s">
        <v>27</v>
      </c>
      <c r="Q293">
        <v>1</v>
      </c>
    </row>
    <row r="294" spans="1:19">
      <c r="A294">
        <v>293</v>
      </c>
      <c r="B294">
        <v>2</v>
      </c>
      <c r="C294">
        <v>20240229</v>
      </c>
      <c r="D294" t="s">
        <v>28</v>
      </c>
      <c r="E294" t="s">
        <v>21</v>
      </c>
      <c r="F294" t="s">
        <v>22</v>
      </c>
      <c r="G294" t="s">
        <v>37</v>
      </c>
      <c r="H294">
        <v>20</v>
      </c>
      <c r="I294" t="s">
        <v>24</v>
      </c>
      <c r="J294">
        <v>5.16</v>
      </c>
      <c r="K294">
        <v>103.2</v>
      </c>
      <c r="L294" t="s">
        <v>25</v>
      </c>
      <c r="M294" t="s">
        <v>107</v>
      </c>
      <c r="N294">
        <v>5.0611</v>
      </c>
      <c r="O294" t="s">
        <v>27</v>
      </c>
      <c r="Q294">
        <v>1</v>
      </c>
    </row>
    <row r="295" spans="1:19">
      <c r="A295">
        <v>294</v>
      </c>
      <c r="B295">
        <v>2</v>
      </c>
      <c r="C295">
        <v>20240229</v>
      </c>
      <c r="D295" t="s">
        <v>28</v>
      </c>
      <c r="E295" t="s">
        <v>21</v>
      </c>
      <c r="F295" t="s">
        <v>22</v>
      </c>
      <c r="G295" t="s">
        <v>30</v>
      </c>
      <c r="H295">
        <v>449</v>
      </c>
      <c r="I295" t="s">
        <v>24</v>
      </c>
      <c r="J295">
        <v>5.16</v>
      </c>
      <c r="K295">
        <v>2316.84</v>
      </c>
      <c r="L295" t="s">
        <v>25</v>
      </c>
      <c r="M295" t="s">
        <v>107</v>
      </c>
      <c r="N295">
        <v>5.0611</v>
      </c>
      <c r="O295" t="s">
        <v>27</v>
      </c>
      <c r="Q295">
        <v>2</v>
      </c>
    </row>
    <row r="296" spans="1:19">
      <c r="A296">
        <v>295</v>
      </c>
      <c r="B296">
        <v>2</v>
      </c>
      <c r="C296">
        <v>20240229</v>
      </c>
      <c r="D296" t="s">
        <v>28</v>
      </c>
      <c r="E296" t="s">
        <v>21</v>
      </c>
      <c r="F296" t="s">
        <v>22</v>
      </c>
      <c r="G296" t="s">
        <v>30</v>
      </c>
      <c r="H296">
        <v>545</v>
      </c>
      <c r="I296" t="s">
        <v>24</v>
      </c>
      <c r="J296">
        <v>5.16</v>
      </c>
      <c r="K296">
        <v>2812.2</v>
      </c>
      <c r="L296" t="s">
        <v>25</v>
      </c>
      <c r="M296" t="s">
        <v>107</v>
      </c>
      <c r="N296">
        <v>5.0611</v>
      </c>
      <c r="O296" t="s">
        <v>27</v>
      </c>
      <c r="Q296">
        <v>1</v>
      </c>
    </row>
    <row r="297" spans="1:19">
      <c r="A297">
        <v>296</v>
      </c>
      <c r="B297">
        <v>2</v>
      </c>
      <c r="C297">
        <v>20240229</v>
      </c>
      <c r="D297" t="s">
        <v>28</v>
      </c>
      <c r="E297" t="s">
        <v>21</v>
      </c>
      <c r="F297" t="s">
        <v>22</v>
      </c>
      <c r="G297" t="s">
        <v>30</v>
      </c>
      <c r="H297">
        <v>2</v>
      </c>
      <c r="I297" t="s">
        <v>24</v>
      </c>
      <c r="J297">
        <v>5.16</v>
      </c>
      <c r="K297">
        <v>10.32</v>
      </c>
      <c r="L297" t="s">
        <v>25</v>
      </c>
      <c r="M297" t="s">
        <v>107</v>
      </c>
      <c r="N297">
        <v>5.0611</v>
      </c>
      <c r="O297" t="s">
        <v>27</v>
      </c>
      <c r="Q297">
        <v>1</v>
      </c>
    </row>
    <row r="298" spans="1:19">
      <c r="A298">
        <v>297</v>
      </c>
      <c r="B298">
        <v>2</v>
      </c>
      <c r="C298">
        <v>20240229</v>
      </c>
      <c r="D298" t="s">
        <v>28</v>
      </c>
      <c r="E298" t="s">
        <v>21</v>
      </c>
      <c r="F298" t="s">
        <v>22</v>
      </c>
      <c r="G298" t="s">
        <v>37</v>
      </c>
      <c r="H298">
        <v>6800</v>
      </c>
      <c r="I298" t="s">
        <v>24</v>
      </c>
      <c r="J298">
        <v>5.16</v>
      </c>
      <c r="K298">
        <v>35088</v>
      </c>
      <c r="L298" t="s">
        <v>36</v>
      </c>
      <c r="M298" t="s">
        <v>107</v>
      </c>
      <c r="N298">
        <v>5.0611</v>
      </c>
      <c r="O298" t="s">
        <v>27</v>
      </c>
      <c r="Q298">
        <v>1</v>
      </c>
    </row>
    <row r="299" spans="1:19">
      <c r="A299">
        <v>298</v>
      </c>
      <c r="B299">
        <v>2</v>
      </c>
      <c r="C299">
        <v>20240229</v>
      </c>
      <c r="D299" t="s">
        <v>28</v>
      </c>
      <c r="E299" t="s">
        <v>21</v>
      </c>
      <c r="F299" t="s">
        <v>22</v>
      </c>
      <c r="G299" t="s">
        <v>30</v>
      </c>
      <c r="H299">
        <v>169</v>
      </c>
      <c r="I299" t="s">
        <v>24</v>
      </c>
      <c r="J299">
        <v>5.16</v>
      </c>
      <c r="K299">
        <v>872.04</v>
      </c>
      <c r="L299" t="s">
        <v>36</v>
      </c>
      <c r="M299" t="s">
        <v>107</v>
      </c>
      <c r="N299">
        <v>5.0611</v>
      </c>
      <c r="O299" t="s">
        <v>27</v>
      </c>
      <c r="Q299">
        <v>1</v>
      </c>
    </row>
    <row r="300" spans="1:19">
      <c r="A300">
        <v>299</v>
      </c>
      <c r="B300">
        <v>2</v>
      </c>
      <c r="C300">
        <v>20240229</v>
      </c>
      <c r="D300" t="s">
        <v>28</v>
      </c>
      <c r="E300" t="s">
        <v>21</v>
      </c>
      <c r="F300" t="s">
        <v>32</v>
      </c>
      <c r="G300" t="s">
        <v>30</v>
      </c>
      <c r="H300">
        <v>105731</v>
      </c>
      <c r="I300" t="s">
        <v>24</v>
      </c>
      <c r="J300">
        <v>4.14</v>
      </c>
      <c r="K300">
        <v>437726.34</v>
      </c>
      <c r="L300" t="s">
        <v>25</v>
      </c>
      <c r="M300" t="s">
        <v>108</v>
      </c>
      <c r="N300">
        <v>4.015</v>
      </c>
      <c r="O300" t="s">
        <v>27</v>
      </c>
      <c r="Q300">
        <v>60</v>
      </c>
    </row>
    <row r="301" spans="1:19">
      <c r="A301">
        <v>300</v>
      </c>
      <c r="B301">
        <v>3</v>
      </c>
      <c r="C301">
        <v>20240301</v>
      </c>
      <c r="D301" t="s">
        <v>20</v>
      </c>
      <c r="E301" t="s">
        <v>21</v>
      </c>
      <c r="F301" t="s">
        <v>41</v>
      </c>
      <c r="G301" t="s">
        <v>42</v>
      </c>
      <c r="H301">
        <v>631057</v>
      </c>
      <c r="I301" t="s">
        <v>24</v>
      </c>
      <c r="J301">
        <v>5.63</v>
      </c>
      <c r="K301">
        <v>3552850.91</v>
      </c>
      <c r="L301" t="s">
        <v>31</v>
      </c>
      <c r="M301" t="s">
        <v>109</v>
      </c>
      <c r="N301">
        <v>5.516</v>
      </c>
      <c r="O301" t="s">
        <v>27</v>
      </c>
      <c r="Q301">
        <v>51</v>
      </c>
      <c r="S301">
        <v>4.48</v>
      </c>
    </row>
    <row r="302" spans="1:19">
      <c r="A302">
        <v>301</v>
      </c>
      <c r="B302">
        <v>3</v>
      </c>
      <c r="C302">
        <v>20240301</v>
      </c>
      <c r="D302" t="s">
        <v>20</v>
      </c>
      <c r="E302" t="s">
        <v>21</v>
      </c>
      <c r="F302" t="s">
        <v>41</v>
      </c>
      <c r="G302" t="s">
        <v>42</v>
      </c>
      <c r="H302">
        <v>951453</v>
      </c>
      <c r="I302" t="s">
        <v>24</v>
      </c>
      <c r="J302">
        <v>5.63</v>
      </c>
      <c r="K302">
        <v>5356680.39</v>
      </c>
      <c r="L302" t="s">
        <v>25</v>
      </c>
      <c r="M302" t="s">
        <v>109</v>
      </c>
      <c r="N302">
        <v>5.516</v>
      </c>
      <c r="O302" t="s">
        <v>27</v>
      </c>
      <c r="Q302">
        <v>87</v>
      </c>
      <c r="S302">
        <v>4.48</v>
      </c>
    </row>
    <row r="303" spans="1:19">
      <c r="A303">
        <v>302</v>
      </c>
      <c r="B303">
        <v>3</v>
      </c>
      <c r="C303">
        <v>20240301</v>
      </c>
      <c r="D303" t="s">
        <v>20</v>
      </c>
      <c r="E303" t="s">
        <v>21</v>
      </c>
      <c r="F303" t="s">
        <v>41</v>
      </c>
      <c r="G303" t="s">
        <v>42</v>
      </c>
      <c r="H303">
        <v>23299</v>
      </c>
      <c r="I303" t="s">
        <v>24</v>
      </c>
      <c r="J303">
        <v>5.63</v>
      </c>
      <c r="K303">
        <v>131173.37</v>
      </c>
      <c r="L303" t="s">
        <v>25</v>
      </c>
      <c r="M303" t="s">
        <v>109</v>
      </c>
      <c r="N303">
        <v>5.516</v>
      </c>
      <c r="O303" t="s">
        <v>27</v>
      </c>
      <c r="Q303">
        <v>3</v>
      </c>
      <c r="S303">
        <v>4.48</v>
      </c>
    </row>
    <row r="304" spans="1:19">
      <c r="A304">
        <v>303</v>
      </c>
      <c r="B304">
        <v>3</v>
      </c>
      <c r="C304">
        <v>20240301</v>
      </c>
      <c r="D304" t="s">
        <v>20</v>
      </c>
      <c r="E304" t="s">
        <v>21</v>
      </c>
      <c r="F304" t="s">
        <v>46</v>
      </c>
      <c r="G304" t="s">
        <v>110</v>
      </c>
      <c r="H304">
        <v>12826</v>
      </c>
      <c r="I304" t="s">
        <v>24</v>
      </c>
      <c r="J304">
        <v>7.46</v>
      </c>
      <c r="K304">
        <v>95681.96</v>
      </c>
      <c r="L304" t="s">
        <v>31</v>
      </c>
      <c r="N304">
        <v>6.82</v>
      </c>
      <c r="O304" t="s">
        <v>27</v>
      </c>
      <c r="Q304">
        <v>2</v>
      </c>
    </row>
    <row r="305" spans="1:17">
      <c r="A305">
        <v>304</v>
      </c>
      <c r="B305">
        <v>3</v>
      </c>
      <c r="C305">
        <v>20240301</v>
      </c>
      <c r="D305" t="s">
        <v>20</v>
      </c>
      <c r="E305" t="s">
        <v>21</v>
      </c>
      <c r="F305" t="s">
        <v>59</v>
      </c>
      <c r="G305" t="s">
        <v>42</v>
      </c>
      <c r="H305">
        <v>303486</v>
      </c>
      <c r="I305" t="s">
        <v>24</v>
      </c>
      <c r="J305">
        <v>4.58</v>
      </c>
      <c r="K305">
        <v>1389965.88</v>
      </c>
      <c r="L305" t="s">
        <v>25</v>
      </c>
      <c r="M305" t="s">
        <v>111</v>
      </c>
      <c r="N305">
        <v>4.4886</v>
      </c>
      <c r="O305" t="s">
        <v>27</v>
      </c>
      <c r="Q305">
        <v>20</v>
      </c>
    </row>
    <row r="306" spans="1:17">
      <c r="A306">
        <v>305</v>
      </c>
      <c r="B306">
        <v>3</v>
      </c>
      <c r="C306">
        <v>20240304</v>
      </c>
      <c r="D306" t="s">
        <v>20</v>
      </c>
      <c r="E306" t="s">
        <v>21</v>
      </c>
      <c r="F306" t="s">
        <v>22</v>
      </c>
      <c r="G306" t="s">
        <v>50</v>
      </c>
      <c r="H306">
        <v>647563</v>
      </c>
      <c r="I306" t="s">
        <v>24</v>
      </c>
      <c r="J306">
        <v>5.53</v>
      </c>
      <c r="K306">
        <v>3581023.39</v>
      </c>
      <c r="L306" t="s">
        <v>36</v>
      </c>
      <c r="M306" t="s">
        <v>112</v>
      </c>
      <c r="N306">
        <v>4.8073</v>
      </c>
      <c r="O306" t="s">
        <v>27</v>
      </c>
      <c r="Q306">
        <v>32</v>
      </c>
    </row>
    <row r="307" spans="1:17">
      <c r="A307">
        <v>306</v>
      </c>
      <c r="B307">
        <v>3</v>
      </c>
      <c r="C307">
        <v>20240304</v>
      </c>
      <c r="D307" t="s">
        <v>20</v>
      </c>
      <c r="E307" t="s">
        <v>21</v>
      </c>
      <c r="F307" t="s">
        <v>22</v>
      </c>
      <c r="G307" t="s">
        <v>50</v>
      </c>
      <c r="H307">
        <v>1313203</v>
      </c>
      <c r="I307" t="s">
        <v>24</v>
      </c>
      <c r="J307">
        <v>5.53</v>
      </c>
      <c r="K307">
        <v>7262012.59</v>
      </c>
      <c r="L307" t="s">
        <v>31</v>
      </c>
      <c r="M307" t="s">
        <v>112</v>
      </c>
      <c r="N307">
        <v>4.6357</v>
      </c>
      <c r="O307" t="s">
        <v>27</v>
      </c>
      <c r="Q307">
        <v>55</v>
      </c>
    </row>
    <row r="308" spans="1:17">
      <c r="A308">
        <v>307</v>
      </c>
      <c r="B308">
        <v>3</v>
      </c>
      <c r="C308">
        <v>20240304</v>
      </c>
      <c r="D308" t="s">
        <v>28</v>
      </c>
      <c r="E308" t="s">
        <v>21</v>
      </c>
      <c r="F308" t="s">
        <v>29</v>
      </c>
      <c r="G308" t="s">
        <v>37</v>
      </c>
      <c r="H308">
        <v>156</v>
      </c>
      <c r="I308" t="s">
        <v>24</v>
      </c>
      <c r="J308">
        <v>4.53</v>
      </c>
      <c r="K308">
        <v>706.68</v>
      </c>
      <c r="L308" t="s">
        <v>25</v>
      </c>
      <c r="M308" t="s">
        <v>113</v>
      </c>
      <c r="N308">
        <v>4.44</v>
      </c>
      <c r="O308" t="s">
        <v>27</v>
      </c>
      <c r="Q308">
        <v>5</v>
      </c>
    </row>
    <row r="309" spans="1:17">
      <c r="A309">
        <v>308</v>
      </c>
      <c r="B309">
        <v>3</v>
      </c>
      <c r="C309">
        <v>20240304</v>
      </c>
      <c r="D309" t="s">
        <v>28</v>
      </c>
      <c r="E309" t="s">
        <v>21</v>
      </c>
      <c r="F309" t="s">
        <v>29</v>
      </c>
      <c r="G309" t="s">
        <v>37</v>
      </c>
      <c r="H309">
        <v>211</v>
      </c>
      <c r="I309" t="s">
        <v>24</v>
      </c>
      <c r="J309">
        <v>4.53</v>
      </c>
      <c r="K309">
        <v>955.83</v>
      </c>
      <c r="L309" t="s">
        <v>25</v>
      </c>
      <c r="M309" t="s">
        <v>113</v>
      </c>
      <c r="N309">
        <v>4.44</v>
      </c>
      <c r="O309" t="s">
        <v>27</v>
      </c>
      <c r="Q309">
        <v>15</v>
      </c>
    </row>
    <row r="310" spans="1:17">
      <c r="A310">
        <v>309</v>
      </c>
      <c r="B310">
        <v>3</v>
      </c>
      <c r="C310">
        <v>20240304</v>
      </c>
      <c r="D310" t="s">
        <v>28</v>
      </c>
      <c r="E310" t="s">
        <v>21</v>
      </c>
      <c r="F310" t="s">
        <v>29</v>
      </c>
      <c r="G310" t="s">
        <v>37</v>
      </c>
      <c r="H310">
        <v>1284</v>
      </c>
      <c r="I310" t="s">
        <v>24</v>
      </c>
      <c r="J310">
        <v>4.53</v>
      </c>
      <c r="K310">
        <v>5816.52</v>
      </c>
      <c r="L310" t="s">
        <v>114</v>
      </c>
      <c r="M310" t="s">
        <v>113</v>
      </c>
      <c r="N310">
        <v>4.44</v>
      </c>
      <c r="O310" t="s">
        <v>27</v>
      </c>
    </row>
    <row r="311" spans="1:17">
      <c r="A311">
        <v>310</v>
      </c>
      <c r="B311">
        <v>3</v>
      </c>
      <c r="C311">
        <v>20240304</v>
      </c>
      <c r="D311" t="s">
        <v>28</v>
      </c>
      <c r="E311" t="s">
        <v>21</v>
      </c>
      <c r="F311" t="s">
        <v>29</v>
      </c>
      <c r="G311" t="s">
        <v>37</v>
      </c>
      <c r="H311">
        <v>503</v>
      </c>
      <c r="I311" t="s">
        <v>24</v>
      </c>
      <c r="J311">
        <v>4.53</v>
      </c>
      <c r="K311">
        <v>2278.59</v>
      </c>
      <c r="L311" t="s">
        <v>31</v>
      </c>
      <c r="M311" t="s">
        <v>113</v>
      </c>
      <c r="N311">
        <v>4.44</v>
      </c>
      <c r="O311" t="s">
        <v>27</v>
      </c>
      <c r="Q311">
        <v>14</v>
      </c>
    </row>
    <row r="312" spans="1:17">
      <c r="A312">
        <v>311</v>
      </c>
      <c r="B312">
        <v>3</v>
      </c>
      <c r="C312">
        <v>20240304</v>
      </c>
      <c r="D312" t="s">
        <v>28</v>
      </c>
      <c r="E312" t="s">
        <v>21</v>
      </c>
      <c r="F312" t="s">
        <v>29</v>
      </c>
      <c r="G312" t="s">
        <v>30</v>
      </c>
      <c r="H312">
        <v>36736</v>
      </c>
      <c r="I312" t="s">
        <v>24</v>
      </c>
      <c r="J312">
        <v>4.53</v>
      </c>
      <c r="K312">
        <v>166414.08</v>
      </c>
      <c r="L312" t="s">
        <v>25</v>
      </c>
      <c r="M312" t="s">
        <v>113</v>
      </c>
      <c r="N312">
        <v>4.44</v>
      </c>
      <c r="O312" t="s">
        <v>27</v>
      </c>
      <c r="Q312">
        <v>170</v>
      </c>
    </row>
    <row r="313" spans="1:17">
      <c r="A313">
        <v>312</v>
      </c>
      <c r="B313">
        <v>3</v>
      </c>
      <c r="C313">
        <v>20240304</v>
      </c>
      <c r="D313" t="s">
        <v>28</v>
      </c>
      <c r="E313" t="s">
        <v>21</v>
      </c>
      <c r="F313" t="s">
        <v>29</v>
      </c>
      <c r="G313" t="s">
        <v>30</v>
      </c>
      <c r="H313">
        <v>203</v>
      </c>
      <c r="I313" t="s">
        <v>24</v>
      </c>
      <c r="J313">
        <v>4.53</v>
      </c>
      <c r="K313">
        <v>919.59</v>
      </c>
      <c r="L313" t="s">
        <v>36</v>
      </c>
      <c r="M313" t="s">
        <v>113</v>
      </c>
      <c r="N313">
        <v>4.44</v>
      </c>
      <c r="O313" t="s">
        <v>27</v>
      </c>
    </row>
    <row r="314" spans="1:17">
      <c r="A314">
        <v>313</v>
      </c>
      <c r="B314">
        <v>3</v>
      </c>
      <c r="C314">
        <v>20240304</v>
      </c>
      <c r="D314" t="s">
        <v>28</v>
      </c>
      <c r="E314" t="s">
        <v>21</v>
      </c>
      <c r="F314" t="s">
        <v>29</v>
      </c>
      <c r="G314" t="s">
        <v>30</v>
      </c>
      <c r="H314">
        <v>644334</v>
      </c>
      <c r="I314" t="s">
        <v>24</v>
      </c>
      <c r="J314">
        <v>4.53</v>
      </c>
      <c r="K314">
        <v>2918833.02</v>
      </c>
      <c r="L314" t="s">
        <v>31</v>
      </c>
      <c r="M314" t="s">
        <v>113</v>
      </c>
      <c r="N314">
        <v>4.44</v>
      </c>
      <c r="O314" t="s">
        <v>27</v>
      </c>
    </row>
    <row r="315" spans="1:17">
      <c r="A315">
        <v>314</v>
      </c>
      <c r="B315">
        <v>3</v>
      </c>
      <c r="C315">
        <v>20240304</v>
      </c>
      <c r="D315" t="s">
        <v>28</v>
      </c>
      <c r="E315" t="s">
        <v>21</v>
      </c>
      <c r="F315" t="s">
        <v>29</v>
      </c>
      <c r="G315" t="s">
        <v>30</v>
      </c>
      <c r="H315">
        <v>1581</v>
      </c>
      <c r="I315" t="s">
        <v>24</v>
      </c>
      <c r="J315">
        <v>4.53</v>
      </c>
      <c r="K315">
        <v>7161.93</v>
      </c>
      <c r="L315" t="s">
        <v>31</v>
      </c>
      <c r="M315" t="s">
        <v>113</v>
      </c>
      <c r="N315">
        <v>4.44</v>
      </c>
      <c r="O315" t="s">
        <v>27</v>
      </c>
      <c r="Q315">
        <v>59</v>
      </c>
    </row>
    <row r="316" spans="1:17">
      <c r="A316">
        <v>315</v>
      </c>
      <c r="B316">
        <v>3</v>
      </c>
      <c r="C316">
        <v>20240304</v>
      </c>
      <c r="D316" t="s">
        <v>28</v>
      </c>
      <c r="E316" t="s">
        <v>21</v>
      </c>
      <c r="F316" t="s">
        <v>29</v>
      </c>
      <c r="G316" t="s">
        <v>30</v>
      </c>
      <c r="H316">
        <v>320</v>
      </c>
      <c r="I316" t="s">
        <v>24</v>
      </c>
      <c r="J316">
        <v>4.53</v>
      </c>
      <c r="K316">
        <v>1449.6</v>
      </c>
      <c r="L316" t="s">
        <v>25</v>
      </c>
      <c r="M316" t="s">
        <v>113</v>
      </c>
      <c r="N316">
        <v>4.44</v>
      </c>
      <c r="O316" t="s">
        <v>27</v>
      </c>
    </row>
    <row r="317" spans="1:17">
      <c r="A317">
        <v>316</v>
      </c>
      <c r="B317">
        <v>3</v>
      </c>
      <c r="C317">
        <v>20240304</v>
      </c>
      <c r="D317" t="s">
        <v>28</v>
      </c>
      <c r="E317" t="s">
        <v>21</v>
      </c>
      <c r="F317" t="s">
        <v>29</v>
      </c>
      <c r="G317" t="s">
        <v>30</v>
      </c>
      <c r="H317">
        <v>738</v>
      </c>
      <c r="I317" t="s">
        <v>24</v>
      </c>
      <c r="J317">
        <v>4.53</v>
      </c>
      <c r="K317">
        <v>3343.14</v>
      </c>
      <c r="L317" t="s">
        <v>25</v>
      </c>
      <c r="M317" t="s">
        <v>113</v>
      </c>
      <c r="N317">
        <v>4.44</v>
      </c>
      <c r="O317" t="s">
        <v>27</v>
      </c>
      <c r="Q317">
        <v>21</v>
      </c>
    </row>
    <row r="318" spans="1:17">
      <c r="A318">
        <v>317</v>
      </c>
      <c r="B318">
        <v>3</v>
      </c>
      <c r="C318">
        <v>20240304</v>
      </c>
      <c r="D318" t="s">
        <v>28</v>
      </c>
      <c r="E318" t="s">
        <v>21</v>
      </c>
      <c r="F318" t="s">
        <v>29</v>
      </c>
      <c r="G318" t="s">
        <v>30</v>
      </c>
      <c r="H318">
        <v>323</v>
      </c>
      <c r="I318" t="s">
        <v>24</v>
      </c>
      <c r="J318">
        <v>4.53</v>
      </c>
      <c r="K318">
        <v>1463.19</v>
      </c>
      <c r="L318" t="s">
        <v>25</v>
      </c>
      <c r="M318" t="s">
        <v>113</v>
      </c>
      <c r="N318">
        <v>4.44</v>
      </c>
      <c r="O318" t="s">
        <v>27</v>
      </c>
      <c r="Q318">
        <v>15</v>
      </c>
    </row>
    <row r="319" spans="1:17">
      <c r="A319">
        <v>318</v>
      </c>
      <c r="B319">
        <v>3</v>
      </c>
      <c r="C319">
        <v>20240304</v>
      </c>
      <c r="D319" t="s">
        <v>28</v>
      </c>
      <c r="E319" t="s">
        <v>21</v>
      </c>
      <c r="F319" t="s">
        <v>29</v>
      </c>
      <c r="G319" t="s">
        <v>30</v>
      </c>
      <c r="H319">
        <v>42</v>
      </c>
      <c r="I319" t="s">
        <v>24</v>
      </c>
      <c r="J319">
        <v>4.53</v>
      </c>
      <c r="K319">
        <v>190.26</v>
      </c>
      <c r="L319" t="s">
        <v>25</v>
      </c>
      <c r="M319" t="s">
        <v>113</v>
      </c>
      <c r="N319">
        <v>4.44</v>
      </c>
      <c r="O319" t="s">
        <v>27</v>
      </c>
    </row>
    <row r="320" spans="1:17">
      <c r="A320">
        <v>319</v>
      </c>
      <c r="B320">
        <v>3</v>
      </c>
      <c r="C320">
        <v>20240304</v>
      </c>
      <c r="D320" t="s">
        <v>20</v>
      </c>
      <c r="E320" t="s">
        <v>21</v>
      </c>
      <c r="F320" t="s">
        <v>32</v>
      </c>
      <c r="G320" t="s">
        <v>42</v>
      </c>
      <c r="H320">
        <v>2008</v>
      </c>
      <c r="I320" t="s">
        <v>24</v>
      </c>
      <c r="J320">
        <v>4.48</v>
      </c>
      <c r="K320">
        <v>8995.84</v>
      </c>
      <c r="L320" t="s">
        <v>25</v>
      </c>
      <c r="M320" t="s">
        <v>115</v>
      </c>
      <c r="N320">
        <v>3.8117</v>
      </c>
      <c r="O320" t="s">
        <v>27</v>
      </c>
      <c r="Q320">
        <v>151</v>
      </c>
    </row>
    <row r="321" spans="1:19">
      <c r="A321">
        <v>320</v>
      </c>
      <c r="B321">
        <v>3</v>
      </c>
      <c r="C321">
        <v>20240304</v>
      </c>
      <c r="D321" t="s">
        <v>20</v>
      </c>
      <c r="E321" t="s">
        <v>21</v>
      </c>
      <c r="F321" t="s">
        <v>59</v>
      </c>
      <c r="G321" t="s">
        <v>47</v>
      </c>
      <c r="H321">
        <v>35833</v>
      </c>
      <c r="I321" t="s">
        <v>24</v>
      </c>
      <c r="J321">
        <v>7.46</v>
      </c>
      <c r="K321">
        <v>267314.18</v>
      </c>
      <c r="L321" t="s">
        <v>25</v>
      </c>
      <c r="M321" t="s">
        <v>116</v>
      </c>
      <c r="N321">
        <v>4.96</v>
      </c>
      <c r="O321" t="s">
        <v>27</v>
      </c>
      <c r="Q321">
        <v>74</v>
      </c>
    </row>
    <row r="322" spans="1:19">
      <c r="A322">
        <v>321</v>
      </c>
      <c r="B322">
        <v>3</v>
      </c>
      <c r="C322">
        <v>20240305</v>
      </c>
      <c r="D322" t="s">
        <v>20</v>
      </c>
      <c r="E322" t="s">
        <v>21</v>
      </c>
      <c r="F322" t="s">
        <v>29</v>
      </c>
      <c r="G322" t="s">
        <v>102</v>
      </c>
      <c r="H322">
        <v>288638</v>
      </c>
      <c r="I322" t="s">
        <v>24</v>
      </c>
      <c r="J322">
        <v>4.48</v>
      </c>
      <c r="K322">
        <v>1293098.24</v>
      </c>
      <c r="L322" t="s">
        <v>31</v>
      </c>
      <c r="M322" t="s">
        <v>117</v>
      </c>
      <c r="N322">
        <v>3.98701</v>
      </c>
      <c r="O322" t="s">
        <v>27</v>
      </c>
      <c r="Q322">
        <v>86</v>
      </c>
    </row>
    <row r="323" spans="1:19">
      <c r="A323">
        <v>322</v>
      </c>
      <c r="B323">
        <v>3</v>
      </c>
      <c r="C323">
        <v>20240305</v>
      </c>
      <c r="D323" t="s">
        <v>20</v>
      </c>
      <c r="E323" t="s">
        <v>21</v>
      </c>
      <c r="F323" t="s">
        <v>32</v>
      </c>
      <c r="G323" t="s">
        <v>118</v>
      </c>
      <c r="H323">
        <v>395415</v>
      </c>
      <c r="I323" t="s">
        <v>24</v>
      </c>
      <c r="J323">
        <v>3.53</v>
      </c>
      <c r="K323">
        <v>1395814.95</v>
      </c>
      <c r="L323" t="s">
        <v>31</v>
      </c>
      <c r="M323" t="s">
        <v>119</v>
      </c>
      <c r="N323">
        <v>3.223</v>
      </c>
      <c r="O323" t="s">
        <v>27</v>
      </c>
      <c r="Q323">
        <v>64</v>
      </c>
    </row>
    <row r="324" spans="1:19">
      <c r="A324">
        <v>323</v>
      </c>
      <c r="B324">
        <v>3</v>
      </c>
      <c r="C324">
        <v>20240306</v>
      </c>
      <c r="D324" t="s">
        <v>20</v>
      </c>
      <c r="E324" t="s">
        <v>21</v>
      </c>
      <c r="F324" t="s">
        <v>41</v>
      </c>
      <c r="G324" t="s">
        <v>74</v>
      </c>
      <c r="H324">
        <v>1013</v>
      </c>
      <c r="I324" t="s">
        <v>24</v>
      </c>
      <c r="J324">
        <v>5.63</v>
      </c>
      <c r="K324">
        <v>5703.19</v>
      </c>
      <c r="L324" t="s">
        <v>25</v>
      </c>
      <c r="N324">
        <v>5.516</v>
      </c>
      <c r="O324" t="s">
        <v>43</v>
      </c>
      <c r="Q324">
        <v>1</v>
      </c>
      <c r="S324">
        <v>4.48</v>
      </c>
    </row>
    <row r="325" spans="1:19">
      <c r="A325">
        <v>324</v>
      </c>
      <c r="B325">
        <v>3</v>
      </c>
      <c r="C325">
        <v>20240306</v>
      </c>
      <c r="D325" t="s">
        <v>20</v>
      </c>
      <c r="E325" t="s">
        <v>21</v>
      </c>
      <c r="F325" t="s">
        <v>41</v>
      </c>
      <c r="G325" t="s">
        <v>74</v>
      </c>
      <c r="H325">
        <v>1803</v>
      </c>
      <c r="I325" t="s">
        <v>24</v>
      </c>
      <c r="J325">
        <v>5.63</v>
      </c>
      <c r="K325">
        <v>10150.89</v>
      </c>
      <c r="L325" t="s">
        <v>31</v>
      </c>
      <c r="N325">
        <v>5.516</v>
      </c>
      <c r="O325" t="s">
        <v>43</v>
      </c>
      <c r="Q325">
        <v>1</v>
      </c>
      <c r="S325">
        <v>4.48</v>
      </c>
    </row>
    <row r="326" spans="1:19">
      <c r="A326">
        <v>325</v>
      </c>
      <c r="B326">
        <v>3</v>
      </c>
      <c r="C326">
        <v>20240306</v>
      </c>
      <c r="D326" t="s">
        <v>20</v>
      </c>
      <c r="E326" t="s">
        <v>21</v>
      </c>
      <c r="F326" t="s">
        <v>32</v>
      </c>
      <c r="G326" t="s">
        <v>118</v>
      </c>
      <c r="H326">
        <v>197606</v>
      </c>
      <c r="I326" t="s">
        <v>24</v>
      </c>
      <c r="J326">
        <v>3.53</v>
      </c>
      <c r="K326">
        <v>697549.18</v>
      </c>
      <c r="L326" t="s">
        <v>31</v>
      </c>
      <c r="N326">
        <v>3.223</v>
      </c>
      <c r="O326" t="s">
        <v>43</v>
      </c>
      <c r="Q326">
        <v>113</v>
      </c>
    </row>
    <row r="327" spans="1:19">
      <c r="A327">
        <v>326</v>
      </c>
      <c r="B327">
        <v>3</v>
      </c>
      <c r="C327">
        <v>20240306</v>
      </c>
      <c r="D327" t="s">
        <v>28</v>
      </c>
      <c r="E327" t="s">
        <v>21</v>
      </c>
      <c r="F327" t="s">
        <v>32</v>
      </c>
      <c r="G327" t="s">
        <v>118</v>
      </c>
      <c r="H327">
        <v>2735</v>
      </c>
      <c r="I327" t="s">
        <v>24</v>
      </c>
      <c r="J327">
        <v>3.53</v>
      </c>
      <c r="K327">
        <v>9654.55</v>
      </c>
      <c r="L327" t="s">
        <v>31</v>
      </c>
      <c r="N327">
        <v>3.223</v>
      </c>
      <c r="O327" t="s">
        <v>43</v>
      </c>
      <c r="Q327">
        <v>62</v>
      </c>
    </row>
    <row r="328" spans="1:19">
      <c r="A328">
        <v>327</v>
      </c>
      <c r="B328">
        <v>3</v>
      </c>
      <c r="C328">
        <v>20240306</v>
      </c>
      <c r="D328" t="s">
        <v>28</v>
      </c>
      <c r="E328" t="s">
        <v>21</v>
      </c>
      <c r="F328" t="s">
        <v>32</v>
      </c>
      <c r="G328" t="s">
        <v>120</v>
      </c>
      <c r="H328">
        <v>101</v>
      </c>
      <c r="I328" t="s">
        <v>24</v>
      </c>
      <c r="J328">
        <v>276.79</v>
      </c>
      <c r="K328">
        <v>27955.79</v>
      </c>
      <c r="L328" t="s">
        <v>25</v>
      </c>
      <c r="N328">
        <v>200.17</v>
      </c>
      <c r="O328" t="s">
        <v>43</v>
      </c>
      <c r="Q328">
        <v>10</v>
      </c>
    </row>
    <row r="329" spans="1:19">
      <c r="A329">
        <v>328</v>
      </c>
      <c r="B329">
        <v>3</v>
      </c>
      <c r="C329">
        <v>20240306</v>
      </c>
      <c r="D329" t="s">
        <v>28</v>
      </c>
      <c r="E329" t="s">
        <v>21</v>
      </c>
      <c r="F329" t="s">
        <v>32</v>
      </c>
      <c r="G329" t="s">
        <v>120</v>
      </c>
      <c r="H329">
        <v>375</v>
      </c>
      <c r="I329" t="s">
        <v>24</v>
      </c>
      <c r="J329">
        <v>276.79</v>
      </c>
      <c r="K329">
        <v>103796.25</v>
      </c>
      <c r="L329" t="s">
        <v>31</v>
      </c>
      <c r="N329">
        <v>240.67</v>
      </c>
      <c r="O329" t="s">
        <v>43</v>
      </c>
      <c r="Q329">
        <v>11</v>
      </c>
    </row>
    <row r="330" spans="1:19">
      <c r="A330">
        <v>329</v>
      </c>
      <c r="B330">
        <v>3</v>
      </c>
      <c r="C330">
        <v>20240306</v>
      </c>
      <c r="D330" t="s">
        <v>28</v>
      </c>
      <c r="E330" t="s">
        <v>21</v>
      </c>
      <c r="F330" t="s">
        <v>32</v>
      </c>
      <c r="G330" t="s">
        <v>120</v>
      </c>
      <c r="H330">
        <v>1894</v>
      </c>
      <c r="I330" t="s">
        <v>24</v>
      </c>
      <c r="J330">
        <v>276.79</v>
      </c>
      <c r="K330">
        <v>524240.26</v>
      </c>
      <c r="L330" t="s">
        <v>36</v>
      </c>
      <c r="N330">
        <v>200.17</v>
      </c>
      <c r="O330" t="s">
        <v>43</v>
      </c>
      <c r="Q330">
        <v>18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8"/>
  <sheetViews>
    <sheetView workbookViewId="0">
      <selection activeCell="A1" sqref="A1:T228"/>
    </sheetView>
  </sheetViews>
  <sheetFormatPr defaultColWidth="8.72727272727273" defaultRowHeight="14"/>
  <cols>
    <col min="3" max="3" width="9.54545454545454"/>
    <col min="11" max="11" width="12.8181818181818"/>
    <col min="14" max="14" width="9.54545454545454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2</v>
      </c>
      <c r="C2">
        <v>20240201</v>
      </c>
      <c r="D2" t="s">
        <v>20</v>
      </c>
      <c r="E2" t="s">
        <v>21</v>
      </c>
      <c r="F2" t="s">
        <v>22</v>
      </c>
      <c r="G2" t="s">
        <v>23</v>
      </c>
      <c r="H2">
        <v>2429</v>
      </c>
      <c r="I2" t="s">
        <v>24</v>
      </c>
      <c r="J2">
        <v>3.44</v>
      </c>
      <c r="K2">
        <v>8355.76</v>
      </c>
      <c r="L2" t="s">
        <v>25</v>
      </c>
      <c r="M2" t="s">
        <v>26</v>
      </c>
      <c r="N2">
        <v>3.1943</v>
      </c>
      <c r="O2" t="s">
        <v>27</v>
      </c>
      <c r="Q2">
        <v>2</v>
      </c>
    </row>
    <row r="3" spans="1:20">
      <c r="A3">
        <v>2</v>
      </c>
      <c r="B3">
        <v>2</v>
      </c>
      <c r="C3">
        <v>20240201</v>
      </c>
      <c r="D3" t="s">
        <v>28</v>
      </c>
      <c r="E3" t="s">
        <v>21</v>
      </c>
      <c r="F3" t="s">
        <v>29</v>
      </c>
      <c r="G3" t="s">
        <v>30</v>
      </c>
      <c r="H3">
        <v>88327</v>
      </c>
      <c r="I3" t="s">
        <v>24</v>
      </c>
      <c r="J3">
        <v>4.14</v>
      </c>
      <c r="K3">
        <v>365673.78</v>
      </c>
      <c r="L3" t="s">
        <v>25</v>
      </c>
      <c r="M3" t="s">
        <v>26</v>
      </c>
      <c r="N3">
        <v>3.486</v>
      </c>
      <c r="O3" t="s">
        <v>27</v>
      </c>
      <c r="Q3">
        <v>72</v>
      </c>
      <c r="S3">
        <v>4.14</v>
      </c>
    </row>
    <row r="4" spans="1:20">
      <c r="A4">
        <v>3</v>
      </c>
      <c r="B4">
        <v>2</v>
      </c>
      <c r="C4">
        <v>20240201</v>
      </c>
      <c r="D4" t="s">
        <v>28</v>
      </c>
      <c r="E4" t="s">
        <v>21</v>
      </c>
      <c r="F4" t="s">
        <v>29</v>
      </c>
      <c r="G4" t="s">
        <v>30</v>
      </c>
      <c r="H4">
        <v>55801</v>
      </c>
      <c r="I4" t="s">
        <v>24</v>
      </c>
      <c r="J4">
        <v>5.01</v>
      </c>
      <c r="K4">
        <v>279563.01</v>
      </c>
      <c r="L4" t="s">
        <v>25</v>
      </c>
      <c r="M4" t="s">
        <v>26</v>
      </c>
      <c r="N4">
        <v>4.9112</v>
      </c>
      <c r="O4" t="s">
        <v>27</v>
      </c>
      <c r="S4">
        <v>4.14</v>
      </c>
    </row>
    <row r="5" spans="1:20">
      <c r="A5">
        <v>4</v>
      </c>
      <c r="B5">
        <v>2</v>
      </c>
      <c r="C5">
        <v>20240201</v>
      </c>
      <c r="D5" t="s">
        <v>28</v>
      </c>
      <c r="E5" t="s">
        <v>21</v>
      </c>
      <c r="F5" t="s">
        <v>29</v>
      </c>
      <c r="G5" t="s">
        <v>30</v>
      </c>
      <c r="H5">
        <v>178720</v>
      </c>
      <c r="I5" t="s">
        <v>24</v>
      </c>
      <c r="J5">
        <v>4.14</v>
      </c>
      <c r="K5">
        <v>739900.8</v>
      </c>
      <c r="L5" t="s">
        <v>31</v>
      </c>
      <c r="M5" t="s">
        <v>26</v>
      </c>
      <c r="N5">
        <v>4.0286</v>
      </c>
      <c r="O5" t="s">
        <v>27</v>
      </c>
      <c r="S5">
        <v>4.14</v>
      </c>
    </row>
    <row r="6" spans="1:20">
      <c r="A6">
        <v>5</v>
      </c>
      <c r="B6">
        <v>2</v>
      </c>
      <c r="C6">
        <v>20240201</v>
      </c>
      <c r="D6" t="s">
        <v>28</v>
      </c>
      <c r="E6" t="s">
        <v>21</v>
      </c>
      <c r="F6" t="s">
        <v>32</v>
      </c>
      <c r="G6" t="s">
        <v>33</v>
      </c>
      <c r="H6">
        <v>8146</v>
      </c>
      <c r="I6" t="s">
        <v>24</v>
      </c>
      <c r="J6">
        <v>4.14</v>
      </c>
      <c r="K6">
        <v>33724.44</v>
      </c>
      <c r="L6" t="s">
        <v>25</v>
      </c>
      <c r="M6" t="s">
        <v>34</v>
      </c>
      <c r="N6">
        <v>4.015</v>
      </c>
      <c r="O6" t="s">
        <v>27</v>
      </c>
      <c r="Q6">
        <v>90</v>
      </c>
    </row>
    <row r="7" spans="1:20">
      <c r="A7">
        <v>6</v>
      </c>
      <c r="B7">
        <v>2</v>
      </c>
      <c r="C7">
        <v>20240201</v>
      </c>
      <c r="D7" t="s">
        <v>28</v>
      </c>
      <c r="E7" t="s">
        <v>21</v>
      </c>
      <c r="F7" t="s">
        <v>29</v>
      </c>
      <c r="G7" t="s">
        <v>30</v>
      </c>
      <c r="H7">
        <v>172472</v>
      </c>
      <c r="I7" t="s">
        <v>24</v>
      </c>
      <c r="J7">
        <v>4.14</v>
      </c>
      <c r="K7">
        <v>714034.08</v>
      </c>
      <c r="L7" t="s">
        <v>25</v>
      </c>
      <c r="M7" t="s">
        <v>35</v>
      </c>
      <c r="N7">
        <v>3.4904</v>
      </c>
      <c r="O7" t="s">
        <v>27</v>
      </c>
      <c r="Q7">
        <v>127</v>
      </c>
    </row>
    <row r="8" spans="1:20">
      <c r="A8">
        <v>7</v>
      </c>
      <c r="B8">
        <v>2</v>
      </c>
      <c r="C8">
        <v>20240201</v>
      </c>
      <c r="D8" t="s">
        <v>28</v>
      </c>
      <c r="E8" t="s">
        <v>21</v>
      </c>
      <c r="F8" t="s">
        <v>29</v>
      </c>
      <c r="G8" t="s">
        <v>30</v>
      </c>
      <c r="H8">
        <v>51548</v>
      </c>
      <c r="I8" t="s">
        <v>24</v>
      </c>
      <c r="J8">
        <v>4.26</v>
      </c>
      <c r="K8">
        <v>219594.48</v>
      </c>
      <c r="L8" t="s">
        <v>25</v>
      </c>
      <c r="M8" t="s">
        <v>35</v>
      </c>
      <c r="N8">
        <v>4.2604</v>
      </c>
      <c r="O8" t="s">
        <v>27</v>
      </c>
    </row>
    <row r="9" spans="1:20">
      <c r="A9">
        <v>8</v>
      </c>
      <c r="B9">
        <v>2</v>
      </c>
      <c r="C9">
        <v>20240201</v>
      </c>
      <c r="D9" t="s">
        <v>28</v>
      </c>
      <c r="E9" t="s">
        <v>21</v>
      </c>
      <c r="F9" t="s">
        <v>29</v>
      </c>
      <c r="G9" t="s">
        <v>30</v>
      </c>
      <c r="H9">
        <v>523459</v>
      </c>
      <c r="I9" t="s">
        <v>24</v>
      </c>
      <c r="J9">
        <v>4.14</v>
      </c>
      <c r="K9">
        <v>2167120.26</v>
      </c>
      <c r="L9" t="s">
        <v>31</v>
      </c>
      <c r="M9" t="s">
        <v>35</v>
      </c>
      <c r="N9">
        <v>4.0286</v>
      </c>
      <c r="O9" t="s">
        <v>27</v>
      </c>
    </row>
    <row r="10" spans="1:20">
      <c r="A10">
        <v>9</v>
      </c>
      <c r="B10">
        <v>2</v>
      </c>
      <c r="C10">
        <v>20240201</v>
      </c>
      <c r="D10" t="s">
        <v>28</v>
      </c>
      <c r="E10" t="s">
        <v>21</v>
      </c>
      <c r="F10" t="s">
        <v>29</v>
      </c>
      <c r="G10" t="s">
        <v>30</v>
      </c>
      <c r="H10">
        <v>610</v>
      </c>
      <c r="I10" t="s">
        <v>24</v>
      </c>
      <c r="J10">
        <v>4.87</v>
      </c>
      <c r="K10">
        <v>2970.7</v>
      </c>
      <c r="L10" t="s">
        <v>36</v>
      </c>
      <c r="M10" t="s">
        <v>35</v>
      </c>
      <c r="N10">
        <v>4.8722</v>
      </c>
      <c r="O10" t="s">
        <v>27</v>
      </c>
    </row>
    <row r="11" spans="1:20">
      <c r="A11">
        <v>10</v>
      </c>
      <c r="B11">
        <v>2</v>
      </c>
      <c r="C11">
        <v>20240201</v>
      </c>
      <c r="D11" t="s">
        <v>28</v>
      </c>
      <c r="E11" t="s">
        <v>21</v>
      </c>
      <c r="F11" t="s">
        <v>29</v>
      </c>
      <c r="G11" t="s">
        <v>37</v>
      </c>
      <c r="H11">
        <v>810</v>
      </c>
      <c r="I11" t="s">
        <v>24</v>
      </c>
      <c r="J11">
        <v>4.14</v>
      </c>
      <c r="K11">
        <v>3353.4</v>
      </c>
      <c r="L11" t="s">
        <v>25</v>
      </c>
      <c r="M11" t="s">
        <v>38</v>
      </c>
      <c r="N11">
        <v>3.4941</v>
      </c>
      <c r="O11" t="s">
        <v>27</v>
      </c>
      <c r="Q11">
        <v>12</v>
      </c>
    </row>
    <row r="12" spans="1:20">
      <c r="A12">
        <v>11</v>
      </c>
      <c r="B12">
        <v>2</v>
      </c>
      <c r="C12">
        <v>20240201</v>
      </c>
      <c r="D12" t="s">
        <v>28</v>
      </c>
      <c r="E12" t="s">
        <v>21</v>
      </c>
      <c r="F12" t="s">
        <v>29</v>
      </c>
      <c r="G12" t="s">
        <v>37</v>
      </c>
      <c r="H12">
        <v>2374</v>
      </c>
      <c r="I12" t="s">
        <v>24</v>
      </c>
      <c r="J12">
        <v>4.14</v>
      </c>
      <c r="K12">
        <v>9828.36</v>
      </c>
      <c r="L12" t="s">
        <v>31</v>
      </c>
      <c r="M12" t="s">
        <v>38</v>
      </c>
      <c r="N12">
        <v>4.0286</v>
      </c>
      <c r="O12" t="s">
        <v>27</v>
      </c>
    </row>
    <row r="13" spans="1:20">
      <c r="A13">
        <v>12</v>
      </c>
      <c r="B13">
        <v>2</v>
      </c>
      <c r="C13">
        <v>20240202</v>
      </c>
      <c r="D13" t="s">
        <v>28</v>
      </c>
      <c r="E13" t="s">
        <v>21</v>
      </c>
      <c r="F13" t="s">
        <v>39</v>
      </c>
      <c r="G13" t="s">
        <v>40</v>
      </c>
      <c r="H13">
        <v>21</v>
      </c>
      <c r="I13" t="s">
        <v>24</v>
      </c>
      <c r="J13">
        <v>2106.81</v>
      </c>
      <c r="K13">
        <v>44243.01</v>
      </c>
      <c r="L13" t="s">
        <v>25</v>
      </c>
      <c r="M13" t="s">
        <v>44</v>
      </c>
      <c r="O13" t="s">
        <v>27</v>
      </c>
      <c r="Q13">
        <v>1</v>
      </c>
    </row>
    <row r="14" spans="1:20">
      <c r="A14">
        <v>20</v>
      </c>
      <c r="B14">
        <v>2</v>
      </c>
      <c r="C14">
        <v>20240202</v>
      </c>
      <c r="D14" t="s">
        <v>28</v>
      </c>
      <c r="E14" t="s">
        <v>21</v>
      </c>
      <c r="F14" t="s">
        <v>29</v>
      </c>
      <c r="G14" t="s">
        <v>30</v>
      </c>
      <c r="H14">
        <v>2679</v>
      </c>
      <c r="I14" t="s">
        <v>24</v>
      </c>
      <c r="J14">
        <v>4.14</v>
      </c>
      <c r="K14">
        <v>11091.06</v>
      </c>
      <c r="L14" t="s">
        <v>25</v>
      </c>
      <c r="M14" t="s">
        <v>45</v>
      </c>
      <c r="N14">
        <v>3.2544</v>
      </c>
      <c r="O14" t="s">
        <v>27</v>
      </c>
      <c r="Q14">
        <v>197</v>
      </c>
    </row>
    <row r="15" spans="1:20">
      <c r="A15">
        <v>21</v>
      </c>
      <c r="B15">
        <v>2</v>
      </c>
      <c r="C15">
        <v>20240202</v>
      </c>
      <c r="D15" t="s">
        <v>28</v>
      </c>
      <c r="E15" t="s">
        <v>21</v>
      </c>
      <c r="F15" t="s">
        <v>29</v>
      </c>
      <c r="G15" t="s">
        <v>30</v>
      </c>
      <c r="H15">
        <v>1314838</v>
      </c>
      <c r="I15" t="s">
        <v>24</v>
      </c>
      <c r="J15">
        <v>4.14</v>
      </c>
      <c r="K15">
        <v>5443429.32</v>
      </c>
      <c r="L15" t="s">
        <v>31</v>
      </c>
      <c r="M15" t="s">
        <v>45</v>
      </c>
      <c r="N15">
        <v>4.0286</v>
      </c>
      <c r="O15" t="s">
        <v>27</v>
      </c>
    </row>
    <row r="16" spans="1:20">
      <c r="A16">
        <v>35</v>
      </c>
      <c r="B16">
        <v>2</v>
      </c>
      <c r="C16">
        <v>20240205</v>
      </c>
      <c r="D16" t="s">
        <v>28</v>
      </c>
      <c r="E16" t="s">
        <v>21</v>
      </c>
      <c r="F16" t="s">
        <v>32</v>
      </c>
      <c r="G16" t="s">
        <v>37</v>
      </c>
      <c r="H16">
        <v>754</v>
      </c>
      <c r="I16" t="s">
        <v>24</v>
      </c>
      <c r="J16">
        <v>4.14</v>
      </c>
      <c r="K16">
        <v>3121.56</v>
      </c>
      <c r="L16" t="s">
        <v>31</v>
      </c>
      <c r="M16" t="s">
        <v>48</v>
      </c>
      <c r="N16">
        <v>4.015</v>
      </c>
      <c r="O16" t="s">
        <v>27</v>
      </c>
      <c r="Q16">
        <v>1</v>
      </c>
    </row>
    <row r="17" spans="1:17">
      <c r="A17">
        <v>36</v>
      </c>
      <c r="B17">
        <v>2</v>
      </c>
      <c r="C17">
        <v>20240205</v>
      </c>
      <c r="D17" t="s">
        <v>28</v>
      </c>
      <c r="E17" t="s">
        <v>21</v>
      </c>
      <c r="F17" t="s">
        <v>32</v>
      </c>
      <c r="G17" t="s">
        <v>30</v>
      </c>
      <c r="H17">
        <v>9584</v>
      </c>
      <c r="I17" t="s">
        <v>24</v>
      </c>
      <c r="J17">
        <v>4.14</v>
      </c>
      <c r="K17">
        <v>39677.76</v>
      </c>
      <c r="L17" t="s">
        <v>31</v>
      </c>
      <c r="M17" t="s">
        <v>48</v>
      </c>
      <c r="N17">
        <v>4.015</v>
      </c>
      <c r="O17" t="s">
        <v>27</v>
      </c>
      <c r="Q17">
        <v>4</v>
      </c>
    </row>
    <row r="18" spans="1:17">
      <c r="A18">
        <v>37</v>
      </c>
      <c r="B18">
        <v>2</v>
      </c>
      <c r="C18">
        <v>20240205</v>
      </c>
      <c r="D18" t="s">
        <v>28</v>
      </c>
      <c r="E18" t="s">
        <v>21</v>
      </c>
      <c r="F18" t="s">
        <v>32</v>
      </c>
      <c r="G18" t="s">
        <v>37</v>
      </c>
      <c r="H18">
        <v>9744</v>
      </c>
      <c r="I18" t="s">
        <v>24</v>
      </c>
      <c r="J18">
        <v>4.14</v>
      </c>
      <c r="K18">
        <v>40340.16</v>
      </c>
      <c r="L18" t="s">
        <v>36</v>
      </c>
      <c r="M18" t="s">
        <v>48</v>
      </c>
      <c r="N18">
        <v>4.015</v>
      </c>
      <c r="O18" t="s">
        <v>27</v>
      </c>
      <c r="Q18">
        <v>1</v>
      </c>
    </row>
    <row r="19" spans="1:17">
      <c r="A19">
        <v>38</v>
      </c>
      <c r="B19">
        <v>2</v>
      </c>
      <c r="C19">
        <v>20240205</v>
      </c>
      <c r="D19" t="s">
        <v>28</v>
      </c>
      <c r="E19" t="s">
        <v>21</v>
      </c>
      <c r="F19" t="s">
        <v>32</v>
      </c>
      <c r="G19" t="s">
        <v>30</v>
      </c>
      <c r="H19">
        <v>600</v>
      </c>
      <c r="I19" t="s">
        <v>24</v>
      </c>
      <c r="J19">
        <v>4.14</v>
      </c>
      <c r="K19">
        <v>2484</v>
      </c>
      <c r="L19" t="s">
        <v>36</v>
      </c>
      <c r="M19" t="s">
        <v>48</v>
      </c>
      <c r="N19">
        <v>4.015</v>
      </c>
      <c r="O19" t="s">
        <v>27</v>
      </c>
      <c r="Q19">
        <v>1</v>
      </c>
    </row>
    <row r="20" spans="1:17">
      <c r="A20">
        <v>39</v>
      </c>
      <c r="B20">
        <v>2</v>
      </c>
      <c r="C20">
        <v>20240205</v>
      </c>
      <c r="D20" t="s">
        <v>28</v>
      </c>
      <c r="E20" t="s">
        <v>21</v>
      </c>
      <c r="F20" t="s">
        <v>32</v>
      </c>
      <c r="G20" t="s">
        <v>37</v>
      </c>
      <c r="H20">
        <v>17522</v>
      </c>
      <c r="I20" t="s">
        <v>24</v>
      </c>
      <c r="J20">
        <v>4.14</v>
      </c>
      <c r="K20">
        <v>72541.08</v>
      </c>
      <c r="L20" t="s">
        <v>25</v>
      </c>
      <c r="M20" t="s">
        <v>48</v>
      </c>
      <c r="N20">
        <v>4.015</v>
      </c>
      <c r="O20" t="s">
        <v>27</v>
      </c>
      <c r="Q20">
        <v>6</v>
      </c>
    </row>
    <row r="21" spans="1:17">
      <c r="A21">
        <v>40</v>
      </c>
      <c r="B21">
        <v>2</v>
      </c>
      <c r="C21">
        <v>20240205</v>
      </c>
      <c r="D21" t="s">
        <v>28</v>
      </c>
      <c r="E21" t="s">
        <v>21</v>
      </c>
      <c r="F21" t="s">
        <v>32</v>
      </c>
      <c r="G21" t="s">
        <v>30</v>
      </c>
      <c r="H21">
        <v>205446</v>
      </c>
      <c r="I21" t="s">
        <v>24</v>
      </c>
      <c r="J21">
        <v>4.14</v>
      </c>
      <c r="K21">
        <v>850546.44</v>
      </c>
      <c r="L21" t="s">
        <v>25</v>
      </c>
      <c r="M21" t="s">
        <v>48</v>
      </c>
      <c r="N21">
        <v>4.015</v>
      </c>
      <c r="O21" t="s">
        <v>27</v>
      </c>
      <c r="Q21">
        <v>36</v>
      </c>
    </row>
    <row r="22" spans="1:17">
      <c r="A22">
        <v>41</v>
      </c>
      <c r="B22">
        <v>2</v>
      </c>
      <c r="C22">
        <v>20240205</v>
      </c>
      <c r="D22" t="s">
        <v>20</v>
      </c>
      <c r="E22" t="s">
        <v>21</v>
      </c>
      <c r="F22" t="s">
        <v>41</v>
      </c>
      <c r="G22" t="s">
        <v>42</v>
      </c>
      <c r="H22">
        <v>264173</v>
      </c>
      <c r="I22" t="s">
        <v>24</v>
      </c>
      <c r="J22">
        <v>4.58</v>
      </c>
      <c r="K22">
        <v>1209912.34</v>
      </c>
      <c r="L22" t="s">
        <v>25</v>
      </c>
      <c r="M22" t="s">
        <v>49</v>
      </c>
      <c r="N22">
        <v>4.488</v>
      </c>
      <c r="O22" t="s">
        <v>27</v>
      </c>
      <c r="Q22">
        <v>25</v>
      </c>
    </row>
    <row r="23" spans="1:17">
      <c r="A23">
        <v>42</v>
      </c>
      <c r="B23">
        <v>2</v>
      </c>
      <c r="C23">
        <v>20240205</v>
      </c>
      <c r="D23" t="s">
        <v>20</v>
      </c>
      <c r="E23" t="s">
        <v>21</v>
      </c>
      <c r="F23" t="s">
        <v>41</v>
      </c>
      <c r="G23" t="s">
        <v>50</v>
      </c>
      <c r="H23">
        <v>23255</v>
      </c>
      <c r="I23" t="s">
        <v>24</v>
      </c>
      <c r="J23">
        <v>5.53</v>
      </c>
      <c r="K23">
        <v>128600.15</v>
      </c>
      <c r="L23" t="s">
        <v>25</v>
      </c>
      <c r="M23" t="s">
        <v>49</v>
      </c>
      <c r="N23">
        <v>4.786</v>
      </c>
      <c r="O23" t="s">
        <v>27</v>
      </c>
      <c r="Q23">
        <v>6</v>
      </c>
    </row>
    <row r="24" spans="1:17">
      <c r="A24">
        <v>43</v>
      </c>
      <c r="B24">
        <v>2</v>
      </c>
      <c r="C24">
        <v>20240205</v>
      </c>
      <c r="D24" t="s">
        <v>20</v>
      </c>
      <c r="E24" t="s">
        <v>21</v>
      </c>
      <c r="F24" t="s">
        <v>41</v>
      </c>
      <c r="G24" t="s">
        <v>42</v>
      </c>
      <c r="H24">
        <v>147952</v>
      </c>
      <c r="I24" t="s">
        <v>24</v>
      </c>
      <c r="J24">
        <v>5.63</v>
      </c>
      <c r="K24">
        <v>832969.76</v>
      </c>
      <c r="L24" t="s">
        <v>31</v>
      </c>
      <c r="M24" t="s">
        <v>49</v>
      </c>
      <c r="N24">
        <v>5.516</v>
      </c>
      <c r="O24" t="s">
        <v>27</v>
      </c>
      <c r="Q24">
        <v>17</v>
      </c>
    </row>
    <row r="25" spans="1:17">
      <c r="A25">
        <v>44</v>
      </c>
      <c r="B25">
        <v>2</v>
      </c>
      <c r="C25">
        <v>20240205</v>
      </c>
      <c r="D25" t="s">
        <v>20</v>
      </c>
      <c r="E25" t="s">
        <v>21</v>
      </c>
      <c r="F25" t="s">
        <v>41</v>
      </c>
      <c r="G25" t="s">
        <v>50</v>
      </c>
      <c r="H25">
        <v>8255</v>
      </c>
      <c r="I25" t="s">
        <v>24</v>
      </c>
      <c r="J25">
        <v>5.53</v>
      </c>
      <c r="K25">
        <v>45650.15</v>
      </c>
      <c r="L25" t="s">
        <v>25</v>
      </c>
      <c r="M25" t="s">
        <v>49</v>
      </c>
      <c r="N25">
        <v>4.786</v>
      </c>
      <c r="O25" t="s">
        <v>27</v>
      </c>
      <c r="Q25">
        <v>2</v>
      </c>
    </row>
    <row r="26" spans="1:17">
      <c r="A26">
        <v>45</v>
      </c>
      <c r="B26">
        <v>2</v>
      </c>
      <c r="C26">
        <v>20240205</v>
      </c>
      <c r="D26" t="s">
        <v>28</v>
      </c>
      <c r="E26" t="s">
        <v>21</v>
      </c>
      <c r="F26" t="s">
        <v>32</v>
      </c>
      <c r="G26" t="s">
        <v>30</v>
      </c>
      <c r="H26">
        <v>117314</v>
      </c>
      <c r="I26" t="s">
        <v>24</v>
      </c>
      <c r="J26">
        <v>4.14</v>
      </c>
      <c r="K26">
        <v>485679.96</v>
      </c>
      <c r="L26" t="s">
        <v>25</v>
      </c>
      <c r="M26" t="s">
        <v>51</v>
      </c>
      <c r="N26">
        <v>4.015</v>
      </c>
      <c r="O26" t="s">
        <v>27</v>
      </c>
      <c r="Q26">
        <v>45</v>
      </c>
    </row>
    <row r="27" spans="1:17">
      <c r="A27">
        <v>46</v>
      </c>
      <c r="B27">
        <v>2</v>
      </c>
      <c r="C27">
        <v>20240205</v>
      </c>
      <c r="D27" t="s">
        <v>20</v>
      </c>
      <c r="E27" t="s">
        <v>21</v>
      </c>
      <c r="F27" t="s">
        <v>39</v>
      </c>
      <c r="G27" t="s">
        <v>47</v>
      </c>
      <c r="H27">
        <v>1599</v>
      </c>
      <c r="I27" t="s">
        <v>24</v>
      </c>
      <c r="J27">
        <v>7.46</v>
      </c>
      <c r="K27">
        <v>11928.54</v>
      </c>
      <c r="L27" t="s">
        <v>25</v>
      </c>
      <c r="M27" t="s">
        <v>52</v>
      </c>
      <c r="N27">
        <v>5.111108</v>
      </c>
      <c r="O27" t="s">
        <v>27</v>
      </c>
      <c r="Q27">
        <v>2</v>
      </c>
    </row>
    <row r="28" spans="1:17">
      <c r="A28">
        <v>47</v>
      </c>
      <c r="B28">
        <v>2</v>
      </c>
      <c r="C28">
        <v>20240205</v>
      </c>
      <c r="D28" t="s">
        <v>20</v>
      </c>
      <c r="E28" t="s">
        <v>21</v>
      </c>
      <c r="F28" t="s">
        <v>22</v>
      </c>
      <c r="G28" t="s">
        <v>42</v>
      </c>
      <c r="H28">
        <v>354719</v>
      </c>
      <c r="I28" t="s">
        <v>24</v>
      </c>
      <c r="J28">
        <v>5.72</v>
      </c>
      <c r="K28">
        <v>2028992.68</v>
      </c>
      <c r="L28" t="s">
        <v>25</v>
      </c>
      <c r="M28" t="s">
        <v>53</v>
      </c>
      <c r="N28">
        <v>5.606</v>
      </c>
      <c r="O28" t="s">
        <v>27</v>
      </c>
      <c r="Q28">
        <v>16</v>
      </c>
    </row>
    <row r="29" spans="1:17">
      <c r="A29">
        <v>48</v>
      </c>
      <c r="B29">
        <v>2</v>
      </c>
      <c r="C29">
        <v>20240205</v>
      </c>
      <c r="D29" t="s">
        <v>20</v>
      </c>
      <c r="E29" t="s">
        <v>21</v>
      </c>
      <c r="F29" t="s">
        <v>22</v>
      </c>
      <c r="G29" t="s">
        <v>42</v>
      </c>
      <c r="H29">
        <v>37591</v>
      </c>
      <c r="I29" t="s">
        <v>24</v>
      </c>
      <c r="J29">
        <v>5.63</v>
      </c>
      <c r="K29">
        <v>211637.33</v>
      </c>
      <c r="L29" t="s">
        <v>31</v>
      </c>
      <c r="M29" t="s">
        <v>53</v>
      </c>
      <c r="N29">
        <v>5.516</v>
      </c>
      <c r="O29" t="s">
        <v>27</v>
      </c>
      <c r="Q29">
        <v>2</v>
      </c>
    </row>
    <row r="30" spans="1:17">
      <c r="A30">
        <v>49</v>
      </c>
      <c r="B30">
        <v>2</v>
      </c>
      <c r="C30">
        <v>20240205</v>
      </c>
      <c r="D30" t="s">
        <v>28</v>
      </c>
      <c r="E30" t="s">
        <v>21</v>
      </c>
      <c r="F30" t="s">
        <v>22</v>
      </c>
      <c r="G30" t="s">
        <v>37</v>
      </c>
      <c r="H30">
        <v>117825</v>
      </c>
      <c r="I30" t="s">
        <v>24</v>
      </c>
      <c r="J30">
        <v>5.2</v>
      </c>
      <c r="K30">
        <v>612690</v>
      </c>
      <c r="L30" t="s">
        <v>25</v>
      </c>
      <c r="M30" t="s">
        <v>54</v>
      </c>
      <c r="N30">
        <v>5.0971</v>
      </c>
      <c r="O30" t="s">
        <v>27</v>
      </c>
      <c r="Q30">
        <v>8</v>
      </c>
    </row>
    <row r="31" spans="1:17">
      <c r="A31">
        <v>50</v>
      </c>
      <c r="B31">
        <v>2</v>
      </c>
      <c r="C31">
        <v>20240205</v>
      </c>
      <c r="D31" t="s">
        <v>28</v>
      </c>
      <c r="E31" t="s">
        <v>21</v>
      </c>
      <c r="F31" t="s">
        <v>22</v>
      </c>
      <c r="G31" t="s">
        <v>30</v>
      </c>
      <c r="H31">
        <v>17999</v>
      </c>
      <c r="I31" t="s">
        <v>24</v>
      </c>
      <c r="J31">
        <v>5.2</v>
      </c>
      <c r="K31">
        <v>93594.8</v>
      </c>
      <c r="L31" t="s">
        <v>25</v>
      </c>
      <c r="M31" t="s">
        <v>54</v>
      </c>
      <c r="N31">
        <v>5.0971</v>
      </c>
      <c r="O31" t="s">
        <v>27</v>
      </c>
      <c r="Q31">
        <v>2</v>
      </c>
    </row>
    <row r="32" spans="1:17">
      <c r="A32">
        <v>51</v>
      </c>
      <c r="B32">
        <v>2</v>
      </c>
      <c r="C32">
        <v>20240205</v>
      </c>
      <c r="D32" t="s">
        <v>28</v>
      </c>
      <c r="E32" t="s">
        <v>21</v>
      </c>
      <c r="F32" t="s">
        <v>22</v>
      </c>
      <c r="G32" t="s">
        <v>37</v>
      </c>
      <c r="H32">
        <v>3567</v>
      </c>
      <c r="I32" t="s">
        <v>24</v>
      </c>
      <c r="J32">
        <v>5.2</v>
      </c>
      <c r="K32">
        <v>18548.4</v>
      </c>
      <c r="L32" t="s">
        <v>36</v>
      </c>
      <c r="M32" t="s">
        <v>54</v>
      </c>
      <c r="N32">
        <v>5.0971</v>
      </c>
      <c r="O32" t="s">
        <v>27</v>
      </c>
      <c r="Q32">
        <v>1</v>
      </c>
    </row>
    <row r="33" spans="1:17">
      <c r="A33">
        <v>52</v>
      </c>
      <c r="B33">
        <v>2</v>
      </c>
      <c r="C33">
        <v>20240205</v>
      </c>
      <c r="D33" t="s">
        <v>28</v>
      </c>
      <c r="E33" t="s">
        <v>21</v>
      </c>
      <c r="F33" t="s">
        <v>22</v>
      </c>
      <c r="G33" t="s">
        <v>30</v>
      </c>
      <c r="H33">
        <v>2963</v>
      </c>
      <c r="I33" t="s">
        <v>24</v>
      </c>
      <c r="J33">
        <v>5.2</v>
      </c>
      <c r="K33">
        <v>15407.6</v>
      </c>
      <c r="L33" t="s">
        <v>31</v>
      </c>
      <c r="M33" t="s">
        <v>54</v>
      </c>
      <c r="N33">
        <v>5.0971</v>
      </c>
      <c r="O33" t="s">
        <v>27</v>
      </c>
      <c r="Q33">
        <v>1</v>
      </c>
    </row>
    <row r="34" spans="1:17">
      <c r="A34">
        <v>53</v>
      </c>
      <c r="B34">
        <v>2</v>
      </c>
      <c r="C34">
        <v>20240206</v>
      </c>
      <c r="D34" t="s">
        <v>28</v>
      </c>
      <c r="E34" t="s">
        <v>21</v>
      </c>
      <c r="F34" t="s">
        <v>32</v>
      </c>
      <c r="G34" t="s">
        <v>30</v>
      </c>
      <c r="H34">
        <v>1099382</v>
      </c>
      <c r="I34" t="s">
        <v>24</v>
      </c>
      <c r="J34">
        <v>4.14</v>
      </c>
      <c r="K34">
        <v>4551441.48</v>
      </c>
      <c r="O34" t="s">
        <v>27</v>
      </c>
    </row>
    <row r="35" spans="1:17">
      <c r="A35">
        <v>54</v>
      </c>
      <c r="B35">
        <v>2</v>
      </c>
      <c r="C35">
        <v>20240206</v>
      </c>
      <c r="D35" t="s">
        <v>20</v>
      </c>
      <c r="E35" t="s">
        <v>21</v>
      </c>
      <c r="F35" t="s">
        <v>32</v>
      </c>
      <c r="G35" t="s">
        <v>30</v>
      </c>
      <c r="H35">
        <v>108676</v>
      </c>
      <c r="I35" t="s">
        <v>24</v>
      </c>
      <c r="J35">
        <v>4.14</v>
      </c>
      <c r="K35">
        <v>449918.64</v>
      </c>
      <c r="O35" t="s">
        <v>27</v>
      </c>
    </row>
    <row r="36" spans="1:17">
      <c r="A36">
        <v>55</v>
      </c>
      <c r="B36">
        <v>2</v>
      </c>
      <c r="C36">
        <v>20240206</v>
      </c>
      <c r="D36" t="s">
        <v>28</v>
      </c>
      <c r="E36" t="s">
        <v>21</v>
      </c>
      <c r="F36" t="s">
        <v>32</v>
      </c>
      <c r="G36" t="s">
        <v>37</v>
      </c>
      <c r="H36">
        <v>1447</v>
      </c>
      <c r="I36" t="s">
        <v>24</v>
      </c>
      <c r="J36">
        <v>4.14</v>
      </c>
      <c r="K36">
        <v>5990.58</v>
      </c>
      <c r="L36" t="s">
        <v>31</v>
      </c>
      <c r="M36" t="s">
        <v>55</v>
      </c>
      <c r="N36">
        <v>4.015</v>
      </c>
      <c r="O36" t="s">
        <v>27</v>
      </c>
      <c r="Q36">
        <v>5</v>
      </c>
    </row>
    <row r="37" spans="1:17">
      <c r="A37">
        <v>56</v>
      </c>
      <c r="B37">
        <v>2</v>
      </c>
      <c r="C37">
        <v>20240206</v>
      </c>
      <c r="D37" t="s">
        <v>28</v>
      </c>
      <c r="E37" t="s">
        <v>21</v>
      </c>
      <c r="F37" t="s">
        <v>32</v>
      </c>
      <c r="G37" t="s">
        <v>56</v>
      </c>
      <c r="H37">
        <v>120511</v>
      </c>
      <c r="I37" t="s">
        <v>24</v>
      </c>
      <c r="J37">
        <v>4.14</v>
      </c>
      <c r="K37">
        <v>498915.54</v>
      </c>
      <c r="L37" t="s">
        <v>31</v>
      </c>
      <c r="M37" t="s">
        <v>55</v>
      </c>
      <c r="N37">
        <v>4.021</v>
      </c>
      <c r="O37" t="s">
        <v>27</v>
      </c>
      <c r="Q37">
        <v>56</v>
      </c>
    </row>
    <row r="38" spans="1:17">
      <c r="A38">
        <v>57</v>
      </c>
      <c r="B38">
        <v>2</v>
      </c>
      <c r="C38">
        <v>20240206</v>
      </c>
      <c r="D38" t="s">
        <v>28</v>
      </c>
      <c r="E38" t="s">
        <v>21</v>
      </c>
      <c r="F38" t="s">
        <v>32</v>
      </c>
      <c r="G38" t="s">
        <v>56</v>
      </c>
      <c r="H38">
        <v>380879</v>
      </c>
      <c r="I38" t="s">
        <v>24</v>
      </c>
      <c r="J38">
        <v>4.14</v>
      </c>
      <c r="K38">
        <v>1576839.06</v>
      </c>
      <c r="L38" t="s">
        <v>31</v>
      </c>
      <c r="M38" t="s">
        <v>55</v>
      </c>
      <c r="N38">
        <v>4.015</v>
      </c>
      <c r="O38" t="s">
        <v>27</v>
      </c>
    </row>
    <row r="39" spans="1:17">
      <c r="A39">
        <v>58</v>
      </c>
      <c r="B39">
        <v>2</v>
      </c>
      <c r="C39">
        <v>20240206</v>
      </c>
      <c r="D39" t="s">
        <v>28</v>
      </c>
      <c r="E39" t="s">
        <v>21</v>
      </c>
      <c r="F39" t="s">
        <v>32</v>
      </c>
      <c r="G39" t="s">
        <v>37</v>
      </c>
      <c r="H39">
        <v>35324</v>
      </c>
      <c r="I39" t="s">
        <v>24</v>
      </c>
      <c r="J39">
        <v>4.14</v>
      </c>
      <c r="K39">
        <v>146241.36</v>
      </c>
      <c r="L39" t="s">
        <v>36</v>
      </c>
      <c r="M39" t="s">
        <v>55</v>
      </c>
      <c r="N39">
        <v>4.015</v>
      </c>
      <c r="O39" t="s">
        <v>27</v>
      </c>
      <c r="Q39">
        <v>11</v>
      </c>
    </row>
    <row r="40" spans="1:17">
      <c r="A40">
        <v>59</v>
      </c>
      <c r="B40">
        <v>2</v>
      </c>
      <c r="C40">
        <v>20240206</v>
      </c>
      <c r="D40" t="s">
        <v>28</v>
      </c>
      <c r="E40" t="s">
        <v>21</v>
      </c>
      <c r="F40" t="s">
        <v>32</v>
      </c>
      <c r="G40" t="s">
        <v>37</v>
      </c>
      <c r="H40">
        <v>76891</v>
      </c>
      <c r="I40" t="s">
        <v>24</v>
      </c>
      <c r="J40">
        <v>4.14</v>
      </c>
      <c r="K40">
        <v>318328.74</v>
      </c>
      <c r="L40" t="s">
        <v>25</v>
      </c>
      <c r="M40" t="s">
        <v>55</v>
      </c>
      <c r="N40">
        <v>4.015</v>
      </c>
      <c r="O40" t="s">
        <v>27</v>
      </c>
      <c r="Q40">
        <v>32</v>
      </c>
    </row>
    <row r="41" spans="1:17">
      <c r="A41">
        <v>60</v>
      </c>
      <c r="B41">
        <v>2</v>
      </c>
      <c r="C41">
        <v>20240206</v>
      </c>
      <c r="D41" t="s">
        <v>20</v>
      </c>
      <c r="E41" t="s">
        <v>21</v>
      </c>
      <c r="F41" t="s">
        <v>32</v>
      </c>
      <c r="G41" t="s">
        <v>42</v>
      </c>
      <c r="H41">
        <v>6861</v>
      </c>
      <c r="I41" t="s">
        <v>24</v>
      </c>
      <c r="J41">
        <v>4.48</v>
      </c>
      <c r="K41">
        <v>30737.28</v>
      </c>
      <c r="L41" t="s">
        <v>25</v>
      </c>
      <c r="M41" t="s">
        <v>57</v>
      </c>
      <c r="N41">
        <v>3.8117</v>
      </c>
      <c r="O41" t="s">
        <v>27</v>
      </c>
      <c r="Q41">
        <v>3</v>
      </c>
    </row>
    <row r="42" spans="1:17">
      <c r="A42">
        <v>61</v>
      </c>
      <c r="B42">
        <v>2</v>
      </c>
      <c r="C42">
        <v>20240206</v>
      </c>
      <c r="D42" t="s">
        <v>20</v>
      </c>
      <c r="E42" t="s">
        <v>21</v>
      </c>
      <c r="F42" t="s">
        <v>29</v>
      </c>
      <c r="G42" t="s">
        <v>30</v>
      </c>
      <c r="H42">
        <v>90421</v>
      </c>
      <c r="I42" t="s">
        <v>24</v>
      </c>
      <c r="J42">
        <v>4.14</v>
      </c>
      <c r="K42">
        <v>374342.94</v>
      </c>
      <c r="L42" t="s">
        <v>31</v>
      </c>
      <c r="M42" t="s">
        <v>58</v>
      </c>
      <c r="N42">
        <v>4.02463</v>
      </c>
      <c r="O42" t="s">
        <v>27</v>
      </c>
      <c r="Q42">
        <v>42</v>
      </c>
    </row>
    <row r="43" spans="1:17">
      <c r="A43">
        <v>62</v>
      </c>
      <c r="B43">
        <v>2</v>
      </c>
      <c r="C43">
        <v>20240206</v>
      </c>
      <c r="D43" t="s">
        <v>20</v>
      </c>
      <c r="E43" t="s">
        <v>21</v>
      </c>
      <c r="F43" t="s">
        <v>59</v>
      </c>
      <c r="G43" t="s">
        <v>47</v>
      </c>
      <c r="H43">
        <v>14564</v>
      </c>
      <c r="I43" t="s">
        <v>24</v>
      </c>
      <c r="J43">
        <v>7.46</v>
      </c>
      <c r="K43">
        <v>108647.44</v>
      </c>
      <c r="L43" t="s">
        <v>31</v>
      </c>
      <c r="M43" t="s">
        <v>60</v>
      </c>
      <c r="N43">
        <v>4.96</v>
      </c>
      <c r="O43" t="s">
        <v>27</v>
      </c>
      <c r="Q43">
        <v>31</v>
      </c>
    </row>
    <row r="44" spans="1:17">
      <c r="A44">
        <v>63</v>
      </c>
      <c r="B44">
        <v>2</v>
      </c>
      <c r="C44">
        <v>20240206</v>
      </c>
      <c r="D44" t="s">
        <v>20</v>
      </c>
      <c r="E44" t="s">
        <v>21</v>
      </c>
      <c r="F44" t="s">
        <v>22</v>
      </c>
      <c r="G44" t="s">
        <v>30</v>
      </c>
      <c r="H44">
        <v>566567</v>
      </c>
      <c r="I44" t="s">
        <v>24</v>
      </c>
      <c r="J44">
        <v>4.31</v>
      </c>
      <c r="K44">
        <v>2441903.77</v>
      </c>
      <c r="L44" t="s">
        <v>31</v>
      </c>
      <c r="M44" t="s">
        <v>61</v>
      </c>
      <c r="N44">
        <v>4.228</v>
      </c>
      <c r="O44" t="s">
        <v>27</v>
      </c>
      <c r="Q44">
        <v>30</v>
      </c>
    </row>
    <row r="45" spans="1:17">
      <c r="A45">
        <v>64</v>
      </c>
      <c r="B45">
        <v>2</v>
      </c>
      <c r="C45">
        <v>20240206</v>
      </c>
      <c r="D45" t="s">
        <v>20</v>
      </c>
      <c r="E45" t="s">
        <v>21</v>
      </c>
      <c r="F45" t="s">
        <v>22</v>
      </c>
      <c r="G45" t="s">
        <v>30</v>
      </c>
      <c r="H45">
        <v>83860</v>
      </c>
      <c r="I45" t="s">
        <v>24</v>
      </c>
      <c r="J45">
        <v>4.14</v>
      </c>
      <c r="K45">
        <v>347180.4</v>
      </c>
      <c r="L45" t="s">
        <v>25</v>
      </c>
      <c r="M45" t="s">
        <v>61</v>
      </c>
      <c r="N45">
        <v>3.5469</v>
      </c>
      <c r="O45" t="s">
        <v>27</v>
      </c>
      <c r="Q45">
        <v>17</v>
      </c>
    </row>
    <row r="46" spans="1:17">
      <c r="A46">
        <v>65</v>
      </c>
      <c r="B46">
        <v>2</v>
      </c>
      <c r="C46">
        <v>20240207</v>
      </c>
      <c r="D46" t="s">
        <v>28</v>
      </c>
      <c r="E46" t="s">
        <v>21</v>
      </c>
      <c r="F46" t="s">
        <v>41</v>
      </c>
      <c r="G46" t="s">
        <v>30</v>
      </c>
      <c r="H46">
        <v>457997</v>
      </c>
      <c r="I46" t="s">
        <v>24</v>
      </c>
      <c r="J46">
        <v>4.14</v>
      </c>
      <c r="K46">
        <v>1896107.58</v>
      </c>
      <c r="L46" t="s">
        <v>31</v>
      </c>
      <c r="M46" t="s">
        <v>62</v>
      </c>
      <c r="N46">
        <v>4.05</v>
      </c>
      <c r="O46" t="s">
        <v>27</v>
      </c>
      <c r="Q46">
        <v>67</v>
      </c>
    </row>
    <row r="47" spans="1:17">
      <c r="A47">
        <v>66</v>
      </c>
      <c r="B47">
        <v>2</v>
      </c>
      <c r="C47">
        <v>20240207</v>
      </c>
      <c r="D47" t="s">
        <v>28</v>
      </c>
      <c r="E47" t="s">
        <v>21</v>
      </c>
      <c r="F47" t="s">
        <v>41</v>
      </c>
      <c r="G47" t="s">
        <v>37</v>
      </c>
      <c r="H47">
        <v>2431</v>
      </c>
      <c r="I47" t="s">
        <v>24</v>
      </c>
      <c r="J47">
        <v>4.14</v>
      </c>
      <c r="K47">
        <v>10064.34</v>
      </c>
      <c r="L47" t="s">
        <v>31</v>
      </c>
      <c r="M47" t="s">
        <v>62</v>
      </c>
      <c r="N47">
        <v>4.05</v>
      </c>
      <c r="O47" t="s">
        <v>27</v>
      </c>
      <c r="Q47">
        <v>1</v>
      </c>
    </row>
    <row r="48" spans="1:17">
      <c r="A48">
        <v>67</v>
      </c>
      <c r="B48">
        <v>2</v>
      </c>
      <c r="C48">
        <v>20240207</v>
      </c>
      <c r="D48" t="s">
        <v>28</v>
      </c>
      <c r="E48" t="s">
        <v>21</v>
      </c>
      <c r="F48" t="s">
        <v>41</v>
      </c>
      <c r="G48" t="s">
        <v>37</v>
      </c>
      <c r="H48">
        <v>58131</v>
      </c>
      <c r="I48" t="s">
        <v>24</v>
      </c>
      <c r="J48">
        <v>4.14</v>
      </c>
      <c r="K48">
        <v>240662.34</v>
      </c>
      <c r="L48" t="s">
        <v>25</v>
      </c>
      <c r="M48" t="s">
        <v>62</v>
      </c>
      <c r="N48">
        <v>4.05</v>
      </c>
      <c r="O48" t="s">
        <v>27</v>
      </c>
      <c r="Q48">
        <v>9</v>
      </c>
    </row>
    <row r="49" spans="1:17">
      <c r="A49">
        <v>68</v>
      </c>
      <c r="B49">
        <v>2</v>
      </c>
      <c r="C49">
        <v>20240207</v>
      </c>
      <c r="D49" t="s">
        <v>28</v>
      </c>
      <c r="E49" t="s">
        <v>21</v>
      </c>
      <c r="F49" t="s">
        <v>41</v>
      </c>
      <c r="G49" t="s">
        <v>30</v>
      </c>
      <c r="H49">
        <v>213585</v>
      </c>
      <c r="I49" t="s">
        <v>24</v>
      </c>
      <c r="J49">
        <v>4.14</v>
      </c>
      <c r="K49">
        <v>884241.9</v>
      </c>
      <c r="L49" t="s">
        <v>25</v>
      </c>
      <c r="M49" t="s">
        <v>62</v>
      </c>
      <c r="N49">
        <v>4.05</v>
      </c>
      <c r="O49" t="s">
        <v>27</v>
      </c>
      <c r="Q49" t="s">
        <v>63</v>
      </c>
    </row>
    <row r="50" spans="1:17">
      <c r="A50">
        <v>69</v>
      </c>
      <c r="B50">
        <v>2</v>
      </c>
      <c r="C50">
        <v>20240207</v>
      </c>
      <c r="D50" t="s">
        <v>28</v>
      </c>
      <c r="E50" t="s">
        <v>21</v>
      </c>
      <c r="F50" t="s">
        <v>41</v>
      </c>
      <c r="G50" t="s">
        <v>30</v>
      </c>
      <c r="H50">
        <v>203150</v>
      </c>
      <c r="I50" t="s">
        <v>24</v>
      </c>
      <c r="J50">
        <v>4.14</v>
      </c>
      <c r="K50">
        <v>841041</v>
      </c>
      <c r="L50" t="s">
        <v>25</v>
      </c>
      <c r="M50" t="s">
        <v>62</v>
      </c>
      <c r="N50">
        <v>4.05</v>
      </c>
      <c r="O50" t="s">
        <v>27</v>
      </c>
      <c r="Q50">
        <v>25</v>
      </c>
    </row>
    <row r="51" spans="1:17">
      <c r="A51">
        <v>70</v>
      </c>
      <c r="B51">
        <v>2</v>
      </c>
      <c r="C51">
        <v>20240207</v>
      </c>
      <c r="D51" t="s">
        <v>28</v>
      </c>
      <c r="E51" t="s">
        <v>21</v>
      </c>
      <c r="F51" t="s">
        <v>41</v>
      </c>
      <c r="G51" t="s">
        <v>37</v>
      </c>
      <c r="H51">
        <v>24989</v>
      </c>
      <c r="I51" t="s">
        <v>24</v>
      </c>
      <c r="J51">
        <v>4.14</v>
      </c>
      <c r="K51">
        <v>103454.46</v>
      </c>
      <c r="L51" t="s">
        <v>25</v>
      </c>
      <c r="M51" t="s">
        <v>62</v>
      </c>
      <c r="N51">
        <v>4.05</v>
      </c>
      <c r="O51" t="s">
        <v>27</v>
      </c>
      <c r="Q51">
        <v>2</v>
      </c>
    </row>
    <row r="52" spans="1:17">
      <c r="A52">
        <v>71</v>
      </c>
      <c r="B52">
        <v>2</v>
      </c>
      <c r="C52">
        <v>20240207</v>
      </c>
      <c r="D52" t="s">
        <v>28</v>
      </c>
      <c r="E52" t="s">
        <v>21</v>
      </c>
      <c r="F52" t="s">
        <v>41</v>
      </c>
      <c r="G52" t="s">
        <v>30</v>
      </c>
      <c r="H52">
        <v>405500</v>
      </c>
      <c r="I52" t="s">
        <v>24</v>
      </c>
      <c r="J52">
        <v>4.14</v>
      </c>
      <c r="K52">
        <v>1678770</v>
      </c>
      <c r="L52" t="s">
        <v>31</v>
      </c>
      <c r="M52" t="s">
        <v>62</v>
      </c>
      <c r="N52">
        <v>4.05</v>
      </c>
      <c r="O52" t="s">
        <v>27</v>
      </c>
      <c r="Q52">
        <v>90</v>
      </c>
    </row>
    <row r="53" spans="1:17">
      <c r="A53">
        <v>72</v>
      </c>
      <c r="B53">
        <v>2</v>
      </c>
      <c r="C53">
        <v>20240207</v>
      </c>
      <c r="D53" t="s">
        <v>28</v>
      </c>
      <c r="E53" t="s">
        <v>21</v>
      </c>
      <c r="F53" t="s">
        <v>41</v>
      </c>
      <c r="G53" t="s">
        <v>37</v>
      </c>
      <c r="H53">
        <v>14021</v>
      </c>
      <c r="I53" t="s">
        <v>24</v>
      </c>
      <c r="J53">
        <v>4.14</v>
      </c>
      <c r="K53">
        <v>58046.94</v>
      </c>
      <c r="L53" t="s">
        <v>31</v>
      </c>
      <c r="M53" t="s">
        <v>62</v>
      </c>
      <c r="N53">
        <v>4.05</v>
      </c>
      <c r="O53" t="s">
        <v>27</v>
      </c>
      <c r="Q53">
        <v>8</v>
      </c>
    </row>
    <row r="54" spans="1:17">
      <c r="A54">
        <v>73</v>
      </c>
      <c r="B54">
        <v>2</v>
      </c>
      <c r="C54">
        <v>20240207</v>
      </c>
      <c r="D54" t="s">
        <v>28</v>
      </c>
      <c r="E54" t="s">
        <v>21</v>
      </c>
      <c r="F54" t="s">
        <v>41</v>
      </c>
      <c r="G54" t="s">
        <v>30</v>
      </c>
      <c r="H54">
        <v>184961</v>
      </c>
      <c r="I54" t="s">
        <v>24</v>
      </c>
      <c r="J54">
        <v>4.14</v>
      </c>
      <c r="K54">
        <v>765738.54</v>
      </c>
      <c r="L54" t="s">
        <v>31</v>
      </c>
      <c r="M54" t="s">
        <v>62</v>
      </c>
      <c r="N54">
        <v>4.05</v>
      </c>
      <c r="O54" t="s">
        <v>27</v>
      </c>
      <c r="Q54">
        <v>35</v>
      </c>
    </row>
    <row r="55" spans="1:17">
      <c r="A55">
        <v>74</v>
      </c>
      <c r="B55">
        <v>2</v>
      </c>
      <c r="C55">
        <v>20240207</v>
      </c>
      <c r="D55" t="s">
        <v>28</v>
      </c>
      <c r="E55" t="s">
        <v>21</v>
      </c>
      <c r="F55" t="s">
        <v>41</v>
      </c>
      <c r="G55" t="s">
        <v>37</v>
      </c>
      <c r="H55">
        <v>6965</v>
      </c>
      <c r="I55" t="s">
        <v>24</v>
      </c>
      <c r="J55">
        <v>4.14</v>
      </c>
      <c r="K55">
        <v>28835.1</v>
      </c>
      <c r="L55" t="s">
        <v>31</v>
      </c>
      <c r="M55" t="s">
        <v>62</v>
      </c>
      <c r="N55">
        <v>4.05</v>
      </c>
      <c r="O55" t="s">
        <v>27</v>
      </c>
      <c r="Q55">
        <v>6</v>
      </c>
    </row>
    <row r="56" spans="1:17">
      <c r="A56">
        <v>75</v>
      </c>
      <c r="B56">
        <v>2</v>
      </c>
      <c r="C56">
        <v>20240207</v>
      </c>
      <c r="D56" t="s">
        <v>28</v>
      </c>
      <c r="E56" t="s">
        <v>21</v>
      </c>
      <c r="F56" t="s">
        <v>41</v>
      </c>
      <c r="G56" t="s">
        <v>30</v>
      </c>
      <c r="H56">
        <v>19800</v>
      </c>
      <c r="I56" t="s">
        <v>24</v>
      </c>
      <c r="J56">
        <v>4.14</v>
      </c>
      <c r="K56">
        <v>81972</v>
      </c>
      <c r="L56" t="s">
        <v>25</v>
      </c>
      <c r="M56" t="s">
        <v>62</v>
      </c>
      <c r="N56">
        <v>4.05</v>
      </c>
      <c r="O56" t="s">
        <v>27</v>
      </c>
      <c r="Q56">
        <v>4</v>
      </c>
    </row>
    <row r="57" spans="1:17">
      <c r="A57">
        <v>76</v>
      </c>
      <c r="B57">
        <v>2</v>
      </c>
      <c r="C57">
        <v>20240207</v>
      </c>
      <c r="D57" t="s">
        <v>28</v>
      </c>
      <c r="E57" t="s">
        <v>21</v>
      </c>
      <c r="F57" t="s">
        <v>41</v>
      </c>
      <c r="G57" t="s">
        <v>37</v>
      </c>
      <c r="H57">
        <v>40900</v>
      </c>
      <c r="I57" t="s">
        <v>24</v>
      </c>
      <c r="J57">
        <v>4.14</v>
      </c>
      <c r="K57">
        <v>169326</v>
      </c>
      <c r="L57" t="s">
        <v>31</v>
      </c>
      <c r="M57" t="s">
        <v>62</v>
      </c>
      <c r="N57">
        <v>4.05</v>
      </c>
      <c r="O57" t="s">
        <v>27</v>
      </c>
      <c r="Q57">
        <v>18</v>
      </c>
    </row>
    <row r="58" spans="1:17">
      <c r="A58">
        <v>77</v>
      </c>
      <c r="B58">
        <v>2</v>
      </c>
      <c r="C58">
        <v>20240207</v>
      </c>
      <c r="D58" t="s">
        <v>28</v>
      </c>
      <c r="E58" t="s">
        <v>21</v>
      </c>
      <c r="F58" t="s">
        <v>41</v>
      </c>
      <c r="G58" t="s">
        <v>30</v>
      </c>
      <c r="H58">
        <v>158952</v>
      </c>
      <c r="I58" t="s">
        <v>24</v>
      </c>
      <c r="J58">
        <v>4.14</v>
      </c>
      <c r="K58">
        <v>658061.28</v>
      </c>
      <c r="L58" t="s">
        <v>31</v>
      </c>
      <c r="M58" t="s">
        <v>62</v>
      </c>
      <c r="N58">
        <v>4.05</v>
      </c>
      <c r="O58" t="s">
        <v>27</v>
      </c>
      <c r="Q58">
        <v>27</v>
      </c>
    </row>
    <row r="59" spans="1:17">
      <c r="A59">
        <v>78</v>
      </c>
      <c r="B59">
        <v>2</v>
      </c>
      <c r="C59">
        <v>20240207</v>
      </c>
      <c r="D59" t="s">
        <v>28</v>
      </c>
      <c r="E59" t="s">
        <v>21</v>
      </c>
      <c r="F59" t="s">
        <v>41</v>
      </c>
      <c r="G59" t="s">
        <v>30</v>
      </c>
      <c r="H59">
        <v>66198</v>
      </c>
      <c r="I59" t="s">
        <v>24</v>
      </c>
      <c r="J59">
        <v>4.14</v>
      </c>
      <c r="K59">
        <v>274059.72</v>
      </c>
      <c r="L59" t="s">
        <v>31</v>
      </c>
      <c r="M59" t="s">
        <v>62</v>
      </c>
      <c r="N59">
        <v>4.05</v>
      </c>
      <c r="O59" t="s">
        <v>27</v>
      </c>
      <c r="Q59">
        <v>19</v>
      </c>
    </row>
    <row r="60" spans="1:17">
      <c r="A60">
        <v>79</v>
      </c>
      <c r="B60">
        <v>2</v>
      </c>
      <c r="C60">
        <v>20240207</v>
      </c>
      <c r="D60" t="s">
        <v>28</v>
      </c>
      <c r="E60" t="s">
        <v>21</v>
      </c>
      <c r="F60" t="s">
        <v>41</v>
      </c>
      <c r="G60" t="s">
        <v>37</v>
      </c>
      <c r="H60">
        <v>14204</v>
      </c>
      <c r="I60" t="s">
        <v>24</v>
      </c>
      <c r="J60">
        <v>4.14</v>
      </c>
      <c r="K60">
        <v>58804.56</v>
      </c>
      <c r="L60" t="s">
        <v>31</v>
      </c>
      <c r="M60" t="s">
        <v>62</v>
      </c>
      <c r="N60">
        <v>4.05</v>
      </c>
      <c r="O60" t="s">
        <v>27</v>
      </c>
      <c r="Q60">
        <v>7</v>
      </c>
    </row>
    <row r="61" spans="1:17">
      <c r="A61">
        <v>80</v>
      </c>
      <c r="B61">
        <v>2</v>
      </c>
      <c r="C61">
        <v>20240207</v>
      </c>
      <c r="D61" t="s">
        <v>20</v>
      </c>
      <c r="E61" t="s">
        <v>21</v>
      </c>
      <c r="F61" t="s">
        <v>41</v>
      </c>
      <c r="G61" t="s">
        <v>30</v>
      </c>
      <c r="H61">
        <v>27720</v>
      </c>
      <c r="I61" t="s">
        <v>24</v>
      </c>
      <c r="J61">
        <v>4.14</v>
      </c>
      <c r="K61">
        <v>114760.8</v>
      </c>
      <c r="L61" t="s">
        <v>31</v>
      </c>
      <c r="M61" t="s">
        <v>64</v>
      </c>
      <c r="N61">
        <v>4.05</v>
      </c>
      <c r="O61" t="s">
        <v>27</v>
      </c>
      <c r="Q61">
        <v>2</v>
      </c>
    </row>
    <row r="62" spans="1:17">
      <c r="A62">
        <v>81</v>
      </c>
      <c r="B62">
        <v>2</v>
      </c>
      <c r="C62">
        <v>20240207</v>
      </c>
      <c r="D62" t="s">
        <v>28</v>
      </c>
      <c r="E62" t="s">
        <v>21</v>
      </c>
      <c r="F62" t="s">
        <v>22</v>
      </c>
      <c r="G62" t="s">
        <v>37</v>
      </c>
      <c r="H62">
        <v>101257</v>
      </c>
      <c r="I62" t="s">
        <v>24</v>
      </c>
      <c r="J62">
        <v>5.07</v>
      </c>
      <c r="K62">
        <v>513372.99</v>
      </c>
      <c r="L62" t="s">
        <v>25</v>
      </c>
      <c r="M62" t="s">
        <v>65</v>
      </c>
      <c r="N62">
        <v>4.9657</v>
      </c>
      <c r="O62" t="s">
        <v>27</v>
      </c>
      <c r="Q62">
        <v>6</v>
      </c>
    </row>
    <row r="63" spans="1:17">
      <c r="A63">
        <v>82</v>
      </c>
      <c r="B63">
        <v>2</v>
      </c>
      <c r="C63">
        <v>20240207</v>
      </c>
      <c r="D63" t="s">
        <v>28</v>
      </c>
      <c r="E63" t="s">
        <v>21</v>
      </c>
      <c r="F63" t="s">
        <v>22</v>
      </c>
      <c r="G63" t="s">
        <v>37</v>
      </c>
      <c r="H63">
        <v>48331</v>
      </c>
      <c r="I63" t="s">
        <v>24</v>
      </c>
      <c r="J63">
        <v>4.28</v>
      </c>
      <c r="K63">
        <v>206856.68</v>
      </c>
      <c r="L63" t="s">
        <v>25</v>
      </c>
      <c r="M63" t="s">
        <v>65</v>
      </c>
      <c r="N63">
        <v>4.192</v>
      </c>
      <c r="O63" t="s">
        <v>27</v>
      </c>
      <c r="Q63">
        <v>4</v>
      </c>
    </row>
    <row r="64" spans="1:17">
      <c r="A64">
        <v>83</v>
      </c>
      <c r="B64">
        <v>2</v>
      </c>
      <c r="C64">
        <v>20240207</v>
      </c>
      <c r="D64" t="s">
        <v>28</v>
      </c>
      <c r="E64" t="s">
        <v>21</v>
      </c>
      <c r="F64" t="s">
        <v>22</v>
      </c>
      <c r="G64" t="s">
        <v>37</v>
      </c>
      <c r="H64">
        <v>7423</v>
      </c>
      <c r="I64" t="s">
        <v>24</v>
      </c>
      <c r="J64">
        <v>4.14</v>
      </c>
      <c r="K64">
        <v>30731.22</v>
      </c>
      <c r="L64" t="s">
        <v>25</v>
      </c>
      <c r="M64" t="s">
        <v>65</v>
      </c>
      <c r="N64">
        <v>3.529</v>
      </c>
      <c r="O64" t="s">
        <v>27</v>
      </c>
      <c r="Q64">
        <v>2</v>
      </c>
    </row>
    <row r="65" spans="1:17">
      <c r="A65">
        <v>84</v>
      </c>
      <c r="B65">
        <v>2</v>
      </c>
      <c r="C65">
        <v>20240207</v>
      </c>
      <c r="D65" t="s">
        <v>28</v>
      </c>
      <c r="E65" t="s">
        <v>21</v>
      </c>
      <c r="F65" t="s">
        <v>22</v>
      </c>
      <c r="G65" t="s">
        <v>37</v>
      </c>
      <c r="H65">
        <v>72662</v>
      </c>
      <c r="I65" t="s">
        <v>24</v>
      </c>
      <c r="J65">
        <v>4.14</v>
      </c>
      <c r="K65">
        <v>300820.68</v>
      </c>
      <c r="L65" t="s">
        <v>25</v>
      </c>
      <c r="M65" t="s">
        <v>65</v>
      </c>
      <c r="N65">
        <v>3.5715</v>
      </c>
      <c r="O65" t="s">
        <v>27</v>
      </c>
      <c r="Q65">
        <v>5</v>
      </c>
    </row>
    <row r="66" spans="1:17">
      <c r="A66">
        <v>85</v>
      </c>
      <c r="B66">
        <v>2</v>
      </c>
      <c r="C66">
        <v>20240207</v>
      </c>
      <c r="D66" t="s">
        <v>28</v>
      </c>
      <c r="E66" t="s">
        <v>21</v>
      </c>
      <c r="F66" t="s">
        <v>22</v>
      </c>
      <c r="G66" t="s">
        <v>30</v>
      </c>
      <c r="H66">
        <v>10254</v>
      </c>
      <c r="I66" t="s">
        <v>24</v>
      </c>
      <c r="J66">
        <v>4.14</v>
      </c>
      <c r="K66">
        <v>42451.56</v>
      </c>
      <c r="L66" t="s">
        <v>25</v>
      </c>
      <c r="M66" t="s">
        <v>65</v>
      </c>
      <c r="N66">
        <v>4.049</v>
      </c>
      <c r="O66" t="s">
        <v>27</v>
      </c>
      <c r="Q66">
        <v>6</v>
      </c>
    </row>
    <row r="67" spans="1:17">
      <c r="A67">
        <v>86</v>
      </c>
      <c r="B67">
        <v>2</v>
      </c>
      <c r="C67">
        <v>20240207</v>
      </c>
      <c r="D67" t="s">
        <v>28</v>
      </c>
      <c r="E67" t="s">
        <v>21</v>
      </c>
      <c r="F67" t="s">
        <v>22</v>
      </c>
      <c r="G67" t="s">
        <v>30</v>
      </c>
      <c r="H67">
        <v>22485</v>
      </c>
      <c r="I67" t="s">
        <v>24</v>
      </c>
      <c r="J67">
        <v>4.14</v>
      </c>
      <c r="K67">
        <v>93087.9</v>
      </c>
      <c r="L67" t="s">
        <v>25</v>
      </c>
      <c r="M67" t="s">
        <v>65</v>
      </c>
      <c r="N67">
        <v>3.517</v>
      </c>
      <c r="O67" t="s">
        <v>27</v>
      </c>
      <c r="Q67">
        <v>13</v>
      </c>
    </row>
    <row r="68" spans="1:17">
      <c r="A68">
        <v>87</v>
      </c>
      <c r="B68">
        <v>2</v>
      </c>
      <c r="C68">
        <v>20240207</v>
      </c>
      <c r="D68" t="s">
        <v>28</v>
      </c>
      <c r="E68" t="s">
        <v>21</v>
      </c>
      <c r="F68" t="s">
        <v>22</v>
      </c>
      <c r="G68" t="s">
        <v>30</v>
      </c>
      <c r="H68">
        <v>122258</v>
      </c>
      <c r="I68" t="s">
        <v>24</v>
      </c>
      <c r="J68">
        <v>4.14</v>
      </c>
      <c r="K68">
        <v>506148.12</v>
      </c>
      <c r="L68" t="s">
        <v>25</v>
      </c>
      <c r="M68" t="s">
        <v>65</v>
      </c>
      <c r="N68">
        <v>3.7043</v>
      </c>
      <c r="O68" t="s">
        <v>27</v>
      </c>
      <c r="Q68">
        <v>9</v>
      </c>
    </row>
    <row r="69" spans="1:17">
      <c r="A69">
        <v>88</v>
      </c>
      <c r="B69">
        <v>2</v>
      </c>
      <c r="C69">
        <v>20240207</v>
      </c>
      <c r="D69" t="s">
        <v>28</v>
      </c>
      <c r="E69" t="s">
        <v>21</v>
      </c>
      <c r="F69" t="s">
        <v>22</v>
      </c>
      <c r="G69" t="s">
        <v>30</v>
      </c>
      <c r="H69">
        <v>300171</v>
      </c>
      <c r="I69" t="s">
        <v>24</v>
      </c>
      <c r="J69">
        <v>4.14</v>
      </c>
      <c r="K69">
        <v>1242707.94</v>
      </c>
      <c r="L69" t="s">
        <v>25</v>
      </c>
      <c r="M69" t="s">
        <v>65</v>
      </c>
      <c r="N69">
        <v>3.5675</v>
      </c>
      <c r="O69" t="s">
        <v>27</v>
      </c>
      <c r="Q69">
        <v>14</v>
      </c>
    </row>
    <row r="70" spans="1:17">
      <c r="A70">
        <v>89</v>
      </c>
      <c r="B70">
        <v>2</v>
      </c>
      <c r="C70">
        <v>20240207</v>
      </c>
      <c r="D70" t="s">
        <v>28</v>
      </c>
      <c r="E70" t="s">
        <v>21</v>
      </c>
      <c r="F70" t="s">
        <v>22</v>
      </c>
      <c r="G70" t="s">
        <v>30</v>
      </c>
      <c r="H70">
        <v>253215</v>
      </c>
      <c r="I70" t="s">
        <v>24</v>
      </c>
      <c r="J70">
        <v>4.14</v>
      </c>
      <c r="K70">
        <v>1048310.1</v>
      </c>
      <c r="L70" t="s">
        <v>25</v>
      </c>
      <c r="M70" t="s">
        <v>65</v>
      </c>
      <c r="N70">
        <v>3.7839</v>
      </c>
      <c r="O70" t="s">
        <v>27</v>
      </c>
      <c r="Q70">
        <v>24</v>
      </c>
    </row>
    <row r="71" spans="1:17">
      <c r="A71">
        <v>90</v>
      </c>
      <c r="B71">
        <v>2</v>
      </c>
      <c r="C71">
        <v>20240207</v>
      </c>
      <c r="D71" t="s">
        <v>28</v>
      </c>
      <c r="E71" t="s">
        <v>21</v>
      </c>
      <c r="F71" t="s">
        <v>22</v>
      </c>
      <c r="G71" t="s">
        <v>30</v>
      </c>
      <c r="H71">
        <v>204649</v>
      </c>
      <c r="I71" t="s">
        <v>24</v>
      </c>
      <c r="J71">
        <v>4.14</v>
      </c>
      <c r="K71">
        <v>847246.86</v>
      </c>
      <c r="L71" t="s">
        <v>25</v>
      </c>
      <c r="M71" t="s">
        <v>65</v>
      </c>
      <c r="N71">
        <v>3.5991</v>
      </c>
      <c r="O71" t="s">
        <v>27</v>
      </c>
      <c r="Q71">
        <v>21</v>
      </c>
    </row>
    <row r="72" spans="1:17">
      <c r="A72">
        <v>91</v>
      </c>
      <c r="B72">
        <v>2</v>
      </c>
      <c r="C72">
        <v>20240207</v>
      </c>
      <c r="D72" t="s">
        <v>28</v>
      </c>
      <c r="E72" t="s">
        <v>21</v>
      </c>
      <c r="F72" t="s">
        <v>22</v>
      </c>
      <c r="G72" t="s">
        <v>37</v>
      </c>
      <c r="H72">
        <v>28275</v>
      </c>
      <c r="I72" t="s">
        <v>24</v>
      </c>
      <c r="J72">
        <v>4.14</v>
      </c>
      <c r="K72">
        <v>117058.5</v>
      </c>
      <c r="L72" t="s">
        <v>36</v>
      </c>
      <c r="M72" t="s">
        <v>65</v>
      </c>
      <c r="N72">
        <v>4.0844</v>
      </c>
      <c r="O72" t="s">
        <v>27</v>
      </c>
      <c r="Q72">
        <v>4</v>
      </c>
    </row>
    <row r="73" spans="1:17">
      <c r="A73">
        <v>92</v>
      </c>
      <c r="B73">
        <v>2</v>
      </c>
      <c r="C73">
        <v>20240207</v>
      </c>
      <c r="D73" t="s">
        <v>28</v>
      </c>
      <c r="E73" t="s">
        <v>21</v>
      </c>
      <c r="F73" t="s">
        <v>22</v>
      </c>
      <c r="G73" t="s">
        <v>30</v>
      </c>
      <c r="H73">
        <v>38578</v>
      </c>
      <c r="I73" t="s">
        <v>24</v>
      </c>
      <c r="J73">
        <v>4.14</v>
      </c>
      <c r="K73">
        <v>159712.92</v>
      </c>
      <c r="L73" t="s">
        <v>36</v>
      </c>
      <c r="M73" t="s">
        <v>65</v>
      </c>
      <c r="N73">
        <v>4.0562</v>
      </c>
      <c r="O73" t="s">
        <v>27</v>
      </c>
      <c r="Q73">
        <v>13</v>
      </c>
    </row>
    <row r="74" spans="1:17">
      <c r="A74">
        <v>93</v>
      </c>
      <c r="B74">
        <v>2</v>
      </c>
      <c r="C74">
        <v>20240207</v>
      </c>
      <c r="D74" t="s">
        <v>28</v>
      </c>
      <c r="E74" t="s">
        <v>21</v>
      </c>
      <c r="F74" t="s">
        <v>22</v>
      </c>
      <c r="G74" t="s">
        <v>37</v>
      </c>
      <c r="H74">
        <v>97172</v>
      </c>
      <c r="I74" t="s">
        <v>24</v>
      </c>
      <c r="J74">
        <v>4.14</v>
      </c>
      <c r="K74">
        <v>402292.08</v>
      </c>
      <c r="L74" t="s">
        <v>31</v>
      </c>
      <c r="M74" t="s">
        <v>65</v>
      </c>
      <c r="N74">
        <v>4.0619</v>
      </c>
      <c r="O74" t="s">
        <v>27</v>
      </c>
      <c r="Q74">
        <v>5</v>
      </c>
    </row>
    <row r="75" spans="1:17">
      <c r="A75">
        <v>94</v>
      </c>
      <c r="B75">
        <v>2</v>
      </c>
      <c r="C75">
        <v>20240207</v>
      </c>
      <c r="D75" t="s">
        <v>28</v>
      </c>
      <c r="E75" t="s">
        <v>21</v>
      </c>
      <c r="F75" t="s">
        <v>22</v>
      </c>
      <c r="G75" t="s">
        <v>30</v>
      </c>
      <c r="H75">
        <v>1305787</v>
      </c>
      <c r="I75" t="s">
        <v>24</v>
      </c>
      <c r="J75">
        <v>4.14</v>
      </c>
      <c r="K75">
        <v>5405958.18</v>
      </c>
      <c r="L75" t="s">
        <v>31</v>
      </c>
      <c r="M75" t="s">
        <v>65</v>
      </c>
      <c r="N75">
        <v>4.0967</v>
      </c>
      <c r="O75" t="s">
        <v>27</v>
      </c>
      <c r="Q75">
        <v>57</v>
      </c>
    </row>
    <row r="76" spans="1:17">
      <c r="A76">
        <v>95</v>
      </c>
      <c r="B76">
        <v>2</v>
      </c>
      <c r="C76">
        <v>20240207</v>
      </c>
      <c r="D76" t="s">
        <v>20</v>
      </c>
      <c r="E76" t="s">
        <v>21</v>
      </c>
      <c r="F76" t="s">
        <v>32</v>
      </c>
      <c r="G76" t="s">
        <v>42</v>
      </c>
      <c r="H76">
        <v>136552</v>
      </c>
      <c r="I76" t="s">
        <v>24</v>
      </c>
      <c r="J76">
        <v>4.48</v>
      </c>
      <c r="K76">
        <v>611752.96</v>
      </c>
      <c r="L76" t="s">
        <v>25</v>
      </c>
      <c r="M76" t="s">
        <v>66</v>
      </c>
      <c r="N76">
        <v>3.8117</v>
      </c>
      <c r="O76" t="s">
        <v>27</v>
      </c>
      <c r="Q76">
        <v>30</v>
      </c>
    </row>
    <row r="77" spans="1:17">
      <c r="A77">
        <v>96</v>
      </c>
      <c r="B77">
        <v>2</v>
      </c>
      <c r="C77">
        <v>20240207</v>
      </c>
      <c r="D77" t="s">
        <v>20</v>
      </c>
      <c r="E77" t="s">
        <v>21</v>
      </c>
      <c r="F77" t="s">
        <v>22</v>
      </c>
      <c r="G77" t="s">
        <v>42</v>
      </c>
      <c r="H77">
        <v>1513570</v>
      </c>
      <c r="I77" t="s">
        <v>24</v>
      </c>
      <c r="J77">
        <v>5.62</v>
      </c>
      <c r="K77">
        <v>8506263.4</v>
      </c>
      <c r="L77" t="s">
        <v>31</v>
      </c>
      <c r="M77" t="s">
        <v>67</v>
      </c>
      <c r="N77">
        <v>5.5067</v>
      </c>
      <c r="O77" t="s">
        <v>27</v>
      </c>
      <c r="Q77">
        <v>62</v>
      </c>
    </row>
    <row r="78" spans="1:17">
      <c r="A78">
        <v>97</v>
      </c>
      <c r="B78">
        <v>2</v>
      </c>
      <c r="C78">
        <v>20240207</v>
      </c>
      <c r="D78" t="s">
        <v>20</v>
      </c>
      <c r="E78" t="s">
        <v>21</v>
      </c>
      <c r="F78" t="s">
        <v>22</v>
      </c>
      <c r="G78" t="s">
        <v>42</v>
      </c>
      <c r="H78">
        <v>171732</v>
      </c>
      <c r="I78" t="s">
        <v>24</v>
      </c>
      <c r="J78">
        <v>4.48</v>
      </c>
      <c r="K78">
        <v>769359.36</v>
      </c>
      <c r="L78" t="s">
        <v>25</v>
      </c>
      <c r="M78" t="s">
        <v>67</v>
      </c>
      <c r="N78">
        <v>4.3544</v>
      </c>
      <c r="O78" t="s">
        <v>27</v>
      </c>
      <c r="Q78">
        <v>10</v>
      </c>
    </row>
    <row r="79" spans="1:17">
      <c r="A79">
        <v>98</v>
      </c>
      <c r="B79">
        <v>2</v>
      </c>
      <c r="C79">
        <v>20240207</v>
      </c>
      <c r="D79" t="s">
        <v>20</v>
      </c>
      <c r="E79" t="s">
        <v>21</v>
      </c>
      <c r="F79" t="s">
        <v>22</v>
      </c>
      <c r="G79" t="s">
        <v>42</v>
      </c>
      <c r="H79">
        <v>99785</v>
      </c>
      <c r="I79" t="s">
        <v>24</v>
      </c>
      <c r="J79">
        <v>5.32</v>
      </c>
      <c r="K79">
        <v>530856.2</v>
      </c>
      <c r="L79" t="s">
        <v>25</v>
      </c>
      <c r="M79" t="s">
        <v>67</v>
      </c>
      <c r="N79">
        <v>5.2204</v>
      </c>
      <c r="O79" t="s">
        <v>27</v>
      </c>
      <c r="Q79">
        <v>7</v>
      </c>
    </row>
    <row r="80" spans="1:17">
      <c r="A80">
        <v>99</v>
      </c>
      <c r="B80">
        <v>2</v>
      </c>
      <c r="C80">
        <v>20240207</v>
      </c>
      <c r="D80" t="s">
        <v>28</v>
      </c>
      <c r="E80" t="s">
        <v>21</v>
      </c>
      <c r="F80" t="s">
        <v>29</v>
      </c>
      <c r="G80" t="s">
        <v>30</v>
      </c>
      <c r="H80">
        <v>30135</v>
      </c>
      <c r="I80" t="s">
        <v>24</v>
      </c>
      <c r="J80">
        <v>4.14</v>
      </c>
      <c r="K80">
        <v>124758.9</v>
      </c>
      <c r="L80" t="s">
        <v>25</v>
      </c>
      <c r="M80" t="s">
        <v>68</v>
      </c>
      <c r="N80">
        <v>3.4603</v>
      </c>
      <c r="O80" t="s">
        <v>27</v>
      </c>
      <c r="Q80">
        <v>130</v>
      </c>
    </row>
    <row r="81" spans="1:19">
      <c r="A81">
        <v>100</v>
      </c>
      <c r="B81">
        <v>2</v>
      </c>
      <c r="C81">
        <v>20240207</v>
      </c>
      <c r="D81" t="s">
        <v>28</v>
      </c>
      <c r="E81" t="s">
        <v>21</v>
      </c>
      <c r="F81" t="s">
        <v>29</v>
      </c>
      <c r="G81" t="s">
        <v>30</v>
      </c>
      <c r="H81">
        <v>29115</v>
      </c>
      <c r="I81" t="s">
        <v>24</v>
      </c>
      <c r="J81">
        <v>4.73</v>
      </c>
      <c r="K81">
        <v>137713.95</v>
      </c>
      <c r="L81" t="s">
        <v>25</v>
      </c>
      <c r="M81" t="s">
        <v>68</v>
      </c>
      <c r="N81">
        <v>4.6375</v>
      </c>
      <c r="O81" t="s">
        <v>27</v>
      </c>
    </row>
    <row r="82" spans="1:19">
      <c r="A82">
        <v>101</v>
      </c>
      <c r="B82">
        <v>2</v>
      </c>
      <c r="C82">
        <v>20240207</v>
      </c>
      <c r="D82" t="s">
        <v>28</v>
      </c>
      <c r="E82" t="s">
        <v>21</v>
      </c>
      <c r="F82" t="s">
        <v>29</v>
      </c>
      <c r="G82" t="s">
        <v>30</v>
      </c>
      <c r="H82">
        <v>84851</v>
      </c>
      <c r="I82" t="s">
        <v>24</v>
      </c>
      <c r="J82">
        <v>4.14</v>
      </c>
      <c r="K82">
        <v>351283.14</v>
      </c>
      <c r="L82" t="s">
        <v>31</v>
      </c>
      <c r="M82" t="s">
        <v>68</v>
      </c>
      <c r="N82">
        <v>4.0286</v>
      </c>
      <c r="O82" t="s">
        <v>27</v>
      </c>
    </row>
    <row r="83" spans="1:19">
      <c r="A83">
        <v>102</v>
      </c>
      <c r="B83">
        <v>2</v>
      </c>
      <c r="C83">
        <v>20240207</v>
      </c>
      <c r="D83" t="s">
        <v>28</v>
      </c>
      <c r="E83" t="s">
        <v>21</v>
      </c>
      <c r="F83" t="s">
        <v>29</v>
      </c>
      <c r="G83" t="s">
        <v>30</v>
      </c>
      <c r="H83">
        <v>2452</v>
      </c>
      <c r="I83" t="s">
        <v>24</v>
      </c>
      <c r="J83">
        <v>4.97</v>
      </c>
      <c r="K83">
        <v>12186.44</v>
      </c>
      <c r="L83" t="s">
        <v>36</v>
      </c>
      <c r="M83" t="s">
        <v>68</v>
      </c>
      <c r="N83">
        <v>4.8746</v>
      </c>
      <c r="O83" t="s">
        <v>27</v>
      </c>
    </row>
    <row r="84" spans="1:19">
      <c r="A84">
        <v>103</v>
      </c>
      <c r="B84">
        <v>2</v>
      </c>
      <c r="C84">
        <v>20240207</v>
      </c>
      <c r="D84" t="s">
        <v>28</v>
      </c>
      <c r="E84" t="s">
        <v>21</v>
      </c>
      <c r="F84" t="s">
        <v>29</v>
      </c>
      <c r="G84" t="s">
        <v>37</v>
      </c>
      <c r="H84">
        <v>585</v>
      </c>
      <c r="I84" t="s">
        <v>24</v>
      </c>
      <c r="J84">
        <v>4.14</v>
      </c>
      <c r="K84">
        <v>2421.9</v>
      </c>
      <c r="L84" t="s">
        <v>25</v>
      </c>
      <c r="M84" t="s">
        <v>69</v>
      </c>
      <c r="N84">
        <v>3.4877</v>
      </c>
      <c r="O84" t="s">
        <v>27</v>
      </c>
      <c r="Q84">
        <v>29</v>
      </c>
    </row>
    <row r="85" spans="1:19">
      <c r="A85">
        <v>104</v>
      </c>
      <c r="B85">
        <v>2</v>
      </c>
      <c r="C85">
        <v>20240207</v>
      </c>
      <c r="D85" t="s">
        <v>28</v>
      </c>
      <c r="E85" t="s">
        <v>21</v>
      </c>
      <c r="F85" t="s">
        <v>29</v>
      </c>
      <c r="G85" t="s">
        <v>37</v>
      </c>
      <c r="H85">
        <v>149</v>
      </c>
      <c r="I85" t="s">
        <v>24</v>
      </c>
      <c r="J85">
        <v>5</v>
      </c>
      <c r="K85">
        <v>745</v>
      </c>
      <c r="L85" t="s">
        <v>25</v>
      </c>
      <c r="M85" t="s">
        <v>69</v>
      </c>
      <c r="N85">
        <v>4.9059</v>
      </c>
      <c r="O85" t="s">
        <v>27</v>
      </c>
    </row>
    <row r="86" spans="1:19">
      <c r="A86">
        <v>105</v>
      </c>
      <c r="B86">
        <v>2</v>
      </c>
      <c r="C86">
        <v>20240207</v>
      </c>
      <c r="D86" t="s">
        <v>28</v>
      </c>
      <c r="E86" t="s">
        <v>21</v>
      </c>
      <c r="F86" t="s">
        <v>29</v>
      </c>
      <c r="G86" t="s">
        <v>37</v>
      </c>
      <c r="H86">
        <v>1577</v>
      </c>
      <c r="I86" t="s">
        <v>24</v>
      </c>
      <c r="J86">
        <v>4.14</v>
      </c>
      <c r="K86">
        <v>6528.78</v>
      </c>
      <c r="L86" t="s">
        <v>31</v>
      </c>
      <c r="M86" t="s">
        <v>69</v>
      </c>
      <c r="N86">
        <v>4.0287</v>
      </c>
      <c r="O86" t="s">
        <v>27</v>
      </c>
    </row>
    <row r="87" spans="1:19">
      <c r="A87">
        <v>106</v>
      </c>
      <c r="B87">
        <v>2</v>
      </c>
      <c r="C87">
        <v>20240208</v>
      </c>
      <c r="D87" t="s">
        <v>28</v>
      </c>
      <c r="E87" t="s">
        <v>21</v>
      </c>
      <c r="F87" t="s">
        <v>41</v>
      </c>
      <c r="G87" t="s">
        <v>30</v>
      </c>
      <c r="H87">
        <v>849534</v>
      </c>
      <c r="I87" t="s">
        <v>24</v>
      </c>
      <c r="J87">
        <v>4.14</v>
      </c>
      <c r="K87">
        <v>3517070.76</v>
      </c>
      <c r="L87" t="s">
        <v>25</v>
      </c>
      <c r="M87" t="s">
        <v>70</v>
      </c>
      <c r="N87">
        <v>4.05</v>
      </c>
      <c r="O87" t="s">
        <v>27</v>
      </c>
      <c r="Q87">
        <v>116</v>
      </c>
    </row>
    <row r="88" spans="1:19">
      <c r="A88">
        <v>107</v>
      </c>
      <c r="B88">
        <v>2</v>
      </c>
      <c r="C88">
        <v>20240208</v>
      </c>
      <c r="D88" t="s">
        <v>28</v>
      </c>
      <c r="E88" t="s">
        <v>21</v>
      </c>
      <c r="F88" t="s">
        <v>41</v>
      </c>
      <c r="G88" t="s">
        <v>37</v>
      </c>
      <c r="H88">
        <v>170284</v>
      </c>
      <c r="I88" t="s">
        <v>24</v>
      </c>
      <c r="J88">
        <v>4.14</v>
      </c>
      <c r="K88">
        <v>704975.76</v>
      </c>
      <c r="L88" t="s">
        <v>25</v>
      </c>
      <c r="M88" t="s">
        <v>70</v>
      </c>
      <c r="N88">
        <v>4.05</v>
      </c>
      <c r="O88" t="s">
        <v>27</v>
      </c>
      <c r="Q88">
        <v>29</v>
      </c>
    </row>
    <row r="89" spans="1:19">
      <c r="A89">
        <v>108</v>
      </c>
      <c r="B89">
        <v>2</v>
      </c>
      <c r="C89">
        <v>20240208</v>
      </c>
      <c r="D89" t="s">
        <v>28</v>
      </c>
      <c r="E89" t="s">
        <v>21</v>
      </c>
      <c r="F89" t="s">
        <v>41</v>
      </c>
      <c r="G89" t="s">
        <v>30</v>
      </c>
      <c r="H89">
        <v>203622</v>
      </c>
      <c r="I89" t="s">
        <v>24</v>
      </c>
      <c r="J89">
        <v>4.14</v>
      </c>
      <c r="K89">
        <v>842995.08</v>
      </c>
      <c r="L89" t="s">
        <v>25</v>
      </c>
      <c r="M89" t="s">
        <v>70</v>
      </c>
      <c r="N89">
        <v>4.05</v>
      </c>
      <c r="O89" t="s">
        <v>27</v>
      </c>
      <c r="Q89">
        <v>28</v>
      </c>
    </row>
    <row r="90" spans="1:19">
      <c r="A90">
        <v>109</v>
      </c>
      <c r="B90">
        <v>2</v>
      </c>
      <c r="C90">
        <v>20240208</v>
      </c>
      <c r="D90" t="s">
        <v>28</v>
      </c>
      <c r="E90" t="s">
        <v>21</v>
      </c>
      <c r="F90" t="s">
        <v>41</v>
      </c>
      <c r="G90" t="s">
        <v>37</v>
      </c>
      <c r="H90">
        <v>50793</v>
      </c>
      <c r="I90" t="s">
        <v>24</v>
      </c>
      <c r="J90">
        <v>4.14</v>
      </c>
      <c r="K90">
        <v>210283.02</v>
      </c>
      <c r="L90" t="s">
        <v>25</v>
      </c>
      <c r="M90" t="s">
        <v>70</v>
      </c>
      <c r="N90">
        <v>4.05</v>
      </c>
      <c r="O90" t="s">
        <v>27</v>
      </c>
      <c r="Q90">
        <v>11</v>
      </c>
    </row>
    <row r="91" spans="1:19">
      <c r="A91">
        <v>110</v>
      </c>
      <c r="B91">
        <v>2</v>
      </c>
      <c r="C91">
        <v>20240208</v>
      </c>
      <c r="D91" t="s">
        <v>28</v>
      </c>
      <c r="E91" t="s">
        <v>21</v>
      </c>
      <c r="F91" t="s">
        <v>41</v>
      </c>
      <c r="G91" t="s">
        <v>30</v>
      </c>
      <c r="H91">
        <v>427810</v>
      </c>
      <c r="I91" t="s">
        <v>24</v>
      </c>
      <c r="J91">
        <v>4.14</v>
      </c>
      <c r="K91">
        <v>1771133.4</v>
      </c>
      <c r="L91" t="s">
        <v>31</v>
      </c>
      <c r="M91" t="s">
        <v>70</v>
      </c>
      <c r="N91">
        <v>4.05</v>
      </c>
      <c r="O91" t="s">
        <v>27</v>
      </c>
      <c r="Q91">
        <v>61</v>
      </c>
    </row>
    <row r="92" spans="1:19">
      <c r="A92">
        <v>111</v>
      </c>
      <c r="B92">
        <v>2</v>
      </c>
      <c r="C92">
        <v>20240208</v>
      </c>
      <c r="D92" t="s">
        <v>28</v>
      </c>
      <c r="E92" t="s">
        <v>21</v>
      </c>
      <c r="F92" t="s">
        <v>41</v>
      </c>
      <c r="G92" t="s">
        <v>37</v>
      </c>
      <c r="H92">
        <v>121565</v>
      </c>
      <c r="I92" t="s">
        <v>24</v>
      </c>
      <c r="J92">
        <v>4.14</v>
      </c>
      <c r="K92">
        <v>503279.1</v>
      </c>
      <c r="L92" t="s">
        <v>31</v>
      </c>
      <c r="M92" t="s">
        <v>70</v>
      </c>
      <c r="N92">
        <v>4.05</v>
      </c>
      <c r="O92" t="s">
        <v>27</v>
      </c>
      <c r="Q92">
        <v>21</v>
      </c>
    </row>
    <row r="93" spans="1:19">
      <c r="A93">
        <v>112</v>
      </c>
      <c r="B93">
        <v>2</v>
      </c>
      <c r="C93">
        <v>20240208</v>
      </c>
      <c r="D93" t="s">
        <v>28</v>
      </c>
      <c r="E93" t="s">
        <v>21</v>
      </c>
      <c r="F93" t="s">
        <v>41</v>
      </c>
      <c r="G93" t="s">
        <v>30</v>
      </c>
      <c r="H93">
        <v>3960</v>
      </c>
      <c r="I93" t="s">
        <v>24</v>
      </c>
      <c r="J93">
        <v>4.14</v>
      </c>
      <c r="K93">
        <v>16394.4</v>
      </c>
      <c r="L93" t="s">
        <v>25</v>
      </c>
      <c r="M93" t="s">
        <v>70</v>
      </c>
      <c r="N93">
        <v>4.05</v>
      </c>
      <c r="O93" t="s">
        <v>27</v>
      </c>
      <c r="Q93">
        <v>1</v>
      </c>
    </row>
    <row r="94" spans="1:19">
      <c r="A94">
        <v>113</v>
      </c>
      <c r="B94">
        <v>2</v>
      </c>
      <c r="C94">
        <v>20240208</v>
      </c>
      <c r="D94" t="s">
        <v>20</v>
      </c>
      <c r="E94" t="s">
        <v>21</v>
      </c>
      <c r="F94" t="s">
        <v>41</v>
      </c>
      <c r="G94" t="s">
        <v>30</v>
      </c>
      <c r="H94">
        <v>114083</v>
      </c>
      <c r="I94" t="s">
        <v>24</v>
      </c>
      <c r="J94">
        <v>4.14</v>
      </c>
      <c r="K94">
        <v>472303.62</v>
      </c>
      <c r="L94" t="s">
        <v>31</v>
      </c>
      <c r="M94" t="s">
        <v>71</v>
      </c>
      <c r="N94">
        <v>4.05</v>
      </c>
      <c r="O94" t="s">
        <v>27</v>
      </c>
      <c r="Q94">
        <v>12</v>
      </c>
    </row>
    <row r="95" spans="1:19">
      <c r="A95">
        <v>114</v>
      </c>
      <c r="B95">
        <v>2</v>
      </c>
      <c r="C95">
        <v>20240208</v>
      </c>
      <c r="D95" t="s">
        <v>20</v>
      </c>
      <c r="E95" t="s">
        <v>21</v>
      </c>
      <c r="F95" t="s">
        <v>41</v>
      </c>
      <c r="G95" t="s">
        <v>30</v>
      </c>
      <c r="H95">
        <v>45721</v>
      </c>
      <c r="I95" t="s">
        <v>24</v>
      </c>
      <c r="J95">
        <v>4.14</v>
      </c>
      <c r="K95">
        <v>189284.94</v>
      </c>
      <c r="L95" t="s">
        <v>25</v>
      </c>
      <c r="M95" t="s">
        <v>71</v>
      </c>
      <c r="N95">
        <v>4.05</v>
      </c>
      <c r="O95" t="s">
        <v>27</v>
      </c>
      <c r="Q95">
        <v>13</v>
      </c>
    </row>
    <row r="96" spans="1:19">
      <c r="A96">
        <v>134</v>
      </c>
      <c r="B96">
        <v>2</v>
      </c>
      <c r="C96">
        <v>20240215</v>
      </c>
      <c r="D96" t="s">
        <v>20</v>
      </c>
      <c r="E96" t="s">
        <v>21</v>
      </c>
      <c r="F96" t="s">
        <v>41</v>
      </c>
      <c r="G96" t="s">
        <v>42</v>
      </c>
      <c r="H96">
        <v>131762</v>
      </c>
      <c r="I96" t="s">
        <v>24</v>
      </c>
      <c r="J96">
        <v>5.63</v>
      </c>
      <c r="K96">
        <v>741820.06</v>
      </c>
      <c r="L96" t="s">
        <v>25</v>
      </c>
      <c r="M96" t="s">
        <v>73</v>
      </c>
      <c r="N96">
        <v>5.516</v>
      </c>
      <c r="O96" t="s">
        <v>27</v>
      </c>
      <c r="Q96">
        <v>14</v>
      </c>
      <c r="S96">
        <v>4.48</v>
      </c>
    </row>
    <row r="97" spans="1:19">
      <c r="A97">
        <v>135</v>
      </c>
      <c r="B97">
        <v>2</v>
      </c>
      <c r="C97">
        <v>20240215</v>
      </c>
      <c r="D97" t="s">
        <v>20</v>
      </c>
      <c r="E97" t="s">
        <v>21</v>
      </c>
      <c r="F97" t="s">
        <v>41</v>
      </c>
      <c r="G97" t="s">
        <v>42</v>
      </c>
      <c r="H97">
        <v>60657</v>
      </c>
      <c r="I97" t="s">
        <v>24</v>
      </c>
      <c r="J97">
        <v>5.63</v>
      </c>
      <c r="K97">
        <v>341498.91</v>
      </c>
      <c r="L97" t="s">
        <v>25</v>
      </c>
      <c r="M97" t="s">
        <v>73</v>
      </c>
      <c r="N97">
        <v>5.516</v>
      </c>
      <c r="O97" t="s">
        <v>27</v>
      </c>
      <c r="Q97">
        <v>8</v>
      </c>
      <c r="S97">
        <v>4.48</v>
      </c>
    </row>
    <row r="98" spans="1:19">
      <c r="A98">
        <v>136</v>
      </c>
      <c r="B98">
        <v>2</v>
      </c>
      <c r="C98">
        <v>20240215</v>
      </c>
      <c r="D98" t="s">
        <v>20</v>
      </c>
      <c r="E98" t="s">
        <v>21</v>
      </c>
      <c r="F98" t="s">
        <v>41</v>
      </c>
      <c r="G98" t="s">
        <v>42</v>
      </c>
      <c r="H98">
        <v>51909</v>
      </c>
      <c r="I98" t="s">
        <v>24</v>
      </c>
      <c r="J98">
        <v>5.63</v>
      </c>
      <c r="K98">
        <v>292247.67</v>
      </c>
      <c r="L98" t="s">
        <v>31</v>
      </c>
      <c r="M98" t="s">
        <v>73</v>
      </c>
      <c r="N98">
        <v>5.516</v>
      </c>
      <c r="O98" t="s">
        <v>27</v>
      </c>
      <c r="Q98">
        <v>7</v>
      </c>
      <c r="S98">
        <v>4.48</v>
      </c>
    </row>
    <row r="99" spans="1:19">
      <c r="A99">
        <v>137</v>
      </c>
      <c r="B99">
        <v>2</v>
      </c>
      <c r="C99">
        <v>20240215</v>
      </c>
      <c r="D99" t="s">
        <v>20</v>
      </c>
      <c r="E99" t="s">
        <v>21</v>
      </c>
      <c r="F99" t="s">
        <v>41</v>
      </c>
      <c r="G99" t="s">
        <v>50</v>
      </c>
      <c r="H99">
        <v>117845</v>
      </c>
      <c r="I99" t="s">
        <v>24</v>
      </c>
      <c r="J99">
        <v>5.53</v>
      </c>
      <c r="K99">
        <v>651682.85</v>
      </c>
      <c r="L99" t="s">
        <v>25</v>
      </c>
      <c r="M99" t="s">
        <v>73</v>
      </c>
      <c r="N99">
        <v>4.816</v>
      </c>
      <c r="O99" t="s">
        <v>27</v>
      </c>
      <c r="Q99">
        <v>20</v>
      </c>
    </row>
    <row r="100" spans="1:19">
      <c r="A100">
        <v>138</v>
      </c>
      <c r="B100">
        <v>2</v>
      </c>
      <c r="C100">
        <v>20240215</v>
      </c>
      <c r="D100" t="s">
        <v>20</v>
      </c>
      <c r="E100" t="s">
        <v>21</v>
      </c>
      <c r="F100" t="s">
        <v>41</v>
      </c>
      <c r="G100" t="s">
        <v>42</v>
      </c>
      <c r="H100">
        <v>29135</v>
      </c>
      <c r="I100" t="s">
        <v>24</v>
      </c>
      <c r="J100">
        <v>5.63</v>
      </c>
      <c r="K100">
        <v>164030.05</v>
      </c>
      <c r="L100" t="s">
        <v>31</v>
      </c>
      <c r="M100" t="s">
        <v>73</v>
      </c>
      <c r="N100">
        <v>5.516</v>
      </c>
      <c r="O100" t="s">
        <v>27</v>
      </c>
      <c r="Q100">
        <v>6</v>
      </c>
      <c r="S100">
        <v>4.48</v>
      </c>
    </row>
    <row r="101" spans="1:19">
      <c r="A101">
        <v>139</v>
      </c>
      <c r="B101">
        <v>2</v>
      </c>
      <c r="C101">
        <v>20240215</v>
      </c>
      <c r="D101" t="s">
        <v>20</v>
      </c>
      <c r="E101" t="s">
        <v>21</v>
      </c>
      <c r="F101" t="s">
        <v>41</v>
      </c>
      <c r="G101" t="s">
        <v>74</v>
      </c>
      <c r="H101">
        <v>61928</v>
      </c>
      <c r="I101" t="s">
        <v>24</v>
      </c>
      <c r="J101">
        <v>5.63</v>
      </c>
      <c r="K101">
        <v>348654.64</v>
      </c>
      <c r="L101" t="s">
        <v>31</v>
      </c>
      <c r="M101" t="s">
        <v>73</v>
      </c>
      <c r="N101">
        <v>5.516</v>
      </c>
      <c r="O101" t="s">
        <v>27</v>
      </c>
      <c r="Q101">
        <v>8</v>
      </c>
      <c r="S101">
        <v>4.48</v>
      </c>
    </row>
    <row r="102" spans="1:19">
      <c r="A102">
        <v>140</v>
      </c>
      <c r="B102">
        <v>2</v>
      </c>
      <c r="C102">
        <v>20240215</v>
      </c>
      <c r="D102" t="s">
        <v>28</v>
      </c>
      <c r="E102" t="s">
        <v>21</v>
      </c>
      <c r="F102" t="s">
        <v>41</v>
      </c>
      <c r="G102" t="s">
        <v>50</v>
      </c>
      <c r="H102">
        <v>151098</v>
      </c>
      <c r="I102" t="s">
        <v>24</v>
      </c>
      <c r="J102">
        <v>5.53</v>
      </c>
      <c r="K102">
        <v>835571.94</v>
      </c>
      <c r="L102" t="s">
        <v>25</v>
      </c>
      <c r="M102" t="s">
        <v>75</v>
      </c>
      <c r="N102">
        <v>4.816</v>
      </c>
      <c r="O102" t="s">
        <v>27</v>
      </c>
      <c r="Q102">
        <v>16</v>
      </c>
      <c r="S102">
        <v>4.48</v>
      </c>
    </row>
    <row r="103" spans="1:19">
      <c r="A103">
        <v>141</v>
      </c>
      <c r="B103">
        <v>2</v>
      </c>
      <c r="C103">
        <v>20240215</v>
      </c>
      <c r="D103" t="s">
        <v>28</v>
      </c>
      <c r="E103" t="s">
        <v>21</v>
      </c>
      <c r="F103" t="s">
        <v>29</v>
      </c>
      <c r="G103" t="s">
        <v>30</v>
      </c>
      <c r="H103">
        <v>348296</v>
      </c>
      <c r="I103" t="s">
        <v>24</v>
      </c>
      <c r="J103">
        <v>4.14</v>
      </c>
      <c r="K103">
        <v>1441945.44</v>
      </c>
      <c r="L103" t="s">
        <v>31</v>
      </c>
      <c r="M103" t="s">
        <v>76</v>
      </c>
      <c r="N103">
        <v>4.02862</v>
      </c>
      <c r="O103" t="s">
        <v>27</v>
      </c>
      <c r="Q103">
        <v>88</v>
      </c>
      <c r="S103">
        <v>4.48</v>
      </c>
    </row>
    <row r="104" spans="1:19">
      <c r="A104">
        <v>142</v>
      </c>
      <c r="B104">
        <v>2</v>
      </c>
      <c r="C104">
        <v>20240215</v>
      </c>
      <c r="D104" t="s">
        <v>28</v>
      </c>
      <c r="E104" t="s">
        <v>21</v>
      </c>
      <c r="F104" t="s">
        <v>29</v>
      </c>
      <c r="G104" t="s">
        <v>37</v>
      </c>
      <c r="H104">
        <v>108540</v>
      </c>
      <c r="I104" t="s">
        <v>24</v>
      </c>
      <c r="J104">
        <v>4.14</v>
      </c>
      <c r="K104">
        <v>449355.6</v>
      </c>
      <c r="L104" t="s">
        <v>31</v>
      </c>
      <c r="M104" t="s">
        <v>77</v>
      </c>
      <c r="N104">
        <v>4.04226</v>
      </c>
      <c r="O104" t="s">
        <v>27</v>
      </c>
      <c r="Q104">
        <v>15</v>
      </c>
      <c r="S104">
        <v>4.48</v>
      </c>
    </row>
    <row r="105" spans="1:19">
      <c r="A105">
        <v>143</v>
      </c>
      <c r="B105">
        <v>2</v>
      </c>
      <c r="C105">
        <v>20240215</v>
      </c>
      <c r="D105" t="s">
        <v>20</v>
      </c>
      <c r="E105" t="s">
        <v>21</v>
      </c>
      <c r="F105" t="s">
        <v>29</v>
      </c>
      <c r="G105" t="s">
        <v>42</v>
      </c>
      <c r="H105">
        <v>5762</v>
      </c>
      <c r="I105" t="s">
        <v>24</v>
      </c>
      <c r="J105">
        <v>4.48</v>
      </c>
      <c r="K105">
        <v>25813.76</v>
      </c>
      <c r="L105" t="s">
        <v>25</v>
      </c>
      <c r="M105" t="s">
        <v>78</v>
      </c>
      <c r="N105">
        <v>3.8022</v>
      </c>
      <c r="O105" t="s">
        <v>27</v>
      </c>
      <c r="Q105">
        <v>724</v>
      </c>
      <c r="S105">
        <v>4.48</v>
      </c>
    </row>
    <row r="106" spans="1:19">
      <c r="A106">
        <v>144</v>
      </c>
      <c r="B106">
        <v>2</v>
      </c>
      <c r="C106">
        <v>20240215</v>
      </c>
      <c r="D106" t="s">
        <v>20</v>
      </c>
      <c r="E106" t="s">
        <v>21</v>
      </c>
      <c r="F106" t="s">
        <v>29</v>
      </c>
      <c r="G106" t="s">
        <v>42</v>
      </c>
      <c r="H106">
        <v>1477</v>
      </c>
      <c r="I106" t="s">
        <v>24</v>
      </c>
      <c r="J106">
        <v>5.75</v>
      </c>
      <c r="K106">
        <v>8492.75</v>
      </c>
      <c r="L106" t="s">
        <v>25</v>
      </c>
      <c r="M106" t="s">
        <v>78</v>
      </c>
      <c r="N106">
        <v>5.6384</v>
      </c>
      <c r="O106" t="s">
        <v>27</v>
      </c>
      <c r="S106">
        <v>4.48</v>
      </c>
    </row>
    <row r="107" spans="1:19">
      <c r="A107">
        <v>145</v>
      </c>
      <c r="B107">
        <v>2</v>
      </c>
      <c r="C107">
        <v>20240215</v>
      </c>
      <c r="D107" t="s">
        <v>20</v>
      </c>
      <c r="E107" t="s">
        <v>21</v>
      </c>
      <c r="F107" t="s">
        <v>29</v>
      </c>
      <c r="G107" t="s">
        <v>42</v>
      </c>
      <c r="H107">
        <v>4457688</v>
      </c>
      <c r="I107" t="s">
        <v>24</v>
      </c>
      <c r="J107">
        <v>5.08</v>
      </c>
      <c r="K107">
        <v>22645055.04</v>
      </c>
      <c r="L107" t="s">
        <v>31</v>
      </c>
      <c r="M107" t="s">
        <v>78</v>
      </c>
      <c r="N107">
        <v>4.9842</v>
      </c>
      <c r="O107" t="s">
        <v>27</v>
      </c>
      <c r="S107">
        <v>4.48</v>
      </c>
    </row>
    <row r="108" spans="1:19">
      <c r="A108">
        <v>146</v>
      </c>
      <c r="B108">
        <v>2</v>
      </c>
      <c r="C108">
        <v>20240215</v>
      </c>
      <c r="D108" t="s">
        <v>20</v>
      </c>
      <c r="E108" t="s">
        <v>21</v>
      </c>
      <c r="F108" t="s">
        <v>22</v>
      </c>
      <c r="G108" t="s">
        <v>42</v>
      </c>
      <c r="H108">
        <v>570387</v>
      </c>
      <c r="I108" t="s">
        <v>24</v>
      </c>
      <c r="J108">
        <v>4.48</v>
      </c>
      <c r="K108">
        <v>2555333.76</v>
      </c>
      <c r="L108" t="s">
        <v>31</v>
      </c>
      <c r="M108" t="s">
        <v>79</v>
      </c>
      <c r="N108">
        <v>3.9533</v>
      </c>
      <c r="O108" t="s">
        <v>27</v>
      </c>
      <c r="Q108">
        <v>23</v>
      </c>
      <c r="S108">
        <v>4.48</v>
      </c>
    </row>
    <row r="109" spans="1:19">
      <c r="A109">
        <v>147</v>
      </c>
      <c r="B109">
        <v>2</v>
      </c>
      <c r="C109">
        <v>20240215</v>
      </c>
      <c r="D109" t="s">
        <v>20</v>
      </c>
      <c r="E109" t="s">
        <v>21</v>
      </c>
      <c r="F109" t="s">
        <v>22</v>
      </c>
      <c r="G109" t="s">
        <v>42</v>
      </c>
      <c r="H109">
        <v>564074</v>
      </c>
      <c r="I109" t="s">
        <v>24</v>
      </c>
      <c r="J109">
        <v>4.48</v>
      </c>
      <c r="K109">
        <v>2527051.52</v>
      </c>
      <c r="L109" t="s">
        <v>25</v>
      </c>
      <c r="M109" t="s">
        <v>79</v>
      </c>
      <c r="N109">
        <v>3.8</v>
      </c>
      <c r="O109" t="s">
        <v>27</v>
      </c>
      <c r="Q109">
        <v>23</v>
      </c>
      <c r="S109">
        <v>4.48</v>
      </c>
    </row>
    <row r="110" spans="1:19">
      <c r="A110">
        <v>148</v>
      </c>
      <c r="B110">
        <v>2</v>
      </c>
      <c r="C110">
        <v>20240215</v>
      </c>
      <c r="D110" t="s">
        <v>20</v>
      </c>
      <c r="E110" t="s">
        <v>21</v>
      </c>
      <c r="F110" t="s">
        <v>22</v>
      </c>
      <c r="G110" t="s">
        <v>42</v>
      </c>
      <c r="H110">
        <v>23592</v>
      </c>
      <c r="I110" t="s">
        <v>24</v>
      </c>
      <c r="J110">
        <v>5.72</v>
      </c>
      <c r="K110">
        <v>134946.24</v>
      </c>
      <c r="L110" t="s">
        <v>25</v>
      </c>
      <c r="M110" t="s">
        <v>79</v>
      </c>
      <c r="N110">
        <v>5.606</v>
      </c>
      <c r="O110" t="s">
        <v>27</v>
      </c>
      <c r="Q110">
        <v>2</v>
      </c>
      <c r="S110">
        <v>4.48</v>
      </c>
    </row>
    <row r="111" spans="1:19">
      <c r="A111">
        <v>149</v>
      </c>
      <c r="B111">
        <v>2</v>
      </c>
      <c r="C111">
        <v>20240215</v>
      </c>
      <c r="D111" t="s">
        <v>20</v>
      </c>
      <c r="E111" t="s">
        <v>21</v>
      </c>
      <c r="F111" t="s">
        <v>32</v>
      </c>
      <c r="G111" t="s">
        <v>42</v>
      </c>
      <c r="H111">
        <v>178212</v>
      </c>
      <c r="I111" t="s">
        <v>24</v>
      </c>
      <c r="J111">
        <v>4.48</v>
      </c>
      <c r="K111">
        <v>798389.76</v>
      </c>
      <c r="L111" t="s">
        <v>25</v>
      </c>
      <c r="M111" t="s">
        <v>80</v>
      </c>
      <c r="N111">
        <v>3.8117</v>
      </c>
      <c r="O111" t="s">
        <v>27</v>
      </c>
      <c r="Q111">
        <v>16</v>
      </c>
      <c r="S111">
        <v>4.48</v>
      </c>
    </row>
    <row r="112" spans="1:19">
      <c r="A112">
        <v>150</v>
      </c>
      <c r="B112">
        <v>2</v>
      </c>
      <c r="C112">
        <v>20240218</v>
      </c>
      <c r="D112" t="s">
        <v>20</v>
      </c>
      <c r="E112" t="s">
        <v>21</v>
      </c>
      <c r="F112" t="s">
        <v>41</v>
      </c>
      <c r="G112" t="s">
        <v>74</v>
      </c>
      <c r="H112">
        <v>52776</v>
      </c>
      <c r="I112" t="s">
        <v>24</v>
      </c>
      <c r="J112">
        <v>5.63</v>
      </c>
      <c r="K112">
        <v>297128.88</v>
      </c>
      <c r="L112" t="s">
        <v>31</v>
      </c>
      <c r="M112" t="s">
        <v>81</v>
      </c>
      <c r="N112">
        <v>5.516</v>
      </c>
      <c r="O112" t="s">
        <v>27</v>
      </c>
      <c r="Q112">
        <v>11</v>
      </c>
    </row>
    <row r="113" spans="1:17">
      <c r="A113">
        <v>151</v>
      </c>
      <c r="B113">
        <v>2</v>
      </c>
      <c r="C113">
        <v>20240218</v>
      </c>
      <c r="D113" t="s">
        <v>20</v>
      </c>
      <c r="E113" t="s">
        <v>21</v>
      </c>
      <c r="F113" t="s">
        <v>41</v>
      </c>
      <c r="G113" t="s">
        <v>42</v>
      </c>
      <c r="H113">
        <v>246693</v>
      </c>
      <c r="I113" t="s">
        <v>24</v>
      </c>
      <c r="J113">
        <v>5.63</v>
      </c>
      <c r="K113">
        <v>1388881.59</v>
      </c>
      <c r="L113" t="s">
        <v>31</v>
      </c>
      <c r="M113" t="s">
        <v>81</v>
      </c>
      <c r="N113">
        <v>5.516</v>
      </c>
      <c r="O113" t="s">
        <v>27</v>
      </c>
      <c r="Q113">
        <v>25</v>
      </c>
    </row>
    <row r="114" spans="1:17">
      <c r="A114">
        <v>152</v>
      </c>
      <c r="B114">
        <v>2</v>
      </c>
      <c r="C114">
        <v>20240218</v>
      </c>
      <c r="D114" t="s">
        <v>20</v>
      </c>
      <c r="E114" t="s">
        <v>21</v>
      </c>
      <c r="F114" t="s">
        <v>41</v>
      </c>
      <c r="G114" t="s">
        <v>74</v>
      </c>
      <c r="H114">
        <v>170457</v>
      </c>
      <c r="I114" t="s">
        <v>24</v>
      </c>
      <c r="J114">
        <v>5.63</v>
      </c>
      <c r="K114">
        <v>959672.91</v>
      </c>
      <c r="L114" t="s">
        <v>25</v>
      </c>
      <c r="M114" t="s">
        <v>81</v>
      </c>
      <c r="N114">
        <v>5.516</v>
      </c>
      <c r="O114" t="s">
        <v>27</v>
      </c>
      <c r="Q114">
        <v>19</v>
      </c>
    </row>
    <row r="115" spans="1:17">
      <c r="A115">
        <v>153</v>
      </c>
      <c r="B115">
        <v>2</v>
      </c>
      <c r="C115">
        <v>20240218</v>
      </c>
      <c r="D115" t="s">
        <v>20</v>
      </c>
      <c r="E115" t="s">
        <v>21</v>
      </c>
      <c r="F115" t="s">
        <v>41</v>
      </c>
      <c r="G115" t="s">
        <v>42</v>
      </c>
      <c r="H115">
        <v>76849</v>
      </c>
      <c r="I115" t="s">
        <v>24</v>
      </c>
      <c r="J115">
        <v>5.63</v>
      </c>
      <c r="K115">
        <v>432659.87</v>
      </c>
      <c r="L115" t="s">
        <v>25</v>
      </c>
      <c r="M115" t="s">
        <v>81</v>
      </c>
      <c r="N115">
        <v>5.516</v>
      </c>
      <c r="O115" t="s">
        <v>27</v>
      </c>
      <c r="Q115">
        <v>8</v>
      </c>
    </row>
    <row r="116" spans="1:17">
      <c r="A116">
        <v>154</v>
      </c>
      <c r="B116">
        <v>2</v>
      </c>
      <c r="C116">
        <v>20240218</v>
      </c>
      <c r="D116" t="s">
        <v>20</v>
      </c>
      <c r="E116" t="s">
        <v>21</v>
      </c>
      <c r="F116" t="s">
        <v>41</v>
      </c>
      <c r="G116" t="s">
        <v>42</v>
      </c>
      <c r="H116">
        <v>11553</v>
      </c>
      <c r="I116" t="s">
        <v>24</v>
      </c>
      <c r="J116">
        <v>5.63</v>
      </c>
      <c r="K116">
        <v>65043.39</v>
      </c>
      <c r="L116" t="s">
        <v>25</v>
      </c>
      <c r="M116" t="s">
        <v>81</v>
      </c>
      <c r="N116">
        <v>5.516</v>
      </c>
      <c r="O116" t="s">
        <v>27</v>
      </c>
      <c r="Q116">
        <v>2</v>
      </c>
    </row>
    <row r="117" spans="1:17">
      <c r="A117">
        <v>155</v>
      </c>
      <c r="B117">
        <v>2</v>
      </c>
      <c r="C117">
        <v>20240218</v>
      </c>
      <c r="D117" t="s">
        <v>20</v>
      </c>
      <c r="E117" t="s">
        <v>21</v>
      </c>
      <c r="F117" t="s">
        <v>41</v>
      </c>
      <c r="G117" t="s">
        <v>42</v>
      </c>
      <c r="H117">
        <v>15313</v>
      </c>
      <c r="I117" t="s">
        <v>24</v>
      </c>
      <c r="J117">
        <v>5.63</v>
      </c>
      <c r="K117">
        <v>86212.19</v>
      </c>
      <c r="L117" t="s">
        <v>31</v>
      </c>
      <c r="M117" t="s">
        <v>81</v>
      </c>
      <c r="N117">
        <v>5.516</v>
      </c>
      <c r="O117" t="s">
        <v>27</v>
      </c>
      <c r="Q117">
        <v>2</v>
      </c>
    </row>
    <row r="118" spans="1:17">
      <c r="A118">
        <v>156</v>
      </c>
      <c r="B118">
        <v>2</v>
      </c>
      <c r="C118">
        <v>20240218</v>
      </c>
      <c r="D118" t="s">
        <v>28</v>
      </c>
      <c r="E118" t="s">
        <v>21</v>
      </c>
      <c r="F118" t="s">
        <v>41</v>
      </c>
      <c r="G118" t="s">
        <v>50</v>
      </c>
      <c r="H118">
        <v>1511</v>
      </c>
      <c r="I118" t="s">
        <v>24</v>
      </c>
      <c r="J118">
        <v>5.53</v>
      </c>
      <c r="K118">
        <v>8355.83</v>
      </c>
      <c r="L118" t="s">
        <v>25</v>
      </c>
      <c r="M118" t="s">
        <v>82</v>
      </c>
      <c r="N118">
        <v>4.816</v>
      </c>
      <c r="O118" t="s">
        <v>27</v>
      </c>
      <c r="Q118">
        <v>1</v>
      </c>
    </row>
    <row r="119" spans="1:17">
      <c r="A119">
        <v>157</v>
      </c>
      <c r="B119">
        <v>2</v>
      </c>
      <c r="C119">
        <v>20240218</v>
      </c>
      <c r="D119" t="s">
        <v>20</v>
      </c>
      <c r="E119" t="s">
        <v>21</v>
      </c>
      <c r="F119" t="s">
        <v>41</v>
      </c>
      <c r="G119" t="s">
        <v>42</v>
      </c>
      <c r="H119">
        <v>332017</v>
      </c>
      <c r="I119" t="s">
        <v>24</v>
      </c>
      <c r="J119">
        <v>5.63</v>
      </c>
      <c r="K119">
        <v>1869255.71</v>
      </c>
      <c r="L119" t="s">
        <v>25</v>
      </c>
      <c r="M119" t="s">
        <v>83</v>
      </c>
      <c r="N119">
        <v>5.516</v>
      </c>
      <c r="O119" t="s">
        <v>27</v>
      </c>
      <c r="Q119">
        <v>47</v>
      </c>
    </row>
    <row r="120" spans="1:17">
      <c r="A120">
        <v>158</v>
      </c>
      <c r="B120">
        <v>2</v>
      </c>
      <c r="C120">
        <v>20240218</v>
      </c>
      <c r="D120" t="s">
        <v>20</v>
      </c>
      <c r="E120" t="s">
        <v>21</v>
      </c>
      <c r="F120" t="s">
        <v>41</v>
      </c>
      <c r="G120" t="s">
        <v>74</v>
      </c>
      <c r="H120">
        <v>519403</v>
      </c>
      <c r="I120" t="s">
        <v>24</v>
      </c>
      <c r="J120">
        <v>5.63</v>
      </c>
      <c r="K120">
        <v>2924238.89</v>
      </c>
      <c r="L120" t="s">
        <v>25</v>
      </c>
      <c r="M120" t="s">
        <v>83</v>
      </c>
      <c r="N120">
        <v>5.516</v>
      </c>
      <c r="O120" t="s">
        <v>27</v>
      </c>
      <c r="Q120">
        <v>57</v>
      </c>
    </row>
    <row r="121" spans="1:17">
      <c r="A121">
        <v>159</v>
      </c>
      <c r="B121">
        <v>2</v>
      </c>
      <c r="C121">
        <v>20240218</v>
      </c>
      <c r="D121" t="s">
        <v>20</v>
      </c>
      <c r="E121" t="s">
        <v>21</v>
      </c>
      <c r="F121" t="s">
        <v>41</v>
      </c>
      <c r="G121" t="s">
        <v>42</v>
      </c>
      <c r="H121">
        <v>1149993</v>
      </c>
      <c r="I121" t="s">
        <v>24</v>
      </c>
      <c r="J121">
        <v>5.63</v>
      </c>
      <c r="K121">
        <v>6474460.59</v>
      </c>
      <c r="L121" t="s">
        <v>31</v>
      </c>
      <c r="M121" t="s">
        <v>83</v>
      </c>
      <c r="N121">
        <v>5.516</v>
      </c>
      <c r="O121" t="s">
        <v>27</v>
      </c>
      <c r="Q121">
        <v>96</v>
      </c>
    </row>
    <row r="122" spans="1:17">
      <c r="A122">
        <v>160</v>
      </c>
      <c r="B122">
        <v>2</v>
      </c>
      <c r="C122">
        <v>20240218</v>
      </c>
      <c r="D122" t="s">
        <v>20</v>
      </c>
      <c r="E122" t="s">
        <v>21</v>
      </c>
      <c r="F122" t="s">
        <v>41</v>
      </c>
      <c r="G122" t="s">
        <v>74</v>
      </c>
      <c r="H122">
        <v>479797</v>
      </c>
      <c r="I122" t="s">
        <v>24</v>
      </c>
      <c r="J122">
        <v>5.63</v>
      </c>
      <c r="K122">
        <v>2701257.11</v>
      </c>
      <c r="L122" t="s">
        <v>31</v>
      </c>
      <c r="M122" t="s">
        <v>83</v>
      </c>
      <c r="N122">
        <v>5.516</v>
      </c>
      <c r="O122" t="s">
        <v>27</v>
      </c>
      <c r="Q122">
        <v>41</v>
      </c>
    </row>
    <row r="123" spans="1:17">
      <c r="A123">
        <v>161</v>
      </c>
      <c r="B123">
        <v>2</v>
      </c>
      <c r="C123">
        <v>20240218</v>
      </c>
      <c r="D123" t="s">
        <v>20</v>
      </c>
      <c r="E123" t="s">
        <v>21</v>
      </c>
      <c r="F123" t="s">
        <v>41</v>
      </c>
      <c r="G123" t="s">
        <v>42</v>
      </c>
      <c r="H123">
        <v>16279</v>
      </c>
      <c r="I123" t="s">
        <v>24</v>
      </c>
      <c r="J123">
        <v>5.63</v>
      </c>
      <c r="K123">
        <v>91650.77</v>
      </c>
      <c r="L123" t="s">
        <v>25</v>
      </c>
      <c r="M123" t="s">
        <v>83</v>
      </c>
      <c r="N123">
        <v>5.516</v>
      </c>
      <c r="O123" t="s">
        <v>27</v>
      </c>
      <c r="Q123">
        <v>7</v>
      </c>
    </row>
    <row r="124" spans="1:17">
      <c r="A124">
        <v>162</v>
      </c>
      <c r="B124">
        <v>2</v>
      </c>
      <c r="C124">
        <v>20240218</v>
      </c>
      <c r="D124" t="s">
        <v>20</v>
      </c>
      <c r="E124" t="s">
        <v>21</v>
      </c>
      <c r="F124" t="s">
        <v>41</v>
      </c>
      <c r="G124" t="s">
        <v>42</v>
      </c>
      <c r="H124">
        <v>30575</v>
      </c>
      <c r="I124" t="s">
        <v>24</v>
      </c>
      <c r="J124">
        <v>5.63</v>
      </c>
      <c r="K124">
        <v>172137.25</v>
      </c>
      <c r="L124" t="s">
        <v>31</v>
      </c>
      <c r="M124" t="s">
        <v>83</v>
      </c>
      <c r="N124">
        <v>5.516</v>
      </c>
      <c r="O124" t="s">
        <v>27</v>
      </c>
      <c r="Q124">
        <v>3</v>
      </c>
    </row>
    <row r="125" spans="1:17">
      <c r="A125">
        <v>163</v>
      </c>
      <c r="B125">
        <v>2</v>
      </c>
      <c r="C125">
        <v>20240218</v>
      </c>
      <c r="D125" t="s">
        <v>20</v>
      </c>
      <c r="E125" t="s">
        <v>21</v>
      </c>
      <c r="F125" t="s">
        <v>41</v>
      </c>
      <c r="G125" t="s">
        <v>50</v>
      </c>
      <c r="H125">
        <v>24574</v>
      </c>
      <c r="I125" t="s">
        <v>24</v>
      </c>
      <c r="J125">
        <v>5.53</v>
      </c>
      <c r="K125">
        <v>135894.22</v>
      </c>
      <c r="L125" t="s">
        <v>25</v>
      </c>
      <c r="M125" t="s">
        <v>83</v>
      </c>
      <c r="N125">
        <v>4.816</v>
      </c>
      <c r="O125" t="s">
        <v>27</v>
      </c>
      <c r="Q125">
        <v>9</v>
      </c>
    </row>
    <row r="126" spans="1:17">
      <c r="A126">
        <v>164</v>
      </c>
      <c r="B126">
        <v>2</v>
      </c>
      <c r="C126">
        <v>20240218</v>
      </c>
      <c r="D126" t="s">
        <v>20</v>
      </c>
      <c r="E126" t="s">
        <v>21</v>
      </c>
      <c r="F126" t="s">
        <v>41</v>
      </c>
      <c r="G126" t="s">
        <v>42</v>
      </c>
      <c r="H126">
        <v>51397</v>
      </c>
      <c r="I126" t="s">
        <v>24</v>
      </c>
      <c r="J126">
        <v>5.63</v>
      </c>
      <c r="K126">
        <v>289365.11</v>
      </c>
      <c r="L126" t="s">
        <v>25</v>
      </c>
      <c r="M126" t="s">
        <v>83</v>
      </c>
      <c r="N126">
        <v>5.516</v>
      </c>
      <c r="O126" t="s">
        <v>27</v>
      </c>
      <c r="Q126">
        <v>7</v>
      </c>
    </row>
    <row r="127" spans="1:17">
      <c r="A127">
        <v>165</v>
      </c>
      <c r="B127">
        <v>2</v>
      </c>
      <c r="C127">
        <v>20240218</v>
      </c>
      <c r="D127" t="s">
        <v>20</v>
      </c>
      <c r="E127" t="s">
        <v>21</v>
      </c>
      <c r="F127" t="s">
        <v>41</v>
      </c>
      <c r="G127" t="s">
        <v>74</v>
      </c>
      <c r="H127">
        <v>31635</v>
      </c>
      <c r="I127" t="s">
        <v>24</v>
      </c>
      <c r="J127">
        <v>5.63</v>
      </c>
      <c r="K127">
        <v>178105.05</v>
      </c>
      <c r="L127" t="s">
        <v>25</v>
      </c>
      <c r="M127" t="s">
        <v>83</v>
      </c>
      <c r="N127">
        <v>5.516</v>
      </c>
      <c r="O127" t="s">
        <v>27</v>
      </c>
      <c r="Q127">
        <v>4</v>
      </c>
    </row>
    <row r="128" spans="1:17">
      <c r="A128">
        <v>166</v>
      </c>
      <c r="B128">
        <v>2</v>
      </c>
      <c r="C128">
        <v>20240218</v>
      </c>
      <c r="D128" t="s">
        <v>20</v>
      </c>
      <c r="E128" t="s">
        <v>21</v>
      </c>
      <c r="F128" t="s">
        <v>41</v>
      </c>
      <c r="G128" t="s">
        <v>42</v>
      </c>
      <c r="H128">
        <v>3662</v>
      </c>
      <c r="I128" t="s">
        <v>24</v>
      </c>
      <c r="J128">
        <v>5.63</v>
      </c>
      <c r="K128">
        <v>20617.06</v>
      </c>
      <c r="L128" t="s">
        <v>25</v>
      </c>
      <c r="M128" t="s">
        <v>83</v>
      </c>
      <c r="N128">
        <v>5.516</v>
      </c>
      <c r="O128" t="s">
        <v>27</v>
      </c>
      <c r="Q128">
        <v>2</v>
      </c>
    </row>
    <row r="129" spans="1:17">
      <c r="A129">
        <v>167</v>
      </c>
      <c r="B129">
        <v>2</v>
      </c>
      <c r="C129">
        <v>20240218</v>
      </c>
      <c r="D129" t="s">
        <v>20</v>
      </c>
      <c r="E129" t="s">
        <v>21</v>
      </c>
      <c r="F129" t="s">
        <v>41</v>
      </c>
      <c r="G129" t="s">
        <v>42</v>
      </c>
      <c r="H129">
        <v>192481</v>
      </c>
      <c r="I129" t="s">
        <v>24</v>
      </c>
      <c r="J129">
        <v>5.63</v>
      </c>
      <c r="K129">
        <v>1083668.03</v>
      </c>
      <c r="L129" t="s">
        <v>31</v>
      </c>
      <c r="M129" t="s">
        <v>83</v>
      </c>
      <c r="N129">
        <v>5.516</v>
      </c>
      <c r="O129" t="s">
        <v>27</v>
      </c>
      <c r="Q129">
        <v>20</v>
      </c>
    </row>
    <row r="130" spans="1:17">
      <c r="A130">
        <v>168</v>
      </c>
      <c r="B130">
        <v>2</v>
      </c>
      <c r="C130">
        <v>20240218</v>
      </c>
      <c r="D130" t="s">
        <v>20</v>
      </c>
      <c r="E130" t="s">
        <v>21</v>
      </c>
      <c r="F130" t="s">
        <v>41</v>
      </c>
      <c r="G130" t="s">
        <v>74</v>
      </c>
      <c r="H130">
        <v>25586</v>
      </c>
      <c r="I130" t="s">
        <v>24</v>
      </c>
      <c r="J130">
        <v>5.63</v>
      </c>
      <c r="K130">
        <v>144049.18</v>
      </c>
      <c r="L130" t="s">
        <v>31</v>
      </c>
      <c r="M130" t="s">
        <v>83</v>
      </c>
      <c r="N130">
        <v>5.516</v>
      </c>
      <c r="O130" t="s">
        <v>27</v>
      </c>
      <c r="Q130">
        <v>3</v>
      </c>
    </row>
    <row r="131" spans="1:17">
      <c r="A131">
        <v>169</v>
      </c>
      <c r="B131">
        <v>2</v>
      </c>
      <c r="C131">
        <v>20240218</v>
      </c>
      <c r="D131" t="s">
        <v>20</v>
      </c>
      <c r="E131" t="s">
        <v>21</v>
      </c>
      <c r="F131" t="s">
        <v>41</v>
      </c>
      <c r="G131" t="s">
        <v>74</v>
      </c>
      <c r="H131">
        <v>82413</v>
      </c>
      <c r="I131" t="s">
        <v>24</v>
      </c>
      <c r="J131">
        <v>5.63</v>
      </c>
      <c r="K131">
        <v>463985.19</v>
      </c>
      <c r="L131" t="s">
        <v>31</v>
      </c>
      <c r="M131" t="s">
        <v>83</v>
      </c>
      <c r="N131">
        <v>5.516</v>
      </c>
      <c r="O131" t="s">
        <v>27</v>
      </c>
      <c r="Q131">
        <v>7</v>
      </c>
    </row>
    <row r="132" spans="1:17">
      <c r="A132">
        <v>170</v>
      </c>
      <c r="B132">
        <v>2</v>
      </c>
      <c r="C132">
        <v>20240218</v>
      </c>
      <c r="D132" t="s">
        <v>20</v>
      </c>
      <c r="E132" t="s">
        <v>21</v>
      </c>
      <c r="F132" t="s">
        <v>41</v>
      </c>
      <c r="G132" t="s">
        <v>74</v>
      </c>
      <c r="H132">
        <v>78759</v>
      </c>
      <c r="I132" t="s">
        <v>24</v>
      </c>
      <c r="J132">
        <v>5.63</v>
      </c>
      <c r="K132">
        <v>443413.17</v>
      </c>
      <c r="L132" t="s">
        <v>25</v>
      </c>
      <c r="M132" t="s">
        <v>83</v>
      </c>
      <c r="N132">
        <v>5.516</v>
      </c>
      <c r="O132" t="s">
        <v>27</v>
      </c>
      <c r="Q132">
        <v>9</v>
      </c>
    </row>
    <row r="133" spans="1:17">
      <c r="A133">
        <v>171</v>
      </c>
      <c r="B133">
        <v>2</v>
      </c>
      <c r="C133">
        <v>20240218</v>
      </c>
      <c r="D133" t="s">
        <v>20</v>
      </c>
      <c r="E133" t="s">
        <v>21</v>
      </c>
      <c r="F133" t="s">
        <v>32</v>
      </c>
      <c r="G133" t="s">
        <v>72</v>
      </c>
      <c r="H133">
        <v>272208</v>
      </c>
      <c r="I133" t="s">
        <v>24</v>
      </c>
      <c r="J133">
        <v>3.53</v>
      </c>
      <c r="K133">
        <v>960894.24</v>
      </c>
      <c r="L133" t="s">
        <v>31</v>
      </c>
      <c r="M133" t="s">
        <v>84</v>
      </c>
      <c r="N133">
        <v>3.2196</v>
      </c>
      <c r="O133" t="s">
        <v>27</v>
      </c>
      <c r="Q133">
        <v>102</v>
      </c>
    </row>
    <row r="134" spans="1:17">
      <c r="A134">
        <v>172</v>
      </c>
      <c r="B134">
        <v>2</v>
      </c>
      <c r="C134">
        <v>20240218</v>
      </c>
      <c r="D134" t="s">
        <v>20</v>
      </c>
      <c r="E134" t="s">
        <v>21</v>
      </c>
      <c r="F134" t="s">
        <v>32</v>
      </c>
      <c r="G134" t="s">
        <v>50</v>
      </c>
      <c r="H134">
        <v>899456</v>
      </c>
      <c r="I134" t="s">
        <v>24</v>
      </c>
      <c r="J134">
        <v>5.53</v>
      </c>
      <c r="K134">
        <v>4973991.68</v>
      </c>
      <c r="L134" t="s">
        <v>25</v>
      </c>
      <c r="M134" t="s">
        <v>84</v>
      </c>
      <c r="N134">
        <v>4.7765</v>
      </c>
      <c r="O134" t="s">
        <v>27</v>
      </c>
      <c r="Q134">
        <v>123</v>
      </c>
    </row>
    <row r="135" spans="1:17">
      <c r="A135">
        <v>173</v>
      </c>
      <c r="B135">
        <v>2</v>
      </c>
      <c r="C135">
        <v>20240218</v>
      </c>
      <c r="D135" t="s">
        <v>20</v>
      </c>
      <c r="E135" t="s">
        <v>21</v>
      </c>
      <c r="F135" t="s">
        <v>32</v>
      </c>
      <c r="G135" t="s">
        <v>50</v>
      </c>
      <c r="H135">
        <v>328509</v>
      </c>
      <c r="I135" t="s">
        <v>24</v>
      </c>
      <c r="J135">
        <v>5.53</v>
      </c>
      <c r="K135">
        <v>1816654.77</v>
      </c>
      <c r="L135" t="s">
        <v>31</v>
      </c>
      <c r="M135" t="s">
        <v>84</v>
      </c>
      <c r="N135">
        <v>4.7765</v>
      </c>
      <c r="O135" t="s">
        <v>27</v>
      </c>
      <c r="Q135">
        <v>31</v>
      </c>
    </row>
    <row r="136" spans="1:17">
      <c r="A136">
        <v>174</v>
      </c>
      <c r="B136">
        <v>2</v>
      </c>
      <c r="C136">
        <v>20240218</v>
      </c>
      <c r="D136" t="s">
        <v>20</v>
      </c>
      <c r="E136" t="s">
        <v>21</v>
      </c>
      <c r="F136" t="s">
        <v>22</v>
      </c>
      <c r="G136" t="s">
        <v>50</v>
      </c>
      <c r="H136">
        <v>76642</v>
      </c>
      <c r="I136" t="s">
        <v>24</v>
      </c>
      <c r="J136">
        <v>5.53</v>
      </c>
      <c r="K136">
        <v>423830.26</v>
      </c>
      <c r="L136" t="s">
        <v>31</v>
      </c>
      <c r="M136" t="s">
        <v>85</v>
      </c>
      <c r="N136">
        <v>4.0393</v>
      </c>
      <c r="O136" t="s">
        <v>27</v>
      </c>
      <c r="Q136">
        <v>4</v>
      </c>
    </row>
    <row r="137" spans="1:17">
      <c r="A137">
        <v>175</v>
      </c>
      <c r="B137">
        <v>2</v>
      </c>
      <c r="C137">
        <v>20240218</v>
      </c>
      <c r="D137" t="s">
        <v>20</v>
      </c>
      <c r="E137" t="s">
        <v>21</v>
      </c>
      <c r="F137" t="s">
        <v>22</v>
      </c>
      <c r="G137" t="s">
        <v>42</v>
      </c>
      <c r="H137">
        <v>556413</v>
      </c>
      <c r="I137" t="s">
        <v>24</v>
      </c>
      <c r="J137">
        <v>4.48</v>
      </c>
      <c r="K137">
        <v>2492730.24</v>
      </c>
      <c r="L137" t="s">
        <v>31</v>
      </c>
      <c r="M137" t="s">
        <v>85</v>
      </c>
      <c r="N137">
        <v>4.232</v>
      </c>
      <c r="O137" t="s">
        <v>27</v>
      </c>
      <c r="Q137">
        <v>30</v>
      </c>
    </row>
    <row r="138" spans="1:17">
      <c r="A138">
        <v>176</v>
      </c>
      <c r="B138">
        <v>2</v>
      </c>
      <c r="C138">
        <v>20240218</v>
      </c>
      <c r="D138" t="s">
        <v>20</v>
      </c>
      <c r="E138" t="s">
        <v>21</v>
      </c>
      <c r="F138" t="s">
        <v>22</v>
      </c>
      <c r="G138" t="s">
        <v>74</v>
      </c>
      <c r="H138">
        <v>363327</v>
      </c>
      <c r="I138" t="s">
        <v>24</v>
      </c>
      <c r="J138">
        <v>5.63</v>
      </c>
      <c r="K138">
        <v>2045531.01</v>
      </c>
      <c r="L138" t="s">
        <v>31</v>
      </c>
      <c r="M138" t="s">
        <v>85</v>
      </c>
      <c r="N138">
        <v>5.516</v>
      </c>
      <c r="O138" t="s">
        <v>27</v>
      </c>
      <c r="Q138">
        <v>14</v>
      </c>
    </row>
    <row r="139" spans="1:17">
      <c r="A139">
        <v>177</v>
      </c>
      <c r="B139">
        <v>2</v>
      </c>
      <c r="C139">
        <v>20240218</v>
      </c>
      <c r="D139" t="s">
        <v>20</v>
      </c>
      <c r="E139" t="s">
        <v>21</v>
      </c>
      <c r="F139" t="s">
        <v>22</v>
      </c>
      <c r="G139" t="s">
        <v>50</v>
      </c>
      <c r="H139">
        <v>374379</v>
      </c>
      <c r="I139" t="s">
        <v>24</v>
      </c>
      <c r="J139">
        <v>5.53</v>
      </c>
      <c r="K139">
        <v>2070315.87</v>
      </c>
      <c r="L139" t="s">
        <v>36</v>
      </c>
      <c r="M139" t="s">
        <v>85</v>
      </c>
      <c r="N139">
        <v>4.794</v>
      </c>
      <c r="O139" t="s">
        <v>27</v>
      </c>
      <c r="Q139">
        <v>21</v>
      </c>
    </row>
    <row r="140" spans="1:17">
      <c r="A140">
        <v>178</v>
      </c>
      <c r="B140">
        <v>2</v>
      </c>
      <c r="C140">
        <v>20240218</v>
      </c>
      <c r="D140" t="s">
        <v>20</v>
      </c>
      <c r="E140" t="s">
        <v>21</v>
      </c>
      <c r="F140" t="s">
        <v>22</v>
      </c>
      <c r="G140" t="s">
        <v>50</v>
      </c>
      <c r="H140">
        <v>261315</v>
      </c>
      <c r="I140" t="s">
        <v>24</v>
      </c>
      <c r="J140">
        <v>5.53</v>
      </c>
      <c r="K140">
        <v>1445071.95</v>
      </c>
      <c r="L140" t="s">
        <v>25</v>
      </c>
      <c r="M140" t="s">
        <v>85</v>
      </c>
      <c r="N140">
        <v>4.5368</v>
      </c>
      <c r="O140" t="s">
        <v>27</v>
      </c>
      <c r="Q140">
        <v>15</v>
      </c>
    </row>
    <row r="141" spans="1:17">
      <c r="A141">
        <v>179</v>
      </c>
      <c r="B141">
        <v>2</v>
      </c>
      <c r="C141">
        <v>20240218</v>
      </c>
      <c r="D141" t="s">
        <v>20</v>
      </c>
      <c r="E141" t="s">
        <v>21</v>
      </c>
      <c r="F141" t="s">
        <v>22</v>
      </c>
      <c r="G141" t="s">
        <v>42</v>
      </c>
      <c r="H141">
        <v>77135</v>
      </c>
      <c r="I141" t="s">
        <v>24</v>
      </c>
      <c r="J141">
        <v>4.48</v>
      </c>
      <c r="K141">
        <v>345564.8</v>
      </c>
      <c r="L141" t="s">
        <v>25</v>
      </c>
      <c r="M141" t="s">
        <v>85</v>
      </c>
      <c r="N141">
        <v>4.604</v>
      </c>
      <c r="O141" t="s">
        <v>27</v>
      </c>
      <c r="Q141">
        <v>3</v>
      </c>
    </row>
    <row r="142" spans="1:17">
      <c r="A142">
        <v>180</v>
      </c>
      <c r="B142">
        <v>2</v>
      </c>
      <c r="C142">
        <v>20240218</v>
      </c>
      <c r="D142" t="s">
        <v>20</v>
      </c>
      <c r="E142" t="s">
        <v>21</v>
      </c>
      <c r="F142" t="s">
        <v>22</v>
      </c>
      <c r="G142" t="s">
        <v>42</v>
      </c>
      <c r="H142">
        <v>326072</v>
      </c>
      <c r="I142" t="s">
        <v>24</v>
      </c>
      <c r="J142">
        <v>4.48</v>
      </c>
      <c r="K142">
        <v>1460802.56</v>
      </c>
      <c r="L142" t="s">
        <v>25</v>
      </c>
      <c r="M142" t="s">
        <v>85</v>
      </c>
      <c r="N142">
        <v>4.604</v>
      </c>
      <c r="O142" t="s">
        <v>27</v>
      </c>
      <c r="Q142">
        <v>15</v>
      </c>
    </row>
    <row r="143" spans="1:17">
      <c r="A143">
        <v>181</v>
      </c>
      <c r="B143">
        <v>2</v>
      </c>
      <c r="C143">
        <v>20240218</v>
      </c>
      <c r="D143" t="s">
        <v>20</v>
      </c>
      <c r="E143" t="s">
        <v>21</v>
      </c>
      <c r="F143" t="s">
        <v>22</v>
      </c>
      <c r="G143" t="s">
        <v>42</v>
      </c>
      <c r="H143">
        <v>524277</v>
      </c>
      <c r="I143" t="s">
        <v>24</v>
      </c>
      <c r="J143">
        <v>4.48</v>
      </c>
      <c r="K143">
        <v>2348760.96</v>
      </c>
      <c r="L143" t="s">
        <v>25</v>
      </c>
      <c r="M143" t="s">
        <v>85</v>
      </c>
      <c r="N143">
        <v>3.8</v>
      </c>
      <c r="O143" t="s">
        <v>27</v>
      </c>
      <c r="Q143">
        <v>30</v>
      </c>
    </row>
    <row r="144" spans="1:17">
      <c r="A144">
        <v>182</v>
      </c>
      <c r="B144">
        <v>2</v>
      </c>
      <c r="C144">
        <v>20240218</v>
      </c>
      <c r="D144" t="s">
        <v>20</v>
      </c>
      <c r="E144" t="s">
        <v>21</v>
      </c>
      <c r="F144" t="s">
        <v>22</v>
      </c>
      <c r="G144" t="s">
        <v>74</v>
      </c>
      <c r="H144">
        <v>418628</v>
      </c>
      <c r="I144" t="s">
        <v>24</v>
      </c>
      <c r="J144">
        <v>4.48</v>
      </c>
      <c r="K144">
        <v>1875453.44</v>
      </c>
      <c r="L144" t="s">
        <v>25</v>
      </c>
      <c r="M144" t="s">
        <v>85</v>
      </c>
      <c r="N144">
        <v>3.8013</v>
      </c>
      <c r="O144" t="s">
        <v>27</v>
      </c>
      <c r="Q144">
        <v>16</v>
      </c>
    </row>
    <row r="145" spans="1:19">
      <c r="A145">
        <v>183</v>
      </c>
      <c r="B145">
        <v>2</v>
      </c>
      <c r="C145">
        <v>20240218</v>
      </c>
      <c r="D145" t="s">
        <v>20</v>
      </c>
      <c r="E145" t="s">
        <v>21</v>
      </c>
      <c r="F145" t="s">
        <v>29</v>
      </c>
      <c r="G145" t="s">
        <v>50</v>
      </c>
      <c r="H145">
        <v>348165</v>
      </c>
      <c r="I145" t="s">
        <v>24</v>
      </c>
      <c r="J145">
        <v>5.7</v>
      </c>
      <c r="K145">
        <v>1984540.5</v>
      </c>
      <c r="L145" t="s">
        <v>31</v>
      </c>
      <c r="M145" t="s">
        <v>86</v>
      </c>
      <c r="N145">
        <v>5.59</v>
      </c>
      <c r="O145" t="s">
        <v>27</v>
      </c>
      <c r="Q145">
        <v>44</v>
      </c>
      <c r="S145">
        <v>5.53</v>
      </c>
    </row>
    <row r="146" spans="1:19">
      <c r="A146">
        <v>184</v>
      </c>
      <c r="B146">
        <v>2</v>
      </c>
      <c r="C146">
        <v>20240218</v>
      </c>
      <c r="D146" t="s">
        <v>20</v>
      </c>
      <c r="E146" t="s">
        <v>21</v>
      </c>
      <c r="F146" t="s">
        <v>29</v>
      </c>
      <c r="G146" t="s">
        <v>42</v>
      </c>
      <c r="H146">
        <v>222130</v>
      </c>
      <c r="I146" t="s">
        <v>24</v>
      </c>
      <c r="J146">
        <v>5.7</v>
      </c>
      <c r="K146">
        <v>1266141</v>
      </c>
      <c r="L146" t="s">
        <v>31</v>
      </c>
      <c r="M146" t="s">
        <v>86</v>
      </c>
      <c r="N146">
        <v>5.59</v>
      </c>
      <c r="O146" t="s">
        <v>27</v>
      </c>
      <c r="Q146">
        <v>43</v>
      </c>
      <c r="S146">
        <v>4.48</v>
      </c>
    </row>
    <row r="147" spans="1:19">
      <c r="A147">
        <v>185</v>
      </c>
      <c r="B147">
        <v>2</v>
      </c>
      <c r="C147">
        <v>20240218</v>
      </c>
      <c r="D147" t="s">
        <v>20</v>
      </c>
      <c r="E147" t="s">
        <v>21</v>
      </c>
      <c r="F147" t="s">
        <v>29</v>
      </c>
      <c r="G147" t="s">
        <v>42</v>
      </c>
      <c r="H147">
        <v>276837</v>
      </c>
      <c r="I147" t="s">
        <v>24</v>
      </c>
      <c r="J147">
        <v>5.7</v>
      </c>
      <c r="K147">
        <v>1577970.9</v>
      </c>
      <c r="L147" t="s">
        <v>31</v>
      </c>
      <c r="M147" t="s">
        <v>86</v>
      </c>
      <c r="N147">
        <v>5.59</v>
      </c>
      <c r="O147" t="s">
        <v>27</v>
      </c>
      <c r="Q147">
        <v>45</v>
      </c>
      <c r="S147">
        <v>4.48</v>
      </c>
    </row>
    <row r="148" spans="1:19">
      <c r="A148">
        <v>186</v>
      </c>
      <c r="B148">
        <v>2</v>
      </c>
      <c r="C148">
        <v>20240218</v>
      </c>
      <c r="D148" t="s">
        <v>20</v>
      </c>
      <c r="E148" t="s">
        <v>21</v>
      </c>
      <c r="F148" t="s">
        <v>29</v>
      </c>
      <c r="G148" t="s">
        <v>74</v>
      </c>
      <c r="H148">
        <v>37497</v>
      </c>
      <c r="I148" t="s">
        <v>24</v>
      </c>
      <c r="J148">
        <v>5.63</v>
      </c>
      <c r="K148">
        <v>211108.11</v>
      </c>
      <c r="L148" t="s">
        <v>25</v>
      </c>
      <c r="M148" t="s">
        <v>86</v>
      </c>
      <c r="N148">
        <v>5.52</v>
      </c>
      <c r="O148" t="s">
        <v>27</v>
      </c>
      <c r="Q148">
        <v>39</v>
      </c>
      <c r="S148">
        <v>4.48</v>
      </c>
    </row>
    <row r="149" spans="1:19">
      <c r="A149">
        <v>187</v>
      </c>
      <c r="B149">
        <v>2</v>
      </c>
      <c r="C149">
        <v>20240218</v>
      </c>
      <c r="D149" t="s">
        <v>20</v>
      </c>
      <c r="E149" t="s">
        <v>21</v>
      </c>
      <c r="F149" t="s">
        <v>29</v>
      </c>
      <c r="G149" t="s">
        <v>74</v>
      </c>
      <c r="H149">
        <v>43020</v>
      </c>
      <c r="I149" t="s">
        <v>24</v>
      </c>
      <c r="J149">
        <v>5.63</v>
      </c>
      <c r="K149">
        <v>242202.6</v>
      </c>
      <c r="L149" t="s">
        <v>31</v>
      </c>
      <c r="M149" t="s">
        <v>86</v>
      </c>
      <c r="N149">
        <v>5.52</v>
      </c>
      <c r="O149" t="s">
        <v>27</v>
      </c>
      <c r="Q149">
        <v>45</v>
      </c>
      <c r="S149">
        <v>4.48</v>
      </c>
    </row>
    <row r="150" spans="1:19">
      <c r="A150">
        <v>188</v>
      </c>
      <c r="B150">
        <v>2</v>
      </c>
      <c r="C150">
        <v>20240218</v>
      </c>
      <c r="D150" t="s">
        <v>20</v>
      </c>
      <c r="E150" t="s">
        <v>21</v>
      </c>
      <c r="F150" t="s">
        <v>29</v>
      </c>
      <c r="G150" t="s">
        <v>50</v>
      </c>
      <c r="H150">
        <v>9799</v>
      </c>
      <c r="I150" t="s">
        <v>24</v>
      </c>
      <c r="J150">
        <v>5.7</v>
      </c>
      <c r="K150">
        <v>55854.3</v>
      </c>
      <c r="L150" t="s">
        <v>25</v>
      </c>
      <c r="M150" t="s">
        <v>86</v>
      </c>
      <c r="N150">
        <v>5.59</v>
      </c>
      <c r="O150" t="s">
        <v>27</v>
      </c>
      <c r="Q150">
        <v>16</v>
      </c>
      <c r="S150">
        <v>5.53</v>
      </c>
    </row>
    <row r="151" spans="1:19">
      <c r="A151">
        <v>189</v>
      </c>
      <c r="B151">
        <v>2</v>
      </c>
      <c r="C151">
        <v>20240218</v>
      </c>
      <c r="D151" t="s">
        <v>20</v>
      </c>
      <c r="E151" t="s">
        <v>21</v>
      </c>
      <c r="F151" t="s">
        <v>29</v>
      </c>
      <c r="G151" t="s">
        <v>42</v>
      </c>
      <c r="H151">
        <v>50</v>
      </c>
      <c r="I151" t="s">
        <v>24</v>
      </c>
      <c r="J151">
        <v>5.7</v>
      </c>
      <c r="K151">
        <v>285</v>
      </c>
      <c r="L151" t="s">
        <v>25</v>
      </c>
      <c r="M151" t="s">
        <v>86</v>
      </c>
      <c r="N151">
        <v>5.59</v>
      </c>
      <c r="O151" t="s">
        <v>27</v>
      </c>
      <c r="Q151">
        <v>1</v>
      </c>
      <c r="S151">
        <v>4.48</v>
      </c>
    </row>
    <row r="152" spans="1:19">
      <c r="A152">
        <v>190</v>
      </c>
      <c r="B152">
        <v>2</v>
      </c>
      <c r="C152">
        <v>20240218</v>
      </c>
      <c r="D152" t="s">
        <v>20</v>
      </c>
      <c r="E152" t="s">
        <v>21</v>
      </c>
      <c r="F152" t="s">
        <v>29</v>
      </c>
      <c r="G152" t="s">
        <v>42</v>
      </c>
      <c r="H152">
        <v>245</v>
      </c>
      <c r="I152" t="s">
        <v>24</v>
      </c>
      <c r="J152">
        <v>5.7</v>
      </c>
      <c r="K152">
        <v>1396.5</v>
      </c>
      <c r="L152" t="s">
        <v>31</v>
      </c>
      <c r="M152" t="s">
        <v>86</v>
      </c>
      <c r="N152">
        <v>5.59</v>
      </c>
      <c r="O152" t="s">
        <v>27</v>
      </c>
      <c r="Q152">
        <v>1</v>
      </c>
      <c r="S152">
        <v>4.48</v>
      </c>
    </row>
    <row r="153" spans="1:19">
      <c r="A153">
        <v>191</v>
      </c>
      <c r="B153">
        <v>2</v>
      </c>
      <c r="C153">
        <v>20240218</v>
      </c>
      <c r="D153" t="s">
        <v>20</v>
      </c>
      <c r="E153" t="s">
        <v>21</v>
      </c>
      <c r="F153" t="s">
        <v>29</v>
      </c>
      <c r="G153" t="s">
        <v>74</v>
      </c>
      <c r="H153">
        <v>550</v>
      </c>
      <c r="I153" t="s">
        <v>24</v>
      </c>
      <c r="J153">
        <v>5.63</v>
      </c>
      <c r="K153">
        <v>3096.5</v>
      </c>
      <c r="L153" t="s">
        <v>31</v>
      </c>
      <c r="M153" t="s">
        <v>86</v>
      </c>
      <c r="N153">
        <v>5.52</v>
      </c>
      <c r="O153" t="s">
        <v>27</v>
      </c>
      <c r="Q153">
        <v>6</v>
      </c>
      <c r="S153">
        <v>4.48</v>
      </c>
    </row>
    <row r="154" spans="1:19">
      <c r="A154">
        <v>192</v>
      </c>
      <c r="B154">
        <v>2</v>
      </c>
      <c r="C154">
        <v>20240218</v>
      </c>
      <c r="D154" t="s">
        <v>20</v>
      </c>
      <c r="E154" t="s">
        <v>21</v>
      </c>
      <c r="F154" t="s">
        <v>29</v>
      </c>
      <c r="G154" t="s">
        <v>42</v>
      </c>
      <c r="H154">
        <v>64997</v>
      </c>
      <c r="I154" t="s">
        <v>24</v>
      </c>
      <c r="J154">
        <v>5.7</v>
      </c>
      <c r="K154">
        <v>370482.9</v>
      </c>
      <c r="L154" t="s">
        <v>31</v>
      </c>
      <c r="M154" t="s">
        <v>86</v>
      </c>
      <c r="N154">
        <v>5.59</v>
      </c>
      <c r="O154" t="s">
        <v>27</v>
      </c>
      <c r="Q154">
        <v>11</v>
      </c>
      <c r="S154">
        <v>4.48</v>
      </c>
    </row>
    <row r="155" spans="1:19">
      <c r="A155">
        <v>193</v>
      </c>
      <c r="B155">
        <v>2</v>
      </c>
      <c r="C155">
        <v>20240218</v>
      </c>
      <c r="D155" t="s">
        <v>20</v>
      </c>
      <c r="E155" t="s">
        <v>21</v>
      </c>
      <c r="F155" t="s">
        <v>29</v>
      </c>
      <c r="G155" t="s">
        <v>74</v>
      </c>
      <c r="H155">
        <v>149870</v>
      </c>
      <c r="I155" t="s">
        <v>24</v>
      </c>
      <c r="J155">
        <v>5.63</v>
      </c>
      <c r="K155">
        <v>843768.1</v>
      </c>
      <c r="L155" t="s">
        <v>25</v>
      </c>
      <c r="M155" t="s">
        <v>86</v>
      </c>
      <c r="N155">
        <v>5.52</v>
      </c>
      <c r="O155" t="s">
        <v>27</v>
      </c>
      <c r="Q155">
        <v>20</v>
      </c>
      <c r="S155">
        <v>4.48</v>
      </c>
    </row>
    <row r="156" spans="1:19">
      <c r="A156">
        <v>194</v>
      </c>
      <c r="B156">
        <v>2</v>
      </c>
      <c r="C156">
        <v>20240218</v>
      </c>
      <c r="D156" t="s">
        <v>20</v>
      </c>
      <c r="E156" t="s">
        <v>21</v>
      </c>
      <c r="F156" t="s">
        <v>29</v>
      </c>
      <c r="G156" t="s">
        <v>74</v>
      </c>
      <c r="H156">
        <v>784410</v>
      </c>
      <c r="I156" t="s">
        <v>24</v>
      </c>
      <c r="J156">
        <v>5.63</v>
      </c>
      <c r="K156">
        <v>4416228.3</v>
      </c>
      <c r="L156" t="s">
        <v>25</v>
      </c>
      <c r="M156" t="s">
        <v>86</v>
      </c>
      <c r="N156">
        <v>5.52</v>
      </c>
      <c r="O156" t="s">
        <v>27</v>
      </c>
      <c r="Q156">
        <v>75</v>
      </c>
      <c r="S156">
        <v>4.48</v>
      </c>
    </row>
    <row r="157" spans="1:19">
      <c r="A157">
        <v>195</v>
      </c>
      <c r="B157">
        <v>2</v>
      </c>
      <c r="C157">
        <v>20240218</v>
      </c>
      <c r="D157" t="s">
        <v>20</v>
      </c>
      <c r="E157" t="s">
        <v>21</v>
      </c>
      <c r="F157" t="s">
        <v>29</v>
      </c>
      <c r="G157" t="s">
        <v>74</v>
      </c>
      <c r="H157">
        <v>777696</v>
      </c>
      <c r="I157" t="s">
        <v>24</v>
      </c>
      <c r="J157">
        <v>5.63</v>
      </c>
      <c r="K157">
        <v>4378428.48</v>
      </c>
      <c r="L157" t="s">
        <v>31</v>
      </c>
      <c r="M157" t="s">
        <v>86</v>
      </c>
      <c r="N157">
        <v>5.52</v>
      </c>
      <c r="O157" t="s">
        <v>27</v>
      </c>
      <c r="Q157">
        <v>76</v>
      </c>
      <c r="S157">
        <v>4.48</v>
      </c>
    </row>
    <row r="158" spans="1:19">
      <c r="A158">
        <v>196</v>
      </c>
      <c r="B158">
        <v>2</v>
      </c>
      <c r="C158">
        <v>20240218</v>
      </c>
      <c r="D158" t="s">
        <v>20</v>
      </c>
      <c r="E158" t="s">
        <v>21</v>
      </c>
      <c r="F158" t="s">
        <v>29</v>
      </c>
      <c r="G158" t="s">
        <v>74</v>
      </c>
      <c r="H158">
        <v>25467</v>
      </c>
      <c r="I158" t="s">
        <v>24</v>
      </c>
      <c r="J158">
        <v>5.63</v>
      </c>
      <c r="K158">
        <v>143379.21</v>
      </c>
      <c r="L158" t="s">
        <v>25</v>
      </c>
      <c r="M158" t="s">
        <v>86</v>
      </c>
      <c r="N158">
        <v>5.52</v>
      </c>
      <c r="O158" t="s">
        <v>27</v>
      </c>
      <c r="Q158">
        <v>3</v>
      </c>
      <c r="S158">
        <v>4.48</v>
      </c>
    </row>
    <row r="159" spans="1:19">
      <c r="A159">
        <v>197</v>
      </c>
      <c r="B159">
        <v>2</v>
      </c>
      <c r="C159">
        <v>20240218</v>
      </c>
      <c r="D159" t="s">
        <v>20</v>
      </c>
      <c r="E159" t="s">
        <v>21</v>
      </c>
      <c r="F159" t="s">
        <v>29</v>
      </c>
      <c r="G159" t="s">
        <v>74</v>
      </c>
      <c r="H159">
        <v>113959</v>
      </c>
      <c r="I159" t="s">
        <v>24</v>
      </c>
      <c r="J159">
        <v>5.63</v>
      </c>
      <c r="K159">
        <v>641589.17</v>
      </c>
      <c r="L159" t="s">
        <v>31</v>
      </c>
      <c r="M159" t="s">
        <v>86</v>
      </c>
      <c r="N159">
        <v>5.52</v>
      </c>
      <c r="O159" t="s">
        <v>27</v>
      </c>
      <c r="Q159">
        <v>11</v>
      </c>
      <c r="S159">
        <v>4.48</v>
      </c>
    </row>
    <row r="160" spans="1:19">
      <c r="A160">
        <v>198</v>
      </c>
      <c r="B160">
        <v>2</v>
      </c>
      <c r="C160">
        <v>20240218</v>
      </c>
      <c r="D160" t="s">
        <v>20</v>
      </c>
      <c r="E160" t="s">
        <v>21</v>
      </c>
      <c r="F160" t="s">
        <v>29</v>
      </c>
      <c r="G160" t="s">
        <v>50</v>
      </c>
      <c r="H160">
        <v>114794</v>
      </c>
      <c r="I160" t="s">
        <v>24</v>
      </c>
      <c r="J160">
        <v>5.7</v>
      </c>
      <c r="K160">
        <v>654325.8</v>
      </c>
      <c r="L160" t="s">
        <v>31</v>
      </c>
      <c r="M160" t="s">
        <v>86</v>
      </c>
      <c r="N160">
        <v>5.59</v>
      </c>
      <c r="O160" t="s">
        <v>27</v>
      </c>
      <c r="Q160">
        <v>14</v>
      </c>
      <c r="S160">
        <v>5.53</v>
      </c>
    </row>
    <row r="161" spans="1:19">
      <c r="A161">
        <v>199</v>
      </c>
      <c r="B161">
        <v>2</v>
      </c>
      <c r="C161">
        <v>20240218</v>
      </c>
      <c r="D161" t="s">
        <v>20</v>
      </c>
      <c r="E161" t="s">
        <v>21</v>
      </c>
      <c r="F161" t="s">
        <v>29</v>
      </c>
      <c r="G161" t="s">
        <v>42</v>
      </c>
      <c r="H161">
        <v>521790</v>
      </c>
      <c r="I161" t="s">
        <v>24</v>
      </c>
      <c r="J161">
        <v>5.7</v>
      </c>
      <c r="K161">
        <v>2974203</v>
      </c>
      <c r="L161" t="s">
        <v>31</v>
      </c>
      <c r="M161" t="s">
        <v>86</v>
      </c>
      <c r="N161">
        <v>5.59</v>
      </c>
      <c r="O161" t="s">
        <v>27</v>
      </c>
      <c r="Q161">
        <v>57</v>
      </c>
      <c r="S161">
        <v>4.48</v>
      </c>
    </row>
    <row r="162" spans="1:19">
      <c r="A162">
        <v>200</v>
      </c>
      <c r="B162">
        <v>2</v>
      </c>
      <c r="C162">
        <v>20240218</v>
      </c>
      <c r="D162" t="s">
        <v>20</v>
      </c>
      <c r="E162" t="s">
        <v>21</v>
      </c>
      <c r="F162" t="s">
        <v>29</v>
      </c>
      <c r="G162" t="s">
        <v>74</v>
      </c>
      <c r="H162">
        <v>18049</v>
      </c>
      <c r="I162" t="s">
        <v>24</v>
      </c>
      <c r="J162">
        <v>5.63</v>
      </c>
      <c r="K162">
        <v>101615.87</v>
      </c>
      <c r="L162" t="s">
        <v>31</v>
      </c>
      <c r="M162" t="s">
        <v>86</v>
      </c>
      <c r="N162">
        <v>5.52</v>
      </c>
      <c r="O162" t="s">
        <v>27</v>
      </c>
      <c r="Q162">
        <v>2</v>
      </c>
      <c r="S162">
        <v>4.48</v>
      </c>
    </row>
    <row r="163" spans="1:19">
      <c r="A163">
        <v>201</v>
      </c>
      <c r="B163">
        <v>2</v>
      </c>
      <c r="C163">
        <v>20240219</v>
      </c>
      <c r="D163" t="s">
        <v>20</v>
      </c>
      <c r="E163" t="s">
        <v>21</v>
      </c>
      <c r="F163" t="s">
        <v>59</v>
      </c>
      <c r="G163" t="s">
        <v>42</v>
      </c>
      <c r="H163">
        <v>364952</v>
      </c>
      <c r="I163" t="s">
        <v>24</v>
      </c>
      <c r="J163">
        <v>4.48</v>
      </c>
      <c r="K163">
        <v>1634984.96</v>
      </c>
      <c r="L163" t="s">
        <v>25</v>
      </c>
      <c r="M163" t="s">
        <v>87</v>
      </c>
      <c r="N163">
        <v>4.0421</v>
      </c>
      <c r="O163" t="s">
        <v>27</v>
      </c>
      <c r="Q163">
        <v>66</v>
      </c>
    </row>
    <row r="164" spans="1:19">
      <c r="A164">
        <v>202</v>
      </c>
      <c r="B164">
        <v>2</v>
      </c>
      <c r="C164">
        <v>20240219</v>
      </c>
      <c r="D164" t="s">
        <v>20</v>
      </c>
      <c r="E164" t="s">
        <v>21</v>
      </c>
      <c r="F164" t="s">
        <v>59</v>
      </c>
      <c r="G164" t="s">
        <v>74</v>
      </c>
      <c r="H164">
        <v>680400</v>
      </c>
      <c r="I164" t="s">
        <v>24</v>
      </c>
      <c r="J164">
        <v>4.48</v>
      </c>
      <c r="K164">
        <v>3048192</v>
      </c>
      <c r="L164" t="s">
        <v>25</v>
      </c>
      <c r="M164" t="s">
        <v>87</v>
      </c>
      <c r="N164">
        <v>4.0421</v>
      </c>
      <c r="O164" t="s">
        <v>27</v>
      </c>
    </row>
    <row r="165" spans="1:19">
      <c r="A165">
        <v>217</v>
      </c>
      <c r="B165">
        <v>2</v>
      </c>
      <c r="C165">
        <v>20240220</v>
      </c>
      <c r="D165" t="s">
        <v>20</v>
      </c>
      <c r="E165" t="s">
        <v>21</v>
      </c>
      <c r="F165" t="s">
        <v>41</v>
      </c>
      <c r="G165" t="s">
        <v>74</v>
      </c>
      <c r="H165">
        <v>5852</v>
      </c>
      <c r="I165" t="s">
        <v>24</v>
      </c>
      <c r="J165">
        <v>5.63</v>
      </c>
      <c r="K165">
        <v>32946.76</v>
      </c>
      <c r="L165" t="s">
        <v>25</v>
      </c>
      <c r="M165" t="s">
        <v>88</v>
      </c>
      <c r="N165">
        <v>5.516</v>
      </c>
      <c r="O165" t="s">
        <v>27</v>
      </c>
      <c r="Q165">
        <v>1</v>
      </c>
    </row>
    <row r="166" spans="1:19">
      <c r="A166">
        <v>218</v>
      </c>
      <c r="B166">
        <v>2</v>
      </c>
      <c r="C166">
        <v>20240220</v>
      </c>
      <c r="D166" t="s">
        <v>20</v>
      </c>
      <c r="E166" t="s">
        <v>21</v>
      </c>
      <c r="F166" t="s">
        <v>41</v>
      </c>
      <c r="G166" t="s">
        <v>42</v>
      </c>
      <c r="H166">
        <v>1016</v>
      </c>
      <c r="I166" t="s">
        <v>24</v>
      </c>
      <c r="J166">
        <v>5.63</v>
      </c>
      <c r="K166">
        <v>5720.08</v>
      </c>
      <c r="L166" t="s">
        <v>25</v>
      </c>
      <c r="M166" t="s">
        <v>88</v>
      </c>
      <c r="N166">
        <v>5.516</v>
      </c>
      <c r="O166" t="s">
        <v>27</v>
      </c>
      <c r="Q166">
        <v>1</v>
      </c>
    </row>
    <row r="167" spans="1:19">
      <c r="A167">
        <v>219</v>
      </c>
      <c r="B167">
        <v>2</v>
      </c>
      <c r="C167">
        <v>20240220</v>
      </c>
      <c r="D167" t="s">
        <v>20</v>
      </c>
      <c r="E167" t="s">
        <v>21</v>
      </c>
      <c r="F167" t="s">
        <v>41</v>
      </c>
      <c r="G167" t="s">
        <v>74</v>
      </c>
      <c r="H167">
        <v>17698</v>
      </c>
      <c r="I167" t="s">
        <v>24</v>
      </c>
      <c r="J167">
        <v>5.63</v>
      </c>
      <c r="K167">
        <v>99639.74</v>
      </c>
      <c r="L167" t="s">
        <v>31</v>
      </c>
      <c r="M167" t="s">
        <v>88</v>
      </c>
      <c r="N167">
        <v>5.516</v>
      </c>
      <c r="O167" t="s">
        <v>27</v>
      </c>
      <c r="Q167">
        <v>2</v>
      </c>
    </row>
    <row r="168" spans="1:19">
      <c r="A168">
        <v>220</v>
      </c>
      <c r="B168">
        <v>2</v>
      </c>
      <c r="C168">
        <v>20240220</v>
      </c>
      <c r="D168" t="s">
        <v>20</v>
      </c>
      <c r="E168" t="s">
        <v>21</v>
      </c>
      <c r="F168" t="s">
        <v>41</v>
      </c>
      <c r="G168" t="s">
        <v>42</v>
      </c>
      <c r="H168">
        <v>64817</v>
      </c>
      <c r="I168" t="s">
        <v>24</v>
      </c>
      <c r="J168">
        <v>5.63</v>
      </c>
      <c r="K168">
        <v>364919.71</v>
      </c>
      <c r="L168" t="s">
        <v>31</v>
      </c>
      <c r="M168" t="s">
        <v>88</v>
      </c>
      <c r="N168">
        <v>5.516</v>
      </c>
      <c r="O168" t="s">
        <v>27</v>
      </c>
      <c r="Q168">
        <v>7</v>
      </c>
    </row>
    <row r="169" spans="1:19">
      <c r="A169">
        <v>221</v>
      </c>
      <c r="B169">
        <v>2</v>
      </c>
      <c r="C169">
        <v>20240220</v>
      </c>
      <c r="D169" t="s">
        <v>20</v>
      </c>
      <c r="E169" t="s">
        <v>21</v>
      </c>
      <c r="F169" t="s">
        <v>41</v>
      </c>
      <c r="G169" t="s">
        <v>42</v>
      </c>
      <c r="H169">
        <v>22263</v>
      </c>
      <c r="I169" t="s">
        <v>24</v>
      </c>
      <c r="J169">
        <v>5.63</v>
      </c>
      <c r="K169">
        <v>125340.69</v>
      </c>
      <c r="L169" t="s">
        <v>25</v>
      </c>
      <c r="M169" t="s">
        <v>88</v>
      </c>
      <c r="N169">
        <v>5.516</v>
      </c>
      <c r="O169" t="s">
        <v>27</v>
      </c>
      <c r="Q169">
        <v>4</v>
      </c>
    </row>
    <row r="170" spans="1:19">
      <c r="A170">
        <v>222</v>
      </c>
      <c r="B170">
        <v>2</v>
      </c>
      <c r="C170">
        <v>20240220</v>
      </c>
      <c r="D170" t="s">
        <v>20</v>
      </c>
      <c r="E170" t="s">
        <v>21</v>
      </c>
      <c r="F170" t="s">
        <v>41</v>
      </c>
      <c r="G170" t="s">
        <v>42</v>
      </c>
      <c r="H170">
        <v>19599</v>
      </c>
      <c r="I170" t="s">
        <v>24</v>
      </c>
      <c r="J170">
        <v>5.63</v>
      </c>
      <c r="K170">
        <v>110342.37</v>
      </c>
      <c r="L170" t="s">
        <v>31</v>
      </c>
      <c r="M170" t="s">
        <v>88</v>
      </c>
      <c r="N170">
        <v>5.516</v>
      </c>
      <c r="O170" t="s">
        <v>27</v>
      </c>
      <c r="Q170">
        <v>3</v>
      </c>
    </row>
    <row r="171" spans="1:19">
      <c r="A171">
        <v>223</v>
      </c>
      <c r="B171">
        <v>2</v>
      </c>
      <c r="C171">
        <v>20240220</v>
      </c>
      <c r="D171" t="s">
        <v>20</v>
      </c>
      <c r="E171" t="s">
        <v>21</v>
      </c>
      <c r="F171" t="s">
        <v>41</v>
      </c>
      <c r="G171" t="s">
        <v>50</v>
      </c>
      <c r="H171">
        <v>92721</v>
      </c>
      <c r="I171" t="s">
        <v>24</v>
      </c>
      <c r="J171">
        <v>5.53</v>
      </c>
      <c r="K171">
        <v>512747.13</v>
      </c>
      <c r="L171" t="s">
        <v>25</v>
      </c>
      <c r="M171" t="s">
        <v>88</v>
      </c>
      <c r="N171">
        <v>4.816</v>
      </c>
      <c r="O171" t="s">
        <v>27</v>
      </c>
      <c r="Q171">
        <v>13</v>
      </c>
    </row>
    <row r="172" spans="1:19">
      <c r="A172">
        <v>224</v>
      </c>
      <c r="B172">
        <v>2</v>
      </c>
      <c r="C172">
        <v>20240220</v>
      </c>
      <c r="D172" t="s">
        <v>20</v>
      </c>
      <c r="E172" t="s">
        <v>21</v>
      </c>
      <c r="F172" t="s">
        <v>41</v>
      </c>
      <c r="G172" t="s">
        <v>74</v>
      </c>
      <c r="H172">
        <v>127156</v>
      </c>
      <c r="I172" t="s">
        <v>24</v>
      </c>
      <c r="J172">
        <v>5.63</v>
      </c>
      <c r="K172">
        <v>715888.28</v>
      </c>
      <c r="L172" t="s">
        <v>31</v>
      </c>
      <c r="M172" t="s">
        <v>88</v>
      </c>
      <c r="N172">
        <v>5.516</v>
      </c>
      <c r="O172" t="s">
        <v>27</v>
      </c>
      <c r="Q172">
        <v>15</v>
      </c>
    </row>
    <row r="173" spans="1:19">
      <c r="A173">
        <v>225</v>
      </c>
      <c r="B173">
        <v>2</v>
      </c>
      <c r="C173">
        <v>20240220</v>
      </c>
      <c r="D173" t="s">
        <v>20</v>
      </c>
      <c r="E173" t="s">
        <v>21</v>
      </c>
      <c r="F173" t="s">
        <v>41</v>
      </c>
      <c r="G173" t="s">
        <v>74</v>
      </c>
      <c r="H173">
        <v>24032</v>
      </c>
      <c r="I173" t="s">
        <v>24</v>
      </c>
      <c r="J173">
        <v>5.63</v>
      </c>
      <c r="K173">
        <v>135300.16</v>
      </c>
      <c r="L173" t="s">
        <v>25</v>
      </c>
      <c r="M173" t="s">
        <v>88</v>
      </c>
      <c r="N173">
        <v>5.516</v>
      </c>
      <c r="O173" t="s">
        <v>27</v>
      </c>
      <c r="Q173">
        <v>4</v>
      </c>
    </row>
    <row r="174" spans="1:19">
      <c r="A174">
        <v>226</v>
      </c>
      <c r="B174">
        <v>2</v>
      </c>
      <c r="C174">
        <v>20240220</v>
      </c>
      <c r="D174" t="s">
        <v>20</v>
      </c>
      <c r="E174" t="s">
        <v>21</v>
      </c>
      <c r="F174" t="s">
        <v>41</v>
      </c>
      <c r="G174" t="s">
        <v>42</v>
      </c>
      <c r="H174">
        <v>39260</v>
      </c>
      <c r="I174" t="s">
        <v>24</v>
      </c>
      <c r="J174">
        <v>5.63</v>
      </c>
      <c r="K174">
        <v>221033.8</v>
      </c>
      <c r="L174" t="s">
        <v>25</v>
      </c>
      <c r="M174" t="s">
        <v>88</v>
      </c>
      <c r="N174">
        <v>5.516</v>
      </c>
      <c r="O174" t="s">
        <v>27</v>
      </c>
      <c r="Q174">
        <v>5</v>
      </c>
    </row>
    <row r="175" spans="1:19">
      <c r="A175">
        <v>227</v>
      </c>
      <c r="B175">
        <v>2</v>
      </c>
      <c r="C175">
        <v>20240220</v>
      </c>
      <c r="D175" t="s">
        <v>20</v>
      </c>
      <c r="E175" t="s">
        <v>21</v>
      </c>
      <c r="F175" t="s">
        <v>41</v>
      </c>
      <c r="G175" t="s">
        <v>74</v>
      </c>
      <c r="H175">
        <v>108061</v>
      </c>
      <c r="I175" t="s">
        <v>24</v>
      </c>
      <c r="J175">
        <v>5.63</v>
      </c>
      <c r="K175">
        <v>608383.43</v>
      </c>
      <c r="L175" t="s">
        <v>31</v>
      </c>
      <c r="M175" t="s">
        <v>88</v>
      </c>
      <c r="N175">
        <v>5.516</v>
      </c>
      <c r="O175" t="s">
        <v>27</v>
      </c>
      <c r="Q175">
        <v>13</v>
      </c>
    </row>
    <row r="176" spans="1:19">
      <c r="A176">
        <v>228</v>
      </c>
      <c r="B176">
        <v>2</v>
      </c>
      <c r="C176">
        <v>20240220</v>
      </c>
      <c r="D176" t="s">
        <v>20</v>
      </c>
      <c r="E176" t="s">
        <v>21</v>
      </c>
      <c r="F176" t="s">
        <v>41</v>
      </c>
      <c r="G176" t="s">
        <v>42</v>
      </c>
      <c r="H176">
        <v>5489</v>
      </c>
      <c r="I176" t="s">
        <v>24</v>
      </c>
      <c r="J176">
        <v>5.63</v>
      </c>
      <c r="K176">
        <v>30903.07</v>
      </c>
      <c r="L176" t="s">
        <v>31</v>
      </c>
      <c r="M176" t="s">
        <v>88</v>
      </c>
      <c r="N176">
        <v>5.516</v>
      </c>
      <c r="O176" t="s">
        <v>27</v>
      </c>
      <c r="Q176">
        <v>4</v>
      </c>
    </row>
    <row r="177" spans="1:19">
      <c r="A177">
        <v>229</v>
      </c>
      <c r="B177">
        <v>2</v>
      </c>
      <c r="C177">
        <v>20240220</v>
      </c>
      <c r="D177" t="s">
        <v>20</v>
      </c>
      <c r="E177" t="s">
        <v>21</v>
      </c>
      <c r="F177" t="s">
        <v>41</v>
      </c>
      <c r="G177" t="s">
        <v>42</v>
      </c>
      <c r="H177">
        <v>18642</v>
      </c>
      <c r="I177" t="s">
        <v>24</v>
      </c>
      <c r="J177">
        <v>5.63</v>
      </c>
      <c r="K177">
        <v>104954.46</v>
      </c>
      <c r="L177" t="s">
        <v>25</v>
      </c>
      <c r="M177" t="s">
        <v>88</v>
      </c>
      <c r="N177">
        <v>5.516</v>
      </c>
      <c r="O177" t="s">
        <v>27</v>
      </c>
      <c r="Q177">
        <v>4</v>
      </c>
    </row>
    <row r="178" spans="1:19">
      <c r="A178">
        <v>230</v>
      </c>
      <c r="B178">
        <v>2</v>
      </c>
      <c r="C178">
        <v>20240220</v>
      </c>
      <c r="D178" t="s">
        <v>20</v>
      </c>
      <c r="E178" t="s">
        <v>21</v>
      </c>
      <c r="F178" t="s">
        <v>41</v>
      </c>
      <c r="G178" t="s">
        <v>42</v>
      </c>
      <c r="H178">
        <v>1136</v>
      </c>
      <c r="I178" t="s">
        <v>24</v>
      </c>
      <c r="J178">
        <v>5.63</v>
      </c>
      <c r="K178">
        <v>6395.68</v>
      </c>
      <c r="L178" t="s">
        <v>31</v>
      </c>
      <c r="M178" t="s">
        <v>88</v>
      </c>
      <c r="N178">
        <v>5.516</v>
      </c>
      <c r="O178" t="s">
        <v>27</v>
      </c>
      <c r="Q178">
        <v>1</v>
      </c>
    </row>
    <row r="179" spans="1:19">
      <c r="A179">
        <v>232</v>
      </c>
      <c r="B179">
        <v>2</v>
      </c>
      <c r="C179">
        <v>20240221</v>
      </c>
      <c r="D179" t="s">
        <v>28</v>
      </c>
      <c r="E179" t="s">
        <v>21</v>
      </c>
      <c r="F179" t="s">
        <v>22</v>
      </c>
      <c r="G179" t="s">
        <v>30</v>
      </c>
      <c r="H179">
        <v>184800</v>
      </c>
      <c r="I179" t="s">
        <v>24</v>
      </c>
      <c r="J179">
        <v>4.14</v>
      </c>
      <c r="K179">
        <v>765072</v>
      </c>
      <c r="L179" t="s">
        <v>31</v>
      </c>
      <c r="M179" t="s">
        <v>90</v>
      </c>
      <c r="N179">
        <v>4.0377</v>
      </c>
      <c r="O179" t="s">
        <v>27</v>
      </c>
      <c r="Q179">
        <v>10</v>
      </c>
    </row>
    <row r="180" spans="1:19">
      <c r="A180">
        <v>233</v>
      </c>
      <c r="B180">
        <v>2</v>
      </c>
      <c r="C180">
        <v>20240221</v>
      </c>
      <c r="D180" t="s">
        <v>20</v>
      </c>
      <c r="E180" t="s">
        <v>21</v>
      </c>
      <c r="F180" t="s">
        <v>32</v>
      </c>
      <c r="G180" t="s">
        <v>50</v>
      </c>
      <c r="H180">
        <v>26180</v>
      </c>
      <c r="I180" t="s">
        <v>24</v>
      </c>
      <c r="J180">
        <v>5.53</v>
      </c>
      <c r="K180">
        <v>144775.4</v>
      </c>
      <c r="L180" t="s">
        <v>25</v>
      </c>
      <c r="M180" t="s">
        <v>91</v>
      </c>
      <c r="N180">
        <v>4.7765</v>
      </c>
      <c r="O180" t="s">
        <v>27</v>
      </c>
      <c r="Q180">
        <v>7</v>
      </c>
    </row>
    <row r="181" spans="1:19">
      <c r="A181">
        <v>234</v>
      </c>
      <c r="B181">
        <v>2</v>
      </c>
      <c r="C181">
        <v>20240221</v>
      </c>
      <c r="D181" t="s">
        <v>28</v>
      </c>
      <c r="E181" t="s">
        <v>21</v>
      </c>
      <c r="F181" t="s">
        <v>29</v>
      </c>
      <c r="G181" t="s">
        <v>37</v>
      </c>
      <c r="H181">
        <v>65514</v>
      </c>
      <c r="I181" t="s">
        <v>24</v>
      </c>
      <c r="J181">
        <v>4.14</v>
      </c>
      <c r="K181">
        <v>271227.96</v>
      </c>
      <c r="L181" t="s">
        <v>31</v>
      </c>
      <c r="M181" t="s">
        <v>92</v>
      </c>
      <c r="N181">
        <v>4.02862</v>
      </c>
      <c r="O181" t="s">
        <v>27</v>
      </c>
      <c r="Q181">
        <v>14</v>
      </c>
    </row>
    <row r="182" spans="1:19">
      <c r="A182">
        <v>242</v>
      </c>
      <c r="B182">
        <v>2</v>
      </c>
      <c r="C182">
        <v>20240223</v>
      </c>
      <c r="D182" t="s">
        <v>28</v>
      </c>
      <c r="E182" t="s">
        <v>21</v>
      </c>
      <c r="F182" t="s">
        <v>32</v>
      </c>
      <c r="G182" t="s">
        <v>33</v>
      </c>
      <c r="H182">
        <v>44918</v>
      </c>
      <c r="I182" t="s">
        <v>24</v>
      </c>
      <c r="J182">
        <v>4.14</v>
      </c>
      <c r="K182">
        <v>185960.52</v>
      </c>
      <c r="L182" t="s">
        <v>25</v>
      </c>
      <c r="M182" t="s">
        <v>93</v>
      </c>
      <c r="N182">
        <v>4.015</v>
      </c>
      <c r="O182" t="s">
        <v>27</v>
      </c>
      <c r="Q182">
        <v>134</v>
      </c>
    </row>
    <row r="183" spans="1:19">
      <c r="A183">
        <v>243</v>
      </c>
      <c r="B183">
        <v>2</v>
      </c>
      <c r="C183">
        <v>20240223</v>
      </c>
      <c r="D183" t="s">
        <v>20</v>
      </c>
      <c r="E183" t="s">
        <v>21</v>
      </c>
      <c r="F183" t="s">
        <v>32</v>
      </c>
      <c r="G183" t="s">
        <v>50</v>
      </c>
      <c r="H183">
        <v>425282</v>
      </c>
      <c r="I183" t="s">
        <v>24</v>
      </c>
      <c r="J183">
        <v>5.53</v>
      </c>
      <c r="K183">
        <v>2351809.46</v>
      </c>
      <c r="L183" t="s">
        <v>31</v>
      </c>
      <c r="M183" t="s">
        <v>94</v>
      </c>
      <c r="N183">
        <v>4.7765</v>
      </c>
      <c r="O183" t="s">
        <v>27</v>
      </c>
      <c r="Q183">
        <v>56</v>
      </c>
    </row>
    <row r="184" spans="1:19">
      <c r="A184">
        <v>244</v>
      </c>
      <c r="B184">
        <v>2</v>
      </c>
      <c r="C184">
        <v>20240223</v>
      </c>
      <c r="D184" t="s">
        <v>20</v>
      </c>
      <c r="E184" t="s">
        <v>21</v>
      </c>
      <c r="F184" t="s">
        <v>32</v>
      </c>
      <c r="G184" t="s">
        <v>50</v>
      </c>
      <c r="H184">
        <v>982174</v>
      </c>
      <c r="I184" t="s">
        <v>24</v>
      </c>
      <c r="J184">
        <v>5.53</v>
      </c>
      <c r="K184">
        <v>5431422.22</v>
      </c>
      <c r="L184" t="s">
        <v>25</v>
      </c>
      <c r="M184" t="s">
        <v>94</v>
      </c>
      <c r="N184">
        <v>4.7765</v>
      </c>
      <c r="O184" t="s">
        <v>27</v>
      </c>
      <c r="Q184">
        <v>103</v>
      </c>
    </row>
    <row r="185" spans="1:19">
      <c r="A185">
        <v>245</v>
      </c>
      <c r="B185">
        <v>2</v>
      </c>
      <c r="C185">
        <v>20240223</v>
      </c>
      <c r="D185" t="s">
        <v>20</v>
      </c>
      <c r="E185" t="s">
        <v>21</v>
      </c>
      <c r="F185" t="s">
        <v>32</v>
      </c>
      <c r="G185" t="s">
        <v>42</v>
      </c>
      <c r="H185">
        <v>117319</v>
      </c>
      <c r="I185" t="s">
        <v>24</v>
      </c>
      <c r="J185">
        <v>4.48</v>
      </c>
      <c r="K185">
        <v>525589.12</v>
      </c>
      <c r="L185" t="s">
        <v>25</v>
      </c>
      <c r="M185" t="s">
        <v>94</v>
      </c>
      <c r="N185">
        <v>3.8117</v>
      </c>
      <c r="O185" t="s">
        <v>27</v>
      </c>
      <c r="Q185">
        <v>10</v>
      </c>
    </row>
    <row r="186" spans="1:19">
      <c r="A186">
        <v>252</v>
      </c>
      <c r="B186">
        <v>2</v>
      </c>
      <c r="C186">
        <v>20240223</v>
      </c>
      <c r="D186" t="s">
        <v>20</v>
      </c>
      <c r="E186" t="s">
        <v>21</v>
      </c>
      <c r="F186" t="s">
        <v>59</v>
      </c>
      <c r="G186" t="s">
        <v>42</v>
      </c>
      <c r="H186">
        <v>544888</v>
      </c>
      <c r="I186" t="s">
        <v>24</v>
      </c>
      <c r="J186">
        <v>4.48</v>
      </c>
      <c r="K186">
        <v>2441098.24</v>
      </c>
      <c r="L186" t="s">
        <v>25</v>
      </c>
      <c r="M186" t="s">
        <v>95</v>
      </c>
      <c r="N186">
        <v>4.3709</v>
      </c>
      <c r="O186" t="s">
        <v>27</v>
      </c>
      <c r="Q186">
        <v>45</v>
      </c>
      <c r="S186">
        <v>4.48</v>
      </c>
    </row>
    <row r="187" spans="1:19">
      <c r="A187">
        <v>253</v>
      </c>
      <c r="B187">
        <v>2</v>
      </c>
      <c r="C187">
        <v>20240223</v>
      </c>
      <c r="D187" t="s">
        <v>20</v>
      </c>
      <c r="E187" t="s">
        <v>21</v>
      </c>
      <c r="F187" t="s">
        <v>59</v>
      </c>
      <c r="G187" t="s">
        <v>74</v>
      </c>
      <c r="H187">
        <v>112752</v>
      </c>
      <c r="I187" t="s">
        <v>24</v>
      </c>
      <c r="J187">
        <v>4.48</v>
      </c>
      <c r="K187">
        <v>505128.96</v>
      </c>
      <c r="L187" t="s">
        <v>25</v>
      </c>
      <c r="M187" t="s">
        <v>95</v>
      </c>
      <c r="N187">
        <v>4.3709</v>
      </c>
      <c r="O187" t="s">
        <v>27</v>
      </c>
      <c r="S187">
        <v>4.48</v>
      </c>
    </row>
    <row r="188" spans="1:19">
      <c r="A188">
        <v>254</v>
      </c>
      <c r="B188">
        <v>2</v>
      </c>
      <c r="C188">
        <v>20240223</v>
      </c>
      <c r="D188" t="s">
        <v>20</v>
      </c>
      <c r="E188" t="s">
        <v>21</v>
      </c>
      <c r="F188" t="s">
        <v>29</v>
      </c>
      <c r="G188" t="s">
        <v>42</v>
      </c>
      <c r="H188">
        <v>342</v>
      </c>
      <c r="I188" t="s">
        <v>24</v>
      </c>
      <c r="J188">
        <v>5.74</v>
      </c>
      <c r="K188">
        <v>1963.08</v>
      </c>
      <c r="L188" t="s">
        <v>25</v>
      </c>
      <c r="M188" t="s">
        <v>96</v>
      </c>
      <c r="N188">
        <v>5.627</v>
      </c>
      <c r="O188" t="s">
        <v>27</v>
      </c>
      <c r="Q188">
        <v>155</v>
      </c>
    </row>
    <row r="189" spans="1:19">
      <c r="A189">
        <v>255</v>
      </c>
      <c r="B189">
        <v>2</v>
      </c>
      <c r="C189">
        <v>20240223</v>
      </c>
      <c r="D189" t="s">
        <v>20</v>
      </c>
      <c r="E189" t="s">
        <v>21</v>
      </c>
      <c r="F189" t="s">
        <v>29</v>
      </c>
      <c r="G189" t="s">
        <v>42</v>
      </c>
      <c r="H189">
        <v>592143</v>
      </c>
      <c r="I189" t="s">
        <v>24</v>
      </c>
      <c r="J189">
        <v>4.48</v>
      </c>
      <c r="K189">
        <v>2652800.64</v>
      </c>
      <c r="L189" t="s">
        <v>31</v>
      </c>
      <c r="M189" t="s">
        <v>96</v>
      </c>
      <c r="N189">
        <v>3.9104</v>
      </c>
      <c r="O189" t="s">
        <v>27</v>
      </c>
    </row>
    <row r="190" spans="1:19">
      <c r="A190">
        <v>256</v>
      </c>
      <c r="B190">
        <v>2</v>
      </c>
      <c r="C190">
        <v>20240225</v>
      </c>
      <c r="D190" t="s">
        <v>20</v>
      </c>
      <c r="E190" t="s">
        <v>21</v>
      </c>
      <c r="F190" t="s">
        <v>22</v>
      </c>
      <c r="G190" t="s">
        <v>42</v>
      </c>
      <c r="H190">
        <v>1417106</v>
      </c>
      <c r="I190" t="s">
        <v>24</v>
      </c>
      <c r="J190">
        <v>5.36</v>
      </c>
      <c r="K190">
        <v>7595688.16</v>
      </c>
      <c r="L190" t="s">
        <v>31</v>
      </c>
      <c r="M190" t="s">
        <v>97</v>
      </c>
      <c r="N190">
        <v>5.2591</v>
      </c>
      <c r="O190" t="s">
        <v>27</v>
      </c>
      <c r="Q190">
        <v>51</v>
      </c>
    </row>
    <row r="191" spans="1:19">
      <c r="A191">
        <v>257</v>
      </c>
      <c r="B191">
        <v>2</v>
      </c>
      <c r="C191">
        <v>20240225</v>
      </c>
      <c r="D191" t="s">
        <v>20</v>
      </c>
      <c r="E191" t="s">
        <v>21</v>
      </c>
      <c r="F191" t="s">
        <v>22</v>
      </c>
      <c r="G191" t="s">
        <v>42</v>
      </c>
      <c r="H191">
        <v>729395</v>
      </c>
      <c r="I191" t="s">
        <v>24</v>
      </c>
      <c r="J191">
        <v>4.48</v>
      </c>
      <c r="K191">
        <v>3267689.6</v>
      </c>
      <c r="L191" t="s">
        <v>25</v>
      </c>
      <c r="M191" t="s">
        <v>97</v>
      </c>
      <c r="N191">
        <v>4.3942</v>
      </c>
      <c r="O191" t="s">
        <v>27</v>
      </c>
      <c r="Q191">
        <v>29</v>
      </c>
    </row>
    <row r="192" spans="1:19">
      <c r="A192">
        <v>258</v>
      </c>
      <c r="B192">
        <v>2</v>
      </c>
      <c r="C192">
        <v>20240226</v>
      </c>
      <c r="D192" t="s">
        <v>20</v>
      </c>
      <c r="E192" t="s">
        <v>21</v>
      </c>
      <c r="F192" t="s">
        <v>32</v>
      </c>
      <c r="G192" t="s">
        <v>42</v>
      </c>
      <c r="H192">
        <v>346159</v>
      </c>
      <c r="I192" t="s">
        <v>24</v>
      </c>
      <c r="J192">
        <v>4.48</v>
      </c>
      <c r="K192">
        <v>1550792.32</v>
      </c>
      <c r="L192" t="s">
        <v>25</v>
      </c>
      <c r="M192" t="s">
        <v>98</v>
      </c>
      <c r="N192">
        <v>3.8117</v>
      </c>
      <c r="O192" t="s">
        <v>27</v>
      </c>
      <c r="Q192">
        <v>46</v>
      </c>
    </row>
    <row r="193" spans="1:19">
      <c r="A193">
        <v>259</v>
      </c>
      <c r="B193">
        <v>2</v>
      </c>
      <c r="C193">
        <v>20240226</v>
      </c>
      <c r="D193" t="s">
        <v>20</v>
      </c>
      <c r="E193" t="s">
        <v>21</v>
      </c>
      <c r="F193" t="s">
        <v>32</v>
      </c>
      <c r="G193" t="s">
        <v>99</v>
      </c>
      <c r="H193">
        <v>12563</v>
      </c>
      <c r="I193" t="s">
        <v>24</v>
      </c>
      <c r="J193">
        <v>4.14</v>
      </c>
      <c r="K193">
        <v>52010.82</v>
      </c>
      <c r="L193" t="s">
        <v>31</v>
      </c>
      <c r="M193" t="s">
        <v>98</v>
      </c>
      <c r="N193">
        <v>4.015</v>
      </c>
      <c r="O193" t="s">
        <v>27</v>
      </c>
      <c r="Q193">
        <v>1</v>
      </c>
    </row>
    <row r="194" spans="1:19">
      <c r="A194">
        <v>260</v>
      </c>
      <c r="B194">
        <v>2</v>
      </c>
      <c r="C194">
        <v>20240226</v>
      </c>
      <c r="D194" t="s">
        <v>20</v>
      </c>
      <c r="E194" t="s">
        <v>21</v>
      </c>
      <c r="F194" t="s">
        <v>29</v>
      </c>
      <c r="G194" t="s">
        <v>42</v>
      </c>
      <c r="H194">
        <v>1737</v>
      </c>
      <c r="I194" t="s">
        <v>24</v>
      </c>
      <c r="J194">
        <v>5.75</v>
      </c>
      <c r="K194">
        <v>9987.75</v>
      </c>
      <c r="L194" t="s">
        <v>25</v>
      </c>
      <c r="M194" t="s">
        <v>100</v>
      </c>
      <c r="N194">
        <v>5.6383</v>
      </c>
      <c r="O194" t="s">
        <v>27</v>
      </c>
      <c r="Q194">
        <v>737</v>
      </c>
      <c r="S194">
        <v>4.48</v>
      </c>
    </row>
    <row r="195" spans="1:19">
      <c r="A195">
        <v>261</v>
      </c>
      <c r="B195">
        <v>2</v>
      </c>
      <c r="C195">
        <v>20240226</v>
      </c>
      <c r="D195" t="s">
        <v>20</v>
      </c>
      <c r="E195" t="s">
        <v>21</v>
      </c>
      <c r="F195" t="s">
        <v>29</v>
      </c>
      <c r="G195" t="s">
        <v>42</v>
      </c>
      <c r="H195">
        <v>6975516</v>
      </c>
      <c r="I195" t="s">
        <v>24</v>
      </c>
      <c r="J195">
        <v>5.07</v>
      </c>
      <c r="K195">
        <v>35365866.12</v>
      </c>
      <c r="L195" t="s">
        <v>31</v>
      </c>
      <c r="M195" t="s">
        <v>100</v>
      </c>
      <c r="N195">
        <v>4.9674</v>
      </c>
      <c r="O195" t="s">
        <v>27</v>
      </c>
      <c r="S195">
        <v>4.48</v>
      </c>
    </row>
    <row r="196" spans="1:19">
      <c r="A196">
        <v>262</v>
      </c>
      <c r="B196">
        <v>2</v>
      </c>
      <c r="C196">
        <v>20240226</v>
      </c>
      <c r="D196" t="s">
        <v>20</v>
      </c>
      <c r="E196" t="s">
        <v>21</v>
      </c>
      <c r="F196" t="s">
        <v>22</v>
      </c>
      <c r="G196" t="s">
        <v>50</v>
      </c>
      <c r="H196">
        <v>11248</v>
      </c>
      <c r="I196" t="s">
        <v>24</v>
      </c>
      <c r="J196">
        <v>5.53</v>
      </c>
      <c r="K196">
        <v>62201.44</v>
      </c>
      <c r="L196" t="s">
        <v>25</v>
      </c>
      <c r="M196" t="s">
        <v>101</v>
      </c>
      <c r="N196">
        <v>4.5368</v>
      </c>
      <c r="O196" t="s">
        <v>27</v>
      </c>
      <c r="Q196">
        <v>4</v>
      </c>
    </row>
    <row r="197" spans="1:19">
      <c r="A197">
        <v>263</v>
      </c>
      <c r="B197">
        <v>2</v>
      </c>
      <c r="C197">
        <v>20240226</v>
      </c>
      <c r="D197" t="s">
        <v>20</v>
      </c>
      <c r="E197" t="s">
        <v>21</v>
      </c>
      <c r="F197" t="s">
        <v>22</v>
      </c>
      <c r="G197" t="s">
        <v>23</v>
      </c>
      <c r="H197">
        <v>22336</v>
      </c>
      <c r="I197" t="s">
        <v>24</v>
      </c>
      <c r="J197">
        <v>3.44</v>
      </c>
      <c r="K197">
        <v>76835.84</v>
      </c>
      <c r="L197" t="s">
        <v>25</v>
      </c>
      <c r="M197" t="s">
        <v>101</v>
      </c>
      <c r="N197">
        <v>3.1776</v>
      </c>
      <c r="O197" t="s">
        <v>27</v>
      </c>
      <c r="Q197">
        <v>16</v>
      </c>
    </row>
    <row r="198" spans="1:19">
      <c r="A198">
        <v>264</v>
      </c>
      <c r="B198">
        <v>2</v>
      </c>
      <c r="C198">
        <v>20240226</v>
      </c>
      <c r="D198" t="s">
        <v>20</v>
      </c>
      <c r="E198" t="s">
        <v>21</v>
      </c>
      <c r="F198" t="s">
        <v>22</v>
      </c>
      <c r="G198" t="s">
        <v>42</v>
      </c>
      <c r="H198">
        <v>274163</v>
      </c>
      <c r="I198" t="s">
        <v>24</v>
      </c>
      <c r="J198">
        <v>4.48</v>
      </c>
      <c r="K198">
        <v>1228250.24</v>
      </c>
      <c r="L198" t="s">
        <v>25</v>
      </c>
      <c r="M198" t="s">
        <v>101</v>
      </c>
      <c r="N198">
        <v>3.8151</v>
      </c>
      <c r="O198" t="s">
        <v>27</v>
      </c>
      <c r="Q198">
        <v>16</v>
      </c>
    </row>
    <row r="199" spans="1:19">
      <c r="A199">
        <v>265</v>
      </c>
      <c r="B199">
        <v>2</v>
      </c>
      <c r="C199">
        <v>20240226</v>
      </c>
      <c r="D199" t="s">
        <v>20</v>
      </c>
      <c r="E199" t="s">
        <v>21</v>
      </c>
      <c r="F199" t="s">
        <v>22</v>
      </c>
      <c r="G199" t="s">
        <v>42</v>
      </c>
      <c r="H199">
        <v>404333</v>
      </c>
      <c r="I199" t="s">
        <v>24</v>
      </c>
      <c r="J199">
        <v>4.48</v>
      </c>
      <c r="K199">
        <v>1811411.84</v>
      </c>
      <c r="L199" t="s">
        <v>25</v>
      </c>
      <c r="M199" t="s">
        <v>101</v>
      </c>
      <c r="N199">
        <v>4.2562</v>
      </c>
      <c r="O199" t="s">
        <v>27</v>
      </c>
      <c r="Q199">
        <v>20</v>
      </c>
    </row>
    <row r="200" spans="1:19">
      <c r="A200">
        <v>266</v>
      </c>
      <c r="B200">
        <v>2</v>
      </c>
      <c r="C200">
        <v>20240226</v>
      </c>
      <c r="D200" t="s">
        <v>20</v>
      </c>
      <c r="E200" t="s">
        <v>21</v>
      </c>
      <c r="F200" t="s">
        <v>22</v>
      </c>
      <c r="G200" t="s">
        <v>42</v>
      </c>
      <c r="H200">
        <v>188637</v>
      </c>
      <c r="I200" t="s">
        <v>24</v>
      </c>
      <c r="J200">
        <v>4.48</v>
      </c>
      <c r="K200">
        <v>845093.76</v>
      </c>
      <c r="L200" t="s">
        <v>25</v>
      </c>
      <c r="M200" t="s">
        <v>101</v>
      </c>
      <c r="N200">
        <v>4.2562</v>
      </c>
      <c r="O200" t="s">
        <v>27</v>
      </c>
      <c r="Q200">
        <v>11</v>
      </c>
    </row>
    <row r="201" spans="1:19">
      <c r="A201">
        <v>267</v>
      </c>
      <c r="B201">
        <v>2</v>
      </c>
      <c r="C201">
        <v>20240226</v>
      </c>
      <c r="D201" t="s">
        <v>20</v>
      </c>
      <c r="E201" t="s">
        <v>21</v>
      </c>
      <c r="F201" t="s">
        <v>22</v>
      </c>
      <c r="G201" t="s">
        <v>50</v>
      </c>
      <c r="H201">
        <v>51744</v>
      </c>
      <c r="I201" t="s">
        <v>24</v>
      </c>
      <c r="J201">
        <v>5.53</v>
      </c>
      <c r="K201">
        <v>286144.32</v>
      </c>
      <c r="L201" t="s">
        <v>31</v>
      </c>
      <c r="M201" t="s">
        <v>101</v>
      </c>
      <c r="N201">
        <v>4.0393</v>
      </c>
      <c r="O201" t="s">
        <v>27</v>
      </c>
      <c r="Q201">
        <v>3</v>
      </c>
    </row>
    <row r="202" spans="1:19">
      <c r="A202">
        <v>268</v>
      </c>
      <c r="B202">
        <v>2</v>
      </c>
      <c r="C202">
        <v>20240226</v>
      </c>
      <c r="D202" t="s">
        <v>20</v>
      </c>
      <c r="E202" t="s">
        <v>21</v>
      </c>
      <c r="F202" t="s">
        <v>22</v>
      </c>
      <c r="G202" t="s">
        <v>42</v>
      </c>
      <c r="H202">
        <v>1096612</v>
      </c>
      <c r="I202" t="s">
        <v>24</v>
      </c>
      <c r="J202">
        <v>5.63</v>
      </c>
      <c r="K202">
        <v>6173925.56</v>
      </c>
      <c r="L202" t="s">
        <v>31</v>
      </c>
      <c r="M202" t="s">
        <v>101</v>
      </c>
      <c r="N202">
        <v>5.516</v>
      </c>
      <c r="O202" t="s">
        <v>27</v>
      </c>
      <c r="Q202">
        <v>38</v>
      </c>
      <c r="S202">
        <v>4.48</v>
      </c>
    </row>
    <row r="203" spans="1:19">
      <c r="A203">
        <v>269</v>
      </c>
      <c r="B203">
        <v>2</v>
      </c>
      <c r="C203">
        <v>20240226</v>
      </c>
      <c r="D203" t="s">
        <v>20</v>
      </c>
      <c r="E203" t="s">
        <v>21</v>
      </c>
      <c r="F203" t="s">
        <v>22</v>
      </c>
      <c r="G203" t="s">
        <v>42</v>
      </c>
      <c r="H203">
        <v>153080</v>
      </c>
      <c r="I203" t="s">
        <v>24</v>
      </c>
      <c r="J203">
        <v>4.48</v>
      </c>
      <c r="K203">
        <v>685798.4</v>
      </c>
      <c r="L203" t="s">
        <v>31</v>
      </c>
      <c r="M203" t="s">
        <v>101</v>
      </c>
      <c r="N203">
        <v>3.262</v>
      </c>
      <c r="O203" t="s">
        <v>27</v>
      </c>
      <c r="Q203">
        <v>10</v>
      </c>
    </row>
    <row r="204" spans="1:19">
      <c r="A204">
        <v>270</v>
      </c>
      <c r="B204">
        <v>2</v>
      </c>
      <c r="C204">
        <v>20240226</v>
      </c>
      <c r="D204" t="s">
        <v>20</v>
      </c>
      <c r="E204" t="s">
        <v>21</v>
      </c>
      <c r="F204" t="s">
        <v>22</v>
      </c>
      <c r="G204" t="s">
        <v>50</v>
      </c>
      <c r="H204">
        <v>50660</v>
      </c>
      <c r="I204" t="s">
        <v>24</v>
      </c>
      <c r="J204">
        <v>5.53</v>
      </c>
      <c r="K204">
        <v>280149.8</v>
      </c>
      <c r="L204" t="s">
        <v>36</v>
      </c>
      <c r="M204" t="s">
        <v>101</v>
      </c>
      <c r="N204">
        <v>4.7934</v>
      </c>
      <c r="O204" t="s">
        <v>27</v>
      </c>
      <c r="Q204">
        <v>2</v>
      </c>
    </row>
    <row r="205" spans="1:19">
      <c r="A205">
        <v>273</v>
      </c>
      <c r="B205">
        <v>2</v>
      </c>
      <c r="C205">
        <v>20240227</v>
      </c>
      <c r="D205" t="s">
        <v>20</v>
      </c>
      <c r="E205" t="s">
        <v>21</v>
      </c>
      <c r="F205" t="s">
        <v>22</v>
      </c>
      <c r="G205" t="s">
        <v>42</v>
      </c>
      <c r="H205">
        <v>15689</v>
      </c>
      <c r="I205" t="s">
        <v>24</v>
      </c>
      <c r="J205">
        <v>4.48</v>
      </c>
      <c r="K205">
        <v>70286.72</v>
      </c>
      <c r="L205" t="s">
        <v>25</v>
      </c>
      <c r="M205" t="s">
        <v>103</v>
      </c>
      <c r="N205">
        <v>3.8</v>
      </c>
      <c r="O205" t="s">
        <v>27</v>
      </c>
      <c r="Q205">
        <v>1</v>
      </c>
    </row>
    <row r="206" spans="1:19">
      <c r="A206">
        <v>274</v>
      </c>
      <c r="B206">
        <v>2</v>
      </c>
      <c r="C206">
        <v>20240227</v>
      </c>
      <c r="D206" t="s">
        <v>20</v>
      </c>
      <c r="E206" t="s">
        <v>21</v>
      </c>
      <c r="F206" t="s">
        <v>22</v>
      </c>
      <c r="G206" t="s">
        <v>74</v>
      </c>
      <c r="H206">
        <v>115496</v>
      </c>
      <c r="I206" t="s">
        <v>24</v>
      </c>
      <c r="J206">
        <v>5.63</v>
      </c>
      <c r="K206">
        <v>650242.48</v>
      </c>
      <c r="L206" t="s">
        <v>31</v>
      </c>
      <c r="M206" t="s">
        <v>103</v>
      </c>
      <c r="N206">
        <v>5.516</v>
      </c>
      <c r="O206" t="s">
        <v>27</v>
      </c>
      <c r="Q206">
        <v>5</v>
      </c>
    </row>
    <row r="207" spans="1:19">
      <c r="A207">
        <v>275</v>
      </c>
      <c r="B207">
        <v>2</v>
      </c>
      <c r="C207">
        <v>20240227</v>
      </c>
      <c r="D207" t="s">
        <v>20</v>
      </c>
      <c r="E207" t="s">
        <v>21</v>
      </c>
      <c r="F207" t="s">
        <v>22</v>
      </c>
      <c r="G207" t="s">
        <v>42</v>
      </c>
      <c r="H207">
        <v>61611</v>
      </c>
      <c r="I207" t="s">
        <v>24</v>
      </c>
      <c r="J207">
        <v>4.48</v>
      </c>
      <c r="K207">
        <v>276017.28</v>
      </c>
      <c r="L207" t="s">
        <v>31</v>
      </c>
      <c r="M207" t="s">
        <v>103</v>
      </c>
      <c r="N207">
        <v>3.9886</v>
      </c>
      <c r="O207" t="s">
        <v>27</v>
      </c>
      <c r="Q207">
        <v>3</v>
      </c>
    </row>
    <row r="208" spans="1:19">
      <c r="A208">
        <v>279</v>
      </c>
      <c r="B208">
        <v>2</v>
      </c>
      <c r="C208">
        <v>20240229</v>
      </c>
      <c r="D208" t="s">
        <v>20</v>
      </c>
      <c r="E208" t="s">
        <v>21</v>
      </c>
      <c r="F208" t="s">
        <v>32</v>
      </c>
      <c r="G208" t="s">
        <v>50</v>
      </c>
      <c r="H208">
        <v>26180</v>
      </c>
      <c r="I208" t="s">
        <v>24</v>
      </c>
      <c r="J208">
        <v>5.53</v>
      </c>
      <c r="K208">
        <v>144775.4</v>
      </c>
      <c r="L208" t="s">
        <v>25</v>
      </c>
      <c r="M208" t="s">
        <v>104</v>
      </c>
      <c r="N208">
        <v>4.7765</v>
      </c>
      <c r="O208" t="s">
        <v>27</v>
      </c>
      <c r="Q208">
        <v>7</v>
      </c>
    </row>
    <row r="209" spans="1:17">
      <c r="A209">
        <v>280</v>
      </c>
      <c r="B209">
        <v>2</v>
      </c>
      <c r="C209">
        <v>20240229</v>
      </c>
      <c r="D209" t="s">
        <v>28</v>
      </c>
      <c r="E209" t="s">
        <v>21</v>
      </c>
      <c r="F209" t="s">
        <v>32</v>
      </c>
      <c r="G209" t="s">
        <v>37</v>
      </c>
      <c r="H209">
        <v>18708</v>
      </c>
      <c r="I209" t="s">
        <v>24</v>
      </c>
      <c r="J209">
        <v>4.14</v>
      </c>
      <c r="K209">
        <v>77451.12</v>
      </c>
      <c r="L209" t="s">
        <v>31</v>
      </c>
      <c r="M209" t="s">
        <v>105</v>
      </c>
      <c r="N209">
        <v>4.015</v>
      </c>
      <c r="O209" t="s">
        <v>27</v>
      </c>
      <c r="Q209">
        <v>22</v>
      </c>
    </row>
    <row r="210" spans="1:17">
      <c r="A210">
        <v>281</v>
      </c>
      <c r="B210">
        <v>2</v>
      </c>
      <c r="C210">
        <v>20240229</v>
      </c>
      <c r="D210" t="s">
        <v>28</v>
      </c>
      <c r="E210" t="s">
        <v>21</v>
      </c>
      <c r="F210" t="s">
        <v>32</v>
      </c>
      <c r="G210" t="s">
        <v>37</v>
      </c>
      <c r="H210">
        <v>12524</v>
      </c>
      <c r="I210" t="s">
        <v>24</v>
      </c>
      <c r="J210">
        <v>4.14</v>
      </c>
      <c r="K210">
        <v>51849.36</v>
      </c>
      <c r="L210" t="s">
        <v>36</v>
      </c>
      <c r="M210" t="s">
        <v>105</v>
      </c>
      <c r="N210">
        <v>4.015</v>
      </c>
      <c r="O210" t="s">
        <v>27</v>
      </c>
      <c r="Q210">
        <v>9</v>
      </c>
    </row>
    <row r="211" spans="1:17">
      <c r="A211">
        <v>282</v>
      </c>
      <c r="B211">
        <v>2</v>
      </c>
      <c r="C211">
        <v>20240229</v>
      </c>
      <c r="D211" t="s">
        <v>28</v>
      </c>
      <c r="E211" t="s">
        <v>21</v>
      </c>
      <c r="F211" t="s">
        <v>32</v>
      </c>
      <c r="G211" t="s">
        <v>37</v>
      </c>
      <c r="H211">
        <v>16823</v>
      </c>
      <c r="I211" t="s">
        <v>24</v>
      </c>
      <c r="J211">
        <v>4.14</v>
      </c>
      <c r="K211">
        <v>69647.22</v>
      </c>
      <c r="L211" t="s">
        <v>25</v>
      </c>
      <c r="M211" t="s">
        <v>105</v>
      </c>
      <c r="N211">
        <v>4.015</v>
      </c>
      <c r="O211" t="s">
        <v>27</v>
      </c>
      <c r="Q211">
        <v>27</v>
      </c>
    </row>
    <row r="212" spans="1:17">
      <c r="A212">
        <v>283</v>
      </c>
      <c r="B212">
        <v>2</v>
      </c>
      <c r="C212">
        <v>20240229</v>
      </c>
      <c r="D212" t="s">
        <v>28</v>
      </c>
      <c r="E212" t="s">
        <v>21</v>
      </c>
      <c r="F212" t="s">
        <v>32</v>
      </c>
      <c r="G212" t="s">
        <v>30</v>
      </c>
      <c r="H212">
        <v>152250</v>
      </c>
      <c r="I212" t="s">
        <v>24</v>
      </c>
      <c r="J212">
        <v>4.14</v>
      </c>
      <c r="K212">
        <v>630315</v>
      </c>
      <c r="L212" t="s">
        <v>25</v>
      </c>
      <c r="M212" t="s">
        <v>105</v>
      </c>
      <c r="N212">
        <v>4.015</v>
      </c>
      <c r="O212" t="s">
        <v>27</v>
      </c>
      <c r="Q212">
        <v>47</v>
      </c>
    </row>
    <row r="213" spans="1:17">
      <c r="A213">
        <v>284</v>
      </c>
      <c r="B213">
        <v>2</v>
      </c>
      <c r="C213">
        <v>20240229</v>
      </c>
      <c r="D213" t="s">
        <v>20</v>
      </c>
      <c r="E213" t="s">
        <v>21</v>
      </c>
      <c r="F213" t="s">
        <v>22</v>
      </c>
      <c r="G213" t="s">
        <v>50</v>
      </c>
      <c r="H213">
        <v>1710076</v>
      </c>
      <c r="I213" t="s">
        <v>24</v>
      </c>
      <c r="J213">
        <v>5.53</v>
      </c>
      <c r="K213">
        <v>9456720.28</v>
      </c>
      <c r="L213" t="s">
        <v>25</v>
      </c>
      <c r="M213" t="s">
        <v>106</v>
      </c>
      <c r="N213">
        <v>4.04</v>
      </c>
      <c r="O213" t="s">
        <v>27</v>
      </c>
      <c r="Q213">
        <v>68</v>
      </c>
    </row>
    <row r="214" spans="1:17">
      <c r="A214">
        <v>285</v>
      </c>
      <c r="B214">
        <v>2</v>
      </c>
      <c r="C214">
        <v>20240229</v>
      </c>
      <c r="D214" t="s">
        <v>20</v>
      </c>
      <c r="E214" t="s">
        <v>21</v>
      </c>
      <c r="F214" t="s">
        <v>22</v>
      </c>
      <c r="G214" t="s">
        <v>42</v>
      </c>
      <c r="H214">
        <v>7776</v>
      </c>
      <c r="I214" t="s">
        <v>24</v>
      </c>
      <c r="J214">
        <v>5.72</v>
      </c>
      <c r="K214">
        <v>44478.72</v>
      </c>
      <c r="L214" t="s">
        <v>25</v>
      </c>
      <c r="M214" t="s">
        <v>106</v>
      </c>
      <c r="N214">
        <v>5.606</v>
      </c>
      <c r="O214" t="s">
        <v>27</v>
      </c>
      <c r="Q214">
        <v>1</v>
      </c>
    </row>
    <row r="215" spans="1:17">
      <c r="A215">
        <v>286</v>
      </c>
      <c r="B215">
        <v>2</v>
      </c>
      <c r="C215">
        <v>20240229</v>
      </c>
      <c r="D215" t="s">
        <v>20</v>
      </c>
      <c r="E215" t="s">
        <v>21</v>
      </c>
      <c r="F215" t="s">
        <v>22</v>
      </c>
      <c r="G215" t="s">
        <v>74</v>
      </c>
      <c r="H215">
        <v>108057</v>
      </c>
      <c r="I215" t="s">
        <v>24</v>
      </c>
      <c r="J215">
        <v>4.48</v>
      </c>
      <c r="K215">
        <v>484095.36</v>
      </c>
      <c r="L215" t="s">
        <v>25</v>
      </c>
      <c r="M215" t="s">
        <v>106</v>
      </c>
      <c r="N215">
        <v>3.8012</v>
      </c>
      <c r="O215" t="s">
        <v>27</v>
      </c>
      <c r="Q215">
        <v>6</v>
      </c>
    </row>
    <row r="216" spans="1:17">
      <c r="A216">
        <v>287</v>
      </c>
      <c r="B216">
        <v>2</v>
      </c>
      <c r="C216">
        <v>20240229</v>
      </c>
      <c r="D216" t="s">
        <v>20</v>
      </c>
      <c r="E216" t="s">
        <v>21</v>
      </c>
      <c r="F216" t="s">
        <v>22</v>
      </c>
      <c r="G216" t="s">
        <v>50</v>
      </c>
      <c r="H216">
        <v>649433</v>
      </c>
      <c r="I216" t="s">
        <v>24</v>
      </c>
      <c r="J216">
        <v>5.53</v>
      </c>
      <c r="K216">
        <v>3591364.49</v>
      </c>
      <c r="L216" t="s">
        <v>36</v>
      </c>
      <c r="M216" t="s">
        <v>106</v>
      </c>
      <c r="N216">
        <v>4.8027</v>
      </c>
      <c r="O216" t="s">
        <v>27</v>
      </c>
      <c r="Q216">
        <v>34</v>
      </c>
    </row>
    <row r="217" spans="1:17">
      <c r="A217">
        <v>288</v>
      </c>
      <c r="B217">
        <v>2</v>
      </c>
      <c r="C217">
        <v>20240229</v>
      </c>
      <c r="D217" t="s">
        <v>20</v>
      </c>
      <c r="E217" t="s">
        <v>21</v>
      </c>
      <c r="F217" t="s">
        <v>22</v>
      </c>
      <c r="G217" t="s">
        <v>50</v>
      </c>
      <c r="H217">
        <v>59496</v>
      </c>
      <c r="I217" t="s">
        <v>24</v>
      </c>
      <c r="J217">
        <v>5.53</v>
      </c>
      <c r="K217">
        <v>329012.88</v>
      </c>
      <c r="L217" t="s">
        <v>31</v>
      </c>
      <c r="M217" t="s">
        <v>106</v>
      </c>
      <c r="N217">
        <v>4.627</v>
      </c>
      <c r="O217" t="s">
        <v>27</v>
      </c>
      <c r="Q217">
        <v>5</v>
      </c>
    </row>
    <row r="218" spans="1:17">
      <c r="A218">
        <v>289</v>
      </c>
      <c r="B218">
        <v>2</v>
      </c>
      <c r="C218">
        <v>20240229</v>
      </c>
      <c r="D218" t="s">
        <v>20</v>
      </c>
      <c r="E218" t="s">
        <v>21</v>
      </c>
      <c r="F218" t="s">
        <v>22</v>
      </c>
      <c r="G218" t="s">
        <v>74</v>
      </c>
      <c r="H218">
        <v>11218</v>
      </c>
      <c r="I218" t="s">
        <v>24</v>
      </c>
      <c r="J218">
        <v>5.63</v>
      </c>
      <c r="K218">
        <v>63157.34</v>
      </c>
      <c r="L218" t="s">
        <v>31</v>
      </c>
      <c r="M218" t="s">
        <v>106</v>
      </c>
      <c r="N218">
        <v>5.516</v>
      </c>
      <c r="O218" t="s">
        <v>27</v>
      </c>
      <c r="Q218">
        <v>2</v>
      </c>
    </row>
    <row r="219" spans="1:17">
      <c r="A219">
        <v>290</v>
      </c>
      <c r="B219">
        <v>2</v>
      </c>
      <c r="C219">
        <v>20240229</v>
      </c>
      <c r="D219" t="s">
        <v>28</v>
      </c>
      <c r="E219" t="s">
        <v>21</v>
      </c>
      <c r="F219" t="s">
        <v>22</v>
      </c>
      <c r="G219" t="s">
        <v>37</v>
      </c>
      <c r="H219">
        <v>14728</v>
      </c>
      <c r="I219" t="s">
        <v>24</v>
      </c>
      <c r="J219">
        <v>5.16</v>
      </c>
      <c r="K219">
        <v>75996.48</v>
      </c>
      <c r="L219" t="s">
        <v>25</v>
      </c>
      <c r="M219" t="s">
        <v>107</v>
      </c>
      <c r="N219">
        <v>5.0611</v>
      </c>
      <c r="O219" t="s">
        <v>27</v>
      </c>
      <c r="Q219">
        <v>1</v>
      </c>
    </row>
    <row r="220" spans="1:17">
      <c r="A220">
        <v>291</v>
      </c>
      <c r="B220">
        <v>2</v>
      </c>
      <c r="C220">
        <v>20240229</v>
      </c>
      <c r="D220" t="s">
        <v>28</v>
      </c>
      <c r="E220" t="s">
        <v>21</v>
      </c>
      <c r="F220" t="s">
        <v>22</v>
      </c>
      <c r="G220" t="s">
        <v>37</v>
      </c>
      <c r="H220">
        <v>5195</v>
      </c>
      <c r="I220" t="s">
        <v>24</v>
      </c>
      <c r="J220">
        <v>5.16</v>
      </c>
      <c r="K220">
        <v>26806.2</v>
      </c>
      <c r="L220" t="s">
        <v>25</v>
      </c>
      <c r="M220" t="s">
        <v>107</v>
      </c>
      <c r="N220">
        <v>5.0611</v>
      </c>
      <c r="O220" t="s">
        <v>27</v>
      </c>
      <c r="Q220">
        <v>1</v>
      </c>
    </row>
    <row r="221" spans="1:17">
      <c r="A221">
        <v>292</v>
      </c>
      <c r="B221">
        <v>2</v>
      </c>
      <c r="C221">
        <v>20240229</v>
      </c>
      <c r="D221" t="s">
        <v>28</v>
      </c>
      <c r="E221" t="s">
        <v>21</v>
      </c>
      <c r="F221" t="s">
        <v>22</v>
      </c>
      <c r="G221" t="s">
        <v>37</v>
      </c>
      <c r="H221">
        <v>517</v>
      </c>
      <c r="I221" t="s">
        <v>24</v>
      </c>
      <c r="J221">
        <v>5.16</v>
      </c>
      <c r="K221">
        <v>2667.72</v>
      </c>
      <c r="L221" t="s">
        <v>25</v>
      </c>
      <c r="M221" t="s">
        <v>107</v>
      </c>
      <c r="N221">
        <v>5.0611</v>
      </c>
      <c r="O221" t="s">
        <v>27</v>
      </c>
      <c r="Q221">
        <v>1</v>
      </c>
    </row>
    <row r="222" spans="1:17">
      <c r="A222">
        <v>293</v>
      </c>
      <c r="B222">
        <v>2</v>
      </c>
      <c r="C222">
        <v>20240229</v>
      </c>
      <c r="D222" t="s">
        <v>28</v>
      </c>
      <c r="E222" t="s">
        <v>21</v>
      </c>
      <c r="F222" t="s">
        <v>22</v>
      </c>
      <c r="G222" t="s">
        <v>37</v>
      </c>
      <c r="H222">
        <v>20</v>
      </c>
      <c r="I222" t="s">
        <v>24</v>
      </c>
      <c r="J222">
        <v>5.16</v>
      </c>
      <c r="K222">
        <v>103.2</v>
      </c>
      <c r="L222" t="s">
        <v>25</v>
      </c>
      <c r="M222" t="s">
        <v>107</v>
      </c>
      <c r="N222">
        <v>5.0611</v>
      </c>
      <c r="O222" t="s">
        <v>27</v>
      </c>
      <c r="Q222">
        <v>1</v>
      </c>
    </row>
    <row r="223" spans="1:17">
      <c r="A223">
        <v>294</v>
      </c>
      <c r="B223">
        <v>2</v>
      </c>
      <c r="C223">
        <v>20240229</v>
      </c>
      <c r="D223" t="s">
        <v>28</v>
      </c>
      <c r="E223" t="s">
        <v>21</v>
      </c>
      <c r="F223" t="s">
        <v>22</v>
      </c>
      <c r="G223" t="s">
        <v>30</v>
      </c>
      <c r="H223">
        <v>449</v>
      </c>
      <c r="I223" t="s">
        <v>24</v>
      </c>
      <c r="J223">
        <v>5.16</v>
      </c>
      <c r="K223">
        <v>2316.84</v>
      </c>
      <c r="L223" t="s">
        <v>25</v>
      </c>
      <c r="M223" t="s">
        <v>107</v>
      </c>
      <c r="N223">
        <v>5.0611</v>
      </c>
      <c r="O223" t="s">
        <v>27</v>
      </c>
      <c r="Q223">
        <v>2</v>
      </c>
    </row>
    <row r="224" spans="1:17">
      <c r="A224">
        <v>295</v>
      </c>
      <c r="B224">
        <v>2</v>
      </c>
      <c r="C224">
        <v>20240229</v>
      </c>
      <c r="D224" t="s">
        <v>28</v>
      </c>
      <c r="E224" t="s">
        <v>21</v>
      </c>
      <c r="F224" t="s">
        <v>22</v>
      </c>
      <c r="G224" t="s">
        <v>30</v>
      </c>
      <c r="H224">
        <v>545</v>
      </c>
      <c r="I224" t="s">
        <v>24</v>
      </c>
      <c r="J224">
        <v>5.16</v>
      </c>
      <c r="K224">
        <v>2812.2</v>
      </c>
      <c r="L224" t="s">
        <v>25</v>
      </c>
      <c r="M224" t="s">
        <v>107</v>
      </c>
      <c r="N224">
        <v>5.0611</v>
      </c>
      <c r="O224" t="s">
        <v>27</v>
      </c>
      <c r="Q224">
        <v>1</v>
      </c>
    </row>
    <row r="225" spans="1:17">
      <c r="A225">
        <v>296</v>
      </c>
      <c r="B225">
        <v>2</v>
      </c>
      <c r="C225">
        <v>20240229</v>
      </c>
      <c r="D225" t="s">
        <v>28</v>
      </c>
      <c r="E225" t="s">
        <v>21</v>
      </c>
      <c r="F225" t="s">
        <v>22</v>
      </c>
      <c r="G225" t="s">
        <v>30</v>
      </c>
      <c r="H225">
        <v>2</v>
      </c>
      <c r="I225" t="s">
        <v>24</v>
      </c>
      <c r="J225">
        <v>5.16</v>
      </c>
      <c r="K225">
        <v>10.32</v>
      </c>
      <c r="L225" t="s">
        <v>25</v>
      </c>
      <c r="M225" t="s">
        <v>107</v>
      </c>
      <c r="N225">
        <v>5.0611</v>
      </c>
      <c r="O225" t="s">
        <v>27</v>
      </c>
      <c r="Q225">
        <v>1</v>
      </c>
    </row>
    <row r="226" spans="1:17">
      <c r="A226">
        <v>297</v>
      </c>
      <c r="B226">
        <v>2</v>
      </c>
      <c r="C226">
        <v>20240229</v>
      </c>
      <c r="D226" t="s">
        <v>28</v>
      </c>
      <c r="E226" t="s">
        <v>21</v>
      </c>
      <c r="F226" t="s">
        <v>22</v>
      </c>
      <c r="G226" t="s">
        <v>37</v>
      </c>
      <c r="H226">
        <v>6800</v>
      </c>
      <c r="I226" t="s">
        <v>24</v>
      </c>
      <c r="J226">
        <v>5.16</v>
      </c>
      <c r="K226">
        <v>35088</v>
      </c>
      <c r="L226" t="s">
        <v>36</v>
      </c>
      <c r="M226" t="s">
        <v>107</v>
      </c>
      <c r="N226">
        <v>5.0611</v>
      </c>
      <c r="O226" t="s">
        <v>27</v>
      </c>
      <c r="Q226">
        <v>1</v>
      </c>
    </row>
    <row r="227" spans="1:17">
      <c r="A227">
        <v>298</v>
      </c>
      <c r="B227">
        <v>2</v>
      </c>
      <c r="C227">
        <v>20240229</v>
      </c>
      <c r="D227" t="s">
        <v>28</v>
      </c>
      <c r="E227" t="s">
        <v>21</v>
      </c>
      <c r="F227" t="s">
        <v>22</v>
      </c>
      <c r="G227" t="s">
        <v>30</v>
      </c>
      <c r="H227">
        <v>169</v>
      </c>
      <c r="I227" t="s">
        <v>24</v>
      </c>
      <c r="J227">
        <v>5.16</v>
      </c>
      <c r="K227">
        <v>872.04</v>
      </c>
      <c r="L227" t="s">
        <v>36</v>
      </c>
      <c r="M227" t="s">
        <v>107</v>
      </c>
      <c r="N227">
        <v>5.0611</v>
      </c>
      <c r="O227" t="s">
        <v>27</v>
      </c>
      <c r="Q227">
        <v>1</v>
      </c>
    </row>
    <row r="228" spans="1:17">
      <c r="A228">
        <v>299</v>
      </c>
      <c r="B228">
        <v>2</v>
      </c>
      <c r="C228">
        <v>20240229</v>
      </c>
      <c r="D228" t="s">
        <v>28</v>
      </c>
      <c r="E228" t="s">
        <v>21</v>
      </c>
      <c r="F228" t="s">
        <v>32</v>
      </c>
      <c r="G228" t="s">
        <v>30</v>
      </c>
      <c r="H228">
        <v>105731</v>
      </c>
      <c r="I228" t="s">
        <v>24</v>
      </c>
      <c r="J228">
        <v>4.14</v>
      </c>
      <c r="K228">
        <v>437726.34</v>
      </c>
      <c r="L228" t="s">
        <v>25</v>
      </c>
      <c r="M228" t="s">
        <v>108</v>
      </c>
      <c r="N228">
        <v>4.015</v>
      </c>
      <c r="O228" t="s">
        <v>27</v>
      </c>
      <c r="Q228">
        <v>60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V1888"/>
  <sheetViews>
    <sheetView zoomScale="80" zoomScaleNormal="80" workbookViewId="0">
      <pane ySplit="1" topLeftCell="A2" activePane="bottomLeft" state="frozen"/>
      <selection/>
      <selection pane="bottomLeft" activeCell="F24" sqref="F24"/>
    </sheetView>
  </sheetViews>
  <sheetFormatPr defaultColWidth="9.81818181818182" defaultRowHeight="14"/>
  <cols>
    <col min="1" max="1" width="5.54545454545455" style="61" customWidth="1"/>
    <col min="2" max="2" width="7.90909090909091" style="62" customWidth="1"/>
    <col min="3" max="3" width="14.6363636363636" style="63" customWidth="1"/>
    <col min="4" max="4" width="9.72727272727273" style="63" customWidth="1"/>
    <col min="5" max="5" width="11.8181818181818" style="64" customWidth="1"/>
    <col min="6" max="6" width="14" style="64" customWidth="1"/>
    <col min="7" max="7" width="10.2272727272727" style="62" customWidth="1"/>
    <col min="8" max="8" width="12.9090909090909" style="62" customWidth="1"/>
    <col min="9" max="9" width="10.6363636363636" style="62" customWidth="1"/>
    <col min="10" max="10" width="6.36363636363636" style="62" customWidth="1"/>
    <col min="11" max="11" width="9.72727272727273" style="65" customWidth="1"/>
    <col min="12" max="12" width="13.5818181818182" style="65" customWidth="1"/>
    <col min="13" max="13" width="9.54545454545454" style="62" customWidth="1"/>
    <col min="14" max="14" width="18.5454545454545" style="62" customWidth="1"/>
    <col min="15" max="15" width="13.0727272727273" style="66" customWidth="1"/>
    <col min="16" max="16" width="7.58181818181818" style="62" customWidth="1"/>
    <col min="17" max="17" width="17.8545454545455" style="65" customWidth="1"/>
    <col min="18" max="18" width="12.9090909090909" style="62" customWidth="1"/>
    <col min="19" max="19" width="8.76363636363636" style="62" customWidth="1"/>
    <col min="20" max="20" width="10.5636363636364" style="58" customWidth="1"/>
    <col min="21" max="16384" width="9.81818181818182" style="58"/>
  </cols>
  <sheetData>
    <row r="1" s="56" customFormat="1" ht="36" customHeight="1" spans="1:21">
      <c r="A1" s="68" t="s">
        <v>0</v>
      </c>
      <c r="B1" s="69" t="s">
        <v>1</v>
      </c>
      <c r="C1" s="69" t="s">
        <v>121</v>
      </c>
      <c r="D1" s="69" t="s">
        <v>2</v>
      </c>
      <c r="E1" s="70" t="s">
        <v>3</v>
      </c>
      <c r="F1" s="69" t="s">
        <v>4</v>
      </c>
      <c r="G1" s="69" t="s">
        <v>5</v>
      </c>
      <c r="H1" s="69" t="s">
        <v>6</v>
      </c>
      <c r="I1" s="69" t="s">
        <v>7</v>
      </c>
      <c r="J1" s="71" t="s">
        <v>8</v>
      </c>
      <c r="K1" s="72" t="s">
        <v>9</v>
      </c>
      <c r="L1" s="72" t="s">
        <v>10</v>
      </c>
      <c r="M1" s="19" t="s">
        <v>11</v>
      </c>
      <c r="N1" s="19" t="s">
        <v>12</v>
      </c>
      <c r="O1" s="73" t="s">
        <v>13</v>
      </c>
      <c r="P1" s="74" t="s">
        <v>14</v>
      </c>
      <c r="Q1" s="75" t="s">
        <v>15</v>
      </c>
      <c r="R1" s="76" t="s">
        <v>16</v>
      </c>
      <c r="S1" s="77" t="s">
        <v>17</v>
      </c>
      <c r="T1" s="170" t="s">
        <v>18</v>
      </c>
      <c r="U1" s="74" t="s">
        <v>15</v>
      </c>
    </row>
    <row r="2" s="57" customFormat="1" customHeight="1" spans="1:21">
      <c r="A2" s="61">
        <v>1</v>
      </c>
      <c r="B2" s="62">
        <v>1</v>
      </c>
      <c r="C2" s="79" t="s">
        <v>122</v>
      </c>
      <c r="D2" s="61">
        <v>20260116</v>
      </c>
      <c r="E2" s="64" t="s">
        <v>20</v>
      </c>
      <c r="F2" s="62" t="s">
        <v>21</v>
      </c>
      <c r="G2" s="62" t="s">
        <v>32</v>
      </c>
      <c r="H2" s="62" t="s">
        <v>123</v>
      </c>
      <c r="I2" s="62">
        <v>20244</v>
      </c>
      <c r="J2" s="62" t="s">
        <v>24</v>
      </c>
      <c r="K2" s="80">
        <v>12.95</v>
      </c>
      <c r="L2" s="65">
        <f>I2*K2</f>
        <v>262159.8</v>
      </c>
      <c r="M2" s="62" t="s">
        <v>36</v>
      </c>
      <c r="N2" s="11" t="s">
        <v>124</v>
      </c>
      <c r="O2" s="66">
        <v>12.0707</v>
      </c>
      <c r="P2" s="62" t="s">
        <v>43</v>
      </c>
      <c r="Q2" s="62"/>
      <c r="R2" s="62">
        <v>3</v>
      </c>
      <c r="S2" s="62"/>
      <c r="T2" s="80"/>
    </row>
    <row r="3" s="57" customFormat="1" customHeight="1" spans="1:21">
      <c r="A3" s="61">
        <v>2</v>
      </c>
      <c r="B3" s="62">
        <v>1</v>
      </c>
      <c r="C3" s="79" t="s">
        <v>122</v>
      </c>
      <c r="D3" s="61">
        <v>20260129</v>
      </c>
      <c r="E3" s="64" t="s">
        <v>20</v>
      </c>
      <c r="F3" s="62" t="s">
        <v>21</v>
      </c>
      <c r="G3" s="62" t="s">
        <v>32</v>
      </c>
      <c r="H3" s="62" t="s">
        <v>123</v>
      </c>
      <c r="I3" s="62">
        <v>11692</v>
      </c>
      <c r="J3" s="62" t="s">
        <v>24</v>
      </c>
      <c r="K3" s="80">
        <v>12.95</v>
      </c>
      <c r="L3" s="65">
        <f>I3*K3</f>
        <v>151411.4</v>
      </c>
      <c r="M3" s="62" t="s">
        <v>36</v>
      </c>
      <c r="N3" s="11" t="s">
        <v>125</v>
      </c>
      <c r="O3" s="66">
        <v>12.0707</v>
      </c>
      <c r="P3" s="62" t="s">
        <v>43</v>
      </c>
      <c r="Q3" s="62"/>
      <c r="R3" s="62">
        <v>1</v>
      </c>
      <c r="S3" s="62"/>
      <c r="T3" s="80"/>
    </row>
    <row r="4" s="57" customFormat="1" customHeight="1" spans="1:21">
      <c r="A4" s="61"/>
      <c r="B4" s="62"/>
      <c r="C4" s="79"/>
      <c r="D4" s="61"/>
      <c r="E4" s="64"/>
      <c r="F4" s="62"/>
      <c r="G4" s="62"/>
      <c r="H4" s="62"/>
      <c r="I4" s="62"/>
      <c r="J4" s="62"/>
      <c r="K4" s="80"/>
      <c r="L4" s="65"/>
      <c r="M4" s="62"/>
      <c r="N4" s="11"/>
      <c r="O4" s="66"/>
      <c r="P4" s="62"/>
      <c r="Q4" s="62"/>
      <c r="R4" s="62"/>
      <c r="S4" s="62"/>
    </row>
    <row r="5" s="57" customFormat="1" customHeight="1" spans="1:21">
      <c r="A5" s="61"/>
      <c r="B5" s="62"/>
      <c r="C5" s="79"/>
      <c r="D5" s="61"/>
      <c r="E5" s="64"/>
      <c r="F5" s="62"/>
      <c r="G5" s="62"/>
      <c r="H5" s="62"/>
      <c r="I5" s="62"/>
      <c r="J5" s="62"/>
      <c r="K5" s="80"/>
      <c r="L5" s="65"/>
      <c r="M5" s="62"/>
      <c r="N5" s="11"/>
      <c r="O5" s="66"/>
      <c r="P5" s="62"/>
      <c r="Q5" s="62"/>
      <c r="R5" s="62"/>
      <c r="S5" s="62"/>
    </row>
    <row r="6" s="57" customFormat="1" customHeight="1" spans="1:21">
      <c r="A6" s="61"/>
      <c r="B6" s="62"/>
      <c r="C6" s="79"/>
      <c r="D6" s="61"/>
      <c r="E6" s="64"/>
      <c r="F6" s="62"/>
      <c r="G6" s="62"/>
      <c r="H6" s="62"/>
      <c r="I6" s="62"/>
      <c r="J6" s="62"/>
      <c r="K6" s="80"/>
      <c r="L6" s="65"/>
      <c r="M6" s="62"/>
      <c r="N6" s="11"/>
      <c r="O6" s="83"/>
      <c r="P6" s="62"/>
      <c r="Q6" s="62"/>
      <c r="R6" s="62"/>
      <c r="S6" s="62"/>
    </row>
    <row r="7" s="58" customFormat="1" customHeight="1" spans="1:21">
      <c r="A7" s="61"/>
      <c r="B7" s="62"/>
      <c r="C7" s="79"/>
      <c r="D7" s="61"/>
      <c r="E7" s="64"/>
      <c r="F7" s="62"/>
      <c r="G7" s="62"/>
      <c r="H7" s="62"/>
      <c r="I7" s="62"/>
      <c r="J7" s="62"/>
      <c r="K7" s="80"/>
      <c r="L7" s="65"/>
      <c r="M7" s="62"/>
      <c r="N7" s="11"/>
      <c r="O7" s="83"/>
      <c r="P7" s="62"/>
      <c r="Q7" s="62"/>
      <c r="R7" s="62"/>
      <c r="S7" s="62"/>
    </row>
    <row r="8" s="58" customFormat="1" customHeight="1" spans="1:21">
      <c r="A8" s="61"/>
      <c r="B8" s="62"/>
      <c r="C8" s="79"/>
      <c r="D8" s="61"/>
      <c r="E8" s="64"/>
      <c r="F8" s="62"/>
      <c r="G8" s="62"/>
      <c r="H8" s="62"/>
      <c r="I8" s="62"/>
      <c r="J8" s="62"/>
      <c r="K8" s="80"/>
      <c r="L8" s="65"/>
      <c r="M8" s="62"/>
      <c r="N8" s="11"/>
      <c r="O8" s="83"/>
      <c r="P8" s="62"/>
      <c r="Q8" s="62"/>
      <c r="R8" s="62"/>
      <c r="S8" s="62"/>
    </row>
    <row r="9" s="58" customFormat="1" customHeight="1" spans="1:21">
      <c r="A9" s="61"/>
      <c r="B9" s="62"/>
      <c r="C9" s="79"/>
      <c r="D9" s="61"/>
      <c r="E9" s="64"/>
      <c r="F9" s="62"/>
      <c r="G9" s="62"/>
      <c r="H9" s="62"/>
      <c r="I9" s="62"/>
      <c r="J9" s="62"/>
      <c r="K9" s="80"/>
      <c r="L9" s="65"/>
      <c r="M9" s="62"/>
      <c r="N9" s="11"/>
      <c r="O9" s="83"/>
      <c r="P9" s="62"/>
      <c r="Q9" s="62"/>
      <c r="R9" s="62"/>
      <c r="S9" s="62"/>
    </row>
    <row r="10" s="59" customFormat="1" customHeight="1" spans="1:21">
      <c r="A10" s="61"/>
      <c r="B10" s="62"/>
      <c r="C10" s="79"/>
      <c r="D10" s="61"/>
      <c r="E10" s="64"/>
      <c r="F10" s="62"/>
      <c r="G10" s="62"/>
      <c r="H10" s="62"/>
      <c r="I10" s="62"/>
      <c r="J10" s="62"/>
      <c r="K10" s="80"/>
      <c r="L10" s="65"/>
      <c r="M10" s="62"/>
      <c r="N10" s="11"/>
      <c r="O10" s="66"/>
      <c r="P10" s="62"/>
      <c r="Q10" s="62"/>
      <c r="R10" s="62"/>
      <c r="S10" s="62"/>
      <c r="T10" s="58"/>
    </row>
    <row r="11" s="59" customFormat="1" customHeight="1" spans="1:21">
      <c r="A11" s="61"/>
      <c r="B11" s="62"/>
      <c r="C11" s="79"/>
      <c r="D11" s="61"/>
      <c r="E11" s="64"/>
      <c r="F11" s="62"/>
      <c r="G11" s="62"/>
      <c r="H11" s="62"/>
      <c r="I11" s="62"/>
      <c r="J11" s="62"/>
      <c r="K11" s="80"/>
      <c r="L11" s="65"/>
      <c r="M11" s="62"/>
      <c r="N11" s="11"/>
      <c r="O11" s="66"/>
      <c r="P11" s="62"/>
      <c r="Q11" s="62"/>
      <c r="R11" s="62"/>
      <c r="S11" s="62"/>
      <c r="T11" s="58"/>
    </row>
    <row r="12" s="59" customFormat="1" customHeight="1" spans="1:21">
      <c r="A12" s="61"/>
      <c r="B12" s="62"/>
      <c r="C12" s="79"/>
      <c r="D12" s="61"/>
      <c r="E12" s="64"/>
      <c r="F12" s="62"/>
      <c r="G12" s="62"/>
      <c r="H12" s="62"/>
      <c r="I12" s="62"/>
      <c r="J12" s="62"/>
      <c r="K12" s="80"/>
      <c r="L12" s="65"/>
      <c r="M12" s="62"/>
      <c r="N12" s="11"/>
      <c r="O12" s="66"/>
      <c r="P12" s="62"/>
      <c r="Q12" s="62"/>
      <c r="R12" s="92"/>
      <c r="S12" s="62"/>
      <c r="T12" s="58"/>
    </row>
    <row r="13" s="59" customFormat="1" customHeight="1" spans="1:21">
      <c r="A13" s="61"/>
      <c r="B13" s="62"/>
      <c r="C13" s="79"/>
      <c r="D13" s="61"/>
      <c r="E13" s="64"/>
      <c r="F13" s="62"/>
      <c r="G13" s="62"/>
      <c r="H13" s="62"/>
      <c r="I13" s="62"/>
      <c r="J13" s="62"/>
      <c r="K13" s="80"/>
      <c r="L13" s="65"/>
      <c r="M13" s="62"/>
      <c r="N13" s="11"/>
      <c r="O13" s="66"/>
      <c r="P13" s="62"/>
      <c r="Q13" s="62"/>
      <c r="R13" s="62"/>
      <c r="S13" s="62"/>
      <c r="T13" s="58"/>
    </row>
    <row r="14" s="59" customFormat="1" customHeight="1" spans="1:21">
      <c r="A14" s="61"/>
      <c r="B14" s="62"/>
      <c r="C14" s="79"/>
      <c r="D14" s="61"/>
      <c r="E14" s="64"/>
      <c r="F14" s="62"/>
      <c r="G14" s="62"/>
      <c r="H14" s="62"/>
      <c r="I14" s="62"/>
      <c r="J14" s="62"/>
      <c r="K14" s="80"/>
      <c r="L14" s="65"/>
      <c r="M14" s="62"/>
      <c r="N14" s="11"/>
      <c r="O14" s="66"/>
      <c r="P14" s="62"/>
      <c r="Q14" s="62"/>
      <c r="R14" s="62"/>
      <c r="S14" s="62"/>
      <c r="T14" s="58"/>
    </row>
    <row r="15" s="59" customFormat="1" customHeight="1" spans="1:21">
      <c r="A15" s="61"/>
      <c r="B15" s="62"/>
      <c r="C15" s="79"/>
      <c r="D15" s="61"/>
      <c r="E15" s="64"/>
      <c r="F15" s="62"/>
      <c r="G15" s="62"/>
      <c r="H15" s="62"/>
      <c r="I15" s="62"/>
      <c r="J15" s="62"/>
      <c r="K15" s="80"/>
      <c r="L15" s="65"/>
      <c r="M15" s="62"/>
      <c r="N15" s="11"/>
      <c r="O15" s="66"/>
      <c r="P15" s="62"/>
      <c r="Q15" s="62"/>
      <c r="R15" s="62"/>
      <c r="S15" s="62"/>
      <c r="T15" s="58"/>
    </row>
    <row r="16" s="59" customFormat="1" customHeight="1" spans="1:21">
      <c r="A16" s="61"/>
      <c r="B16" s="62"/>
      <c r="C16" s="79"/>
      <c r="D16" s="61"/>
      <c r="E16" s="64"/>
      <c r="F16" s="62"/>
      <c r="G16" s="62"/>
      <c r="H16" s="62"/>
      <c r="I16" s="62"/>
      <c r="J16" s="62"/>
      <c r="K16" s="80"/>
      <c r="L16" s="65"/>
      <c r="M16" s="62"/>
      <c r="N16" s="11"/>
      <c r="O16" s="66"/>
      <c r="P16" s="62"/>
      <c r="Q16" s="62"/>
      <c r="R16" s="94"/>
      <c r="S16" s="62"/>
      <c r="T16" s="58"/>
    </row>
    <row r="17" s="58" customFormat="1" customHeight="1" spans="1:20">
      <c r="A17" s="61"/>
      <c r="B17" s="62"/>
      <c r="C17" s="79"/>
      <c r="D17" s="61"/>
      <c r="E17" s="64"/>
      <c r="F17" s="62"/>
      <c r="G17" s="62"/>
      <c r="H17" s="62"/>
      <c r="I17" s="62"/>
      <c r="J17" s="62"/>
      <c r="K17" s="80"/>
      <c r="L17" s="65"/>
      <c r="M17" s="62"/>
      <c r="N17" s="11"/>
      <c r="O17" s="66"/>
      <c r="P17" s="62"/>
      <c r="Q17" s="62"/>
      <c r="R17" s="62"/>
      <c r="S17" s="62"/>
    </row>
    <row r="18" s="58" customFormat="1" customHeight="1" spans="1:20">
      <c r="A18" s="61"/>
      <c r="B18" s="62"/>
      <c r="C18" s="79"/>
      <c r="D18" s="61"/>
      <c r="E18" s="64"/>
      <c r="F18" s="62"/>
      <c r="G18" s="62"/>
      <c r="H18" s="62"/>
      <c r="I18" s="62"/>
      <c r="J18" s="62"/>
      <c r="K18" s="80"/>
      <c r="L18" s="65"/>
      <c r="M18" s="62"/>
      <c r="N18" s="11"/>
      <c r="O18" s="66"/>
      <c r="P18" s="62"/>
      <c r="Q18" s="62"/>
      <c r="R18" s="62"/>
      <c r="S18" s="62"/>
    </row>
    <row r="19" s="58" customFormat="1" customHeight="1" spans="1:20">
      <c r="A19" s="61"/>
      <c r="B19" s="62"/>
      <c r="C19" s="79"/>
      <c r="D19" s="61"/>
      <c r="E19" s="64"/>
      <c r="F19" s="62"/>
      <c r="G19" s="62"/>
      <c r="H19" s="62"/>
      <c r="I19" s="62"/>
      <c r="J19" s="62"/>
      <c r="K19" s="80"/>
      <c r="L19" s="65"/>
      <c r="M19" s="62"/>
      <c r="N19" s="11"/>
      <c r="O19" s="66"/>
      <c r="P19" s="62"/>
      <c r="Q19" s="62"/>
      <c r="R19" s="62"/>
      <c r="S19" s="62"/>
    </row>
    <row r="20" s="58" customFormat="1" customHeight="1" spans="1:20">
      <c r="A20" s="61"/>
      <c r="B20" s="62"/>
      <c r="C20" s="79"/>
      <c r="D20" s="61"/>
      <c r="E20" s="64"/>
      <c r="F20" s="62"/>
      <c r="G20" s="62"/>
      <c r="H20" s="62"/>
      <c r="I20" s="62"/>
      <c r="J20" s="62"/>
      <c r="K20" s="80"/>
      <c r="L20" s="65"/>
      <c r="M20" s="62"/>
      <c r="N20" s="11"/>
      <c r="O20" s="66"/>
      <c r="P20" s="62"/>
      <c r="Q20" s="62"/>
      <c r="R20" s="62"/>
      <c r="S20" s="62"/>
    </row>
    <row r="21" s="58" customFormat="1" customHeight="1" spans="1:20">
      <c r="A21" s="61"/>
      <c r="B21" s="62"/>
      <c r="C21" s="79"/>
      <c r="D21" s="61"/>
      <c r="E21" s="64"/>
      <c r="F21" s="62"/>
      <c r="G21" s="62"/>
      <c r="H21" s="62"/>
      <c r="I21" s="62"/>
      <c r="J21" s="62"/>
      <c r="K21" s="80"/>
      <c r="L21" s="65"/>
      <c r="M21" s="62"/>
      <c r="N21" s="11"/>
      <c r="O21" s="66"/>
      <c r="P21" s="62"/>
      <c r="Q21" s="62"/>
      <c r="R21" s="92"/>
      <c r="S21" s="62"/>
    </row>
    <row r="22" s="58" customFormat="1" customHeight="1" spans="1:20">
      <c r="A22" s="61"/>
      <c r="B22" s="62"/>
      <c r="C22" s="79"/>
      <c r="D22" s="61"/>
      <c r="E22" s="64"/>
      <c r="F22" s="62"/>
      <c r="G22" s="62"/>
      <c r="H22" s="62"/>
      <c r="I22" s="62"/>
      <c r="J22" s="62"/>
      <c r="K22" s="80"/>
      <c r="L22" s="65"/>
      <c r="M22" s="62"/>
      <c r="N22" s="11"/>
      <c r="O22" s="66"/>
      <c r="P22" s="62"/>
      <c r="Q22" s="62"/>
      <c r="R22" s="62"/>
      <c r="S22" s="62"/>
    </row>
    <row r="23" s="58" customFormat="1" customHeight="1" spans="1:20">
      <c r="A23" s="61"/>
      <c r="B23" s="62"/>
      <c r="C23" s="79"/>
      <c r="D23" s="61"/>
      <c r="E23" s="64"/>
      <c r="F23" s="62"/>
      <c r="G23" s="62"/>
      <c r="H23" s="62"/>
      <c r="I23" s="62"/>
      <c r="J23" s="62"/>
      <c r="K23" s="80"/>
      <c r="L23" s="65"/>
      <c r="M23" s="62"/>
      <c r="N23" s="11"/>
      <c r="O23" s="66"/>
      <c r="P23" s="62"/>
      <c r="Q23" s="62"/>
      <c r="R23" s="62"/>
      <c r="S23" s="62"/>
    </row>
    <row r="24" s="58" customFormat="1" customHeight="1" spans="1:20">
      <c r="A24" s="61"/>
      <c r="B24" s="62"/>
      <c r="C24" s="79"/>
      <c r="D24" s="61"/>
      <c r="E24" s="64"/>
      <c r="F24" s="62"/>
      <c r="G24" s="62"/>
      <c r="H24" s="62"/>
      <c r="I24" s="62"/>
      <c r="J24" s="62"/>
      <c r="K24" s="80"/>
      <c r="L24" s="65"/>
      <c r="M24" s="62"/>
      <c r="N24" s="11"/>
      <c r="O24" s="66"/>
      <c r="P24" s="62"/>
      <c r="Q24" s="62"/>
      <c r="R24" s="62"/>
      <c r="S24" s="62"/>
    </row>
    <row r="25" s="58" customFormat="1" customHeight="1" spans="1:20">
      <c r="A25" s="61"/>
      <c r="B25" s="62"/>
      <c r="C25" s="79"/>
      <c r="D25" s="61"/>
      <c r="E25" s="64"/>
      <c r="F25" s="62"/>
      <c r="G25" s="62"/>
      <c r="H25" s="62"/>
      <c r="I25" s="62"/>
      <c r="J25" s="62"/>
      <c r="K25" s="80"/>
      <c r="L25" s="65"/>
      <c r="M25" s="62"/>
      <c r="N25" s="11"/>
      <c r="O25" s="66"/>
      <c r="P25" s="62"/>
      <c r="Q25" s="62"/>
      <c r="R25" s="62"/>
      <c r="S25" s="62"/>
    </row>
    <row r="26" s="58" customFormat="1" spans="1:20">
      <c r="A26" s="61"/>
      <c r="B26" s="62"/>
      <c r="C26" s="79"/>
      <c r="D26" s="61"/>
      <c r="E26" s="64"/>
      <c r="F26" s="62"/>
      <c r="G26" s="62"/>
      <c r="H26" s="62"/>
      <c r="I26" s="62"/>
      <c r="J26" s="62"/>
      <c r="K26" s="65"/>
      <c r="L26" s="65"/>
      <c r="M26" s="62"/>
      <c r="N26" s="11"/>
      <c r="O26" s="66"/>
      <c r="P26" s="62"/>
      <c r="Q26" s="62"/>
      <c r="R26" s="62"/>
      <c r="S26" s="62"/>
      <c r="T26" s="67"/>
    </row>
    <row r="27" s="58" customFormat="1" spans="1:20">
      <c r="A27" s="61"/>
      <c r="B27" s="62"/>
      <c r="C27" s="79"/>
      <c r="D27" s="61"/>
      <c r="E27" s="64"/>
      <c r="F27" s="62"/>
      <c r="G27" s="62"/>
      <c r="H27" s="62"/>
      <c r="I27" s="62"/>
      <c r="J27" s="62"/>
      <c r="K27" s="65"/>
      <c r="L27" s="65"/>
      <c r="M27" s="62"/>
      <c r="N27" s="11"/>
      <c r="O27" s="66"/>
      <c r="P27" s="62"/>
      <c r="Q27" s="62"/>
      <c r="R27" s="62"/>
      <c r="S27" s="62"/>
      <c r="T27" s="67"/>
    </row>
    <row r="28" s="58" customFormat="1" spans="1:20">
      <c r="A28" s="61"/>
      <c r="B28" s="62"/>
      <c r="C28" s="79"/>
      <c r="D28" s="61"/>
      <c r="E28" s="64"/>
      <c r="F28" s="62"/>
      <c r="G28" s="62"/>
      <c r="H28" s="62"/>
      <c r="I28" s="62"/>
      <c r="J28" s="62"/>
      <c r="K28" s="65"/>
      <c r="L28" s="65"/>
      <c r="M28" s="62"/>
      <c r="N28" s="11"/>
      <c r="O28" s="66"/>
      <c r="P28" s="62"/>
      <c r="Q28" s="62"/>
      <c r="R28" s="62"/>
      <c r="S28" s="62"/>
      <c r="T28" s="67"/>
    </row>
    <row r="29" s="58" customFormat="1" spans="1:20">
      <c r="A29" s="61"/>
      <c r="B29" s="62"/>
      <c r="C29" s="79"/>
      <c r="D29" s="61"/>
      <c r="E29" s="64"/>
      <c r="F29" s="62"/>
      <c r="G29" s="62"/>
      <c r="H29" s="62"/>
      <c r="I29" s="62"/>
      <c r="J29" s="62"/>
      <c r="K29" s="65"/>
      <c r="L29" s="65"/>
      <c r="M29" s="62"/>
      <c r="N29" s="11"/>
      <c r="O29" s="66"/>
      <c r="P29" s="62"/>
      <c r="Q29" s="62"/>
      <c r="R29" s="62"/>
      <c r="S29" s="62"/>
      <c r="T29" s="67"/>
    </row>
    <row r="30" s="58" customFormat="1" customHeight="1" spans="1:20">
      <c r="A30" s="61"/>
      <c r="B30" s="62"/>
      <c r="C30" s="79"/>
      <c r="D30" s="61"/>
      <c r="E30" s="64"/>
      <c r="F30" s="62"/>
      <c r="G30" s="62"/>
      <c r="H30" s="62"/>
      <c r="I30" s="87"/>
      <c r="J30" s="62"/>
      <c r="K30" s="65"/>
      <c r="L30" s="65"/>
      <c r="M30" s="62"/>
      <c r="N30" s="11"/>
      <c r="O30" s="66"/>
      <c r="P30" s="62"/>
      <c r="Q30" s="62"/>
      <c r="R30" s="62"/>
      <c r="S30" s="62"/>
    </row>
    <row r="31" s="58" customFormat="1" customHeight="1" spans="1:20">
      <c r="A31" s="61"/>
      <c r="B31" s="62"/>
      <c r="C31" s="79"/>
      <c r="D31" s="61"/>
      <c r="E31" s="64"/>
      <c r="F31" s="62"/>
      <c r="G31" s="62"/>
      <c r="H31" s="62"/>
      <c r="I31" s="87"/>
      <c r="J31" s="62"/>
      <c r="K31" s="65"/>
      <c r="L31" s="65"/>
      <c r="M31" s="62"/>
      <c r="N31" s="11"/>
      <c r="O31" s="66"/>
      <c r="P31" s="62"/>
      <c r="Q31" s="62"/>
      <c r="R31" s="62"/>
      <c r="S31" s="62"/>
    </row>
    <row r="32" s="58" customFormat="1" customHeight="1" spans="1:20">
      <c r="A32" s="61"/>
      <c r="B32" s="62"/>
      <c r="C32" s="79"/>
      <c r="D32" s="61"/>
      <c r="E32" s="64"/>
      <c r="F32" s="62"/>
      <c r="G32" s="62"/>
      <c r="H32" s="62"/>
      <c r="I32" s="87"/>
      <c r="J32" s="62"/>
      <c r="K32" s="65"/>
      <c r="L32" s="65"/>
      <c r="M32" s="62"/>
      <c r="N32" s="11"/>
      <c r="O32" s="66"/>
      <c r="P32" s="62"/>
      <c r="Q32" s="62"/>
      <c r="R32" s="62"/>
      <c r="S32" s="62"/>
    </row>
    <row r="33" s="58" customFormat="1" customHeight="1" spans="1:19">
      <c r="A33" s="61"/>
      <c r="B33" s="62"/>
      <c r="C33" s="79"/>
      <c r="D33" s="61"/>
      <c r="E33" s="64"/>
      <c r="F33" s="62"/>
      <c r="G33" s="62"/>
      <c r="H33" s="62"/>
      <c r="I33" s="87"/>
      <c r="J33" s="62"/>
      <c r="K33" s="65"/>
      <c r="L33" s="65"/>
      <c r="M33" s="62"/>
      <c r="N33" s="11"/>
      <c r="O33" s="66"/>
      <c r="P33" s="62"/>
      <c r="Q33" s="62"/>
      <c r="R33" s="62"/>
      <c r="S33" s="62"/>
    </row>
    <row r="34" s="58" customFormat="1" customHeight="1" spans="1:19">
      <c r="A34" s="61"/>
      <c r="B34" s="62"/>
      <c r="C34" s="79"/>
      <c r="D34" s="61"/>
      <c r="E34" s="64"/>
      <c r="F34" s="62"/>
      <c r="G34" s="62"/>
      <c r="H34" s="88"/>
      <c r="I34" s="87"/>
      <c r="J34" s="62"/>
      <c r="K34" s="65"/>
      <c r="L34" s="65"/>
      <c r="M34" s="62"/>
      <c r="N34" s="11"/>
      <c r="O34" s="86"/>
      <c r="P34" s="62"/>
      <c r="Q34" s="62"/>
      <c r="R34" s="62"/>
      <c r="S34" s="62"/>
    </row>
    <row r="35" s="58" customFormat="1" customHeight="1" spans="1:19">
      <c r="A35" s="61"/>
      <c r="B35" s="62"/>
      <c r="C35" s="79"/>
      <c r="D35" s="61"/>
      <c r="E35" s="64"/>
      <c r="F35" s="62"/>
      <c r="G35" s="62"/>
      <c r="H35" s="62"/>
      <c r="I35" s="62"/>
      <c r="J35" s="62"/>
      <c r="K35" s="65"/>
      <c r="L35" s="65"/>
      <c r="M35" s="62"/>
      <c r="N35" s="11"/>
      <c r="O35" s="89"/>
      <c r="P35" s="62"/>
      <c r="Q35" s="62"/>
      <c r="R35" s="62"/>
      <c r="S35" s="62"/>
    </row>
    <row r="36" s="58" customFormat="1" customHeight="1" spans="1:19">
      <c r="A36" s="61"/>
      <c r="B36" s="62"/>
      <c r="C36" s="79"/>
      <c r="D36" s="61"/>
      <c r="E36" s="64"/>
      <c r="F36" s="62"/>
      <c r="G36" s="62"/>
      <c r="H36" s="62"/>
      <c r="I36" s="62"/>
      <c r="J36" s="62"/>
      <c r="K36" s="65"/>
      <c r="L36" s="65"/>
      <c r="M36" s="62"/>
      <c r="N36" s="11"/>
      <c r="O36" s="89"/>
      <c r="P36" s="62"/>
      <c r="Q36" s="62"/>
      <c r="R36" s="62"/>
      <c r="S36" s="62"/>
    </row>
    <row r="37" s="58" customFormat="1" customHeight="1" spans="1:19">
      <c r="A37" s="61"/>
      <c r="B37" s="62"/>
      <c r="C37" s="79"/>
      <c r="D37" s="61"/>
      <c r="E37" s="64"/>
      <c r="F37" s="62"/>
      <c r="G37" s="62"/>
      <c r="H37" s="62"/>
      <c r="I37" s="62"/>
      <c r="J37" s="62"/>
      <c r="K37" s="65"/>
      <c r="L37" s="65"/>
      <c r="M37" s="62"/>
      <c r="N37" s="11"/>
      <c r="O37" s="89"/>
      <c r="P37" s="62"/>
      <c r="Q37" s="62"/>
      <c r="R37" s="62"/>
      <c r="S37" s="62"/>
    </row>
    <row r="38" s="58" customFormat="1" customHeight="1" spans="1:19">
      <c r="A38" s="61"/>
      <c r="B38" s="62"/>
      <c r="C38" s="79"/>
      <c r="D38" s="61"/>
      <c r="E38" s="64"/>
      <c r="F38" s="62"/>
      <c r="G38" s="62"/>
      <c r="H38" s="62"/>
      <c r="I38" s="62"/>
      <c r="J38" s="62"/>
      <c r="K38" s="65"/>
      <c r="L38" s="65"/>
      <c r="M38" s="62"/>
      <c r="N38" s="11"/>
      <c r="O38" s="89"/>
      <c r="P38" s="62"/>
      <c r="Q38" s="62"/>
      <c r="R38" s="62"/>
      <c r="S38" s="62"/>
    </row>
    <row r="39" s="58" customFormat="1" customHeight="1" spans="1:19">
      <c r="A39" s="61"/>
      <c r="B39" s="62"/>
      <c r="C39" s="79"/>
      <c r="D39" s="61"/>
      <c r="E39" s="64"/>
      <c r="F39" s="62"/>
      <c r="G39" s="62"/>
      <c r="H39" s="62"/>
      <c r="I39" s="62"/>
      <c r="J39" s="62"/>
      <c r="K39" s="65"/>
      <c r="L39" s="65"/>
      <c r="M39" s="62"/>
      <c r="N39" s="11"/>
      <c r="O39" s="66"/>
      <c r="P39" s="62"/>
      <c r="Q39" s="62"/>
      <c r="R39" s="62"/>
      <c r="S39" s="62"/>
    </row>
    <row r="40" s="58" customFormat="1" customHeight="1" spans="1:19">
      <c r="A40" s="61"/>
      <c r="B40" s="62"/>
      <c r="C40" s="79"/>
      <c r="D40" s="61"/>
      <c r="E40" s="64"/>
      <c r="F40" s="62"/>
      <c r="G40" s="62"/>
      <c r="H40" s="62"/>
      <c r="I40" s="62"/>
      <c r="J40" s="62"/>
      <c r="K40" s="65"/>
      <c r="L40" s="65"/>
      <c r="M40" s="62"/>
      <c r="N40" s="11"/>
      <c r="O40" s="66"/>
      <c r="P40" s="62"/>
      <c r="Q40" s="62"/>
      <c r="R40" s="62"/>
      <c r="S40" s="62"/>
    </row>
    <row r="41" s="58" customFormat="1" customHeight="1" spans="1:19">
      <c r="A41" s="61"/>
      <c r="B41" s="62"/>
      <c r="C41" s="79"/>
      <c r="D41" s="61"/>
      <c r="E41" s="64"/>
      <c r="F41" s="62"/>
      <c r="G41" s="62"/>
      <c r="H41" s="62"/>
      <c r="I41" s="62"/>
      <c r="J41" s="62"/>
      <c r="K41" s="65"/>
      <c r="L41" s="65"/>
      <c r="M41" s="62"/>
      <c r="N41" s="11"/>
      <c r="O41" s="66"/>
      <c r="P41" s="62"/>
      <c r="Q41" s="62"/>
      <c r="R41" s="62"/>
      <c r="S41" s="62"/>
    </row>
    <row r="42" s="58" customFormat="1" customHeight="1" spans="1:19">
      <c r="A42" s="61"/>
      <c r="B42" s="62"/>
      <c r="C42" s="79"/>
      <c r="D42" s="61"/>
      <c r="E42" s="64"/>
      <c r="F42" s="62"/>
      <c r="G42" s="62"/>
      <c r="H42" s="62"/>
      <c r="I42" s="62"/>
      <c r="J42" s="62"/>
      <c r="K42" s="65"/>
      <c r="L42" s="65"/>
      <c r="M42" s="62"/>
      <c r="N42" s="11"/>
      <c r="O42" s="66"/>
      <c r="P42" s="62"/>
      <c r="Q42" s="62"/>
      <c r="R42" s="62"/>
      <c r="S42" s="62"/>
    </row>
    <row r="43" s="58" customFormat="1" customHeight="1" spans="1:19">
      <c r="A43" s="61"/>
      <c r="B43" s="62"/>
      <c r="C43" s="79"/>
      <c r="D43" s="61"/>
      <c r="E43" s="64"/>
      <c r="F43" s="62"/>
      <c r="G43" s="62"/>
      <c r="H43" s="62"/>
      <c r="I43" s="90"/>
      <c r="J43" s="62"/>
      <c r="K43" s="65"/>
      <c r="L43" s="65"/>
      <c r="M43" s="62"/>
      <c r="N43" s="11"/>
      <c r="O43" s="66"/>
      <c r="P43" s="62"/>
      <c r="Q43" s="62"/>
      <c r="R43" s="92"/>
      <c r="S43" s="62"/>
    </row>
    <row r="44" s="58" customFormat="1" customHeight="1" spans="1:19">
      <c r="A44" s="61"/>
      <c r="B44" s="62"/>
      <c r="C44" s="79"/>
      <c r="D44" s="61"/>
      <c r="E44" s="64"/>
      <c r="F44" s="62"/>
      <c r="G44" s="62"/>
      <c r="H44" s="62"/>
      <c r="I44" s="90"/>
      <c r="J44" s="62"/>
      <c r="K44" s="65"/>
      <c r="L44" s="65"/>
      <c r="M44" s="62"/>
      <c r="N44" s="11"/>
      <c r="O44" s="66"/>
      <c r="P44" s="62"/>
      <c r="Q44" s="62"/>
      <c r="R44" s="62"/>
      <c r="S44" s="62"/>
    </row>
    <row r="45" s="58" customFormat="1" spans="1:19">
      <c r="A45" s="61"/>
      <c r="B45" s="62"/>
      <c r="C45" s="79"/>
      <c r="D45" s="61"/>
      <c r="E45" s="64"/>
      <c r="F45" s="62"/>
      <c r="G45" s="62"/>
      <c r="H45" s="62"/>
      <c r="I45" s="62"/>
      <c r="J45" s="62"/>
      <c r="K45" s="65"/>
      <c r="L45" s="65"/>
      <c r="M45" s="62"/>
      <c r="N45" s="11"/>
      <c r="O45" s="66"/>
      <c r="P45" s="62"/>
      <c r="Q45" s="62"/>
      <c r="R45" s="62"/>
      <c r="S45" s="62"/>
    </row>
    <row r="46" s="58" customFormat="1" spans="1:19">
      <c r="A46" s="61"/>
      <c r="B46" s="62"/>
      <c r="C46" s="79"/>
      <c r="D46" s="61"/>
      <c r="E46" s="64"/>
      <c r="F46" s="62"/>
      <c r="G46" s="62"/>
      <c r="H46" s="62"/>
      <c r="I46" s="62"/>
      <c r="J46" s="62"/>
      <c r="K46" s="65"/>
      <c r="L46" s="65"/>
      <c r="M46" s="62"/>
      <c r="N46" s="11"/>
      <c r="O46" s="66"/>
      <c r="P46" s="62"/>
      <c r="Q46" s="62"/>
      <c r="R46" s="62"/>
      <c r="S46" s="62"/>
    </row>
    <row r="47" s="58" customFormat="1" customHeight="1" spans="1:19">
      <c r="A47" s="61"/>
      <c r="B47" s="62"/>
      <c r="C47" s="79"/>
      <c r="D47" s="61"/>
      <c r="E47" s="64"/>
      <c r="F47" s="62"/>
      <c r="G47" s="62"/>
      <c r="H47" s="62"/>
      <c r="I47" s="62"/>
      <c r="J47" s="62"/>
      <c r="K47" s="65"/>
      <c r="L47" s="65"/>
      <c r="M47" s="62"/>
      <c r="N47" s="11"/>
      <c r="O47" s="66"/>
      <c r="P47" s="62"/>
      <c r="Q47" s="62"/>
      <c r="R47" s="62"/>
      <c r="S47" s="62"/>
    </row>
    <row r="48" s="58" customFormat="1" customHeight="1" spans="1:19">
      <c r="A48" s="61"/>
      <c r="B48" s="62"/>
      <c r="C48" s="79"/>
      <c r="D48" s="61"/>
      <c r="E48" s="64"/>
      <c r="F48" s="62"/>
      <c r="G48" s="62"/>
      <c r="H48" s="62"/>
      <c r="I48" s="62"/>
      <c r="J48" s="62"/>
      <c r="K48" s="65"/>
      <c r="L48" s="65"/>
      <c r="M48" s="62"/>
      <c r="N48" s="11"/>
      <c r="O48" s="66"/>
      <c r="P48" s="62"/>
      <c r="Q48" s="62"/>
      <c r="R48" s="62"/>
      <c r="S48" s="62"/>
    </row>
    <row r="49" s="58" customFormat="1" customHeight="1" spans="1:19">
      <c r="A49" s="61"/>
      <c r="B49" s="62"/>
      <c r="C49" s="79"/>
      <c r="D49" s="61"/>
      <c r="E49" s="64"/>
      <c r="F49" s="62"/>
      <c r="G49" s="62"/>
      <c r="H49" s="62"/>
      <c r="I49" s="62"/>
      <c r="J49" s="62"/>
      <c r="K49" s="65"/>
      <c r="L49" s="65"/>
      <c r="M49" s="62"/>
      <c r="N49" s="11"/>
      <c r="O49" s="66"/>
      <c r="P49" s="62"/>
      <c r="Q49" s="62"/>
      <c r="R49" s="62"/>
      <c r="S49" s="62"/>
    </row>
    <row r="50" s="58" customFormat="1" customHeight="1" spans="1:19">
      <c r="A50" s="61"/>
      <c r="B50" s="62"/>
      <c r="C50" s="79"/>
      <c r="D50" s="61"/>
      <c r="E50" s="64"/>
      <c r="F50" s="62"/>
      <c r="G50" s="62"/>
      <c r="H50" s="62"/>
      <c r="I50" s="62"/>
      <c r="J50" s="62"/>
      <c r="K50" s="65"/>
      <c r="L50" s="65"/>
      <c r="M50" s="62"/>
      <c r="N50" s="11"/>
      <c r="O50" s="66"/>
      <c r="P50" s="62"/>
      <c r="Q50" s="62"/>
      <c r="R50" s="62"/>
      <c r="S50" s="62"/>
    </row>
    <row r="51" s="58" customFormat="1" customHeight="1" spans="1:19">
      <c r="A51" s="61"/>
      <c r="B51" s="62"/>
      <c r="C51" s="79"/>
      <c r="D51" s="61"/>
      <c r="E51" s="64"/>
      <c r="F51" s="62"/>
      <c r="G51" s="62"/>
      <c r="H51" s="62"/>
      <c r="I51" s="62"/>
      <c r="J51" s="62"/>
      <c r="K51" s="65"/>
      <c r="L51" s="65"/>
      <c r="M51" s="62"/>
      <c r="N51" s="11"/>
      <c r="O51" s="66"/>
      <c r="P51" s="62"/>
      <c r="Q51" s="62"/>
      <c r="R51" s="62"/>
      <c r="S51" s="62"/>
    </row>
    <row r="52" s="58" customFormat="1" customHeight="1" spans="1:19">
      <c r="A52" s="61"/>
      <c r="B52" s="62"/>
      <c r="C52" s="79"/>
      <c r="D52" s="61"/>
      <c r="E52" s="64"/>
      <c r="F52" s="62"/>
      <c r="G52" s="62"/>
      <c r="H52" s="62"/>
      <c r="I52" s="62"/>
      <c r="J52" s="62"/>
      <c r="K52" s="65"/>
      <c r="L52" s="65"/>
      <c r="M52" s="62"/>
      <c r="N52" s="11"/>
      <c r="O52" s="66"/>
      <c r="P52" s="62"/>
      <c r="Q52" s="62"/>
      <c r="R52" s="92"/>
      <c r="S52" s="62"/>
    </row>
    <row r="53" s="58" customFormat="1" customHeight="1" spans="1:19">
      <c r="A53" s="61"/>
      <c r="B53" s="62"/>
      <c r="C53" s="79"/>
      <c r="D53" s="61"/>
      <c r="E53" s="64"/>
      <c r="F53" s="62"/>
      <c r="G53" s="62"/>
      <c r="H53" s="62"/>
      <c r="I53" s="62"/>
      <c r="J53" s="62"/>
      <c r="K53" s="65"/>
      <c r="L53" s="65"/>
      <c r="M53" s="62"/>
      <c r="N53" s="11"/>
      <c r="O53" s="66"/>
      <c r="P53" s="62"/>
      <c r="Q53" s="62"/>
      <c r="R53" s="62"/>
      <c r="S53" s="62"/>
    </row>
    <row r="54" s="58" customFormat="1" customHeight="1" spans="1:19">
      <c r="A54" s="61"/>
      <c r="B54" s="62"/>
      <c r="C54" s="79"/>
      <c r="D54" s="61"/>
      <c r="E54" s="64"/>
      <c r="F54" s="62"/>
      <c r="G54" s="62"/>
      <c r="H54" s="62"/>
      <c r="I54" s="62"/>
      <c r="J54" s="62"/>
      <c r="K54" s="65"/>
      <c r="L54" s="65"/>
      <c r="M54" s="62"/>
      <c r="N54" s="11"/>
      <c r="O54" s="66"/>
      <c r="P54" s="62"/>
      <c r="Q54" s="62"/>
      <c r="R54" s="62"/>
      <c r="S54" s="62"/>
    </row>
    <row r="55" s="58" customFormat="1" customHeight="1" spans="1:19">
      <c r="A55" s="61"/>
      <c r="B55" s="62"/>
      <c r="C55" s="79"/>
      <c r="D55" s="61"/>
      <c r="E55" s="64"/>
      <c r="F55" s="62"/>
      <c r="G55" s="62"/>
      <c r="H55" s="62"/>
      <c r="I55" s="62"/>
      <c r="J55" s="62"/>
      <c r="K55" s="65"/>
      <c r="L55" s="65"/>
      <c r="M55" s="62"/>
      <c r="N55" s="11"/>
      <c r="O55" s="66"/>
      <c r="P55" s="62"/>
      <c r="Q55" s="62"/>
      <c r="R55" s="92"/>
      <c r="S55" s="62"/>
    </row>
    <row r="56" s="58" customFormat="1" customHeight="1" spans="1:19">
      <c r="A56" s="61"/>
      <c r="B56" s="62"/>
      <c r="C56" s="79"/>
      <c r="D56" s="61"/>
      <c r="E56" s="64"/>
      <c r="F56" s="62"/>
      <c r="G56" s="62"/>
      <c r="H56" s="62"/>
      <c r="I56" s="62"/>
      <c r="J56" s="62"/>
      <c r="K56" s="65"/>
      <c r="L56" s="65"/>
      <c r="M56" s="62"/>
      <c r="N56" s="11"/>
      <c r="O56" s="66"/>
      <c r="P56" s="62"/>
      <c r="Q56" s="62"/>
      <c r="R56" s="62"/>
      <c r="S56" s="62"/>
    </row>
    <row r="57" s="58" customFormat="1" customHeight="1" spans="1:19">
      <c r="A57" s="61"/>
      <c r="B57" s="62"/>
      <c r="C57" s="79"/>
      <c r="D57" s="61"/>
      <c r="E57" s="64"/>
      <c r="F57" s="62"/>
      <c r="G57" s="62"/>
      <c r="H57" s="62"/>
      <c r="I57" s="62"/>
      <c r="J57" s="62"/>
      <c r="K57" s="65"/>
      <c r="L57" s="65"/>
      <c r="M57" s="62"/>
      <c r="N57" s="11"/>
      <c r="O57" s="66"/>
      <c r="P57" s="62"/>
      <c r="Q57" s="62"/>
      <c r="R57" s="62"/>
      <c r="S57" s="62"/>
    </row>
    <row r="58" s="58" customFormat="1" customHeight="1" spans="1:19">
      <c r="A58" s="61"/>
      <c r="B58" s="62"/>
      <c r="C58" s="61"/>
      <c r="D58" s="61"/>
      <c r="E58" s="64"/>
      <c r="F58" s="62"/>
      <c r="G58" s="62"/>
      <c r="H58" s="62"/>
      <c r="I58" s="62"/>
      <c r="J58" s="62"/>
      <c r="K58" s="65"/>
      <c r="L58" s="65"/>
      <c r="M58" s="62"/>
      <c r="N58" s="11"/>
      <c r="O58" s="66"/>
      <c r="P58" s="62"/>
      <c r="Q58" s="62"/>
      <c r="R58" s="62"/>
      <c r="S58" s="62"/>
    </row>
    <row r="59" s="58" customFormat="1" customHeight="1" spans="1:19">
      <c r="A59" s="61"/>
      <c r="B59" s="62"/>
      <c r="C59" s="61"/>
      <c r="D59" s="61"/>
      <c r="E59" s="64"/>
      <c r="F59" s="62"/>
      <c r="G59" s="62"/>
      <c r="H59" s="62"/>
      <c r="I59" s="62"/>
      <c r="J59" s="62"/>
      <c r="K59" s="65"/>
      <c r="L59" s="65"/>
      <c r="M59" s="62"/>
      <c r="N59" s="11"/>
      <c r="O59" s="66"/>
      <c r="P59" s="62"/>
      <c r="Q59" s="62"/>
      <c r="R59" s="62"/>
      <c r="S59" s="62"/>
    </row>
    <row r="60" s="58" customFormat="1" customHeight="1" spans="1:19">
      <c r="A60" s="61"/>
      <c r="B60" s="62"/>
      <c r="C60" s="61"/>
      <c r="D60" s="61"/>
      <c r="E60" s="64"/>
      <c r="F60" s="62"/>
      <c r="G60" s="62"/>
      <c r="H60" s="62"/>
      <c r="I60" s="62"/>
      <c r="J60" s="62"/>
      <c r="K60" s="65"/>
      <c r="L60" s="65"/>
      <c r="M60" s="62"/>
      <c r="N60" s="11"/>
      <c r="O60" s="66"/>
      <c r="P60" s="62"/>
      <c r="Q60" s="62"/>
      <c r="R60" s="62"/>
      <c r="S60" s="62"/>
    </row>
    <row r="61" s="58" customFormat="1" customHeight="1" spans="1:19">
      <c r="A61" s="61"/>
      <c r="B61" s="62"/>
      <c r="C61" s="61"/>
      <c r="D61" s="61"/>
      <c r="E61" s="64"/>
      <c r="F61" s="62"/>
      <c r="G61" s="62"/>
      <c r="H61" s="62"/>
      <c r="I61" s="62"/>
      <c r="J61" s="62"/>
      <c r="K61" s="65"/>
      <c r="L61" s="65"/>
      <c r="M61" s="62"/>
      <c r="N61" s="11"/>
      <c r="O61" s="66"/>
      <c r="P61" s="62"/>
      <c r="Q61" s="62"/>
      <c r="R61" s="62"/>
      <c r="S61" s="62"/>
    </row>
    <row r="62" s="58" customFormat="1" customHeight="1" spans="1:19">
      <c r="A62" s="61"/>
      <c r="B62" s="62"/>
      <c r="C62" s="61"/>
      <c r="D62" s="61"/>
      <c r="E62" s="64"/>
      <c r="F62" s="62"/>
      <c r="G62" s="62"/>
      <c r="H62" s="62"/>
      <c r="I62" s="62"/>
      <c r="J62" s="62"/>
      <c r="K62" s="65"/>
      <c r="L62" s="65"/>
      <c r="M62" s="62"/>
      <c r="N62" s="11"/>
      <c r="O62" s="66"/>
      <c r="P62" s="62"/>
      <c r="Q62" s="62"/>
      <c r="R62" s="62"/>
      <c r="S62" s="62"/>
    </row>
    <row r="63" s="58" customFormat="1" customHeight="1" spans="1:19">
      <c r="A63" s="61"/>
      <c r="B63" s="62"/>
      <c r="C63" s="61"/>
      <c r="D63" s="61"/>
      <c r="E63" s="64"/>
      <c r="F63" s="62"/>
      <c r="G63" s="62"/>
      <c r="H63" s="62"/>
      <c r="I63" s="62"/>
      <c r="J63" s="62"/>
      <c r="K63" s="65"/>
      <c r="L63" s="65"/>
      <c r="M63" s="62"/>
      <c r="N63" s="11"/>
      <c r="O63" s="66"/>
      <c r="P63" s="62"/>
      <c r="Q63" s="62"/>
      <c r="R63" s="62"/>
      <c r="S63" s="62"/>
    </row>
    <row r="64" s="58" customFormat="1" customHeight="1" spans="1:19">
      <c r="A64" s="61"/>
      <c r="B64" s="62"/>
      <c r="C64" s="61"/>
      <c r="D64" s="61"/>
      <c r="E64" s="64"/>
      <c r="F64" s="62"/>
      <c r="G64" s="62"/>
      <c r="H64" s="62"/>
      <c r="I64" s="62"/>
      <c r="J64" s="62"/>
      <c r="K64" s="65"/>
      <c r="L64" s="65"/>
      <c r="M64" s="62"/>
      <c r="N64" s="11"/>
      <c r="O64" s="66"/>
      <c r="P64" s="62"/>
      <c r="Q64" s="62"/>
      <c r="R64" s="62"/>
      <c r="S64" s="62"/>
    </row>
    <row r="65" s="58" customFormat="1" customHeight="1" spans="1:19">
      <c r="A65" s="61"/>
      <c r="B65" s="62"/>
      <c r="C65" s="61"/>
      <c r="D65" s="61"/>
      <c r="E65" s="64"/>
      <c r="F65" s="62"/>
      <c r="G65" s="62"/>
      <c r="H65" s="62"/>
      <c r="I65" s="62"/>
      <c r="J65" s="62"/>
      <c r="K65" s="84"/>
      <c r="L65" s="65"/>
      <c r="M65" s="62"/>
      <c r="N65" s="11"/>
      <c r="O65" s="133"/>
      <c r="P65" s="62"/>
      <c r="Q65" s="62"/>
      <c r="R65" s="62"/>
      <c r="S65" s="62"/>
    </row>
    <row r="66" s="58" customFormat="1" customHeight="1" spans="1:19">
      <c r="A66" s="61"/>
      <c r="B66" s="62"/>
      <c r="C66" s="61"/>
      <c r="D66" s="61"/>
      <c r="E66" s="141"/>
      <c r="F66" s="62"/>
      <c r="G66" s="62"/>
      <c r="H66" s="62"/>
      <c r="I66" s="62"/>
      <c r="J66" s="62"/>
      <c r="K66" s="65"/>
      <c r="L66" s="65"/>
      <c r="M66" s="62"/>
      <c r="N66" s="11"/>
      <c r="O66" s="66"/>
      <c r="P66" s="62"/>
      <c r="Q66" s="62"/>
      <c r="R66" s="62"/>
      <c r="S66" s="62"/>
    </row>
    <row r="67" s="58" customFormat="1" customHeight="1" spans="1:19">
      <c r="A67" s="61"/>
      <c r="B67" s="62"/>
      <c r="C67" s="61"/>
      <c r="D67" s="61"/>
      <c r="E67" s="141"/>
      <c r="F67" s="62"/>
      <c r="G67" s="62"/>
      <c r="H67" s="62"/>
      <c r="I67" s="62"/>
      <c r="J67" s="62"/>
      <c r="K67" s="65"/>
      <c r="L67" s="65"/>
      <c r="M67" s="62"/>
      <c r="N67" s="11"/>
      <c r="O67" s="66"/>
      <c r="P67" s="62"/>
      <c r="Q67" s="62"/>
      <c r="R67" s="62"/>
      <c r="S67" s="62"/>
    </row>
    <row r="68" s="58" customFormat="1" customHeight="1" spans="1:19">
      <c r="A68" s="61"/>
      <c r="B68" s="62"/>
      <c r="C68" s="61"/>
      <c r="D68" s="61"/>
      <c r="E68" s="141"/>
      <c r="F68" s="62"/>
      <c r="G68" s="62"/>
      <c r="H68" s="62"/>
      <c r="I68" s="62"/>
      <c r="J68" s="62"/>
      <c r="K68" s="65"/>
      <c r="L68" s="65"/>
      <c r="M68" s="62"/>
      <c r="N68" s="11"/>
      <c r="O68" s="66"/>
      <c r="P68" s="62"/>
      <c r="Q68" s="62"/>
      <c r="R68" s="62"/>
      <c r="S68" s="62"/>
    </row>
    <row r="69" s="58" customFormat="1" customHeight="1" spans="1:19">
      <c r="A69" s="61"/>
      <c r="B69" s="62"/>
      <c r="C69" s="61"/>
      <c r="D69" s="61"/>
      <c r="E69" s="141"/>
      <c r="F69" s="62"/>
      <c r="G69" s="62"/>
      <c r="H69" s="62"/>
      <c r="I69" s="62"/>
      <c r="J69" s="62"/>
      <c r="K69" s="65"/>
      <c r="L69" s="65"/>
      <c r="M69" s="62"/>
      <c r="N69" s="11"/>
      <c r="O69" s="66"/>
      <c r="P69" s="62"/>
      <c r="Q69" s="62"/>
      <c r="R69" s="62"/>
      <c r="S69" s="62"/>
    </row>
    <row r="70" s="58" customFormat="1" customHeight="1" spans="1:19">
      <c r="A70" s="61"/>
      <c r="B70" s="62"/>
      <c r="C70" s="61"/>
      <c r="D70" s="61"/>
      <c r="E70" s="141"/>
      <c r="F70" s="62"/>
      <c r="G70" s="62"/>
      <c r="H70" s="62"/>
      <c r="I70" s="62"/>
      <c r="J70" s="62"/>
      <c r="K70" s="65"/>
      <c r="L70" s="65"/>
      <c r="M70" s="62"/>
      <c r="N70" s="11"/>
      <c r="O70" s="66"/>
      <c r="P70" s="62"/>
      <c r="Q70" s="62"/>
      <c r="R70" s="62"/>
      <c r="S70" s="62"/>
    </row>
    <row r="71" s="58" customFormat="1" customHeight="1" spans="1:19">
      <c r="A71" s="61"/>
      <c r="B71" s="62"/>
      <c r="C71" s="61"/>
      <c r="D71" s="61"/>
      <c r="E71" s="141"/>
      <c r="F71" s="62"/>
      <c r="G71" s="62"/>
      <c r="H71" s="62"/>
      <c r="I71" s="62"/>
      <c r="J71" s="62"/>
      <c r="K71" s="65"/>
      <c r="L71" s="65"/>
      <c r="M71" s="62"/>
      <c r="N71" s="11"/>
      <c r="O71" s="66"/>
      <c r="P71" s="62"/>
      <c r="Q71" s="62"/>
      <c r="R71" s="62"/>
      <c r="S71" s="62"/>
    </row>
    <row r="72" s="58" customFormat="1" customHeight="1" spans="1:19">
      <c r="A72" s="61"/>
      <c r="B72" s="62"/>
      <c r="C72" s="61"/>
      <c r="D72" s="61"/>
      <c r="E72" s="64"/>
      <c r="F72" s="62"/>
      <c r="G72" s="62"/>
      <c r="H72" s="62"/>
      <c r="I72" s="62"/>
      <c r="J72" s="62"/>
      <c r="K72" s="65"/>
      <c r="L72" s="65"/>
      <c r="M72" s="62"/>
      <c r="N72" s="11"/>
      <c r="O72" s="66"/>
      <c r="P72" s="62"/>
      <c r="Q72" s="62"/>
      <c r="R72" s="62"/>
      <c r="S72" s="62"/>
    </row>
    <row r="73" s="58" customFormat="1" customHeight="1" spans="1:19">
      <c r="A73" s="61"/>
      <c r="B73" s="62"/>
      <c r="C73" s="61"/>
      <c r="D73" s="61"/>
      <c r="E73" s="64"/>
      <c r="F73" s="62"/>
      <c r="G73" s="62"/>
      <c r="H73" s="62"/>
      <c r="I73" s="62"/>
      <c r="J73" s="62"/>
      <c r="K73" s="84"/>
      <c r="L73" s="65"/>
      <c r="M73" s="62"/>
      <c r="N73" s="11"/>
      <c r="O73" s="133"/>
      <c r="P73" s="62"/>
      <c r="Q73" s="62"/>
      <c r="R73" s="62"/>
      <c r="S73" s="62"/>
    </row>
    <row r="74" s="58" customFormat="1" customHeight="1" spans="1:19">
      <c r="A74" s="61"/>
      <c r="B74" s="62"/>
      <c r="C74" s="61"/>
      <c r="D74" s="61"/>
      <c r="E74" s="141"/>
      <c r="F74" s="62"/>
      <c r="G74" s="62"/>
      <c r="H74" s="62"/>
      <c r="I74" s="62"/>
      <c r="J74" s="62"/>
      <c r="K74" s="84"/>
      <c r="L74" s="65"/>
      <c r="M74" s="62"/>
      <c r="N74" s="11"/>
      <c r="O74" s="133"/>
      <c r="P74" s="62"/>
      <c r="Q74" s="62"/>
      <c r="R74" s="62"/>
      <c r="S74" s="62"/>
    </row>
    <row r="75" s="58" customFormat="1" customHeight="1" spans="1:19">
      <c r="A75" s="61"/>
      <c r="B75" s="62"/>
      <c r="C75" s="61"/>
      <c r="D75" s="61"/>
      <c r="E75" s="141"/>
      <c r="F75" s="62"/>
      <c r="G75" s="62"/>
      <c r="H75" s="62"/>
      <c r="I75" s="62"/>
      <c r="J75" s="62"/>
      <c r="K75" s="84"/>
      <c r="L75" s="65"/>
      <c r="M75" s="62"/>
      <c r="N75" s="11"/>
      <c r="O75" s="133"/>
      <c r="P75" s="62"/>
      <c r="Q75" s="62"/>
      <c r="R75" s="62"/>
      <c r="S75" s="62"/>
    </row>
    <row r="76" s="58" customFormat="1" customHeight="1" spans="1:19">
      <c r="A76" s="61"/>
      <c r="B76" s="62"/>
      <c r="C76" s="61"/>
      <c r="D76" s="61"/>
      <c r="E76" s="141"/>
      <c r="F76" s="62"/>
      <c r="G76" s="62"/>
      <c r="H76" s="62"/>
      <c r="I76" s="62"/>
      <c r="J76" s="62"/>
      <c r="K76" s="65"/>
      <c r="L76" s="65"/>
      <c r="M76" s="62"/>
      <c r="N76" s="11"/>
      <c r="O76" s="66"/>
      <c r="P76" s="62"/>
      <c r="Q76" s="62"/>
      <c r="R76" s="62"/>
      <c r="S76" s="62"/>
    </row>
    <row r="77" s="58" customFormat="1" customHeight="1" spans="1:19">
      <c r="A77" s="61"/>
      <c r="B77" s="62"/>
      <c r="C77" s="61"/>
      <c r="D77" s="61"/>
      <c r="E77" s="64"/>
      <c r="F77" s="62"/>
      <c r="G77" s="62"/>
      <c r="H77" s="62"/>
      <c r="I77" s="62"/>
      <c r="J77" s="62"/>
      <c r="K77" s="65"/>
      <c r="L77" s="65"/>
      <c r="M77" s="62"/>
      <c r="N77" s="62"/>
      <c r="O77" s="66"/>
      <c r="P77" s="62"/>
      <c r="Q77" s="62"/>
      <c r="R77" s="62"/>
      <c r="S77" s="62"/>
    </row>
    <row r="78" s="58" customFormat="1" customHeight="1" spans="1:19">
      <c r="A78" s="61"/>
      <c r="B78" s="62"/>
      <c r="C78" s="61"/>
      <c r="D78" s="61"/>
      <c r="E78" s="64"/>
      <c r="F78" s="62"/>
      <c r="G78" s="62"/>
      <c r="H78" s="62"/>
      <c r="I78" s="62"/>
      <c r="J78" s="62"/>
      <c r="K78" s="65"/>
      <c r="L78" s="65"/>
      <c r="M78" s="62"/>
      <c r="N78" s="62"/>
      <c r="O78" s="66"/>
      <c r="P78" s="62"/>
      <c r="Q78" s="62"/>
      <c r="R78" s="62"/>
      <c r="S78" s="62"/>
    </row>
    <row r="79" s="58" customFormat="1" customHeight="1" spans="1:19">
      <c r="A79" s="61"/>
      <c r="B79" s="62"/>
      <c r="C79" s="61"/>
      <c r="D79" s="61"/>
      <c r="E79" s="64"/>
      <c r="F79" s="62"/>
      <c r="G79" s="62"/>
      <c r="H79" s="62"/>
      <c r="I79" s="62"/>
      <c r="J79" s="62"/>
      <c r="K79" s="65"/>
      <c r="L79" s="65"/>
      <c r="M79" s="62"/>
      <c r="N79" s="62"/>
      <c r="O79" s="66"/>
      <c r="P79" s="62"/>
      <c r="Q79" s="62"/>
      <c r="R79" s="62"/>
      <c r="S79" s="62"/>
    </row>
    <row r="80" s="58" customFormat="1" customHeight="1" spans="1:19">
      <c r="A80" s="61"/>
      <c r="B80" s="62"/>
      <c r="C80" s="61"/>
      <c r="D80" s="61"/>
      <c r="E80" s="64"/>
      <c r="F80" s="62"/>
      <c r="G80" s="62"/>
      <c r="H80" s="62"/>
      <c r="I80" s="62"/>
      <c r="J80" s="62"/>
      <c r="K80" s="65"/>
      <c r="L80" s="65"/>
      <c r="M80" s="62"/>
      <c r="N80" s="11"/>
      <c r="O80" s="66"/>
      <c r="P80" s="62"/>
      <c r="Q80" s="62"/>
      <c r="R80" s="62"/>
      <c r="S80" s="62"/>
    </row>
    <row r="81" s="58" customFormat="1" customHeight="1" spans="1:19">
      <c r="A81" s="61"/>
      <c r="B81" s="62"/>
      <c r="C81" s="61"/>
      <c r="D81" s="61"/>
      <c r="E81" s="141"/>
      <c r="F81" s="62"/>
      <c r="G81" s="62"/>
      <c r="H81" s="62"/>
      <c r="I81" s="62"/>
      <c r="J81" s="62"/>
      <c r="K81" s="84"/>
      <c r="L81" s="65"/>
      <c r="M81" s="62"/>
      <c r="N81" s="11"/>
      <c r="O81" s="133"/>
      <c r="P81" s="62"/>
      <c r="Q81" s="62"/>
      <c r="R81" s="62"/>
      <c r="S81" s="62"/>
    </row>
    <row r="82" s="58" customFormat="1" customHeight="1" spans="1:19">
      <c r="A82" s="61"/>
      <c r="B82" s="62"/>
      <c r="C82" s="61"/>
      <c r="D82" s="61"/>
      <c r="E82" s="64"/>
      <c r="F82" s="62"/>
      <c r="G82" s="62"/>
      <c r="H82" s="62"/>
      <c r="I82" s="62"/>
      <c r="J82" s="62"/>
      <c r="K82" s="65"/>
      <c r="L82" s="65"/>
      <c r="M82" s="62"/>
      <c r="N82" s="11"/>
      <c r="O82" s="66"/>
      <c r="P82" s="62"/>
      <c r="Q82" s="62"/>
      <c r="R82" s="62"/>
      <c r="S82" s="62"/>
    </row>
    <row r="83" s="58" customFormat="1" customHeight="1" spans="1:19">
      <c r="A83" s="61"/>
      <c r="B83" s="62"/>
      <c r="C83" s="61"/>
      <c r="D83" s="61"/>
      <c r="E83" s="64"/>
      <c r="F83" s="62"/>
      <c r="G83" s="62"/>
      <c r="H83" s="62"/>
      <c r="I83" s="62"/>
      <c r="J83" s="62"/>
      <c r="K83" s="65"/>
      <c r="L83" s="65"/>
      <c r="M83" s="62"/>
      <c r="N83" s="11"/>
      <c r="O83" s="66"/>
      <c r="P83" s="62"/>
      <c r="Q83" s="62"/>
      <c r="R83" s="62"/>
      <c r="S83" s="62"/>
    </row>
    <row r="84" s="58" customFormat="1" customHeight="1" spans="1:19">
      <c r="A84" s="61"/>
      <c r="B84" s="62"/>
      <c r="C84" s="61"/>
      <c r="D84" s="61"/>
      <c r="E84" s="64"/>
      <c r="F84" s="62"/>
      <c r="G84" s="62"/>
      <c r="H84" s="62"/>
      <c r="I84" s="62"/>
      <c r="J84" s="62"/>
      <c r="K84" s="65"/>
      <c r="L84" s="65"/>
      <c r="M84" s="62"/>
      <c r="N84" s="11"/>
      <c r="O84" s="66"/>
      <c r="P84" s="62"/>
      <c r="Q84" s="62"/>
      <c r="R84" s="62"/>
      <c r="S84" s="62"/>
    </row>
    <row r="85" s="58" customFormat="1" customHeight="1" spans="1:19">
      <c r="A85" s="61"/>
      <c r="B85" s="62"/>
      <c r="C85" s="61"/>
      <c r="D85" s="61"/>
      <c r="E85" s="64"/>
      <c r="F85" s="62"/>
      <c r="G85" s="62"/>
      <c r="H85" s="62"/>
      <c r="I85" s="62"/>
      <c r="J85" s="62"/>
      <c r="K85" s="65"/>
      <c r="L85" s="65"/>
      <c r="M85" s="62"/>
      <c r="N85" s="11"/>
      <c r="O85" s="66"/>
      <c r="P85" s="62"/>
      <c r="Q85" s="62"/>
      <c r="R85" s="62"/>
      <c r="S85" s="62"/>
    </row>
    <row r="86" s="58" customFormat="1" customHeight="1" spans="1:19">
      <c r="A86" s="61"/>
      <c r="B86" s="62"/>
      <c r="C86" s="61"/>
      <c r="D86" s="61"/>
      <c r="E86" s="64"/>
      <c r="F86" s="62"/>
      <c r="G86" s="62"/>
      <c r="H86" s="62"/>
      <c r="I86" s="62"/>
      <c r="J86" s="62"/>
      <c r="K86" s="65"/>
      <c r="L86" s="65"/>
      <c r="M86" s="62"/>
      <c r="N86" s="11"/>
      <c r="O86" s="66"/>
      <c r="P86" s="62"/>
      <c r="Q86" s="62"/>
      <c r="R86" s="62"/>
      <c r="S86" s="62"/>
    </row>
    <row r="87" s="58" customFormat="1" customHeight="1" spans="1:19">
      <c r="A87" s="61"/>
      <c r="B87" s="62"/>
      <c r="C87" s="61"/>
      <c r="D87" s="61"/>
      <c r="E87" s="64"/>
      <c r="F87" s="62"/>
      <c r="G87" s="62"/>
      <c r="H87" s="62"/>
      <c r="I87" s="62"/>
      <c r="J87" s="62"/>
      <c r="K87" s="65"/>
      <c r="L87" s="65"/>
      <c r="M87" s="62"/>
      <c r="N87" s="11"/>
      <c r="O87" s="66"/>
      <c r="P87" s="62"/>
      <c r="Q87" s="62"/>
      <c r="R87" s="62"/>
      <c r="S87" s="62"/>
    </row>
    <row r="88" s="58" customFormat="1" customHeight="1" spans="1:19">
      <c r="A88" s="61"/>
      <c r="B88" s="62"/>
      <c r="C88" s="61"/>
      <c r="D88" s="61"/>
      <c r="E88" s="64"/>
      <c r="F88" s="62"/>
      <c r="G88" s="62"/>
      <c r="H88" s="62"/>
      <c r="I88" s="62"/>
      <c r="J88" s="62"/>
      <c r="K88" s="65"/>
      <c r="L88" s="65"/>
      <c r="M88" s="62"/>
      <c r="N88" s="11"/>
      <c r="O88" s="66"/>
      <c r="P88" s="62"/>
      <c r="Q88" s="62"/>
      <c r="R88" s="62"/>
      <c r="S88" s="62"/>
    </row>
    <row r="89" s="58" customFormat="1" customHeight="1" spans="1:19">
      <c r="A89" s="61"/>
      <c r="B89" s="62"/>
      <c r="C89" s="61"/>
      <c r="D89" s="61"/>
      <c r="E89" s="64"/>
      <c r="F89" s="62"/>
      <c r="G89" s="62"/>
      <c r="H89" s="62"/>
      <c r="I89" s="62"/>
      <c r="J89" s="62"/>
      <c r="K89" s="65"/>
      <c r="L89" s="65"/>
      <c r="M89" s="62"/>
      <c r="N89" s="11"/>
      <c r="O89" s="66"/>
      <c r="P89" s="62"/>
      <c r="Q89" s="62"/>
      <c r="R89" s="62"/>
      <c r="S89" s="62"/>
    </row>
    <row r="90" s="58" customFormat="1" customHeight="1" spans="1:19">
      <c r="A90" s="61"/>
      <c r="B90" s="62"/>
      <c r="C90" s="61"/>
      <c r="D90" s="61"/>
      <c r="E90" s="64"/>
      <c r="F90" s="62"/>
      <c r="G90" s="62"/>
      <c r="H90" s="62"/>
      <c r="I90" s="62"/>
      <c r="J90" s="62"/>
      <c r="K90" s="65"/>
      <c r="L90" s="65"/>
      <c r="M90" s="62"/>
      <c r="N90" s="11"/>
      <c r="O90" s="100"/>
      <c r="P90" s="62"/>
      <c r="Q90" s="62"/>
      <c r="R90" s="62"/>
      <c r="S90" s="62"/>
    </row>
    <row r="91" s="58" customFormat="1" customHeight="1" spans="1:19">
      <c r="A91" s="61"/>
      <c r="B91" s="62"/>
      <c r="C91" s="61"/>
      <c r="D91" s="61"/>
      <c r="E91" s="64"/>
      <c r="F91" s="62"/>
      <c r="G91" s="62"/>
      <c r="H91" s="62"/>
      <c r="I91" s="62"/>
      <c r="J91" s="62"/>
      <c r="K91" s="65"/>
      <c r="L91" s="65"/>
      <c r="M91" s="62"/>
      <c r="N91" s="11"/>
      <c r="O91" s="66"/>
      <c r="P91" s="62"/>
      <c r="Q91" s="62"/>
      <c r="R91" s="99"/>
      <c r="S91" s="62"/>
    </row>
    <row r="92" s="58" customFormat="1" customHeight="1" spans="1:19">
      <c r="A92" s="61"/>
      <c r="B92" s="62"/>
      <c r="C92" s="61"/>
      <c r="D92" s="61"/>
      <c r="E92" s="64"/>
      <c r="F92" s="62"/>
      <c r="G92" s="62"/>
      <c r="H92" s="62"/>
      <c r="I92" s="62"/>
      <c r="J92" s="62"/>
      <c r="K92" s="65"/>
      <c r="L92" s="65"/>
      <c r="M92" s="62"/>
      <c r="N92" s="11"/>
      <c r="O92" s="66"/>
      <c r="P92" s="62"/>
      <c r="Q92" s="62"/>
      <c r="R92" s="85"/>
      <c r="S92" s="62"/>
    </row>
    <row r="93" s="58" customFormat="1" customHeight="1" spans="1:19">
      <c r="A93" s="61"/>
      <c r="B93" s="62"/>
      <c r="C93" s="61"/>
      <c r="D93" s="61"/>
      <c r="E93" s="64"/>
      <c r="F93" s="62"/>
      <c r="G93" s="62"/>
      <c r="H93" s="62"/>
      <c r="I93" s="62"/>
      <c r="J93" s="62"/>
      <c r="K93" s="65"/>
      <c r="L93" s="65"/>
      <c r="M93" s="62"/>
      <c r="N93" s="11"/>
      <c r="O93" s="66"/>
      <c r="P93" s="62"/>
      <c r="Q93" s="62"/>
      <c r="R93" s="62"/>
      <c r="S93" s="62"/>
    </row>
    <row r="94" s="58" customFormat="1" customHeight="1" spans="1:19">
      <c r="A94" s="61"/>
      <c r="B94" s="62"/>
      <c r="C94" s="61"/>
      <c r="D94" s="61"/>
      <c r="E94" s="64"/>
      <c r="F94" s="62"/>
      <c r="G94" s="62"/>
      <c r="H94" s="62"/>
      <c r="I94" s="62"/>
      <c r="J94" s="62"/>
      <c r="K94" s="65"/>
      <c r="L94" s="65"/>
      <c r="M94" s="62"/>
      <c r="N94" s="11"/>
      <c r="O94" s="66"/>
      <c r="P94" s="62"/>
      <c r="Q94" s="62"/>
      <c r="R94" s="62"/>
      <c r="S94" s="62"/>
    </row>
    <row r="95" s="58" customFormat="1" customHeight="1" spans="1:19">
      <c r="A95" s="61"/>
      <c r="B95" s="62"/>
      <c r="C95" s="61"/>
      <c r="D95" s="61"/>
      <c r="E95" s="64"/>
      <c r="F95" s="62"/>
      <c r="G95" s="62"/>
      <c r="H95" s="62"/>
      <c r="I95" s="62"/>
      <c r="J95" s="62"/>
      <c r="K95" s="65"/>
      <c r="L95" s="65"/>
      <c r="M95" s="62"/>
      <c r="N95" s="11"/>
      <c r="O95" s="89"/>
      <c r="P95" s="62"/>
      <c r="Q95" s="62"/>
      <c r="R95" s="62"/>
      <c r="S95" s="62"/>
    </row>
    <row r="96" s="58" customFormat="1" customHeight="1" spans="1:19">
      <c r="A96" s="61"/>
      <c r="B96" s="62"/>
      <c r="C96" s="61"/>
      <c r="D96" s="61"/>
      <c r="E96" s="64"/>
      <c r="F96" s="62"/>
      <c r="G96" s="62"/>
      <c r="H96" s="62"/>
      <c r="I96" s="62"/>
      <c r="J96" s="62"/>
      <c r="K96" s="65"/>
      <c r="L96" s="65"/>
      <c r="M96" s="62"/>
      <c r="N96" s="11"/>
      <c r="O96" s="61"/>
      <c r="P96" s="62"/>
      <c r="Q96" s="62"/>
      <c r="R96" s="62"/>
      <c r="S96" s="62"/>
    </row>
    <row r="97" s="58" customFormat="1" customHeight="1" spans="1:21">
      <c r="A97" s="61"/>
      <c r="B97" s="62"/>
      <c r="C97" s="61"/>
      <c r="D97" s="61"/>
      <c r="E97" s="64"/>
      <c r="F97" s="62"/>
      <c r="G97" s="62"/>
      <c r="H97" s="62"/>
      <c r="I97" s="62"/>
      <c r="J97" s="62"/>
      <c r="K97" s="65"/>
      <c r="L97" s="65"/>
      <c r="M97" s="62"/>
      <c r="N97" s="11"/>
      <c r="O97" s="66"/>
      <c r="P97" s="62"/>
      <c r="Q97" s="62"/>
      <c r="R97" s="62"/>
      <c r="S97" s="62"/>
    </row>
    <row r="98" s="58" customFormat="1" customHeight="1" spans="1:21">
      <c r="A98" s="61"/>
      <c r="B98" s="62"/>
      <c r="C98" s="61"/>
      <c r="D98" s="61"/>
      <c r="E98" s="64"/>
      <c r="F98" s="62"/>
      <c r="G98" s="62"/>
      <c r="H98" s="62"/>
      <c r="I98" s="62"/>
      <c r="J98" s="62"/>
      <c r="K98" s="65"/>
      <c r="L98" s="65"/>
      <c r="M98" s="62"/>
      <c r="N98" s="11"/>
      <c r="O98" s="66"/>
      <c r="P98" s="62"/>
      <c r="Q98" s="62"/>
      <c r="R98" s="171"/>
      <c r="S98" s="62"/>
    </row>
    <row r="99" s="58" customFormat="1" customHeight="1" spans="1:21">
      <c r="A99" s="61"/>
      <c r="B99" s="62"/>
      <c r="C99" s="61"/>
      <c r="D99" s="61"/>
      <c r="E99" s="64"/>
      <c r="F99" s="62"/>
      <c r="G99" s="62"/>
      <c r="H99" s="62"/>
      <c r="I99" s="62"/>
      <c r="J99" s="62"/>
      <c r="K99" s="65"/>
      <c r="L99" s="65"/>
      <c r="M99" s="62"/>
      <c r="N99" s="11"/>
      <c r="O99" s="66"/>
      <c r="P99" s="62"/>
      <c r="Q99" s="62"/>
      <c r="R99" s="85"/>
      <c r="S99" s="62"/>
    </row>
    <row r="100" s="58" customFormat="1" customHeight="1" spans="1:21">
      <c r="A100" s="61"/>
      <c r="B100" s="62"/>
      <c r="C100" s="61"/>
      <c r="D100" s="61"/>
      <c r="E100" s="64"/>
      <c r="F100" s="62"/>
      <c r="G100" s="62"/>
      <c r="H100" s="62"/>
      <c r="I100" s="62"/>
      <c r="J100" s="62"/>
      <c r="K100" s="65"/>
      <c r="L100" s="65"/>
      <c r="M100" s="62"/>
      <c r="N100" s="11"/>
      <c r="O100" s="66"/>
      <c r="P100" s="62"/>
      <c r="Q100" s="62"/>
      <c r="R100" s="172"/>
      <c r="S100" s="62"/>
    </row>
    <row r="101" s="58" customFormat="1" customHeight="1" spans="1:21">
      <c r="A101" s="61"/>
      <c r="B101" s="62"/>
      <c r="C101" s="61"/>
      <c r="D101" s="61"/>
      <c r="E101" s="64"/>
      <c r="F101" s="62"/>
      <c r="G101" s="62"/>
      <c r="H101" s="62"/>
      <c r="I101" s="62"/>
      <c r="J101" s="62"/>
      <c r="K101" s="65"/>
      <c r="L101" s="65"/>
      <c r="M101" s="62"/>
      <c r="N101" s="11"/>
      <c r="O101" s="66"/>
      <c r="P101" s="62"/>
      <c r="Q101" s="62"/>
      <c r="R101" s="173"/>
      <c r="S101" s="62"/>
    </row>
    <row r="102" s="58" customFormat="1" customHeight="1" spans="1:21">
      <c r="A102" s="61"/>
      <c r="B102" s="62"/>
      <c r="C102" s="61"/>
      <c r="D102" s="61"/>
      <c r="E102" s="64"/>
      <c r="F102" s="62"/>
      <c r="G102" s="62"/>
      <c r="H102" s="62"/>
      <c r="I102" s="62"/>
      <c r="J102" s="62"/>
      <c r="K102" s="65"/>
      <c r="L102" s="65"/>
      <c r="M102" s="62"/>
      <c r="N102" s="11"/>
      <c r="O102" s="66"/>
      <c r="P102" s="62"/>
      <c r="Q102" s="62"/>
      <c r="R102" s="94"/>
      <c r="S102" s="62"/>
    </row>
    <row r="103" s="58" customFormat="1" customHeight="1" spans="1:21">
      <c r="A103" s="61"/>
      <c r="B103" s="62"/>
      <c r="C103" s="61"/>
      <c r="D103" s="61"/>
      <c r="E103" s="64"/>
      <c r="F103" s="62"/>
      <c r="G103" s="62"/>
      <c r="H103" s="62"/>
      <c r="I103" s="62"/>
      <c r="J103" s="62"/>
      <c r="K103" s="65"/>
      <c r="L103" s="65"/>
      <c r="M103" s="62"/>
      <c r="N103" s="11"/>
      <c r="O103" s="66"/>
      <c r="P103" s="62"/>
      <c r="Q103" s="62"/>
      <c r="R103" s="92"/>
      <c r="S103" s="62"/>
    </row>
    <row r="104" s="58" customFormat="1" customHeight="1" spans="1:21">
      <c r="A104" s="61"/>
      <c r="B104" s="62"/>
      <c r="C104" s="61"/>
      <c r="D104" s="61"/>
      <c r="E104" s="64"/>
      <c r="F104" s="62"/>
      <c r="G104" s="62"/>
      <c r="H104" s="62"/>
      <c r="I104" s="62"/>
      <c r="J104" s="62"/>
      <c r="K104" s="65"/>
      <c r="L104" s="65"/>
      <c r="M104" s="62"/>
      <c r="N104" s="11"/>
      <c r="O104" s="66"/>
      <c r="P104" s="62"/>
      <c r="Q104" s="62"/>
      <c r="R104" s="62"/>
      <c r="S104" s="62"/>
    </row>
    <row r="105" s="58" customFormat="1" customHeight="1" spans="1:21">
      <c r="A105" s="61"/>
      <c r="B105" s="62"/>
      <c r="C105" s="61"/>
      <c r="D105" s="61"/>
      <c r="E105" s="64"/>
      <c r="F105" s="62"/>
      <c r="G105" s="62"/>
      <c r="H105" s="62"/>
      <c r="I105" s="62"/>
      <c r="J105" s="62"/>
      <c r="K105" s="65"/>
      <c r="L105" s="65"/>
      <c r="M105" s="62"/>
      <c r="N105" s="11"/>
      <c r="O105" s="66"/>
      <c r="P105" s="62"/>
      <c r="Q105" s="62"/>
      <c r="R105" s="62"/>
      <c r="S105" s="62"/>
      <c r="U105" s="104"/>
    </row>
    <row r="106" s="58" customFormat="1" customHeight="1" spans="1:21">
      <c r="A106" s="61"/>
      <c r="B106" s="62"/>
      <c r="C106" s="61"/>
      <c r="D106" s="61"/>
      <c r="E106" s="64"/>
      <c r="F106" s="62"/>
      <c r="G106" s="62"/>
      <c r="H106" s="62"/>
      <c r="I106" s="62"/>
      <c r="J106" s="62"/>
      <c r="K106" s="65"/>
      <c r="L106" s="65"/>
      <c r="M106" s="62"/>
      <c r="N106" s="11"/>
      <c r="O106" s="66"/>
      <c r="P106" s="62"/>
      <c r="Q106" s="62"/>
      <c r="R106" s="62"/>
      <c r="S106" s="62"/>
      <c r="U106" s="104"/>
    </row>
    <row r="107" s="58" customFormat="1" customHeight="1" spans="1:21">
      <c r="A107" s="61"/>
      <c r="B107" s="62"/>
      <c r="C107" s="61"/>
      <c r="D107" s="61"/>
      <c r="E107" s="64"/>
      <c r="F107" s="62"/>
      <c r="G107" s="62"/>
      <c r="H107" s="62"/>
      <c r="I107" s="62"/>
      <c r="J107" s="62"/>
      <c r="K107" s="65"/>
      <c r="L107" s="65"/>
      <c r="M107" s="62"/>
      <c r="N107" s="11"/>
      <c r="O107" s="66"/>
      <c r="P107" s="62"/>
      <c r="Q107" s="62"/>
      <c r="R107" s="62"/>
      <c r="S107" s="62"/>
      <c r="U107" s="104"/>
    </row>
    <row r="108" s="58" customFormat="1" customHeight="1" spans="1:21">
      <c r="A108" s="61"/>
      <c r="B108" s="62"/>
      <c r="C108" s="61"/>
      <c r="D108" s="61"/>
      <c r="E108" s="64"/>
      <c r="F108" s="62"/>
      <c r="G108" s="62"/>
      <c r="H108" s="62"/>
      <c r="I108" s="62"/>
      <c r="J108" s="62"/>
      <c r="K108" s="65"/>
      <c r="L108" s="65"/>
      <c r="M108" s="62"/>
      <c r="N108" s="11"/>
      <c r="O108" s="66"/>
      <c r="P108" s="62"/>
      <c r="Q108" s="62"/>
      <c r="R108" s="62"/>
      <c r="S108" s="62"/>
    </row>
    <row r="109" s="58" customFormat="1" customHeight="1" spans="1:21">
      <c r="A109" s="61"/>
      <c r="B109" s="62"/>
      <c r="C109" s="61"/>
      <c r="D109" s="61"/>
      <c r="E109" s="64"/>
      <c r="F109" s="62"/>
      <c r="G109" s="62"/>
      <c r="H109" s="62"/>
      <c r="I109" s="62"/>
      <c r="J109" s="62"/>
      <c r="K109" s="65"/>
      <c r="L109" s="65"/>
      <c r="M109" s="62"/>
      <c r="N109" s="11"/>
      <c r="O109" s="66"/>
      <c r="P109" s="62"/>
      <c r="Q109" s="62"/>
      <c r="R109" s="62"/>
      <c r="S109" s="62"/>
    </row>
    <row r="110" s="58" customFormat="1" customHeight="1" spans="1:21">
      <c r="A110" s="61"/>
      <c r="B110" s="62"/>
      <c r="C110" s="61"/>
      <c r="D110" s="61"/>
      <c r="E110" s="64"/>
      <c r="F110" s="62"/>
      <c r="G110" s="62"/>
      <c r="H110" s="62"/>
      <c r="I110" s="62"/>
      <c r="J110" s="62"/>
      <c r="K110" s="65"/>
      <c r="L110" s="65"/>
      <c r="M110" s="62"/>
      <c r="N110" s="11"/>
      <c r="O110" s="66"/>
      <c r="P110" s="62"/>
      <c r="Q110" s="62"/>
      <c r="R110" s="62"/>
      <c r="S110" s="62"/>
    </row>
    <row r="111" s="58" customFormat="1" customHeight="1" spans="1:21">
      <c r="A111" s="61"/>
      <c r="B111" s="62"/>
      <c r="C111" s="61"/>
      <c r="D111" s="61"/>
      <c r="E111" s="64"/>
      <c r="F111" s="62"/>
      <c r="G111" s="62"/>
      <c r="H111" s="62"/>
      <c r="I111" s="62"/>
      <c r="J111" s="62"/>
      <c r="K111" s="65"/>
      <c r="L111" s="65"/>
      <c r="M111" s="62"/>
      <c r="N111" s="11"/>
      <c r="O111" s="66"/>
      <c r="P111" s="62"/>
      <c r="Q111" s="62"/>
      <c r="R111" s="62"/>
      <c r="S111" s="62"/>
    </row>
    <row r="112" s="58" customFormat="1" customHeight="1" spans="1:21">
      <c r="A112" s="61"/>
      <c r="B112" s="62"/>
      <c r="C112" s="61"/>
      <c r="D112" s="61"/>
      <c r="E112" s="64"/>
      <c r="F112" s="62"/>
      <c r="G112" s="62"/>
      <c r="H112" s="62"/>
      <c r="I112" s="62"/>
      <c r="J112" s="62"/>
      <c r="K112" s="65"/>
      <c r="L112" s="65"/>
      <c r="M112" s="62"/>
      <c r="N112" s="11"/>
      <c r="O112" s="66"/>
      <c r="P112" s="62"/>
      <c r="Q112" s="62"/>
      <c r="R112" s="62"/>
      <c r="S112" s="62"/>
    </row>
    <row r="113" s="58" customFormat="1" customHeight="1" spans="1:19">
      <c r="A113" s="61"/>
      <c r="B113" s="62"/>
      <c r="C113" s="61"/>
      <c r="D113" s="61"/>
      <c r="E113" s="64"/>
      <c r="F113" s="62"/>
      <c r="G113" s="62"/>
      <c r="H113" s="62"/>
      <c r="I113" s="62"/>
      <c r="J113" s="62"/>
      <c r="K113" s="65"/>
      <c r="L113" s="65"/>
      <c r="M113" s="62"/>
      <c r="N113" s="11"/>
      <c r="O113" s="66"/>
      <c r="P113" s="62"/>
      <c r="Q113" s="62"/>
      <c r="R113" s="62"/>
      <c r="S113" s="62"/>
    </row>
    <row r="114" s="58" customFormat="1" customHeight="1" spans="1:19">
      <c r="A114" s="61"/>
      <c r="B114" s="62"/>
      <c r="C114" s="61"/>
      <c r="D114" s="61"/>
      <c r="E114" s="64"/>
      <c r="F114" s="62"/>
      <c r="G114" s="62"/>
      <c r="H114" s="62"/>
      <c r="I114" s="62"/>
      <c r="J114" s="62"/>
      <c r="K114" s="65"/>
      <c r="L114" s="65"/>
      <c r="M114" s="62"/>
      <c r="N114" s="11"/>
      <c r="O114" s="66"/>
      <c r="P114" s="62"/>
      <c r="Q114" s="62"/>
      <c r="R114" s="62"/>
      <c r="S114" s="62"/>
    </row>
    <row r="115" s="58" customFormat="1" customHeight="1" spans="1:19">
      <c r="A115" s="61"/>
      <c r="B115" s="62"/>
      <c r="C115" s="61"/>
      <c r="D115" s="61"/>
      <c r="E115" s="64"/>
      <c r="F115" s="62"/>
      <c r="G115" s="62"/>
      <c r="H115" s="62"/>
      <c r="I115" s="62"/>
      <c r="J115" s="62"/>
      <c r="K115" s="65"/>
      <c r="L115" s="65"/>
      <c r="M115" s="62"/>
      <c r="N115" s="11"/>
      <c r="O115" s="66"/>
      <c r="P115" s="62"/>
      <c r="Q115" s="62"/>
      <c r="R115" s="62"/>
      <c r="S115" s="62"/>
    </row>
    <row r="116" s="58" customFormat="1" customHeight="1" spans="1:19">
      <c r="A116" s="61"/>
      <c r="B116" s="62"/>
      <c r="C116" s="61"/>
      <c r="D116" s="61"/>
      <c r="E116" s="64"/>
      <c r="F116" s="62"/>
      <c r="G116" s="62"/>
      <c r="H116" s="62"/>
      <c r="I116" s="62"/>
      <c r="J116" s="62"/>
      <c r="K116" s="65"/>
      <c r="L116" s="65"/>
      <c r="M116" s="62"/>
      <c r="N116" s="11"/>
      <c r="O116" s="66"/>
      <c r="P116" s="62"/>
      <c r="Q116" s="62"/>
      <c r="R116" s="62"/>
      <c r="S116" s="62"/>
    </row>
    <row r="117" s="58" customFormat="1" customHeight="1" spans="1:19">
      <c r="A117" s="61"/>
      <c r="B117" s="62"/>
      <c r="C117" s="61"/>
      <c r="D117" s="61"/>
      <c r="E117" s="64"/>
      <c r="F117" s="62"/>
      <c r="G117" s="62"/>
      <c r="H117" s="62"/>
      <c r="I117" s="62"/>
      <c r="J117" s="62"/>
      <c r="K117" s="65"/>
      <c r="L117" s="65"/>
      <c r="M117" s="62"/>
      <c r="N117" s="11"/>
      <c r="O117" s="66"/>
      <c r="P117" s="62"/>
      <c r="Q117" s="62"/>
      <c r="R117" s="62"/>
      <c r="S117" s="62"/>
    </row>
    <row r="118" s="58" customFormat="1" customHeight="1" spans="1:19">
      <c r="A118" s="61"/>
      <c r="B118" s="62"/>
      <c r="C118" s="61"/>
      <c r="D118" s="61"/>
      <c r="E118" s="64"/>
      <c r="F118" s="62"/>
      <c r="G118" s="62"/>
      <c r="H118" s="62"/>
      <c r="I118" s="62"/>
      <c r="J118" s="62"/>
      <c r="K118" s="65"/>
      <c r="L118" s="65"/>
      <c r="M118" s="62"/>
      <c r="N118" s="11"/>
      <c r="O118" s="66"/>
      <c r="P118" s="62"/>
      <c r="Q118" s="62"/>
      <c r="R118" s="62"/>
      <c r="S118" s="62"/>
    </row>
    <row r="119" s="58" customFormat="1" customHeight="1" spans="1:19">
      <c r="A119" s="61"/>
      <c r="B119" s="62"/>
      <c r="C119" s="61"/>
      <c r="D119" s="61"/>
      <c r="E119" s="64"/>
      <c r="F119" s="62"/>
      <c r="G119" s="62"/>
      <c r="H119" s="62"/>
      <c r="I119" s="62"/>
      <c r="J119" s="62"/>
      <c r="K119" s="65"/>
      <c r="L119" s="65"/>
      <c r="M119" s="62"/>
      <c r="N119" s="11"/>
      <c r="O119" s="66"/>
      <c r="P119" s="62"/>
      <c r="Q119" s="62"/>
      <c r="R119" s="62"/>
      <c r="S119" s="62"/>
    </row>
    <row r="120" s="58" customFormat="1" customHeight="1" spans="1:19">
      <c r="A120" s="61"/>
      <c r="B120" s="62"/>
      <c r="C120" s="61"/>
      <c r="D120" s="61"/>
      <c r="E120" s="64"/>
      <c r="F120" s="62"/>
      <c r="G120" s="62"/>
      <c r="H120" s="62"/>
      <c r="I120" s="62"/>
      <c r="J120" s="62"/>
      <c r="K120" s="65"/>
      <c r="L120" s="65"/>
      <c r="M120" s="62"/>
      <c r="N120" s="11"/>
      <c r="O120" s="66"/>
      <c r="P120" s="62"/>
      <c r="Q120" s="62"/>
      <c r="R120" s="62"/>
      <c r="S120" s="62"/>
    </row>
    <row r="121" s="58" customFormat="1" customHeight="1" spans="1:19">
      <c r="A121" s="61"/>
      <c r="B121" s="62"/>
      <c r="C121" s="61"/>
      <c r="D121" s="61"/>
      <c r="E121" s="64"/>
      <c r="F121" s="62"/>
      <c r="G121" s="62"/>
      <c r="H121" s="62"/>
      <c r="I121" s="62"/>
      <c r="J121" s="62"/>
      <c r="K121" s="65"/>
      <c r="L121" s="65"/>
      <c r="M121" s="62"/>
      <c r="N121" s="11"/>
      <c r="O121" s="66"/>
      <c r="P121" s="62"/>
      <c r="Q121" s="62"/>
      <c r="R121" s="62"/>
      <c r="S121" s="62"/>
    </row>
    <row r="122" s="58" customFormat="1" customHeight="1" spans="1:19">
      <c r="A122" s="61"/>
      <c r="B122" s="62"/>
      <c r="C122" s="61"/>
      <c r="D122" s="61"/>
      <c r="E122" s="64"/>
      <c r="F122" s="62"/>
      <c r="G122" s="62"/>
      <c r="H122" s="62"/>
      <c r="I122" s="62"/>
      <c r="J122" s="62"/>
      <c r="K122" s="65"/>
      <c r="L122" s="65"/>
      <c r="M122" s="62"/>
      <c r="N122" s="11"/>
      <c r="O122" s="66"/>
      <c r="P122" s="62"/>
      <c r="Q122" s="62"/>
      <c r="R122" s="62"/>
      <c r="S122" s="62"/>
    </row>
    <row r="123" s="58" customFormat="1" customHeight="1" spans="1:19">
      <c r="A123" s="61"/>
      <c r="B123" s="62"/>
      <c r="C123" s="61"/>
      <c r="D123" s="61"/>
      <c r="E123" s="64"/>
      <c r="F123" s="62"/>
      <c r="G123" s="62"/>
      <c r="H123" s="62"/>
      <c r="I123" s="62"/>
      <c r="J123" s="62"/>
      <c r="K123" s="65"/>
      <c r="L123" s="65"/>
      <c r="M123" s="62"/>
      <c r="N123" s="11"/>
      <c r="O123" s="66"/>
      <c r="P123" s="62"/>
      <c r="Q123" s="62"/>
      <c r="R123" s="62"/>
      <c r="S123" s="62"/>
    </row>
    <row r="124" s="58" customFormat="1" customHeight="1" spans="1:19">
      <c r="A124" s="61"/>
      <c r="B124" s="62"/>
      <c r="C124" s="61"/>
      <c r="D124" s="61"/>
      <c r="E124" s="64"/>
      <c r="F124" s="62"/>
      <c r="G124" s="62"/>
      <c r="H124" s="62"/>
      <c r="I124" s="62"/>
      <c r="J124" s="62"/>
      <c r="K124" s="65"/>
      <c r="L124" s="65"/>
      <c r="M124" s="62"/>
      <c r="N124" s="11"/>
      <c r="O124" s="66"/>
      <c r="P124" s="62"/>
      <c r="Q124" s="62"/>
      <c r="R124" s="62"/>
      <c r="S124" s="62"/>
    </row>
    <row r="125" s="58" customFormat="1" customHeight="1" spans="1:19">
      <c r="A125" s="61"/>
      <c r="B125" s="62"/>
      <c r="C125" s="61"/>
      <c r="D125" s="61"/>
      <c r="E125" s="64"/>
      <c r="F125" s="62"/>
      <c r="G125" s="62"/>
      <c r="H125" s="62"/>
      <c r="I125" s="62"/>
      <c r="J125" s="62"/>
      <c r="K125" s="65"/>
      <c r="L125" s="65"/>
      <c r="M125" s="62"/>
      <c r="N125" s="11"/>
      <c r="O125" s="66"/>
      <c r="P125" s="62"/>
      <c r="Q125" s="62"/>
      <c r="R125" s="62"/>
      <c r="S125" s="62"/>
    </row>
    <row r="126" s="58" customFormat="1" customHeight="1" spans="1:19">
      <c r="A126" s="61"/>
      <c r="B126" s="62"/>
      <c r="C126" s="61"/>
      <c r="D126" s="61"/>
      <c r="E126" s="64"/>
      <c r="F126" s="62"/>
      <c r="G126" s="62"/>
      <c r="H126" s="62"/>
      <c r="I126" s="62"/>
      <c r="J126" s="62"/>
      <c r="K126" s="65"/>
      <c r="L126" s="65"/>
      <c r="M126" s="62"/>
      <c r="N126" s="11"/>
      <c r="O126" s="66"/>
      <c r="P126" s="62"/>
      <c r="Q126" s="62"/>
      <c r="R126" s="62"/>
      <c r="S126" s="62"/>
    </row>
    <row r="127" s="58" customFormat="1" customHeight="1" spans="1:19">
      <c r="A127" s="61"/>
      <c r="B127" s="62"/>
      <c r="C127" s="61"/>
      <c r="D127" s="61"/>
      <c r="E127" s="64"/>
      <c r="F127" s="62"/>
      <c r="G127" s="62"/>
      <c r="H127" s="62"/>
      <c r="I127" s="62"/>
      <c r="J127" s="62"/>
      <c r="K127" s="65"/>
      <c r="L127" s="65"/>
      <c r="M127" s="62"/>
      <c r="N127" s="11"/>
      <c r="O127" s="66"/>
      <c r="P127" s="62"/>
      <c r="Q127" s="62"/>
      <c r="R127" s="62"/>
      <c r="S127" s="62"/>
    </row>
    <row r="128" s="58" customFormat="1" customHeight="1" spans="1:19">
      <c r="A128" s="61"/>
      <c r="B128" s="62"/>
      <c r="C128" s="61"/>
      <c r="D128" s="61"/>
      <c r="E128" s="64"/>
      <c r="F128" s="62"/>
      <c r="G128" s="62"/>
      <c r="H128" s="62"/>
      <c r="I128" s="62"/>
      <c r="J128" s="62"/>
      <c r="K128" s="65"/>
      <c r="L128" s="65"/>
      <c r="M128" s="62"/>
      <c r="N128" s="11"/>
      <c r="O128" s="66"/>
      <c r="P128" s="62"/>
      <c r="Q128" s="62"/>
      <c r="R128" s="62"/>
      <c r="S128" s="62"/>
    </row>
    <row r="129" s="58" customFormat="1" customHeight="1" spans="1:19">
      <c r="A129" s="61"/>
      <c r="B129" s="62"/>
      <c r="C129" s="61"/>
      <c r="D129" s="61"/>
      <c r="E129" s="64"/>
      <c r="F129" s="62"/>
      <c r="G129" s="62"/>
      <c r="H129" s="62"/>
      <c r="I129" s="62"/>
      <c r="J129" s="62"/>
      <c r="K129" s="65"/>
      <c r="L129" s="65"/>
      <c r="M129" s="62"/>
      <c r="N129" s="11"/>
      <c r="O129" s="66"/>
      <c r="P129" s="62"/>
      <c r="Q129" s="62"/>
      <c r="R129" s="94"/>
      <c r="S129" s="62"/>
    </row>
    <row r="130" s="58" customFormat="1" customHeight="1" spans="1:19">
      <c r="A130" s="61"/>
      <c r="B130" s="62"/>
      <c r="C130" s="61"/>
      <c r="D130" s="61"/>
      <c r="E130" s="64"/>
      <c r="F130" s="62"/>
      <c r="G130" s="62"/>
      <c r="H130" s="62"/>
      <c r="I130" s="62"/>
      <c r="J130" s="62"/>
      <c r="K130" s="65"/>
      <c r="L130" s="65"/>
      <c r="M130" s="62"/>
      <c r="N130" s="11"/>
      <c r="O130" s="66"/>
      <c r="P130" s="62"/>
      <c r="Q130" s="62"/>
      <c r="R130" s="92"/>
      <c r="S130" s="62"/>
    </row>
    <row r="131" s="58" customFormat="1" customHeight="1" spans="1:19">
      <c r="A131" s="61"/>
      <c r="B131" s="62"/>
      <c r="C131" s="61"/>
      <c r="D131" s="61"/>
      <c r="E131" s="64"/>
      <c r="F131" s="62"/>
      <c r="G131" s="62"/>
      <c r="H131" s="62"/>
      <c r="I131" s="62"/>
      <c r="J131" s="62"/>
      <c r="K131" s="65"/>
      <c r="L131" s="65"/>
      <c r="M131" s="62"/>
      <c r="N131" s="11"/>
      <c r="O131" s="66"/>
      <c r="P131" s="62"/>
      <c r="Q131" s="62"/>
      <c r="R131" s="62"/>
      <c r="S131" s="62"/>
    </row>
    <row r="132" s="58" customFormat="1" customHeight="1" spans="1:19">
      <c r="A132" s="61"/>
      <c r="B132" s="62"/>
      <c r="C132" s="61"/>
      <c r="D132" s="61"/>
      <c r="E132" s="64"/>
      <c r="F132" s="62"/>
      <c r="G132" s="62"/>
      <c r="H132" s="62"/>
      <c r="I132" s="62"/>
      <c r="J132" s="62"/>
      <c r="K132" s="65"/>
      <c r="L132" s="65"/>
      <c r="M132" s="62"/>
      <c r="N132" s="11"/>
      <c r="O132" s="66"/>
      <c r="P132" s="62"/>
      <c r="Q132" s="62"/>
      <c r="R132" s="62"/>
      <c r="S132" s="62"/>
    </row>
    <row r="133" s="58" customFormat="1" customHeight="1" spans="1:19">
      <c r="A133" s="61"/>
      <c r="B133" s="62"/>
      <c r="C133" s="61"/>
      <c r="D133" s="61"/>
      <c r="E133" s="64"/>
      <c r="F133" s="62"/>
      <c r="G133" s="62"/>
      <c r="H133" s="62"/>
      <c r="I133" s="62"/>
      <c r="J133" s="62"/>
      <c r="K133" s="65"/>
      <c r="L133" s="65"/>
      <c r="M133" s="62"/>
      <c r="N133" s="11"/>
      <c r="O133" s="66"/>
      <c r="P133" s="62"/>
      <c r="Q133" s="62"/>
      <c r="R133" s="62"/>
      <c r="S133" s="62"/>
    </row>
    <row r="134" s="58" customFormat="1" customHeight="1" spans="1:19">
      <c r="A134" s="61"/>
      <c r="B134" s="62"/>
      <c r="C134" s="61"/>
      <c r="D134" s="61"/>
      <c r="E134" s="64"/>
      <c r="F134" s="62"/>
      <c r="G134" s="62"/>
      <c r="H134" s="62"/>
      <c r="I134" s="62"/>
      <c r="J134" s="62"/>
      <c r="K134" s="65"/>
      <c r="L134" s="65"/>
      <c r="M134" s="62"/>
      <c r="N134" s="11"/>
      <c r="O134" s="66"/>
      <c r="P134" s="62"/>
      <c r="Q134" s="62"/>
      <c r="R134" s="94"/>
      <c r="S134" s="62"/>
    </row>
    <row r="135" s="58" customFormat="1" customHeight="1" spans="1:19">
      <c r="A135" s="61"/>
      <c r="B135" s="62"/>
      <c r="C135" s="61"/>
      <c r="D135" s="61"/>
      <c r="E135" s="64"/>
      <c r="F135" s="62"/>
      <c r="G135" s="62"/>
      <c r="H135" s="62"/>
      <c r="I135" s="62"/>
      <c r="J135" s="62"/>
      <c r="K135" s="65"/>
      <c r="L135" s="65"/>
      <c r="M135" s="62"/>
      <c r="N135" s="11"/>
      <c r="O135" s="66"/>
      <c r="P135" s="62"/>
      <c r="Q135" s="62"/>
      <c r="R135" s="92"/>
      <c r="S135" s="62"/>
    </row>
    <row r="136" s="58" customFormat="1" customHeight="1" spans="1:19">
      <c r="A136" s="61"/>
      <c r="B136" s="62"/>
      <c r="C136" s="61"/>
      <c r="D136" s="61"/>
      <c r="E136" s="64"/>
      <c r="F136" s="64"/>
      <c r="G136" s="62"/>
      <c r="H136" s="62"/>
      <c r="I136" s="62"/>
      <c r="J136" s="62"/>
      <c r="K136" s="65"/>
      <c r="L136" s="65"/>
      <c r="M136" s="62"/>
      <c r="N136" s="11"/>
      <c r="O136" s="66"/>
      <c r="P136" s="62"/>
      <c r="Q136" s="62"/>
      <c r="R136" s="62"/>
      <c r="S136" s="62"/>
    </row>
    <row r="137" s="58" customFormat="1" customHeight="1" spans="1:19">
      <c r="A137" s="61"/>
      <c r="B137" s="62"/>
      <c r="C137" s="61"/>
      <c r="D137" s="61"/>
      <c r="E137" s="64"/>
      <c r="F137" s="64"/>
      <c r="G137" s="62"/>
      <c r="H137" s="62"/>
      <c r="I137" s="62"/>
      <c r="J137" s="62"/>
      <c r="K137" s="65"/>
      <c r="L137" s="65"/>
      <c r="M137" s="62"/>
      <c r="N137" s="11"/>
      <c r="O137" s="66"/>
      <c r="P137" s="62"/>
      <c r="Q137" s="62"/>
      <c r="R137" s="62"/>
      <c r="S137" s="62"/>
    </row>
    <row r="138" s="58" customFormat="1" customHeight="1" spans="1:19">
      <c r="A138" s="61"/>
      <c r="B138" s="62"/>
      <c r="C138" s="61"/>
      <c r="D138" s="61"/>
      <c r="E138" s="64"/>
      <c r="F138" s="64"/>
      <c r="G138" s="62"/>
      <c r="H138" s="62"/>
      <c r="I138" s="62"/>
      <c r="J138" s="62"/>
      <c r="K138" s="65"/>
      <c r="L138" s="65"/>
      <c r="M138" s="62"/>
      <c r="N138" s="11"/>
      <c r="O138" s="66"/>
      <c r="P138" s="62"/>
      <c r="Q138" s="62"/>
      <c r="R138" s="62"/>
      <c r="S138" s="62"/>
    </row>
    <row r="139" s="58" customFormat="1" customHeight="1" spans="1:19">
      <c r="A139" s="61"/>
      <c r="B139" s="62"/>
      <c r="C139" s="61"/>
      <c r="D139" s="61"/>
      <c r="E139" s="64"/>
      <c r="F139" s="64"/>
      <c r="G139" s="62"/>
      <c r="H139" s="62"/>
      <c r="I139" s="62"/>
      <c r="J139" s="62"/>
      <c r="K139" s="65"/>
      <c r="L139" s="65"/>
      <c r="M139" s="62"/>
      <c r="N139" s="11"/>
      <c r="O139" s="66"/>
      <c r="P139" s="62"/>
      <c r="Q139" s="62"/>
      <c r="R139" s="62"/>
      <c r="S139" s="62"/>
    </row>
    <row r="140" s="58" customFormat="1" customHeight="1" spans="1:19">
      <c r="A140" s="61"/>
      <c r="B140" s="62"/>
      <c r="C140" s="61"/>
      <c r="D140" s="61"/>
      <c r="E140" s="64"/>
      <c r="F140" s="64"/>
      <c r="G140" s="62"/>
      <c r="H140" s="62"/>
      <c r="I140" s="62"/>
      <c r="J140" s="62"/>
      <c r="K140" s="65"/>
      <c r="L140" s="65"/>
      <c r="M140" s="62"/>
      <c r="N140" s="11"/>
      <c r="O140" s="66"/>
      <c r="P140" s="62"/>
      <c r="Q140" s="62"/>
      <c r="R140" s="62"/>
      <c r="S140" s="62"/>
    </row>
    <row r="141" s="58" customFormat="1" customHeight="1" spans="1:19">
      <c r="A141" s="61"/>
      <c r="B141" s="62"/>
      <c r="C141" s="61"/>
      <c r="D141" s="61"/>
      <c r="E141" s="64"/>
      <c r="F141" s="64"/>
      <c r="G141" s="62"/>
      <c r="H141" s="62"/>
      <c r="I141" s="62"/>
      <c r="J141" s="62"/>
      <c r="K141" s="65"/>
      <c r="L141" s="65"/>
      <c r="M141" s="62"/>
      <c r="N141" s="11"/>
      <c r="O141" s="66"/>
      <c r="P141" s="62"/>
      <c r="Q141" s="62"/>
      <c r="R141" s="62"/>
      <c r="S141" s="62"/>
    </row>
    <row r="142" s="58" customFormat="1" customHeight="1" spans="1:19">
      <c r="A142" s="61"/>
      <c r="B142" s="62"/>
      <c r="C142" s="61"/>
      <c r="D142" s="61"/>
      <c r="E142" s="64"/>
      <c r="F142" s="64"/>
      <c r="G142" s="62"/>
      <c r="H142" s="62"/>
      <c r="I142" s="62"/>
      <c r="J142" s="62"/>
      <c r="K142" s="65"/>
      <c r="L142" s="65"/>
      <c r="M142" s="62"/>
      <c r="N142" s="11"/>
      <c r="O142" s="66"/>
      <c r="P142" s="62"/>
      <c r="Q142" s="62"/>
      <c r="R142" s="62"/>
      <c r="S142" s="62"/>
    </row>
    <row r="143" s="58" customFormat="1" customHeight="1" spans="1:19">
      <c r="A143" s="61"/>
      <c r="B143" s="62"/>
      <c r="C143" s="61"/>
      <c r="D143" s="61"/>
      <c r="E143" s="64"/>
      <c r="F143" s="64"/>
      <c r="G143" s="62"/>
      <c r="H143" s="62"/>
      <c r="I143" s="62"/>
      <c r="J143" s="62"/>
      <c r="K143" s="65"/>
      <c r="L143" s="65"/>
      <c r="M143" s="62"/>
      <c r="N143" s="11"/>
      <c r="O143" s="66"/>
      <c r="P143" s="62"/>
      <c r="Q143" s="62"/>
      <c r="R143" s="62"/>
      <c r="S143" s="62"/>
    </row>
    <row r="144" s="58" customFormat="1" customHeight="1" spans="1:19">
      <c r="A144" s="61"/>
      <c r="B144" s="62"/>
      <c r="C144" s="61"/>
      <c r="D144" s="61"/>
      <c r="E144" s="64"/>
      <c r="F144" s="64"/>
      <c r="G144" s="62"/>
      <c r="H144" s="62"/>
      <c r="I144" s="62"/>
      <c r="J144" s="62"/>
      <c r="K144" s="65"/>
      <c r="L144" s="65"/>
      <c r="M144" s="62"/>
      <c r="N144" s="11"/>
      <c r="O144" s="66"/>
      <c r="P144" s="62"/>
      <c r="Q144" s="62"/>
      <c r="R144" s="62"/>
      <c r="S144" s="62"/>
    </row>
    <row r="145" s="58" customFormat="1" customHeight="1" spans="1:19">
      <c r="A145" s="61"/>
      <c r="B145" s="62"/>
      <c r="C145" s="61"/>
      <c r="D145" s="61"/>
      <c r="E145" s="64"/>
      <c r="F145" s="64"/>
      <c r="G145" s="62"/>
      <c r="H145" s="62"/>
      <c r="I145" s="62"/>
      <c r="J145" s="62"/>
      <c r="K145" s="65"/>
      <c r="L145" s="65"/>
      <c r="M145" s="62"/>
      <c r="N145" s="11"/>
      <c r="O145" s="66"/>
      <c r="P145" s="62"/>
      <c r="Q145" s="62"/>
      <c r="R145" s="62"/>
      <c r="S145" s="62"/>
    </row>
    <row r="146" s="58" customFormat="1" customHeight="1" spans="1:19">
      <c r="A146" s="61"/>
      <c r="B146" s="62"/>
      <c r="C146" s="61"/>
      <c r="D146" s="61"/>
      <c r="E146" s="64"/>
      <c r="F146" s="64"/>
      <c r="G146" s="62"/>
      <c r="H146" s="62"/>
      <c r="I146" s="62"/>
      <c r="J146" s="62"/>
      <c r="K146" s="65"/>
      <c r="L146" s="65"/>
      <c r="M146" s="62"/>
      <c r="N146" s="11"/>
      <c r="O146" s="66"/>
      <c r="P146" s="62"/>
      <c r="Q146" s="62"/>
      <c r="R146" s="62"/>
      <c r="S146" s="62"/>
    </row>
    <row r="147" s="58" customFormat="1" customHeight="1" spans="1:19">
      <c r="A147" s="61"/>
      <c r="B147" s="62"/>
      <c r="C147" s="61"/>
      <c r="D147" s="61"/>
      <c r="E147" s="64"/>
      <c r="F147" s="64"/>
      <c r="G147" s="62"/>
      <c r="H147" s="62"/>
      <c r="I147" s="62"/>
      <c r="J147" s="62"/>
      <c r="K147" s="65"/>
      <c r="L147" s="65"/>
      <c r="M147" s="62"/>
      <c r="N147" s="11"/>
      <c r="O147" s="66"/>
      <c r="P147" s="62"/>
      <c r="Q147" s="62"/>
      <c r="R147" s="62"/>
      <c r="S147" s="62"/>
    </row>
    <row r="148" s="58" customFormat="1" customHeight="1" spans="1:19">
      <c r="A148" s="61"/>
      <c r="B148" s="62"/>
      <c r="C148" s="61"/>
      <c r="D148" s="61"/>
      <c r="E148" s="64"/>
      <c r="F148" s="64"/>
      <c r="G148" s="62"/>
      <c r="H148" s="62"/>
      <c r="I148" s="62"/>
      <c r="J148" s="62"/>
      <c r="K148" s="65"/>
      <c r="L148" s="65"/>
      <c r="M148" s="62"/>
      <c r="N148" s="11"/>
      <c r="O148" s="66"/>
      <c r="P148" s="62"/>
      <c r="Q148" s="62"/>
      <c r="R148" s="62"/>
      <c r="S148" s="62"/>
    </row>
    <row r="149" s="58" customFormat="1" customHeight="1" spans="1:19">
      <c r="A149" s="61"/>
      <c r="B149" s="62"/>
      <c r="C149" s="61"/>
      <c r="D149" s="61"/>
      <c r="E149" s="64"/>
      <c r="F149" s="64"/>
      <c r="G149" s="62"/>
      <c r="H149" s="62"/>
      <c r="I149" s="62"/>
      <c r="J149" s="62"/>
      <c r="K149" s="65"/>
      <c r="L149" s="65"/>
      <c r="M149" s="62"/>
      <c r="N149" s="11"/>
      <c r="O149" s="66"/>
      <c r="P149" s="62"/>
      <c r="Q149" s="62"/>
      <c r="R149" s="62"/>
      <c r="S149" s="62"/>
    </row>
    <row r="150" s="58" customFormat="1" customHeight="1" spans="1:19">
      <c r="A150" s="61"/>
      <c r="B150" s="62"/>
      <c r="C150" s="61"/>
      <c r="D150" s="61"/>
      <c r="E150" s="64"/>
      <c r="F150" s="64"/>
      <c r="G150" s="62"/>
      <c r="H150" s="62"/>
      <c r="I150" s="62"/>
      <c r="J150" s="62"/>
      <c r="K150" s="65"/>
      <c r="L150" s="65"/>
      <c r="M150" s="62"/>
      <c r="N150" s="11"/>
      <c r="O150" s="66"/>
      <c r="P150" s="62"/>
      <c r="Q150" s="62"/>
      <c r="R150" s="62"/>
      <c r="S150" s="62"/>
    </row>
    <row r="151" s="58" customFormat="1" customHeight="1" spans="1:19">
      <c r="A151" s="61"/>
      <c r="B151" s="62"/>
      <c r="C151" s="61"/>
      <c r="D151" s="61"/>
      <c r="E151" s="64"/>
      <c r="F151" s="64"/>
      <c r="G151" s="62"/>
      <c r="H151" s="62"/>
      <c r="I151" s="62"/>
      <c r="J151" s="62"/>
      <c r="K151" s="65"/>
      <c r="L151" s="65"/>
      <c r="M151" s="62"/>
      <c r="N151" s="11"/>
      <c r="O151" s="66"/>
      <c r="P151" s="62"/>
      <c r="Q151" s="62"/>
      <c r="R151" s="62"/>
      <c r="S151" s="62"/>
    </row>
    <row r="152" s="58" customFormat="1" customHeight="1" spans="1:19">
      <c r="A152" s="61"/>
      <c r="B152" s="62"/>
      <c r="C152" s="61"/>
      <c r="D152" s="61"/>
      <c r="E152" s="64"/>
      <c r="F152" s="64"/>
      <c r="G152" s="62"/>
      <c r="H152" s="62"/>
      <c r="I152" s="62"/>
      <c r="J152" s="62"/>
      <c r="K152" s="65"/>
      <c r="L152" s="65"/>
      <c r="M152" s="62"/>
      <c r="N152" s="11"/>
      <c r="O152" s="66"/>
      <c r="P152" s="62"/>
      <c r="Q152" s="62"/>
      <c r="R152" s="62"/>
      <c r="S152" s="62"/>
    </row>
    <row r="153" s="58" customFormat="1" customHeight="1" spans="1:19">
      <c r="A153" s="61"/>
      <c r="B153" s="62"/>
      <c r="C153" s="61"/>
      <c r="D153" s="61"/>
      <c r="E153" s="64"/>
      <c r="F153" s="64"/>
      <c r="G153" s="62"/>
      <c r="H153" s="62"/>
      <c r="I153" s="62"/>
      <c r="J153" s="62"/>
      <c r="K153" s="65"/>
      <c r="L153" s="65"/>
      <c r="M153" s="62"/>
      <c r="N153" s="11"/>
      <c r="O153" s="66"/>
      <c r="P153" s="62"/>
      <c r="Q153" s="62"/>
      <c r="R153" s="62"/>
      <c r="S153" s="62"/>
    </row>
    <row r="154" s="58" customFormat="1" customHeight="1" spans="1:19">
      <c r="A154" s="61"/>
      <c r="B154" s="62"/>
      <c r="C154" s="61"/>
      <c r="D154" s="61"/>
      <c r="E154" s="64"/>
      <c r="F154" s="64"/>
      <c r="G154" s="62"/>
      <c r="H154" s="62"/>
      <c r="I154" s="62"/>
      <c r="J154" s="62"/>
      <c r="K154" s="65"/>
      <c r="L154" s="65"/>
      <c r="M154" s="62"/>
      <c r="N154" s="11"/>
      <c r="O154" s="66"/>
      <c r="P154" s="62"/>
      <c r="Q154" s="62"/>
      <c r="R154" s="94"/>
      <c r="S154" s="62"/>
    </row>
    <row r="155" s="58" customFormat="1" customHeight="1" spans="1:19">
      <c r="A155" s="61"/>
      <c r="B155" s="62"/>
      <c r="C155" s="61"/>
      <c r="D155" s="61"/>
      <c r="E155" s="64"/>
      <c r="F155" s="64"/>
      <c r="G155" s="62"/>
      <c r="H155" s="62"/>
      <c r="I155" s="62"/>
      <c r="J155" s="62"/>
      <c r="K155" s="65"/>
      <c r="L155" s="65"/>
      <c r="M155" s="62"/>
      <c r="N155" s="11"/>
      <c r="O155" s="66"/>
      <c r="P155" s="62"/>
      <c r="Q155" s="62"/>
      <c r="R155" s="92"/>
      <c r="S155" s="62"/>
    </row>
    <row r="156" s="58" customFormat="1" customHeight="1" spans="1:19">
      <c r="A156" s="61"/>
      <c r="B156" s="62"/>
      <c r="C156" s="61"/>
      <c r="D156" s="61"/>
      <c r="E156" s="64"/>
      <c r="F156" s="64"/>
      <c r="G156" s="62"/>
      <c r="H156" s="62"/>
      <c r="I156" s="62"/>
      <c r="J156" s="62"/>
      <c r="K156" s="65"/>
      <c r="L156" s="65"/>
      <c r="M156" s="62"/>
      <c r="N156" s="11"/>
      <c r="O156" s="66"/>
      <c r="P156" s="62"/>
      <c r="Q156" s="62"/>
      <c r="R156" s="62"/>
      <c r="S156" s="62"/>
    </row>
    <row r="157" s="58" customFormat="1" customHeight="1" spans="1:19">
      <c r="A157" s="61"/>
      <c r="B157" s="62"/>
      <c r="C157" s="61"/>
      <c r="D157" s="61"/>
      <c r="E157" s="64"/>
      <c r="F157" s="64"/>
      <c r="G157" s="62"/>
      <c r="H157" s="62"/>
      <c r="I157" s="62"/>
      <c r="J157" s="62"/>
      <c r="K157" s="65"/>
      <c r="L157" s="65"/>
      <c r="M157" s="62"/>
      <c r="N157" s="11"/>
      <c r="O157" s="66"/>
      <c r="P157" s="62"/>
      <c r="Q157" s="62"/>
      <c r="R157" s="62"/>
      <c r="S157" s="62"/>
    </row>
    <row r="158" s="58" customFormat="1" customHeight="1" spans="1:19">
      <c r="A158" s="61"/>
      <c r="B158" s="62"/>
      <c r="C158" s="61"/>
      <c r="D158" s="61"/>
      <c r="E158" s="64"/>
      <c r="F158" s="64"/>
      <c r="G158" s="62"/>
      <c r="H158" s="62"/>
      <c r="I158" s="62"/>
      <c r="J158" s="62"/>
      <c r="K158" s="65"/>
      <c r="L158" s="65"/>
      <c r="M158" s="62"/>
      <c r="N158" s="11"/>
      <c r="O158" s="66"/>
      <c r="P158" s="62"/>
      <c r="Q158" s="62"/>
      <c r="R158" s="62"/>
      <c r="S158" s="62"/>
    </row>
    <row r="159" s="58" customFormat="1" customHeight="1" spans="1:19">
      <c r="A159" s="61"/>
      <c r="B159" s="62"/>
      <c r="C159" s="61"/>
      <c r="D159" s="61"/>
      <c r="E159" s="64"/>
      <c r="F159" s="64"/>
      <c r="G159" s="62"/>
      <c r="H159" s="62"/>
      <c r="I159" s="62"/>
      <c r="J159" s="62"/>
      <c r="K159" s="65"/>
      <c r="L159" s="65"/>
      <c r="M159" s="62"/>
      <c r="N159" s="11"/>
      <c r="O159" s="66"/>
      <c r="P159" s="62"/>
      <c r="Q159" s="62"/>
      <c r="R159" s="62"/>
      <c r="S159" s="62"/>
    </row>
    <row r="160" s="58" customFormat="1" customHeight="1" spans="1:19">
      <c r="A160" s="61"/>
      <c r="B160" s="62"/>
      <c r="C160" s="61"/>
      <c r="D160" s="61"/>
      <c r="E160" s="64"/>
      <c r="F160" s="64"/>
      <c r="G160" s="62"/>
      <c r="H160" s="62"/>
      <c r="I160" s="105"/>
      <c r="J160" s="62"/>
      <c r="K160" s="65"/>
      <c r="L160" s="65"/>
      <c r="M160" s="62"/>
      <c r="N160" s="11"/>
      <c r="O160" s="66"/>
      <c r="P160" s="62"/>
      <c r="Q160" s="62"/>
      <c r="R160" s="62"/>
      <c r="S160" s="62"/>
    </row>
    <row r="161" s="58" customFormat="1" customHeight="1" spans="1:19">
      <c r="A161" s="61"/>
      <c r="B161" s="62"/>
      <c r="C161" s="61"/>
      <c r="D161" s="61"/>
      <c r="E161" s="64"/>
      <c r="F161" s="64"/>
      <c r="G161" s="62"/>
      <c r="H161" s="62"/>
      <c r="I161" s="62"/>
      <c r="J161" s="62"/>
      <c r="K161" s="65"/>
      <c r="L161" s="65"/>
      <c r="M161" s="62"/>
      <c r="N161" s="11"/>
      <c r="O161" s="66"/>
      <c r="P161" s="62"/>
      <c r="Q161" s="62"/>
      <c r="R161" s="62"/>
      <c r="S161" s="62"/>
    </row>
    <row r="162" s="58" customFormat="1" customHeight="1" spans="1:19">
      <c r="A162" s="61"/>
      <c r="B162" s="62"/>
      <c r="C162" s="61"/>
      <c r="D162" s="61"/>
      <c r="E162" s="64"/>
      <c r="F162" s="64"/>
      <c r="G162" s="62"/>
      <c r="H162" s="62"/>
      <c r="I162" s="62"/>
      <c r="J162" s="62"/>
      <c r="K162" s="65"/>
      <c r="L162" s="65"/>
      <c r="M162" s="62"/>
      <c r="N162" s="11"/>
      <c r="O162" s="66"/>
      <c r="P162" s="62"/>
      <c r="Q162" s="62"/>
      <c r="R162" s="62"/>
      <c r="S162" s="62"/>
    </row>
    <row r="163" s="58" customFormat="1" customHeight="1" spans="1:19">
      <c r="A163" s="61"/>
      <c r="B163" s="62"/>
      <c r="C163" s="61"/>
      <c r="D163" s="61"/>
      <c r="E163" s="64"/>
      <c r="F163" s="64"/>
      <c r="G163" s="62"/>
      <c r="H163" s="62"/>
      <c r="I163" s="62"/>
      <c r="J163" s="62"/>
      <c r="K163" s="65"/>
      <c r="L163" s="65"/>
      <c r="M163" s="62"/>
      <c r="N163" s="11"/>
      <c r="O163" s="66"/>
      <c r="P163" s="62"/>
      <c r="Q163" s="62"/>
      <c r="R163" s="62"/>
      <c r="S163" s="62"/>
    </row>
    <row r="164" s="58" customFormat="1" customHeight="1" spans="1:19">
      <c r="A164" s="61"/>
      <c r="B164" s="62"/>
      <c r="C164" s="61"/>
      <c r="D164" s="61"/>
      <c r="E164" s="64"/>
      <c r="F164" s="64"/>
      <c r="G164" s="62"/>
      <c r="H164" s="62"/>
      <c r="I164" s="62"/>
      <c r="J164" s="62"/>
      <c r="K164" s="65"/>
      <c r="L164" s="65"/>
      <c r="M164" s="62"/>
      <c r="N164" s="11"/>
      <c r="O164" s="66"/>
      <c r="P164" s="62"/>
      <c r="Q164" s="62"/>
      <c r="R164" s="62"/>
      <c r="S164" s="62"/>
    </row>
    <row r="165" s="58" customFormat="1" customHeight="1" spans="1:19">
      <c r="A165" s="61"/>
      <c r="B165" s="62"/>
      <c r="C165" s="61"/>
      <c r="D165" s="61"/>
      <c r="E165" s="64"/>
      <c r="F165" s="64"/>
      <c r="G165" s="62"/>
      <c r="H165" s="62"/>
      <c r="I165" s="62"/>
      <c r="J165" s="62"/>
      <c r="K165" s="65"/>
      <c r="L165" s="65"/>
      <c r="M165" s="62"/>
      <c r="N165" s="11"/>
      <c r="O165" s="66"/>
      <c r="P165" s="62"/>
      <c r="Q165" s="62"/>
      <c r="R165" s="62"/>
      <c r="S165" s="62"/>
    </row>
    <row r="166" s="58" customFormat="1" customHeight="1" spans="1:19">
      <c r="A166" s="61"/>
      <c r="B166" s="62"/>
      <c r="C166" s="61"/>
      <c r="D166" s="61"/>
      <c r="E166" s="64"/>
      <c r="F166" s="64"/>
      <c r="G166" s="62"/>
      <c r="H166" s="62"/>
      <c r="I166" s="62"/>
      <c r="J166" s="62"/>
      <c r="K166" s="65"/>
      <c r="L166" s="65"/>
      <c r="M166" s="62"/>
      <c r="N166" s="11"/>
      <c r="O166" s="66"/>
      <c r="P166" s="62"/>
      <c r="Q166" s="62"/>
      <c r="R166" s="62"/>
      <c r="S166" s="62"/>
    </row>
    <row r="167" s="58" customFormat="1" customHeight="1" spans="1:19">
      <c r="A167" s="61"/>
      <c r="B167" s="62"/>
      <c r="C167" s="61"/>
      <c r="D167" s="61"/>
      <c r="E167" s="64"/>
      <c r="F167" s="64"/>
      <c r="G167" s="62"/>
      <c r="H167" s="62"/>
      <c r="I167" s="62"/>
      <c r="J167" s="62"/>
      <c r="K167" s="65"/>
      <c r="L167" s="65"/>
      <c r="M167" s="62"/>
      <c r="N167" s="11"/>
      <c r="O167" s="66"/>
      <c r="P167" s="62"/>
      <c r="Q167" s="62"/>
      <c r="R167" s="62"/>
      <c r="S167" s="62"/>
    </row>
    <row r="168" s="58" customFormat="1" customHeight="1" spans="1:19">
      <c r="A168" s="61"/>
      <c r="B168" s="62"/>
      <c r="C168" s="61"/>
      <c r="D168" s="61"/>
      <c r="E168" s="64"/>
      <c r="F168" s="64"/>
      <c r="G168" s="62"/>
      <c r="H168" s="62"/>
      <c r="I168" s="62"/>
      <c r="J168" s="62"/>
      <c r="K168" s="65"/>
      <c r="L168" s="65"/>
      <c r="M168" s="62"/>
      <c r="N168" s="11"/>
      <c r="O168" s="66"/>
      <c r="P168" s="62"/>
      <c r="Q168" s="62"/>
      <c r="R168" s="62"/>
      <c r="S168" s="62"/>
    </row>
    <row r="169" s="58" customFormat="1" customHeight="1" spans="1:19">
      <c r="A169" s="61"/>
      <c r="B169" s="62"/>
      <c r="C169" s="61"/>
      <c r="D169" s="61"/>
      <c r="E169" s="64"/>
      <c r="F169" s="64"/>
      <c r="G169" s="62"/>
      <c r="H169" s="62"/>
      <c r="I169" s="62"/>
      <c r="J169" s="62"/>
      <c r="K169" s="65"/>
      <c r="L169" s="65"/>
      <c r="M169" s="62"/>
      <c r="N169" s="11"/>
      <c r="O169" s="66"/>
      <c r="P169" s="62"/>
      <c r="Q169" s="62"/>
      <c r="R169" s="62"/>
      <c r="S169" s="62"/>
    </row>
    <row r="170" s="58" customFormat="1" customHeight="1" spans="1:19">
      <c r="A170" s="61"/>
      <c r="B170" s="62"/>
      <c r="C170" s="61"/>
      <c r="D170" s="61"/>
      <c r="E170" s="64"/>
      <c r="F170" s="64"/>
      <c r="G170" s="62"/>
      <c r="H170" s="62"/>
      <c r="I170" s="62"/>
      <c r="J170" s="62"/>
      <c r="K170" s="65"/>
      <c r="L170" s="65"/>
      <c r="M170" s="62"/>
      <c r="N170" s="11"/>
      <c r="O170" s="66"/>
      <c r="P170" s="62"/>
      <c r="Q170" s="62"/>
      <c r="R170" s="62"/>
      <c r="S170" s="62"/>
    </row>
    <row r="171" s="58" customFormat="1" customHeight="1" spans="1:19">
      <c r="A171" s="61"/>
      <c r="B171" s="62"/>
      <c r="C171" s="61"/>
      <c r="D171" s="61"/>
      <c r="E171" s="64"/>
      <c r="F171" s="64"/>
      <c r="G171" s="62"/>
      <c r="H171" s="62"/>
      <c r="I171" s="62"/>
      <c r="J171" s="62"/>
      <c r="K171" s="65"/>
      <c r="L171" s="65"/>
      <c r="M171" s="62"/>
      <c r="N171" s="11"/>
      <c r="O171" s="66"/>
      <c r="P171" s="62"/>
      <c r="Q171" s="62"/>
      <c r="R171" s="62"/>
      <c r="S171" s="62"/>
    </row>
    <row r="172" s="58" customFormat="1" customHeight="1" spans="1:19">
      <c r="A172" s="61"/>
      <c r="B172" s="62"/>
      <c r="C172" s="61"/>
      <c r="D172" s="61"/>
      <c r="E172" s="64"/>
      <c r="F172" s="64"/>
      <c r="G172" s="62"/>
      <c r="H172" s="62"/>
      <c r="I172" s="62"/>
      <c r="J172" s="62"/>
      <c r="K172" s="65"/>
      <c r="L172" s="65"/>
      <c r="M172" s="62"/>
      <c r="N172" s="11"/>
      <c r="O172" s="66"/>
      <c r="P172" s="62"/>
      <c r="Q172" s="62"/>
      <c r="R172" s="62"/>
      <c r="S172" s="62"/>
    </row>
    <row r="173" s="58" customFormat="1" customHeight="1" spans="1:19">
      <c r="A173" s="61"/>
      <c r="B173" s="62"/>
      <c r="C173" s="61"/>
      <c r="D173" s="61"/>
      <c r="E173" s="64"/>
      <c r="F173" s="64"/>
      <c r="G173" s="62"/>
      <c r="H173" s="62"/>
      <c r="I173" s="62"/>
      <c r="J173" s="62"/>
      <c r="K173" s="106"/>
      <c r="L173" s="65"/>
      <c r="M173" s="62"/>
      <c r="N173" s="11"/>
      <c r="O173" s="66"/>
      <c r="P173" s="62"/>
      <c r="Q173" s="62"/>
      <c r="R173" s="62"/>
      <c r="S173" s="62"/>
    </row>
    <row r="174" s="58" customFormat="1" customHeight="1" spans="1:19">
      <c r="A174" s="61"/>
      <c r="B174" s="62"/>
      <c r="C174" s="61"/>
      <c r="D174" s="61"/>
      <c r="E174" s="64"/>
      <c r="F174" s="64"/>
      <c r="G174" s="62"/>
      <c r="H174" s="62"/>
      <c r="I174" s="62"/>
      <c r="J174" s="62"/>
      <c r="K174" s="106"/>
      <c r="L174" s="65"/>
      <c r="M174" s="62"/>
      <c r="N174" s="11"/>
      <c r="O174" s="66"/>
      <c r="P174" s="62"/>
      <c r="Q174" s="62"/>
      <c r="R174" s="62"/>
      <c r="S174" s="62"/>
    </row>
    <row r="175" s="58" customFormat="1" customHeight="1" spans="1:19">
      <c r="A175" s="61"/>
      <c r="B175" s="62"/>
      <c r="C175" s="61"/>
      <c r="D175" s="61"/>
      <c r="E175" s="64"/>
      <c r="F175" s="64"/>
      <c r="G175" s="62"/>
      <c r="H175" s="62"/>
      <c r="I175" s="62"/>
      <c r="J175" s="62"/>
      <c r="K175" s="106"/>
      <c r="L175" s="65"/>
      <c r="M175" s="62"/>
      <c r="N175" s="11"/>
      <c r="O175" s="66"/>
      <c r="P175" s="62"/>
      <c r="Q175" s="62"/>
      <c r="R175" s="62"/>
      <c r="S175" s="62"/>
    </row>
    <row r="176" s="58" customFormat="1" customHeight="1" spans="1:19">
      <c r="A176" s="61"/>
      <c r="B176" s="62"/>
      <c r="C176" s="61"/>
      <c r="D176" s="61"/>
      <c r="E176" s="64"/>
      <c r="F176" s="64"/>
      <c r="G176" s="62"/>
      <c r="H176" s="62"/>
      <c r="I176" s="62"/>
      <c r="J176" s="62"/>
      <c r="K176" s="106"/>
      <c r="L176" s="65"/>
      <c r="M176" s="62"/>
      <c r="N176" s="11"/>
      <c r="O176" s="66"/>
      <c r="P176" s="62"/>
      <c r="Q176" s="62"/>
      <c r="R176" s="62"/>
      <c r="S176" s="62"/>
    </row>
    <row r="177" s="58" customFormat="1" customHeight="1" spans="1:19">
      <c r="A177" s="61"/>
      <c r="B177" s="62"/>
      <c r="C177" s="61"/>
      <c r="D177" s="61"/>
      <c r="E177" s="64"/>
      <c r="F177" s="64"/>
      <c r="G177" s="62"/>
      <c r="H177" s="62"/>
      <c r="I177" s="62"/>
      <c r="J177" s="62"/>
      <c r="K177" s="106"/>
      <c r="L177" s="65"/>
      <c r="M177" s="62"/>
      <c r="N177" s="11"/>
      <c r="O177" s="66"/>
      <c r="P177" s="62"/>
      <c r="Q177" s="62"/>
      <c r="R177" s="105"/>
      <c r="S177" s="62"/>
    </row>
    <row r="178" s="58" customFormat="1" customHeight="1" spans="1:19">
      <c r="A178" s="61"/>
      <c r="B178" s="62"/>
      <c r="C178" s="61"/>
      <c r="D178" s="61"/>
      <c r="E178" s="64"/>
      <c r="F178" s="64"/>
      <c r="G178" s="62"/>
      <c r="H178" s="62"/>
      <c r="I178" s="62"/>
      <c r="J178" s="62"/>
      <c r="K178" s="106"/>
      <c r="L178" s="65"/>
      <c r="M178" s="62"/>
      <c r="N178" s="11"/>
      <c r="O178" s="66"/>
      <c r="P178" s="62"/>
      <c r="Q178" s="62"/>
      <c r="R178" s="62"/>
      <c r="S178" s="62"/>
    </row>
    <row r="179" s="58" customFormat="1" customHeight="1" spans="1:19">
      <c r="A179" s="61"/>
      <c r="B179" s="62"/>
      <c r="C179" s="61"/>
      <c r="D179" s="61"/>
      <c r="E179" s="64"/>
      <c r="F179" s="64"/>
      <c r="G179" s="62"/>
      <c r="H179" s="62"/>
      <c r="I179" s="62"/>
      <c r="J179" s="62"/>
      <c r="K179" s="65"/>
      <c r="L179" s="65"/>
      <c r="M179" s="62"/>
      <c r="N179" s="11"/>
      <c r="O179" s="66"/>
      <c r="P179" s="62"/>
      <c r="Q179" s="62"/>
      <c r="R179" s="62"/>
      <c r="S179" s="62"/>
    </row>
    <row r="180" s="58" customFormat="1" customHeight="1" spans="1:19">
      <c r="A180" s="61"/>
      <c r="B180" s="62"/>
      <c r="C180" s="61"/>
      <c r="D180" s="61"/>
      <c r="E180" s="64"/>
      <c r="F180" s="64"/>
      <c r="G180" s="62"/>
      <c r="H180" s="62"/>
      <c r="I180" s="62"/>
      <c r="J180" s="62"/>
      <c r="K180" s="65"/>
      <c r="L180" s="65"/>
      <c r="M180" s="62"/>
      <c r="N180" s="11"/>
      <c r="O180" s="66"/>
      <c r="P180" s="62"/>
      <c r="Q180" s="62"/>
      <c r="R180" s="62"/>
      <c r="S180" s="62"/>
    </row>
    <row r="181" s="58" customFormat="1" customHeight="1" spans="1:19">
      <c r="A181" s="61"/>
      <c r="B181" s="62"/>
      <c r="C181" s="61"/>
      <c r="D181" s="61"/>
      <c r="E181" s="64"/>
      <c r="F181" s="64"/>
      <c r="G181" s="62"/>
      <c r="H181" s="62"/>
      <c r="I181" s="62"/>
      <c r="J181" s="62"/>
      <c r="K181" s="65"/>
      <c r="L181" s="65"/>
      <c r="M181" s="62"/>
      <c r="N181" s="11"/>
      <c r="O181" s="66"/>
      <c r="P181" s="62"/>
      <c r="Q181" s="62"/>
      <c r="R181" s="62"/>
      <c r="S181" s="62"/>
    </row>
    <row r="182" s="58" customFormat="1" customHeight="1" spans="1:19">
      <c r="A182" s="61"/>
      <c r="B182" s="62"/>
      <c r="C182" s="61"/>
      <c r="D182" s="61"/>
      <c r="E182" s="64"/>
      <c r="F182" s="64"/>
      <c r="G182" s="62"/>
      <c r="H182" s="62"/>
      <c r="I182" s="62"/>
      <c r="J182" s="62"/>
      <c r="K182" s="65"/>
      <c r="L182" s="65"/>
      <c r="M182" s="62"/>
      <c r="N182" s="11"/>
      <c r="O182" s="66"/>
      <c r="P182" s="62"/>
      <c r="Q182" s="62"/>
      <c r="R182" s="62"/>
      <c r="S182" s="62"/>
    </row>
    <row r="183" s="58" customFormat="1" customHeight="1" spans="1:19">
      <c r="A183" s="61"/>
      <c r="B183" s="62"/>
      <c r="C183" s="61"/>
      <c r="D183" s="61"/>
      <c r="E183" s="64"/>
      <c r="F183" s="64"/>
      <c r="G183" s="62"/>
      <c r="H183" s="62"/>
      <c r="I183" s="62"/>
      <c r="J183" s="62"/>
      <c r="K183" s="106"/>
      <c r="L183" s="65"/>
      <c r="M183" s="62"/>
      <c r="N183" s="11"/>
      <c r="O183" s="66"/>
      <c r="P183" s="62"/>
      <c r="Q183" s="62"/>
      <c r="R183" s="62"/>
      <c r="S183" s="62"/>
    </row>
    <row r="184" s="58" customFormat="1" customHeight="1" spans="1:19">
      <c r="A184" s="61"/>
      <c r="B184" s="62"/>
      <c r="C184" s="61"/>
      <c r="D184" s="61"/>
      <c r="E184" s="64"/>
      <c r="F184" s="64"/>
      <c r="G184" s="62"/>
      <c r="H184" s="62"/>
      <c r="I184" s="62"/>
      <c r="J184" s="62"/>
      <c r="K184" s="65"/>
      <c r="L184" s="65"/>
      <c r="M184" s="62"/>
      <c r="N184" s="11"/>
      <c r="O184" s="66"/>
      <c r="P184" s="62"/>
      <c r="Q184" s="62"/>
      <c r="R184" s="62"/>
      <c r="S184" s="62"/>
    </row>
    <row r="185" s="58" customFormat="1" customHeight="1" spans="1:19">
      <c r="A185" s="61"/>
      <c r="B185" s="62"/>
      <c r="C185" s="61"/>
      <c r="D185" s="61"/>
      <c r="E185" s="64"/>
      <c r="F185" s="64"/>
      <c r="G185" s="62"/>
      <c r="H185" s="62"/>
      <c r="I185" s="62"/>
      <c r="J185" s="62"/>
      <c r="K185" s="65"/>
      <c r="L185" s="65"/>
      <c r="M185" s="62"/>
      <c r="N185" s="11"/>
      <c r="O185" s="66"/>
      <c r="P185" s="62"/>
      <c r="Q185" s="62"/>
      <c r="R185" s="62"/>
      <c r="S185" s="62"/>
    </row>
    <row r="186" s="58" customFormat="1" customHeight="1" spans="1:19">
      <c r="A186" s="61"/>
      <c r="B186" s="62"/>
      <c r="C186" s="61"/>
      <c r="D186" s="61"/>
      <c r="E186" s="64"/>
      <c r="F186" s="64"/>
      <c r="G186" s="62"/>
      <c r="H186" s="62"/>
      <c r="I186" s="62"/>
      <c r="J186" s="62"/>
      <c r="K186" s="65"/>
      <c r="L186" s="65"/>
      <c r="M186" s="62"/>
      <c r="N186" s="11"/>
      <c r="O186" s="66"/>
      <c r="P186" s="62"/>
      <c r="Q186" s="62"/>
      <c r="R186" s="62"/>
      <c r="S186" s="62"/>
    </row>
    <row r="187" s="58" customFormat="1" customHeight="1" spans="1:19">
      <c r="A187" s="61"/>
      <c r="B187" s="62"/>
      <c r="C187" s="61"/>
      <c r="D187" s="61"/>
      <c r="E187" s="64"/>
      <c r="F187" s="64"/>
      <c r="G187" s="62"/>
      <c r="H187" s="62"/>
      <c r="I187" s="62"/>
      <c r="J187" s="62"/>
      <c r="K187" s="106"/>
      <c r="L187" s="65"/>
      <c r="M187" s="62"/>
      <c r="N187" s="11"/>
      <c r="O187" s="107"/>
      <c r="P187" s="62"/>
      <c r="Q187" s="62"/>
      <c r="R187" s="62"/>
      <c r="S187" s="62"/>
    </row>
    <row r="188" s="58" customFormat="1" customHeight="1" spans="1:19">
      <c r="A188" s="61"/>
      <c r="B188" s="62"/>
      <c r="C188" s="61"/>
      <c r="D188" s="61"/>
      <c r="E188" s="64"/>
      <c r="F188" s="64"/>
      <c r="G188" s="62"/>
      <c r="H188" s="62"/>
      <c r="I188" s="62"/>
      <c r="J188" s="62"/>
      <c r="K188" s="65"/>
      <c r="L188" s="65"/>
      <c r="M188" s="62"/>
      <c r="N188" s="11"/>
      <c r="O188" s="66"/>
      <c r="P188" s="62"/>
      <c r="Q188" s="62"/>
      <c r="R188" s="62"/>
      <c r="S188" s="62"/>
    </row>
    <row r="189" s="58" customFormat="1" customHeight="1" spans="1:19">
      <c r="A189" s="61"/>
      <c r="B189" s="62"/>
      <c r="C189" s="61"/>
      <c r="D189" s="61"/>
      <c r="E189" s="64"/>
      <c r="F189" s="64"/>
      <c r="G189" s="62"/>
      <c r="H189" s="62"/>
      <c r="I189" s="62"/>
      <c r="J189" s="62"/>
      <c r="K189" s="106"/>
      <c r="L189" s="65"/>
      <c r="M189" s="62"/>
      <c r="N189" s="11"/>
      <c r="O189" s="107"/>
      <c r="P189" s="62"/>
      <c r="Q189" s="62"/>
      <c r="R189" s="62"/>
      <c r="S189" s="62"/>
    </row>
    <row r="190" s="58" customFormat="1" customHeight="1" spans="1:19">
      <c r="A190" s="61"/>
      <c r="B190" s="62"/>
      <c r="C190" s="61"/>
      <c r="D190" s="61"/>
      <c r="E190" s="64"/>
      <c r="F190" s="64"/>
      <c r="G190" s="62"/>
      <c r="H190" s="62"/>
      <c r="I190" s="62"/>
      <c r="J190" s="62"/>
      <c r="K190" s="65"/>
      <c r="L190" s="65"/>
      <c r="M190" s="62"/>
      <c r="N190" s="11"/>
      <c r="O190" s="66"/>
      <c r="P190" s="62"/>
      <c r="Q190" s="62"/>
      <c r="R190" s="62"/>
      <c r="S190" s="62"/>
    </row>
    <row r="191" s="58" customFormat="1" customHeight="1" spans="1:19">
      <c r="A191" s="61"/>
      <c r="B191" s="62"/>
      <c r="C191" s="61"/>
      <c r="D191" s="61"/>
      <c r="E191" s="64"/>
      <c r="F191" s="64"/>
      <c r="G191" s="62"/>
      <c r="H191" s="62"/>
      <c r="I191" s="62"/>
      <c r="J191" s="62"/>
      <c r="K191" s="106"/>
      <c r="L191" s="65"/>
      <c r="M191" s="62"/>
      <c r="N191" s="11"/>
      <c r="O191" s="107"/>
      <c r="P191" s="62"/>
      <c r="Q191" s="62"/>
      <c r="R191" s="62"/>
      <c r="S191" s="62"/>
    </row>
    <row r="192" s="58" customFormat="1" customHeight="1" spans="1:19">
      <c r="A192" s="61"/>
      <c r="B192" s="62"/>
      <c r="C192" s="61"/>
      <c r="D192" s="61"/>
      <c r="E192" s="64"/>
      <c r="F192" s="64"/>
      <c r="G192" s="62"/>
      <c r="H192" s="62"/>
      <c r="I192" s="62"/>
      <c r="J192" s="62"/>
      <c r="K192" s="65"/>
      <c r="L192" s="65"/>
      <c r="M192" s="62"/>
      <c r="N192" s="11"/>
      <c r="O192" s="66"/>
      <c r="P192" s="62"/>
      <c r="Q192" s="62"/>
      <c r="R192" s="62"/>
      <c r="S192" s="62"/>
    </row>
    <row r="193" s="58" customFormat="1" customHeight="1" spans="1:19">
      <c r="A193" s="61"/>
      <c r="B193" s="62"/>
      <c r="C193" s="61"/>
      <c r="D193" s="61"/>
      <c r="E193" s="64"/>
      <c r="F193" s="64"/>
      <c r="G193" s="62"/>
      <c r="H193" s="62"/>
      <c r="I193" s="62"/>
      <c r="J193" s="62"/>
      <c r="K193" s="65"/>
      <c r="L193" s="65"/>
      <c r="M193" s="62"/>
      <c r="N193" s="11"/>
      <c r="O193" s="66"/>
      <c r="P193" s="62"/>
      <c r="Q193" s="62"/>
      <c r="R193" s="62"/>
      <c r="S193" s="62"/>
    </row>
    <row r="194" s="58" customFormat="1" customHeight="1" spans="1:19">
      <c r="A194" s="61"/>
      <c r="B194" s="62"/>
      <c r="C194" s="61"/>
      <c r="D194" s="61"/>
      <c r="E194" s="64"/>
      <c r="F194" s="64"/>
      <c r="G194" s="62"/>
      <c r="H194" s="62"/>
      <c r="I194" s="62"/>
      <c r="J194" s="62"/>
      <c r="K194" s="65"/>
      <c r="L194" s="65"/>
      <c r="M194" s="62"/>
      <c r="N194" s="11"/>
      <c r="O194" s="66"/>
      <c r="P194" s="62"/>
      <c r="Q194" s="62"/>
      <c r="R194" s="62"/>
      <c r="S194" s="62"/>
    </row>
    <row r="195" s="58" customFormat="1" customHeight="1" spans="1:19">
      <c r="A195" s="61"/>
      <c r="B195" s="62"/>
      <c r="C195" s="61"/>
      <c r="D195" s="61"/>
      <c r="E195" s="64"/>
      <c r="F195" s="64"/>
      <c r="G195" s="62"/>
      <c r="H195" s="62"/>
      <c r="I195" s="62"/>
      <c r="J195" s="62"/>
      <c r="K195" s="65"/>
      <c r="L195" s="65"/>
      <c r="M195" s="62"/>
      <c r="N195" s="11"/>
      <c r="O195" s="66"/>
      <c r="P195" s="62"/>
      <c r="Q195" s="62"/>
      <c r="R195" s="94"/>
      <c r="S195" s="62"/>
    </row>
    <row r="196" s="58" customFormat="1" customHeight="1" spans="1:19">
      <c r="A196" s="61"/>
      <c r="B196" s="62"/>
      <c r="C196" s="61"/>
      <c r="D196" s="61"/>
      <c r="E196" s="64"/>
      <c r="F196" s="64"/>
      <c r="G196" s="62"/>
      <c r="H196" s="62"/>
      <c r="I196" s="62"/>
      <c r="J196" s="62"/>
      <c r="K196" s="65"/>
      <c r="L196" s="65"/>
      <c r="M196" s="62"/>
      <c r="N196" s="11"/>
      <c r="O196" s="66"/>
      <c r="P196" s="62"/>
      <c r="Q196" s="62"/>
      <c r="R196" s="92"/>
      <c r="S196" s="62"/>
    </row>
    <row r="197" s="58" customFormat="1" customHeight="1" spans="1:19">
      <c r="A197" s="61"/>
      <c r="B197" s="62"/>
      <c r="C197" s="61"/>
      <c r="D197" s="61"/>
      <c r="E197" s="64"/>
      <c r="F197" s="64"/>
      <c r="G197" s="62"/>
      <c r="H197" s="62"/>
      <c r="I197" s="62"/>
      <c r="J197" s="62"/>
      <c r="K197" s="65"/>
      <c r="L197" s="65"/>
      <c r="M197" s="62"/>
      <c r="N197" s="11"/>
      <c r="O197" s="66"/>
      <c r="P197" s="62"/>
      <c r="Q197" s="62"/>
      <c r="R197" s="94"/>
      <c r="S197" s="62"/>
    </row>
    <row r="198" s="58" customFormat="1" customHeight="1" spans="1:19">
      <c r="A198" s="61"/>
      <c r="B198" s="62"/>
      <c r="C198" s="61"/>
      <c r="D198" s="61"/>
      <c r="E198" s="64"/>
      <c r="F198" s="64"/>
      <c r="G198" s="62"/>
      <c r="H198" s="62"/>
      <c r="I198" s="62"/>
      <c r="J198" s="62"/>
      <c r="K198" s="65"/>
      <c r="L198" s="65"/>
      <c r="M198" s="62"/>
      <c r="N198" s="11"/>
      <c r="O198" s="66"/>
      <c r="P198" s="62"/>
      <c r="Q198" s="62"/>
      <c r="R198" s="92"/>
      <c r="S198" s="62"/>
    </row>
    <row r="199" s="58" customFormat="1" customHeight="1" spans="1:19">
      <c r="A199" s="61"/>
      <c r="B199" s="62"/>
      <c r="C199" s="61"/>
      <c r="D199" s="61"/>
      <c r="E199" s="64"/>
      <c r="F199" s="64"/>
      <c r="G199" s="62"/>
      <c r="H199" s="62"/>
      <c r="I199" s="62"/>
      <c r="J199" s="62"/>
      <c r="K199" s="65"/>
      <c r="L199" s="65"/>
      <c r="M199" s="62"/>
      <c r="N199" s="11"/>
      <c r="O199" s="66"/>
      <c r="P199" s="62"/>
      <c r="Q199" s="62"/>
      <c r="R199" s="62"/>
      <c r="S199" s="62"/>
    </row>
    <row r="200" s="58" customFormat="1" customHeight="1" spans="1:19">
      <c r="A200" s="61"/>
      <c r="B200" s="62"/>
      <c r="C200" s="61"/>
      <c r="D200" s="61"/>
      <c r="E200" s="64"/>
      <c r="F200" s="64"/>
      <c r="G200" s="62"/>
      <c r="H200" s="62"/>
      <c r="I200" s="62"/>
      <c r="J200" s="62"/>
      <c r="K200" s="65"/>
      <c r="L200" s="65"/>
      <c r="M200" s="62"/>
      <c r="N200" s="11"/>
      <c r="O200" s="66"/>
      <c r="P200" s="62"/>
      <c r="Q200" s="62"/>
      <c r="R200" s="62"/>
      <c r="S200" s="62"/>
    </row>
    <row r="201" s="58" customFormat="1" customHeight="1" spans="1:19">
      <c r="A201" s="61"/>
      <c r="B201" s="62"/>
      <c r="C201" s="61"/>
      <c r="D201" s="61"/>
      <c r="E201" s="64"/>
      <c r="F201" s="64"/>
      <c r="G201" s="62"/>
      <c r="H201" s="62"/>
      <c r="I201" s="62"/>
      <c r="J201" s="62"/>
      <c r="K201" s="65"/>
      <c r="L201" s="65"/>
      <c r="M201" s="62"/>
      <c r="N201" s="11"/>
      <c r="O201" s="66"/>
      <c r="P201" s="62"/>
      <c r="Q201" s="62"/>
      <c r="R201" s="94"/>
      <c r="S201" s="62"/>
    </row>
    <row r="202" s="58" customFormat="1" customHeight="1" spans="1:19">
      <c r="A202" s="61"/>
      <c r="B202" s="62"/>
      <c r="C202" s="61"/>
      <c r="D202" s="61"/>
      <c r="E202" s="64"/>
      <c r="F202" s="64"/>
      <c r="G202" s="62"/>
      <c r="H202" s="62"/>
      <c r="I202" s="62"/>
      <c r="J202" s="62"/>
      <c r="K202" s="65"/>
      <c r="L202" s="65"/>
      <c r="M202" s="62"/>
      <c r="N202" s="11"/>
      <c r="O202" s="66"/>
      <c r="P202" s="62"/>
      <c r="Q202" s="62"/>
      <c r="R202" s="92"/>
      <c r="S202" s="62"/>
    </row>
    <row r="203" s="58" customFormat="1" customHeight="1" spans="1:19">
      <c r="A203" s="61"/>
      <c r="B203" s="62"/>
      <c r="C203" s="61"/>
      <c r="D203" s="61"/>
      <c r="E203" s="64"/>
      <c r="F203" s="64"/>
      <c r="G203" s="62"/>
      <c r="H203" s="62"/>
      <c r="I203" s="62"/>
      <c r="J203" s="62"/>
      <c r="K203" s="65"/>
      <c r="L203" s="65"/>
      <c r="M203" s="62"/>
      <c r="N203" s="11"/>
      <c r="O203" s="66"/>
      <c r="P203" s="62"/>
      <c r="Q203" s="62"/>
      <c r="R203" s="62"/>
      <c r="S203" s="62"/>
    </row>
    <row r="204" s="58" customFormat="1" customHeight="1" spans="1:19">
      <c r="A204" s="61"/>
      <c r="B204" s="62"/>
      <c r="C204" s="61"/>
      <c r="D204" s="61"/>
      <c r="E204" s="64"/>
      <c r="F204" s="64"/>
      <c r="G204" s="62"/>
      <c r="H204" s="62"/>
      <c r="I204" s="62"/>
      <c r="J204" s="62"/>
      <c r="K204" s="65"/>
      <c r="L204" s="65"/>
      <c r="M204" s="62"/>
      <c r="N204" s="11"/>
      <c r="O204" s="66"/>
      <c r="P204" s="62"/>
      <c r="Q204" s="62"/>
      <c r="R204" s="62"/>
      <c r="S204" s="62"/>
    </row>
    <row r="205" s="58" customFormat="1" customHeight="1" spans="1:19">
      <c r="A205" s="61"/>
      <c r="B205" s="62"/>
      <c r="C205" s="61"/>
      <c r="D205" s="61"/>
      <c r="E205" s="64"/>
      <c r="F205" s="64"/>
      <c r="G205" s="62"/>
      <c r="H205" s="62"/>
      <c r="I205" s="62"/>
      <c r="J205" s="62"/>
      <c r="K205" s="65"/>
      <c r="L205" s="65"/>
      <c r="M205" s="62"/>
      <c r="N205" s="11"/>
      <c r="O205" s="66"/>
      <c r="P205" s="62"/>
      <c r="Q205" s="62"/>
      <c r="R205" s="62"/>
      <c r="S205" s="62"/>
    </row>
    <row r="206" s="58" customFormat="1" customHeight="1" spans="1:19">
      <c r="A206" s="61"/>
      <c r="B206" s="62"/>
      <c r="C206" s="61"/>
      <c r="D206" s="61"/>
      <c r="E206" s="64"/>
      <c r="F206" s="64"/>
      <c r="G206" s="62"/>
      <c r="H206" s="62"/>
      <c r="I206" s="62"/>
      <c r="J206" s="62"/>
      <c r="K206" s="65"/>
      <c r="L206" s="65"/>
      <c r="M206" s="62"/>
      <c r="N206" s="11"/>
      <c r="O206" s="66"/>
      <c r="P206" s="62"/>
      <c r="Q206" s="62"/>
      <c r="R206" s="62"/>
      <c r="S206" s="62"/>
    </row>
    <row r="207" s="58" customFormat="1" customHeight="1" spans="1:19">
      <c r="A207" s="61"/>
      <c r="B207" s="62"/>
      <c r="C207" s="61"/>
      <c r="D207" s="61"/>
      <c r="E207" s="64"/>
      <c r="F207" s="64"/>
      <c r="G207" s="62"/>
      <c r="H207" s="62"/>
      <c r="I207" s="62"/>
      <c r="J207" s="62"/>
      <c r="K207" s="65"/>
      <c r="L207" s="65"/>
      <c r="M207" s="62"/>
      <c r="N207" s="11"/>
      <c r="O207" s="66"/>
      <c r="P207" s="62"/>
      <c r="Q207" s="62"/>
      <c r="R207" s="62"/>
      <c r="S207" s="62"/>
    </row>
    <row r="208" s="58" customFormat="1" customHeight="1" spans="1:19">
      <c r="A208" s="61"/>
      <c r="B208" s="62"/>
      <c r="C208" s="61"/>
      <c r="D208" s="61"/>
      <c r="E208" s="64"/>
      <c r="F208" s="64"/>
      <c r="G208" s="62"/>
      <c r="H208" s="62"/>
      <c r="I208" s="62"/>
      <c r="J208" s="62"/>
      <c r="K208" s="65"/>
      <c r="L208" s="65"/>
      <c r="M208" s="62"/>
      <c r="N208" s="11"/>
      <c r="O208" s="66"/>
      <c r="P208" s="62"/>
      <c r="Q208" s="62"/>
      <c r="R208" s="62"/>
      <c r="S208" s="62"/>
    </row>
    <row r="209" s="58" customFormat="1" customHeight="1" spans="1:19">
      <c r="A209" s="61"/>
      <c r="B209" s="62"/>
      <c r="C209" s="61"/>
      <c r="D209" s="61"/>
      <c r="E209" s="64"/>
      <c r="F209" s="64"/>
      <c r="G209" s="62"/>
      <c r="H209" s="62"/>
      <c r="I209" s="62"/>
      <c r="J209" s="62"/>
      <c r="K209" s="65"/>
      <c r="L209" s="65"/>
      <c r="M209" s="62"/>
      <c r="N209" s="11"/>
      <c r="O209" s="66"/>
      <c r="P209" s="62"/>
      <c r="Q209" s="62"/>
      <c r="R209" s="62"/>
      <c r="S209" s="62"/>
    </row>
    <row r="210" s="58" customFormat="1" customHeight="1" spans="1:19">
      <c r="A210" s="61"/>
      <c r="B210" s="62"/>
      <c r="C210" s="61"/>
      <c r="D210" s="61"/>
      <c r="E210" s="64"/>
      <c r="F210" s="64"/>
      <c r="G210" s="62"/>
      <c r="H210" s="61"/>
      <c r="I210" s="61"/>
      <c r="J210" s="62"/>
      <c r="K210" s="65"/>
      <c r="L210" s="65"/>
      <c r="M210" s="62"/>
      <c r="N210" s="11"/>
      <c r="O210" s="66"/>
      <c r="P210" s="62"/>
      <c r="Q210" s="62"/>
      <c r="R210" s="62"/>
      <c r="S210" s="62"/>
    </row>
    <row r="211" s="58" customFormat="1" customHeight="1" spans="1:19">
      <c r="A211" s="61"/>
      <c r="B211" s="62"/>
      <c r="C211" s="61"/>
      <c r="D211" s="61"/>
      <c r="E211" s="64"/>
      <c r="F211" s="64"/>
      <c r="G211" s="62"/>
      <c r="H211" s="61"/>
      <c r="I211" s="61"/>
      <c r="J211" s="62"/>
      <c r="K211" s="65"/>
      <c r="L211" s="65"/>
      <c r="M211" s="62"/>
      <c r="N211" s="11"/>
      <c r="O211" s="66"/>
      <c r="P211" s="62"/>
      <c r="Q211" s="62"/>
      <c r="R211" s="62"/>
      <c r="S211" s="62"/>
    </row>
    <row r="212" s="58" customFormat="1" customHeight="1" spans="1:19">
      <c r="A212" s="61"/>
      <c r="B212" s="62"/>
      <c r="C212" s="61"/>
      <c r="D212" s="61"/>
      <c r="E212" s="64"/>
      <c r="F212" s="64"/>
      <c r="G212" s="62"/>
      <c r="H212" s="62"/>
      <c r="I212" s="62"/>
      <c r="J212" s="62"/>
      <c r="K212" s="65"/>
      <c r="L212" s="65"/>
      <c r="M212" s="62"/>
      <c r="N212" s="11"/>
      <c r="O212" s="66"/>
      <c r="P212" s="62"/>
      <c r="Q212" s="62"/>
      <c r="R212" s="62"/>
      <c r="S212" s="62"/>
    </row>
    <row r="213" s="58" customFormat="1" customHeight="1" spans="1:19">
      <c r="A213" s="61"/>
      <c r="B213" s="62"/>
      <c r="C213" s="61"/>
      <c r="D213" s="61"/>
      <c r="E213" s="64"/>
      <c r="F213" s="64"/>
      <c r="G213" s="62"/>
      <c r="H213" s="62"/>
      <c r="I213" s="62"/>
      <c r="J213" s="62"/>
      <c r="K213" s="65"/>
      <c r="L213" s="65"/>
      <c r="M213" s="62"/>
      <c r="N213" s="11"/>
      <c r="O213" s="66"/>
      <c r="P213" s="62"/>
      <c r="Q213" s="62"/>
      <c r="R213" s="62"/>
      <c r="S213" s="62"/>
    </row>
    <row r="214" s="58" customFormat="1" customHeight="1" spans="1:19">
      <c r="A214" s="61"/>
      <c r="B214" s="62"/>
      <c r="C214" s="61"/>
      <c r="D214" s="61"/>
      <c r="E214" s="64"/>
      <c r="F214" s="64"/>
      <c r="G214" s="62"/>
      <c r="H214" s="62"/>
      <c r="I214" s="62"/>
      <c r="J214" s="62"/>
      <c r="K214" s="65"/>
      <c r="L214" s="65"/>
      <c r="M214" s="62"/>
      <c r="N214" s="11"/>
      <c r="O214" s="66"/>
      <c r="P214" s="62"/>
      <c r="Q214" s="62"/>
      <c r="R214" s="62"/>
      <c r="S214" s="62"/>
    </row>
    <row r="215" s="58" customFormat="1" customHeight="1" spans="1:19">
      <c r="A215" s="61"/>
      <c r="B215" s="62"/>
      <c r="C215" s="61"/>
      <c r="D215" s="61"/>
      <c r="E215" s="64"/>
      <c r="F215" s="64"/>
      <c r="G215" s="62"/>
      <c r="H215" s="62"/>
      <c r="I215" s="62"/>
      <c r="J215" s="62"/>
      <c r="K215" s="65"/>
      <c r="L215" s="65"/>
      <c r="M215" s="62"/>
      <c r="N215" s="11"/>
      <c r="O215" s="66"/>
      <c r="P215" s="62"/>
      <c r="Q215" s="62"/>
      <c r="R215" s="62"/>
      <c r="S215" s="62"/>
    </row>
    <row r="216" s="58" customFormat="1" customHeight="1" spans="1:19">
      <c r="A216" s="61"/>
      <c r="B216" s="62"/>
      <c r="C216" s="61"/>
      <c r="D216" s="61"/>
      <c r="E216" s="64"/>
      <c r="F216" s="64"/>
      <c r="G216" s="62"/>
      <c r="H216" s="62"/>
      <c r="I216" s="62"/>
      <c r="J216" s="62"/>
      <c r="K216" s="65"/>
      <c r="L216" s="65"/>
      <c r="M216" s="62"/>
      <c r="N216" s="11"/>
      <c r="O216" s="66"/>
      <c r="P216" s="62"/>
      <c r="Q216" s="62"/>
      <c r="R216" s="62"/>
      <c r="S216" s="62"/>
    </row>
    <row r="217" s="58" customFormat="1" customHeight="1" spans="1:19">
      <c r="A217" s="61"/>
      <c r="B217" s="62"/>
      <c r="C217" s="61"/>
      <c r="D217" s="61"/>
      <c r="E217" s="64"/>
      <c r="F217" s="64"/>
      <c r="G217" s="62"/>
      <c r="H217" s="62"/>
      <c r="I217" s="62"/>
      <c r="J217" s="62"/>
      <c r="K217" s="65"/>
      <c r="L217" s="65"/>
      <c r="M217" s="62"/>
      <c r="N217" s="11"/>
      <c r="O217" s="66"/>
      <c r="P217" s="62"/>
      <c r="Q217" s="62"/>
      <c r="R217" s="62"/>
      <c r="S217" s="62"/>
    </row>
    <row r="218" s="58" customFormat="1" customHeight="1" spans="1:19">
      <c r="A218" s="61"/>
      <c r="B218" s="62"/>
      <c r="C218" s="61"/>
      <c r="D218" s="61"/>
      <c r="E218" s="64"/>
      <c r="F218" s="64"/>
      <c r="G218" s="62"/>
      <c r="H218" s="62"/>
      <c r="I218" s="62"/>
      <c r="J218" s="62"/>
      <c r="K218" s="65"/>
      <c r="L218" s="65"/>
      <c r="M218" s="62"/>
      <c r="N218" s="11"/>
      <c r="O218" s="66"/>
      <c r="P218" s="62"/>
      <c r="Q218" s="62"/>
      <c r="R218" s="62"/>
      <c r="S218" s="62"/>
    </row>
    <row r="219" s="58" customFormat="1" customHeight="1" spans="1:19">
      <c r="A219" s="61"/>
      <c r="B219" s="62"/>
      <c r="C219" s="61"/>
      <c r="D219" s="61"/>
      <c r="E219" s="64"/>
      <c r="F219" s="64"/>
      <c r="G219" s="62"/>
      <c r="H219" s="62"/>
      <c r="I219" s="62"/>
      <c r="J219" s="62"/>
      <c r="K219" s="106"/>
      <c r="L219" s="65"/>
      <c r="M219" s="62"/>
      <c r="N219" s="11"/>
      <c r="O219" s="107"/>
      <c r="P219" s="62"/>
      <c r="Q219" s="62"/>
      <c r="R219" s="62"/>
      <c r="S219" s="62"/>
    </row>
    <row r="220" s="58" customFormat="1" customHeight="1" spans="1:19">
      <c r="A220" s="61"/>
      <c r="B220" s="62"/>
      <c r="C220" s="61"/>
      <c r="D220" s="61"/>
      <c r="E220" s="64"/>
      <c r="F220" s="64"/>
      <c r="G220" s="62"/>
      <c r="H220" s="62"/>
      <c r="I220" s="62"/>
      <c r="J220" s="62"/>
      <c r="K220" s="106"/>
      <c r="L220" s="65"/>
      <c r="M220" s="62"/>
      <c r="N220" s="11"/>
      <c r="O220" s="107"/>
      <c r="P220" s="62"/>
      <c r="Q220" s="62"/>
      <c r="R220" s="62"/>
      <c r="S220" s="62"/>
    </row>
    <row r="221" s="58" customFormat="1" customHeight="1" spans="1:19">
      <c r="A221" s="61"/>
      <c r="B221" s="62"/>
      <c r="C221" s="61"/>
      <c r="D221" s="61"/>
      <c r="E221" s="64"/>
      <c r="F221" s="64"/>
      <c r="G221" s="62"/>
      <c r="H221" s="62"/>
      <c r="I221" s="62"/>
      <c r="J221" s="62"/>
      <c r="K221" s="106"/>
      <c r="L221" s="65"/>
      <c r="M221" s="62"/>
      <c r="N221" s="11"/>
      <c r="O221" s="107"/>
      <c r="P221" s="62"/>
      <c r="Q221" s="62"/>
      <c r="R221" s="62"/>
      <c r="S221" s="62"/>
    </row>
    <row r="222" s="58" customFormat="1" customHeight="1" spans="1:19">
      <c r="A222" s="61"/>
      <c r="B222" s="62"/>
      <c r="C222" s="61"/>
      <c r="D222" s="61"/>
      <c r="E222" s="64"/>
      <c r="F222" s="64"/>
      <c r="G222" s="62"/>
      <c r="H222" s="62"/>
      <c r="I222" s="62"/>
      <c r="J222" s="62"/>
      <c r="K222" s="106"/>
      <c r="L222" s="65"/>
      <c r="M222" s="62"/>
      <c r="N222" s="11"/>
      <c r="O222" s="66"/>
      <c r="P222" s="62"/>
      <c r="Q222" s="62"/>
      <c r="R222" s="62"/>
      <c r="S222" s="62"/>
    </row>
    <row r="223" s="58" customFormat="1" customHeight="1" spans="1:19">
      <c r="A223" s="61"/>
      <c r="B223" s="62"/>
      <c r="C223" s="61"/>
      <c r="D223" s="61"/>
      <c r="E223" s="64"/>
      <c r="F223" s="64"/>
      <c r="G223" s="62"/>
      <c r="H223" s="62"/>
      <c r="I223" s="62"/>
      <c r="J223" s="62"/>
      <c r="K223" s="65"/>
      <c r="L223" s="65"/>
      <c r="M223" s="62"/>
      <c r="N223" s="11"/>
      <c r="O223" s="66"/>
      <c r="P223" s="62"/>
      <c r="Q223" s="62"/>
      <c r="R223" s="62"/>
      <c r="S223" s="62"/>
    </row>
    <row r="224" s="58" customFormat="1" customHeight="1" spans="1:19">
      <c r="A224" s="61"/>
      <c r="B224" s="62"/>
      <c r="C224" s="61"/>
      <c r="D224" s="61"/>
      <c r="E224" s="64"/>
      <c r="F224" s="64"/>
      <c r="G224" s="62"/>
      <c r="H224" s="62"/>
      <c r="I224" s="62"/>
      <c r="J224" s="62"/>
      <c r="K224" s="65"/>
      <c r="L224" s="65"/>
      <c r="M224" s="62"/>
      <c r="N224" s="11"/>
      <c r="O224" s="66"/>
      <c r="P224" s="62"/>
      <c r="Q224" s="62"/>
      <c r="R224" s="62"/>
      <c r="S224" s="62"/>
    </row>
    <row r="225" s="58" customFormat="1" customHeight="1" spans="1:19">
      <c r="A225" s="61"/>
      <c r="B225" s="62"/>
      <c r="C225" s="61"/>
      <c r="D225" s="61"/>
      <c r="E225" s="64"/>
      <c r="F225" s="64"/>
      <c r="G225" s="62"/>
      <c r="H225" s="62"/>
      <c r="I225" s="62"/>
      <c r="J225" s="62"/>
      <c r="K225" s="65"/>
      <c r="L225" s="65"/>
      <c r="M225" s="62"/>
      <c r="N225" s="11"/>
      <c r="O225" s="66"/>
      <c r="P225" s="62"/>
      <c r="Q225" s="62"/>
      <c r="R225" s="62"/>
      <c r="S225" s="62"/>
    </row>
    <row r="226" s="58" customFormat="1" customHeight="1" spans="1:19">
      <c r="A226" s="61"/>
      <c r="B226" s="62"/>
      <c r="C226" s="61"/>
      <c r="D226" s="61"/>
      <c r="E226" s="64"/>
      <c r="F226" s="64"/>
      <c r="G226" s="62"/>
      <c r="H226" s="62"/>
      <c r="I226" s="62"/>
      <c r="J226" s="62"/>
      <c r="K226" s="65"/>
      <c r="L226" s="65"/>
      <c r="M226" s="62"/>
      <c r="N226" s="11"/>
      <c r="O226" s="66"/>
      <c r="P226" s="62"/>
      <c r="Q226" s="62"/>
      <c r="R226" s="62"/>
      <c r="S226" s="62"/>
    </row>
    <row r="227" s="58" customFormat="1" customHeight="1" spans="1:19">
      <c r="A227" s="61"/>
      <c r="B227" s="62"/>
      <c r="C227" s="61"/>
      <c r="D227" s="61"/>
      <c r="E227" s="64"/>
      <c r="F227" s="64"/>
      <c r="G227" s="62"/>
      <c r="H227" s="62"/>
      <c r="I227" s="62"/>
      <c r="J227" s="62"/>
      <c r="K227" s="65"/>
      <c r="L227" s="65"/>
      <c r="M227" s="62"/>
      <c r="N227" s="11"/>
      <c r="O227" s="66"/>
      <c r="P227" s="62"/>
      <c r="Q227" s="62"/>
      <c r="R227" s="62"/>
      <c r="S227" s="62"/>
    </row>
    <row r="228" s="58" customFormat="1" customHeight="1" spans="1:19">
      <c r="A228" s="61"/>
      <c r="B228" s="62"/>
      <c r="C228" s="61"/>
      <c r="D228" s="61"/>
      <c r="E228" s="64"/>
      <c r="F228" s="64"/>
      <c r="G228" s="62"/>
      <c r="H228" s="62"/>
      <c r="I228" s="62"/>
      <c r="J228" s="62"/>
      <c r="K228" s="65"/>
      <c r="L228" s="65"/>
      <c r="M228" s="62"/>
      <c r="N228" s="11"/>
      <c r="O228" s="66"/>
      <c r="P228" s="62"/>
      <c r="Q228" s="62"/>
      <c r="R228" s="62"/>
      <c r="S228" s="62"/>
    </row>
    <row r="229" s="58" customFormat="1" customHeight="1" spans="1:19">
      <c r="A229" s="61"/>
      <c r="B229" s="62"/>
      <c r="C229" s="61"/>
      <c r="D229" s="61"/>
      <c r="E229" s="64"/>
      <c r="F229" s="64"/>
      <c r="G229" s="62"/>
      <c r="H229" s="62"/>
      <c r="I229" s="62"/>
      <c r="J229" s="62"/>
      <c r="K229" s="65"/>
      <c r="L229" s="65"/>
      <c r="M229" s="62"/>
      <c r="N229" s="11"/>
      <c r="O229" s="66"/>
      <c r="P229" s="62"/>
      <c r="Q229" s="62"/>
      <c r="R229" s="62"/>
      <c r="S229" s="62"/>
    </row>
    <row r="230" s="58" customFormat="1" customHeight="1" spans="1:19">
      <c r="A230" s="61"/>
      <c r="B230" s="62"/>
      <c r="C230" s="61"/>
      <c r="D230" s="61"/>
      <c r="E230" s="64"/>
      <c r="F230" s="64"/>
      <c r="G230" s="62"/>
      <c r="H230" s="62"/>
      <c r="I230" s="62"/>
      <c r="J230" s="62"/>
      <c r="K230" s="65"/>
      <c r="L230" s="65"/>
      <c r="M230" s="62"/>
      <c r="N230" s="11"/>
      <c r="O230" s="66"/>
      <c r="P230" s="62"/>
      <c r="Q230" s="62"/>
      <c r="R230" s="62"/>
      <c r="S230" s="62"/>
    </row>
    <row r="231" s="58" customFormat="1" spans="1:19">
      <c r="A231" s="61"/>
      <c r="B231" s="62"/>
      <c r="C231" s="61"/>
      <c r="D231" s="61"/>
      <c r="E231" s="64"/>
      <c r="F231" s="64"/>
      <c r="G231" s="62"/>
      <c r="H231" s="62"/>
      <c r="I231" s="62"/>
      <c r="J231" s="62"/>
      <c r="K231" s="65"/>
      <c r="L231" s="65"/>
      <c r="M231" s="62"/>
      <c r="N231" s="11"/>
      <c r="O231" s="66"/>
      <c r="P231" s="62"/>
      <c r="Q231" s="62"/>
      <c r="R231" s="62"/>
      <c r="S231" s="62"/>
    </row>
    <row r="232" s="58" customFormat="1" spans="1:19">
      <c r="A232" s="61"/>
      <c r="B232" s="62"/>
      <c r="C232" s="61"/>
      <c r="D232" s="61"/>
      <c r="E232" s="64"/>
      <c r="F232" s="64"/>
      <c r="G232" s="62"/>
      <c r="H232" s="62"/>
      <c r="I232" s="62"/>
      <c r="J232" s="62"/>
      <c r="K232" s="65"/>
      <c r="L232" s="65"/>
      <c r="M232" s="62"/>
      <c r="N232" s="11"/>
      <c r="O232" s="66"/>
      <c r="P232" s="62"/>
      <c r="Q232" s="62"/>
      <c r="R232" s="62"/>
      <c r="S232" s="62"/>
    </row>
    <row r="233" s="58" customFormat="1" spans="1:19">
      <c r="A233" s="61"/>
      <c r="B233" s="62"/>
      <c r="C233" s="61"/>
      <c r="D233" s="61"/>
      <c r="E233" s="64"/>
      <c r="F233" s="64"/>
      <c r="G233" s="62"/>
      <c r="H233" s="62"/>
      <c r="I233" s="62"/>
      <c r="J233" s="62"/>
      <c r="K233" s="65"/>
      <c r="L233" s="65"/>
      <c r="M233" s="62"/>
      <c r="N233" s="11"/>
      <c r="O233" s="66"/>
      <c r="P233" s="62"/>
      <c r="Q233" s="62"/>
      <c r="R233" s="62"/>
      <c r="S233" s="62"/>
    </row>
    <row r="234" spans="1:19">
      <c r="C234" s="61"/>
      <c r="D234" s="61"/>
      <c r="Q234" s="62"/>
    </row>
    <row r="235" spans="1:19">
      <c r="C235" s="61"/>
      <c r="D235" s="61"/>
      <c r="Q235" s="62"/>
    </row>
    <row r="236" s="58" customFormat="1" spans="1:19">
      <c r="A236" s="61"/>
      <c r="B236" s="62"/>
      <c r="C236" s="61"/>
      <c r="D236" s="61"/>
      <c r="E236" s="64"/>
      <c r="F236" s="64"/>
      <c r="G236" s="62"/>
      <c r="H236" s="62"/>
      <c r="I236" s="62"/>
      <c r="J236" s="62"/>
      <c r="K236" s="65"/>
      <c r="L236" s="65"/>
      <c r="M236" s="62"/>
      <c r="N236" s="62"/>
      <c r="O236" s="66"/>
      <c r="P236" s="62"/>
      <c r="Q236" s="62"/>
      <c r="R236" s="94"/>
      <c r="S236" s="62"/>
    </row>
    <row r="237" s="58" customFormat="1" spans="1:19">
      <c r="A237" s="61"/>
      <c r="B237" s="62"/>
      <c r="C237" s="61"/>
      <c r="D237" s="61"/>
      <c r="E237" s="64"/>
      <c r="F237" s="64"/>
      <c r="G237" s="62"/>
      <c r="H237" s="62"/>
      <c r="I237" s="62"/>
      <c r="J237" s="62"/>
      <c r="K237" s="65"/>
      <c r="L237" s="65"/>
      <c r="M237" s="62"/>
      <c r="N237" s="11"/>
      <c r="O237" s="66"/>
      <c r="P237" s="62"/>
      <c r="Q237" s="62"/>
      <c r="R237" s="62"/>
      <c r="S237" s="62"/>
    </row>
    <row r="238" s="58" customFormat="1" spans="1:19">
      <c r="A238" s="61"/>
      <c r="B238" s="62"/>
      <c r="C238" s="61"/>
      <c r="D238" s="61"/>
      <c r="E238" s="64"/>
      <c r="F238" s="64"/>
      <c r="G238" s="62"/>
      <c r="H238" s="62"/>
      <c r="I238" s="62"/>
      <c r="J238" s="62"/>
      <c r="K238" s="65"/>
      <c r="L238" s="65"/>
      <c r="M238" s="62"/>
      <c r="N238" s="11"/>
      <c r="O238" s="66"/>
      <c r="P238" s="62"/>
      <c r="Q238" s="62"/>
      <c r="R238" s="62"/>
      <c r="S238" s="62"/>
    </row>
    <row r="239" s="58" customFormat="1" spans="1:19">
      <c r="A239" s="61"/>
      <c r="B239" s="62"/>
      <c r="C239" s="61"/>
      <c r="D239" s="61"/>
      <c r="E239" s="64"/>
      <c r="F239" s="64"/>
      <c r="G239" s="62"/>
      <c r="H239" s="62"/>
      <c r="I239" s="62"/>
      <c r="J239" s="62"/>
      <c r="K239" s="65"/>
      <c r="L239" s="65"/>
      <c r="M239" s="62"/>
      <c r="N239" s="11"/>
      <c r="O239" s="66"/>
      <c r="P239" s="62"/>
      <c r="Q239" s="62"/>
      <c r="R239" s="62"/>
      <c r="S239" s="62"/>
    </row>
    <row r="240" s="58" customFormat="1" spans="1:19">
      <c r="A240" s="61"/>
      <c r="B240" s="62"/>
      <c r="C240" s="61"/>
      <c r="D240" s="61"/>
      <c r="E240" s="64"/>
      <c r="F240" s="64"/>
      <c r="G240" s="62"/>
      <c r="H240" s="62"/>
      <c r="I240" s="62"/>
      <c r="J240" s="62"/>
      <c r="K240" s="106"/>
      <c r="L240" s="65"/>
      <c r="M240" s="62"/>
      <c r="N240" s="11"/>
      <c r="O240" s="66"/>
      <c r="P240" s="62"/>
      <c r="Q240" s="62"/>
      <c r="R240" s="62"/>
      <c r="S240" s="62"/>
    </row>
    <row r="241" s="58" customFormat="1" spans="1:19">
      <c r="A241" s="61"/>
      <c r="B241" s="62"/>
      <c r="C241" s="61"/>
      <c r="D241" s="61"/>
      <c r="E241" s="64"/>
      <c r="F241" s="64"/>
      <c r="G241" s="62"/>
      <c r="H241" s="62"/>
      <c r="I241" s="62"/>
      <c r="J241" s="62"/>
      <c r="K241" s="106"/>
      <c r="L241" s="65"/>
      <c r="M241" s="62"/>
      <c r="N241" s="11"/>
      <c r="O241" s="66"/>
      <c r="P241" s="62"/>
      <c r="Q241" s="62"/>
      <c r="R241" s="62"/>
      <c r="S241" s="62"/>
    </row>
    <row r="242" s="58" customFormat="1" spans="1:19">
      <c r="A242" s="61"/>
      <c r="B242" s="62"/>
      <c r="C242" s="61"/>
      <c r="D242" s="61"/>
      <c r="E242" s="64"/>
      <c r="F242" s="64"/>
      <c r="G242" s="62"/>
      <c r="H242" s="62"/>
      <c r="I242" s="62"/>
      <c r="J242" s="62"/>
      <c r="K242" s="61"/>
      <c r="L242" s="65"/>
      <c r="M242" s="62"/>
      <c r="N242" s="11"/>
      <c r="O242" s="66"/>
      <c r="P242" s="62"/>
      <c r="Q242" s="62"/>
      <c r="R242" s="62"/>
      <c r="S242" s="62"/>
    </row>
    <row r="243" s="58" customFormat="1" spans="1:19">
      <c r="A243" s="61"/>
      <c r="B243" s="62"/>
      <c r="C243" s="61"/>
      <c r="D243" s="61"/>
      <c r="E243" s="64"/>
      <c r="F243" s="64"/>
      <c r="G243" s="62"/>
      <c r="H243" s="62"/>
      <c r="I243" s="62"/>
      <c r="J243" s="62"/>
      <c r="K243" s="61"/>
      <c r="L243" s="65"/>
      <c r="M243" s="62"/>
      <c r="N243" s="11"/>
      <c r="O243" s="66"/>
      <c r="P243" s="62"/>
      <c r="Q243" s="62"/>
      <c r="R243" s="62"/>
      <c r="S243" s="62"/>
    </row>
    <row r="244" s="58" customFormat="1" spans="1:19">
      <c r="A244" s="61"/>
      <c r="B244" s="62"/>
      <c r="C244" s="61"/>
      <c r="D244" s="61"/>
      <c r="E244" s="64"/>
      <c r="F244" s="64"/>
      <c r="G244" s="62"/>
      <c r="H244" s="62"/>
      <c r="I244" s="62"/>
      <c r="J244" s="62"/>
      <c r="K244" s="61"/>
      <c r="L244" s="65"/>
      <c r="M244" s="62"/>
      <c r="N244" s="11"/>
      <c r="O244" s="66"/>
      <c r="P244" s="62"/>
      <c r="Q244" s="62"/>
      <c r="R244" s="94"/>
      <c r="S244" s="62"/>
    </row>
    <row r="245" s="58" customFormat="1" spans="1:19">
      <c r="A245" s="61"/>
      <c r="B245" s="62"/>
      <c r="C245" s="61"/>
      <c r="D245" s="61"/>
      <c r="E245" s="64"/>
      <c r="F245" s="64"/>
      <c r="G245" s="62"/>
      <c r="H245" s="62"/>
      <c r="I245" s="62"/>
      <c r="J245" s="62"/>
      <c r="K245" s="61"/>
      <c r="L245" s="65"/>
      <c r="M245" s="62"/>
      <c r="N245" s="11"/>
      <c r="O245" s="66"/>
      <c r="P245" s="62"/>
      <c r="Q245" s="62"/>
      <c r="R245" s="92"/>
      <c r="S245" s="62"/>
    </row>
    <row r="246" s="58" customFormat="1" spans="1:19">
      <c r="A246" s="61"/>
      <c r="B246" s="62"/>
      <c r="C246" s="61"/>
      <c r="D246" s="61"/>
      <c r="E246" s="64"/>
      <c r="F246" s="64"/>
      <c r="G246" s="62"/>
      <c r="H246" s="62"/>
      <c r="I246" s="62"/>
      <c r="J246" s="62"/>
      <c r="K246" s="61"/>
      <c r="L246" s="65"/>
      <c r="M246" s="62"/>
      <c r="N246" s="11"/>
      <c r="O246" s="66"/>
      <c r="P246" s="62"/>
      <c r="Q246" s="62"/>
      <c r="R246" s="62"/>
      <c r="S246" s="62"/>
    </row>
    <row r="247" s="58" customFormat="1" spans="1:19">
      <c r="A247" s="61"/>
      <c r="B247" s="62"/>
      <c r="C247" s="61"/>
      <c r="D247" s="61"/>
      <c r="E247" s="64"/>
      <c r="F247" s="64"/>
      <c r="G247" s="62"/>
      <c r="H247" s="62"/>
      <c r="I247" s="62"/>
      <c r="J247" s="62"/>
      <c r="K247" s="61"/>
      <c r="L247" s="65"/>
      <c r="M247" s="62"/>
      <c r="N247" s="11"/>
      <c r="O247" s="66"/>
      <c r="P247" s="62"/>
      <c r="Q247" s="62"/>
      <c r="R247" s="94"/>
      <c r="S247" s="62"/>
    </row>
    <row r="248" s="58" customFormat="1" spans="1:19">
      <c r="A248" s="61"/>
      <c r="B248" s="62"/>
      <c r="C248" s="61"/>
      <c r="D248" s="61"/>
      <c r="E248" s="64"/>
      <c r="F248" s="64"/>
      <c r="G248" s="62"/>
      <c r="H248" s="62"/>
      <c r="I248" s="62"/>
      <c r="J248" s="62"/>
      <c r="K248" s="61"/>
      <c r="L248" s="65"/>
      <c r="M248" s="62"/>
      <c r="N248" s="11"/>
      <c r="O248" s="66"/>
      <c r="P248" s="62"/>
      <c r="Q248" s="62"/>
      <c r="R248" s="95"/>
      <c r="S248" s="62"/>
    </row>
    <row r="249" s="58" customFormat="1" spans="1:19">
      <c r="A249" s="61"/>
      <c r="B249" s="62"/>
      <c r="C249" s="61"/>
      <c r="D249" s="61"/>
      <c r="E249" s="64"/>
      <c r="F249" s="64"/>
      <c r="G249" s="62"/>
      <c r="H249" s="62"/>
      <c r="I249" s="62"/>
      <c r="J249" s="62"/>
      <c r="K249" s="61"/>
      <c r="L249" s="65"/>
      <c r="M249" s="62"/>
      <c r="N249" s="11"/>
      <c r="O249" s="66"/>
      <c r="P249" s="62"/>
      <c r="Q249" s="62"/>
      <c r="R249" s="92"/>
      <c r="S249" s="62"/>
    </row>
    <row r="250" s="58" customFormat="1" spans="1:19">
      <c r="A250" s="61"/>
      <c r="B250" s="62"/>
      <c r="C250" s="61"/>
      <c r="D250" s="61"/>
      <c r="E250" s="64"/>
      <c r="F250" s="64"/>
      <c r="G250" s="62"/>
      <c r="H250" s="62"/>
      <c r="I250" s="62"/>
      <c r="J250" s="62"/>
      <c r="K250" s="61"/>
      <c r="L250" s="65"/>
      <c r="M250" s="62"/>
      <c r="N250" s="11"/>
      <c r="O250" s="66"/>
      <c r="P250" s="62"/>
      <c r="Q250" s="62"/>
      <c r="R250" s="94"/>
      <c r="S250" s="62"/>
    </row>
    <row r="251" s="58" customFormat="1" spans="1:19">
      <c r="A251" s="61"/>
      <c r="B251" s="62"/>
      <c r="C251" s="61"/>
      <c r="D251" s="61"/>
      <c r="E251" s="64"/>
      <c r="F251" s="64"/>
      <c r="G251" s="62"/>
      <c r="H251" s="62"/>
      <c r="I251" s="62"/>
      <c r="J251" s="62"/>
      <c r="K251" s="61"/>
      <c r="L251" s="65"/>
      <c r="M251" s="62"/>
      <c r="N251" s="11"/>
      <c r="O251" s="66"/>
      <c r="P251" s="62"/>
      <c r="Q251" s="62"/>
      <c r="R251" s="92"/>
      <c r="S251" s="62"/>
    </row>
    <row r="252" s="58" customFormat="1" spans="1:19">
      <c r="A252" s="61"/>
      <c r="B252" s="62"/>
      <c r="C252" s="61"/>
      <c r="D252" s="61"/>
      <c r="E252" s="64"/>
      <c r="F252" s="64"/>
      <c r="G252" s="62"/>
      <c r="H252" s="62"/>
      <c r="I252" s="62"/>
      <c r="J252" s="62"/>
      <c r="K252" s="61"/>
      <c r="L252" s="65"/>
      <c r="M252" s="62"/>
      <c r="N252" s="11"/>
      <c r="O252" s="66"/>
      <c r="P252" s="62"/>
      <c r="Q252" s="62"/>
      <c r="R252" s="62"/>
      <c r="S252" s="62"/>
    </row>
    <row r="253" s="58" customFormat="1" spans="1:19">
      <c r="A253" s="61"/>
      <c r="B253" s="62"/>
      <c r="C253" s="61"/>
      <c r="D253" s="61"/>
      <c r="E253" s="64"/>
      <c r="F253" s="64"/>
      <c r="G253" s="62"/>
      <c r="H253" s="62"/>
      <c r="I253" s="62"/>
      <c r="J253" s="62"/>
      <c r="K253" s="61"/>
      <c r="L253" s="65"/>
      <c r="M253" s="62"/>
      <c r="N253" s="11"/>
      <c r="O253" s="66"/>
      <c r="P253" s="62"/>
      <c r="Q253" s="62"/>
      <c r="R253" s="94"/>
      <c r="S253" s="62"/>
    </row>
    <row r="254" s="58" customFormat="1" spans="1:19">
      <c r="A254" s="61"/>
      <c r="B254" s="62"/>
      <c r="C254" s="61"/>
      <c r="D254" s="61"/>
      <c r="E254" s="64"/>
      <c r="F254" s="64"/>
      <c r="G254" s="62"/>
      <c r="H254" s="62"/>
      <c r="I254" s="62"/>
      <c r="J254" s="62"/>
      <c r="K254" s="61"/>
      <c r="L254" s="65"/>
      <c r="M254" s="62"/>
      <c r="N254" s="11"/>
      <c r="O254" s="66"/>
      <c r="P254" s="62"/>
      <c r="Q254" s="62"/>
      <c r="R254" s="92"/>
      <c r="S254" s="62"/>
    </row>
    <row r="255" s="58" customFormat="1" spans="1:19">
      <c r="A255" s="61"/>
      <c r="B255" s="62"/>
      <c r="C255" s="61"/>
      <c r="D255" s="61"/>
      <c r="E255" s="64"/>
      <c r="F255" s="64"/>
      <c r="G255" s="62"/>
      <c r="H255" s="62"/>
      <c r="I255" s="62"/>
      <c r="J255" s="62"/>
      <c r="K255" s="61"/>
      <c r="L255" s="65"/>
      <c r="M255" s="62"/>
      <c r="N255" s="11"/>
      <c r="O255" s="66"/>
      <c r="P255" s="62"/>
      <c r="Q255" s="62"/>
      <c r="R255" s="94"/>
      <c r="S255" s="62"/>
    </row>
    <row r="256" s="58" customFormat="1" spans="1:19">
      <c r="A256" s="61"/>
      <c r="B256" s="62"/>
      <c r="C256" s="61"/>
      <c r="D256" s="61"/>
      <c r="E256" s="64"/>
      <c r="F256" s="64"/>
      <c r="G256" s="62"/>
      <c r="H256" s="62"/>
      <c r="I256" s="62"/>
      <c r="J256" s="62"/>
      <c r="K256" s="61"/>
      <c r="L256" s="65"/>
      <c r="M256" s="62"/>
      <c r="N256" s="11"/>
      <c r="O256" s="66"/>
      <c r="P256" s="62"/>
      <c r="Q256" s="62"/>
      <c r="R256" s="92"/>
      <c r="S256" s="62"/>
    </row>
    <row r="257" s="58" customFormat="1" spans="1:19">
      <c r="A257" s="61"/>
      <c r="B257" s="62"/>
      <c r="C257" s="61"/>
      <c r="D257" s="61"/>
      <c r="E257" s="64"/>
      <c r="F257" s="64"/>
      <c r="G257" s="62"/>
      <c r="H257" s="62"/>
      <c r="I257" s="62"/>
      <c r="J257" s="62"/>
      <c r="K257" s="61"/>
      <c r="L257" s="65"/>
      <c r="M257" s="62"/>
      <c r="N257" s="11"/>
      <c r="O257" s="66"/>
      <c r="P257" s="62"/>
      <c r="Q257" s="62"/>
      <c r="R257" s="62"/>
      <c r="S257" s="62"/>
    </row>
    <row r="258" s="58" customFormat="1" spans="1:19">
      <c r="A258" s="61"/>
      <c r="B258" s="62"/>
      <c r="C258" s="61"/>
      <c r="D258" s="61"/>
      <c r="E258" s="64"/>
      <c r="F258" s="64"/>
      <c r="G258" s="62"/>
      <c r="H258" s="62"/>
      <c r="I258" s="62"/>
      <c r="J258" s="62"/>
      <c r="K258" s="61"/>
      <c r="L258" s="65"/>
      <c r="M258" s="62"/>
      <c r="N258" s="11"/>
      <c r="O258" s="66"/>
      <c r="P258" s="62"/>
      <c r="Q258" s="62"/>
      <c r="R258" s="94"/>
      <c r="S258" s="62"/>
    </row>
    <row r="259" s="58" customFormat="1" spans="1:19">
      <c r="A259" s="61"/>
      <c r="B259" s="62"/>
      <c r="C259" s="61"/>
      <c r="D259" s="61"/>
      <c r="E259" s="64"/>
      <c r="F259" s="64"/>
      <c r="G259" s="62"/>
      <c r="H259" s="62"/>
      <c r="I259" s="62"/>
      <c r="J259" s="62"/>
      <c r="K259" s="61"/>
      <c r="L259" s="65"/>
      <c r="M259" s="62"/>
      <c r="N259" s="11"/>
      <c r="O259" s="66"/>
      <c r="P259" s="62"/>
      <c r="Q259" s="62"/>
      <c r="R259" s="92"/>
      <c r="S259" s="62"/>
    </row>
    <row r="260" s="58" customFormat="1" spans="1:19">
      <c r="A260" s="61"/>
      <c r="B260" s="62"/>
      <c r="C260" s="61"/>
      <c r="D260" s="61"/>
      <c r="E260" s="64"/>
      <c r="F260" s="64"/>
      <c r="G260" s="62"/>
      <c r="H260" s="62"/>
      <c r="I260" s="62"/>
      <c r="J260" s="62"/>
      <c r="K260" s="61"/>
      <c r="L260" s="65"/>
      <c r="M260" s="62"/>
      <c r="N260" s="11"/>
      <c r="O260" s="66"/>
      <c r="P260" s="62"/>
      <c r="Q260" s="62"/>
      <c r="R260" s="62"/>
      <c r="S260" s="62"/>
    </row>
    <row r="261" s="58" customFormat="1" spans="1:19">
      <c r="A261" s="61"/>
      <c r="B261" s="62"/>
      <c r="C261" s="61"/>
      <c r="D261" s="61"/>
      <c r="E261" s="64"/>
      <c r="F261" s="64"/>
      <c r="G261" s="62"/>
      <c r="H261" s="62"/>
      <c r="I261" s="62"/>
      <c r="J261" s="62"/>
      <c r="K261" s="61"/>
      <c r="L261" s="65"/>
      <c r="M261" s="62"/>
      <c r="N261" s="11"/>
      <c r="O261" s="66"/>
      <c r="P261" s="62"/>
      <c r="Q261" s="62"/>
      <c r="R261" s="94"/>
      <c r="S261" s="62"/>
    </row>
    <row r="262" s="58" customFormat="1" spans="1:19">
      <c r="A262" s="61"/>
      <c r="B262" s="62"/>
      <c r="C262" s="61"/>
      <c r="D262" s="61"/>
      <c r="E262" s="64"/>
      <c r="F262" s="64"/>
      <c r="G262" s="62"/>
      <c r="H262" s="62"/>
      <c r="I262" s="62"/>
      <c r="J262" s="62"/>
      <c r="K262" s="61"/>
      <c r="L262" s="65"/>
      <c r="M262" s="62"/>
      <c r="N262" s="11"/>
      <c r="O262" s="66"/>
      <c r="P262" s="62"/>
      <c r="Q262" s="62"/>
      <c r="R262" s="92"/>
      <c r="S262" s="62"/>
    </row>
    <row r="263" s="58" customFormat="1" spans="1:19">
      <c r="A263" s="61"/>
      <c r="B263" s="62"/>
      <c r="C263" s="61"/>
      <c r="D263" s="61"/>
      <c r="E263" s="64"/>
      <c r="F263" s="64"/>
      <c r="G263" s="62"/>
      <c r="H263" s="62"/>
      <c r="I263" s="62"/>
      <c r="J263" s="62"/>
      <c r="K263" s="61"/>
      <c r="L263" s="65"/>
      <c r="M263" s="62"/>
      <c r="N263" s="11"/>
      <c r="O263" s="66"/>
      <c r="P263" s="62"/>
      <c r="Q263" s="62"/>
      <c r="R263" s="94"/>
      <c r="S263" s="62"/>
    </row>
    <row r="264" s="58" customFormat="1" spans="1:19">
      <c r="A264" s="61"/>
      <c r="B264" s="62"/>
      <c r="C264" s="61"/>
      <c r="D264" s="61"/>
      <c r="E264" s="64"/>
      <c r="F264" s="64"/>
      <c r="G264" s="62"/>
      <c r="H264" s="62"/>
      <c r="I264" s="62"/>
      <c r="J264" s="62"/>
      <c r="K264" s="61"/>
      <c r="L264" s="65"/>
      <c r="M264" s="62"/>
      <c r="N264" s="11"/>
      <c r="O264" s="66"/>
      <c r="P264" s="62"/>
      <c r="Q264" s="62"/>
      <c r="R264" s="92"/>
      <c r="S264" s="62"/>
    </row>
    <row r="265" s="58" customFormat="1" spans="1:19">
      <c r="A265" s="61"/>
      <c r="B265" s="62"/>
      <c r="C265" s="61"/>
      <c r="D265" s="61"/>
      <c r="E265" s="64"/>
      <c r="F265" s="64"/>
      <c r="G265" s="62"/>
      <c r="H265" s="62"/>
      <c r="I265" s="62"/>
      <c r="J265" s="62"/>
      <c r="K265" s="61"/>
      <c r="L265" s="65"/>
      <c r="M265" s="62"/>
      <c r="N265" s="11"/>
      <c r="O265" s="66"/>
      <c r="P265" s="62"/>
      <c r="Q265" s="62"/>
      <c r="R265" s="62"/>
      <c r="S265" s="62"/>
    </row>
    <row r="266" s="58" customFormat="1" spans="1:19">
      <c r="A266" s="61"/>
      <c r="B266" s="62"/>
      <c r="C266" s="61"/>
      <c r="D266" s="61"/>
      <c r="E266" s="64"/>
      <c r="F266" s="64"/>
      <c r="G266" s="62"/>
      <c r="H266" s="62"/>
      <c r="I266" s="62"/>
      <c r="J266" s="62"/>
      <c r="K266" s="61"/>
      <c r="L266" s="65"/>
      <c r="M266" s="62"/>
      <c r="N266" s="11"/>
      <c r="O266" s="66"/>
      <c r="P266" s="62"/>
      <c r="Q266" s="62"/>
      <c r="R266" s="62"/>
      <c r="S266" s="62"/>
    </row>
    <row r="267" s="58" customFormat="1" spans="1:19">
      <c r="A267" s="109"/>
      <c r="B267" s="108"/>
      <c r="C267" s="109"/>
      <c r="D267" s="109"/>
      <c r="E267" s="110"/>
      <c r="F267" s="110"/>
      <c r="G267" s="108"/>
      <c r="H267" s="108"/>
      <c r="I267" s="108"/>
      <c r="J267" s="108"/>
      <c r="K267" s="109"/>
      <c r="L267" s="106"/>
      <c r="M267" s="108"/>
      <c r="N267" s="111"/>
      <c r="O267" s="107"/>
      <c r="P267" s="108"/>
      <c r="Q267" s="62"/>
      <c r="R267" s="108"/>
      <c r="S267" s="62"/>
    </row>
    <row r="268" s="58" customFormat="1" spans="1:19">
      <c r="A268" s="61"/>
      <c r="B268" s="62"/>
      <c r="C268" s="61"/>
      <c r="D268" s="61"/>
      <c r="E268" s="64"/>
      <c r="F268" s="64"/>
      <c r="G268" s="62"/>
      <c r="H268" s="62"/>
      <c r="I268" s="62"/>
      <c r="J268" s="62"/>
      <c r="K268" s="61"/>
      <c r="L268" s="65"/>
      <c r="M268" s="62"/>
      <c r="N268" s="11"/>
      <c r="O268" s="66"/>
      <c r="P268" s="62"/>
      <c r="Q268" s="62"/>
      <c r="R268" s="62"/>
      <c r="S268" s="62"/>
    </row>
    <row r="269" s="58" customFormat="1" spans="1:19">
      <c r="A269" s="61"/>
      <c r="B269" s="62"/>
      <c r="C269" s="61"/>
      <c r="D269" s="61"/>
      <c r="E269" s="64"/>
      <c r="F269" s="64"/>
      <c r="G269" s="62"/>
      <c r="H269" s="62"/>
      <c r="I269" s="62"/>
      <c r="J269" s="62"/>
      <c r="K269" s="65"/>
      <c r="L269" s="65"/>
      <c r="M269" s="62"/>
      <c r="N269" s="11"/>
      <c r="O269" s="66"/>
      <c r="P269" s="62"/>
      <c r="Q269" s="62"/>
      <c r="R269" s="62"/>
      <c r="S269" s="62"/>
    </row>
    <row r="270" s="58" customFormat="1" spans="1:19">
      <c r="A270" s="61"/>
      <c r="B270" s="62"/>
      <c r="C270" s="61"/>
      <c r="D270" s="61"/>
      <c r="E270" s="64"/>
      <c r="F270" s="64"/>
      <c r="G270" s="62"/>
      <c r="H270" s="62"/>
      <c r="I270" s="62"/>
      <c r="J270" s="62"/>
      <c r="K270" s="65"/>
      <c r="L270" s="65"/>
      <c r="M270" s="62"/>
      <c r="N270" s="11"/>
      <c r="O270" s="66"/>
      <c r="P270" s="62"/>
      <c r="Q270" s="62"/>
      <c r="R270" s="62"/>
      <c r="S270" s="62"/>
    </row>
    <row r="271" s="58" customFormat="1" spans="1:19">
      <c r="A271" s="61"/>
      <c r="B271" s="62"/>
      <c r="C271" s="61"/>
      <c r="D271" s="61"/>
      <c r="E271" s="64"/>
      <c r="F271" s="64"/>
      <c r="G271" s="62"/>
      <c r="H271" s="62"/>
      <c r="I271" s="62"/>
      <c r="J271" s="62"/>
      <c r="K271" s="65"/>
      <c r="L271" s="65"/>
      <c r="M271" s="62"/>
      <c r="N271" s="11"/>
      <c r="O271" s="66"/>
      <c r="P271" s="62"/>
      <c r="Q271" s="62"/>
      <c r="R271" s="62"/>
      <c r="S271" s="62"/>
    </row>
    <row r="272" s="58" customFormat="1" spans="1:19">
      <c r="A272" s="61"/>
      <c r="B272" s="62"/>
      <c r="C272" s="61"/>
      <c r="D272" s="61"/>
      <c r="E272" s="64"/>
      <c r="F272" s="64"/>
      <c r="G272" s="62"/>
      <c r="H272" s="62"/>
      <c r="I272" s="62"/>
      <c r="J272" s="62"/>
      <c r="K272" s="65"/>
      <c r="L272" s="65"/>
      <c r="M272" s="62"/>
      <c r="N272" s="11"/>
      <c r="O272" s="66"/>
      <c r="P272" s="62"/>
      <c r="Q272" s="62"/>
      <c r="R272" s="62"/>
      <c r="S272" s="62"/>
    </row>
    <row r="273" s="58" customFormat="1" spans="1:19">
      <c r="A273" s="61"/>
      <c r="B273" s="62"/>
      <c r="C273" s="61"/>
      <c r="D273" s="61"/>
      <c r="E273" s="64"/>
      <c r="F273" s="64"/>
      <c r="G273" s="62"/>
      <c r="H273" s="62"/>
      <c r="I273" s="62"/>
      <c r="J273" s="62"/>
      <c r="K273" s="65"/>
      <c r="L273" s="65"/>
      <c r="M273" s="62"/>
      <c r="N273" s="11"/>
      <c r="O273" s="66"/>
      <c r="P273" s="62"/>
      <c r="Q273" s="62"/>
      <c r="R273" s="62"/>
      <c r="S273" s="62"/>
    </row>
    <row r="274" s="58" customFormat="1" spans="1:19">
      <c r="A274" s="61"/>
      <c r="B274" s="62"/>
      <c r="C274" s="61"/>
      <c r="D274" s="61"/>
      <c r="E274" s="64"/>
      <c r="F274" s="64"/>
      <c r="G274" s="62"/>
      <c r="H274" s="62"/>
      <c r="I274" s="62"/>
      <c r="J274" s="62"/>
      <c r="K274" s="65"/>
      <c r="L274" s="65"/>
      <c r="M274" s="62"/>
      <c r="N274" s="11"/>
      <c r="O274" s="66"/>
      <c r="P274" s="62"/>
      <c r="Q274" s="62"/>
      <c r="R274" s="62"/>
      <c r="S274" s="62"/>
    </row>
    <row r="275" s="58" customFormat="1" spans="1:19">
      <c r="A275" s="61"/>
      <c r="B275" s="62"/>
      <c r="C275" s="61"/>
      <c r="D275" s="61"/>
      <c r="E275" s="64"/>
      <c r="F275" s="64"/>
      <c r="G275" s="62"/>
      <c r="H275" s="62"/>
      <c r="I275" s="62"/>
      <c r="J275" s="62"/>
      <c r="K275" s="65"/>
      <c r="L275" s="65"/>
      <c r="M275" s="62"/>
      <c r="N275" s="11"/>
      <c r="O275" s="66"/>
      <c r="P275" s="62"/>
      <c r="Q275" s="62"/>
      <c r="R275" s="62"/>
      <c r="S275" s="62"/>
    </row>
    <row r="276" s="58" customFormat="1" spans="1:19">
      <c r="A276" s="61"/>
      <c r="B276" s="62"/>
      <c r="C276" s="61"/>
      <c r="D276" s="61"/>
      <c r="E276" s="64"/>
      <c r="F276" s="64"/>
      <c r="G276" s="62"/>
      <c r="H276" s="62"/>
      <c r="I276" s="62"/>
      <c r="J276" s="62"/>
      <c r="K276" s="65"/>
      <c r="L276" s="65"/>
      <c r="M276" s="62"/>
      <c r="N276" s="11"/>
      <c r="O276" s="66"/>
      <c r="P276" s="62"/>
      <c r="Q276" s="62"/>
      <c r="R276" s="62"/>
      <c r="S276" s="62"/>
    </row>
    <row r="277" s="58" customFormat="1" spans="1:19">
      <c r="A277" s="61"/>
      <c r="B277" s="62"/>
      <c r="C277" s="61"/>
      <c r="D277" s="61"/>
      <c r="E277" s="64"/>
      <c r="F277" s="64"/>
      <c r="G277" s="62"/>
      <c r="H277" s="62"/>
      <c r="I277" s="62"/>
      <c r="J277" s="62"/>
      <c r="K277" s="65"/>
      <c r="L277" s="65"/>
      <c r="M277" s="62"/>
      <c r="N277" s="11"/>
      <c r="O277" s="66"/>
      <c r="P277" s="62"/>
      <c r="Q277" s="62"/>
      <c r="R277" s="62"/>
      <c r="S277" s="62"/>
    </row>
    <row r="278" s="58" customFormat="1" spans="1:19">
      <c r="A278" s="61"/>
      <c r="B278" s="62"/>
      <c r="C278" s="61"/>
      <c r="D278" s="61"/>
      <c r="E278" s="64"/>
      <c r="F278" s="64"/>
      <c r="G278" s="62"/>
      <c r="H278" s="62"/>
      <c r="I278" s="62"/>
      <c r="J278" s="62"/>
      <c r="K278" s="65"/>
      <c r="L278" s="65"/>
      <c r="M278" s="62"/>
      <c r="N278" s="11"/>
      <c r="O278" s="66"/>
      <c r="P278" s="62"/>
      <c r="Q278" s="62"/>
      <c r="R278" s="62"/>
      <c r="S278" s="62"/>
    </row>
    <row r="279" s="58" customFormat="1" spans="1:19">
      <c r="A279" s="61"/>
      <c r="B279" s="62"/>
      <c r="C279" s="61"/>
      <c r="D279" s="61"/>
      <c r="E279" s="64"/>
      <c r="F279" s="64"/>
      <c r="G279" s="62"/>
      <c r="H279" s="62"/>
      <c r="I279" s="62"/>
      <c r="J279" s="62"/>
      <c r="K279" s="65"/>
      <c r="L279" s="65"/>
      <c r="M279" s="62"/>
      <c r="N279" s="11"/>
      <c r="O279" s="66"/>
      <c r="P279" s="62"/>
      <c r="Q279" s="62"/>
      <c r="R279" s="62"/>
      <c r="S279" s="62"/>
    </row>
    <row r="280" s="58" customFormat="1" spans="1:19">
      <c r="A280" s="61"/>
      <c r="B280" s="62"/>
      <c r="C280" s="61"/>
      <c r="D280" s="61"/>
      <c r="E280" s="64"/>
      <c r="F280" s="64"/>
      <c r="G280" s="62"/>
      <c r="H280" s="62"/>
      <c r="I280" s="62"/>
      <c r="J280" s="62"/>
      <c r="K280" s="65"/>
      <c r="L280" s="65"/>
      <c r="M280" s="62"/>
      <c r="N280" s="11"/>
      <c r="O280" s="66"/>
      <c r="P280" s="62"/>
      <c r="Q280" s="62"/>
      <c r="R280" s="62"/>
      <c r="S280" s="62"/>
    </row>
    <row r="281" s="58" customFormat="1" spans="1:19">
      <c r="A281" s="61"/>
      <c r="B281" s="62"/>
      <c r="C281" s="61"/>
      <c r="D281" s="61"/>
      <c r="E281" s="64"/>
      <c r="F281" s="64"/>
      <c r="G281" s="62"/>
      <c r="H281" s="62"/>
      <c r="I281" s="62"/>
      <c r="J281" s="62"/>
      <c r="K281" s="65"/>
      <c r="L281" s="65"/>
      <c r="M281" s="62"/>
      <c r="N281" s="11"/>
      <c r="O281" s="66"/>
      <c r="P281" s="62"/>
      <c r="Q281" s="62"/>
      <c r="R281" s="62"/>
      <c r="S281" s="62"/>
    </row>
    <row r="282" s="58" customFormat="1" spans="1:19">
      <c r="A282" s="61"/>
      <c r="B282" s="62"/>
      <c r="C282" s="61"/>
      <c r="D282" s="61"/>
      <c r="E282" s="64"/>
      <c r="F282" s="64"/>
      <c r="G282" s="62"/>
      <c r="H282" s="62"/>
      <c r="I282" s="62"/>
      <c r="J282" s="62"/>
      <c r="K282" s="65"/>
      <c r="L282" s="65"/>
      <c r="M282" s="62"/>
      <c r="N282" s="11"/>
      <c r="O282" s="66"/>
      <c r="P282" s="62"/>
      <c r="Q282" s="62"/>
      <c r="R282" s="62"/>
      <c r="S282" s="62"/>
    </row>
    <row r="283" s="58" customFormat="1" spans="1:19">
      <c r="A283" s="61"/>
      <c r="B283" s="62"/>
      <c r="C283" s="61"/>
      <c r="D283" s="61"/>
      <c r="E283" s="64"/>
      <c r="F283" s="64"/>
      <c r="G283" s="62"/>
      <c r="H283" s="62"/>
      <c r="I283" s="62"/>
      <c r="J283" s="62"/>
      <c r="K283" s="65"/>
      <c r="L283" s="65"/>
      <c r="M283" s="62"/>
      <c r="N283" s="11"/>
      <c r="O283" s="66"/>
      <c r="P283" s="62"/>
      <c r="Q283" s="62"/>
      <c r="R283" s="62"/>
      <c r="S283" s="62"/>
    </row>
    <row r="284" s="58" customFormat="1" spans="1:19">
      <c r="A284" s="61"/>
      <c r="B284" s="62"/>
      <c r="C284" s="61"/>
      <c r="D284" s="61"/>
      <c r="E284" s="64"/>
      <c r="F284" s="64"/>
      <c r="G284" s="62"/>
      <c r="H284" s="62"/>
      <c r="I284" s="62"/>
      <c r="J284" s="62"/>
      <c r="K284" s="65"/>
      <c r="L284" s="65"/>
      <c r="M284" s="62"/>
      <c r="N284" s="11"/>
      <c r="O284" s="66"/>
      <c r="P284" s="62"/>
      <c r="Q284" s="62"/>
      <c r="R284" s="62"/>
      <c r="S284" s="62"/>
    </row>
    <row r="285" s="58" customFormat="1" spans="1:19">
      <c r="A285" s="61"/>
      <c r="B285" s="62"/>
      <c r="C285" s="61"/>
      <c r="D285" s="61"/>
      <c r="E285" s="64"/>
      <c r="F285" s="64"/>
      <c r="G285" s="62"/>
      <c r="H285" s="62"/>
      <c r="I285" s="62"/>
      <c r="J285" s="62"/>
      <c r="K285" s="65"/>
      <c r="L285" s="65"/>
      <c r="M285" s="62"/>
      <c r="N285" s="11"/>
      <c r="O285" s="66"/>
      <c r="P285" s="62"/>
      <c r="Q285" s="62"/>
      <c r="R285" s="62"/>
      <c r="S285" s="62"/>
    </row>
    <row r="286" s="58" customFormat="1" spans="1:19">
      <c r="A286" s="61"/>
      <c r="B286" s="62"/>
      <c r="C286" s="61"/>
      <c r="D286" s="61"/>
      <c r="E286" s="64"/>
      <c r="F286" s="64"/>
      <c r="G286" s="62"/>
      <c r="H286" s="62"/>
      <c r="I286" s="62"/>
      <c r="J286" s="62"/>
      <c r="K286" s="65"/>
      <c r="L286" s="65"/>
      <c r="M286" s="62"/>
      <c r="N286" s="11"/>
      <c r="O286" s="66"/>
      <c r="P286" s="62"/>
      <c r="Q286" s="62"/>
      <c r="R286" s="62"/>
      <c r="S286" s="62"/>
    </row>
    <row r="287" s="58" customFormat="1" spans="1:19">
      <c r="A287" s="61"/>
      <c r="B287" s="62"/>
      <c r="C287" s="61"/>
      <c r="D287" s="61"/>
      <c r="E287" s="64"/>
      <c r="F287" s="64"/>
      <c r="G287" s="62"/>
      <c r="H287" s="62"/>
      <c r="I287" s="62"/>
      <c r="J287" s="62"/>
      <c r="K287" s="65"/>
      <c r="L287" s="65"/>
      <c r="M287" s="62"/>
      <c r="N287" s="11"/>
      <c r="O287" s="66"/>
      <c r="P287" s="62"/>
      <c r="Q287" s="62"/>
      <c r="R287" s="62"/>
      <c r="S287" s="62"/>
    </row>
    <row r="288" s="58" customFormat="1" spans="1:19">
      <c r="A288" s="61"/>
      <c r="B288" s="62"/>
      <c r="C288" s="61"/>
      <c r="D288" s="61"/>
      <c r="E288" s="64"/>
      <c r="F288" s="64"/>
      <c r="G288" s="62"/>
      <c r="H288" s="62"/>
      <c r="I288" s="62"/>
      <c r="J288" s="62"/>
      <c r="K288" s="65"/>
      <c r="L288" s="65"/>
      <c r="M288" s="62"/>
      <c r="N288" s="11"/>
      <c r="O288" s="66"/>
      <c r="P288" s="62"/>
      <c r="Q288" s="62"/>
      <c r="R288" s="94"/>
      <c r="S288" s="62"/>
    </row>
    <row r="289" s="58" customFormat="1" spans="1:19">
      <c r="A289" s="61"/>
      <c r="B289" s="62"/>
      <c r="C289" s="61"/>
      <c r="D289" s="61"/>
      <c r="E289" s="64"/>
      <c r="F289" s="64"/>
      <c r="G289" s="62"/>
      <c r="H289" s="62"/>
      <c r="I289" s="62"/>
      <c r="J289" s="62"/>
      <c r="K289" s="65"/>
      <c r="L289" s="65"/>
      <c r="M289" s="62"/>
      <c r="N289" s="11"/>
      <c r="O289" s="66"/>
      <c r="P289" s="62"/>
      <c r="Q289" s="62"/>
      <c r="R289" s="92"/>
      <c r="S289" s="62"/>
    </row>
    <row r="290" s="58" customFormat="1" spans="1:19">
      <c r="A290" s="61"/>
      <c r="B290" s="62"/>
      <c r="C290" s="61"/>
      <c r="D290" s="61"/>
      <c r="E290" s="64"/>
      <c r="F290" s="64"/>
      <c r="G290" s="62"/>
      <c r="H290" s="62"/>
      <c r="I290" s="62"/>
      <c r="J290" s="62"/>
      <c r="K290" s="65"/>
      <c r="L290" s="65"/>
      <c r="M290" s="62"/>
      <c r="N290" s="11"/>
      <c r="O290" s="66"/>
      <c r="P290" s="62"/>
      <c r="Q290" s="62"/>
      <c r="R290" s="62"/>
      <c r="S290" s="62"/>
    </row>
    <row r="291" s="58" customFormat="1" spans="1:19">
      <c r="A291" s="61"/>
      <c r="B291" s="62"/>
      <c r="C291" s="61"/>
      <c r="D291" s="61"/>
      <c r="E291" s="64"/>
      <c r="F291" s="64"/>
      <c r="G291" s="62"/>
      <c r="H291" s="62"/>
      <c r="I291" s="62"/>
      <c r="J291" s="62"/>
      <c r="K291" s="65"/>
      <c r="L291" s="65"/>
      <c r="M291" s="62"/>
      <c r="N291" s="11"/>
      <c r="O291" s="66"/>
      <c r="P291" s="62"/>
      <c r="Q291" s="62"/>
      <c r="R291" s="62"/>
      <c r="S291" s="62"/>
    </row>
    <row r="292" s="58" customFormat="1" spans="1:19">
      <c r="A292" s="61"/>
      <c r="B292" s="62"/>
      <c r="C292" s="61"/>
      <c r="D292" s="61"/>
      <c r="E292" s="64"/>
      <c r="F292" s="64"/>
      <c r="G292" s="62"/>
      <c r="H292" s="62"/>
      <c r="I292" s="62"/>
      <c r="J292" s="62"/>
      <c r="K292" s="106"/>
      <c r="L292" s="65"/>
      <c r="M292" s="62"/>
      <c r="N292" s="11"/>
      <c r="O292" s="66"/>
      <c r="P292" s="62"/>
      <c r="Q292" s="62"/>
      <c r="R292" s="62"/>
      <c r="S292" s="62"/>
    </row>
    <row r="293" s="58" customFormat="1" spans="1:19">
      <c r="A293" s="61"/>
      <c r="B293" s="62"/>
      <c r="C293" s="61"/>
      <c r="D293" s="61"/>
      <c r="E293" s="64"/>
      <c r="F293" s="64"/>
      <c r="G293" s="62"/>
      <c r="H293" s="62"/>
      <c r="I293" s="62"/>
      <c r="J293" s="62"/>
      <c r="K293" s="65"/>
      <c r="L293" s="65"/>
      <c r="M293" s="62"/>
      <c r="N293" s="11"/>
      <c r="O293" s="66"/>
      <c r="P293" s="62"/>
      <c r="Q293" s="62"/>
      <c r="R293" s="62"/>
      <c r="S293" s="62"/>
    </row>
    <row r="294" s="58" customFormat="1" spans="1:19">
      <c r="A294" s="61"/>
      <c r="B294" s="62"/>
      <c r="C294" s="61"/>
      <c r="D294" s="61"/>
      <c r="E294" s="64"/>
      <c r="F294" s="64"/>
      <c r="G294" s="62"/>
      <c r="H294" s="62"/>
      <c r="I294" s="62"/>
      <c r="J294" s="62"/>
      <c r="K294" s="65"/>
      <c r="L294" s="65"/>
      <c r="M294" s="62"/>
      <c r="N294" s="11"/>
      <c r="O294" s="66"/>
      <c r="P294" s="62"/>
      <c r="Q294" s="62"/>
      <c r="R294" s="62"/>
      <c r="S294" s="62"/>
    </row>
    <row r="295" s="58" customFormat="1" spans="1:19">
      <c r="A295" s="61"/>
      <c r="B295" s="62"/>
      <c r="C295" s="61"/>
      <c r="D295" s="61"/>
      <c r="E295" s="64"/>
      <c r="F295" s="64"/>
      <c r="G295" s="62"/>
      <c r="H295" s="62"/>
      <c r="I295" s="62"/>
      <c r="J295" s="62"/>
      <c r="K295" s="65"/>
      <c r="L295" s="65"/>
      <c r="M295" s="62"/>
      <c r="N295" s="11"/>
      <c r="O295" s="66"/>
      <c r="P295" s="62"/>
      <c r="Q295" s="62"/>
      <c r="R295" s="94"/>
      <c r="S295" s="62"/>
    </row>
    <row r="296" s="58" customFormat="1" spans="1:19">
      <c r="A296" s="61"/>
      <c r="B296" s="62"/>
      <c r="C296" s="61"/>
      <c r="D296" s="61"/>
      <c r="E296" s="64"/>
      <c r="F296" s="64"/>
      <c r="G296" s="62"/>
      <c r="H296" s="62"/>
      <c r="I296" s="62"/>
      <c r="J296" s="62"/>
      <c r="K296" s="65"/>
      <c r="L296" s="65"/>
      <c r="M296" s="62"/>
      <c r="N296" s="11"/>
      <c r="O296" s="66"/>
      <c r="P296" s="62"/>
      <c r="Q296" s="62"/>
      <c r="R296" s="92"/>
      <c r="S296" s="62"/>
    </row>
    <row r="297" s="58" customFormat="1" spans="1:19">
      <c r="A297" s="61"/>
      <c r="B297" s="62"/>
      <c r="C297" s="61"/>
      <c r="D297" s="61"/>
      <c r="E297" s="64"/>
      <c r="F297" s="64"/>
      <c r="G297" s="62"/>
      <c r="H297" s="62"/>
      <c r="I297" s="62"/>
      <c r="J297" s="62"/>
      <c r="K297" s="65"/>
      <c r="L297" s="65"/>
      <c r="M297" s="62"/>
      <c r="N297" s="11"/>
      <c r="O297" s="66"/>
      <c r="P297" s="62"/>
      <c r="Q297" s="62"/>
      <c r="R297" s="62"/>
      <c r="S297" s="62"/>
    </row>
    <row r="298" s="58" customFormat="1" spans="1:19">
      <c r="A298" s="61"/>
      <c r="B298" s="62"/>
      <c r="C298" s="61"/>
      <c r="D298" s="61"/>
      <c r="E298" s="64"/>
      <c r="F298" s="64"/>
      <c r="G298" s="62"/>
      <c r="H298" s="62"/>
      <c r="I298" s="62"/>
      <c r="J298" s="62"/>
      <c r="K298" s="65"/>
      <c r="L298" s="65"/>
      <c r="M298" s="62"/>
      <c r="N298" s="11"/>
      <c r="O298" s="66"/>
      <c r="P298" s="62"/>
      <c r="Q298" s="62"/>
      <c r="R298" s="62"/>
      <c r="S298" s="62"/>
    </row>
    <row r="299" s="58" customFormat="1" spans="1:19">
      <c r="A299" s="61"/>
      <c r="B299" s="62"/>
      <c r="C299" s="61"/>
      <c r="D299" s="61"/>
      <c r="E299" s="64"/>
      <c r="F299" s="64"/>
      <c r="G299" s="62"/>
      <c r="H299" s="62"/>
      <c r="I299" s="62"/>
      <c r="J299" s="62"/>
      <c r="K299" s="65"/>
      <c r="L299" s="65"/>
      <c r="M299" s="62"/>
      <c r="N299" s="11"/>
      <c r="O299" s="66"/>
      <c r="P299" s="62"/>
      <c r="Q299" s="62"/>
      <c r="R299" s="62"/>
      <c r="S299" s="62"/>
    </row>
    <row r="300" s="58" customFormat="1" spans="1:19">
      <c r="A300" s="61"/>
      <c r="B300" s="62"/>
      <c r="C300" s="61"/>
      <c r="D300" s="61"/>
      <c r="E300" s="64"/>
      <c r="F300" s="64"/>
      <c r="G300" s="62"/>
      <c r="H300" s="62"/>
      <c r="I300" s="62"/>
      <c r="J300" s="62"/>
      <c r="K300" s="65"/>
      <c r="L300" s="65"/>
      <c r="M300" s="62"/>
      <c r="N300" s="11"/>
      <c r="O300" s="66"/>
      <c r="P300" s="62"/>
      <c r="Q300" s="62"/>
      <c r="R300" s="62"/>
      <c r="S300" s="62"/>
    </row>
    <row r="301" s="58" customFormat="1" spans="1:19">
      <c r="A301" s="61"/>
      <c r="B301" s="62"/>
      <c r="C301" s="61"/>
      <c r="D301" s="61"/>
      <c r="E301" s="64"/>
      <c r="F301" s="64"/>
      <c r="G301" s="62"/>
      <c r="H301" s="62"/>
      <c r="I301" s="62"/>
      <c r="J301" s="62"/>
      <c r="K301" s="65"/>
      <c r="L301" s="65"/>
      <c r="M301" s="62"/>
      <c r="N301" s="11"/>
      <c r="O301" s="66"/>
      <c r="P301" s="62"/>
      <c r="Q301" s="62"/>
      <c r="R301" s="62"/>
      <c r="S301" s="62"/>
    </row>
    <row r="302" s="58" customFormat="1" spans="1:19">
      <c r="A302" s="61"/>
      <c r="B302" s="62"/>
      <c r="C302" s="61"/>
      <c r="D302" s="61"/>
      <c r="E302" s="64"/>
      <c r="F302" s="64"/>
      <c r="G302" s="62"/>
      <c r="H302" s="62"/>
      <c r="I302" s="62"/>
      <c r="J302" s="62"/>
      <c r="K302" s="65"/>
      <c r="L302" s="65"/>
      <c r="M302" s="62"/>
      <c r="N302" s="11"/>
      <c r="O302" s="66"/>
      <c r="P302" s="62"/>
      <c r="Q302" s="62"/>
      <c r="R302" s="62"/>
      <c r="S302" s="62"/>
    </row>
    <row r="303" s="58" customFormat="1" spans="1:19">
      <c r="A303" s="61"/>
      <c r="B303" s="62"/>
      <c r="C303" s="61"/>
      <c r="D303" s="61"/>
      <c r="E303" s="64"/>
      <c r="F303" s="64"/>
      <c r="G303" s="62"/>
      <c r="H303" s="62"/>
      <c r="I303" s="62"/>
      <c r="J303" s="62"/>
      <c r="K303" s="106"/>
      <c r="L303" s="65"/>
      <c r="M303" s="62"/>
      <c r="N303" s="11"/>
      <c r="O303" s="107"/>
      <c r="P303" s="62"/>
      <c r="Q303" s="62"/>
      <c r="R303" s="94"/>
      <c r="S303" s="62"/>
    </row>
    <row r="304" s="58" customFormat="1" spans="1:19">
      <c r="A304" s="61"/>
      <c r="B304" s="62"/>
      <c r="C304" s="61"/>
      <c r="D304" s="61"/>
      <c r="E304" s="64"/>
      <c r="F304" s="64"/>
      <c r="G304" s="62"/>
      <c r="H304" s="62"/>
      <c r="I304" s="62"/>
      <c r="J304" s="62"/>
      <c r="K304" s="65"/>
      <c r="L304" s="65"/>
      <c r="M304" s="62"/>
      <c r="N304" s="11"/>
      <c r="O304" s="66"/>
      <c r="P304" s="62"/>
      <c r="Q304" s="62"/>
      <c r="R304" s="95"/>
      <c r="S304" s="62"/>
    </row>
    <row r="305" s="58" customFormat="1" spans="1:19">
      <c r="A305" s="61"/>
      <c r="B305" s="62"/>
      <c r="C305" s="61"/>
      <c r="D305" s="61"/>
      <c r="E305" s="64"/>
      <c r="F305" s="64"/>
      <c r="G305" s="62"/>
      <c r="H305" s="62"/>
      <c r="I305" s="62"/>
      <c r="J305" s="62"/>
      <c r="K305" s="65"/>
      <c r="L305" s="65"/>
      <c r="M305" s="62"/>
      <c r="N305" s="11"/>
      <c r="O305" s="66"/>
      <c r="P305" s="62"/>
      <c r="Q305" s="62"/>
      <c r="R305" s="92"/>
      <c r="S305" s="62"/>
    </row>
    <row r="306" s="58" customFormat="1" spans="1:19">
      <c r="A306" s="61"/>
      <c r="B306" s="62"/>
      <c r="C306" s="61"/>
      <c r="D306" s="61"/>
      <c r="E306" s="64"/>
      <c r="F306" s="64"/>
      <c r="G306" s="62"/>
      <c r="H306" s="62"/>
      <c r="I306" s="62"/>
      <c r="J306" s="62"/>
      <c r="K306" s="65"/>
      <c r="L306" s="65"/>
      <c r="M306" s="62"/>
      <c r="N306" s="11"/>
      <c r="O306" s="66"/>
      <c r="P306" s="62"/>
      <c r="Q306" s="62"/>
      <c r="R306" s="62"/>
      <c r="S306" s="62"/>
    </row>
    <row r="307" s="58" customFormat="1" spans="1:19">
      <c r="A307" s="61"/>
      <c r="B307" s="62"/>
      <c r="C307" s="61"/>
      <c r="D307" s="61"/>
      <c r="E307" s="64"/>
      <c r="F307" s="64"/>
      <c r="G307" s="62"/>
      <c r="H307" s="62"/>
      <c r="I307" s="62"/>
      <c r="J307" s="62"/>
      <c r="K307" s="65"/>
      <c r="L307" s="65"/>
      <c r="M307" s="62"/>
      <c r="N307" s="11"/>
      <c r="O307" s="66"/>
      <c r="P307" s="62"/>
      <c r="Q307" s="62"/>
      <c r="R307" s="62"/>
      <c r="S307" s="62"/>
    </row>
    <row r="308" s="58" customFormat="1" spans="1:19">
      <c r="A308" s="61"/>
      <c r="B308" s="62"/>
      <c r="C308" s="61"/>
      <c r="D308" s="61"/>
      <c r="E308" s="64"/>
      <c r="F308" s="64"/>
      <c r="G308" s="62"/>
      <c r="H308" s="62"/>
      <c r="I308" s="62"/>
      <c r="J308" s="62"/>
      <c r="K308" s="65"/>
      <c r="L308" s="65"/>
      <c r="M308" s="62"/>
      <c r="N308" s="11"/>
      <c r="O308" s="66"/>
      <c r="P308" s="62"/>
      <c r="Q308" s="62"/>
      <c r="R308" s="62"/>
      <c r="S308" s="62"/>
    </row>
    <row r="309" s="58" customFormat="1" spans="1:19">
      <c r="A309" s="61"/>
      <c r="B309" s="62"/>
      <c r="C309" s="61"/>
      <c r="D309" s="61"/>
      <c r="E309" s="64"/>
      <c r="F309" s="64"/>
      <c r="G309" s="62"/>
      <c r="H309" s="62"/>
      <c r="I309" s="62"/>
      <c r="J309" s="62"/>
      <c r="K309" s="65"/>
      <c r="L309" s="65"/>
      <c r="M309" s="62"/>
      <c r="N309" s="11"/>
      <c r="O309" s="66"/>
      <c r="P309" s="62"/>
      <c r="Q309" s="62"/>
      <c r="R309" s="62"/>
      <c r="S309" s="62"/>
    </row>
    <row r="310" s="58" customFormat="1" spans="1:19">
      <c r="A310" s="61"/>
      <c r="B310" s="62"/>
      <c r="C310" s="61"/>
      <c r="D310" s="61"/>
      <c r="E310" s="64"/>
      <c r="F310" s="64"/>
      <c r="G310" s="62"/>
      <c r="H310" s="62"/>
      <c r="I310" s="62"/>
      <c r="J310" s="62"/>
      <c r="K310" s="65"/>
      <c r="L310" s="65"/>
      <c r="M310" s="62"/>
      <c r="N310" s="11"/>
      <c r="O310" s="66"/>
      <c r="P310" s="62"/>
      <c r="Q310" s="62"/>
      <c r="R310" s="62"/>
      <c r="S310" s="62"/>
    </row>
    <row r="311" s="58" customFormat="1" spans="1:19">
      <c r="A311" s="61"/>
      <c r="B311" s="62"/>
      <c r="C311" s="61"/>
      <c r="D311" s="61"/>
      <c r="E311" s="64"/>
      <c r="F311" s="64"/>
      <c r="G311" s="62"/>
      <c r="H311" s="62"/>
      <c r="I311" s="62"/>
      <c r="J311" s="62"/>
      <c r="K311" s="65"/>
      <c r="L311" s="65"/>
      <c r="M311" s="62"/>
      <c r="N311" s="11"/>
      <c r="O311" s="112"/>
      <c r="P311" s="62"/>
      <c r="Q311" s="62"/>
      <c r="R311" s="62"/>
      <c r="S311" s="62"/>
    </row>
    <row r="312" s="58" customFormat="1" spans="1:19">
      <c r="A312" s="61"/>
      <c r="B312" s="62"/>
      <c r="C312" s="61"/>
      <c r="D312" s="61"/>
      <c r="E312" s="64"/>
      <c r="F312" s="64"/>
      <c r="G312" s="62"/>
      <c r="H312" s="105"/>
      <c r="I312" s="62"/>
      <c r="J312" s="62"/>
      <c r="K312" s="65"/>
      <c r="L312" s="65"/>
      <c r="M312" s="62"/>
      <c r="N312" s="11"/>
      <c r="O312" s="66"/>
      <c r="P312" s="62"/>
      <c r="Q312" s="62"/>
      <c r="R312" s="62"/>
      <c r="S312" s="62"/>
    </row>
    <row r="313" s="58" customFormat="1" spans="1:19">
      <c r="A313" s="61"/>
      <c r="B313" s="62"/>
      <c r="C313" s="61"/>
      <c r="D313" s="61"/>
      <c r="E313" s="64"/>
      <c r="F313" s="64"/>
      <c r="G313" s="62"/>
      <c r="H313" s="62"/>
      <c r="I313" s="62"/>
      <c r="J313" s="62"/>
      <c r="K313" s="65"/>
      <c r="L313" s="65"/>
      <c r="M313" s="62"/>
      <c r="N313" s="11"/>
      <c r="O313" s="66"/>
      <c r="P313" s="62"/>
      <c r="Q313" s="62"/>
      <c r="R313" s="94"/>
      <c r="S313" s="62"/>
    </row>
    <row r="314" s="58" customFormat="1" spans="1:19">
      <c r="A314" s="61"/>
      <c r="B314" s="62"/>
      <c r="C314" s="61"/>
      <c r="D314" s="61"/>
      <c r="E314" s="64"/>
      <c r="F314" s="64"/>
      <c r="G314" s="62"/>
      <c r="H314" s="62"/>
      <c r="I314" s="62"/>
      <c r="J314" s="62"/>
      <c r="K314" s="65"/>
      <c r="L314" s="65"/>
      <c r="M314" s="62"/>
      <c r="N314" s="11"/>
      <c r="O314" s="66"/>
      <c r="P314" s="62"/>
      <c r="Q314" s="62"/>
      <c r="R314" s="92"/>
      <c r="S314" s="62"/>
    </row>
    <row r="315" s="58" customFormat="1" spans="1:19">
      <c r="A315" s="61"/>
      <c r="B315" s="62"/>
      <c r="C315" s="61"/>
      <c r="D315" s="61"/>
      <c r="E315" s="64"/>
      <c r="F315" s="64"/>
      <c r="G315" s="62"/>
      <c r="H315" s="62"/>
      <c r="I315" s="62"/>
      <c r="J315" s="62"/>
      <c r="K315" s="65"/>
      <c r="L315" s="65"/>
      <c r="M315" s="62"/>
      <c r="N315" s="11"/>
      <c r="O315" s="66"/>
      <c r="P315" s="62"/>
      <c r="Q315" s="62"/>
      <c r="R315" s="94"/>
      <c r="S315" s="62"/>
    </row>
    <row r="316" s="58" customFormat="1" spans="1:19">
      <c r="A316" s="61"/>
      <c r="B316" s="62"/>
      <c r="C316" s="61"/>
      <c r="D316" s="61"/>
      <c r="E316" s="64"/>
      <c r="F316" s="64"/>
      <c r="G316" s="62"/>
      <c r="H316" s="62"/>
      <c r="I316" s="62"/>
      <c r="J316" s="62"/>
      <c r="K316" s="65"/>
      <c r="L316" s="65"/>
      <c r="M316" s="62"/>
      <c r="N316" s="11"/>
      <c r="O316" s="66"/>
      <c r="P316" s="62"/>
      <c r="Q316" s="62"/>
      <c r="R316" s="92"/>
      <c r="S316" s="62"/>
    </row>
    <row r="317" s="58" customFormat="1" spans="1:19">
      <c r="A317" s="61"/>
      <c r="B317" s="62"/>
      <c r="C317" s="61"/>
      <c r="D317" s="61"/>
      <c r="E317" s="64"/>
      <c r="F317" s="64"/>
      <c r="G317" s="62"/>
      <c r="H317" s="62"/>
      <c r="I317" s="62"/>
      <c r="J317" s="62"/>
      <c r="K317" s="65"/>
      <c r="L317" s="65"/>
      <c r="M317" s="62"/>
      <c r="N317" s="11"/>
      <c r="O317" s="66"/>
      <c r="P317" s="62"/>
      <c r="Q317" s="62"/>
      <c r="R317" s="94"/>
      <c r="S317" s="62"/>
    </row>
    <row r="318" s="58" customFormat="1" spans="1:19">
      <c r="A318" s="61"/>
      <c r="B318" s="62"/>
      <c r="C318" s="61"/>
      <c r="D318" s="61"/>
      <c r="E318" s="64"/>
      <c r="F318" s="64"/>
      <c r="G318" s="62"/>
      <c r="H318" s="62"/>
      <c r="I318" s="62"/>
      <c r="J318" s="62"/>
      <c r="K318" s="65"/>
      <c r="L318" s="65"/>
      <c r="M318" s="62"/>
      <c r="N318" s="11"/>
      <c r="O318" s="66"/>
      <c r="P318" s="62"/>
      <c r="Q318" s="62"/>
      <c r="R318" s="92"/>
      <c r="S318" s="62"/>
    </row>
    <row r="319" s="58" customFormat="1" spans="1:19">
      <c r="A319" s="61"/>
      <c r="B319" s="62"/>
      <c r="C319" s="61"/>
      <c r="D319" s="61"/>
      <c r="E319" s="64"/>
      <c r="F319" s="64"/>
      <c r="G319" s="62"/>
      <c r="H319" s="62"/>
      <c r="I319" s="62"/>
      <c r="J319" s="62"/>
      <c r="K319" s="65"/>
      <c r="L319" s="65"/>
      <c r="M319" s="62"/>
      <c r="N319" s="11"/>
      <c r="O319" s="66"/>
      <c r="P319" s="62"/>
      <c r="Q319" s="62"/>
      <c r="R319" s="62"/>
      <c r="S319" s="62"/>
    </row>
    <row r="320" s="58" customFormat="1" spans="1:19">
      <c r="A320" s="61"/>
      <c r="B320" s="62"/>
      <c r="C320" s="61"/>
      <c r="D320" s="61"/>
      <c r="E320" s="64"/>
      <c r="F320" s="64"/>
      <c r="G320" s="62"/>
      <c r="H320" s="62"/>
      <c r="I320" s="62"/>
      <c r="J320" s="62"/>
      <c r="K320" s="65"/>
      <c r="L320" s="65"/>
      <c r="M320" s="62"/>
      <c r="N320" s="11"/>
      <c r="O320" s="66"/>
      <c r="P320" s="62"/>
      <c r="Q320" s="62"/>
      <c r="R320" s="105"/>
      <c r="S320" s="62"/>
    </row>
    <row r="321" s="58" customFormat="1" spans="1:19">
      <c r="A321" s="61"/>
      <c r="B321" s="62"/>
      <c r="C321" s="61"/>
      <c r="D321" s="61"/>
      <c r="E321" s="64"/>
      <c r="F321" s="64"/>
      <c r="G321" s="62"/>
      <c r="H321" s="62"/>
      <c r="I321" s="62"/>
      <c r="J321" s="62"/>
      <c r="K321" s="65"/>
      <c r="L321" s="65"/>
      <c r="M321" s="62"/>
      <c r="N321" s="11"/>
      <c r="O321" s="66"/>
      <c r="P321" s="62"/>
      <c r="Q321" s="62"/>
      <c r="R321" s="62"/>
      <c r="S321" s="62"/>
    </row>
    <row r="322" s="58" customFormat="1" spans="1:19">
      <c r="A322" s="61"/>
      <c r="B322" s="62"/>
      <c r="C322" s="61"/>
      <c r="D322" s="61"/>
      <c r="E322" s="64"/>
      <c r="F322" s="64"/>
      <c r="G322" s="62"/>
      <c r="H322" s="62"/>
      <c r="I322" s="62"/>
      <c r="J322" s="62"/>
      <c r="K322" s="106"/>
      <c r="L322" s="65"/>
      <c r="M322" s="62"/>
      <c r="N322" s="11"/>
      <c r="O322" s="66"/>
      <c r="P322" s="62"/>
      <c r="Q322" s="62"/>
      <c r="R322" s="62"/>
      <c r="S322" s="62"/>
    </row>
    <row r="323" s="58" customFormat="1" spans="1:19">
      <c r="A323" s="61"/>
      <c r="B323" s="62"/>
      <c r="C323" s="61"/>
      <c r="D323" s="61"/>
      <c r="E323" s="64"/>
      <c r="F323" s="64"/>
      <c r="G323" s="62"/>
      <c r="H323" s="62"/>
      <c r="I323" s="62"/>
      <c r="J323" s="62"/>
      <c r="K323" s="106"/>
      <c r="L323" s="65"/>
      <c r="M323" s="62"/>
      <c r="N323" s="11"/>
      <c r="O323" s="66"/>
      <c r="P323" s="62"/>
      <c r="Q323" s="62"/>
      <c r="R323" s="62"/>
      <c r="S323" s="62"/>
    </row>
    <row r="324" s="58" customFormat="1" spans="1:19">
      <c r="A324" s="61"/>
      <c r="B324" s="62"/>
      <c r="C324" s="61"/>
      <c r="D324" s="61"/>
      <c r="E324" s="64"/>
      <c r="F324" s="64"/>
      <c r="G324" s="62"/>
      <c r="H324" s="62"/>
      <c r="I324" s="62"/>
      <c r="J324" s="62"/>
      <c r="K324" s="106"/>
      <c r="L324" s="65"/>
      <c r="M324" s="62"/>
      <c r="N324" s="11"/>
      <c r="O324" s="66"/>
      <c r="P324" s="62"/>
      <c r="Q324" s="62"/>
      <c r="R324" s="62"/>
      <c r="S324" s="62"/>
    </row>
    <row r="325" s="58" customFormat="1" spans="1:19">
      <c r="A325" s="61"/>
      <c r="B325" s="62"/>
      <c r="C325" s="61"/>
      <c r="D325" s="61"/>
      <c r="E325" s="64"/>
      <c r="F325" s="64"/>
      <c r="G325" s="62"/>
      <c r="H325" s="62"/>
      <c r="I325" s="113"/>
      <c r="J325" s="62"/>
      <c r="K325" s="106"/>
      <c r="L325" s="65"/>
      <c r="M325" s="62"/>
      <c r="N325" s="11"/>
      <c r="O325" s="114"/>
      <c r="P325" s="62"/>
      <c r="Q325" s="62"/>
      <c r="R325" s="62"/>
      <c r="S325" s="62"/>
    </row>
    <row r="326" s="58" customFormat="1" spans="1:19">
      <c r="A326" s="61"/>
      <c r="B326" s="62"/>
      <c r="C326" s="61"/>
      <c r="D326" s="61"/>
      <c r="E326" s="64"/>
      <c r="F326" s="64"/>
      <c r="G326" s="62"/>
      <c r="H326" s="62"/>
      <c r="I326" s="113"/>
      <c r="J326" s="62"/>
      <c r="K326" s="65"/>
      <c r="L326" s="65"/>
      <c r="M326" s="62"/>
      <c r="N326" s="11"/>
      <c r="O326" s="114"/>
      <c r="P326" s="62"/>
      <c r="Q326" s="62"/>
      <c r="R326" s="62"/>
      <c r="S326" s="62"/>
    </row>
    <row r="327" s="58" customFormat="1" spans="1:19">
      <c r="A327" s="61"/>
      <c r="B327" s="62"/>
      <c r="C327" s="61"/>
      <c r="D327" s="61"/>
      <c r="E327" s="64"/>
      <c r="F327" s="64"/>
      <c r="G327" s="62"/>
      <c r="H327" s="62"/>
      <c r="I327" s="115"/>
      <c r="J327" s="62"/>
      <c r="K327" s="65"/>
      <c r="L327" s="65"/>
      <c r="M327" s="62"/>
      <c r="N327" s="11"/>
      <c r="O327" s="114"/>
      <c r="P327" s="62"/>
      <c r="Q327" s="62"/>
      <c r="R327" s="62"/>
      <c r="S327" s="62"/>
    </row>
    <row r="328" s="58" customFormat="1" spans="1:19">
      <c r="A328" s="61"/>
      <c r="B328" s="62"/>
      <c r="C328" s="61"/>
      <c r="D328" s="61"/>
      <c r="E328" s="64"/>
      <c r="F328" s="64"/>
      <c r="G328" s="62"/>
      <c r="H328" s="62"/>
      <c r="I328" s="116"/>
      <c r="J328" s="62"/>
      <c r="K328" s="65"/>
      <c r="L328" s="65"/>
      <c r="M328" s="62"/>
      <c r="N328" s="11"/>
      <c r="O328" s="114"/>
      <c r="P328" s="62"/>
      <c r="Q328" s="62"/>
      <c r="R328" s="62"/>
      <c r="S328" s="62"/>
    </row>
    <row r="329" s="58" customFormat="1" spans="1:19">
      <c r="A329" s="61"/>
      <c r="B329" s="62"/>
      <c r="C329" s="61"/>
      <c r="D329" s="61"/>
      <c r="E329" s="64"/>
      <c r="F329" s="64"/>
      <c r="G329" s="62"/>
      <c r="H329" s="62"/>
      <c r="I329" s="116"/>
      <c r="J329" s="62"/>
      <c r="K329" s="65"/>
      <c r="L329" s="65"/>
      <c r="M329" s="62"/>
      <c r="N329" s="11"/>
      <c r="O329" s="114"/>
      <c r="P329" s="62"/>
      <c r="Q329" s="62"/>
      <c r="R329" s="62"/>
      <c r="S329" s="62"/>
    </row>
    <row r="330" s="58" customFormat="1" spans="1:19">
      <c r="A330" s="61"/>
      <c r="B330" s="62"/>
      <c r="C330" s="61"/>
      <c r="D330" s="61"/>
      <c r="E330" s="64"/>
      <c r="F330" s="64"/>
      <c r="G330" s="62"/>
      <c r="H330" s="62"/>
      <c r="I330" s="116"/>
      <c r="J330" s="62"/>
      <c r="K330" s="106"/>
      <c r="L330" s="65"/>
      <c r="M330" s="62"/>
      <c r="N330" s="11"/>
      <c r="O330" s="117"/>
      <c r="P330" s="62"/>
      <c r="Q330" s="62"/>
      <c r="R330" s="62"/>
      <c r="S330" s="62"/>
    </row>
    <row r="331" s="58" customFormat="1" spans="1:19">
      <c r="A331" s="61"/>
      <c r="B331" s="62"/>
      <c r="C331" s="61"/>
      <c r="D331" s="61"/>
      <c r="E331" s="64"/>
      <c r="F331" s="64"/>
      <c r="G331" s="62"/>
      <c r="H331" s="62"/>
      <c r="I331" s="118"/>
      <c r="J331" s="62"/>
      <c r="K331" s="65"/>
      <c r="L331" s="65"/>
      <c r="M331" s="62"/>
      <c r="N331" s="11"/>
      <c r="O331" s="114"/>
      <c r="P331" s="62"/>
      <c r="Q331" s="62"/>
      <c r="R331" s="62"/>
      <c r="S331" s="62"/>
    </row>
    <row r="332" s="58" customFormat="1" spans="1:19">
      <c r="A332" s="61"/>
      <c r="B332" s="62"/>
      <c r="C332" s="61"/>
      <c r="D332" s="61"/>
      <c r="E332" s="64"/>
      <c r="F332" s="64"/>
      <c r="G332" s="62"/>
      <c r="H332" s="62"/>
      <c r="I332" s="118"/>
      <c r="J332" s="62"/>
      <c r="K332" s="65"/>
      <c r="L332" s="65"/>
      <c r="M332" s="62"/>
      <c r="N332" s="11"/>
      <c r="O332" s="114"/>
      <c r="P332" s="62"/>
      <c r="Q332" s="62"/>
      <c r="R332" s="62"/>
      <c r="S332" s="62"/>
    </row>
    <row r="333" s="58" customFormat="1" spans="1:19">
      <c r="A333" s="61"/>
      <c r="B333" s="62"/>
      <c r="C333" s="61"/>
      <c r="D333" s="61"/>
      <c r="E333" s="64"/>
      <c r="F333" s="64"/>
      <c r="G333" s="62"/>
      <c r="H333" s="62"/>
      <c r="I333" s="118"/>
      <c r="J333" s="62"/>
      <c r="K333" s="65"/>
      <c r="L333" s="65"/>
      <c r="M333" s="62"/>
      <c r="N333" s="11"/>
      <c r="O333" s="114"/>
      <c r="P333" s="62"/>
      <c r="Q333" s="62"/>
      <c r="R333" s="62"/>
      <c r="S333" s="62"/>
    </row>
    <row r="334" s="58" customFormat="1" spans="1:19">
      <c r="A334" s="61"/>
      <c r="B334" s="62"/>
      <c r="C334" s="61"/>
      <c r="D334" s="61"/>
      <c r="E334" s="64"/>
      <c r="F334" s="64"/>
      <c r="G334" s="62"/>
      <c r="H334" s="62"/>
      <c r="I334" s="62"/>
      <c r="J334" s="62"/>
      <c r="K334" s="65"/>
      <c r="L334" s="65"/>
      <c r="M334" s="62"/>
      <c r="N334" s="11"/>
      <c r="O334" s="114"/>
      <c r="P334" s="62"/>
      <c r="Q334" s="62"/>
      <c r="R334" s="61"/>
      <c r="S334" s="62"/>
    </row>
    <row r="335" s="58" customFormat="1" spans="1:19">
      <c r="A335" s="61"/>
      <c r="B335" s="62"/>
      <c r="C335" s="61"/>
      <c r="D335" s="61"/>
      <c r="E335" s="64"/>
      <c r="F335" s="64"/>
      <c r="G335" s="62"/>
      <c r="H335" s="62"/>
      <c r="I335" s="62"/>
      <c r="J335" s="62"/>
      <c r="K335" s="106"/>
      <c r="L335" s="65"/>
      <c r="M335" s="62"/>
      <c r="N335" s="11"/>
      <c r="O335" s="66"/>
      <c r="P335" s="62"/>
      <c r="Q335" s="62"/>
      <c r="R335" s="61"/>
      <c r="S335" s="62"/>
    </row>
    <row r="336" s="58" customFormat="1" spans="1:19">
      <c r="A336" s="61"/>
      <c r="B336" s="62"/>
      <c r="C336" s="61"/>
      <c r="D336" s="61"/>
      <c r="E336" s="64"/>
      <c r="F336" s="64"/>
      <c r="G336" s="62"/>
      <c r="H336" s="62"/>
      <c r="I336" s="62"/>
      <c r="J336" s="62"/>
      <c r="K336" s="65"/>
      <c r="L336" s="65"/>
      <c r="M336" s="62"/>
      <c r="N336" s="11"/>
      <c r="O336" s="66"/>
      <c r="P336" s="62"/>
      <c r="Q336" s="62"/>
      <c r="R336" s="61"/>
      <c r="S336" s="62"/>
    </row>
    <row r="337" s="58" customFormat="1" spans="1:19">
      <c r="A337" s="61"/>
      <c r="B337" s="62"/>
      <c r="C337" s="61"/>
      <c r="D337" s="61"/>
      <c r="E337" s="64"/>
      <c r="F337" s="64"/>
      <c r="G337" s="62"/>
      <c r="H337" s="62"/>
      <c r="I337" s="62"/>
      <c r="J337" s="62"/>
      <c r="K337" s="65"/>
      <c r="L337" s="65"/>
      <c r="M337" s="62"/>
      <c r="N337" s="11"/>
      <c r="O337" s="66"/>
      <c r="P337" s="62"/>
      <c r="Q337" s="62"/>
      <c r="R337" s="61"/>
      <c r="S337" s="62"/>
    </row>
    <row r="338" s="58" customFormat="1" spans="1:19">
      <c r="A338" s="61"/>
      <c r="B338" s="62"/>
      <c r="C338" s="61"/>
      <c r="D338" s="61"/>
      <c r="E338" s="64"/>
      <c r="F338" s="64"/>
      <c r="G338" s="62"/>
      <c r="H338" s="62"/>
      <c r="I338" s="62"/>
      <c r="J338" s="62"/>
      <c r="K338" s="65"/>
      <c r="L338" s="65"/>
      <c r="M338" s="62"/>
      <c r="N338" s="11"/>
      <c r="O338" s="66"/>
      <c r="P338" s="62"/>
      <c r="Q338" s="62"/>
      <c r="R338" s="61"/>
      <c r="S338" s="62"/>
    </row>
    <row r="339" s="58" customFormat="1" spans="1:19">
      <c r="A339" s="61"/>
      <c r="B339" s="62"/>
      <c r="C339" s="61"/>
      <c r="D339" s="61"/>
      <c r="E339" s="64"/>
      <c r="F339" s="64"/>
      <c r="G339" s="62"/>
      <c r="H339" s="62"/>
      <c r="I339" s="62"/>
      <c r="J339" s="62"/>
      <c r="K339" s="65"/>
      <c r="L339" s="65"/>
      <c r="M339" s="62"/>
      <c r="N339" s="11"/>
      <c r="O339" s="66"/>
      <c r="P339" s="62"/>
      <c r="Q339" s="62"/>
      <c r="R339" s="61"/>
      <c r="S339" s="62"/>
    </row>
    <row r="340" s="58" customFormat="1" spans="1:19">
      <c r="A340" s="61"/>
      <c r="B340" s="62"/>
      <c r="C340" s="61"/>
      <c r="D340" s="61"/>
      <c r="E340" s="64"/>
      <c r="F340" s="64"/>
      <c r="G340" s="62"/>
      <c r="H340" s="62"/>
      <c r="I340" s="62"/>
      <c r="J340" s="62"/>
      <c r="K340" s="65"/>
      <c r="L340" s="65"/>
      <c r="M340" s="62"/>
      <c r="N340" s="11"/>
      <c r="O340" s="66"/>
      <c r="P340" s="62"/>
      <c r="Q340" s="62"/>
      <c r="R340" s="61"/>
      <c r="S340" s="62"/>
    </row>
    <row r="341" s="58" customFormat="1" spans="1:19">
      <c r="A341" s="61"/>
      <c r="B341" s="62"/>
      <c r="C341" s="61"/>
      <c r="D341" s="61"/>
      <c r="E341" s="64"/>
      <c r="F341" s="64"/>
      <c r="G341" s="62"/>
      <c r="H341" s="62"/>
      <c r="I341" s="62"/>
      <c r="J341" s="62"/>
      <c r="K341" s="65"/>
      <c r="L341" s="65"/>
      <c r="M341" s="62"/>
      <c r="N341" s="11"/>
      <c r="O341" s="66"/>
      <c r="P341" s="62"/>
      <c r="Q341" s="62"/>
      <c r="R341" s="61"/>
      <c r="S341" s="62"/>
    </row>
    <row r="342" s="58" customFormat="1" spans="1:19">
      <c r="A342" s="61"/>
      <c r="B342" s="62"/>
      <c r="C342" s="61"/>
      <c r="D342" s="61"/>
      <c r="E342" s="64"/>
      <c r="F342" s="64"/>
      <c r="G342" s="62"/>
      <c r="H342" s="62"/>
      <c r="I342" s="116"/>
      <c r="J342" s="62"/>
      <c r="K342" s="65"/>
      <c r="L342" s="65"/>
      <c r="M342" s="62"/>
      <c r="N342" s="11"/>
      <c r="O342" s="66"/>
      <c r="P342" s="62"/>
      <c r="Q342" s="62"/>
      <c r="R342" s="61"/>
      <c r="S342" s="62"/>
    </row>
    <row r="343" s="58" customFormat="1" spans="1:19">
      <c r="A343" s="61"/>
      <c r="B343" s="62"/>
      <c r="C343" s="61"/>
      <c r="D343" s="61"/>
      <c r="E343" s="64"/>
      <c r="F343" s="64"/>
      <c r="G343" s="62"/>
      <c r="H343" s="62"/>
      <c r="I343" s="116"/>
      <c r="J343" s="62"/>
      <c r="K343" s="65"/>
      <c r="L343" s="65"/>
      <c r="M343" s="62"/>
      <c r="N343" s="11"/>
      <c r="O343" s="66"/>
      <c r="P343" s="62"/>
      <c r="Q343" s="62"/>
      <c r="R343" s="61"/>
      <c r="S343" s="62"/>
    </row>
    <row r="344" s="58" customFormat="1" spans="1:19">
      <c r="A344" s="61"/>
      <c r="B344" s="62"/>
      <c r="C344" s="61"/>
      <c r="D344" s="61"/>
      <c r="E344" s="64"/>
      <c r="F344" s="64"/>
      <c r="G344" s="62"/>
      <c r="H344" s="62"/>
      <c r="I344" s="116"/>
      <c r="J344" s="62"/>
      <c r="K344" s="65"/>
      <c r="L344" s="65"/>
      <c r="M344" s="62"/>
      <c r="N344" s="11"/>
      <c r="O344" s="66"/>
      <c r="P344" s="62"/>
      <c r="Q344" s="62"/>
      <c r="R344" s="61"/>
      <c r="S344" s="62"/>
    </row>
    <row r="345" s="58" customFormat="1" spans="1:19">
      <c r="A345" s="61"/>
      <c r="B345" s="62"/>
      <c r="C345" s="61"/>
      <c r="D345" s="61"/>
      <c r="E345" s="64"/>
      <c r="F345" s="64"/>
      <c r="G345" s="62"/>
      <c r="H345" s="62"/>
      <c r="I345" s="116"/>
      <c r="J345" s="62"/>
      <c r="K345" s="65"/>
      <c r="L345" s="65"/>
      <c r="M345" s="62"/>
      <c r="N345" s="11"/>
      <c r="O345" s="66"/>
      <c r="P345" s="62"/>
      <c r="Q345" s="62"/>
      <c r="R345" s="61"/>
      <c r="S345" s="62"/>
    </row>
    <row r="346" s="58" customFormat="1" spans="1:19">
      <c r="A346" s="61"/>
      <c r="B346" s="62"/>
      <c r="C346" s="61"/>
      <c r="D346" s="61"/>
      <c r="E346" s="64"/>
      <c r="F346" s="64"/>
      <c r="G346" s="62"/>
      <c r="H346" s="62"/>
      <c r="I346" s="62"/>
      <c r="J346" s="62"/>
      <c r="K346" s="106"/>
      <c r="L346" s="65"/>
      <c r="M346" s="62"/>
      <c r="N346" s="11"/>
      <c r="O346" s="66"/>
      <c r="P346" s="62"/>
      <c r="Q346" s="62"/>
      <c r="R346" s="62"/>
      <c r="S346" s="62"/>
    </row>
    <row r="347" s="58" customFormat="1" spans="1:19">
      <c r="A347" s="61"/>
      <c r="B347" s="62"/>
      <c r="C347" s="61"/>
      <c r="D347" s="61"/>
      <c r="E347" s="64"/>
      <c r="F347" s="64"/>
      <c r="G347" s="62"/>
      <c r="H347" s="62"/>
      <c r="I347" s="62"/>
      <c r="J347" s="62"/>
      <c r="K347" s="106"/>
      <c r="L347" s="65"/>
      <c r="M347" s="62"/>
      <c r="N347" s="11"/>
      <c r="O347" s="66"/>
      <c r="P347" s="62"/>
      <c r="Q347" s="62"/>
      <c r="R347" s="62"/>
      <c r="S347" s="62"/>
    </row>
    <row r="348" s="58" customFormat="1" spans="1:19">
      <c r="A348" s="61"/>
      <c r="B348" s="62"/>
      <c r="C348" s="61"/>
      <c r="D348" s="61"/>
      <c r="E348" s="64"/>
      <c r="F348" s="64"/>
      <c r="G348" s="62"/>
      <c r="H348" s="62"/>
      <c r="I348" s="119"/>
      <c r="J348" s="62"/>
      <c r="K348" s="106"/>
      <c r="L348" s="65"/>
      <c r="M348" s="62"/>
      <c r="N348" s="11"/>
      <c r="O348" s="66"/>
      <c r="P348" s="62"/>
      <c r="Q348" s="62"/>
      <c r="R348" s="62"/>
      <c r="S348" s="62"/>
    </row>
    <row r="349" s="58" customFormat="1" spans="1:19">
      <c r="A349" s="61"/>
      <c r="B349" s="62"/>
      <c r="C349" s="61"/>
      <c r="D349" s="61"/>
      <c r="E349" s="64"/>
      <c r="F349" s="64"/>
      <c r="G349" s="62"/>
      <c r="H349" s="62"/>
      <c r="I349" s="120"/>
      <c r="J349" s="62"/>
      <c r="K349" s="65"/>
      <c r="L349" s="65"/>
      <c r="M349" s="62"/>
      <c r="N349" s="11"/>
      <c r="O349" s="66"/>
      <c r="P349" s="62"/>
      <c r="Q349" s="62"/>
      <c r="R349" s="62"/>
      <c r="S349" s="62"/>
    </row>
    <row r="350" s="58" customFormat="1" spans="1:19">
      <c r="A350" s="61"/>
      <c r="B350" s="62"/>
      <c r="C350" s="61"/>
      <c r="D350" s="61"/>
      <c r="E350" s="64"/>
      <c r="F350" s="64"/>
      <c r="G350" s="62"/>
      <c r="H350" s="62"/>
      <c r="I350" s="62"/>
      <c r="J350" s="62"/>
      <c r="K350" s="65"/>
      <c r="L350" s="65"/>
      <c r="M350" s="62"/>
      <c r="N350" s="11"/>
      <c r="O350" s="66"/>
      <c r="P350" s="62"/>
      <c r="Q350" s="62"/>
      <c r="R350" s="62"/>
      <c r="S350" s="62"/>
    </row>
    <row r="351" s="58" customFormat="1" spans="1:19">
      <c r="A351" s="61"/>
      <c r="B351" s="62"/>
      <c r="C351" s="61"/>
      <c r="D351" s="61"/>
      <c r="E351" s="64"/>
      <c r="F351" s="64"/>
      <c r="G351" s="62"/>
      <c r="H351" s="105"/>
      <c r="I351" s="62"/>
      <c r="J351" s="62"/>
      <c r="K351" s="65"/>
      <c r="L351" s="65"/>
      <c r="M351" s="62"/>
      <c r="N351" s="11"/>
      <c r="O351" s="66"/>
      <c r="P351" s="62"/>
      <c r="Q351" s="62"/>
      <c r="R351" s="62"/>
      <c r="S351" s="62"/>
    </row>
    <row r="352" s="58" customFormat="1" spans="1:19">
      <c r="A352" s="61"/>
      <c r="B352" s="62"/>
      <c r="C352" s="61"/>
      <c r="D352" s="61"/>
      <c r="E352" s="64"/>
      <c r="F352" s="64"/>
      <c r="G352" s="62"/>
      <c r="H352" s="105"/>
      <c r="I352" s="105"/>
      <c r="J352" s="62"/>
      <c r="K352" s="65"/>
      <c r="L352" s="65"/>
      <c r="M352" s="62"/>
      <c r="N352" s="11"/>
      <c r="O352" s="66"/>
      <c r="P352" s="62"/>
      <c r="Q352" s="62"/>
      <c r="R352" s="62"/>
      <c r="S352" s="62"/>
    </row>
    <row r="353" s="58" customFormat="1" spans="1:19">
      <c r="A353" s="61"/>
      <c r="B353" s="62"/>
      <c r="C353" s="61"/>
      <c r="D353" s="61"/>
      <c r="E353" s="64"/>
      <c r="F353" s="64"/>
      <c r="G353" s="62"/>
      <c r="H353" s="105"/>
      <c r="I353" s="61"/>
      <c r="J353" s="62"/>
      <c r="K353" s="106"/>
      <c r="L353" s="65"/>
      <c r="M353" s="62"/>
      <c r="N353" s="11"/>
      <c r="O353" s="66"/>
      <c r="P353" s="62"/>
      <c r="Q353" s="62"/>
      <c r="R353" s="94"/>
      <c r="S353" s="62"/>
    </row>
    <row r="354" s="58" customFormat="1" spans="1:19">
      <c r="A354" s="61"/>
      <c r="B354" s="62"/>
      <c r="C354" s="61"/>
      <c r="D354" s="61"/>
      <c r="E354" s="64"/>
      <c r="F354" s="64"/>
      <c r="G354" s="62"/>
      <c r="H354" s="105"/>
      <c r="I354" s="61"/>
      <c r="J354" s="62"/>
      <c r="K354" s="65"/>
      <c r="L354" s="65"/>
      <c r="M354" s="62"/>
      <c r="N354" s="11"/>
      <c r="O354" s="66"/>
      <c r="P354" s="62"/>
      <c r="Q354" s="62"/>
      <c r="R354" s="94"/>
      <c r="S354" s="62"/>
    </row>
    <row r="355" s="58" customFormat="1" spans="1:19">
      <c r="A355" s="61"/>
      <c r="B355" s="62"/>
      <c r="C355" s="61"/>
      <c r="D355" s="61"/>
      <c r="E355" s="64"/>
      <c r="F355" s="64"/>
      <c r="G355" s="62"/>
      <c r="H355" s="62"/>
      <c r="I355" s="61"/>
      <c r="J355" s="62"/>
      <c r="K355" s="65"/>
      <c r="L355" s="65"/>
      <c r="M355" s="62"/>
      <c r="N355" s="11"/>
      <c r="O355" s="66"/>
      <c r="P355" s="62"/>
      <c r="Q355" s="62"/>
      <c r="R355" s="94"/>
      <c r="S355" s="62"/>
    </row>
    <row r="356" s="58" customFormat="1" spans="1:19">
      <c r="A356" s="61"/>
      <c r="B356" s="62"/>
      <c r="C356" s="61"/>
      <c r="D356" s="61"/>
      <c r="E356" s="64"/>
      <c r="F356" s="64"/>
      <c r="G356" s="62"/>
      <c r="H356" s="62"/>
      <c r="I356" s="61"/>
      <c r="J356" s="62"/>
      <c r="K356" s="65"/>
      <c r="L356" s="65"/>
      <c r="M356" s="62"/>
      <c r="N356" s="11"/>
      <c r="O356" s="66"/>
      <c r="P356" s="62"/>
      <c r="Q356" s="62"/>
      <c r="R356" s="94"/>
      <c r="S356" s="62"/>
    </row>
    <row r="357" s="58" customFormat="1" spans="1:19">
      <c r="A357" s="61"/>
      <c r="B357" s="62"/>
      <c r="C357" s="61"/>
      <c r="D357" s="61"/>
      <c r="E357" s="64"/>
      <c r="F357" s="64"/>
      <c r="G357" s="62"/>
      <c r="H357" s="62"/>
      <c r="I357" s="61"/>
      <c r="J357" s="62"/>
      <c r="K357" s="65"/>
      <c r="L357" s="65"/>
      <c r="M357" s="62"/>
      <c r="N357" s="11"/>
      <c r="O357" s="66"/>
      <c r="P357" s="62"/>
      <c r="Q357" s="62"/>
      <c r="R357" s="95"/>
      <c r="S357" s="62"/>
    </row>
    <row r="358" s="58" customFormat="1" spans="1:19">
      <c r="A358" s="61"/>
      <c r="B358" s="62"/>
      <c r="C358" s="61"/>
      <c r="D358" s="61"/>
      <c r="E358" s="64"/>
      <c r="F358" s="64"/>
      <c r="G358" s="62"/>
      <c r="H358" s="62"/>
      <c r="I358" s="62"/>
      <c r="J358" s="62"/>
      <c r="K358" s="65"/>
      <c r="L358" s="65"/>
      <c r="M358" s="62"/>
      <c r="N358" s="11"/>
      <c r="O358" s="66"/>
      <c r="P358" s="62"/>
      <c r="Q358" s="62"/>
      <c r="R358" s="62"/>
      <c r="S358" s="62"/>
    </row>
    <row r="359" s="58" customFormat="1" spans="1:19">
      <c r="A359" s="61"/>
      <c r="B359" s="62"/>
      <c r="C359" s="61"/>
      <c r="D359" s="61"/>
      <c r="E359" s="64"/>
      <c r="F359" s="64"/>
      <c r="G359" s="62"/>
      <c r="H359" s="62"/>
      <c r="I359" s="62"/>
      <c r="J359" s="62"/>
      <c r="K359" s="65"/>
      <c r="L359" s="65"/>
      <c r="M359" s="62"/>
      <c r="N359" s="11"/>
      <c r="O359" s="66"/>
      <c r="P359" s="62"/>
      <c r="Q359" s="62"/>
      <c r="R359" s="94"/>
      <c r="S359" s="62"/>
    </row>
    <row r="360" s="58" customFormat="1" spans="1:19">
      <c r="A360" s="61"/>
      <c r="B360" s="62"/>
      <c r="C360" s="61"/>
      <c r="D360" s="61"/>
      <c r="E360" s="64"/>
      <c r="F360" s="64"/>
      <c r="G360" s="62"/>
      <c r="H360" s="62"/>
      <c r="I360" s="62"/>
      <c r="J360" s="62"/>
      <c r="K360" s="65"/>
      <c r="L360" s="65"/>
      <c r="M360" s="62"/>
      <c r="N360" s="11"/>
      <c r="O360" s="66"/>
      <c r="P360" s="62"/>
      <c r="Q360" s="62"/>
      <c r="R360" s="92"/>
      <c r="S360" s="62"/>
    </row>
    <row r="361" s="58" customFormat="1" spans="1:19">
      <c r="A361" s="61"/>
      <c r="B361" s="62"/>
      <c r="C361" s="61"/>
      <c r="D361" s="61"/>
      <c r="E361" s="64"/>
      <c r="F361" s="64"/>
      <c r="G361" s="62"/>
      <c r="H361" s="62"/>
      <c r="I361" s="62"/>
      <c r="J361" s="62"/>
      <c r="K361" s="65"/>
      <c r="L361" s="65"/>
      <c r="M361" s="62"/>
      <c r="N361" s="11"/>
      <c r="O361" s="66"/>
      <c r="P361" s="62"/>
      <c r="Q361" s="62"/>
      <c r="R361" s="62"/>
      <c r="S361" s="62"/>
    </row>
    <row r="362" s="58" customFormat="1" spans="1:19">
      <c r="A362" s="61"/>
      <c r="B362" s="62"/>
      <c r="C362" s="61"/>
      <c r="D362" s="61"/>
      <c r="E362" s="64"/>
      <c r="F362" s="64"/>
      <c r="G362" s="62"/>
      <c r="H362" s="62"/>
      <c r="I362" s="62"/>
      <c r="J362" s="62"/>
      <c r="K362" s="65"/>
      <c r="L362" s="65"/>
      <c r="M362" s="62"/>
      <c r="N362" s="11"/>
      <c r="O362" s="66"/>
      <c r="P362" s="62"/>
      <c r="Q362" s="62"/>
      <c r="R362" s="62"/>
      <c r="S362" s="62"/>
    </row>
    <row r="363" s="58" customFormat="1" spans="1:19">
      <c r="A363" s="61"/>
      <c r="B363" s="62"/>
      <c r="C363" s="61"/>
      <c r="D363" s="61"/>
      <c r="E363" s="64"/>
      <c r="F363" s="64"/>
      <c r="G363" s="62"/>
      <c r="H363" s="62"/>
      <c r="I363" s="62"/>
      <c r="J363" s="62"/>
      <c r="K363" s="65"/>
      <c r="L363" s="65"/>
      <c r="M363" s="62"/>
      <c r="N363" s="11"/>
      <c r="O363" s="66"/>
      <c r="P363" s="62"/>
      <c r="Q363" s="62"/>
      <c r="R363" s="62"/>
      <c r="S363" s="62"/>
    </row>
    <row r="364" s="58" customFormat="1" spans="1:19">
      <c r="A364" s="61"/>
      <c r="B364" s="62"/>
      <c r="C364" s="61"/>
      <c r="D364" s="61"/>
      <c r="E364" s="64"/>
      <c r="F364" s="64"/>
      <c r="G364" s="62"/>
      <c r="H364" s="62"/>
      <c r="I364" s="62"/>
      <c r="J364" s="62"/>
      <c r="K364" s="65"/>
      <c r="L364" s="65"/>
      <c r="M364" s="62"/>
      <c r="N364" s="11"/>
      <c r="O364" s="66"/>
      <c r="P364" s="62"/>
      <c r="Q364" s="62"/>
      <c r="R364" s="94"/>
      <c r="S364" s="62"/>
    </row>
    <row r="365" s="58" customFormat="1" spans="1:19">
      <c r="A365" s="61"/>
      <c r="B365" s="62"/>
      <c r="C365" s="61"/>
      <c r="D365" s="61"/>
      <c r="E365" s="64"/>
      <c r="F365" s="64"/>
      <c r="G365" s="62"/>
      <c r="H365" s="62"/>
      <c r="I365" s="62"/>
      <c r="J365" s="62"/>
      <c r="K365" s="65"/>
      <c r="L365" s="65"/>
      <c r="M365" s="62"/>
      <c r="N365" s="11"/>
      <c r="O365" s="66"/>
      <c r="P365" s="62"/>
      <c r="Q365" s="62"/>
      <c r="R365" s="92"/>
      <c r="S365" s="62"/>
    </row>
    <row r="366" s="58" customFormat="1" spans="1:19">
      <c r="A366" s="61"/>
      <c r="B366" s="62"/>
      <c r="C366" s="61"/>
      <c r="D366" s="61"/>
      <c r="E366" s="64"/>
      <c r="F366" s="64"/>
      <c r="G366" s="62"/>
      <c r="H366" s="62"/>
      <c r="I366" s="62"/>
      <c r="J366" s="62"/>
      <c r="K366" s="65"/>
      <c r="L366" s="65"/>
      <c r="M366" s="62"/>
      <c r="N366" s="11"/>
      <c r="O366" s="66"/>
      <c r="P366" s="62"/>
      <c r="Q366" s="62"/>
      <c r="R366" s="62"/>
      <c r="S366" s="62"/>
    </row>
    <row r="367" s="58" customFormat="1" spans="1:19">
      <c r="A367" s="61"/>
      <c r="B367" s="62"/>
      <c r="C367" s="61"/>
      <c r="D367" s="61"/>
      <c r="E367" s="64"/>
      <c r="F367" s="64"/>
      <c r="G367" s="62"/>
      <c r="H367" s="62"/>
      <c r="I367" s="62"/>
      <c r="J367" s="62"/>
      <c r="K367" s="65"/>
      <c r="L367" s="65"/>
      <c r="M367" s="62"/>
      <c r="N367" s="11"/>
      <c r="O367" s="66"/>
      <c r="P367" s="62"/>
      <c r="Q367" s="62"/>
      <c r="R367" s="62"/>
      <c r="S367" s="62"/>
    </row>
    <row r="368" s="58" customFormat="1" spans="1:19">
      <c r="A368" s="61"/>
      <c r="B368" s="62"/>
      <c r="C368" s="61"/>
      <c r="D368" s="61"/>
      <c r="E368" s="64"/>
      <c r="F368" s="64"/>
      <c r="G368" s="62"/>
      <c r="H368" s="62"/>
      <c r="I368" s="62"/>
      <c r="J368" s="62"/>
      <c r="K368" s="65"/>
      <c r="L368" s="65"/>
      <c r="M368" s="62"/>
      <c r="N368" s="11"/>
      <c r="O368" s="66"/>
      <c r="P368" s="62"/>
      <c r="Q368" s="62"/>
      <c r="R368" s="94"/>
      <c r="S368" s="62"/>
    </row>
    <row r="369" s="58" customFormat="1" spans="1:19">
      <c r="A369" s="61"/>
      <c r="B369" s="62"/>
      <c r="C369" s="61"/>
      <c r="D369" s="61"/>
      <c r="E369" s="64"/>
      <c r="F369" s="64"/>
      <c r="G369" s="62"/>
      <c r="H369" s="62"/>
      <c r="I369" s="62"/>
      <c r="J369" s="62"/>
      <c r="K369" s="65"/>
      <c r="L369" s="65"/>
      <c r="M369" s="62"/>
      <c r="N369" s="11"/>
      <c r="O369" s="66"/>
      <c r="P369" s="62"/>
      <c r="Q369" s="62"/>
      <c r="R369" s="92"/>
      <c r="S369" s="62"/>
    </row>
    <row r="370" s="58" customFormat="1" spans="1:19">
      <c r="A370" s="61"/>
      <c r="B370" s="62"/>
      <c r="C370" s="61"/>
      <c r="D370" s="61"/>
      <c r="E370" s="64"/>
      <c r="F370" s="64"/>
      <c r="G370" s="62"/>
      <c r="H370" s="62"/>
      <c r="I370" s="62"/>
      <c r="J370" s="62"/>
      <c r="K370" s="65"/>
      <c r="L370" s="65"/>
      <c r="M370" s="62"/>
      <c r="N370" s="11"/>
      <c r="O370" s="66"/>
      <c r="P370" s="62"/>
      <c r="Q370" s="62"/>
      <c r="R370" s="94"/>
      <c r="S370" s="62"/>
    </row>
    <row r="371" s="58" customFormat="1" spans="1:19">
      <c r="A371" s="61"/>
      <c r="B371" s="62"/>
      <c r="C371" s="61"/>
      <c r="D371" s="61"/>
      <c r="E371" s="64"/>
      <c r="F371" s="64"/>
      <c r="G371" s="62"/>
      <c r="H371" s="62"/>
      <c r="I371" s="62"/>
      <c r="J371" s="62"/>
      <c r="K371" s="65"/>
      <c r="L371" s="65"/>
      <c r="M371" s="62"/>
      <c r="N371" s="11"/>
      <c r="O371" s="66"/>
      <c r="P371" s="62"/>
      <c r="Q371" s="62"/>
      <c r="R371" s="92"/>
      <c r="S371" s="62"/>
    </row>
    <row r="372" s="58" customFormat="1" spans="1:19">
      <c r="A372" s="61"/>
      <c r="B372" s="62"/>
      <c r="C372" s="61"/>
      <c r="D372" s="61"/>
      <c r="E372" s="64"/>
      <c r="F372" s="64"/>
      <c r="G372" s="62"/>
      <c r="H372" s="62"/>
      <c r="I372" s="62"/>
      <c r="J372" s="62"/>
      <c r="K372" s="65"/>
      <c r="L372" s="65"/>
      <c r="M372" s="62"/>
      <c r="N372" s="11"/>
      <c r="O372" s="66"/>
      <c r="P372" s="62"/>
      <c r="Q372" s="62"/>
      <c r="R372" s="94"/>
      <c r="S372" s="62"/>
    </row>
    <row r="373" s="58" customFormat="1" spans="1:19">
      <c r="A373" s="61"/>
      <c r="B373" s="62"/>
      <c r="C373" s="61"/>
      <c r="D373" s="61"/>
      <c r="E373" s="64"/>
      <c r="F373" s="64"/>
      <c r="G373" s="62"/>
      <c r="H373" s="62"/>
      <c r="I373" s="62"/>
      <c r="J373" s="62"/>
      <c r="K373" s="65"/>
      <c r="L373" s="65"/>
      <c r="M373" s="62"/>
      <c r="N373" s="11"/>
      <c r="O373" s="66"/>
      <c r="P373" s="62"/>
      <c r="Q373" s="62"/>
      <c r="R373" s="92"/>
      <c r="S373" s="62"/>
    </row>
    <row r="374" s="58" customFormat="1" spans="1:19">
      <c r="A374" s="61"/>
      <c r="B374" s="62"/>
      <c r="C374" s="61"/>
      <c r="D374" s="61"/>
      <c r="E374" s="64"/>
      <c r="F374" s="64"/>
      <c r="G374" s="62"/>
      <c r="H374" s="62"/>
      <c r="I374" s="62"/>
      <c r="J374" s="62"/>
      <c r="K374" s="106"/>
      <c r="L374" s="65"/>
      <c r="M374" s="62"/>
      <c r="N374" s="11"/>
      <c r="O374" s="107"/>
      <c r="P374" s="62"/>
      <c r="Q374" s="62"/>
      <c r="R374" s="62"/>
      <c r="S374" s="62"/>
    </row>
    <row r="375" s="58" customFormat="1" spans="1:19">
      <c r="A375" s="61"/>
      <c r="B375" s="62"/>
      <c r="C375" s="61"/>
      <c r="D375" s="61"/>
      <c r="E375" s="64"/>
      <c r="F375" s="64"/>
      <c r="G375" s="62"/>
      <c r="H375" s="62"/>
      <c r="I375" s="62"/>
      <c r="J375" s="62"/>
      <c r="K375" s="106"/>
      <c r="L375" s="65"/>
      <c r="M375" s="62"/>
      <c r="N375" s="11"/>
      <c r="O375" s="107"/>
      <c r="P375" s="62"/>
      <c r="Q375" s="62"/>
      <c r="R375" s="62"/>
      <c r="S375" s="62"/>
    </row>
    <row r="376" s="58" customFormat="1" spans="1:19">
      <c r="A376" s="61"/>
      <c r="B376" s="62"/>
      <c r="C376" s="61"/>
      <c r="D376" s="61"/>
      <c r="E376" s="64"/>
      <c r="F376" s="64"/>
      <c r="G376" s="62"/>
      <c r="H376" s="62"/>
      <c r="I376" s="62"/>
      <c r="J376" s="62"/>
      <c r="K376" s="65"/>
      <c r="L376" s="65"/>
      <c r="M376" s="62"/>
      <c r="N376" s="11"/>
      <c r="O376" s="66"/>
      <c r="P376" s="62"/>
      <c r="Q376" s="62"/>
      <c r="R376" s="62"/>
      <c r="S376" s="62"/>
    </row>
    <row r="377" s="58" customFormat="1" spans="1:19">
      <c r="A377" s="61"/>
      <c r="B377" s="62"/>
      <c r="C377" s="61"/>
      <c r="D377" s="61"/>
      <c r="E377" s="64"/>
      <c r="F377" s="64"/>
      <c r="G377" s="62"/>
      <c r="H377" s="62"/>
      <c r="I377" s="62"/>
      <c r="J377" s="62"/>
      <c r="K377" s="65"/>
      <c r="L377" s="65"/>
      <c r="M377" s="62"/>
      <c r="N377" s="11"/>
      <c r="O377" s="66"/>
      <c r="P377" s="62"/>
      <c r="Q377" s="62"/>
      <c r="R377" s="62"/>
      <c r="S377" s="62"/>
    </row>
    <row r="378" s="58" customFormat="1" spans="1:19">
      <c r="A378" s="61"/>
      <c r="B378" s="62"/>
      <c r="C378" s="61"/>
      <c r="D378" s="61"/>
      <c r="E378" s="64"/>
      <c r="F378" s="64"/>
      <c r="G378" s="62"/>
      <c r="H378" s="62"/>
      <c r="I378" s="62"/>
      <c r="J378" s="62"/>
      <c r="K378" s="65"/>
      <c r="L378" s="65"/>
      <c r="M378" s="62"/>
      <c r="N378" s="11"/>
      <c r="O378" s="66"/>
      <c r="P378" s="62"/>
      <c r="Q378" s="62"/>
      <c r="R378" s="62"/>
      <c r="S378" s="62"/>
    </row>
    <row r="379" s="58" customFormat="1" spans="1:19">
      <c r="A379" s="61"/>
      <c r="B379" s="62"/>
      <c r="C379" s="61"/>
      <c r="D379" s="61"/>
      <c r="E379" s="64"/>
      <c r="F379" s="64"/>
      <c r="G379" s="62"/>
      <c r="H379" s="62"/>
      <c r="I379" s="62"/>
      <c r="J379" s="62"/>
      <c r="K379" s="65"/>
      <c r="L379" s="65"/>
      <c r="M379" s="62"/>
      <c r="N379" s="11"/>
      <c r="O379" s="66"/>
      <c r="P379" s="62"/>
      <c r="Q379" s="62"/>
      <c r="R379" s="94"/>
      <c r="S379" s="62"/>
    </row>
    <row r="380" s="58" customFormat="1" spans="1:19">
      <c r="A380" s="61"/>
      <c r="B380" s="62"/>
      <c r="C380" s="61"/>
      <c r="D380" s="61"/>
      <c r="E380" s="64"/>
      <c r="F380" s="64"/>
      <c r="G380" s="62"/>
      <c r="H380" s="62"/>
      <c r="I380" s="62"/>
      <c r="J380" s="62"/>
      <c r="K380" s="65"/>
      <c r="L380" s="65"/>
      <c r="M380" s="62"/>
      <c r="N380" s="11"/>
      <c r="O380" s="66"/>
      <c r="P380" s="62"/>
      <c r="Q380" s="62"/>
      <c r="R380" s="92"/>
      <c r="S380" s="62"/>
    </row>
    <row r="381" s="58" customFormat="1" spans="1:19">
      <c r="A381" s="61"/>
      <c r="B381" s="62"/>
      <c r="C381" s="61"/>
      <c r="D381" s="61"/>
      <c r="E381" s="64"/>
      <c r="F381" s="64"/>
      <c r="G381" s="62"/>
      <c r="H381" s="62"/>
      <c r="I381" s="62"/>
      <c r="J381" s="62"/>
      <c r="K381" s="65"/>
      <c r="L381" s="65"/>
      <c r="M381" s="62"/>
      <c r="N381" s="11"/>
      <c r="O381" s="66"/>
      <c r="P381" s="62"/>
      <c r="Q381" s="62"/>
      <c r="R381" s="62"/>
      <c r="S381" s="62"/>
    </row>
    <row r="382" s="58" customFormat="1" spans="1:19">
      <c r="A382" s="61"/>
      <c r="B382" s="62"/>
      <c r="C382" s="61"/>
      <c r="D382" s="61"/>
      <c r="E382" s="64"/>
      <c r="F382" s="64"/>
      <c r="G382" s="62"/>
      <c r="H382" s="62"/>
      <c r="I382" s="62"/>
      <c r="J382" s="62"/>
      <c r="K382" s="65"/>
      <c r="L382" s="65"/>
      <c r="M382" s="62"/>
      <c r="N382" s="11"/>
      <c r="O382" s="89"/>
      <c r="P382" s="62"/>
      <c r="Q382" s="62"/>
      <c r="R382" s="62"/>
      <c r="S382" s="62"/>
    </row>
    <row r="383" s="58" customFormat="1" spans="1:19">
      <c r="A383" s="61"/>
      <c r="B383" s="62"/>
      <c r="C383" s="61"/>
      <c r="D383" s="61"/>
      <c r="E383" s="64"/>
      <c r="F383" s="64"/>
      <c r="G383" s="62"/>
      <c r="H383" s="62"/>
      <c r="I383" s="62"/>
      <c r="J383" s="62"/>
      <c r="K383" s="65"/>
      <c r="L383" s="65"/>
      <c r="M383" s="62"/>
      <c r="N383" s="11"/>
      <c r="O383" s="89"/>
      <c r="P383" s="62"/>
      <c r="Q383" s="62"/>
      <c r="R383" s="62"/>
      <c r="S383" s="62"/>
    </row>
    <row r="384" s="58" customFormat="1" spans="1:19">
      <c r="A384" s="61"/>
      <c r="B384" s="62"/>
      <c r="C384" s="61"/>
      <c r="D384" s="61"/>
      <c r="E384" s="64"/>
      <c r="F384" s="64"/>
      <c r="G384" s="62"/>
      <c r="H384" s="62"/>
      <c r="I384" s="62"/>
      <c r="J384" s="62"/>
      <c r="K384" s="65"/>
      <c r="L384" s="65"/>
      <c r="M384" s="62"/>
      <c r="N384" s="11"/>
      <c r="O384" s="66"/>
      <c r="P384" s="62"/>
      <c r="Q384" s="62"/>
      <c r="R384" s="62"/>
      <c r="S384" s="62"/>
    </row>
    <row r="385" s="58" customFormat="1" spans="1:19">
      <c r="A385" s="61"/>
      <c r="B385" s="62"/>
      <c r="C385" s="61"/>
      <c r="D385" s="61"/>
      <c r="E385" s="64"/>
      <c r="F385" s="64"/>
      <c r="G385" s="62"/>
      <c r="H385" s="62"/>
      <c r="I385" s="62"/>
      <c r="J385" s="62"/>
      <c r="K385" s="65"/>
      <c r="L385" s="65"/>
      <c r="M385" s="62"/>
      <c r="N385" s="11"/>
      <c r="O385" s="66"/>
      <c r="P385" s="62"/>
      <c r="Q385" s="62"/>
      <c r="R385" s="62"/>
      <c r="S385" s="62"/>
    </row>
    <row r="386" s="58" customFormat="1" spans="1:19">
      <c r="A386" s="61"/>
      <c r="B386" s="62"/>
      <c r="C386" s="61"/>
      <c r="D386" s="61"/>
      <c r="E386" s="64"/>
      <c r="F386" s="64"/>
      <c r="G386" s="62"/>
      <c r="H386" s="62"/>
      <c r="I386" s="62"/>
      <c r="J386" s="62"/>
      <c r="K386" s="65"/>
      <c r="L386" s="65"/>
      <c r="M386" s="62"/>
      <c r="N386" s="11"/>
      <c r="O386" s="66"/>
      <c r="P386" s="62"/>
      <c r="Q386" s="62"/>
      <c r="R386" s="62"/>
      <c r="S386" s="62"/>
    </row>
    <row r="387" s="58" customFormat="1" spans="1:19">
      <c r="A387" s="61"/>
      <c r="B387" s="62"/>
      <c r="C387" s="61"/>
      <c r="D387" s="61"/>
      <c r="E387" s="64"/>
      <c r="F387" s="64"/>
      <c r="G387" s="62"/>
      <c r="H387" s="62"/>
      <c r="I387" s="62"/>
      <c r="J387" s="62"/>
      <c r="K387" s="65"/>
      <c r="L387" s="65"/>
      <c r="M387" s="62"/>
      <c r="N387" s="11"/>
      <c r="O387" s="66"/>
      <c r="P387" s="62"/>
      <c r="Q387" s="62"/>
      <c r="R387" s="62"/>
      <c r="S387" s="62"/>
    </row>
    <row r="388" s="58" customFormat="1" spans="1:19">
      <c r="A388" s="61"/>
      <c r="B388" s="62"/>
      <c r="C388" s="61"/>
      <c r="D388" s="61"/>
      <c r="E388" s="64"/>
      <c r="F388" s="64"/>
      <c r="G388" s="62"/>
      <c r="H388" s="62"/>
      <c r="I388" s="62"/>
      <c r="J388" s="62"/>
      <c r="K388" s="65"/>
      <c r="L388" s="65"/>
      <c r="M388" s="62"/>
      <c r="N388" s="11"/>
      <c r="O388" s="66"/>
      <c r="P388" s="62"/>
      <c r="Q388" s="62"/>
      <c r="R388" s="62"/>
      <c r="S388" s="62"/>
    </row>
    <row r="389" s="58" customFormat="1" spans="1:19">
      <c r="A389" s="61"/>
      <c r="B389" s="62"/>
      <c r="C389" s="61"/>
      <c r="D389" s="61"/>
      <c r="E389" s="64"/>
      <c r="F389" s="64"/>
      <c r="G389" s="62"/>
      <c r="H389" s="62"/>
      <c r="I389" s="62"/>
      <c r="J389" s="62"/>
      <c r="K389" s="65"/>
      <c r="L389" s="65"/>
      <c r="M389" s="62"/>
      <c r="N389" s="11"/>
      <c r="O389" s="66"/>
      <c r="P389" s="62"/>
      <c r="Q389" s="62"/>
      <c r="R389" s="62"/>
      <c r="S389" s="62"/>
    </row>
    <row r="390" s="58" customFormat="1" spans="1:19">
      <c r="A390" s="61"/>
      <c r="B390" s="62"/>
      <c r="C390" s="61"/>
      <c r="D390" s="61"/>
      <c r="E390" s="64"/>
      <c r="F390" s="64"/>
      <c r="G390" s="62"/>
      <c r="H390" s="62"/>
      <c r="I390" s="62"/>
      <c r="J390" s="62"/>
      <c r="K390" s="65"/>
      <c r="L390" s="65"/>
      <c r="M390" s="62"/>
      <c r="N390" s="11"/>
      <c r="O390" s="66"/>
      <c r="P390" s="62"/>
      <c r="Q390" s="62"/>
      <c r="R390" s="62"/>
      <c r="S390" s="62"/>
    </row>
    <row r="391" s="58" customFormat="1" spans="1:19">
      <c r="A391" s="61"/>
      <c r="B391" s="62"/>
      <c r="C391" s="61"/>
      <c r="D391" s="61"/>
      <c r="E391" s="64"/>
      <c r="F391" s="64"/>
      <c r="G391" s="62"/>
      <c r="H391" s="62"/>
      <c r="I391" s="62"/>
      <c r="J391" s="62"/>
      <c r="K391" s="65"/>
      <c r="L391" s="65"/>
      <c r="M391" s="62"/>
      <c r="N391" s="11"/>
      <c r="O391" s="66"/>
      <c r="P391" s="62"/>
      <c r="Q391" s="62"/>
      <c r="R391" s="62"/>
      <c r="S391" s="62"/>
    </row>
    <row r="392" s="58" customFormat="1" spans="1:19">
      <c r="A392" s="61"/>
      <c r="B392" s="62"/>
      <c r="C392" s="61"/>
      <c r="D392" s="61"/>
      <c r="E392" s="64"/>
      <c r="F392" s="64"/>
      <c r="G392" s="62"/>
      <c r="H392" s="62"/>
      <c r="I392" s="62"/>
      <c r="J392" s="62"/>
      <c r="K392" s="65"/>
      <c r="L392" s="65"/>
      <c r="M392" s="62"/>
      <c r="N392" s="11"/>
      <c r="O392" s="66"/>
      <c r="P392" s="62"/>
      <c r="Q392" s="62"/>
      <c r="R392" s="62"/>
      <c r="S392" s="62"/>
    </row>
    <row r="393" s="58" customFormat="1" spans="1:19">
      <c r="A393" s="61"/>
      <c r="B393" s="62"/>
      <c r="C393" s="61"/>
      <c r="D393" s="61"/>
      <c r="E393" s="64"/>
      <c r="F393" s="64"/>
      <c r="G393" s="62"/>
      <c r="H393" s="62"/>
      <c r="I393" s="62"/>
      <c r="J393" s="62"/>
      <c r="K393" s="65"/>
      <c r="L393" s="65"/>
      <c r="M393" s="62"/>
      <c r="N393" s="11"/>
      <c r="O393" s="66"/>
      <c r="P393" s="62"/>
      <c r="Q393" s="62"/>
      <c r="R393" s="62"/>
      <c r="S393" s="62"/>
    </row>
    <row r="394" s="58" customFormat="1" spans="1:19">
      <c r="A394" s="61"/>
      <c r="B394" s="62"/>
      <c r="C394" s="61"/>
      <c r="D394" s="61"/>
      <c r="E394" s="64"/>
      <c r="F394" s="64"/>
      <c r="G394" s="62"/>
      <c r="H394" s="62"/>
      <c r="I394" s="62"/>
      <c r="J394" s="62"/>
      <c r="K394" s="65"/>
      <c r="L394" s="65"/>
      <c r="M394" s="62"/>
      <c r="N394" s="11"/>
      <c r="O394" s="66"/>
      <c r="P394" s="62"/>
      <c r="Q394" s="62"/>
      <c r="R394" s="62"/>
      <c r="S394" s="62"/>
    </row>
    <row r="395" s="58" customFormat="1" spans="1:19">
      <c r="A395" s="61"/>
      <c r="B395" s="62"/>
      <c r="C395" s="61"/>
      <c r="D395" s="61"/>
      <c r="E395" s="64"/>
      <c r="F395" s="64"/>
      <c r="G395" s="62"/>
      <c r="H395" s="62"/>
      <c r="I395" s="62"/>
      <c r="J395" s="62"/>
      <c r="K395" s="65"/>
      <c r="L395" s="65"/>
      <c r="M395" s="62"/>
      <c r="N395" s="11"/>
      <c r="O395" s="66"/>
      <c r="P395" s="62"/>
      <c r="Q395" s="62"/>
      <c r="R395" s="62"/>
      <c r="S395" s="62"/>
    </row>
    <row r="396" s="58" customFormat="1" spans="1:19">
      <c r="A396" s="61"/>
      <c r="B396" s="62"/>
      <c r="C396" s="61"/>
      <c r="D396" s="61"/>
      <c r="E396" s="64"/>
      <c r="F396" s="64"/>
      <c r="G396" s="62"/>
      <c r="H396" s="62"/>
      <c r="I396" s="62"/>
      <c r="J396" s="62"/>
      <c r="K396" s="65"/>
      <c r="L396" s="65"/>
      <c r="M396" s="62"/>
      <c r="N396" s="11"/>
      <c r="O396" s="66"/>
      <c r="P396" s="62"/>
      <c r="Q396" s="62"/>
      <c r="R396" s="62"/>
      <c r="S396" s="62"/>
    </row>
    <row r="397" s="58" customFormat="1" spans="1:19">
      <c r="A397" s="61"/>
      <c r="B397" s="62"/>
      <c r="C397" s="61"/>
      <c r="D397" s="61"/>
      <c r="E397" s="64"/>
      <c r="F397" s="64"/>
      <c r="G397" s="62"/>
      <c r="H397" s="62"/>
      <c r="I397" s="62"/>
      <c r="J397" s="62"/>
      <c r="K397" s="65"/>
      <c r="L397" s="65"/>
      <c r="M397" s="62"/>
      <c r="N397" s="11"/>
      <c r="O397" s="66"/>
      <c r="P397" s="62"/>
      <c r="Q397" s="62"/>
      <c r="R397" s="62"/>
      <c r="S397" s="62"/>
    </row>
    <row r="398" s="58" customFormat="1" spans="1:19">
      <c r="A398" s="61"/>
      <c r="B398" s="62"/>
      <c r="C398" s="61"/>
      <c r="D398" s="61"/>
      <c r="E398" s="64"/>
      <c r="F398" s="64"/>
      <c r="G398" s="62"/>
      <c r="H398" s="62"/>
      <c r="I398" s="62"/>
      <c r="J398" s="62"/>
      <c r="K398" s="65"/>
      <c r="L398" s="65"/>
      <c r="M398" s="62"/>
      <c r="N398" s="11"/>
      <c r="O398" s="66"/>
      <c r="P398" s="62"/>
      <c r="Q398" s="62"/>
      <c r="R398" s="62"/>
      <c r="S398" s="62"/>
    </row>
    <row r="399" s="58" customFormat="1" spans="1:19">
      <c r="A399" s="61"/>
      <c r="B399" s="62"/>
      <c r="C399" s="61"/>
      <c r="D399" s="61"/>
      <c r="E399" s="64"/>
      <c r="F399" s="64"/>
      <c r="G399" s="62"/>
      <c r="H399" s="62"/>
      <c r="I399" s="62"/>
      <c r="J399" s="62"/>
      <c r="K399" s="65"/>
      <c r="L399" s="65"/>
      <c r="M399" s="62"/>
      <c r="N399" s="11"/>
      <c r="O399" s="121"/>
      <c r="P399" s="62"/>
      <c r="Q399" s="62"/>
      <c r="R399" s="62"/>
      <c r="S399" s="62"/>
    </row>
    <row r="400" s="58" customFormat="1" spans="1:19">
      <c r="A400" s="61"/>
      <c r="B400" s="62"/>
      <c r="C400" s="61"/>
      <c r="D400" s="61"/>
      <c r="E400" s="64"/>
      <c r="F400" s="64"/>
      <c r="G400" s="62"/>
      <c r="H400" s="62"/>
      <c r="I400" s="62"/>
      <c r="J400" s="62"/>
      <c r="K400" s="65"/>
      <c r="L400" s="65"/>
      <c r="M400" s="62"/>
      <c r="N400" s="11"/>
      <c r="O400" s="66"/>
      <c r="P400" s="62"/>
      <c r="Q400" s="62"/>
      <c r="R400" s="62"/>
      <c r="S400" s="62"/>
    </row>
    <row r="401" s="58" customFormat="1" spans="1:19">
      <c r="A401" s="61"/>
      <c r="B401" s="62"/>
      <c r="C401" s="61"/>
      <c r="D401" s="61"/>
      <c r="E401" s="64"/>
      <c r="F401" s="64"/>
      <c r="G401" s="62"/>
      <c r="H401" s="62"/>
      <c r="I401" s="62"/>
      <c r="J401" s="62"/>
      <c r="K401" s="65"/>
      <c r="L401" s="65"/>
      <c r="M401" s="62"/>
      <c r="N401" s="11"/>
      <c r="O401" s="66"/>
      <c r="P401" s="62"/>
      <c r="Q401" s="62"/>
      <c r="R401" s="62"/>
      <c r="S401" s="62"/>
    </row>
    <row r="402" s="58" customFormat="1" spans="1:19">
      <c r="A402" s="61"/>
      <c r="B402" s="62"/>
      <c r="C402" s="61"/>
      <c r="D402" s="61"/>
      <c r="E402" s="64"/>
      <c r="F402" s="64"/>
      <c r="G402" s="62"/>
      <c r="H402" s="62"/>
      <c r="I402" s="62"/>
      <c r="J402" s="62"/>
      <c r="K402" s="106"/>
      <c r="L402" s="65"/>
      <c r="M402" s="62"/>
      <c r="N402" s="11"/>
      <c r="O402" s="66"/>
      <c r="P402" s="62"/>
      <c r="Q402" s="62"/>
      <c r="R402" s="62"/>
      <c r="S402" s="62"/>
    </row>
    <row r="403" s="58" customFormat="1" spans="1:19">
      <c r="A403" s="61"/>
      <c r="B403" s="62"/>
      <c r="C403" s="61"/>
      <c r="D403" s="61"/>
      <c r="E403" s="64"/>
      <c r="F403" s="64"/>
      <c r="G403" s="62"/>
      <c r="H403" s="62"/>
      <c r="I403" s="62"/>
      <c r="J403" s="62"/>
      <c r="K403" s="106"/>
      <c r="L403" s="65"/>
      <c r="M403" s="62"/>
      <c r="N403" s="11"/>
      <c r="O403" s="66"/>
      <c r="P403" s="62"/>
      <c r="Q403" s="62"/>
      <c r="R403" s="62"/>
      <c r="S403" s="62"/>
    </row>
    <row r="404" s="58" customFormat="1" spans="1:19">
      <c r="A404" s="61"/>
      <c r="B404" s="62"/>
      <c r="C404" s="61"/>
      <c r="D404" s="61"/>
      <c r="E404" s="64"/>
      <c r="F404" s="64"/>
      <c r="G404" s="62"/>
      <c r="H404" s="62"/>
      <c r="I404" s="62"/>
      <c r="J404" s="62"/>
      <c r="K404" s="106"/>
      <c r="L404" s="65"/>
      <c r="M404" s="62"/>
      <c r="N404" s="11"/>
      <c r="O404" s="66"/>
      <c r="P404" s="62"/>
      <c r="Q404" s="62"/>
      <c r="R404" s="62"/>
      <c r="S404" s="62"/>
    </row>
    <row r="405" s="58" customFormat="1" spans="1:19">
      <c r="A405" s="61"/>
      <c r="B405" s="62"/>
      <c r="C405" s="61"/>
      <c r="D405" s="61"/>
      <c r="E405" s="64"/>
      <c r="F405" s="64"/>
      <c r="G405" s="62"/>
      <c r="H405" s="62"/>
      <c r="I405" s="62"/>
      <c r="J405" s="62"/>
      <c r="K405" s="65"/>
      <c r="L405" s="65"/>
      <c r="M405" s="62"/>
      <c r="N405" s="11"/>
      <c r="O405" s="66"/>
      <c r="P405" s="62"/>
      <c r="Q405" s="62"/>
      <c r="R405" s="62"/>
      <c r="S405" s="62"/>
    </row>
    <row r="406" s="58" customFormat="1" spans="1:19">
      <c r="A406" s="61"/>
      <c r="B406" s="62"/>
      <c r="C406" s="61"/>
      <c r="D406" s="61"/>
      <c r="E406" s="64"/>
      <c r="F406" s="64"/>
      <c r="G406" s="62"/>
      <c r="H406" s="62"/>
      <c r="I406" s="62"/>
      <c r="J406" s="62"/>
      <c r="K406" s="65"/>
      <c r="L406" s="65"/>
      <c r="M406" s="62"/>
      <c r="N406" s="11"/>
      <c r="O406" s="66"/>
      <c r="P406" s="62"/>
      <c r="Q406" s="62"/>
      <c r="R406" s="62"/>
      <c r="S406" s="62"/>
    </row>
    <row r="407" s="58" customFormat="1" spans="1:19">
      <c r="A407" s="61"/>
      <c r="B407" s="62"/>
      <c r="C407" s="61"/>
      <c r="D407" s="61"/>
      <c r="E407" s="64"/>
      <c r="F407" s="64"/>
      <c r="G407" s="62"/>
      <c r="H407" s="62"/>
      <c r="I407" s="62"/>
      <c r="J407" s="62"/>
      <c r="K407" s="65"/>
      <c r="L407" s="65"/>
      <c r="M407" s="62"/>
      <c r="N407" s="11"/>
      <c r="O407" s="66"/>
      <c r="P407" s="62"/>
      <c r="Q407" s="62"/>
      <c r="R407" s="62"/>
      <c r="S407" s="62"/>
    </row>
    <row r="408" s="58" customFormat="1" spans="1:19">
      <c r="A408" s="61"/>
      <c r="B408" s="62"/>
      <c r="C408" s="61"/>
      <c r="D408" s="61"/>
      <c r="E408" s="64"/>
      <c r="F408" s="64"/>
      <c r="G408" s="62"/>
      <c r="H408" s="62"/>
      <c r="I408" s="122"/>
      <c r="J408" s="62"/>
      <c r="K408" s="65"/>
      <c r="L408" s="65"/>
      <c r="M408" s="62"/>
      <c r="N408" s="11"/>
      <c r="O408" s="66"/>
      <c r="P408" s="62"/>
      <c r="Q408" s="62"/>
      <c r="R408" s="62"/>
      <c r="S408" s="62"/>
    </row>
    <row r="409" s="58" customFormat="1" spans="1:19">
      <c r="A409" s="61"/>
      <c r="B409" s="62"/>
      <c r="C409" s="61"/>
      <c r="D409" s="61"/>
      <c r="E409" s="64"/>
      <c r="F409" s="64"/>
      <c r="G409" s="62"/>
      <c r="H409" s="62"/>
      <c r="I409" s="62"/>
      <c r="J409" s="62"/>
      <c r="K409" s="65"/>
      <c r="L409" s="65"/>
      <c r="M409" s="62"/>
      <c r="N409" s="11"/>
      <c r="O409" s="66"/>
      <c r="P409" s="62"/>
      <c r="Q409" s="62"/>
      <c r="R409" s="62"/>
      <c r="S409" s="62"/>
    </row>
    <row r="410" s="58" customFormat="1" spans="1:19">
      <c r="A410" s="61"/>
      <c r="B410" s="62"/>
      <c r="C410" s="61"/>
      <c r="D410" s="61"/>
      <c r="E410" s="64"/>
      <c r="F410" s="64"/>
      <c r="G410" s="62"/>
      <c r="H410" s="62"/>
      <c r="I410" s="62"/>
      <c r="J410" s="62"/>
      <c r="K410" s="65"/>
      <c r="L410" s="65"/>
      <c r="M410" s="62"/>
      <c r="N410" s="11"/>
      <c r="O410" s="66"/>
      <c r="P410" s="62"/>
      <c r="Q410" s="62"/>
      <c r="R410" s="62"/>
      <c r="S410" s="62"/>
    </row>
    <row r="411" s="58" customFormat="1" spans="1:19">
      <c r="A411" s="61"/>
      <c r="B411" s="62"/>
      <c r="C411" s="61"/>
      <c r="D411" s="61"/>
      <c r="E411" s="64"/>
      <c r="F411" s="64"/>
      <c r="G411" s="62"/>
      <c r="H411" s="62"/>
      <c r="I411" s="62"/>
      <c r="J411" s="62"/>
      <c r="K411" s="65"/>
      <c r="L411" s="65"/>
      <c r="M411" s="62"/>
      <c r="N411" s="11"/>
      <c r="O411" s="66"/>
      <c r="P411" s="62"/>
      <c r="Q411" s="62"/>
      <c r="R411" s="94"/>
      <c r="S411" s="62"/>
    </row>
    <row r="412" s="58" customFormat="1" spans="1:19">
      <c r="A412" s="61"/>
      <c r="B412" s="62"/>
      <c r="C412" s="61"/>
      <c r="D412" s="61"/>
      <c r="E412" s="64"/>
      <c r="F412" s="64"/>
      <c r="G412" s="62"/>
      <c r="H412" s="62"/>
      <c r="I412" s="62"/>
      <c r="J412" s="62"/>
      <c r="K412" s="65"/>
      <c r="L412" s="65"/>
      <c r="M412" s="62"/>
      <c r="N412" s="11"/>
      <c r="O412" s="66"/>
      <c r="P412" s="62"/>
      <c r="Q412" s="62"/>
      <c r="R412" s="92"/>
      <c r="S412" s="62"/>
    </row>
    <row r="413" s="58" customFormat="1" spans="1:19">
      <c r="A413" s="61"/>
      <c r="B413" s="62"/>
      <c r="C413" s="61"/>
      <c r="D413" s="61"/>
      <c r="E413" s="64"/>
      <c r="F413" s="64"/>
      <c r="G413" s="62"/>
      <c r="H413" s="62"/>
      <c r="I413" s="62"/>
      <c r="J413" s="62"/>
      <c r="K413" s="65"/>
      <c r="L413" s="65"/>
      <c r="M413" s="62"/>
      <c r="N413" s="11"/>
      <c r="O413" s="123"/>
      <c r="P413" s="62"/>
      <c r="Q413" s="62"/>
      <c r="R413" s="62"/>
      <c r="S413" s="62"/>
    </row>
    <row r="414" s="58" customFormat="1" spans="1:19">
      <c r="A414" s="61"/>
      <c r="B414" s="62"/>
      <c r="C414" s="61"/>
      <c r="D414" s="61"/>
      <c r="E414" s="64"/>
      <c r="F414" s="64"/>
      <c r="G414" s="62"/>
      <c r="H414" s="62"/>
      <c r="I414" s="62"/>
      <c r="J414" s="62"/>
      <c r="K414" s="65"/>
      <c r="L414" s="65"/>
      <c r="M414" s="62"/>
      <c r="N414" s="11"/>
      <c r="O414" s="66"/>
      <c r="P414" s="62"/>
      <c r="Q414" s="62"/>
      <c r="R414" s="62"/>
      <c r="S414" s="62"/>
    </row>
    <row r="415" s="58" customFormat="1" spans="1:19">
      <c r="A415" s="61"/>
      <c r="B415" s="62"/>
      <c r="C415" s="61"/>
      <c r="D415" s="61"/>
      <c r="E415" s="64"/>
      <c r="F415" s="64"/>
      <c r="G415" s="62"/>
      <c r="H415" s="62"/>
      <c r="I415" s="62"/>
      <c r="J415" s="62"/>
      <c r="K415" s="65"/>
      <c r="L415" s="65"/>
      <c r="M415" s="62"/>
      <c r="N415" s="11"/>
      <c r="O415" s="66"/>
      <c r="P415" s="62"/>
      <c r="Q415" s="62"/>
      <c r="R415" s="94"/>
      <c r="S415" s="62"/>
    </row>
    <row r="416" s="58" customFormat="1" spans="1:19">
      <c r="A416" s="61"/>
      <c r="B416" s="62"/>
      <c r="C416" s="61"/>
      <c r="D416" s="61"/>
      <c r="E416" s="64"/>
      <c r="F416" s="64"/>
      <c r="G416" s="62"/>
      <c r="H416" s="62"/>
      <c r="I416" s="62"/>
      <c r="J416" s="62"/>
      <c r="K416" s="65"/>
      <c r="L416" s="65"/>
      <c r="M416" s="62"/>
      <c r="N416" s="11"/>
      <c r="O416" s="66"/>
      <c r="P416" s="62"/>
      <c r="Q416" s="62"/>
      <c r="R416" s="92"/>
      <c r="S416" s="62"/>
    </row>
    <row r="417" s="58" customFormat="1" spans="1:19">
      <c r="A417" s="61"/>
      <c r="B417" s="62"/>
      <c r="C417" s="61"/>
      <c r="D417" s="61"/>
      <c r="E417" s="64"/>
      <c r="F417" s="64"/>
      <c r="G417" s="62"/>
      <c r="H417" s="62"/>
      <c r="I417" s="62"/>
      <c r="J417" s="62"/>
      <c r="K417" s="65"/>
      <c r="L417" s="65"/>
      <c r="M417" s="62"/>
      <c r="N417" s="11"/>
      <c r="O417" s="66"/>
      <c r="P417" s="62"/>
      <c r="Q417" s="62"/>
      <c r="R417" s="62"/>
      <c r="S417" s="62"/>
    </row>
    <row r="418" s="58" customFormat="1" spans="1:19">
      <c r="A418" s="61"/>
      <c r="B418" s="62"/>
      <c r="C418" s="61"/>
      <c r="D418" s="61"/>
      <c r="E418" s="64"/>
      <c r="F418" s="64"/>
      <c r="G418" s="62"/>
      <c r="H418" s="62"/>
      <c r="I418" s="62"/>
      <c r="J418" s="62"/>
      <c r="K418" s="65"/>
      <c r="L418" s="65"/>
      <c r="M418" s="62"/>
      <c r="N418" s="11"/>
      <c r="O418" s="66"/>
      <c r="P418" s="62"/>
      <c r="Q418" s="62"/>
      <c r="R418" s="94"/>
      <c r="S418" s="62"/>
    </row>
    <row r="419" s="58" customFormat="1" spans="1:19">
      <c r="A419" s="61"/>
      <c r="B419" s="62"/>
      <c r="C419" s="61"/>
      <c r="D419" s="61"/>
      <c r="E419" s="64"/>
      <c r="F419" s="64"/>
      <c r="G419" s="62"/>
      <c r="H419" s="62"/>
      <c r="I419" s="62"/>
      <c r="J419" s="62"/>
      <c r="K419" s="65"/>
      <c r="L419" s="65"/>
      <c r="M419" s="62"/>
      <c r="N419" s="11"/>
      <c r="O419" s="66"/>
      <c r="P419" s="62"/>
      <c r="Q419" s="62"/>
      <c r="R419" s="92"/>
      <c r="S419" s="62"/>
    </row>
    <row r="420" s="58" customFormat="1" spans="1:19">
      <c r="A420" s="61"/>
      <c r="B420" s="62"/>
      <c r="C420" s="61"/>
      <c r="D420" s="61"/>
      <c r="E420" s="64"/>
      <c r="F420" s="64"/>
      <c r="G420" s="62"/>
      <c r="H420" s="62"/>
      <c r="I420" s="62"/>
      <c r="J420" s="62"/>
      <c r="K420" s="65"/>
      <c r="L420" s="65"/>
      <c r="M420" s="62"/>
      <c r="N420" s="11"/>
      <c r="O420" s="66"/>
      <c r="P420" s="62"/>
      <c r="Q420" s="62"/>
      <c r="R420" s="62"/>
      <c r="S420" s="62"/>
    </row>
    <row r="421" s="58" customFormat="1" spans="1:19">
      <c r="A421" s="61"/>
      <c r="B421" s="62"/>
      <c r="C421" s="61"/>
      <c r="D421" s="61"/>
      <c r="E421" s="64"/>
      <c r="F421" s="64"/>
      <c r="G421" s="62"/>
      <c r="H421" s="62"/>
      <c r="I421" s="62"/>
      <c r="J421" s="62"/>
      <c r="K421" s="106"/>
      <c r="L421" s="65"/>
      <c r="M421" s="62"/>
      <c r="N421" s="11"/>
      <c r="O421" s="66"/>
      <c r="P421" s="62"/>
      <c r="Q421" s="62"/>
      <c r="R421" s="62"/>
      <c r="S421" s="62"/>
    </row>
    <row r="422" s="58" customFormat="1" spans="1:19">
      <c r="A422" s="61"/>
      <c r="B422" s="62"/>
      <c r="C422" s="61"/>
      <c r="D422" s="61"/>
      <c r="E422" s="64"/>
      <c r="F422" s="64"/>
      <c r="G422" s="62"/>
      <c r="H422" s="62"/>
      <c r="I422" s="62"/>
      <c r="J422" s="62"/>
      <c r="K422" s="106"/>
      <c r="L422" s="65"/>
      <c r="M422" s="62"/>
      <c r="N422" s="11"/>
      <c r="O422" s="66"/>
      <c r="P422" s="62"/>
      <c r="Q422" s="62"/>
      <c r="R422" s="62"/>
      <c r="S422" s="62"/>
    </row>
    <row r="423" s="58" customFormat="1" spans="1:19">
      <c r="A423" s="61"/>
      <c r="B423" s="62"/>
      <c r="C423" s="61"/>
      <c r="D423" s="61"/>
      <c r="E423" s="64"/>
      <c r="F423" s="64"/>
      <c r="G423" s="62"/>
      <c r="H423" s="62"/>
      <c r="I423" s="62"/>
      <c r="J423" s="62"/>
      <c r="K423" s="65"/>
      <c r="L423" s="65"/>
      <c r="M423" s="62"/>
      <c r="N423" s="11"/>
      <c r="O423" s="66"/>
      <c r="P423" s="62"/>
      <c r="Q423" s="62"/>
      <c r="R423" s="94"/>
      <c r="S423" s="62"/>
    </row>
    <row r="424" s="58" customFormat="1" spans="1:19">
      <c r="A424" s="61"/>
      <c r="B424" s="62"/>
      <c r="C424" s="61"/>
      <c r="D424" s="61"/>
      <c r="E424" s="64"/>
      <c r="F424" s="64"/>
      <c r="G424" s="62"/>
      <c r="H424" s="62"/>
      <c r="I424" s="62"/>
      <c r="J424" s="62"/>
      <c r="K424" s="65"/>
      <c r="L424" s="65"/>
      <c r="M424" s="62"/>
      <c r="N424" s="11"/>
      <c r="O424" s="66"/>
      <c r="P424" s="62"/>
      <c r="Q424" s="62"/>
      <c r="R424" s="92"/>
      <c r="S424" s="62"/>
    </row>
    <row r="425" s="58" customFormat="1" spans="1:19">
      <c r="A425" s="61"/>
      <c r="B425" s="62"/>
      <c r="C425" s="61"/>
      <c r="D425" s="61"/>
      <c r="E425" s="64"/>
      <c r="F425" s="64"/>
      <c r="G425" s="62"/>
      <c r="H425" s="62"/>
      <c r="I425" s="62"/>
      <c r="J425" s="62"/>
      <c r="K425" s="65"/>
      <c r="L425" s="65"/>
      <c r="M425" s="62"/>
      <c r="N425" s="11"/>
      <c r="O425" s="66"/>
      <c r="P425" s="62"/>
      <c r="Q425" s="62"/>
      <c r="R425" s="62"/>
      <c r="S425" s="62"/>
    </row>
    <row r="426" s="58" customFormat="1" spans="1:19">
      <c r="A426" s="61"/>
      <c r="B426" s="62"/>
      <c r="C426" s="61"/>
      <c r="D426" s="61"/>
      <c r="E426" s="64"/>
      <c r="F426" s="64"/>
      <c r="G426" s="62"/>
      <c r="H426" s="62"/>
      <c r="I426" s="62"/>
      <c r="J426" s="62"/>
      <c r="K426" s="65"/>
      <c r="L426" s="65"/>
      <c r="M426" s="62"/>
      <c r="N426" s="11"/>
      <c r="O426" s="66"/>
      <c r="P426" s="62"/>
      <c r="Q426" s="62"/>
      <c r="R426" s="62"/>
      <c r="S426" s="62"/>
    </row>
    <row r="427" s="58" customFormat="1" spans="1:19">
      <c r="A427" s="61"/>
      <c r="B427" s="62"/>
      <c r="C427" s="61"/>
      <c r="D427" s="61"/>
      <c r="E427" s="64"/>
      <c r="F427" s="64"/>
      <c r="G427" s="62"/>
      <c r="H427" s="62"/>
      <c r="I427" s="62"/>
      <c r="J427" s="62"/>
      <c r="K427" s="106"/>
      <c r="L427" s="65"/>
      <c r="M427" s="62"/>
      <c r="N427" s="11"/>
      <c r="O427" s="66"/>
      <c r="P427" s="62"/>
      <c r="Q427" s="62"/>
      <c r="R427" s="62"/>
      <c r="S427" s="62"/>
    </row>
    <row r="428" s="58" customFormat="1" spans="1:19">
      <c r="A428" s="61"/>
      <c r="B428" s="62"/>
      <c r="C428" s="61"/>
      <c r="D428" s="61"/>
      <c r="E428" s="64"/>
      <c r="F428" s="64"/>
      <c r="G428" s="62"/>
      <c r="H428" s="62"/>
      <c r="I428" s="62"/>
      <c r="J428" s="62"/>
      <c r="K428" s="65"/>
      <c r="L428" s="65"/>
      <c r="M428" s="62"/>
      <c r="N428" s="11"/>
      <c r="O428" s="66"/>
      <c r="P428" s="62"/>
      <c r="Q428" s="62"/>
      <c r="R428" s="94"/>
      <c r="S428" s="62"/>
    </row>
    <row r="429" s="58" customFormat="1" spans="1:19">
      <c r="A429" s="61"/>
      <c r="B429" s="62"/>
      <c r="C429" s="61"/>
      <c r="D429" s="61"/>
      <c r="E429" s="64"/>
      <c r="F429" s="64"/>
      <c r="G429" s="62"/>
      <c r="H429" s="62"/>
      <c r="I429" s="62"/>
      <c r="J429" s="62"/>
      <c r="K429" s="65"/>
      <c r="L429" s="65"/>
      <c r="M429" s="62"/>
      <c r="N429" s="11"/>
      <c r="O429" s="66"/>
      <c r="P429" s="62"/>
      <c r="Q429" s="62"/>
      <c r="R429" s="92"/>
      <c r="S429" s="62"/>
    </row>
    <row r="430" s="58" customFormat="1" spans="1:19">
      <c r="A430" s="61"/>
      <c r="B430" s="62"/>
      <c r="C430" s="61"/>
      <c r="D430" s="61"/>
      <c r="E430" s="64"/>
      <c r="F430" s="64"/>
      <c r="G430" s="62"/>
      <c r="H430" s="62"/>
      <c r="I430" s="62"/>
      <c r="J430" s="62"/>
      <c r="K430" s="65"/>
      <c r="L430" s="65"/>
      <c r="M430" s="62"/>
      <c r="N430" s="11"/>
      <c r="O430" s="66"/>
      <c r="P430" s="62"/>
      <c r="Q430" s="62"/>
      <c r="R430" s="62"/>
      <c r="S430" s="62"/>
    </row>
    <row r="431" s="58" customFormat="1" spans="1:19">
      <c r="A431" s="61"/>
      <c r="B431" s="62"/>
      <c r="C431" s="61"/>
      <c r="D431" s="61"/>
      <c r="E431" s="64"/>
      <c r="F431" s="64"/>
      <c r="G431" s="62"/>
      <c r="H431" s="62"/>
      <c r="I431" s="62"/>
      <c r="J431" s="62"/>
      <c r="K431" s="65"/>
      <c r="L431" s="65"/>
      <c r="M431" s="62"/>
      <c r="N431" s="11"/>
      <c r="O431" s="66"/>
      <c r="P431" s="62"/>
      <c r="Q431" s="62"/>
      <c r="R431" s="62"/>
      <c r="S431" s="62"/>
    </row>
    <row r="432" s="58" customFormat="1" spans="1:19">
      <c r="A432" s="61"/>
      <c r="B432" s="62"/>
      <c r="C432" s="61"/>
      <c r="D432" s="61"/>
      <c r="E432" s="64"/>
      <c r="F432" s="64"/>
      <c r="G432" s="62"/>
      <c r="H432" s="62"/>
      <c r="I432" s="62"/>
      <c r="J432" s="62"/>
      <c r="K432" s="65"/>
      <c r="L432" s="65"/>
      <c r="M432" s="62"/>
      <c r="N432" s="11"/>
      <c r="O432" s="66"/>
      <c r="P432" s="62"/>
      <c r="Q432" s="62"/>
      <c r="R432" s="62"/>
      <c r="S432" s="62"/>
    </row>
    <row r="433" s="58" customFormat="1" spans="1:19">
      <c r="A433" s="61"/>
      <c r="B433" s="62"/>
      <c r="C433" s="61"/>
      <c r="D433" s="61"/>
      <c r="E433" s="64"/>
      <c r="F433" s="64"/>
      <c r="G433" s="62"/>
      <c r="H433" s="62"/>
      <c r="I433" s="62"/>
      <c r="J433" s="62"/>
      <c r="K433" s="65"/>
      <c r="L433" s="65"/>
      <c r="M433" s="62"/>
      <c r="N433" s="11"/>
      <c r="O433" s="66"/>
      <c r="P433" s="62"/>
      <c r="Q433" s="62"/>
      <c r="R433" s="94"/>
      <c r="S433" s="62"/>
    </row>
    <row r="434" s="58" customFormat="1" spans="1:19">
      <c r="A434" s="61"/>
      <c r="B434" s="62"/>
      <c r="C434" s="61"/>
      <c r="D434" s="61"/>
      <c r="E434" s="64"/>
      <c r="F434" s="64"/>
      <c r="G434" s="62"/>
      <c r="H434" s="62"/>
      <c r="I434" s="62"/>
      <c r="J434" s="62"/>
      <c r="K434" s="65"/>
      <c r="L434" s="65"/>
      <c r="M434" s="62"/>
      <c r="N434" s="11"/>
      <c r="O434" s="66"/>
      <c r="P434" s="62"/>
      <c r="Q434" s="62"/>
      <c r="R434" s="95"/>
      <c r="S434" s="62"/>
    </row>
    <row r="435" s="58" customFormat="1" spans="1:19">
      <c r="A435" s="61"/>
      <c r="B435" s="62"/>
      <c r="C435" s="61"/>
      <c r="D435" s="61"/>
      <c r="E435" s="64"/>
      <c r="F435" s="64"/>
      <c r="G435" s="62"/>
      <c r="H435" s="62"/>
      <c r="I435" s="62"/>
      <c r="J435" s="62"/>
      <c r="K435" s="65"/>
      <c r="L435" s="65"/>
      <c r="M435" s="62"/>
      <c r="N435" s="11"/>
      <c r="O435" s="66"/>
      <c r="P435" s="62"/>
      <c r="Q435" s="62"/>
      <c r="R435" s="92"/>
      <c r="S435" s="62"/>
    </row>
    <row r="436" s="58" customFormat="1" spans="1:19">
      <c r="A436" s="61"/>
      <c r="B436" s="62"/>
      <c r="C436" s="61"/>
      <c r="D436" s="61"/>
      <c r="E436" s="64"/>
      <c r="F436" s="64"/>
      <c r="G436" s="62"/>
      <c r="H436" s="62"/>
      <c r="I436" s="62"/>
      <c r="J436" s="62"/>
      <c r="K436" s="65"/>
      <c r="L436" s="65"/>
      <c r="M436" s="62"/>
      <c r="N436" s="11"/>
      <c r="O436" s="66"/>
      <c r="P436" s="62"/>
      <c r="Q436" s="62"/>
      <c r="R436" s="62"/>
      <c r="S436" s="62"/>
    </row>
    <row r="437" s="58" customFormat="1" spans="1:19">
      <c r="A437" s="61"/>
      <c r="B437" s="62"/>
      <c r="C437" s="61"/>
      <c r="D437" s="61"/>
      <c r="E437" s="64"/>
      <c r="F437" s="64"/>
      <c r="G437" s="64"/>
      <c r="H437" s="62"/>
      <c r="I437" s="62"/>
      <c r="J437" s="62"/>
      <c r="K437" s="106"/>
      <c r="L437" s="65"/>
      <c r="M437" s="62"/>
      <c r="N437" s="11"/>
      <c r="O437" s="66"/>
      <c r="P437" s="62"/>
      <c r="Q437" s="62"/>
      <c r="R437" s="94"/>
      <c r="S437" s="62"/>
    </row>
    <row r="438" s="58" customFormat="1" spans="1:19">
      <c r="A438" s="61"/>
      <c r="B438" s="62"/>
      <c r="C438" s="61"/>
      <c r="D438" s="61"/>
      <c r="E438" s="64"/>
      <c r="F438" s="64"/>
      <c r="G438" s="64"/>
      <c r="H438" s="62"/>
      <c r="I438" s="62"/>
      <c r="J438" s="62"/>
      <c r="K438" s="106"/>
      <c r="L438" s="65"/>
      <c r="M438" s="62"/>
      <c r="N438" s="11"/>
      <c r="O438" s="66"/>
      <c r="P438" s="62"/>
      <c r="Q438" s="62"/>
      <c r="R438" s="62"/>
      <c r="S438" s="62"/>
    </row>
    <row r="439" s="58" customFormat="1" spans="1:19">
      <c r="A439" s="61"/>
      <c r="B439" s="62"/>
      <c r="C439" s="61"/>
      <c r="D439" s="61"/>
      <c r="E439" s="64"/>
      <c r="F439" s="64"/>
      <c r="G439" s="64"/>
      <c r="H439" s="62"/>
      <c r="I439" s="62"/>
      <c r="J439" s="62"/>
      <c r="K439" s="106"/>
      <c r="L439" s="65"/>
      <c r="M439" s="62"/>
      <c r="N439" s="11"/>
      <c r="O439" s="66"/>
      <c r="P439" s="62"/>
      <c r="Q439" s="62"/>
      <c r="R439" s="62"/>
      <c r="S439" s="62"/>
    </row>
    <row r="440" s="58" customFormat="1" spans="1:19">
      <c r="A440" s="61"/>
      <c r="B440" s="62"/>
      <c r="C440" s="61"/>
      <c r="D440" s="61"/>
      <c r="E440" s="64"/>
      <c r="F440" s="64"/>
      <c r="G440" s="62"/>
      <c r="H440" s="62"/>
      <c r="I440" s="62"/>
      <c r="J440" s="62"/>
      <c r="K440" s="106"/>
      <c r="L440" s="65"/>
      <c r="M440" s="62"/>
      <c r="N440" s="11"/>
      <c r="O440" s="66"/>
      <c r="P440" s="62"/>
      <c r="Q440" s="62"/>
      <c r="R440" s="62"/>
      <c r="S440" s="62"/>
    </row>
    <row r="441" s="58" customFormat="1" spans="1:19">
      <c r="A441" s="61"/>
      <c r="B441" s="62"/>
      <c r="C441" s="61"/>
      <c r="D441" s="61"/>
      <c r="E441" s="64"/>
      <c r="F441" s="64"/>
      <c r="G441" s="62"/>
      <c r="H441" s="62"/>
      <c r="I441" s="62"/>
      <c r="J441" s="62"/>
      <c r="K441" s="65"/>
      <c r="L441" s="65"/>
      <c r="M441" s="62"/>
      <c r="N441" s="11"/>
      <c r="O441" s="66"/>
      <c r="P441" s="62"/>
      <c r="Q441" s="62"/>
      <c r="R441" s="62"/>
      <c r="S441" s="62"/>
    </row>
    <row r="442" s="58" customFormat="1" spans="1:19">
      <c r="A442" s="61"/>
      <c r="B442" s="62"/>
      <c r="C442" s="61"/>
      <c r="D442" s="61"/>
      <c r="E442" s="64"/>
      <c r="F442" s="64"/>
      <c r="G442" s="62"/>
      <c r="H442" s="62"/>
      <c r="I442" s="62"/>
      <c r="J442" s="62"/>
      <c r="K442" s="65"/>
      <c r="L442" s="65"/>
      <c r="M442" s="62"/>
      <c r="N442" s="11"/>
      <c r="O442" s="66"/>
      <c r="P442" s="62"/>
      <c r="Q442" s="62"/>
      <c r="R442" s="62"/>
      <c r="S442" s="62"/>
    </row>
    <row r="443" s="58" customFormat="1" spans="1:19">
      <c r="A443" s="61"/>
      <c r="B443" s="62"/>
      <c r="C443" s="61"/>
      <c r="D443" s="61"/>
      <c r="E443" s="64"/>
      <c r="F443" s="64"/>
      <c r="G443" s="62"/>
      <c r="H443" s="62"/>
      <c r="I443" s="62"/>
      <c r="J443" s="62"/>
      <c r="K443" s="65"/>
      <c r="L443" s="65"/>
      <c r="M443" s="62"/>
      <c r="N443" s="11"/>
      <c r="O443" s="66"/>
      <c r="P443" s="62"/>
      <c r="Q443" s="62"/>
      <c r="R443" s="62"/>
      <c r="S443" s="62"/>
    </row>
    <row r="444" s="58" customFormat="1" spans="1:19">
      <c r="A444" s="61"/>
      <c r="B444" s="62"/>
      <c r="C444" s="61"/>
      <c r="D444" s="61"/>
      <c r="E444" s="64"/>
      <c r="F444" s="64"/>
      <c r="G444" s="62"/>
      <c r="H444" s="62"/>
      <c r="I444" s="62"/>
      <c r="J444" s="62"/>
      <c r="K444" s="106"/>
      <c r="L444" s="65"/>
      <c r="M444" s="62"/>
      <c r="N444" s="11"/>
      <c r="O444" s="66"/>
      <c r="P444" s="62"/>
      <c r="Q444" s="62"/>
      <c r="R444" s="62"/>
      <c r="S444" s="62"/>
    </row>
    <row r="445" s="58" customFormat="1" spans="1:19">
      <c r="A445" s="61"/>
      <c r="B445" s="62"/>
      <c r="C445" s="61"/>
      <c r="D445" s="61"/>
      <c r="E445" s="64"/>
      <c r="F445" s="64"/>
      <c r="G445" s="62"/>
      <c r="H445" s="62"/>
      <c r="I445" s="62"/>
      <c r="J445" s="62"/>
      <c r="K445" s="106"/>
      <c r="L445" s="65"/>
      <c r="M445" s="62"/>
      <c r="N445" s="11"/>
      <c r="O445" s="66"/>
      <c r="P445" s="62"/>
      <c r="Q445" s="62"/>
      <c r="R445" s="62"/>
      <c r="S445" s="62"/>
    </row>
    <row r="446" s="58" customFormat="1" spans="1:19">
      <c r="A446" s="61"/>
      <c r="B446" s="62"/>
      <c r="C446" s="61"/>
      <c r="D446" s="61"/>
      <c r="E446" s="64"/>
      <c r="F446" s="64"/>
      <c r="G446" s="62"/>
      <c r="H446" s="62"/>
      <c r="I446" s="62"/>
      <c r="J446" s="62"/>
      <c r="K446" s="65"/>
      <c r="L446" s="65"/>
      <c r="M446" s="62"/>
      <c r="N446" s="11"/>
      <c r="O446" s="66"/>
      <c r="P446" s="62"/>
      <c r="Q446" s="62"/>
      <c r="R446" s="62"/>
      <c r="S446" s="62"/>
    </row>
    <row r="447" s="58" customFormat="1" spans="1:19">
      <c r="A447" s="61"/>
      <c r="B447" s="62"/>
      <c r="C447" s="61"/>
      <c r="D447" s="61"/>
      <c r="E447" s="64"/>
      <c r="F447" s="64"/>
      <c r="G447" s="62"/>
      <c r="H447" s="62"/>
      <c r="I447" s="62"/>
      <c r="J447" s="62"/>
      <c r="K447" s="65"/>
      <c r="L447" s="65"/>
      <c r="M447" s="62"/>
      <c r="N447" s="11"/>
      <c r="O447" s="66"/>
      <c r="P447" s="62"/>
      <c r="Q447" s="62"/>
      <c r="R447" s="62"/>
      <c r="S447" s="62"/>
    </row>
    <row r="448" s="58" customFormat="1" spans="1:19">
      <c r="A448" s="61"/>
      <c r="B448" s="62"/>
      <c r="C448" s="61"/>
      <c r="D448" s="61"/>
      <c r="E448" s="64"/>
      <c r="F448" s="64"/>
      <c r="G448" s="62"/>
      <c r="H448" s="62"/>
      <c r="I448" s="62"/>
      <c r="J448" s="62"/>
      <c r="K448" s="65"/>
      <c r="L448" s="65"/>
      <c r="M448" s="62"/>
      <c r="N448" s="11"/>
      <c r="O448" s="66"/>
      <c r="P448" s="62"/>
      <c r="Q448" s="62"/>
      <c r="R448" s="62"/>
      <c r="S448" s="62"/>
    </row>
    <row r="449" s="58" customFormat="1" spans="1:19">
      <c r="A449" s="61"/>
      <c r="B449" s="62"/>
      <c r="C449" s="61"/>
      <c r="D449" s="61"/>
      <c r="E449" s="64"/>
      <c r="F449" s="64"/>
      <c r="G449" s="62"/>
      <c r="H449" s="105"/>
      <c r="I449" s="62"/>
      <c r="J449" s="62"/>
      <c r="K449" s="65"/>
      <c r="L449" s="65"/>
      <c r="M449" s="62"/>
      <c r="N449" s="11"/>
      <c r="O449" s="66"/>
      <c r="P449" s="62"/>
      <c r="Q449" s="62"/>
      <c r="R449" s="62"/>
      <c r="S449" s="62"/>
    </row>
    <row r="450" s="58" customFormat="1" spans="1:19">
      <c r="A450" s="61"/>
      <c r="B450" s="62"/>
      <c r="C450" s="61"/>
      <c r="D450" s="61"/>
      <c r="E450" s="64"/>
      <c r="F450" s="64"/>
      <c r="G450" s="62"/>
      <c r="H450" s="105"/>
      <c r="I450" s="62"/>
      <c r="J450" s="62"/>
      <c r="K450" s="65"/>
      <c r="L450" s="65"/>
      <c r="M450" s="62"/>
      <c r="N450" s="11"/>
      <c r="O450" s="66"/>
      <c r="P450" s="62"/>
      <c r="Q450" s="62"/>
      <c r="R450" s="62"/>
      <c r="S450" s="62"/>
    </row>
    <row r="451" s="58" customFormat="1" spans="1:19">
      <c r="A451" s="61"/>
      <c r="B451" s="62"/>
      <c r="C451" s="61"/>
      <c r="D451" s="61"/>
      <c r="E451" s="64"/>
      <c r="F451" s="64"/>
      <c r="G451" s="62"/>
      <c r="H451" s="105"/>
      <c r="I451" s="62"/>
      <c r="J451" s="62"/>
      <c r="K451" s="65"/>
      <c r="L451" s="65"/>
      <c r="M451" s="62"/>
      <c r="N451" s="11"/>
      <c r="O451" s="124"/>
      <c r="P451" s="62"/>
      <c r="Q451" s="62"/>
      <c r="R451" s="62"/>
      <c r="S451" s="62"/>
    </row>
    <row r="452" s="58" customFormat="1" spans="1:19">
      <c r="A452" s="61"/>
      <c r="B452" s="62"/>
      <c r="C452" s="61"/>
      <c r="D452" s="61"/>
      <c r="E452" s="64"/>
      <c r="F452" s="64"/>
      <c r="G452" s="62"/>
      <c r="H452" s="105"/>
      <c r="I452" s="62"/>
      <c r="J452" s="62"/>
      <c r="K452" s="65"/>
      <c r="L452" s="65"/>
      <c r="M452" s="62"/>
      <c r="N452" s="11"/>
      <c r="O452" s="62"/>
      <c r="P452" s="62"/>
      <c r="Q452" s="62"/>
      <c r="R452" s="62"/>
      <c r="S452" s="62"/>
    </row>
    <row r="453" s="58" customFormat="1" spans="1:19">
      <c r="A453" s="61"/>
      <c r="B453" s="62"/>
      <c r="C453" s="61"/>
      <c r="D453" s="61"/>
      <c r="E453" s="64"/>
      <c r="F453" s="64"/>
      <c r="G453" s="62"/>
      <c r="H453" s="62"/>
      <c r="I453" s="62"/>
      <c r="J453" s="62"/>
      <c r="K453" s="65"/>
      <c r="L453" s="65"/>
      <c r="M453" s="62"/>
      <c r="N453" s="11"/>
      <c r="O453" s="124"/>
      <c r="P453" s="62"/>
      <c r="Q453" s="62"/>
      <c r="R453" s="62"/>
      <c r="S453" s="62"/>
    </row>
    <row r="454" s="58" customFormat="1" spans="1:19">
      <c r="A454" s="61"/>
      <c r="B454" s="62"/>
      <c r="C454" s="61"/>
      <c r="D454" s="61"/>
      <c r="E454" s="64"/>
      <c r="F454" s="64"/>
      <c r="G454" s="62"/>
      <c r="H454" s="62"/>
      <c r="I454" s="62"/>
      <c r="J454" s="62"/>
      <c r="K454" s="65"/>
      <c r="L454" s="65"/>
      <c r="M454" s="62"/>
      <c r="N454" s="11"/>
      <c r="O454" s="124"/>
      <c r="P454" s="62"/>
      <c r="Q454" s="62"/>
      <c r="R454" s="62"/>
      <c r="S454" s="62"/>
    </row>
    <row r="455" s="58" customFormat="1" spans="1:19">
      <c r="A455" s="61"/>
      <c r="B455" s="62"/>
      <c r="C455" s="61"/>
      <c r="D455" s="61"/>
      <c r="E455" s="64"/>
      <c r="F455" s="64"/>
      <c r="G455" s="62"/>
      <c r="H455" s="62"/>
      <c r="I455" s="62"/>
      <c r="J455" s="62"/>
      <c r="K455" s="65"/>
      <c r="L455" s="65"/>
      <c r="M455" s="62"/>
      <c r="N455" s="11"/>
      <c r="O455" s="66"/>
      <c r="P455" s="62"/>
      <c r="Q455" s="62"/>
      <c r="R455" s="62"/>
      <c r="S455" s="62"/>
    </row>
    <row r="456" s="58" customFormat="1" spans="1:19">
      <c r="A456" s="61"/>
      <c r="B456" s="62"/>
      <c r="C456" s="61"/>
      <c r="D456" s="61"/>
      <c r="E456" s="64"/>
      <c r="F456" s="64"/>
      <c r="G456" s="62"/>
      <c r="H456" s="62"/>
      <c r="I456" s="62"/>
      <c r="J456" s="62"/>
      <c r="K456" s="65"/>
      <c r="L456" s="65"/>
      <c r="M456" s="62"/>
      <c r="N456" s="11"/>
      <c r="O456" s="66"/>
      <c r="P456" s="62"/>
      <c r="Q456" s="62"/>
      <c r="R456" s="62"/>
      <c r="S456" s="62"/>
    </row>
    <row r="457" s="58" customFormat="1" spans="1:19">
      <c r="A457" s="61"/>
      <c r="B457" s="62"/>
      <c r="C457" s="61"/>
      <c r="D457" s="61"/>
      <c r="E457" s="64"/>
      <c r="F457" s="64"/>
      <c r="G457" s="62"/>
      <c r="H457" s="62"/>
      <c r="I457" s="62"/>
      <c r="J457" s="62"/>
      <c r="K457" s="65"/>
      <c r="L457" s="65"/>
      <c r="M457" s="62"/>
      <c r="N457" s="11"/>
      <c r="O457" s="66"/>
      <c r="P457" s="62"/>
      <c r="Q457" s="62"/>
      <c r="R457" s="62"/>
      <c r="S457" s="62"/>
    </row>
    <row r="458" s="58" customFormat="1" spans="1:19">
      <c r="A458" s="61"/>
      <c r="B458" s="62"/>
      <c r="C458" s="61"/>
      <c r="D458" s="61"/>
      <c r="E458" s="64"/>
      <c r="F458" s="64"/>
      <c r="G458" s="62"/>
      <c r="H458" s="62"/>
      <c r="I458" s="62"/>
      <c r="J458" s="62"/>
      <c r="K458" s="65"/>
      <c r="L458" s="65"/>
      <c r="M458" s="62"/>
      <c r="N458" s="11"/>
      <c r="O458" s="66"/>
      <c r="P458" s="62"/>
      <c r="Q458" s="62"/>
      <c r="R458" s="94"/>
      <c r="S458" s="62"/>
    </row>
    <row r="459" s="58" customFormat="1" spans="1:19">
      <c r="A459" s="61"/>
      <c r="B459" s="62"/>
      <c r="C459" s="61"/>
      <c r="D459" s="61"/>
      <c r="E459" s="64"/>
      <c r="F459" s="64"/>
      <c r="G459" s="62"/>
      <c r="H459" s="62"/>
      <c r="I459" s="90"/>
      <c r="J459" s="62"/>
      <c r="K459" s="65"/>
      <c r="L459" s="65"/>
      <c r="M459" s="62"/>
      <c r="N459" s="11"/>
      <c r="O459" s="66"/>
      <c r="P459" s="62"/>
      <c r="Q459" s="62"/>
      <c r="R459" s="92"/>
      <c r="S459" s="62"/>
    </row>
    <row r="460" s="58" customFormat="1" spans="1:19">
      <c r="A460" s="61"/>
      <c r="B460" s="62"/>
      <c r="C460" s="61"/>
      <c r="D460" s="61"/>
      <c r="E460" s="64"/>
      <c r="F460" s="64"/>
      <c r="G460" s="62"/>
      <c r="H460" s="62"/>
      <c r="I460" s="62"/>
      <c r="J460" s="62"/>
      <c r="K460" s="65"/>
      <c r="L460" s="65"/>
      <c r="M460" s="62"/>
      <c r="N460" s="11"/>
      <c r="O460" s="66"/>
      <c r="P460" s="62"/>
      <c r="Q460" s="62"/>
      <c r="R460" s="62"/>
      <c r="S460" s="62"/>
    </row>
    <row r="461" s="58" customFormat="1" spans="1:19">
      <c r="A461" s="61"/>
      <c r="B461" s="62"/>
      <c r="C461" s="61"/>
      <c r="D461" s="61"/>
      <c r="E461" s="64"/>
      <c r="F461" s="64"/>
      <c r="G461" s="62"/>
      <c r="H461" s="62"/>
      <c r="I461" s="62"/>
      <c r="J461" s="62"/>
      <c r="K461" s="65"/>
      <c r="L461" s="65"/>
      <c r="M461" s="62"/>
      <c r="N461" s="11"/>
      <c r="O461" s="66"/>
      <c r="P461" s="62"/>
      <c r="Q461" s="62"/>
      <c r="R461" s="62"/>
      <c r="S461" s="62"/>
    </row>
    <row r="462" s="58" customFormat="1" spans="1:19">
      <c r="A462" s="61"/>
      <c r="B462" s="62"/>
      <c r="C462" s="61"/>
      <c r="D462" s="61"/>
      <c r="E462" s="64"/>
      <c r="F462" s="64"/>
      <c r="G462" s="62"/>
      <c r="H462" s="62"/>
      <c r="I462" s="62"/>
      <c r="J462" s="62"/>
      <c r="K462" s="65"/>
      <c r="L462" s="65"/>
      <c r="M462" s="62"/>
      <c r="N462" s="11"/>
      <c r="O462" s="66"/>
      <c r="P462" s="62"/>
      <c r="Q462" s="62"/>
      <c r="R462" s="62"/>
      <c r="S462" s="62"/>
    </row>
    <row r="463" s="58" customFormat="1" spans="1:19">
      <c r="A463" s="61"/>
      <c r="B463" s="62"/>
      <c r="C463" s="61"/>
      <c r="D463" s="61"/>
      <c r="E463" s="64"/>
      <c r="F463" s="64"/>
      <c r="G463" s="62"/>
      <c r="H463" s="62"/>
      <c r="I463" s="62"/>
      <c r="J463" s="62"/>
      <c r="K463" s="65"/>
      <c r="L463" s="65"/>
      <c r="M463" s="62"/>
      <c r="N463" s="11"/>
      <c r="O463" s="66"/>
      <c r="P463" s="62"/>
      <c r="Q463" s="62"/>
      <c r="R463" s="94"/>
      <c r="S463" s="62"/>
    </row>
    <row r="464" s="58" customFormat="1" spans="1:19">
      <c r="A464" s="61"/>
      <c r="B464" s="62"/>
      <c r="C464" s="61"/>
      <c r="D464" s="61"/>
      <c r="E464" s="64"/>
      <c r="F464" s="64"/>
      <c r="G464" s="62"/>
      <c r="H464" s="62"/>
      <c r="I464" s="62"/>
      <c r="J464" s="62"/>
      <c r="K464" s="65"/>
      <c r="L464" s="65"/>
      <c r="M464" s="62"/>
      <c r="N464" s="11"/>
      <c r="O464" s="66"/>
      <c r="P464" s="62"/>
      <c r="Q464" s="62"/>
      <c r="R464" s="92"/>
      <c r="S464" s="62"/>
    </row>
    <row r="465" s="58" customFormat="1" spans="1:19">
      <c r="A465" s="61"/>
      <c r="B465" s="62"/>
      <c r="C465" s="61"/>
      <c r="D465" s="61"/>
      <c r="E465" s="64"/>
      <c r="F465" s="64"/>
      <c r="G465" s="62"/>
      <c r="H465" s="62"/>
      <c r="I465" s="62"/>
      <c r="J465" s="62"/>
      <c r="K465" s="65"/>
      <c r="L465" s="65"/>
      <c r="M465" s="62"/>
      <c r="N465" s="11"/>
      <c r="O465" s="66"/>
      <c r="P465" s="62"/>
      <c r="Q465" s="62"/>
      <c r="R465" s="94"/>
      <c r="S465" s="62"/>
    </row>
    <row r="466" s="58" customFormat="1" spans="1:19">
      <c r="A466" s="61"/>
      <c r="B466" s="62"/>
      <c r="C466" s="61"/>
      <c r="D466" s="61"/>
      <c r="E466" s="64"/>
      <c r="F466" s="64"/>
      <c r="G466" s="62"/>
      <c r="H466" s="62"/>
      <c r="I466" s="62"/>
      <c r="J466" s="62"/>
      <c r="K466" s="65"/>
      <c r="L466" s="65"/>
      <c r="M466" s="62"/>
      <c r="N466" s="11"/>
      <c r="O466" s="66"/>
      <c r="P466" s="62"/>
      <c r="Q466" s="62"/>
      <c r="R466" s="92"/>
      <c r="S466" s="62"/>
    </row>
    <row r="467" s="58" customFormat="1" spans="1:19">
      <c r="A467" s="61"/>
      <c r="B467" s="62"/>
      <c r="C467" s="61"/>
      <c r="D467" s="61"/>
      <c r="E467" s="64"/>
      <c r="F467" s="64"/>
      <c r="G467" s="62"/>
      <c r="H467" s="62"/>
      <c r="I467" s="62"/>
      <c r="J467" s="62"/>
      <c r="K467" s="65"/>
      <c r="L467" s="65"/>
      <c r="M467" s="62"/>
      <c r="N467" s="11"/>
      <c r="O467" s="66"/>
      <c r="P467" s="62"/>
      <c r="Q467" s="62"/>
      <c r="R467" s="62"/>
      <c r="S467" s="62"/>
    </row>
    <row r="468" s="58" customFormat="1" spans="1:19">
      <c r="A468" s="61"/>
      <c r="B468" s="62"/>
      <c r="C468" s="61"/>
      <c r="D468" s="61"/>
      <c r="E468" s="64"/>
      <c r="F468" s="64"/>
      <c r="G468" s="62"/>
      <c r="H468" s="62"/>
      <c r="I468" s="62"/>
      <c r="J468" s="62"/>
      <c r="K468" s="65"/>
      <c r="L468" s="65"/>
      <c r="M468" s="62"/>
      <c r="N468" s="11"/>
      <c r="O468" s="66"/>
      <c r="P468" s="62"/>
      <c r="Q468" s="62"/>
      <c r="R468" s="62"/>
      <c r="S468" s="62"/>
    </row>
    <row r="469" s="58" customFormat="1" spans="1:19">
      <c r="A469" s="61"/>
      <c r="B469" s="62"/>
      <c r="C469" s="61"/>
      <c r="D469" s="61"/>
      <c r="E469" s="64"/>
      <c r="F469" s="64"/>
      <c r="G469" s="62"/>
      <c r="H469" s="62"/>
      <c r="I469" s="62"/>
      <c r="J469" s="62"/>
      <c r="K469" s="65"/>
      <c r="L469" s="65"/>
      <c r="M469" s="62"/>
      <c r="N469" s="11"/>
      <c r="O469" s="66"/>
      <c r="P469" s="62"/>
      <c r="Q469" s="62"/>
      <c r="R469" s="62"/>
      <c r="S469" s="62"/>
    </row>
    <row r="470" s="58" customFormat="1" spans="1:19">
      <c r="A470" s="61"/>
      <c r="B470" s="62"/>
      <c r="C470" s="61"/>
      <c r="D470" s="61"/>
      <c r="E470" s="64"/>
      <c r="F470" s="64"/>
      <c r="G470" s="62"/>
      <c r="H470" s="62"/>
      <c r="I470" s="62"/>
      <c r="J470" s="62"/>
      <c r="K470" s="65"/>
      <c r="L470" s="65"/>
      <c r="M470" s="62"/>
      <c r="N470" s="11"/>
      <c r="O470" s="66"/>
      <c r="P470" s="62"/>
      <c r="Q470" s="62"/>
      <c r="R470" s="62"/>
      <c r="S470" s="62"/>
    </row>
    <row r="471" s="58" customFormat="1" spans="1:19">
      <c r="A471" s="61"/>
      <c r="B471" s="62"/>
      <c r="C471" s="61"/>
      <c r="D471" s="61"/>
      <c r="E471" s="64"/>
      <c r="F471" s="64"/>
      <c r="G471" s="62"/>
      <c r="H471" s="62"/>
      <c r="I471" s="62"/>
      <c r="J471" s="62"/>
      <c r="K471" s="65"/>
      <c r="L471" s="65"/>
      <c r="M471" s="62"/>
      <c r="N471" s="11"/>
      <c r="O471" s="66"/>
      <c r="P471" s="62"/>
      <c r="Q471" s="62"/>
      <c r="R471" s="94"/>
      <c r="S471" s="62"/>
    </row>
    <row r="472" s="58" customFormat="1" spans="1:19">
      <c r="A472" s="61"/>
      <c r="B472" s="62"/>
      <c r="C472" s="61"/>
      <c r="D472" s="61"/>
      <c r="E472" s="64"/>
      <c r="F472" s="64"/>
      <c r="G472" s="62"/>
      <c r="H472" s="62"/>
      <c r="I472" s="62"/>
      <c r="J472" s="62"/>
      <c r="K472" s="65"/>
      <c r="L472" s="65"/>
      <c r="M472" s="62"/>
      <c r="N472" s="11"/>
      <c r="O472" s="66"/>
      <c r="P472" s="62"/>
      <c r="Q472" s="62"/>
      <c r="R472" s="92"/>
      <c r="S472" s="62"/>
    </row>
    <row r="473" s="58" customFormat="1" spans="1:19">
      <c r="A473" s="61"/>
      <c r="B473" s="62"/>
      <c r="C473" s="61"/>
      <c r="D473" s="61"/>
      <c r="E473" s="64"/>
      <c r="F473" s="64"/>
      <c r="G473" s="62"/>
      <c r="H473" s="62"/>
      <c r="I473" s="62"/>
      <c r="J473" s="62"/>
      <c r="K473" s="65"/>
      <c r="L473" s="65"/>
      <c r="M473" s="62"/>
      <c r="N473" s="11"/>
      <c r="O473" s="66"/>
      <c r="P473" s="62"/>
      <c r="Q473" s="62"/>
      <c r="R473" s="62"/>
      <c r="S473" s="62"/>
    </row>
    <row r="474" s="58" customFormat="1" spans="1:19">
      <c r="A474" s="61"/>
      <c r="B474" s="62"/>
      <c r="C474" s="61"/>
      <c r="D474" s="61"/>
      <c r="E474" s="64"/>
      <c r="F474" s="64"/>
      <c r="G474" s="62"/>
      <c r="H474" s="62"/>
      <c r="I474" s="62"/>
      <c r="J474" s="62"/>
      <c r="K474" s="65"/>
      <c r="L474" s="65"/>
      <c r="M474" s="62"/>
      <c r="N474" s="11"/>
      <c r="O474" s="66"/>
      <c r="P474" s="62"/>
      <c r="Q474" s="62"/>
      <c r="R474" s="94"/>
      <c r="S474" s="62"/>
    </row>
    <row r="475" s="58" customFormat="1" spans="1:19">
      <c r="A475" s="61"/>
      <c r="B475" s="62"/>
      <c r="C475" s="61"/>
      <c r="D475" s="61"/>
      <c r="E475" s="64"/>
      <c r="F475" s="64"/>
      <c r="G475" s="62"/>
      <c r="H475" s="62"/>
      <c r="I475" s="62"/>
      <c r="J475" s="62"/>
      <c r="K475" s="65"/>
      <c r="L475" s="65"/>
      <c r="M475" s="62"/>
      <c r="N475" s="11"/>
      <c r="O475" s="66"/>
      <c r="P475" s="62"/>
      <c r="Q475" s="62"/>
      <c r="R475" s="92"/>
      <c r="S475" s="62"/>
    </row>
    <row r="476" s="58" customFormat="1" spans="1:19">
      <c r="A476" s="61"/>
      <c r="B476" s="62"/>
      <c r="C476" s="61"/>
      <c r="D476" s="61"/>
      <c r="E476" s="64"/>
      <c r="F476" s="64"/>
      <c r="G476" s="62"/>
      <c r="H476" s="62"/>
      <c r="I476" s="62"/>
      <c r="J476" s="62"/>
      <c r="K476" s="65"/>
      <c r="L476" s="65"/>
      <c r="M476" s="62"/>
      <c r="N476" s="11"/>
      <c r="O476" s="66"/>
      <c r="P476" s="62"/>
      <c r="Q476" s="62"/>
      <c r="R476" s="62"/>
      <c r="S476" s="62"/>
    </row>
    <row r="477" s="58" customFormat="1" spans="1:19">
      <c r="A477" s="61"/>
      <c r="B477" s="62"/>
      <c r="C477" s="61"/>
      <c r="D477" s="61"/>
      <c r="E477" s="64"/>
      <c r="F477" s="64"/>
      <c r="G477" s="62"/>
      <c r="H477" s="62"/>
      <c r="I477" s="62"/>
      <c r="J477" s="62"/>
      <c r="K477" s="65"/>
      <c r="L477" s="65"/>
      <c r="M477" s="62"/>
      <c r="N477" s="11"/>
      <c r="O477" s="66"/>
      <c r="P477" s="62"/>
      <c r="Q477" s="62"/>
      <c r="R477" s="62"/>
      <c r="S477" s="62"/>
    </row>
    <row r="478" s="58" customFormat="1" spans="1:19">
      <c r="A478" s="61"/>
      <c r="B478" s="62"/>
      <c r="C478" s="61"/>
      <c r="D478" s="61"/>
      <c r="E478" s="64"/>
      <c r="F478" s="64"/>
      <c r="G478" s="62"/>
      <c r="H478" s="62"/>
      <c r="I478" s="62"/>
      <c r="J478" s="62"/>
      <c r="K478" s="65"/>
      <c r="L478" s="65"/>
      <c r="M478" s="62"/>
      <c r="N478" s="11"/>
      <c r="O478" s="66"/>
      <c r="P478" s="62"/>
      <c r="Q478" s="62"/>
      <c r="R478" s="62"/>
      <c r="S478" s="62"/>
    </row>
    <row r="479" s="58" customFormat="1" spans="1:19">
      <c r="A479" s="61"/>
      <c r="B479" s="62"/>
      <c r="C479" s="61"/>
      <c r="D479" s="61"/>
      <c r="E479" s="64"/>
      <c r="F479" s="64"/>
      <c r="G479" s="62"/>
      <c r="H479" s="62"/>
      <c r="I479" s="62"/>
      <c r="J479" s="62"/>
      <c r="K479" s="65"/>
      <c r="L479" s="65"/>
      <c r="M479" s="62"/>
      <c r="N479" s="11"/>
      <c r="O479" s="66"/>
      <c r="P479" s="62"/>
      <c r="Q479" s="62"/>
      <c r="R479" s="62"/>
      <c r="S479" s="62"/>
    </row>
    <row r="480" s="58" customFormat="1" spans="1:19">
      <c r="A480" s="61"/>
      <c r="B480" s="62"/>
      <c r="C480" s="61"/>
      <c r="D480" s="61"/>
      <c r="E480" s="64"/>
      <c r="F480" s="64"/>
      <c r="G480" s="62"/>
      <c r="H480" s="62"/>
      <c r="I480" s="97"/>
      <c r="J480" s="62"/>
      <c r="K480" s="65"/>
      <c r="L480" s="65"/>
      <c r="M480" s="62"/>
      <c r="N480" s="11"/>
      <c r="O480" s="66"/>
      <c r="P480" s="62"/>
      <c r="Q480" s="62"/>
      <c r="R480" s="62"/>
      <c r="S480" s="62"/>
    </row>
    <row r="481" s="58" customFormat="1" spans="1:19">
      <c r="A481" s="61"/>
      <c r="B481" s="62"/>
      <c r="C481" s="61"/>
      <c r="D481" s="61"/>
      <c r="E481" s="64"/>
      <c r="F481" s="64"/>
      <c r="G481" s="62"/>
      <c r="H481" s="62"/>
      <c r="I481" s="122"/>
      <c r="J481" s="62"/>
      <c r="K481" s="65"/>
      <c r="L481" s="65"/>
      <c r="M481" s="62"/>
      <c r="N481" s="11"/>
      <c r="O481" s="66"/>
      <c r="P481" s="62"/>
      <c r="Q481" s="62"/>
      <c r="R481" s="94"/>
      <c r="S481" s="62"/>
    </row>
    <row r="482" s="58" customFormat="1" spans="1:19">
      <c r="A482" s="61"/>
      <c r="B482" s="62"/>
      <c r="C482" s="61"/>
      <c r="D482" s="61"/>
      <c r="E482" s="64"/>
      <c r="F482" s="64"/>
      <c r="G482" s="62"/>
      <c r="H482" s="62"/>
      <c r="I482" s="62"/>
      <c r="J482" s="62"/>
      <c r="K482" s="65"/>
      <c r="L482" s="65"/>
      <c r="M482" s="62"/>
      <c r="N482" s="11"/>
      <c r="O482" s="66"/>
      <c r="P482" s="62"/>
      <c r="Q482" s="62"/>
      <c r="R482" s="92"/>
      <c r="S482" s="62"/>
    </row>
    <row r="483" s="58" customFormat="1" spans="1:19">
      <c r="A483" s="61"/>
      <c r="B483" s="62"/>
      <c r="C483" s="61"/>
      <c r="D483" s="61"/>
      <c r="E483" s="64"/>
      <c r="F483" s="64"/>
      <c r="G483" s="62"/>
      <c r="H483" s="62"/>
      <c r="I483" s="62"/>
      <c r="J483" s="62"/>
      <c r="K483" s="65"/>
      <c r="L483" s="65"/>
      <c r="M483" s="62"/>
      <c r="N483" s="11"/>
      <c r="O483" s="66"/>
      <c r="P483" s="62"/>
      <c r="Q483" s="62"/>
      <c r="R483" s="94"/>
      <c r="S483" s="62"/>
    </row>
    <row r="484" s="58" customFormat="1" spans="1:19">
      <c r="A484" s="61"/>
      <c r="B484" s="62"/>
      <c r="C484" s="61"/>
      <c r="D484" s="61"/>
      <c r="E484" s="64"/>
      <c r="F484" s="64"/>
      <c r="G484" s="62"/>
      <c r="H484" s="62"/>
      <c r="I484" s="62"/>
      <c r="J484" s="62"/>
      <c r="K484" s="65"/>
      <c r="L484" s="65"/>
      <c r="M484" s="62"/>
      <c r="N484" s="11"/>
      <c r="O484" s="66"/>
      <c r="P484" s="62"/>
      <c r="Q484" s="62"/>
      <c r="R484" s="92"/>
      <c r="S484" s="62"/>
    </row>
    <row r="485" s="58" customFormat="1" spans="1:19">
      <c r="A485" s="61"/>
      <c r="B485" s="62"/>
      <c r="C485" s="61"/>
      <c r="D485" s="61"/>
      <c r="E485" s="64"/>
      <c r="F485" s="64"/>
      <c r="G485" s="62"/>
      <c r="H485" s="62"/>
      <c r="I485" s="62"/>
      <c r="J485" s="62"/>
      <c r="K485" s="65"/>
      <c r="L485" s="65"/>
      <c r="M485" s="62"/>
      <c r="N485" s="11"/>
      <c r="O485" s="66"/>
      <c r="P485" s="62"/>
      <c r="Q485" s="62"/>
      <c r="R485" s="62"/>
      <c r="S485" s="62"/>
    </row>
    <row r="486" s="58" customFormat="1" spans="1:19">
      <c r="A486" s="61"/>
      <c r="B486" s="62"/>
      <c r="C486" s="61"/>
      <c r="D486" s="61"/>
      <c r="E486" s="64"/>
      <c r="F486" s="64"/>
      <c r="G486" s="62"/>
      <c r="H486" s="62"/>
      <c r="I486" s="62"/>
      <c r="J486" s="62"/>
      <c r="K486" s="65"/>
      <c r="L486" s="65"/>
      <c r="M486" s="62"/>
      <c r="N486" s="11"/>
      <c r="O486" s="66"/>
      <c r="P486" s="62"/>
      <c r="Q486" s="62"/>
      <c r="R486" s="62"/>
      <c r="S486" s="62"/>
    </row>
    <row r="487" s="58" customFormat="1" spans="1:19">
      <c r="A487" s="61"/>
      <c r="B487" s="62"/>
      <c r="C487" s="61"/>
      <c r="D487" s="61"/>
      <c r="E487" s="64"/>
      <c r="F487" s="64"/>
      <c r="G487" s="62"/>
      <c r="H487" s="62"/>
      <c r="I487" s="62"/>
      <c r="J487" s="62"/>
      <c r="K487" s="65"/>
      <c r="L487" s="65"/>
      <c r="M487" s="62"/>
      <c r="N487" s="11"/>
      <c r="O487" s="66"/>
      <c r="P487" s="62"/>
      <c r="Q487" s="62"/>
      <c r="R487" s="62"/>
      <c r="S487" s="62"/>
    </row>
    <row r="488" s="58" customFormat="1" spans="1:19">
      <c r="A488" s="61"/>
      <c r="B488" s="62"/>
      <c r="C488" s="61"/>
      <c r="D488" s="61"/>
      <c r="E488" s="64"/>
      <c r="F488" s="64"/>
      <c r="G488" s="62"/>
      <c r="H488" s="62"/>
      <c r="I488" s="62"/>
      <c r="J488" s="62"/>
      <c r="K488" s="65"/>
      <c r="L488" s="65"/>
      <c r="M488" s="62"/>
      <c r="N488" s="11"/>
      <c r="O488" s="66"/>
      <c r="P488" s="62"/>
      <c r="Q488" s="62"/>
      <c r="R488" s="62"/>
      <c r="S488" s="62"/>
    </row>
    <row r="489" s="58" customFormat="1" spans="1:19">
      <c r="A489" s="61"/>
      <c r="B489" s="62"/>
      <c r="C489" s="61"/>
      <c r="D489" s="61"/>
      <c r="E489" s="64"/>
      <c r="F489" s="64"/>
      <c r="G489" s="62"/>
      <c r="H489" s="62"/>
      <c r="I489" s="62"/>
      <c r="J489" s="62"/>
      <c r="K489" s="62"/>
      <c r="L489" s="65"/>
      <c r="M489" s="62"/>
      <c r="N489" s="11"/>
      <c r="O489" s="66"/>
      <c r="P489" s="62"/>
      <c r="Q489" s="62"/>
      <c r="R489" s="62"/>
      <c r="S489" s="62"/>
    </row>
    <row r="490" s="58" customFormat="1" spans="1:19">
      <c r="A490" s="61"/>
      <c r="B490" s="62"/>
      <c r="C490" s="61"/>
      <c r="D490" s="61"/>
      <c r="E490" s="64"/>
      <c r="F490" s="64"/>
      <c r="G490" s="62"/>
      <c r="H490" s="62"/>
      <c r="I490" s="62"/>
      <c r="J490" s="62"/>
      <c r="K490" s="62"/>
      <c r="L490" s="65"/>
      <c r="M490" s="62"/>
      <c r="N490" s="11"/>
      <c r="O490" s="66"/>
      <c r="P490" s="62"/>
      <c r="Q490" s="62"/>
      <c r="R490" s="62"/>
      <c r="S490" s="62"/>
    </row>
    <row r="491" s="58" customFormat="1" spans="1:19">
      <c r="A491" s="61"/>
      <c r="B491" s="62"/>
      <c r="C491" s="61"/>
      <c r="D491" s="61"/>
      <c r="E491" s="64"/>
      <c r="F491" s="64"/>
      <c r="G491" s="62"/>
      <c r="H491" s="62"/>
      <c r="I491" s="62"/>
      <c r="J491" s="62"/>
      <c r="K491" s="62"/>
      <c r="L491" s="65"/>
      <c r="M491" s="62"/>
      <c r="N491" s="11"/>
      <c r="O491" s="66"/>
      <c r="P491" s="62"/>
      <c r="Q491" s="62"/>
      <c r="R491" s="94"/>
      <c r="S491" s="62"/>
    </row>
    <row r="492" s="58" customFormat="1" spans="1:19">
      <c r="A492" s="61"/>
      <c r="B492" s="62"/>
      <c r="C492" s="61"/>
      <c r="D492" s="61"/>
      <c r="E492" s="64"/>
      <c r="F492" s="64"/>
      <c r="G492" s="62"/>
      <c r="H492" s="62"/>
      <c r="I492" s="62"/>
      <c r="J492" s="62"/>
      <c r="K492" s="62"/>
      <c r="L492" s="65"/>
      <c r="M492" s="62"/>
      <c r="N492" s="11"/>
      <c r="O492" s="66"/>
      <c r="P492" s="62"/>
      <c r="Q492" s="62"/>
      <c r="R492" s="92"/>
      <c r="S492" s="62"/>
    </row>
    <row r="493" s="58" customFormat="1" spans="1:19">
      <c r="A493" s="61"/>
      <c r="B493" s="62"/>
      <c r="C493" s="61"/>
      <c r="D493" s="61"/>
      <c r="E493" s="64"/>
      <c r="F493" s="64"/>
      <c r="G493" s="62"/>
      <c r="H493" s="62"/>
      <c r="I493" s="62"/>
      <c r="J493" s="62"/>
      <c r="K493" s="62"/>
      <c r="L493" s="65"/>
      <c r="M493" s="62"/>
      <c r="N493" s="11"/>
      <c r="O493" s="66"/>
      <c r="P493" s="62"/>
      <c r="Q493" s="62"/>
      <c r="R493" s="62"/>
      <c r="S493" s="62"/>
    </row>
    <row r="494" s="58" customFormat="1" spans="1:19">
      <c r="A494" s="61"/>
      <c r="B494" s="62"/>
      <c r="C494" s="61"/>
      <c r="D494" s="61"/>
      <c r="E494" s="64"/>
      <c r="F494" s="64"/>
      <c r="G494" s="62"/>
      <c r="H494" s="62"/>
      <c r="I494" s="62"/>
      <c r="J494" s="62"/>
      <c r="K494" s="62"/>
      <c r="L494" s="65"/>
      <c r="M494" s="62"/>
      <c r="N494" s="11"/>
      <c r="O494" s="89"/>
      <c r="P494" s="62"/>
      <c r="Q494" s="62"/>
      <c r="R494" s="62"/>
      <c r="S494" s="62"/>
    </row>
    <row r="495" s="58" customFormat="1" spans="1:19">
      <c r="A495" s="61"/>
      <c r="B495" s="62"/>
      <c r="C495" s="61"/>
      <c r="D495" s="61"/>
      <c r="E495" s="64"/>
      <c r="F495" s="64"/>
      <c r="G495" s="62"/>
      <c r="H495" s="62"/>
      <c r="I495" s="62"/>
      <c r="J495" s="62"/>
      <c r="K495" s="62"/>
      <c r="L495" s="65"/>
      <c r="M495" s="62"/>
      <c r="N495" s="11"/>
      <c r="O495" s="61"/>
      <c r="P495" s="62"/>
      <c r="Q495" s="62"/>
      <c r="R495" s="62"/>
      <c r="S495" s="62"/>
    </row>
    <row r="496" s="58" customFormat="1" spans="1:19">
      <c r="A496" s="61"/>
      <c r="B496" s="62"/>
      <c r="C496" s="61"/>
      <c r="D496" s="61"/>
      <c r="E496" s="64"/>
      <c r="F496" s="64"/>
      <c r="G496" s="62"/>
      <c r="H496" s="62"/>
      <c r="I496" s="62"/>
      <c r="J496" s="62"/>
      <c r="K496" s="65"/>
      <c r="L496" s="65"/>
      <c r="M496" s="62"/>
      <c r="N496" s="11"/>
      <c r="O496" s="66"/>
      <c r="P496" s="62"/>
      <c r="Q496" s="62"/>
      <c r="R496" s="62"/>
      <c r="S496" s="62"/>
    </row>
    <row r="497" s="58" customFormat="1" spans="1:19">
      <c r="A497" s="61"/>
      <c r="B497" s="62"/>
      <c r="C497" s="61"/>
      <c r="D497" s="61"/>
      <c r="E497" s="64"/>
      <c r="F497" s="64"/>
      <c r="G497" s="62"/>
      <c r="H497" s="62"/>
      <c r="I497" s="62"/>
      <c r="J497" s="62"/>
      <c r="K497" s="65"/>
      <c r="L497" s="65"/>
      <c r="M497" s="62"/>
      <c r="N497" s="11"/>
      <c r="O497" s="66"/>
      <c r="P497" s="62"/>
      <c r="Q497" s="62"/>
      <c r="R497" s="94"/>
      <c r="S497" s="62"/>
    </row>
    <row r="498" s="58" customFormat="1" spans="1:19">
      <c r="A498" s="61"/>
      <c r="B498" s="62"/>
      <c r="C498" s="61"/>
      <c r="D498" s="61"/>
      <c r="E498" s="64"/>
      <c r="F498" s="64"/>
      <c r="G498" s="62"/>
      <c r="H498" s="62"/>
      <c r="I498" s="62"/>
      <c r="J498" s="62"/>
      <c r="K498" s="65"/>
      <c r="L498" s="65"/>
      <c r="M498" s="62"/>
      <c r="N498" s="11"/>
      <c r="O498" s="66"/>
      <c r="P498" s="62"/>
      <c r="Q498" s="62"/>
      <c r="R498" s="92"/>
      <c r="S498" s="62"/>
    </row>
    <row r="499" s="58" customFormat="1" spans="1:19">
      <c r="A499" s="61"/>
      <c r="B499" s="62"/>
      <c r="C499" s="61"/>
      <c r="D499" s="61"/>
      <c r="E499" s="64"/>
      <c r="F499" s="64"/>
      <c r="G499" s="62"/>
      <c r="H499" s="62"/>
      <c r="I499" s="62"/>
      <c r="J499" s="62"/>
      <c r="K499" s="65"/>
      <c r="L499" s="65"/>
      <c r="M499" s="62"/>
      <c r="N499" s="11"/>
      <c r="O499" s="66"/>
      <c r="P499" s="62"/>
      <c r="Q499" s="62"/>
      <c r="R499" s="62"/>
      <c r="S499" s="62"/>
    </row>
    <row r="500" s="58" customFormat="1" spans="1:19">
      <c r="A500" s="61"/>
      <c r="B500" s="62"/>
      <c r="C500" s="61"/>
      <c r="D500" s="61"/>
      <c r="E500" s="64"/>
      <c r="F500" s="64"/>
      <c r="G500" s="62"/>
      <c r="H500" s="62"/>
      <c r="I500" s="62"/>
      <c r="J500" s="62"/>
      <c r="K500" s="65"/>
      <c r="L500" s="65"/>
      <c r="M500" s="62"/>
      <c r="N500" s="11"/>
      <c r="O500" s="66"/>
      <c r="P500" s="62"/>
      <c r="Q500" s="62"/>
      <c r="R500" s="62"/>
      <c r="S500" s="62"/>
    </row>
    <row r="501" s="58" customFormat="1" spans="1:19">
      <c r="A501" s="61"/>
      <c r="B501" s="62"/>
      <c r="C501" s="61"/>
      <c r="D501" s="61"/>
      <c r="E501" s="64"/>
      <c r="F501" s="64"/>
      <c r="G501" s="62"/>
      <c r="H501" s="62"/>
      <c r="I501" s="62"/>
      <c r="J501" s="62"/>
      <c r="K501" s="65"/>
      <c r="L501" s="65"/>
      <c r="M501" s="62"/>
      <c r="N501" s="11"/>
      <c r="O501" s="66"/>
      <c r="P501" s="62"/>
      <c r="Q501" s="62"/>
      <c r="R501" s="62"/>
      <c r="S501" s="62"/>
    </row>
    <row r="502" s="58" customFormat="1" spans="1:19">
      <c r="A502" s="61"/>
      <c r="B502" s="62"/>
      <c r="C502" s="61"/>
      <c r="D502" s="61"/>
      <c r="E502" s="64"/>
      <c r="F502" s="64"/>
      <c r="G502" s="62"/>
      <c r="H502" s="62"/>
      <c r="I502" s="62"/>
      <c r="J502" s="62"/>
      <c r="K502" s="65"/>
      <c r="L502" s="65"/>
      <c r="M502" s="62"/>
      <c r="N502" s="11"/>
      <c r="O502" s="66"/>
      <c r="P502" s="62"/>
      <c r="Q502" s="62"/>
      <c r="R502" s="62"/>
      <c r="S502" s="62"/>
    </row>
    <row r="503" s="58" customFormat="1" spans="1:19">
      <c r="A503" s="61"/>
      <c r="B503" s="62"/>
      <c r="C503" s="61"/>
      <c r="D503" s="61"/>
      <c r="E503" s="64"/>
      <c r="F503" s="64"/>
      <c r="G503" s="62"/>
      <c r="H503" s="62"/>
      <c r="I503" s="62"/>
      <c r="J503" s="62"/>
      <c r="K503" s="65"/>
      <c r="L503" s="65"/>
      <c r="M503" s="62"/>
      <c r="N503" s="11"/>
      <c r="O503" s="66"/>
      <c r="P503" s="62"/>
      <c r="Q503" s="62"/>
      <c r="R503" s="62"/>
      <c r="S503" s="62"/>
    </row>
    <row r="504" s="58" customFormat="1" spans="1:19">
      <c r="A504" s="61"/>
      <c r="B504" s="62"/>
      <c r="C504" s="61"/>
      <c r="D504" s="61"/>
      <c r="E504" s="64"/>
      <c r="F504" s="64"/>
      <c r="G504" s="62"/>
      <c r="H504" s="62"/>
      <c r="I504" s="62"/>
      <c r="J504" s="62"/>
      <c r="K504" s="65"/>
      <c r="L504" s="65"/>
      <c r="M504" s="62"/>
      <c r="N504" s="11"/>
      <c r="O504" s="66"/>
      <c r="P504" s="62"/>
      <c r="Q504" s="62"/>
      <c r="R504" s="94"/>
      <c r="S504" s="62"/>
    </row>
    <row r="505" s="58" customFormat="1" spans="1:19">
      <c r="A505" s="61"/>
      <c r="B505" s="62"/>
      <c r="C505" s="61"/>
      <c r="D505" s="61"/>
      <c r="E505" s="64"/>
      <c r="F505" s="64"/>
      <c r="G505" s="62"/>
      <c r="H505" s="62"/>
      <c r="I505" s="62"/>
      <c r="J505" s="62"/>
      <c r="K505" s="65"/>
      <c r="L505" s="65"/>
      <c r="M505" s="62"/>
      <c r="N505" s="11"/>
      <c r="O505" s="66"/>
      <c r="P505" s="62"/>
      <c r="Q505" s="62"/>
      <c r="R505" s="92"/>
      <c r="S505" s="62"/>
    </row>
    <row r="506" s="58" customFormat="1" spans="1:19">
      <c r="A506" s="61"/>
      <c r="B506" s="62"/>
      <c r="C506" s="61"/>
      <c r="D506" s="61"/>
      <c r="E506" s="64"/>
      <c r="F506" s="64"/>
      <c r="G506" s="62"/>
      <c r="H506" s="62"/>
      <c r="I506" s="62"/>
      <c r="J506" s="62"/>
      <c r="K506" s="65"/>
      <c r="L506" s="65"/>
      <c r="M506" s="62"/>
      <c r="N506" s="11"/>
      <c r="O506" s="66"/>
      <c r="P506" s="62"/>
      <c r="Q506" s="62"/>
      <c r="R506" s="94"/>
      <c r="S506" s="62"/>
    </row>
    <row r="507" s="58" customFormat="1" spans="1:19">
      <c r="A507" s="61"/>
      <c r="B507" s="62"/>
      <c r="C507" s="61"/>
      <c r="D507" s="61"/>
      <c r="E507" s="64"/>
      <c r="F507" s="64"/>
      <c r="G507" s="62"/>
      <c r="H507" s="62"/>
      <c r="I507" s="62"/>
      <c r="J507" s="62"/>
      <c r="K507" s="65"/>
      <c r="L507" s="65"/>
      <c r="M507" s="62"/>
      <c r="N507" s="11"/>
      <c r="O507" s="66"/>
      <c r="P507" s="62"/>
      <c r="Q507" s="62"/>
      <c r="R507" s="92"/>
      <c r="S507" s="62"/>
    </row>
    <row r="508" s="58" customFormat="1" spans="1:19">
      <c r="A508" s="61"/>
      <c r="B508" s="62"/>
      <c r="C508" s="61"/>
      <c r="D508" s="61"/>
      <c r="E508" s="64"/>
      <c r="F508" s="64"/>
      <c r="G508" s="62"/>
      <c r="H508" s="62"/>
      <c r="I508" s="62"/>
      <c r="J508" s="62"/>
      <c r="K508" s="65"/>
      <c r="L508" s="65"/>
      <c r="M508" s="62"/>
      <c r="N508" s="11"/>
      <c r="O508" s="66"/>
      <c r="P508" s="62"/>
      <c r="Q508" s="62"/>
      <c r="R508" s="62"/>
      <c r="S508" s="62"/>
    </row>
    <row r="509" s="58" customFormat="1" spans="1:19">
      <c r="A509" s="61"/>
      <c r="B509" s="62"/>
      <c r="C509" s="61"/>
      <c r="D509" s="61"/>
      <c r="E509" s="64"/>
      <c r="F509" s="64"/>
      <c r="G509" s="62"/>
      <c r="H509" s="62"/>
      <c r="I509" s="62"/>
      <c r="J509" s="62"/>
      <c r="K509" s="65"/>
      <c r="L509" s="65"/>
      <c r="M509" s="62"/>
      <c r="N509" s="11"/>
      <c r="O509" s="66"/>
      <c r="P509" s="62"/>
      <c r="Q509" s="62"/>
      <c r="R509" s="62"/>
      <c r="S509" s="62"/>
    </row>
    <row r="510" s="58" customFormat="1" spans="1:19">
      <c r="A510" s="61"/>
      <c r="B510" s="62"/>
      <c r="C510" s="61"/>
      <c r="D510" s="61"/>
      <c r="E510" s="64"/>
      <c r="F510" s="64"/>
      <c r="G510" s="62"/>
      <c r="H510" s="62"/>
      <c r="I510" s="62"/>
      <c r="J510" s="62"/>
      <c r="K510" s="65"/>
      <c r="L510" s="65"/>
      <c r="M510" s="62"/>
      <c r="N510" s="11"/>
      <c r="O510" s="66"/>
      <c r="P510" s="62"/>
      <c r="Q510" s="62"/>
      <c r="R510" s="62"/>
      <c r="S510" s="62"/>
    </row>
    <row r="511" s="58" customFormat="1" spans="1:19">
      <c r="A511" s="61"/>
      <c r="B511" s="62"/>
      <c r="C511" s="61"/>
      <c r="D511" s="61"/>
      <c r="E511" s="64"/>
      <c r="F511" s="64"/>
      <c r="G511" s="62"/>
      <c r="H511" s="62"/>
      <c r="I511" s="62"/>
      <c r="J511" s="62"/>
      <c r="K511" s="65"/>
      <c r="L511" s="65"/>
      <c r="M511" s="62"/>
      <c r="N511" s="11"/>
      <c r="O511" s="66"/>
      <c r="P511" s="62"/>
      <c r="Q511" s="62"/>
      <c r="R511" s="62"/>
      <c r="S511" s="62"/>
    </row>
    <row r="512" s="58" customFormat="1" spans="1:19">
      <c r="A512" s="61"/>
      <c r="B512" s="62"/>
      <c r="C512" s="61"/>
      <c r="D512" s="61"/>
      <c r="E512" s="64"/>
      <c r="F512" s="64"/>
      <c r="G512" s="62"/>
      <c r="H512" s="62"/>
      <c r="I512" s="62"/>
      <c r="J512" s="62"/>
      <c r="K512" s="65"/>
      <c r="L512" s="65"/>
      <c r="M512" s="62"/>
      <c r="N512" s="11"/>
      <c r="O512" s="66"/>
      <c r="P512" s="62"/>
      <c r="Q512" s="62"/>
      <c r="R512" s="62"/>
      <c r="S512" s="62"/>
    </row>
    <row r="513" s="58" customFormat="1" spans="1:19">
      <c r="A513" s="61"/>
      <c r="B513" s="62"/>
      <c r="C513" s="61"/>
      <c r="D513" s="61"/>
      <c r="E513" s="64"/>
      <c r="F513" s="64"/>
      <c r="G513" s="62"/>
      <c r="H513" s="62"/>
      <c r="I513" s="62"/>
      <c r="J513" s="62"/>
      <c r="K513" s="65"/>
      <c r="L513" s="65"/>
      <c r="M513" s="62"/>
      <c r="N513" s="11"/>
      <c r="O513" s="66"/>
      <c r="P513" s="62"/>
      <c r="Q513" s="62"/>
      <c r="R513" s="94"/>
      <c r="S513" s="62"/>
    </row>
    <row r="514" s="58" customFormat="1" spans="1:19">
      <c r="A514" s="61"/>
      <c r="B514" s="62"/>
      <c r="C514" s="61"/>
      <c r="D514" s="61"/>
      <c r="E514" s="64"/>
      <c r="F514" s="64"/>
      <c r="G514" s="62"/>
      <c r="H514" s="62"/>
      <c r="I514" s="62"/>
      <c r="J514" s="62"/>
      <c r="K514" s="65"/>
      <c r="L514" s="65"/>
      <c r="M514" s="62"/>
      <c r="N514" s="11"/>
      <c r="O514" s="66"/>
      <c r="P514" s="62"/>
      <c r="Q514" s="62"/>
      <c r="R514" s="92"/>
      <c r="S514" s="62"/>
    </row>
    <row r="515" s="58" customFormat="1" spans="1:19">
      <c r="A515" s="61"/>
      <c r="B515" s="62"/>
      <c r="C515" s="61"/>
      <c r="D515" s="61"/>
      <c r="E515" s="64"/>
      <c r="F515" s="64"/>
      <c r="G515" s="62"/>
      <c r="H515" s="62"/>
      <c r="I515" s="62"/>
      <c r="J515" s="62"/>
      <c r="K515" s="65"/>
      <c r="L515" s="65"/>
      <c r="M515" s="62"/>
      <c r="N515" s="11"/>
      <c r="O515" s="66"/>
      <c r="P515" s="62"/>
      <c r="Q515" s="62"/>
      <c r="R515" s="62"/>
      <c r="S515" s="62"/>
    </row>
    <row r="516" s="58" customFormat="1" spans="1:19">
      <c r="A516" s="61"/>
      <c r="B516" s="62"/>
      <c r="C516" s="61"/>
      <c r="D516" s="61"/>
      <c r="E516" s="64"/>
      <c r="F516" s="64"/>
      <c r="G516" s="62"/>
      <c r="H516" s="62"/>
      <c r="I516" s="62"/>
      <c r="J516" s="62"/>
      <c r="K516" s="65"/>
      <c r="L516" s="65"/>
      <c r="M516" s="62"/>
      <c r="N516" s="11"/>
      <c r="O516" s="66"/>
      <c r="P516" s="62"/>
      <c r="Q516" s="62"/>
      <c r="R516" s="62"/>
      <c r="S516" s="62"/>
    </row>
    <row r="517" s="58" customFormat="1" spans="1:19">
      <c r="A517" s="61"/>
      <c r="B517" s="62"/>
      <c r="C517" s="61"/>
      <c r="D517" s="61"/>
      <c r="E517" s="64"/>
      <c r="F517" s="64"/>
      <c r="G517" s="62"/>
      <c r="H517" s="62"/>
      <c r="I517" s="62"/>
      <c r="J517" s="62"/>
      <c r="K517" s="65"/>
      <c r="L517" s="65"/>
      <c r="M517" s="62"/>
      <c r="N517" s="11"/>
      <c r="O517" s="66"/>
      <c r="P517" s="62"/>
      <c r="Q517" s="62"/>
      <c r="R517" s="62"/>
      <c r="S517" s="62"/>
    </row>
    <row r="518" s="58" customFormat="1" spans="1:19">
      <c r="A518" s="61"/>
      <c r="B518" s="62"/>
      <c r="C518" s="61"/>
      <c r="D518" s="61"/>
      <c r="E518" s="64"/>
      <c r="F518" s="64"/>
      <c r="G518" s="62"/>
      <c r="H518" s="62"/>
      <c r="I518" s="62"/>
      <c r="J518" s="62"/>
      <c r="K518" s="65"/>
      <c r="L518" s="65"/>
      <c r="M518" s="62"/>
      <c r="N518" s="11"/>
      <c r="O518" s="66"/>
      <c r="P518" s="62"/>
      <c r="Q518" s="62"/>
      <c r="R518" s="62"/>
      <c r="S518" s="62"/>
    </row>
    <row r="519" s="58" customFormat="1" spans="1:19">
      <c r="A519" s="61"/>
      <c r="B519" s="62"/>
      <c r="C519" s="61"/>
      <c r="D519" s="61"/>
      <c r="E519" s="64"/>
      <c r="F519" s="64"/>
      <c r="G519" s="62"/>
      <c r="H519" s="62"/>
      <c r="I519" s="62"/>
      <c r="J519" s="62"/>
      <c r="K519" s="65"/>
      <c r="L519" s="65"/>
      <c r="M519" s="62"/>
      <c r="N519" s="11"/>
      <c r="O519" s="66"/>
      <c r="P519" s="62"/>
      <c r="Q519" s="62"/>
      <c r="R519" s="62"/>
      <c r="S519" s="62"/>
    </row>
    <row r="520" s="58" customFormat="1" spans="1:19">
      <c r="A520" s="61"/>
      <c r="B520" s="62"/>
      <c r="C520" s="61"/>
      <c r="D520" s="61"/>
      <c r="E520" s="64"/>
      <c r="F520" s="64"/>
      <c r="G520" s="62"/>
      <c r="H520" s="62"/>
      <c r="I520" s="62"/>
      <c r="J520" s="62"/>
      <c r="K520" s="65"/>
      <c r="L520" s="65"/>
      <c r="M520" s="62"/>
      <c r="N520" s="11"/>
      <c r="O520" s="66"/>
      <c r="P520" s="62"/>
      <c r="Q520" s="62"/>
      <c r="R520" s="62"/>
      <c r="S520" s="62"/>
    </row>
    <row r="521" s="58" customFormat="1" spans="1:19">
      <c r="A521" s="61"/>
      <c r="B521" s="62"/>
      <c r="C521" s="61"/>
      <c r="D521" s="61"/>
      <c r="E521" s="64"/>
      <c r="F521" s="64"/>
      <c r="G521" s="62"/>
      <c r="H521" s="62"/>
      <c r="I521" s="62"/>
      <c r="J521" s="62"/>
      <c r="K521" s="65"/>
      <c r="L521" s="65"/>
      <c r="M521" s="62"/>
      <c r="N521" s="11"/>
      <c r="O521" s="66"/>
      <c r="P521" s="62"/>
      <c r="Q521" s="62"/>
      <c r="R521" s="62"/>
      <c r="S521" s="62"/>
    </row>
    <row r="522" s="58" customFormat="1" spans="1:19">
      <c r="A522" s="61"/>
      <c r="B522" s="62"/>
      <c r="C522" s="61"/>
      <c r="D522" s="61"/>
      <c r="E522" s="64"/>
      <c r="F522" s="64"/>
      <c r="G522" s="62"/>
      <c r="H522" s="62"/>
      <c r="I522" s="62"/>
      <c r="J522" s="62"/>
      <c r="K522" s="65"/>
      <c r="L522" s="65"/>
      <c r="M522" s="62"/>
      <c r="N522" s="11"/>
      <c r="O522" s="66"/>
      <c r="P522" s="62"/>
      <c r="Q522" s="62"/>
      <c r="R522" s="62"/>
      <c r="S522" s="62"/>
    </row>
    <row r="523" s="58" customFormat="1" spans="1:19">
      <c r="A523" s="61"/>
      <c r="B523" s="62"/>
      <c r="C523" s="61"/>
      <c r="D523" s="61"/>
      <c r="E523" s="64"/>
      <c r="F523" s="64"/>
      <c r="G523" s="62"/>
      <c r="H523" s="62"/>
      <c r="I523" s="62"/>
      <c r="J523" s="62"/>
      <c r="K523" s="65"/>
      <c r="L523" s="65"/>
      <c r="M523" s="62"/>
      <c r="N523" s="11"/>
      <c r="O523" s="66"/>
      <c r="P523" s="62"/>
      <c r="Q523" s="62"/>
      <c r="R523" s="62"/>
      <c r="S523" s="62"/>
    </row>
    <row r="524" s="58" customFormat="1" spans="1:19">
      <c r="A524" s="61"/>
      <c r="B524" s="62"/>
      <c r="C524" s="61"/>
      <c r="D524" s="61"/>
      <c r="E524" s="64"/>
      <c r="F524" s="64"/>
      <c r="G524" s="62"/>
      <c r="H524" s="62"/>
      <c r="I524" s="62"/>
      <c r="J524" s="62"/>
      <c r="K524" s="65"/>
      <c r="L524" s="65"/>
      <c r="M524" s="62"/>
      <c r="N524" s="11"/>
      <c r="O524" s="66"/>
      <c r="P524" s="62"/>
      <c r="Q524" s="62"/>
      <c r="R524" s="62"/>
      <c r="S524" s="62"/>
    </row>
    <row r="525" s="58" customFormat="1" spans="1:19">
      <c r="A525" s="61"/>
      <c r="B525" s="62"/>
      <c r="C525" s="61"/>
      <c r="D525" s="61"/>
      <c r="E525" s="64"/>
      <c r="F525" s="64"/>
      <c r="G525" s="62"/>
      <c r="H525" s="62"/>
      <c r="I525" s="62"/>
      <c r="J525" s="62"/>
      <c r="K525" s="65"/>
      <c r="L525" s="65"/>
      <c r="M525" s="62"/>
      <c r="N525" s="11"/>
      <c r="O525" s="66"/>
      <c r="P525" s="62"/>
      <c r="Q525" s="62"/>
      <c r="R525" s="62"/>
      <c r="S525" s="62"/>
    </row>
    <row r="526" s="58" customFormat="1" spans="1:19">
      <c r="A526" s="61"/>
      <c r="B526" s="62"/>
      <c r="C526" s="61"/>
      <c r="D526" s="61"/>
      <c r="E526" s="64"/>
      <c r="F526" s="64"/>
      <c r="G526" s="62"/>
      <c r="H526" s="62"/>
      <c r="I526" s="62"/>
      <c r="J526" s="62"/>
      <c r="K526" s="65"/>
      <c r="L526" s="65"/>
      <c r="M526" s="62"/>
      <c r="N526" s="11"/>
      <c r="O526" s="66"/>
      <c r="P526" s="62"/>
      <c r="Q526" s="62"/>
      <c r="R526" s="62"/>
      <c r="S526" s="62"/>
    </row>
    <row r="527" s="58" customFormat="1" spans="1:19">
      <c r="A527" s="61"/>
      <c r="B527" s="62"/>
      <c r="C527" s="61"/>
      <c r="D527" s="61"/>
      <c r="E527" s="64"/>
      <c r="F527" s="64"/>
      <c r="G527" s="62"/>
      <c r="H527" s="62"/>
      <c r="I527" s="62"/>
      <c r="J527" s="62"/>
      <c r="K527" s="65"/>
      <c r="L527" s="65"/>
      <c r="M527" s="62"/>
      <c r="N527" s="11"/>
      <c r="O527" s="66"/>
      <c r="P527" s="62"/>
      <c r="Q527" s="62"/>
      <c r="R527" s="62"/>
      <c r="S527" s="62"/>
    </row>
    <row r="528" s="58" customFormat="1" spans="1:19">
      <c r="A528" s="61"/>
      <c r="B528" s="62"/>
      <c r="C528" s="61"/>
      <c r="D528" s="61"/>
      <c r="E528" s="64"/>
      <c r="F528" s="64"/>
      <c r="G528" s="62"/>
      <c r="H528" s="62"/>
      <c r="I528" s="62"/>
      <c r="J528" s="62"/>
      <c r="K528" s="106"/>
      <c r="L528" s="65"/>
      <c r="M528" s="62"/>
      <c r="N528" s="11"/>
      <c r="O528" s="107"/>
      <c r="P528" s="62"/>
      <c r="Q528" s="62"/>
      <c r="R528" s="62"/>
      <c r="S528" s="62"/>
    </row>
    <row r="529" s="58" customFormat="1" spans="1:19">
      <c r="A529" s="61"/>
      <c r="B529" s="62"/>
      <c r="C529" s="61"/>
      <c r="D529" s="61"/>
      <c r="E529" s="64"/>
      <c r="F529" s="64"/>
      <c r="G529" s="62"/>
      <c r="H529" s="62"/>
      <c r="I529" s="62"/>
      <c r="J529" s="62"/>
      <c r="K529" s="65"/>
      <c r="L529" s="65"/>
      <c r="M529" s="62"/>
      <c r="N529" s="11"/>
      <c r="O529" s="66"/>
      <c r="P529" s="62"/>
      <c r="Q529" s="62"/>
      <c r="R529" s="62"/>
      <c r="S529" s="62"/>
    </row>
    <row r="530" s="58" customFormat="1" spans="1:19">
      <c r="A530" s="61"/>
      <c r="B530" s="62"/>
      <c r="C530" s="61"/>
      <c r="D530" s="61"/>
      <c r="E530" s="64"/>
      <c r="F530" s="64"/>
      <c r="G530" s="62"/>
      <c r="H530" s="62"/>
      <c r="I530" s="62"/>
      <c r="J530" s="62"/>
      <c r="K530" s="65"/>
      <c r="L530" s="65"/>
      <c r="M530" s="62"/>
      <c r="N530" s="11"/>
      <c r="O530" s="66"/>
      <c r="P530" s="62"/>
      <c r="Q530" s="62"/>
      <c r="R530" s="62"/>
      <c r="S530" s="62"/>
    </row>
    <row r="531" s="58" customFormat="1" spans="1:19">
      <c r="A531" s="61"/>
      <c r="B531" s="62"/>
      <c r="C531" s="61"/>
      <c r="D531" s="61"/>
      <c r="E531" s="64"/>
      <c r="F531" s="64"/>
      <c r="G531" s="62"/>
      <c r="H531" s="62"/>
      <c r="I531" s="62"/>
      <c r="J531" s="62"/>
      <c r="K531" s="65"/>
      <c r="L531" s="65"/>
      <c r="M531" s="62"/>
      <c r="N531" s="11"/>
      <c r="O531" s="66"/>
      <c r="P531" s="62"/>
      <c r="Q531" s="62"/>
      <c r="R531" s="62"/>
      <c r="S531" s="62"/>
    </row>
    <row r="532" s="58" customFormat="1" spans="1:19">
      <c r="A532" s="61"/>
      <c r="B532" s="62"/>
      <c r="C532" s="61"/>
      <c r="D532" s="61"/>
      <c r="E532" s="64"/>
      <c r="F532" s="64"/>
      <c r="G532" s="62"/>
      <c r="H532" s="62"/>
      <c r="I532" s="62"/>
      <c r="J532" s="62"/>
      <c r="K532" s="65"/>
      <c r="L532" s="65"/>
      <c r="M532" s="62"/>
      <c r="N532" s="11"/>
      <c r="O532" s="66"/>
      <c r="P532" s="62"/>
      <c r="Q532" s="62"/>
      <c r="R532" s="62"/>
      <c r="S532" s="62"/>
    </row>
    <row r="533" s="58" customFormat="1" spans="1:19">
      <c r="A533" s="61"/>
      <c r="B533" s="62"/>
      <c r="C533" s="61"/>
      <c r="D533" s="61"/>
      <c r="E533" s="64"/>
      <c r="F533" s="64"/>
      <c r="G533" s="62"/>
      <c r="H533" s="62"/>
      <c r="I533" s="62"/>
      <c r="J533" s="62"/>
      <c r="K533" s="65"/>
      <c r="L533" s="65"/>
      <c r="M533" s="62"/>
      <c r="N533" s="11"/>
      <c r="O533" s="66"/>
      <c r="P533" s="62"/>
      <c r="Q533" s="62"/>
      <c r="R533" s="62"/>
      <c r="S533" s="62"/>
    </row>
    <row r="534" s="58" customFormat="1" spans="1:19">
      <c r="A534" s="61"/>
      <c r="B534" s="62"/>
      <c r="C534" s="61"/>
      <c r="D534" s="61"/>
      <c r="E534" s="64"/>
      <c r="F534" s="64"/>
      <c r="G534" s="62"/>
      <c r="H534" s="62"/>
      <c r="I534" s="62"/>
      <c r="J534" s="62"/>
      <c r="K534" s="65"/>
      <c r="L534" s="65"/>
      <c r="M534" s="62"/>
      <c r="N534" s="11"/>
      <c r="O534" s="66"/>
      <c r="P534" s="62"/>
      <c r="Q534" s="62"/>
      <c r="R534" s="62"/>
      <c r="S534" s="62"/>
    </row>
    <row r="535" s="58" customFormat="1" spans="1:19">
      <c r="A535" s="61"/>
      <c r="B535" s="62"/>
      <c r="C535" s="61"/>
      <c r="D535" s="61"/>
      <c r="E535" s="64"/>
      <c r="F535" s="64"/>
      <c r="G535" s="62"/>
      <c r="H535" s="62"/>
      <c r="I535" s="62"/>
      <c r="J535" s="62"/>
      <c r="K535" s="65"/>
      <c r="L535" s="65"/>
      <c r="M535" s="62"/>
      <c r="N535" s="11"/>
      <c r="O535" s="66"/>
      <c r="P535" s="62"/>
      <c r="Q535" s="62"/>
      <c r="R535" s="62"/>
      <c r="S535" s="62"/>
    </row>
    <row r="536" s="58" customFormat="1" spans="1:19">
      <c r="A536" s="61"/>
      <c r="B536" s="62"/>
      <c r="C536" s="61"/>
      <c r="D536" s="61"/>
      <c r="E536" s="64"/>
      <c r="F536" s="64"/>
      <c r="G536" s="62"/>
      <c r="H536" s="62"/>
      <c r="I536" s="62"/>
      <c r="J536" s="62"/>
      <c r="K536" s="65"/>
      <c r="L536" s="65"/>
      <c r="M536" s="62"/>
      <c r="N536" s="11"/>
      <c r="O536" s="66"/>
      <c r="P536" s="62"/>
      <c r="Q536" s="62"/>
      <c r="R536" s="62"/>
      <c r="S536" s="62"/>
    </row>
    <row r="537" s="58" customFormat="1" spans="1:19">
      <c r="A537" s="61"/>
      <c r="B537" s="62"/>
      <c r="C537" s="61"/>
      <c r="D537" s="61"/>
      <c r="E537" s="64"/>
      <c r="F537" s="64"/>
      <c r="G537" s="62"/>
      <c r="H537" s="62"/>
      <c r="I537" s="62"/>
      <c r="J537" s="62"/>
      <c r="K537" s="65"/>
      <c r="L537" s="65"/>
      <c r="M537" s="62"/>
      <c r="N537" s="11"/>
      <c r="O537" s="66"/>
      <c r="P537" s="62"/>
      <c r="Q537" s="62"/>
      <c r="R537" s="62"/>
      <c r="S537" s="62"/>
    </row>
    <row r="538" s="58" customFormat="1" spans="1:19">
      <c r="A538" s="61"/>
      <c r="B538" s="62"/>
      <c r="C538" s="61"/>
      <c r="D538" s="61"/>
      <c r="E538" s="64"/>
      <c r="F538" s="64"/>
      <c r="G538" s="62"/>
      <c r="H538" s="62"/>
      <c r="I538" s="62"/>
      <c r="J538" s="62"/>
      <c r="K538" s="65"/>
      <c r="L538" s="65"/>
      <c r="M538" s="62"/>
      <c r="N538" s="11"/>
      <c r="O538" s="66"/>
      <c r="P538" s="62"/>
      <c r="Q538" s="62"/>
      <c r="R538" s="62"/>
      <c r="S538" s="62"/>
    </row>
    <row r="539" s="58" customFormat="1" spans="1:19">
      <c r="A539" s="61"/>
      <c r="B539" s="62"/>
      <c r="C539" s="61"/>
      <c r="D539" s="61"/>
      <c r="E539" s="64"/>
      <c r="F539" s="64"/>
      <c r="G539" s="62"/>
      <c r="H539" s="62"/>
      <c r="I539" s="62"/>
      <c r="J539" s="62"/>
      <c r="K539" s="65"/>
      <c r="L539" s="65"/>
      <c r="M539" s="62"/>
      <c r="N539" s="11"/>
      <c r="O539" s="66"/>
      <c r="P539" s="62"/>
      <c r="Q539" s="62"/>
      <c r="R539" s="62"/>
      <c r="S539" s="62"/>
    </row>
    <row r="540" s="58" customFormat="1" spans="1:19">
      <c r="A540" s="61"/>
      <c r="B540" s="62"/>
      <c r="C540" s="61"/>
      <c r="D540" s="61"/>
      <c r="E540" s="64"/>
      <c r="F540" s="64"/>
      <c r="G540" s="62"/>
      <c r="H540" s="62"/>
      <c r="I540" s="62"/>
      <c r="J540" s="62"/>
      <c r="K540" s="65"/>
      <c r="L540" s="65"/>
      <c r="M540" s="62"/>
      <c r="N540" s="11"/>
      <c r="O540" s="66"/>
      <c r="P540" s="62"/>
      <c r="Q540" s="62"/>
      <c r="R540" s="62"/>
      <c r="S540" s="62"/>
    </row>
    <row r="541" s="58" customFormat="1" spans="1:19">
      <c r="A541" s="61"/>
      <c r="B541" s="62"/>
      <c r="C541" s="61"/>
      <c r="D541" s="61"/>
      <c r="E541" s="64"/>
      <c r="F541" s="64"/>
      <c r="G541" s="62"/>
      <c r="H541" s="62"/>
      <c r="I541" s="62"/>
      <c r="J541" s="62"/>
      <c r="K541" s="65"/>
      <c r="L541" s="65"/>
      <c r="M541" s="62"/>
      <c r="N541" s="11"/>
      <c r="O541" s="66"/>
      <c r="P541" s="62"/>
      <c r="Q541" s="62"/>
      <c r="R541" s="62"/>
      <c r="S541" s="62"/>
    </row>
    <row r="542" s="58" customFormat="1" spans="1:19">
      <c r="A542" s="61"/>
      <c r="B542" s="62"/>
      <c r="C542" s="61"/>
      <c r="D542" s="61"/>
      <c r="E542" s="64"/>
      <c r="F542" s="64"/>
      <c r="G542" s="62"/>
      <c r="H542" s="62"/>
      <c r="I542" s="62"/>
      <c r="J542" s="62"/>
      <c r="K542" s="65"/>
      <c r="L542" s="65"/>
      <c r="M542" s="62"/>
      <c r="N542" s="11"/>
      <c r="O542" s="66"/>
      <c r="P542" s="62"/>
      <c r="Q542" s="62"/>
      <c r="R542" s="62"/>
      <c r="S542" s="62"/>
    </row>
    <row r="543" s="58" customFormat="1" spans="1:19">
      <c r="A543" s="61"/>
      <c r="B543" s="62"/>
      <c r="C543" s="61"/>
      <c r="D543" s="61"/>
      <c r="E543" s="64"/>
      <c r="F543" s="64"/>
      <c r="G543" s="62"/>
      <c r="H543" s="62"/>
      <c r="I543" s="62"/>
      <c r="J543" s="62"/>
      <c r="K543" s="65"/>
      <c r="L543" s="65"/>
      <c r="M543" s="62"/>
      <c r="N543" s="11"/>
      <c r="O543" s="66"/>
      <c r="P543" s="62"/>
      <c r="Q543" s="62"/>
      <c r="R543" s="62"/>
      <c r="S543" s="62"/>
    </row>
    <row r="544" s="58" customFormat="1" spans="1:19">
      <c r="A544" s="61"/>
      <c r="B544" s="62"/>
      <c r="C544" s="61"/>
      <c r="D544" s="61"/>
      <c r="E544" s="64"/>
      <c r="F544" s="64"/>
      <c r="G544" s="62"/>
      <c r="H544" s="62"/>
      <c r="I544" s="62"/>
      <c r="J544" s="62"/>
      <c r="K544" s="65"/>
      <c r="L544" s="65"/>
      <c r="M544" s="62"/>
      <c r="N544" s="11"/>
      <c r="O544" s="66"/>
      <c r="P544" s="62"/>
      <c r="Q544" s="62"/>
      <c r="R544" s="62"/>
      <c r="S544" s="62"/>
    </row>
    <row r="545" s="58" customFormat="1" spans="1:19">
      <c r="A545" s="61"/>
      <c r="B545" s="62"/>
      <c r="C545" s="61"/>
      <c r="D545" s="61"/>
      <c r="E545" s="64"/>
      <c r="F545" s="64"/>
      <c r="G545" s="62"/>
      <c r="H545" s="62"/>
      <c r="I545" s="62"/>
      <c r="J545" s="62"/>
      <c r="K545" s="65"/>
      <c r="L545" s="65"/>
      <c r="M545" s="62"/>
      <c r="N545" s="11"/>
      <c r="O545" s="66"/>
      <c r="P545" s="62"/>
      <c r="Q545" s="62"/>
      <c r="R545" s="62"/>
      <c r="S545" s="62"/>
    </row>
    <row r="546" s="58" customFormat="1" spans="1:19">
      <c r="A546" s="61"/>
      <c r="B546" s="62"/>
      <c r="C546" s="61"/>
      <c r="D546" s="61"/>
      <c r="E546" s="64"/>
      <c r="F546" s="64"/>
      <c r="G546" s="62"/>
      <c r="H546" s="62"/>
      <c r="I546" s="62"/>
      <c r="J546" s="62"/>
      <c r="K546" s="65"/>
      <c r="L546" s="65"/>
      <c r="M546" s="62"/>
      <c r="N546" s="11"/>
      <c r="O546" s="66"/>
      <c r="P546" s="62"/>
      <c r="Q546" s="62"/>
      <c r="R546" s="62"/>
      <c r="S546" s="62"/>
    </row>
    <row r="547" s="58" customFormat="1" spans="1:19">
      <c r="A547" s="61"/>
      <c r="B547" s="62"/>
      <c r="C547" s="61"/>
      <c r="D547" s="61"/>
      <c r="E547" s="64"/>
      <c r="F547" s="64"/>
      <c r="G547" s="62"/>
      <c r="H547" s="62"/>
      <c r="I547" s="62"/>
      <c r="J547" s="62"/>
      <c r="K547" s="65"/>
      <c r="L547" s="65"/>
      <c r="M547" s="62"/>
      <c r="N547" s="11"/>
      <c r="O547" s="66"/>
      <c r="P547" s="62"/>
      <c r="Q547" s="62"/>
      <c r="R547" s="62"/>
      <c r="S547" s="62"/>
    </row>
    <row r="548" s="58" customFormat="1" spans="1:19">
      <c r="A548" s="61"/>
      <c r="B548" s="62"/>
      <c r="C548" s="61"/>
      <c r="D548" s="61"/>
      <c r="E548" s="64"/>
      <c r="F548" s="64"/>
      <c r="G548" s="62"/>
      <c r="H548" s="62"/>
      <c r="I548" s="62"/>
      <c r="J548" s="62"/>
      <c r="K548" s="106"/>
      <c r="L548" s="65"/>
      <c r="M548" s="62"/>
      <c r="N548" s="11"/>
      <c r="O548" s="66"/>
      <c r="P548" s="62"/>
      <c r="Q548" s="62"/>
      <c r="R548" s="62"/>
      <c r="S548" s="62"/>
    </row>
    <row r="549" s="58" customFormat="1" spans="1:19">
      <c r="A549" s="61"/>
      <c r="B549" s="62"/>
      <c r="C549" s="61"/>
      <c r="D549" s="61"/>
      <c r="E549" s="64"/>
      <c r="F549" s="64"/>
      <c r="G549" s="62"/>
      <c r="H549" s="62"/>
      <c r="I549" s="62"/>
      <c r="J549" s="62"/>
      <c r="K549" s="106"/>
      <c r="L549" s="65"/>
      <c r="M549" s="62"/>
      <c r="N549" s="11"/>
      <c r="O549" s="66"/>
      <c r="P549" s="62"/>
      <c r="Q549" s="62"/>
      <c r="R549" s="62"/>
      <c r="S549" s="62"/>
    </row>
    <row r="550" s="58" customFormat="1" spans="1:19">
      <c r="A550" s="61"/>
      <c r="B550" s="62"/>
      <c r="C550" s="61"/>
      <c r="D550" s="61"/>
      <c r="E550" s="64"/>
      <c r="F550" s="64"/>
      <c r="G550" s="62"/>
      <c r="H550" s="62"/>
      <c r="I550" s="62"/>
      <c r="J550" s="62"/>
      <c r="K550" s="106"/>
      <c r="L550" s="65"/>
      <c r="M550" s="62"/>
      <c r="N550" s="11"/>
      <c r="O550" s="66"/>
      <c r="P550" s="62"/>
      <c r="Q550" s="62"/>
      <c r="R550" s="62"/>
      <c r="S550" s="62"/>
    </row>
    <row r="551" s="58" customFormat="1" spans="1:19">
      <c r="A551" s="61"/>
      <c r="B551" s="62"/>
      <c r="C551" s="61"/>
      <c r="D551" s="61"/>
      <c r="E551" s="64"/>
      <c r="F551" s="64"/>
      <c r="G551" s="62"/>
      <c r="H551" s="62"/>
      <c r="I551" s="62"/>
      <c r="J551" s="62"/>
      <c r="K551" s="106"/>
      <c r="L551" s="65"/>
      <c r="M551" s="62"/>
      <c r="N551" s="11"/>
      <c r="O551" s="66"/>
      <c r="P551" s="62"/>
      <c r="Q551" s="62"/>
      <c r="R551" s="62"/>
      <c r="S551" s="62"/>
    </row>
    <row r="552" s="58" customFormat="1" spans="1:19">
      <c r="A552" s="61"/>
      <c r="B552" s="62"/>
      <c r="C552" s="61"/>
      <c r="D552" s="61"/>
      <c r="E552" s="64"/>
      <c r="F552" s="64"/>
      <c r="G552" s="62"/>
      <c r="H552" s="62"/>
      <c r="I552" s="62"/>
      <c r="J552" s="62"/>
      <c r="K552" s="106"/>
      <c r="L552" s="65"/>
      <c r="M552" s="62"/>
      <c r="N552" s="11"/>
      <c r="O552" s="66"/>
      <c r="P552" s="62"/>
      <c r="Q552" s="62"/>
      <c r="R552" s="62"/>
      <c r="S552" s="62"/>
    </row>
    <row r="553" s="58" customFormat="1" spans="1:19">
      <c r="A553" s="61"/>
      <c r="B553" s="62"/>
      <c r="C553" s="61"/>
      <c r="D553" s="61"/>
      <c r="E553" s="64"/>
      <c r="F553" s="64"/>
      <c r="G553" s="62"/>
      <c r="H553" s="62"/>
      <c r="I553" s="62"/>
      <c r="J553" s="62"/>
      <c r="K553" s="65"/>
      <c r="L553" s="65"/>
      <c r="M553" s="62"/>
      <c r="N553" s="11"/>
      <c r="O553" s="66"/>
      <c r="P553" s="62"/>
      <c r="Q553" s="62"/>
      <c r="R553" s="62"/>
      <c r="S553" s="62"/>
    </row>
    <row r="554" s="58" customFormat="1" spans="1:19">
      <c r="A554" s="61"/>
      <c r="B554" s="62"/>
      <c r="C554" s="61"/>
      <c r="D554" s="61"/>
      <c r="E554" s="64"/>
      <c r="F554" s="64"/>
      <c r="G554" s="62"/>
      <c r="H554" s="62"/>
      <c r="I554" s="62"/>
      <c r="J554" s="62"/>
      <c r="K554" s="65"/>
      <c r="L554" s="65"/>
      <c r="M554" s="62"/>
      <c r="N554" s="11"/>
      <c r="O554" s="66"/>
      <c r="P554" s="62"/>
      <c r="Q554" s="62"/>
      <c r="R554" s="62"/>
      <c r="S554" s="62"/>
    </row>
    <row r="555" s="58" customFormat="1" spans="1:19">
      <c r="A555" s="61"/>
      <c r="B555" s="62"/>
      <c r="C555" s="61"/>
      <c r="D555" s="61"/>
      <c r="E555" s="64"/>
      <c r="F555" s="64"/>
      <c r="G555" s="62"/>
      <c r="H555" s="62"/>
      <c r="I555" s="62"/>
      <c r="J555" s="62"/>
      <c r="K555" s="65"/>
      <c r="L555" s="65"/>
      <c r="M555" s="62"/>
      <c r="N555" s="11"/>
      <c r="O555" s="66"/>
      <c r="P555" s="62"/>
      <c r="Q555" s="62"/>
      <c r="R555" s="62"/>
      <c r="S555" s="62"/>
    </row>
    <row r="556" s="58" customFormat="1" spans="1:19">
      <c r="A556" s="61"/>
      <c r="B556" s="62"/>
      <c r="C556" s="61"/>
      <c r="D556" s="61"/>
      <c r="E556" s="64"/>
      <c r="F556" s="64"/>
      <c r="G556" s="62"/>
      <c r="H556" s="62"/>
      <c r="I556" s="62"/>
      <c r="J556" s="62"/>
      <c r="K556" s="65"/>
      <c r="L556" s="65"/>
      <c r="M556" s="62"/>
      <c r="N556" s="11"/>
      <c r="O556" s="66"/>
      <c r="P556" s="62"/>
      <c r="Q556" s="62"/>
      <c r="R556" s="62"/>
      <c r="S556" s="62"/>
    </row>
    <row r="557" s="58" customFormat="1" spans="1:19">
      <c r="A557" s="61"/>
      <c r="B557" s="62"/>
      <c r="C557" s="61"/>
      <c r="D557" s="61"/>
      <c r="E557" s="64"/>
      <c r="F557" s="64"/>
      <c r="G557" s="62"/>
      <c r="H557" s="62"/>
      <c r="I557" s="62"/>
      <c r="J557" s="62"/>
      <c r="K557" s="65"/>
      <c r="L557" s="65"/>
      <c r="M557" s="62"/>
      <c r="N557" s="11"/>
      <c r="O557" s="66"/>
      <c r="P557" s="62"/>
      <c r="Q557" s="62"/>
      <c r="R557" s="62"/>
      <c r="S557" s="62"/>
    </row>
    <row r="558" spans="1:19">
      <c r="C558" s="61"/>
      <c r="D558" s="61"/>
      <c r="N558" s="11"/>
      <c r="Q558" s="62"/>
    </row>
    <row r="559" spans="1:19">
      <c r="C559" s="61"/>
      <c r="D559" s="61"/>
      <c r="N559" s="11"/>
      <c r="Q559" s="62"/>
    </row>
    <row r="560" spans="1:19">
      <c r="C560" s="61"/>
      <c r="D560" s="61"/>
      <c r="N560" s="11"/>
      <c r="Q560" s="62"/>
    </row>
    <row r="561" spans="3:18">
      <c r="C561" s="61"/>
      <c r="D561" s="61"/>
      <c r="N561" s="11"/>
      <c r="Q561" s="62"/>
    </row>
    <row r="562" spans="3:18">
      <c r="C562" s="61"/>
      <c r="D562" s="61"/>
      <c r="Q562" s="62"/>
    </row>
    <row r="563" spans="3:18">
      <c r="C563" s="61"/>
      <c r="D563" s="61"/>
      <c r="Q563" s="62"/>
      <c r="R563" s="94"/>
    </row>
    <row r="564" spans="3:18">
      <c r="C564" s="61"/>
      <c r="D564" s="61"/>
      <c r="Q564" s="62"/>
      <c r="R564" s="92"/>
    </row>
    <row r="565" spans="3:18">
      <c r="C565" s="61"/>
      <c r="D565" s="61"/>
      <c r="K565" s="106"/>
      <c r="O565" s="109"/>
      <c r="Q565" s="62"/>
    </row>
    <row r="566" spans="3:18">
      <c r="C566" s="61"/>
      <c r="D566" s="61"/>
      <c r="Q566" s="62"/>
    </row>
    <row r="567" spans="3:18">
      <c r="C567" s="61"/>
      <c r="D567" s="61"/>
      <c r="Q567" s="62"/>
    </row>
    <row r="568" spans="3:18">
      <c r="C568" s="61"/>
      <c r="D568" s="61"/>
      <c r="Q568" s="62"/>
    </row>
    <row r="569" spans="3:18">
      <c r="C569" s="61"/>
      <c r="D569" s="61"/>
      <c r="Q569" s="62"/>
    </row>
    <row r="570" spans="3:18">
      <c r="C570" s="61"/>
      <c r="D570" s="61"/>
      <c r="Q570" s="62"/>
    </row>
    <row r="571" spans="3:18">
      <c r="C571" s="61"/>
      <c r="D571" s="61"/>
      <c r="Q571" s="62"/>
    </row>
    <row r="572" spans="3:18">
      <c r="C572" s="61"/>
      <c r="D572" s="61"/>
      <c r="K572" s="106"/>
      <c r="O572" s="107"/>
      <c r="Q572" s="62"/>
    </row>
    <row r="573" spans="3:18">
      <c r="C573" s="61"/>
      <c r="D573" s="61"/>
      <c r="K573" s="106"/>
      <c r="O573" s="107"/>
      <c r="Q573" s="62"/>
    </row>
    <row r="574" spans="3:18">
      <c r="C574" s="61"/>
      <c r="D574" s="61"/>
      <c r="K574" s="106"/>
      <c r="O574" s="107"/>
      <c r="Q574" s="62"/>
    </row>
    <row r="575" spans="3:18">
      <c r="C575" s="61"/>
      <c r="D575" s="61"/>
      <c r="Q575" s="62"/>
    </row>
    <row r="576" spans="3:18">
      <c r="C576" s="61"/>
      <c r="D576" s="61"/>
      <c r="K576" s="106"/>
      <c r="O576" s="107"/>
      <c r="Q576" s="62"/>
    </row>
    <row r="577" spans="3:18">
      <c r="C577" s="61"/>
      <c r="D577" s="61"/>
      <c r="O577" s="125"/>
      <c r="Q577" s="62"/>
    </row>
    <row r="578" spans="3:18">
      <c r="C578" s="61"/>
      <c r="D578" s="61"/>
      <c r="Q578" s="62"/>
    </row>
    <row r="579" spans="3:18">
      <c r="C579" s="61"/>
      <c r="D579" s="61"/>
      <c r="Q579" s="62"/>
    </row>
    <row r="580" spans="3:18">
      <c r="C580" s="61"/>
      <c r="D580" s="61"/>
      <c r="Q580" s="62"/>
    </row>
    <row r="581" spans="3:18">
      <c r="C581" s="61"/>
      <c r="D581" s="61"/>
      <c r="Q581" s="62"/>
    </row>
    <row r="582" spans="3:18">
      <c r="C582" s="61"/>
      <c r="D582" s="61"/>
      <c r="Q582" s="62"/>
    </row>
    <row r="583" spans="3:18">
      <c r="C583" s="61"/>
      <c r="D583" s="61"/>
      <c r="Q583" s="62"/>
    </row>
    <row r="584" spans="3:18">
      <c r="C584" s="61"/>
      <c r="D584" s="61"/>
      <c r="Q584" s="62"/>
    </row>
    <row r="585" spans="3:18">
      <c r="C585" s="61"/>
      <c r="D585" s="61"/>
      <c r="Q585" s="62"/>
    </row>
    <row r="586" spans="3:18">
      <c r="C586" s="61"/>
      <c r="D586" s="61"/>
      <c r="K586" s="106"/>
      <c r="O586" s="107"/>
      <c r="Q586" s="62"/>
    </row>
    <row r="587" spans="3:18">
      <c r="C587" s="61"/>
      <c r="D587" s="61"/>
      <c r="Q587" s="62"/>
    </row>
    <row r="588" spans="3:18">
      <c r="C588" s="61"/>
      <c r="D588" s="61"/>
      <c r="Q588" s="62"/>
    </row>
    <row r="589" spans="3:18">
      <c r="C589" s="61"/>
      <c r="D589" s="61"/>
      <c r="Q589" s="62"/>
      <c r="R589" s="94"/>
    </row>
    <row r="590" spans="3:18">
      <c r="C590" s="61"/>
      <c r="D590" s="61"/>
      <c r="Q590" s="62"/>
      <c r="R590" s="92"/>
    </row>
    <row r="591" spans="3:18">
      <c r="C591" s="61"/>
      <c r="D591" s="61"/>
      <c r="K591" s="106"/>
      <c r="Q591" s="62"/>
    </row>
    <row r="592" spans="3:18">
      <c r="C592" s="61"/>
      <c r="D592" s="61"/>
      <c r="K592" s="106"/>
      <c r="Q592" s="62"/>
    </row>
    <row r="593" spans="3:18">
      <c r="C593" s="61"/>
      <c r="D593" s="61"/>
      <c r="Q593" s="62"/>
    </row>
    <row r="594" spans="3:18">
      <c r="C594" s="61"/>
      <c r="D594" s="61"/>
      <c r="K594" s="106"/>
      <c r="Q594" s="62"/>
    </row>
    <row r="595" spans="3:18">
      <c r="C595" s="61"/>
      <c r="D595" s="61"/>
      <c r="K595" s="106"/>
      <c r="Q595" s="62"/>
    </row>
    <row r="596" spans="3:18">
      <c r="C596" s="61"/>
      <c r="D596" s="61"/>
      <c r="Q596" s="62"/>
    </row>
    <row r="597" spans="3:18">
      <c r="C597" s="61"/>
      <c r="D597" s="61"/>
      <c r="Q597" s="62"/>
    </row>
    <row r="598" spans="3:18">
      <c r="C598" s="61"/>
      <c r="D598" s="61"/>
      <c r="Q598" s="62"/>
    </row>
    <row r="599" spans="3:18">
      <c r="C599" s="61"/>
      <c r="D599" s="61"/>
      <c r="O599" s="61"/>
      <c r="Q599" s="62"/>
    </row>
    <row r="600" spans="3:18">
      <c r="C600" s="61"/>
      <c r="D600" s="61"/>
      <c r="Q600" s="62"/>
    </row>
    <row r="601" spans="3:18">
      <c r="C601" s="61"/>
      <c r="D601" s="61"/>
      <c r="Q601" s="62"/>
    </row>
    <row r="602" spans="3:18">
      <c r="C602" s="61"/>
      <c r="D602" s="61"/>
      <c r="Q602" s="62"/>
    </row>
    <row r="603" spans="3:18">
      <c r="C603" s="61"/>
      <c r="D603" s="61"/>
      <c r="K603" s="106"/>
      <c r="O603" s="107"/>
      <c r="Q603" s="62"/>
      <c r="R603" s="94"/>
    </row>
    <row r="604" spans="3:18">
      <c r="C604" s="61"/>
      <c r="D604" s="61"/>
      <c r="K604" s="106"/>
      <c r="O604" s="107"/>
      <c r="Q604" s="62"/>
      <c r="R604" s="92"/>
    </row>
    <row r="605" spans="3:18">
      <c r="C605" s="61"/>
      <c r="D605" s="61"/>
      <c r="Q605" s="62"/>
    </row>
    <row r="606" spans="3:18">
      <c r="C606" s="61"/>
      <c r="D606" s="61"/>
      <c r="K606" s="106"/>
      <c r="O606" s="107"/>
      <c r="Q606" s="62"/>
      <c r="R606" s="94"/>
    </row>
    <row r="607" spans="3:18">
      <c r="C607" s="61"/>
      <c r="D607" s="61"/>
      <c r="I607" s="126"/>
      <c r="K607" s="106"/>
      <c r="O607" s="107"/>
      <c r="Q607" s="62"/>
      <c r="R607" s="92"/>
    </row>
    <row r="608" spans="3:18">
      <c r="C608" s="61"/>
      <c r="D608" s="61"/>
      <c r="I608" s="126"/>
      <c r="Q608" s="62"/>
    </row>
    <row r="609" spans="3:18">
      <c r="C609" s="61"/>
      <c r="D609" s="61"/>
      <c r="Q609" s="62"/>
    </row>
    <row r="610" spans="3:18">
      <c r="C610" s="61"/>
      <c r="D610" s="61"/>
      <c r="Q610" s="62"/>
    </row>
    <row r="611" spans="3:18">
      <c r="C611" s="61"/>
      <c r="D611" s="61"/>
      <c r="Q611" s="62"/>
      <c r="R611" s="94"/>
    </row>
    <row r="612" spans="3:18">
      <c r="C612" s="61"/>
      <c r="D612" s="61"/>
      <c r="Q612" s="62"/>
      <c r="R612" s="92"/>
    </row>
    <row r="613" spans="3:18">
      <c r="C613" s="61"/>
      <c r="D613" s="61"/>
      <c r="Q613" s="62"/>
      <c r="R613" s="94"/>
    </row>
    <row r="614" spans="3:18">
      <c r="C614" s="61"/>
      <c r="D614" s="61"/>
      <c r="Q614" s="62"/>
      <c r="R614" s="92"/>
    </row>
    <row r="615" spans="3:18">
      <c r="C615" s="61"/>
      <c r="D615" s="61"/>
      <c r="Q615" s="62"/>
      <c r="R615" s="94"/>
    </row>
    <row r="616" spans="3:18">
      <c r="C616" s="61"/>
      <c r="D616" s="61"/>
      <c r="Q616" s="62"/>
      <c r="R616" s="92"/>
    </row>
    <row r="617" spans="3:18">
      <c r="C617" s="61"/>
      <c r="D617" s="61"/>
      <c r="Q617" s="62"/>
      <c r="R617" s="94"/>
    </row>
    <row r="618" spans="3:18">
      <c r="C618" s="61"/>
      <c r="D618" s="61"/>
      <c r="Q618" s="62"/>
      <c r="R618" s="92"/>
    </row>
    <row r="619" spans="3:18">
      <c r="C619" s="61"/>
      <c r="D619" s="61"/>
      <c r="Q619" s="62"/>
    </row>
    <row r="620" spans="3:18">
      <c r="C620" s="61"/>
      <c r="D620" s="61"/>
      <c r="Q620" s="62"/>
      <c r="R620" s="94"/>
    </row>
    <row r="621" spans="3:18">
      <c r="C621" s="61"/>
      <c r="D621" s="61"/>
      <c r="Q621" s="62"/>
      <c r="R621" s="92"/>
    </row>
    <row r="622" spans="3:18">
      <c r="C622" s="61"/>
      <c r="D622" s="61"/>
      <c r="Q622" s="62"/>
    </row>
    <row r="623" spans="3:18">
      <c r="C623" s="61"/>
      <c r="D623" s="61"/>
      <c r="Q623" s="62"/>
    </row>
    <row r="624" spans="3:18">
      <c r="C624" s="61"/>
      <c r="D624" s="61"/>
      <c r="Q624" s="62"/>
      <c r="R624" s="94"/>
    </row>
    <row r="625" spans="3:18">
      <c r="C625" s="61"/>
      <c r="D625" s="61"/>
      <c r="Q625" s="62"/>
      <c r="R625" s="92"/>
    </row>
    <row r="626" spans="3:18">
      <c r="C626" s="61"/>
      <c r="D626" s="61"/>
      <c r="K626" s="106"/>
      <c r="O626" s="107"/>
      <c r="Q626" s="62"/>
    </row>
    <row r="627" spans="3:18">
      <c r="C627" s="61"/>
      <c r="D627" s="61"/>
      <c r="K627" s="106"/>
      <c r="O627" s="107"/>
      <c r="Q627" s="62"/>
      <c r="R627" s="94"/>
    </row>
    <row r="628" spans="3:18">
      <c r="C628" s="61"/>
      <c r="D628" s="61"/>
      <c r="K628" s="106"/>
      <c r="O628" s="107"/>
      <c r="Q628" s="62"/>
      <c r="R628" s="92"/>
    </row>
    <row r="629" spans="3:18">
      <c r="C629" s="61"/>
      <c r="D629" s="61"/>
      <c r="Q629" s="62"/>
      <c r="R629" s="94"/>
    </row>
    <row r="630" spans="3:18">
      <c r="C630" s="61"/>
      <c r="D630" s="61"/>
      <c r="Q630" s="62"/>
      <c r="R630" s="92"/>
    </row>
    <row r="631" spans="3:18">
      <c r="C631" s="61"/>
      <c r="D631" s="61"/>
      <c r="K631" s="106"/>
      <c r="O631" s="107"/>
      <c r="Q631" s="62"/>
      <c r="R631" s="94"/>
    </row>
    <row r="632" spans="3:18">
      <c r="C632" s="61"/>
      <c r="D632" s="61"/>
      <c r="K632" s="106"/>
      <c r="O632" s="107"/>
      <c r="Q632" s="62"/>
      <c r="R632" s="92"/>
    </row>
    <row r="633" ht="15" spans="3:18">
      <c r="C633" s="61"/>
      <c r="D633" s="61"/>
      <c r="K633" s="127"/>
      <c r="Q633" s="62"/>
      <c r="R633" s="94"/>
    </row>
    <row r="634" ht="15" spans="3:18">
      <c r="C634" s="61"/>
      <c r="D634" s="61"/>
      <c r="K634" s="127"/>
      <c r="Q634" s="62"/>
      <c r="R634" s="92"/>
    </row>
    <row r="635" ht="15" spans="3:18">
      <c r="C635" s="61"/>
      <c r="D635" s="61"/>
      <c r="K635" s="128"/>
      <c r="O635" s="107"/>
      <c r="Q635" s="62"/>
    </row>
    <row r="636" ht="15" spans="3:18">
      <c r="C636" s="61"/>
      <c r="D636" s="61"/>
      <c r="K636" s="128"/>
      <c r="O636" s="107"/>
      <c r="Q636" s="62"/>
      <c r="R636" s="94"/>
    </row>
    <row r="637" ht="15" spans="3:18">
      <c r="C637" s="61"/>
      <c r="D637" s="61"/>
      <c r="K637" s="128"/>
      <c r="O637" s="107"/>
      <c r="Q637" s="62"/>
      <c r="R637" s="92"/>
    </row>
    <row r="638" ht="15" spans="3:18">
      <c r="C638" s="61"/>
      <c r="D638" s="61"/>
      <c r="K638" s="129"/>
      <c r="O638" s="107"/>
      <c r="Q638" s="62"/>
    </row>
    <row r="639" spans="3:18">
      <c r="C639" s="61"/>
      <c r="D639" s="61"/>
      <c r="Q639" s="62"/>
    </row>
    <row r="640" spans="3:18">
      <c r="C640" s="61"/>
      <c r="D640" s="61"/>
      <c r="Q640" s="62"/>
    </row>
    <row r="641" spans="3:18">
      <c r="C641" s="61"/>
      <c r="D641" s="61"/>
      <c r="Q641" s="62"/>
    </row>
    <row r="642" spans="3:18">
      <c r="C642" s="61"/>
      <c r="D642" s="61"/>
      <c r="Q642" s="62"/>
      <c r="R642" s="94"/>
    </row>
    <row r="643" spans="3:18">
      <c r="C643" s="61"/>
      <c r="D643" s="61"/>
      <c r="Q643" s="62"/>
      <c r="R643" s="92"/>
    </row>
    <row r="644" spans="3:18">
      <c r="C644" s="61"/>
      <c r="D644" s="61"/>
      <c r="Q644" s="62"/>
      <c r="R644" s="94"/>
    </row>
    <row r="645" spans="3:18">
      <c r="C645" s="61"/>
      <c r="D645" s="61"/>
      <c r="Q645" s="62"/>
      <c r="R645" s="92"/>
    </row>
    <row r="646" spans="3:18">
      <c r="C646" s="61"/>
      <c r="D646" s="61"/>
      <c r="Q646" s="62"/>
    </row>
    <row r="647" spans="3:18">
      <c r="C647" s="61"/>
      <c r="D647" s="61"/>
      <c r="Q647" s="62"/>
      <c r="R647" s="94"/>
    </row>
    <row r="648" spans="3:18">
      <c r="C648" s="61"/>
      <c r="D648" s="61"/>
      <c r="Q648" s="62"/>
      <c r="R648" s="92"/>
    </row>
    <row r="649" spans="3:18">
      <c r="C649" s="61"/>
      <c r="D649" s="61"/>
      <c r="Q649" s="62"/>
    </row>
    <row r="650" spans="3:18">
      <c r="C650" s="61"/>
      <c r="D650" s="61"/>
      <c r="Q650" s="62"/>
    </row>
    <row r="651" spans="3:18">
      <c r="C651" s="61"/>
      <c r="D651" s="61"/>
      <c r="Q651" s="62"/>
    </row>
    <row r="652" spans="3:18">
      <c r="C652" s="61"/>
      <c r="D652" s="61"/>
      <c r="Q652" s="62"/>
      <c r="R652" s="94"/>
    </row>
    <row r="653" spans="3:18">
      <c r="C653" s="61"/>
      <c r="D653" s="61"/>
      <c r="Q653" s="62"/>
      <c r="R653" s="92"/>
    </row>
    <row r="654" spans="3:18">
      <c r="C654" s="61"/>
      <c r="D654" s="61"/>
      <c r="Q654" s="62"/>
    </row>
    <row r="655" spans="3:18">
      <c r="C655" s="61"/>
      <c r="D655" s="61"/>
      <c r="Q655" s="62"/>
    </row>
    <row r="656" spans="3:18">
      <c r="C656" s="61"/>
      <c r="D656" s="61"/>
      <c r="K656" s="106"/>
      <c r="O656" s="107"/>
      <c r="Q656" s="62"/>
      <c r="R656" s="94"/>
    </row>
    <row r="657" spans="3:18">
      <c r="C657" s="61"/>
      <c r="D657" s="61"/>
      <c r="Q657" s="62"/>
      <c r="R657" s="92"/>
    </row>
    <row r="658" spans="3:18">
      <c r="C658" s="61"/>
      <c r="D658" s="61"/>
      <c r="K658" s="106"/>
      <c r="Q658" s="62"/>
    </row>
    <row r="659" spans="3:18">
      <c r="C659" s="61"/>
      <c r="D659" s="61"/>
      <c r="K659" s="106"/>
      <c r="Q659" s="62"/>
    </row>
    <row r="660" spans="3:18">
      <c r="C660" s="61"/>
      <c r="D660" s="61"/>
      <c r="Q660" s="62"/>
    </row>
    <row r="661" spans="3:18">
      <c r="C661" s="61"/>
      <c r="D661" s="61"/>
      <c r="Q661" s="62"/>
    </row>
    <row r="662" spans="3:18">
      <c r="C662" s="61"/>
      <c r="D662" s="61"/>
      <c r="Q662" s="62"/>
    </row>
    <row r="663" spans="3:18">
      <c r="C663" s="61"/>
      <c r="D663" s="61"/>
      <c r="Q663" s="62"/>
    </row>
    <row r="664" spans="3:18">
      <c r="C664" s="61"/>
      <c r="D664" s="61"/>
      <c r="Q664" s="62"/>
      <c r="R664" s="94"/>
    </row>
    <row r="665" spans="3:18">
      <c r="C665" s="61"/>
      <c r="D665" s="61"/>
      <c r="K665" s="106"/>
      <c r="O665" s="107"/>
      <c r="Q665" s="62"/>
      <c r="R665" s="95"/>
    </row>
    <row r="666" spans="3:18">
      <c r="C666" s="61"/>
      <c r="D666" s="61"/>
      <c r="K666" s="106"/>
      <c r="O666" s="107"/>
      <c r="Q666" s="62"/>
      <c r="R666" s="95"/>
    </row>
    <row r="667" spans="3:18">
      <c r="C667" s="61"/>
      <c r="D667" s="61"/>
      <c r="K667" s="106"/>
      <c r="O667" s="107"/>
      <c r="Q667" s="62"/>
      <c r="R667" s="92"/>
    </row>
    <row r="668" spans="3:18">
      <c r="C668" s="61"/>
      <c r="D668" s="61"/>
      <c r="Q668" s="62"/>
      <c r="R668" s="94"/>
    </row>
    <row r="669" spans="3:18">
      <c r="C669" s="61"/>
      <c r="D669" s="61"/>
      <c r="Q669" s="62"/>
      <c r="R669" s="92"/>
    </row>
    <row r="670" spans="3:18">
      <c r="C670" s="61"/>
      <c r="D670" s="61"/>
      <c r="Q670" s="62"/>
      <c r="R670" s="94"/>
    </row>
    <row r="671" spans="3:18">
      <c r="C671" s="61"/>
      <c r="D671" s="61"/>
      <c r="K671" s="106"/>
      <c r="O671" s="107"/>
      <c r="Q671" s="62"/>
      <c r="R671" s="95"/>
    </row>
    <row r="672" spans="3:18">
      <c r="C672" s="61"/>
      <c r="D672" s="61"/>
      <c r="Q672" s="62"/>
      <c r="R672" s="95"/>
    </row>
    <row r="673" spans="3:18">
      <c r="C673" s="61"/>
      <c r="D673" s="61"/>
      <c r="Q673" s="62"/>
      <c r="R673" s="92"/>
    </row>
    <row r="674" spans="3:18">
      <c r="C674" s="61"/>
      <c r="D674" s="61"/>
      <c r="K674" s="106"/>
      <c r="Q674" s="62"/>
    </row>
    <row r="675" spans="3:18">
      <c r="C675" s="61"/>
      <c r="D675" s="61"/>
      <c r="K675" s="106"/>
      <c r="Q675" s="62"/>
    </row>
    <row r="676" spans="3:18">
      <c r="C676" s="61"/>
      <c r="D676" s="61"/>
      <c r="K676" s="106"/>
      <c r="Q676" s="62"/>
    </row>
    <row r="677" spans="3:18">
      <c r="C677" s="61"/>
      <c r="D677" s="61"/>
      <c r="Q677" s="62"/>
    </row>
    <row r="678" spans="3:18">
      <c r="C678" s="61"/>
      <c r="D678" s="61"/>
      <c r="K678" s="106"/>
      <c r="O678" s="107"/>
      <c r="Q678" s="62"/>
    </row>
    <row r="679" spans="3:18">
      <c r="C679" s="61"/>
      <c r="D679" s="61"/>
      <c r="K679" s="106"/>
      <c r="O679" s="107"/>
      <c r="Q679" s="62"/>
    </row>
    <row r="680" spans="3:18">
      <c r="C680" s="61"/>
      <c r="D680" s="61"/>
      <c r="Q680" s="62"/>
    </row>
    <row r="681" spans="3:18">
      <c r="C681" s="61"/>
      <c r="D681" s="61"/>
      <c r="Q681" s="62"/>
    </row>
    <row r="682" spans="3:18">
      <c r="C682" s="61"/>
      <c r="D682" s="61"/>
      <c r="Q682" s="62"/>
    </row>
    <row r="683" spans="3:18">
      <c r="C683" s="61"/>
      <c r="D683" s="61"/>
      <c r="Q683" s="62"/>
    </row>
    <row r="684" spans="3:18">
      <c r="C684" s="61"/>
      <c r="D684" s="61"/>
      <c r="Q684" s="62"/>
    </row>
    <row r="685" spans="3:18">
      <c r="C685" s="61"/>
      <c r="D685" s="61"/>
      <c r="Q685" s="62"/>
    </row>
    <row r="686" spans="3:18">
      <c r="C686" s="61"/>
      <c r="D686" s="61"/>
      <c r="K686" s="130"/>
      <c r="O686" s="131"/>
      <c r="Q686" s="62"/>
    </row>
    <row r="687" spans="3:18">
      <c r="C687" s="61"/>
      <c r="D687" s="61"/>
      <c r="Q687" s="62"/>
    </row>
    <row r="688" spans="3:18">
      <c r="C688" s="61"/>
      <c r="D688" s="61"/>
      <c r="K688" s="130"/>
      <c r="O688" s="131"/>
      <c r="Q688" s="62"/>
    </row>
    <row r="689" spans="3:18">
      <c r="C689" s="61"/>
      <c r="D689" s="61"/>
      <c r="Q689" s="62"/>
    </row>
    <row r="690" spans="3:18">
      <c r="C690" s="61"/>
      <c r="D690" s="61"/>
      <c r="Q690" s="62"/>
    </row>
    <row r="691" spans="3:18">
      <c r="C691" s="61"/>
      <c r="D691" s="61"/>
      <c r="K691" s="132"/>
      <c r="O691" s="131"/>
      <c r="Q691" s="62"/>
    </row>
    <row r="692" spans="3:18">
      <c r="C692" s="61"/>
      <c r="D692" s="61"/>
      <c r="Q692" s="62"/>
    </row>
    <row r="693" spans="3:18">
      <c r="C693" s="61"/>
      <c r="D693" s="61"/>
      <c r="Q693" s="62"/>
    </row>
    <row r="694" spans="3:18">
      <c r="C694" s="61"/>
      <c r="D694" s="61"/>
      <c r="Q694" s="62"/>
    </row>
    <row r="695" spans="3:18">
      <c r="C695" s="61"/>
      <c r="D695" s="61"/>
      <c r="Q695" s="62"/>
      <c r="R695" s="94"/>
    </row>
    <row r="696" spans="3:18">
      <c r="C696" s="61"/>
      <c r="D696" s="61"/>
      <c r="Q696" s="62"/>
    </row>
    <row r="697" spans="3:18">
      <c r="C697" s="61"/>
      <c r="D697" s="61"/>
      <c r="Q697" s="62"/>
    </row>
    <row r="698" spans="3:18">
      <c r="C698" s="61"/>
      <c r="D698" s="61"/>
      <c r="Q698" s="62"/>
      <c r="R698" s="94"/>
    </row>
    <row r="699" spans="3:18">
      <c r="C699" s="61"/>
      <c r="D699" s="61"/>
      <c r="Q699" s="62"/>
      <c r="R699" s="92"/>
    </row>
    <row r="700" spans="3:18">
      <c r="C700" s="61"/>
      <c r="D700" s="61"/>
      <c r="Q700" s="62"/>
    </row>
    <row r="701" spans="3:18">
      <c r="C701" s="61"/>
      <c r="D701" s="61"/>
      <c r="Q701" s="62"/>
    </row>
    <row r="702" spans="3:18">
      <c r="C702" s="61"/>
      <c r="D702" s="61"/>
      <c r="Q702" s="62"/>
    </row>
    <row r="703" spans="3:18">
      <c r="C703" s="61"/>
      <c r="D703" s="61"/>
      <c r="Q703" s="62"/>
    </row>
    <row r="704" spans="3:18">
      <c r="C704" s="61"/>
      <c r="D704" s="61"/>
      <c r="Q704" s="62"/>
    </row>
    <row r="705" spans="3:18">
      <c r="C705" s="61"/>
      <c r="D705" s="61"/>
      <c r="Q705" s="62"/>
    </row>
    <row r="706" spans="3:18">
      <c r="C706" s="61"/>
      <c r="D706" s="61"/>
      <c r="Q706" s="62"/>
    </row>
    <row r="707" spans="3:18">
      <c r="C707" s="61"/>
      <c r="D707" s="61"/>
      <c r="Q707" s="62"/>
    </row>
    <row r="708" spans="3:18">
      <c r="C708" s="61"/>
      <c r="D708" s="61"/>
      <c r="Q708" s="62"/>
    </row>
    <row r="709" spans="3:18">
      <c r="C709" s="61"/>
      <c r="D709" s="61"/>
      <c r="Q709" s="62"/>
      <c r="R709" s="94"/>
    </row>
    <row r="710" spans="3:18">
      <c r="C710" s="61"/>
      <c r="D710" s="61"/>
      <c r="Q710" s="62"/>
      <c r="R710" s="92"/>
    </row>
    <row r="711" spans="3:18">
      <c r="C711" s="61"/>
      <c r="D711" s="61"/>
      <c r="Q711" s="62"/>
      <c r="R711" s="94"/>
    </row>
    <row r="712" spans="3:18">
      <c r="C712" s="61"/>
      <c r="D712" s="61"/>
      <c r="Q712" s="62"/>
      <c r="R712" s="92"/>
    </row>
    <row r="713" spans="3:18">
      <c r="C713" s="61"/>
      <c r="D713" s="61"/>
      <c r="Q713" s="62"/>
      <c r="R713" s="94"/>
    </row>
    <row r="714" spans="3:18">
      <c r="C714" s="61"/>
      <c r="D714" s="61"/>
      <c r="Q714" s="62"/>
      <c r="R714" s="92"/>
    </row>
    <row r="715" spans="3:18">
      <c r="C715" s="61"/>
      <c r="D715" s="61"/>
      <c r="Q715" s="62"/>
      <c r="R715" s="94"/>
    </row>
    <row r="716" spans="3:18">
      <c r="C716" s="61"/>
      <c r="D716" s="61"/>
      <c r="Q716" s="62"/>
      <c r="R716" s="92"/>
    </row>
    <row r="717" spans="3:18">
      <c r="C717" s="61"/>
      <c r="D717" s="61"/>
      <c r="Q717" s="62"/>
    </row>
    <row r="718" spans="3:18">
      <c r="C718" s="61"/>
      <c r="D718" s="61"/>
      <c r="Q718" s="62"/>
    </row>
    <row r="719" spans="3:18">
      <c r="C719" s="61"/>
      <c r="D719" s="61"/>
      <c r="Q719" s="62"/>
    </row>
    <row r="720" spans="3:18">
      <c r="C720" s="61"/>
      <c r="D720" s="61"/>
      <c r="Q720" s="62"/>
      <c r="R720" s="94"/>
    </row>
    <row r="721" spans="3:18">
      <c r="C721" s="61"/>
      <c r="D721" s="61"/>
      <c r="Q721" s="62"/>
      <c r="R721" s="92"/>
    </row>
    <row r="722" spans="3:18">
      <c r="C722" s="61"/>
      <c r="D722" s="61"/>
      <c r="Q722" s="62"/>
      <c r="R722" s="94"/>
    </row>
    <row r="723" spans="3:18">
      <c r="C723" s="61"/>
      <c r="D723" s="61"/>
      <c r="Q723" s="62"/>
      <c r="R723" s="92"/>
    </row>
    <row r="724" spans="3:18">
      <c r="C724" s="61"/>
      <c r="D724" s="61"/>
      <c r="Q724" s="62"/>
      <c r="R724" s="94"/>
    </row>
    <row r="725" spans="3:18">
      <c r="C725" s="61"/>
      <c r="D725" s="61"/>
      <c r="Q725" s="62"/>
      <c r="R725" s="92"/>
    </row>
    <row r="726" spans="3:18">
      <c r="C726" s="61"/>
      <c r="D726" s="61"/>
      <c r="Q726" s="62"/>
      <c r="R726" s="94"/>
    </row>
    <row r="727" spans="3:18">
      <c r="C727" s="61"/>
      <c r="D727" s="61"/>
      <c r="Q727" s="62"/>
      <c r="R727" s="92"/>
    </row>
    <row r="728" spans="3:18">
      <c r="C728" s="61"/>
      <c r="D728" s="61"/>
      <c r="Q728" s="62"/>
      <c r="R728" s="94"/>
    </row>
    <row r="729" spans="3:18">
      <c r="C729" s="61"/>
      <c r="D729" s="61"/>
      <c r="Q729" s="62"/>
      <c r="R729" s="95"/>
    </row>
    <row r="730" spans="3:18">
      <c r="C730" s="61"/>
      <c r="D730" s="61"/>
      <c r="Q730" s="62"/>
      <c r="R730" s="95"/>
    </row>
    <row r="731" spans="3:18">
      <c r="C731" s="61"/>
      <c r="D731" s="61"/>
      <c r="Q731" s="62"/>
      <c r="R731" s="92"/>
    </row>
    <row r="732" spans="3:18">
      <c r="C732" s="61"/>
      <c r="D732" s="61"/>
      <c r="Q732" s="62"/>
      <c r="R732" s="94"/>
    </row>
    <row r="733" spans="3:18">
      <c r="C733" s="61"/>
      <c r="D733" s="61"/>
      <c r="Q733" s="62"/>
      <c r="R733" s="92"/>
    </row>
    <row r="734" spans="3:18">
      <c r="C734" s="61"/>
      <c r="D734" s="61"/>
      <c r="Q734" s="62"/>
    </row>
    <row r="735" spans="3:18">
      <c r="C735" s="61"/>
      <c r="D735" s="61"/>
      <c r="Q735" s="62"/>
      <c r="R735" s="95"/>
    </row>
    <row r="736" spans="3:18">
      <c r="C736" s="61"/>
      <c r="D736" s="61"/>
      <c r="Q736" s="62"/>
      <c r="R736" s="92"/>
    </row>
    <row r="737" spans="1:18">
      <c r="A737" s="109"/>
      <c r="B737" s="108"/>
      <c r="C737" s="109"/>
      <c r="D737" s="109"/>
      <c r="E737" s="110"/>
      <c r="F737" s="110"/>
      <c r="G737" s="108"/>
      <c r="H737" s="108"/>
      <c r="I737" s="108"/>
      <c r="J737" s="108"/>
      <c r="K737" s="106"/>
      <c r="L737" s="106"/>
      <c r="M737" s="108"/>
      <c r="N737" s="108"/>
      <c r="O737" s="107"/>
      <c r="P737" s="108"/>
      <c r="Q737" s="62"/>
      <c r="R737" s="108"/>
    </row>
    <row r="738" spans="1:18">
      <c r="C738" s="61"/>
      <c r="D738" s="61"/>
      <c r="Q738" s="62"/>
    </row>
    <row r="739" spans="1:18">
      <c r="C739" s="61"/>
      <c r="D739" s="61"/>
      <c r="Q739" s="62"/>
    </row>
    <row r="740" spans="1:18">
      <c r="C740" s="61"/>
      <c r="D740" s="61"/>
      <c r="Q740" s="62"/>
      <c r="R740" s="94"/>
    </row>
    <row r="741" spans="1:18">
      <c r="C741" s="61"/>
      <c r="D741" s="61"/>
      <c r="Q741" s="62"/>
      <c r="R741" s="92"/>
    </row>
    <row r="742" spans="1:18">
      <c r="C742" s="61"/>
      <c r="D742" s="61"/>
      <c r="K742" s="106"/>
      <c r="Q742" s="62"/>
    </row>
    <row r="743" spans="1:18">
      <c r="C743" s="61"/>
      <c r="D743" s="61"/>
      <c r="K743" s="106"/>
      <c r="Q743" s="62"/>
    </row>
    <row r="744" spans="1:18">
      <c r="C744" s="61"/>
      <c r="D744" s="61"/>
      <c r="Q744" s="62"/>
    </row>
    <row r="745" spans="1:18">
      <c r="C745" s="61"/>
      <c r="D745" s="61"/>
      <c r="Q745" s="62"/>
    </row>
    <row r="746" spans="1:18">
      <c r="C746" s="61"/>
      <c r="D746" s="61"/>
      <c r="Q746" s="62"/>
    </row>
    <row r="747" spans="1:18">
      <c r="C747" s="61"/>
      <c r="D747" s="61"/>
      <c r="Q747" s="62"/>
    </row>
    <row r="748" spans="1:18">
      <c r="C748" s="61"/>
      <c r="D748" s="61"/>
      <c r="Q748" s="62"/>
    </row>
    <row r="749" spans="1:18">
      <c r="C749" s="61"/>
      <c r="D749" s="61"/>
      <c r="K749" s="106"/>
      <c r="O749" s="107"/>
      <c r="Q749" s="62"/>
    </row>
    <row r="750" spans="1:18">
      <c r="C750" s="61"/>
      <c r="D750" s="61"/>
      <c r="Q750" s="62"/>
      <c r="R750" s="94"/>
    </row>
    <row r="751" spans="1:18">
      <c r="C751" s="61"/>
      <c r="D751" s="61"/>
      <c r="Q751" s="62"/>
      <c r="R751" s="92"/>
    </row>
    <row r="752" spans="1:18">
      <c r="C752" s="61"/>
      <c r="D752" s="61"/>
      <c r="Q752" s="62"/>
      <c r="R752" s="94"/>
    </row>
    <row r="753" spans="3:18">
      <c r="C753" s="61"/>
      <c r="D753" s="61"/>
      <c r="Q753" s="62"/>
      <c r="R753" s="92"/>
    </row>
    <row r="754" spans="3:18">
      <c r="C754" s="61"/>
      <c r="D754" s="61"/>
      <c r="Q754" s="62"/>
      <c r="R754" s="94"/>
    </row>
    <row r="755" spans="3:18">
      <c r="C755" s="61"/>
      <c r="D755" s="61"/>
      <c r="Q755" s="62"/>
      <c r="R755" s="92"/>
    </row>
    <row r="756" spans="3:18">
      <c r="C756" s="61"/>
      <c r="D756" s="61"/>
      <c r="K756" s="106"/>
      <c r="O756" s="107"/>
      <c r="Q756" s="62"/>
      <c r="R756" s="94"/>
    </row>
    <row r="757" spans="3:18">
      <c r="C757" s="61"/>
      <c r="D757" s="61"/>
      <c r="K757" s="106"/>
      <c r="O757" s="107"/>
      <c r="Q757" s="62"/>
      <c r="R757" s="92"/>
    </row>
    <row r="758" spans="3:18">
      <c r="C758" s="61"/>
      <c r="D758" s="61"/>
      <c r="Q758" s="62"/>
      <c r="R758" s="94"/>
    </row>
    <row r="759" spans="3:18">
      <c r="C759" s="61"/>
      <c r="D759" s="61"/>
      <c r="Q759" s="62"/>
      <c r="R759" s="92"/>
    </row>
    <row r="760" spans="3:18">
      <c r="C760" s="61"/>
      <c r="D760" s="61"/>
      <c r="K760" s="106"/>
      <c r="O760" s="107"/>
      <c r="Q760" s="62"/>
      <c r="R760" s="94"/>
    </row>
    <row r="761" spans="3:18">
      <c r="C761" s="61"/>
      <c r="D761" s="61"/>
      <c r="K761" s="106"/>
      <c r="O761" s="107"/>
      <c r="Q761" s="62"/>
      <c r="R761" s="92"/>
    </row>
    <row r="762" spans="3:18">
      <c r="C762" s="61"/>
      <c r="D762" s="61"/>
      <c r="Q762" s="62"/>
    </row>
    <row r="763" spans="3:18">
      <c r="C763" s="61"/>
      <c r="D763" s="61"/>
      <c r="Q763" s="62"/>
      <c r="R763" s="94"/>
    </row>
    <row r="764" spans="3:18">
      <c r="C764" s="61"/>
      <c r="D764" s="61"/>
      <c r="Q764" s="62"/>
      <c r="R764" s="95"/>
    </row>
    <row r="765" spans="3:18">
      <c r="C765" s="61"/>
      <c r="D765" s="61"/>
      <c r="Q765" s="62"/>
      <c r="R765" s="92"/>
    </row>
    <row r="766" spans="3:18">
      <c r="C766" s="61"/>
      <c r="D766" s="61"/>
      <c r="K766" s="106"/>
      <c r="O766" s="107"/>
      <c r="Q766" s="62"/>
    </row>
    <row r="767" spans="3:18">
      <c r="C767" s="61"/>
      <c r="D767" s="61"/>
      <c r="Q767" s="62"/>
    </row>
    <row r="768" spans="3:18">
      <c r="C768" s="61"/>
      <c r="D768" s="61"/>
      <c r="Q768" s="62"/>
      <c r="R768" s="94"/>
    </row>
    <row r="769" spans="3:18">
      <c r="C769" s="61"/>
      <c r="D769" s="61"/>
      <c r="Q769" s="62"/>
      <c r="R769" s="92"/>
    </row>
    <row r="770" spans="3:18">
      <c r="C770" s="61"/>
      <c r="D770" s="61"/>
      <c r="Q770" s="62"/>
      <c r="R770" s="94"/>
    </row>
    <row r="771" spans="3:18">
      <c r="C771" s="61"/>
      <c r="D771" s="61"/>
      <c r="Q771" s="62"/>
      <c r="R771" s="92"/>
    </row>
    <row r="772" spans="3:18">
      <c r="C772" s="61"/>
      <c r="D772" s="61"/>
      <c r="Q772" s="62"/>
    </row>
    <row r="773" spans="3:18">
      <c r="C773" s="61"/>
      <c r="D773" s="61"/>
      <c r="Q773" s="62"/>
    </row>
    <row r="774" spans="3:18">
      <c r="C774" s="61"/>
      <c r="D774" s="61"/>
      <c r="Q774" s="62"/>
    </row>
    <row r="775" spans="3:18">
      <c r="C775" s="61"/>
      <c r="D775" s="61"/>
      <c r="Q775" s="62"/>
    </row>
    <row r="776" spans="3:18">
      <c r="C776" s="61"/>
      <c r="D776" s="61"/>
      <c r="Q776" s="62"/>
    </row>
    <row r="777" spans="3:18">
      <c r="C777" s="61"/>
      <c r="D777" s="61"/>
      <c r="Q777" s="62"/>
    </row>
    <row r="778" spans="3:18">
      <c r="C778" s="61"/>
      <c r="D778" s="61"/>
      <c r="Q778" s="62"/>
    </row>
    <row r="779" spans="3:18">
      <c r="C779" s="61"/>
      <c r="D779" s="61"/>
      <c r="Q779" s="62"/>
    </row>
    <row r="780" spans="3:18">
      <c r="C780" s="61"/>
      <c r="D780" s="61"/>
      <c r="O780" s="133"/>
      <c r="Q780" s="62"/>
    </row>
    <row r="781" spans="3:18">
      <c r="C781" s="61"/>
      <c r="D781" s="61"/>
      <c r="O781" s="133"/>
      <c r="Q781" s="62"/>
    </row>
    <row r="782" spans="3:18">
      <c r="C782" s="61"/>
      <c r="D782" s="61"/>
      <c r="Q782" s="62"/>
    </row>
    <row r="783" spans="3:18">
      <c r="C783" s="61"/>
      <c r="D783" s="61"/>
      <c r="Q783" s="62"/>
    </row>
    <row r="784" spans="3:18">
      <c r="C784" s="61"/>
      <c r="D784" s="61"/>
      <c r="Q784" s="62"/>
    </row>
    <row r="785" spans="3:17">
      <c r="C785" s="61"/>
      <c r="D785" s="61"/>
      <c r="Q785" s="62"/>
    </row>
    <row r="786" spans="3:17">
      <c r="C786" s="61"/>
      <c r="D786" s="61"/>
      <c r="Q786" s="62"/>
    </row>
    <row r="787" spans="3:17">
      <c r="C787" s="61"/>
      <c r="D787" s="61"/>
      <c r="Q787" s="62"/>
    </row>
    <row r="788" spans="3:17">
      <c r="C788" s="61"/>
      <c r="D788" s="61"/>
      <c r="K788" s="106"/>
      <c r="O788" s="107"/>
      <c r="Q788" s="62"/>
    </row>
    <row r="789" spans="3:17">
      <c r="C789" s="61"/>
      <c r="D789" s="61"/>
      <c r="K789" s="106"/>
      <c r="O789" s="107"/>
      <c r="Q789" s="62"/>
    </row>
    <row r="790" spans="3:17">
      <c r="C790" s="61"/>
      <c r="D790" s="61"/>
      <c r="K790" s="106"/>
      <c r="O790" s="107"/>
      <c r="Q790" s="62"/>
    </row>
    <row r="791" spans="3:17">
      <c r="C791" s="61"/>
      <c r="D791" s="61"/>
      <c r="K791" s="106"/>
      <c r="O791" s="107"/>
      <c r="Q791" s="62"/>
    </row>
    <row r="792" spans="3:17">
      <c r="C792" s="61"/>
      <c r="D792" s="61"/>
      <c r="K792" s="106"/>
      <c r="O792" s="107"/>
      <c r="Q792" s="62"/>
    </row>
    <row r="793" spans="3:17">
      <c r="C793" s="61"/>
      <c r="D793" s="61"/>
      <c r="Q793" s="62"/>
    </row>
    <row r="794" spans="3:17">
      <c r="C794" s="61"/>
      <c r="D794" s="61"/>
      <c r="Q794" s="62"/>
    </row>
    <row r="795" spans="3:17">
      <c r="C795" s="61"/>
      <c r="D795" s="61"/>
      <c r="Q795" s="62"/>
    </row>
    <row r="796" spans="3:17">
      <c r="C796" s="61"/>
      <c r="D796" s="61"/>
      <c r="Q796" s="62"/>
    </row>
    <row r="797" spans="3:17">
      <c r="C797" s="61"/>
      <c r="D797" s="61"/>
      <c r="K797" s="106"/>
      <c r="O797" s="107"/>
      <c r="Q797" s="62"/>
    </row>
    <row r="798" spans="3:17">
      <c r="C798" s="61"/>
      <c r="D798" s="61"/>
      <c r="Q798" s="62"/>
    </row>
    <row r="799" spans="3:17">
      <c r="C799" s="61"/>
      <c r="D799" s="61"/>
      <c r="Q799" s="62"/>
    </row>
    <row r="800" spans="3:17">
      <c r="C800" s="61"/>
      <c r="D800" s="61"/>
      <c r="Q800" s="62"/>
    </row>
    <row r="801" spans="3:17">
      <c r="C801" s="61"/>
      <c r="D801" s="61"/>
      <c r="K801" s="106"/>
      <c r="O801" s="107"/>
      <c r="Q801" s="62"/>
    </row>
    <row r="802" spans="3:17">
      <c r="C802" s="61"/>
      <c r="D802" s="61"/>
      <c r="O802" s="107"/>
      <c r="Q802" s="62"/>
    </row>
    <row r="803" spans="3:17">
      <c r="C803" s="61"/>
      <c r="D803" s="61"/>
      <c r="Q803" s="62"/>
    </row>
    <row r="804" spans="3:17">
      <c r="C804" s="61"/>
      <c r="D804" s="61"/>
      <c r="Q804" s="62"/>
    </row>
    <row r="805" spans="3:17">
      <c r="C805" s="61"/>
      <c r="D805" s="61"/>
      <c r="Q805" s="62"/>
    </row>
    <row r="806" spans="3:17">
      <c r="C806" s="61"/>
      <c r="D806" s="61"/>
      <c r="Q806" s="62"/>
    </row>
    <row r="807" spans="3:17">
      <c r="C807" s="61"/>
      <c r="D807" s="61"/>
      <c r="Q807" s="62"/>
    </row>
    <row r="808" spans="3:17">
      <c r="C808" s="61"/>
      <c r="D808" s="61"/>
      <c r="K808" s="106"/>
      <c r="Q808" s="62"/>
    </row>
    <row r="809" spans="3:17">
      <c r="C809" s="61"/>
      <c r="D809" s="61"/>
      <c r="K809" s="106"/>
      <c r="O809" s="107"/>
      <c r="Q809" s="62"/>
    </row>
    <row r="810" spans="3:17">
      <c r="C810" s="61"/>
      <c r="D810" s="61"/>
      <c r="Q810" s="62"/>
    </row>
    <row r="811" spans="3:17">
      <c r="C811" s="61"/>
      <c r="D811" s="61"/>
      <c r="Q811" s="62"/>
    </row>
    <row r="812" spans="3:17">
      <c r="C812" s="61"/>
      <c r="D812" s="61"/>
      <c r="Q812" s="62"/>
    </row>
    <row r="813" spans="3:17">
      <c r="C813" s="61"/>
      <c r="D813" s="61"/>
      <c r="Q813" s="62"/>
    </row>
    <row r="814" spans="3:17">
      <c r="C814" s="61"/>
      <c r="D814" s="61"/>
      <c r="K814" s="106"/>
      <c r="O814" s="107"/>
      <c r="Q814" s="62"/>
    </row>
    <row r="815" spans="3:17">
      <c r="C815" s="61"/>
      <c r="D815" s="61"/>
      <c r="K815" s="106"/>
      <c r="O815" s="107"/>
      <c r="Q815" s="62"/>
    </row>
    <row r="816" spans="3:17">
      <c r="C816" s="61"/>
      <c r="D816" s="61"/>
      <c r="Q816" s="62"/>
    </row>
    <row r="817" spans="3:18">
      <c r="C817" s="61"/>
      <c r="D817" s="61"/>
      <c r="K817" s="106"/>
      <c r="O817" s="107"/>
      <c r="Q817" s="62"/>
      <c r="R817" s="94"/>
    </row>
    <row r="818" spans="3:18">
      <c r="C818" s="61"/>
      <c r="D818" s="61"/>
      <c r="K818" s="106"/>
      <c r="O818" s="107"/>
      <c r="Q818" s="62"/>
      <c r="R818" s="92"/>
    </row>
    <row r="819" spans="3:18">
      <c r="C819" s="61"/>
      <c r="D819" s="61"/>
      <c r="Q819" s="62"/>
      <c r="R819" s="94"/>
    </row>
    <row r="820" spans="3:18">
      <c r="C820" s="61"/>
      <c r="D820" s="61"/>
      <c r="Q820" s="62"/>
      <c r="R820" s="92"/>
    </row>
    <row r="821" spans="3:18">
      <c r="C821" s="61"/>
      <c r="D821" s="61"/>
      <c r="K821" s="106"/>
      <c r="O821" s="107"/>
      <c r="Q821" s="62"/>
      <c r="R821" s="94"/>
    </row>
    <row r="822" spans="3:18">
      <c r="C822" s="61"/>
      <c r="D822" s="61"/>
      <c r="K822" s="106"/>
      <c r="O822" s="107"/>
      <c r="Q822" s="62"/>
      <c r="R822" s="92"/>
    </row>
    <row r="823" spans="3:18">
      <c r="C823" s="61"/>
      <c r="D823" s="61"/>
      <c r="Q823" s="62"/>
    </row>
    <row r="824" spans="3:18">
      <c r="C824" s="61"/>
      <c r="D824" s="61"/>
      <c r="K824" s="106"/>
      <c r="O824" s="107"/>
      <c r="Q824" s="62"/>
      <c r="R824" s="94"/>
    </row>
    <row r="825" spans="3:18">
      <c r="C825" s="61"/>
      <c r="D825" s="61"/>
      <c r="K825" s="106"/>
      <c r="O825" s="107"/>
      <c r="Q825" s="62"/>
      <c r="R825" s="92"/>
    </row>
    <row r="826" spans="3:18">
      <c r="C826" s="61"/>
      <c r="D826" s="61"/>
      <c r="Q826" s="62"/>
    </row>
    <row r="827" spans="3:18">
      <c r="C827" s="61"/>
      <c r="D827" s="61"/>
      <c r="K827" s="106"/>
      <c r="O827" s="107"/>
      <c r="Q827" s="62"/>
      <c r="R827" s="94"/>
    </row>
    <row r="828" spans="3:18">
      <c r="C828" s="61"/>
      <c r="D828" s="61"/>
      <c r="K828" s="106"/>
      <c r="O828" s="107"/>
      <c r="Q828" s="62"/>
      <c r="R828" s="92"/>
    </row>
    <row r="829" spans="3:18">
      <c r="C829" s="61"/>
      <c r="D829" s="61"/>
      <c r="K829" s="106"/>
      <c r="O829" s="107"/>
      <c r="Q829" s="62"/>
    </row>
    <row r="830" spans="3:18">
      <c r="C830" s="61"/>
      <c r="D830" s="61"/>
      <c r="K830" s="106"/>
      <c r="O830" s="107"/>
      <c r="Q830" s="62"/>
    </row>
    <row r="831" spans="3:18">
      <c r="C831" s="61"/>
      <c r="D831" s="61"/>
      <c r="Q831" s="62"/>
    </row>
    <row r="832" spans="3:18">
      <c r="C832" s="61"/>
      <c r="D832" s="61"/>
      <c r="Q832" s="62"/>
      <c r="R832" s="94"/>
    </row>
    <row r="833" spans="3:18">
      <c r="C833" s="61"/>
      <c r="D833" s="61"/>
      <c r="Q833" s="62"/>
      <c r="R833" s="95"/>
    </row>
    <row r="834" spans="3:18">
      <c r="C834" s="61"/>
      <c r="D834" s="61"/>
      <c r="Q834" s="62"/>
      <c r="R834" s="92"/>
    </row>
    <row r="835" spans="3:18">
      <c r="C835" s="61"/>
      <c r="D835" s="61"/>
      <c r="Q835" s="62"/>
    </row>
    <row r="836" spans="3:18">
      <c r="C836" s="61"/>
      <c r="D836" s="61"/>
      <c r="K836" s="106"/>
      <c r="O836" s="107"/>
      <c r="Q836" s="62"/>
    </row>
    <row r="837" spans="3:18">
      <c r="C837" s="61"/>
      <c r="D837" s="61"/>
      <c r="Q837" s="62"/>
      <c r="R837" s="94"/>
    </row>
    <row r="838" spans="3:18">
      <c r="C838" s="61"/>
      <c r="D838" s="61"/>
      <c r="K838" s="106"/>
      <c r="Q838" s="62"/>
      <c r="R838" s="92"/>
    </row>
    <row r="839" spans="3:18">
      <c r="C839" s="61"/>
      <c r="D839" s="61"/>
      <c r="Q839" s="62"/>
    </row>
    <row r="840" spans="3:18">
      <c r="C840" s="61"/>
      <c r="D840" s="61"/>
      <c r="Q840" s="62"/>
      <c r="R840" s="94"/>
    </row>
    <row r="841" spans="3:18">
      <c r="C841" s="61"/>
      <c r="D841" s="61"/>
      <c r="Q841" s="62"/>
      <c r="R841" s="92"/>
    </row>
    <row r="842" spans="3:18">
      <c r="C842" s="61"/>
      <c r="D842" s="61"/>
      <c r="H842" s="134"/>
      <c r="I842" s="134"/>
      <c r="O842" s="134"/>
      <c r="Q842" s="62"/>
    </row>
    <row r="843" spans="3:18">
      <c r="C843" s="61"/>
      <c r="D843" s="61"/>
      <c r="H843" s="134"/>
      <c r="I843" s="134"/>
      <c r="O843" s="134"/>
      <c r="Q843" s="62"/>
    </row>
    <row r="844" spans="3:18">
      <c r="C844" s="61"/>
      <c r="D844" s="61"/>
      <c r="H844" s="134"/>
      <c r="I844" s="134"/>
      <c r="O844" s="134"/>
      <c r="Q844" s="62"/>
    </row>
    <row r="845" spans="3:18">
      <c r="C845" s="61"/>
      <c r="D845" s="61"/>
      <c r="H845" s="134"/>
      <c r="I845" s="134"/>
      <c r="O845" s="134"/>
      <c r="Q845" s="62"/>
    </row>
    <row r="846" spans="3:18">
      <c r="C846" s="61"/>
      <c r="D846" s="61"/>
      <c r="Q846" s="62"/>
      <c r="R846" s="94"/>
    </row>
    <row r="847" spans="3:18">
      <c r="C847" s="61"/>
      <c r="D847" s="61"/>
      <c r="Q847" s="62"/>
      <c r="R847" s="92"/>
    </row>
    <row r="848" spans="3:18">
      <c r="C848" s="61"/>
      <c r="D848" s="61"/>
      <c r="Q848" s="62"/>
    </row>
    <row r="849" spans="3:17">
      <c r="C849" s="61"/>
      <c r="D849" s="61"/>
      <c r="Q849" s="62"/>
    </row>
    <row r="850" spans="3:17">
      <c r="C850" s="61"/>
      <c r="D850" s="61"/>
      <c r="Q850" s="62"/>
    </row>
    <row r="851" spans="3:17">
      <c r="C851" s="61"/>
      <c r="D851" s="61"/>
      <c r="Q851" s="62"/>
    </row>
    <row r="852" spans="3:17">
      <c r="C852" s="61"/>
      <c r="D852" s="61"/>
      <c r="Q852" s="62"/>
    </row>
    <row r="853" spans="3:17">
      <c r="C853" s="61"/>
      <c r="D853" s="61"/>
      <c r="Q853" s="62"/>
    </row>
    <row r="854" spans="3:17">
      <c r="C854" s="61"/>
      <c r="D854" s="61"/>
      <c r="Q854" s="62"/>
    </row>
    <row r="855" spans="3:17">
      <c r="C855" s="61"/>
      <c r="D855" s="61"/>
      <c r="Q855" s="62"/>
    </row>
    <row r="856" spans="3:17">
      <c r="C856" s="61"/>
      <c r="D856" s="61"/>
      <c r="Q856" s="62"/>
    </row>
    <row r="857" spans="3:17">
      <c r="C857" s="61"/>
      <c r="D857" s="61"/>
      <c r="Q857" s="62"/>
    </row>
    <row r="858" spans="3:17">
      <c r="C858" s="61"/>
      <c r="D858" s="61"/>
      <c r="Q858" s="62"/>
    </row>
    <row r="859" spans="3:17">
      <c r="C859" s="61"/>
      <c r="D859" s="61"/>
      <c r="Q859" s="62"/>
    </row>
    <row r="860" spans="3:17">
      <c r="C860" s="61"/>
      <c r="D860" s="61"/>
      <c r="Q860" s="62"/>
    </row>
    <row r="861" spans="3:17">
      <c r="C861" s="61"/>
      <c r="D861" s="61"/>
      <c r="K861" s="106"/>
      <c r="O861" s="133"/>
      <c r="Q861" s="62"/>
    </row>
    <row r="862" spans="3:17">
      <c r="C862" s="61"/>
      <c r="D862" s="61"/>
      <c r="K862" s="106"/>
      <c r="O862" s="133"/>
      <c r="Q862" s="62"/>
    </row>
    <row r="863" spans="3:17">
      <c r="C863" s="61"/>
      <c r="D863" s="61"/>
      <c r="Q863" s="62"/>
    </row>
    <row r="864" spans="3:17">
      <c r="C864" s="61"/>
      <c r="D864" s="61"/>
      <c r="Q864" s="62"/>
    </row>
    <row r="865" spans="1:19">
      <c r="C865" s="61"/>
      <c r="D865" s="61"/>
      <c r="Q865" s="62"/>
    </row>
    <row r="866" spans="1:19">
      <c r="C866" s="61"/>
      <c r="D866" s="61"/>
      <c r="K866" s="106"/>
      <c r="O866" s="133"/>
      <c r="Q866" s="62"/>
    </row>
    <row r="867" spans="1:19">
      <c r="C867" s="61"/>
      <c r="D867" s="61"/>
      <c r="Q867" s="62"/>
    </row>
    <row r="868" spans="1:19">
      <c r="C868" s="61"/>
      <c r="D868" s="61"/>
      <c r="Q868" s="62"/>
      <c r="R868" s="94"/>
    </row>
    <row r="869" spans="1:19">
      <c r="C869" s="61"/>
      <c r="D869" s="61"/>
      <c r="Q869" s="62"/>
      <c r="R869" s="92"/>
    </row>
    <row r="870" s="58" customFormat="1" spans="1:19">
      <c r="A870" s="61"/>
      <c r="B870" s="62"/>
      <c r="C870" s="61"/>
      <c r="D870" s="61"/>
      <c r="E870" s="64"/>
      <c r="F870" s="64"/>
      <c r="G870" s="62"/>
      <c r="H870" s="62"/>
      <c r="I870" s="62"/>
      <c r="J870" s="62"/>
      <c r="K870" s="65"/>
      <c r="L870" s="65"/>
      <c r="M870" s="62"/>
      <c r="N870" s="62"/>
      <c r="O870" s="66"/>
      <c r="P870" s="62"/>
      <c r="Q870" s="62"/>
      <c r="R870" s="62"/>
      <c r="S870" s="62"/>
    </row>
    <row r="871" s="58" customFormat="1" spans="1:19">
      <c r="A871" s="61"/>
      <c r="B871" s="62"/>
      <c r="C871" s="61"/>
      <c r="D871" s="61"/>
      <c r="E871" s="64"/>
      <c r="F871" s="64"/>
      <c r="G871" s="62"/>
      <c r="H871" s="62"/>
      <c r="I871" s="62"/>
      <c r="J871" s="62"/>
      <c r="K871" s="65"/>
      <c r="L871" s="65"/>
      <c r="M871" s="62"/>
      <c r="N871" s="62"/>
      <c r="O871" s="66"/>
      <c r="P871" s="62"/>
      <c r="Q871" s="62"/>
      <c r="R871" s="62"/>
      <c r="S871" s="62"/>
    </row>
    <row r="872" s="58" customFormat="1" spans="1:19">
      <c r="A872" s="61"/>
      <c r="B872" s="62"/>
      <c r="C872" s="63"/>
      <c r="D872" s="63"/>
      <c r="E872" s="64"/>
      <c r="F872" s="64"/>
      <c r="G872" s="62"/>
      <c r="H872" s="62"/>
      <c r="I872" s="62"/>
      <c r="J872" s="62"/>
      <c r="K872" s="65"/>
      <c r="L872" s="65"/>
      <c r="M872" s="62"/>
      <c r="N872" s="62"/>
      <c r="O872" s="66"/>
      <c r="P872" s="62"/>
      <c r="Q872" s="62"/>
      <c r="R872" s="62"/>
      <c r="S872" s="62"/>
    </row>
    <row r="873" s="58" customFormat="1" spans="1:19">
      <c r="A873" s="61"/>
      <c r="B873" s="62"/>
      <c r="C873" s="63"/>
      <c r="D873" s="63"/>
      <c r="E873" s="64"/>
      <c r="F873" s="64"/>
      <c r="G873" s="62"/>
      <c r="H873" s="62"/>
      <c r="I873" s="62"/>
      <c r="J873" s="62"/>
      <c r="K873" s="65"/>
      <c r="L873" s="65"/>
      <c r="M873" s="62"/>
      <c r="N873" s="62"/>
      <c r="O873" s="66"/>
      <c r="P873" s="62"/>
      <c r="Q873" s="62"/>
      <c r="R873" s="62"/>
      <c r="S873" s="62"/>
    </row>
    <row r="874" s="58" customFormat="1" spans="1:19">
      <c r="A874" s="61"/>
      <c r="B874" s="62"/>
      <c r="C874" s="63"/>
      <c r="D874" s="63"/>
      <c r="E874" s="64"/>
      <c r="F874" s="64"/>
      <c r="G874" s="62"/>
      <c r="H874" s="62"/>
      <c r="I874" s="62"/>
      <c r="J874" s="62"/>
      <c r="K874" s="65"/>
      <c r="L874" s="65"/>
      <c r="M874" s="62"/>
      <c r="N874" s="62"/>
      <c r="O874" s="66"/>
      <c r="P874" s="62"/>
      <c r="Q874" s="62"/>
      <c r="R874" s="62"/>
      <c r="S874" s="62"/>
    </row>
    <row r="875" s="58" customFormat="1" spans="1:19">
      <c r="A875" s="61"/>
      <c r="B875" s="62"/>
      <c r="C875" s="63"/>
      <c r="D875" s="63"/>
      <c r="E875" s="64"/>
      <c r="F875" s="64"/>
      <c r="G875" s="62"/>
      <c r="H875" s="62"/>
      <c r="I875" s="62"/>
      <c r="J875" s="62"/>
      <c r="K875" s="65"/>
      <c r="L875" s="65"/>
      <c r="M875" s="62"/>
      <c r="N875" s="62"/>
      <c r="O875" s="66"/>
      <c r="P875" s="62"/>
      <c r="Q875" s="62"/>
      <c r="R875" s="62"/>
      <c r="S875" s="62"/>
    </row>
    <row r="876" s="58" customFormat="1" spans="1:19">
      <c r="A876" s="61"/>
      <c r="B876" s="62"/>
      <c r="C876" s="63"/>
      <c r="D876" s="63"/>
      <c r="E876" s="64"/>
      <c r="F876" s="64"/>
      <c r="G876" s="62"/>
      <c r="H876" s="62"/>
      <c r="I876" s="62"/>
      <c r="J876" s="62"/>
      <c r="K876" s="65"/>
      <c r="L876" s="65"/>
      <c r="M876" s="62"/>
      <c r="N876" s="62"/>
      <c r="O876" s="66"/>
      <c r="P876" s="62"/>
      <c r="Q876" s="62"/>
      <c r="R876" s="62"/>
      <c r="S876" s="62"/>
    </row>
    <row r="877" s="58" customFormat="1" spans="1:19">
      <c r="A877" s="61"/>
      <c r="B877" s="62"/>
      <c r="C877" s="63"/>
      <c r="D877" s="63"/>
      <c r="E877" s="64"/>
      <c r="F877" s="64"/>
      <c r="G877" s="62"/>
      <c r="H877" s="62"/>
      <c r="I877" s="62"/>
      <c r="J877" s="62"/>
      <c r="K877" s="65"/>
      <c r="L877" s="65"/>
      <c r="M877" s="62"/>
      <c r="N877" s="62"/>
      <c r="O877" s="66"/>
      <c r="P877" s="62"/>
      <c r="Q877" s="62"/>
      <c r="R877" s="62"/>
      <c r="S877" s="62"/>
    </row>
    <row r="878" s="58" customFormat="1" spans="1:19">
      <c r="A878" s="61"/>
      <c r="B878" s="62"/>
      <c r="C878" s="63"/>
      <c r="D878" s="63"/>
      <c r="E878" s="64"/>
      <c r="F878" s="64"/>
      <c r="G878" s="62"/>
      <c r="H878" s="62"/>
      <c r="I878" s="62"/>
      <c r="J878" s="62"/>
      <c r="K878" s="65"/>
      <c r="L878" s="65"/>
      <c r="M878" s="62"/>
      <c r="N878" s="62"/>
      <c r="O878" s="66"/>
      <c r="P878" s="62"/>
      <c r="Q878" s="62"/>
      <c r="R878" s="62"/>
      <c r="S878" s="62"/>
    </row>
    <row r="879" s="58" customFormat="1" spans="1:19">
      <c r="A879" s="61"/>
      <c r="B879" s="62"/>
      <c r="C879" s="63"/>
      <c r="D879" s="63"/>
      <c r="E879" s="64"/>
      <c r="F879" s="64"/>
      <c r="G879" s="62"/>
      <c r="H879" s="62"/>
      <c r="I879" s="62"/>
      <c r="J879" s="62"/>
      <c r="K879" s="65"/>
      <c r="L879" s="65"/>
      <c r="M879" s="62"/>
      <c r="N879" s="62"/>
      <c r="O879" s="66"/>
      <c r="P879" s="62"/>
      <c r="Q879" s="62"/>
      <c r="R879" s="62"/>
      <c r="S879" s="62"/>
    </row>
    <row r="880" s="58" customFormat="1" spans="1:19">
      <c r="A880" s="61"/>
      <c r="B880" s="62"/>
      <c r="C880" s="63"/>
      <c r="D880" s="63"/>
      <c r="E880" s="64"/>
      <c r="F880" s="64"/>
      <c r="G880" s="62"/>
      <c r="H880" s="62"/>
      <c r="I880" s="62"/>
      <c r="J880" s="62"/>
      <c r="K880" s="65"/>
      <c r="L880" s="65"/>
      <c r="M880" s="62"/>
      <c r="N880" s="62"/>
      <c r="O880" s="66"/>
      <c r="P880" s="62"/>
      <c r="Q880" s="62"/>
      <c r="R880" s="62"/>
      <c r="S880" s="62"/>
    </row>
    <row r="881" s="58" customFormat="1" spans="1:22">
      <c r="A881" s="61"/>
      <c r="B881" s="62"/>
      <c r="C881" s="63"/>
      <c r="D881" s="63"/>
      <c r="E881" s="64"/>
      <c r="F881" s="64"/>
      <c r="G881" s="62"/>
      <c r="H881" s="62"/>
      <c r="I881" s="62"/>
      <c r="J881" s="62"/>
      <c r="K881" s="65"/>
      <c r="L881" s="65"/>
      <c r="M881" s="62"/>
      <c r="N881" s="62"/>
      <c r="O881" s="66"/>
      <c r="P881" s="62"/>
      <c r="Q881" s="62"/>
      <c r="R881" s="62"/>
      <c r="S881" s="62"/>
    </row>
    <row r="882" s="58" customFormat="1" spans="1:22">
      <c r="A882" s="61"/>
      <c r="B882" s="62"/>
      <c r="C882" s="63"/>
      <c r="D882" s="63"/>
      <c r="E882" s="64"/>
      <c r="F882" s="64"/>
      <c r="G882" s="62"/>
      <c r="H882" s="62"/>
      <c r="I882" s="62"/>
      <c r="J882" s="62"/>
      <c r="K882" s="65"/>
      <c r="L882" s="65"/>
      <c r="M882" s="62"/>
      <c r="N882" s="62"/>
      <c r="O882" s="66"/>
      <c r="P882" s="62"/>
      <c r="Q882" s="62"/>
      <c r="R882" s="62"/>
      <c r="S882" s="62"/>
    </row>
    <row r="883" s="58" customFormat="1" spans="1:22">
      <c r="A883" s="61"/>
      <c r="B883" s="62"/>
      <c r="C883" s="63"/>
      <c r="D883" s="63"/>
      <c r="E883" s="64"/>
      <c r="F883" s="64"/>
      <c r="G883" s="62"/>
      <c r="H883" s="62"/>
      <c r="I883" s="62"/>
      <c r="J883" s="62"/>
      <c r="K883" s="65"/>
      <c r="L883" s="65"/>
      <c r="M883" s="62"/>
      <c r="N883" s="62"/>
      <c r="O883" s="66"/>
      <c r="P883" s="62"/>
      <c r="Q883" s="62"/>
      <c r="R883" s="62"/>
      <c r="S883" s="62"/>
    </row>
    <row r="884" s="58" customFormat="1" spans="1:22">
      <c r="A884" s="61"/>
      <c r="B884" s="62"/>
      <c r="C884" s="63"/>
      <c r="D884" s="63"/>
      <c r="E884" s="64"/>
      <c r="F884" s="64"/>
      <c r="G884" s="62"/>
      <c r="H884" s="62"/>
      <c r="I884" s="62"/>
      <c r="J884" s="62"/>
      <c r="K884" s="65"/>
      <c r="L884" s="65"/>
      <c r="M884" s="62"/>
      <c r="N884" s="62"/>
      <c r="O884" s="66"/>
      <c r="P884" s="62"/>
      <c r="Q884" s="62"/>
      <c r="R884" s="62"/>
      <c r="S884" s="62"/>
    </row>
    <row r="885" s="58" customFormat="1" spans="1:22">
      <c r="A885" s="61"/>
      <c r="B885" s="62"/>
      <c r="C885" s="63"/>
      <c r="D885" s="63"/>
      <c r="E885" s="64"/>
      <c r="F885" s="64"/>
      <c r="G885" s="62"/>
      <c r="H885" s="62"/>
      <c r="I885" s="62"/>
      <c r="J885" s="62"/>
      <c r="K885" s="65"/>
      <c r="L885" s="65"/>
      <c r="M885" s="62"/>
      <c r="N885" s="62"/>
      <c r="O885" s="66"/>
      <c r="P885" s="62"/>
      <c r="Q885" s="62"/>
      <c r="R885" s="62"/>
      <c r="S885" s="62"/>
    </row>
    <row r="886" s="58" customFormat="1" spans="1:22">
      <c r="A886" s="61"/>
      <c r="B886" s="62"/>
      <c r="C886" s="63"/>
      <c r="D886" s="63"/>
      <c r="E886" s="64"/>
      <c r="F886" s="64"/>
      <c r="G886" s="62"/>
      <c r="H886" s="62"/>
      <c r="I886" s="62"/>
      <c r="J886" s="62"/>
      <c r="K886" s="65"/>
      <c r="L886" s="65"/>
      <c r="M886" s="62"/>
      <c r="N886" s="62"/>
      <c r="O886" s="66"/>
      <c r="P886" s="62"/>
      <c r="Q886" s="62"/>
      <c r="R886" s="62"/>
      <c r="S886" s="62"/>
    </row>
    <row r="887" s="58" customFormat="1" spans="1:22">
      <c r="A887" s="61"/>
      <c r="B887" s="62"/>
      <c r="C887" s="61"/>
      <c r="D887" s="61"/>
      <c r="E887" s="64"/>
      <c r="F887" s="64"/>
      <c r="G887" s="62"/>
      <c r="H887" s="62"/>
      <c r="I887" s="62"/>
      <c r="J887" s="62"/>
      <c r="K887" s="65"/>
      <c r="L887" s="65"/>
      <c r="M887" s="62"/>
      <c r="N887" s="62"/>
      <c r="O887" s="66"/>
      <c r="P887" s="62"/>
      <c r="Q887" s="62"/>
      <c r="R887" s="62"/>
      <c r="S887" s="62"/>
    </row>
    <row r="888" s="58" customFormat="1" spans="1:22">
      <c r="A888" s="61"/>
      <c r="B888" s="62"/>
      <c r="C888" s="61"/>
      <c r="D888" s="61"/>
      <c r="E888" s="64"/>
      <c r="F888" s="64"/>
      <c r="G888" s="62"/>
      <c r="H888" s="62"/>
      <c r="I888" s="62"/>
      <c r="J888" s="62"/>
      <c r="K888" s="65"/>
      <c r="L888" s="65"/>
      <c r="M888" s="62"/>
      <c r="N888" s="62"/>
      <c r="O888" s="66"/>
      <c r="P888" s="62"/>
      <c r="Q888" s="62"/>
      <c r="R888" s="62"/>
      <c r="S888" s="62"/>
    </row>
    <row r="889" s="58" customFormat="1" spans="1:22">
      <c r="A889" s="61"/>
      <c r="B889" s="62"/>
      <c r="C889" s="61"/>
      <c r="D889" s="61"/>
      <c r="E889" s="64"/>
      <c r="F889" s="64"/>
      <c r="G889" s="62"/>
      <c r="H889" s="62"/>
      <c r="I889" s="62"/>
      <c r="J889" s="62"/>
      <c r="K889" s="65"/>
      <c r="L889" s="65"/>
      <c r="M889" s="62"/>
      <c r="N889" s="62"/>
      <c r="O889" s="135"/>
      <c r="P889" s="62"/>
      <c r="Q889" s="62"/>
      <c r="R889" s="62"/>
      <c r="S889" s="62"/>
      <c r="V889" s="104"/>
    </row>
    <row r="890" s="58" customFormat="1" spans="1:22">
      <c r="A890" s="61"/>
      <c r="B890" s="62"/>
      <c r="C890" s="63"/>
      <c r="D890" s="63"/>
      <c r="E890" s="64"/>
      <c r="F890" s="64"/>
      <c r="G890" s="62"/>
      <c r="H890" s="62"/>
      <c r="I890" s="62"/>
      <c r="J890" s="62"/>
      <c r="K890" s="106"/>
      <c r="L890" s="65"/>
      <c r="M890" s="62"/>
      <c r="N890" s="62"/>
      <c r="O890" s="107"/>
      <c r="P890" s="62"/>
      <c r="Q890" s="62"/>
      <c r="R890" s="62"/>
      <c r="S890" s="62"/>
      <c r="V890" s="104"/>
    </row>
    <row r="891" s="58" customFormat="1" spans="1:22">
      <c r="A891" s="61"/>
      <c r="B891" s="62"/>
      <c r="C891" s="63"/>
      <c r="D891" s="63"/>
      <c r="E891" s="64"/>
      <c r="F891" s="64"/>
      <c r="G891" s="62"/>
      <c r="H891" s="62"/>
      <c r="I891" s="62"/>
      <c r="J891" s="62"/>
      <c r="K891" s="106"/>
      <c r="L891" s="65"/>
      <c r="M891" s="62"/>
      <c r="N891" s="62"/>
      <c r="O891" s="107"/>
      <c r="P891" s="62"/>
      <c r="Q891" s="62"/>
      <c r="R891" s="94"/>
      <c r="S891" s="62"/>
      <c r="V891" s="104"/>
    </row>
    <row r="892" s="58" customFormat="1" spans="1:22">
      <c r="A892" s="61"/>
      <c r="B892" s="62"/>
      <c r="C892" s="63"/>
      <c r="D892" s="63"/>
      <c r="E892" s="64"/>
      <c r="F892" s="64"/>
      <c r="G892" s="62"/>
      <c r="H892" s="62"/>
      <c r="I892" s="62"/>
      <c r="J892" s="62"/>
      <c r="K892" s="65"/>
      <c r="L892" s="65"/>
      <c r="M892" s="62"/>
      <c r="N892" s="62"/>
      <c r="O892" s="66"/>
      <c r="P892" s="62"/>
      <c r="Q892" s="62"/>
      <c r="R892" s="62"/>
      <c r="S892" s="62"/>
      <c r="V892" s="104"/>
    </row>
    <row r="893" spans="1:22">
      <c r="Q893" s="62"/>
      <c r="V893" s="104"/>
    </row>
    <row r="894" spans="1:22">
      <c r="Q894" s="62"/>
      <c r="V894" s="104"/>
    </row>
    <row r="895" spans="1:22">
      <c r="Q895" s="62"/>
      <c r="R895" s="94"/>
      <c r="V895" s="104"/>
    </row>
    <row r="896" spans="1:22">
      <c r="Q896" s="62"/>
      <c r="R896" s="92"/>
    </row>
    <row r="897" spans="17:22">
      <c r="Q897" s="62"/>
      <c r="R897" s="94"/>
    </row>
    <row r="898" spans="17:22">
      <c r="Q898" s="62"/>
      <c r="R898" s="92"/>
      <c r="V898" s="104"/>
    </row>
    <row r="899" spans="17:22">
      <c r="Q899" s="62"/>
      <c r="R899" s="94"/>
      <c r="V899" s="104"/>
    </row>
    <row r="900" spans="17:22">
      <c r="Q900" s="62"/>
      <c r="R900" s="92"/>
    </row>
    <row r="901" spans="17:22">
      <c r="Q901" s="62"/>
      <c r="R901" s="94"/>
    </row>
    <row r="902" spans="17:22">
      <c r="Q902" s="62"/>
      <c r="R902" s="92"/>
    </row>
    <row r="903" spans="17:22">
      <c r="Q903" s="62"/>
      <c r="R903" s="94"/>
    </row>
    <row r="904" spans="17:22">
      <c r="Q904" s="62"/>
      <c r="R904" s="92"/>
    </row>
    <row r="905" spans="17:22">
      <c r="Q905" s="62"/>
    </row>
    <row r="906" spans="17:22">
      <c r="Q906" s="62"/>
    </row>
    <row r="907" spans="17:22">
      <c r="Q907" s="62"/>
    </row>
    <row r="908" spans="17:22">
      <c r="Q908" s="62"/>
    </row>
    <row r="909" spans="17:22">
      <c r="Q909" s="62"/>
    </row>
    <row r="910" spans="17:22">
      <c r="Q910" s="62"/>
    </row>
    <row r="911" spans="17:22">
      <c r="Q911" s="62"/>
    </row>
    <row r="912" spans="17:22">
      <c r="Q912" s="62"/>
    </row>
    <row r="913" spans="11:18">
      <c r="Q913" s="62"/>
    </row>
    <row r="914" spans="11:18">
      <c r="Q914" s="62"/>
    </row>
    <row r="915" spans="11:18">
      <c r="Q915" s="62"/>
    </row>
    <row r="916" spans="11:18">
      <c r="Q916" s="62"/>
    </row>
    <row r="917" spans="11:18">
      <c r="K917" s="106"/>
      <c r="Q917" s="62"/>
    </row>
    <row r="918" spans="11:18">
      <c r="K918" s="106"/>
      <c r="Q918" s="62"/>
    </row>
    <row r="919" spans="11:18">
      <c r="K919" s="106"/>
      <c r="Q919" s="62"/>
    </row>
    <row r="920" spans="11:18">
      <c r="K920" s="106"/>
      <c r="Q920" s="62"/>
    </row>
    <row r="921" spans="11:18">
      <c r="Q921" s="62"/>
    </row>
    <row r="922" spans="11:18">
      <c r="Q922" s="62"/>
    </row>
    <row r="923" spans="11:18">
      <c r="Q923" s="62"/>
    </row>
    <row r="924" spans="11:18">
      <c r="Q924" s="62"/>
    </row>
    <row r="925" spans="11:18">
      <c r="Q925" s="62"/>
    </row>
    <row r="926" spans="11:18">
      <c r="Q926" s="62"/>
      <c r="R926" s="94"/>
    </row>
    <row r="927" spans="11:18">
      <c r="Q927" s="62"/>
      <c r="R927" s="92"/>
    </row>
    <row r="928" spans="11:18">
      <c r="Q928" s="62"/>
    </row>
    <row r="929" spans="11:18">
      <c r="K929" s="106"/>
      <c r="O929" s="133"/>
      <c r="Q929" s="62"/>
    </row>
    <row r="930" spans="11:18">
      <c r="K930" s="106"/>
      <c r="O930" s="133"/>
      <c r="Q930" s="62"/>
    </row>
    <row r="931" spans="11:18">
      <c r="Q931" s="62"/>
    </row>
    <row r="932" spans="11:18">
      <c r="Q932" s="62"/>
    </row>
    <row r="933" spans="11:18">
      <c r="Q933" s="62"/>
    </row>
    <row r="934" spans="11:18">
      <c r="Q934" s="62"/>
    </row>
    <row r="935" spans="11:18">
      <c r="Q935" s="62"/>
      <c r="R935" s="94"/>
    </row>
    <row r="936" spans="11:18">
      <c r="Q936" s="62"/>
      <c r="R936" s="95"/>
    </row>
    <row r="937" spans="11:18">
      <c r="Q937" s="62"/>
      <c r="R937" s="92"/>
    </row>
    <row r="938" spans="11:18">
      <c r="Q938" s="62"/>
    </row>
    <row r="939" spans="11:18">
      <c r="Q939" s="62"/>
    </row>
    <row r="940" spans="11:18">
      <c r="Q940" s="62"/>
    </row>
    <row r="941" spans="11:18">
      <c r="Q941" s="62"/>
    </row>
    <row r="942" spans="11:18">
      <c r="Q942" s="62"/>
    </row>
    <row r="943" spans="11:18">
      <c r="Q943" s="62"/>
    </row>
    <row r="944" spans="11:18">
      <c r="Q944" s="62"/>
    </row>
    <row r="945" spans="15:18">
      <c r="O945" s="90"/>
      <c r="Q945" s="62"/>
    </row>
    <row r="946" spans="15:18">
      <c r="O946" s="90"/>
      <c r="Q946" s="62"/>
    </row>
    <row r="947" spans="15:18">
      <c r="Q947" s="62"/>
      <c r="R947" s="94"/>
    </row>
    <row r="948" spans="15:18">
      <c r="Q948" s="62"/>
      <c r="R948" s="92"/>
    </row>
    <row r="949" spans="15:18">
      <c r="Q949" s="62"/>
    </row>
    <row r="950" spans="15:18">
      <c r="Q950" s="62"/>
    </row>
    <row r="951" spans="15:18">
      <c r="Q951" s="62"/>
    </row>
    <row r="952" spans="15:18">
      <c r="Q952" s="62"/>
    </row>
    <row r="953" spans="15:18">
      <c r="Q953" s="62"/>
    </row>
    <row r="954" spans="15:18">
      <c r="Q954" s="62"/>
    </row>
    <row r="955" spans="15:18">
      <c r="Q955" s="62"/>
    </row>
    <row r="956" spans="15:18">
      <c r="Q956" s="62"/>
    </row>
    <row r="957" spans="15:18">
      <c r="Q957" s="62"/>
    </row>
    <row r="958" spans="15:18">
      <c r="Q958" s="62"/>
      <c r="R958" s="94"/>
    </row>
    <row r="959" spans="15:18">
      <c r="Q959" s="62"/>
      <c r="R959" s="92"/>
    </row>
    <row r="960" spans="15:18">
      <c r="Q960" s="62"/>
    </row>
    <row r="961" spans="9:18">
      <c r="Q961" s="62"/>
    </row>
    <row r="962" spans="9:18">
      <c r="Q962" s="62"/>
    </row>
    <row r="963" spans="9:18">
      <c r="Q963" s="62"/>
    </row>
    <row r="964" spans="9:18">
      <c r="Q964" s="62"/>
    </row>
    <row r="965" spans="9:18">
      <c r="Q965" s="62"/>
    </row>
    <row r="966" spans="9:18">
      <c r="Q966" s="62"/>
    </row>
    <row r="967" spans="9:18">
      <c r="Q967" s="62"/>
      <c r="R967" s="94"/>
    </row>
    <row r="968" spans="9:18">
      <c r="Q968" s="62"/>
      <c r="R968" s="92"/>
    </row>
    <row r="969" spans="9:18">
      <c r="Q969" s="62"/>
      <c r="R969" s="94"/>
    </row>
    <row r="970" spans="9:18">
      <c r="Q970" s="62"/>
      <c r="R970" s="92"/>
    </row>
    <row r="971" spans="9:18">
      <c r="Q971" s="62"/>
      <c r="R971" s="94"/>
    </row>
    <row r="972" spans="9:18">
      <c r="I972" s="136"/>
      <c r="Q972" s="62"/>
      <c r="R972" s="92"/>
    </row>
    <row r="973" spans="9:18">
      <c r="Q973" s="62"/>
      <c r="R973" s="94"/>
    </row>
    <row r="974" spans="9:18">
      <c r="Q974" s="62"/>
      <c r="R974" s="92"/>
    </row>
    <row r="975" spans="9:18">
      <c r="Q975" s="62"/>
      <c r="R975" s="94"/>
    </row>
    <row r="976" spans="9:18">
      <c r="Q976" s="62"/>
      <c r="R976" s="92"/>
    </row>
    <row r="977" spans="17:18">
      <c r="Q977" s="62"/>
      <c r="R977" s="94"/>
    </row>
    <row r="978" spans="17:18">
      <c r="Q978" s="62"/>
      <c r="R978" s="92"/>
    </row>
    <row r="979" spans="17:18">
      <c r="Q979" s="62"/>
      <c r="R979" s="94"/>
    </row>
    <row r="980" spans="17:18">
      <c r="Q980" s="62"/>
      <c r="R980" s="92"/>
    </row>
    <row r="981" spans="17:18">
      <c r="Q981" s="62"/>
    </row>
    <row r="982" spans="17:18">
      <c r="Q982" s="62"/>
    </row>
    <row r="983" spans="17:18">
      <c r="Q983" s="62"/>
    </row>
    <row r="984" spans="17:18">
      <c r="Q984" s="62"/>
    </row>
    <row r="985" spans="17:18">
      <c r="Q985" s="62"/>
    </row>
    <row r="986" spans="17:18">
      <c r="Q986" s="62"/>
    </row>
    <row r="987" spans="17:18">
      <c r="Q987" s="62"/>
    </row>
    <row r="988" spans="17:18">
      <c r="Q988" s="62"/>
    </row>
    <row r="989" spans="17:18">
      <c r="Q989" s="62"/>
    </row>
    <row r="990" spans="17:18">
      <c r="Q990" s="62"/>
    </row>
    <row r="991" spans="17:18">
      <c r="Q991" s="62"/>
    </row>
    <row r="992" spans="17:18">
      <c r="Q992" s="62"/>
      <c r="R992" s="94"/>
    </row>
    <row r="993" spans="17:17">
      <c r="Q993" s="62"/>
    </row>
    <row r="994" spans="17:17">
      <c r="Q994" s="62"/>
    </row>
    <row r="995" spans="17:17">
      <c r="Q995" s="62"/>
    </row>
    <row r="996" spans="17:17">
      <c r="Q996" s="62"/>
    </row>
    <row r="997" spans="17:17">
      <c r="Q997" s="62"/>
    </row>
    <row r="998" spans="17:17">
      <c r="Q998" s="62"/>
    </row>
    <row r="999" spans="17:17">
      <c r="Q999" s="62"/>
    </row>
    <row r="1000" spans="17:17">
      <c r="Q1000" s="62"/>
    </row>
    <row r="1001" spans="17:17">
      <c r="Q1001" s="62"/>
    </row>
    <row r="1002" spans="17:17">
      <c r="Q1002" s="62"/>
    </row>
    <row r="1003" spans="17:17">
      <c r="Q1003" s="62"/>
    </row>
    <row r="1004" spans="17:17">
      <c r="Q1004" s="62"/>
    </row>
    <row r="1005" spans="17:17">
      <c r="Q1005" s="62"/>
    </row>
    <row r="1006" spans="17:17">
      <c r="Q1006" s="62"/>
    </row>
    <row r="1007" spans="17:17">
      <c r="Q1007" s="62"/>
    </row>
    <row r="1008" spans="17:17">
      <c r="Q1008" s="62"/>
    </row>
    <row r="1009" spans="15:17">
      <c r="Q1009" s="62"/>
    </row>
    <row r="1010" spans="15:17">
      <c r="Q1010" s="62"/>
    </row>
    <row r="1011" spans="15:17">
      <c r="Q1011" s="62"/>
    </row>
    <row r="1012" spans="15:17">
      <c r="Q1012" s="62"/>
    </row>
    <row r="1013" spans="15:17">
      <c r="Q1013" s="62"/>
    </row>
    <row r="1014" spans="15:17">
      <c r="O1014" s="86"/>
      <c r="Q1014" s="62"/>
    </row>
    <row r="1015" spans="15:17">
      <c r="O1015" s="86"/>
      <c r="Q1015" s="62"/>
    </row>
    <row r="1016" spans="15:17">
      <c r="O1016" s="86"/>
      <c r="Q1016" s="62"/>
    </row>
    <row r="1017" spans="15:17">
      <c r="O1017" s="86"/>
      <c r="Q1017" s="62"/>
    </row>
    <row r="1018" spans="15:17">
      <c r="O1018" s="86"/>
      <c r="Q1018" s="62"/>
    </row>
    <row r="1019" spans="15:17">
      <c r="Q1019" s="62"/>
    </row>
    <row r="1020" spans="15:17">
      <c r="Q1020" s="62"/>
    </row>
    <row r="1021" spans="15:17">
      <c r="Q1021" s="62"/>
    </row>
    <row r="1022" spans="15:17">
      <c r="Q1022" s="62"/>
    </row>
    <row r="1023" spans="15:17">
      <c r="Q1023" s="62"/>
    </row>
    <row r="1024" spans="15:17">
      <c r="Q1024" s="62"/>
    </row>
    <row r="1025" spans="11:17">
      <c r="Q1025" s="62"/>
    </row>
    <row r="1026" spans="11:17">
      <c r="Q1026" s="62"/>
    </row>
    <row r="1027" spans="11:17">
      <c r="Q1027" s="62"/>
    </row>
    <row r="1028" spans="11:17">
      <c r="Q1028" s="62"/>
    </row>
    <row r="1029" spans="11:17">
      <c r="Q1029" s="62"/>
    </row>
    <row r="1030" spans="11:17">
      <c r="Q1030" s="62"/>
    </row>
    <row r="1031" spans="11:17">
      <c r="Q1031" s="62"/>
    </row>
    <row r="1032" spans="11:17">
      <c r="Q1032" s="62"/>
    </row>
    <row r="1033" spans="11:17">
      <c r="Q1033" s="62"/>
    </row>
    <row r="1034" spans="11:17">
      <c r="Q1034" s="62"/>
    </row>
    <row r="1035" spans="11:17">
      <c r="K1035" s="106"/>
      <c r="O1035" s="133"/>
      <c r="Q1035" s="62"/>
    </row>
    <row r="1036" spans="11:17">
      <c r="K1036" s="106"/>
      <c r="O1036" s="133"/>
      <c r="Q1036" s="62"/>
    </row>
    <row r="1037" spans="11:17">
      <c r="K1037" s="106"/>
      <c r="Q1037" s="62"/>
    </row>
    <row r="1038" spans="11:17">
      <c r="K1038" s="106"/>
      <c r="Q1038" s="62"/>
    </row>
    <row r="1039" spans="11:17">
      <c r="K1039" s="106"/>
      <c r="Q1039" s="62"/>
    </row>
    <row r="1040" spans="11:17">
      <c r="K1040" s="106"/>
      <c r="Q1040" s="62"/>
    </row>
    <row r="1041" spans="11:17">
      <c r="Q1041" s="62"/>
    </row>
    <row r="1042" spans="11:17">
      <c r="Q1042" s="62"/>
    </row>
    <row r="1043" spans="11:17">
      <c r="Q1043" s="62"/>
    </row>
    <row r="1044" spans="11:17">
      <c r="Q1044" s="62"/>
    </row>
    <row r="1045" spans="11:17">
      <c r="Q1045" s="62"/>
    </row>
    <row r="1046" spans="11:17">
      <c r="Q1046" s="62"/>
    </row>
    <row r="1047" spans="11:17">
      <c r="Q1047" s="62"/>
    </row>
    <row r="1048" spans="11:17">
      <c r="Q1048" s="62"/>
    </row>
    <row r="1049" spans="11:17">
      <c r="Q1049" s="62"/>
    </row>
    <row r="1050" spans="11:17">
      <c r="Q1050" s="62"/>
    </row>
    <row r="1051" spans="11:17">
      <c r="K1051" s="137"/>
      <c r="Q1051" s="62"/>
    </row>
    <row r="1052" spans="11:17">
      <c r="K1052" s="137"/>
      <c r="Q1052" s="62"/>
    </row>
    <row r="1053" spans="11:17">
      <c r="K1053" s="137"/>
      <c r="Q1053" s="62"/>
    </row>
    <row r="1054" spans="11:17">
      <c r="Q1054" s="62"/>
    </row>
    <row r="1055" spans="11:17">
      <c r="Q1055" s="62"/>
    </row>
    <row r="1056" spans="11:17">
      <c r="Q1056" s="62"/>
    </row>
    <row r="1057" spans="11:17">
      <c r="Q1057" s="62"/>
    </row>
    <row r="1058" spans="11:17">
      <c r="Q1058" s="62"/>
    </row>
    <row r="1059" spans="11:17">
      <c r="Q1059" s="62"/>
    </row>
    <row r="1060" spans="11:17">
      <c r="Q1060" s="62"/>
    </row>
    <row r="1061" spans="11:17">
      <c r="Q1061" s="62"/>
    </row>
    <row r="1062" spans="11:17">
      <c r="Q1062" s="62"/>
    </row>
    <row r="1063" spans="11:17">
      <c r="Q1063" s="62"/>
    </row>
    <row r="1064" spans="11:17">
      <c r="Q1064" s="62"/>
    </row>
    <row r="1065" spans="11:17">
      <c r="Q1065" s="62"/>
    </row>
    <row r="1066" spans="11:17">
      <c r="Q1066" s="62"/>
    </row>
    <row r="1067" spans="11:17">
      <c r="Q1067" s="62"/>
    </row>
    <row r="1068" spans="11:17">
      <c r="Q1068" s="62"/>
    </row>
    <row r="1069" spans="11:17">
      <c r="Q1069" s="62"/>
    </row>
    <row r="1070" spans="11:17">
      <c r="Q1070" s="62"/>
    </row>
    <row r="1071" spans="11:17">
      <c r="K1071" s="106"/>
      <c r="Q1071" s="62"/>
    </row>
    <row r="1072" spans="11:17">
      <c r="K1072" s="106"/>
      <c r="Q1072" s="62"/>
    </row>
    <row r="1073" spans="8:18">
      <c r="K1073" s="106"/>
      <c r="Q1073" s="62"/>
    </row>
    <row r="1074" spans="8:18">
      <c r="Q1074" s="62"/>
      <c r="R1074" s="94"/>
    </row>
    <row r="1075" spans="8:18">
      <c r="Q1075" s="62"/>
      <c r="R1075" s="92"/>
    </row>
    <row r="1076" spans="8:18">
      <c r="Q1076" s="62"/>
    </row>
    <row r="1077" spans="8:18">
      <c r="Q1077" s="62"/>
    </row>
    <row r="1078" spans="8:18">
      <c r="Q1078" s="62"/>
    </row>
    <row r="1079" spans="8:18">
      <c r="Q1079" s="62"/>
    </row>
    <row r="1080" spans="8:18">
      <c r="Q1080" s="62"/>
    </row>
    <row r="1081" spans="8:18">
      <c r="H1081" s="105"/>
      <c r="Q1081" s="62"/>
    </row>
    <row r="1082" spans="8:18">
      <c r="Q1082" s="62"/>
    </row>
    <row r="1083" spans="8:18">
      <c r="Q1083" s="62"/>
      <c r="R1083" s="94"/>
    </row>
    <row r="1084" spans="8:18">
      <c r="Q1084" s="62"/>
      <c r="R1084" s="92"/>
    </row>
    <row r="1085" spans="8:18">
      <c r="Q1085" s="62"/>
    </row>
    <row r="1086" spans="8:18">
      <c r="Q1086" s="62"/>
    </row>
    <row r="1087" spans="8:18">
      <c r="Q1087" s="62"/>
    </row>
    <row r="1088" spans="8:18">
      <c r="Q1088" s="62"/>
    </row>
    <row r="1089" spans="17:17">
      <c r="Q1089" s="62"/>
    </row>
    <row r="1090" spans="17:17">
      <c r="Q1090" s="62"/>
    </row>
    <row r="1091" spans="17:17">
      <c r="Q1091" s="62"/>
    </row>
    <row r="1092" spans="17:17">
      <c r="Q1092" s="62"/>
    </row>
    <row r="1093" spans="17:17">
      <c r="Q1093" s="62"/>
    </row>
    <row r="1094" spans="17:17">
      <c r="Q1094" s="62"/>
    </row>
    <row r="1095" spans="17:17">
      <c r="Q1095" s="62"/>
    </row>
    <row r="1096" spans="17:17">
      <c r="Q1096" s="62"/>
    </row>
    <row r="1097" spans="17:17">
      <c r="Q1097" s="62"/>
    </row>
    <row r="1098" spans="17:17">
      <c r="Q1098" s="62"/>
    </row>
    <row r="1099" spans="17:17">
      <c r="Q1099" s="62"/>
    </row>
    <row r="1100" spans="17:17">
      <c r="Q1100" s="62"/>
    </row>
    <row r="1101" spans="17:17">
      <c r="Q1101" s="62"/>
    </row>
    <row r="1102" spans="17:17">
      <c r="Q1102" s="62"/>
    </row>
    <row r="1103" spans="17:17">
      <c r="Q1103" s="62"/>
    </row>
    <row r="1104" spans="17:17">
      <c r="Q1104" s="62"/>
    </row>
    <row r="1105" spans="1:19">
      <c r="K1105" s="130"/>
      <c r="O1105" s="138"/>
      <c r="Q1105" s="62"/>
    </row>
    <row r="1106" spans="1:19">
      <c r="Q1106" s="62"/>
    </row>
    <row r="1107" spans="1:19">
      <c r="K1107" s="130"/>
      <c r="O1107" s="138"/>
      <c r="Q1107" s="62"/>
    </row>
    <row r="1108" spans="1:19">
      <c r="Q1108" s="62"/>
    </row>
    <row r="1109" spans="1:19">
      <c r="K1109" s="130"/>
      <c r="O1109" s="138"/>
      <c r="Q1109" s="62"/>
    </row>
    <row r="1110" spans="1:19">
      <c r="Q1110" s="62"/>
    </row>
    <row r="1111" spans="1:19">
      <c r="Q1111" s="62"/>
    </row>
    <row r="1112" spans="1:19">
      <c r="Q1112" s="62"/>
    </row>
    <row r="1113" spans="1:19">
      <c r="Q1113" s="62"/>
    </row>
    <row r="1114" spans="1:19">
      <c r="Q1114" s="62"/>
    </row>
    <row r="1115" spans="1:19">
      <c r="Q1115" s="62"/>
    </row>
    <row r="1116" s="58" customFormat="1" spans="1:19">
      <c r="A1116" s="61"/>
      <c r="B1116" s="62"/>
      <c r="C1116" s="63"/>
      <c r="D1116" s="63"/>
      <c r="E1116" s="64"/>
      <c r="F1116" s="64"/>
      <c r="G1116" s="62"/>
      <c r="H1116" s="62"/>
      <c r="I1116" s="62"/>
      <c r="J1116" s="62"/>
      <c r="K1116" s="65"/>
      <c r="L1116" s="65"/>
      <c r="M1116" s="62"/>
      <c r="N1116" s="62"/>
      <c r="O1116" s="66"/>
      <c r="P1116" s="62"/>
      <c r="Q1116" s="62"/>
      <c r="R1116" s="62"/>
      <c r="S1116" s="62"/>
    </row>
    <row r="1117" s="58" customFormat="1" spans="1:19">
      <c r="A1117" s="61"/>
      <c r="B1117" s="62"/>
      <c r="C1117" s="63"/>
      <c r="D1117" s="63"/>
      <c r="E1117" s="64"/>
      <c r="F1117" s="64"/>
      <c r="G1117" s="62"/>
      <c r="H1117" s="62"/>
      <c r="I1117" s="62"/>
      <c r="J1117" s="62"/>
      <c r="K1117" s="65"/>
      <c r="L1117" s="65"/>
      <c r="M1117" s="62"/>
      <c r="N1117" s="62"/>
      <c r="O1117" s="66"/>
      <c r="P1117" s="62"/>
      <c r="Q1117" s="62"/>
      <c r="R1117" s="62"/>
      <c r="S1117" s="62"/>
    </row>
    <row r="1118" s="58" customFormat="1" spans="1:19">
      <c r="A1118" s="61"/>
      <c r="B1118" s="62"/>
      <c r="C1118" s="63"/>
      <c r="D1118" s="63"/>
      <c r="E1118" s="64"/>
      <c r="F1118" s="64"/>
      <c r="G1118" s="62"/>
      <c r="H1118" s="62"/>
      <c r="I1118" s="62"/>
      <c r="J1118" s="62"/>
      <c r="K1118" s="65"/>
      <c r="L1118" s="65"/>
      <c r="M1118" s="62"/>
      <c r="N1118" s="62"/>
      <c r="O1118" s="66"/>
      <c r="P1118" s="62"/>
      <c r="Q1118" s="62"/>
      <c r="R1118" s="62"/>
      <c r="S1118" s="62"/>
    </row>
    <row r="1119" s="58" customFormat="1" spans="1:19">
      <c r="A1119" s="61"/>
      <c r="B1119" s="62"/>
      <c r="C1119" s="63"/>
      <c r="D1119" s="63"/>
      <c r="E1119" s="64"/>
      <c r="F1119" s="64"/>
      <c r="G1119" s="62"/>
      <c r="H1119" s="62"/>
      <c r="I1119" s="62"/>
      <c r="J1119" s="62"/>
      <c r="K1119" s="65"/>
      <c r="L1119" s="65"/>
      <c r="M1119" s="62"/>
      <c r="N1119" s="62"/>
      <c r="O1119" s="66"/>
      <c r="P1119" s="62"/>
      <c r="Q1119" s="62"/>
      <c r="R1119" s="62"/>
      <c r="S1119" s="62"/>
    </row>
    <row r="1120" s="58" customFormat="1" spans="1:19">
      <c r="A1120" s="61"/>
      <c r="B1120" s="62"/>
      <c r="C1120" s="63"/>
      <c r="D1120" s="63"/>
      <c r="E1120" s="64"/>
      <c r="F1120" s="64"/>
      <c r="G1120" s="62"/>
      <c r="H1120" s="62"/>
      <c r="I1120" s="62"/>
      <c r="J1120" s="62"/>
      <c r="K1120" s="65"/>
      <c r="L1120" s="65"/>
      <c r="M1120" s="62"/>
      <c r="N1120" s="62"/>
      <c r="O1120" s="66"/>
      <c r="P1120" s="62"/>
      <c r="Q1120" s="62"/>
      <c r="R1120" s="62"/>
      <c r="S1120" s="62"/>
    </row>
    <row r="1121" s="58" customFormat="1" spans="1:19">
      <c r="A1121" s="61"/>
      <c r="B1121" s="62"/>
      <c r="C1121" s="63"/>
      <c r="D1121" s="63"/>
      <c r="E1121" s="64"/>
      <c r="F1121" s="64"/>
      <c r="G1121" s="62"/>
      <c r="H1121" s="62"/>
      <c r="I1121" s="62"/>
      <c r="J1121" s="62"/>
      <c r="K1121" s="65"/>
      <c r="L1121" s="65"/>
      <c r="M1121" s="62"/>
      <c r="N1121" s="62"/>
      <c r="O1121" s="66"/>
      <c r="P1121" s="62"/>
      <c r="Q1121" s="62"/>
      <c r="R1121" s="62"/>
      <c r="S1121" s="62"/>
    </row>
    <row r="1122" s="58" customFormat="1" spans="1:19">
      <c r="A1122" s="61"/>
      <c r="B1122" s="62"/>
      <c r="C1122" s="63"/>
      <c r="D1122" s="63"/>
      <c r="E1122" s="64"/>
      <c r="F1122" s="64"/>
      <c r="G1122" s="62"/>
      <c r="H1122" s="62"/>
      <c r="I1122" s="62"/>
      <c r="J1122" s="62"/>
      <c r="K1122" s="65"/>
      <c r="L1122" s="65"/>
      <c r="M1122" s="62"/>
      <c r="N1122" s="62"/>
      <c r="O1122" s="66"/>
      <c r="P1122" s="62"/>
      <c r="Q1122" s="62"/>
      <c r="R1122" s="62"/>
      <c r="S1122" s="62"/>
    </row>
    <row r="1123" s="58" customFormat="1" spans="1:19">
      <c r="A1123" s="61"/>
      <c r="B1123" s="62"/>
      <c r="C1123" s="63"/>
      <c r="D1123" s="63"/>
      <c r="E1123" s="64"/>
      <c r="F1123" s="64"/>
      <c r="G1123" s="62"/>
      <c r="H1123" s="62"/>
      <c r="I1123" s="62"/>
      <c r="J1123" s="62"/>
      <c r="K1123" s="65"/>
      <c r="L1123" s="65"/>
      <c r="M1123" s="62"/>
      <c r="N1123" s="62"/>
      <c r="O1123" s="66"/>
      <c r="P1123" s="62"/>
      <c r="Q1123" s="62"/>
      <c r="R1123" s="62"/>
      <c r="S1123" s="62"/>
    </row>
    <row r="1124" s="58" customFormat="1" spans="1:19">
      <c r="A1124" s="61"/>
      <c r="B1124" s="62"/>
      <c r="C1124" s="63"/>
      <c r="D1124" s="63"/>
      <c r="E1124" s="64"/>
      <c r="F1124" s="64"/>
      <c r="G1124" s="62"/>
      <c r="H1124" s="62"/>
      <c r="I1124" s="62"/>
      <c r="J1124" s="62"/>
      <c r="K1124" s="65"/>
      <c r="L1124" s="65"/>
      <c r="M1124" s="62"/>
      <c r="N1124" s="62"/>
      <c r="O1124" s="66"/>
      <c r="P1124" s="62"/>
      <c r="Q1124" s="62"/>
      <c r="R1124" s="62"/>
      <c r="S1124" s="62"/>
    </row>
    <row r="1125" s="58" customFormat="1" spans="1:19">
      <c r="A1125" s="61"/>
      <c r="B1125" s="62"/>
      <c r="C1125" s="63"/>
      <c r="D1125" s="63"/>
      <c r="E1125" s="64"/>
      <c r="F1125" s="64"/>
      <c r="G1125" s="62"/>
      <c r="H1125" s="62"/>
      <c r="I1125" s="62"/>
      <c r="J1125" s="62"/>
      <c r="K1125" s="65"/>
      <c r="L1125" s="65"/>
      <c r="M1125" s="62"/>
      <c r="N1125" s="62"/>
      <c r="O1125" s="66"/>
      <c r="P1125" s="62"/>
      <c r="Q1125" s="62"/>
      <c r="R1125" s="62"/>
      <c r="S1125" s="62"/>
    </row>
    <row r="1126" s="58" customFormat="1" spans="1:19">
      <c r="A1126" s="61"/>
      <c r="B1126" s="62"/>
      <c r="C1126" s="63"/>
      <c r="D1126" s="63"/>
      <c r="E1126" s="64"/>
      <c r="F1126" s="64"/>
      <c r="G1126" s="62"/>
      <c r="H1126" s="62"/>
      <c r="I1126" s="62"/>
      <c r="J1126" s="62"/>
      <c r="K1126" s="65"/>
      <c r="L1126" s="65"/>
      <c r="M1126" s="62"/>
      <c r="N1126" s="62"/>
      <c r="O1126" s="66"/>
      <c r="P1126" s="62"/>
      <c r="Q1126" s="62"/>
      <c r="R1126" s="62"/>
      <c r="S1126" s="62"/>
    </row>
    <row r="1127" s="58" customFormat="1" spans="1:19">
      <c r="A1127" s="61"/>
      <c r="B1127" s="62"/>
      <c r="C1127" s="63"/>
      <c r="D1127" s="63"/>
      <c r="E1127" s="64"/>
      <c r="F1127" s="64"/>
      <c r="G1127" s="62"/>
      <c r="H1127" s="62"/>
      <c r="I1127" s="62"/>
      <c r="J1127" s="62"/>
      <c r="K1127" s="65"/>
      <c r="L1127" s="65"/>
      <c r="M1127" s="62"/>
      <c r="N1127" s="62"/>
      <c r="O1127" s="66"/>
      <c r="P1127" s="62"/>
      <c r="Q1127" s="62"/>
      <c r="R1127" s="62"/>
      <c r="S1127" s="62"/>
    </row>
    <row r="1128" spans="1:19">
      <c r="Q1128" s="62"/>
      <c r="R1128" s="61"/>
    </row>
    <row r="1129" spans="1:19">
      <c r="Q1129" s="62"/>
      <c r="R1129" s="61"/>
    </row>
    <row r="1130" spans="1:19">
      <c r="Q1130" s="62"/>
    </row>
    <row r="1131" spans="1:19">
      <c r="Q1131" s="62"/>
    </row>
    <row r="1132" spans="1:19">
      <c r="Q1132" s="62"/>
    </row>
    <row r="1133" spans="1:19">
      <c r="Q1133" s="62"/>
    </row>
    <row r="1134" spans="1:19">
      <c r="Q1134" s="62"/>
    </row>
    <row r="1135" spans="1:19">
      <c r="Q1135" s="62"/>
      <c r="R1135" s="94"/>
    </row>
    <row r="1136" spans="1:19">
      <c r="R1136" s="92"/>
    </row>
    <row r="1137" spans="11:18">
      <c r="R1137" s="94"/>
    </row>
    <row r="1138" spans="11:18">
      <c r="R1138" s="92"/>
    </row>
    <row r="1142" spans="11:18">
      <c r="K1142" s="106"/>
      <c r="O1142" s="107"/>
    </row>
    <row r="1144" spans="11:18">
      <c r="R1144" s="94"/>
    </row>
    <row r="1145" spans="11:18">
      <c r="R1145" s="92"/>
    </row>
    <row r="1146" spans="11:18">
      <c r="R1146" s="94"/>
    </row>
    <row r="1147" spans="11:18">
      <c r="R1147" s="92"/>
    </row>
    <row r="1150" spans="11:18">
      <c r="K1150" s="106"/>
    </row>
    <row r="1151" spans="11:18">
      <c r="K1151" s="106"/>
    </row>
    <row r="1156" spans="11:18">
      <c r="K1156" s="84"/>
      <c r="O1156" s="133"/>
    </row>
    <row r="1157" spans="11:18">
      <c r="R1157" s="94"/>
    </row>
    <row r="1158" spans="11:18">
      <c r="R1158" s="92"/>
    </row>
    <row r="1159" spans="11:18">
      <c r="K1159" s="84"/>
      <c r="O1159" s="133"/>
    </row>
    <row r="1162" spans="11:18">
      <c r="K1162" s="106"/>
      <c r="O1162" s="107"/>
    </row>
    <row r="1163" spans="11:18">
      <c r="K1163" s="106"/>
      <c r="O1163" s="107"/>
    </row>
    <row r="1166" customHeight="1"/>
    <row r="1176" spans="18:18">
      <c r="R1176" s="94"/>
    </row>
    <row r="1177" spans="18:18">
      <c r="R1177" s="92"/>
    </row>
    <row r="1178" spans="18:18">
      <c r="R1178" s="94"/>
    </row>
    <row r="1179" spans="18:18">
      <c r="R1179" s="92"/>
    </row>
    <row r="1180" spans="18:18">
      <c r="R1180" s="94"/>
    </row>
    <row r="1181" spans="18:18">
      <c r="R1181" s="92"/>
    </row>
    <row r="1203" spans="11:18">
      <c r="K1203" s="106"/>
      <c r="O1203" s="107"/>
    </row>
    <row r="1206" spans="11:18">
      <c r="R1206" s="94"/>
    </row>
    <row r="1207" spans="11:18">
      <c r="R1207" s="92"/>
    </row>
    <row r="1208" spans="11:18">
      <c r="R1208" s="94"/>
    </row>
    <row r="1209" spans="11:18">
      <c r="R1209" s="92"/>
    </row>
    <row r="1210" spans="11:18">
      <c r="R1210" s="94"/>
    </row>
    <row r="1211" spans="11:18">
      <c r="R1211" s="92"/>
    </row>
    <row r="1212" spans="11:18">
      <c r="R1212" s="94"/>
    </row>
    <row r="1213" spans="11:18">
      <c r="R1213" s="92"/>
    </row>
    <row r="1214" spans="11:18">
      <c r="R1214" s="94"/>
    </row>
    <row r="1215" spans="11:18">
      <c r="R1215" s="92"/>
    </row>
    <row r="1216" spans="11:18">
      <c r="R1216" s="94"/>
    </row>
    <row r="1217" spans="11:18">
      <c r="R1217" s="92"/>
    </row>
    <row r="1218" spans="11:18">
      <c r="R1218" s="94"/>
    </row>
    <row r="1219" spans="11:18">
      <c r="R1219" s="92"/>
    </row>
    <row r="1221" spans="11:18">
      <c r="R1221" s="94"/>
    </row>
    <row r="1222" spans="11:18">
      <c r="R1222" s="92"/>
    </row>
    <row r="1225" spans="11:18">
      <c r="K1225" s="106"/>
      <c r="O1225" s="133"/>
    </row>
    <row r="1228" spans="11:18">
      <c r="K1228" s="106"/>
      <c r="O1228" s="133"/>
    </row>
    <row r="1235" spans="8:18">
      <c r="R1235" s="94"/>
    </row>
    <row r="1236" spans="8:18">
      <c r="R1236" s="92"/>
    </row>
    <row r="1238" spans="8:18">
      <c r="H1238" s="61"/>
      <c r="I1238" s="61"/>
      <c r="K1238" s="106"/>
      <c r="O1238" s="107"/>
    </row>
    <row r="1239" spans="8:18">
      <c r="I1239" s="61"/>
    </row>
    <row r="1242" spans="8:18">
      <c r="R1242" s="94"/>
    </row>
    <row r="1243" spans="8:18">
      <c r="R1243" s="92"/>
    </row>
    <row r="1244" spans="8:18">
      <c r="K1244" s="106"/>
      <c r="O1244" s="133"/>
    </row>
    <row r="1245" spans="8:18">
      <c r="K1245" s="106"/>
      <c r="O1245" s="133"/>
    </row>
    <row r="1250" spans="1:19">
      <c r="G1250" s="105"/>
    </row>
    <row r="1251" spans="1:19">
      <c r="R1251" s="94"/>
    </row>
    <row r="1252" spans="1:19">
      <c r="R1252" s="92"/>
    </row>
    <row r="1254" s="60" customFormat="1" spans="1:19">
      <c r="A1254" s="61"/>
      <c r="B1254" s="62"/>
      <c r="C1254" s="63"/>
      <c r="D1254" s="63"/>
      <c r="E1254" s="64"/>
      <c r="F1254" s="64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12"/>
    </row>
    <row r="1255" spans="1:19">
      <c r="K1255" s="62"/>
      <c r="L1255" s="62"/>
      <c r="O1255" s="62"/>
      <c r="Q1255" s="62"/>
    </row>
    <row r="1256" spans="1:19">
      <c r="K1256" s="62"/>
      <c r="L1256" s="62"/>
    </row>
    <row r="1257" spans="1:19">
      <c r="L1257" s="62"/>
    </row>
    <row r="1258" spans="1:19">
      <c r="L1258" s="62"/>
    </row>
    <row r="1259" spans="1:19">
      <c r="L1259" s="62"/>
    </row>
    <row r="1260" spans="1:19">
      <c r="L1260" s="62"/>
    </row>
    <row r="1261" spans="1:19">
      <c r="L1261" s="62"/>
    </row>
    <row r="1262" spans="1:19">
      <c r="L1262" s="62"/>
    </row>
    <row r="1263" spans="1:19">
      <c r="L1263" s="62"/>
    </row>
    <row r="1264" spans="1:19">
      <c r="L1264" s="62"/>
    </row>
    <row r="1265" spans="1:19">
      <c r="L1265" s="62"/>
    </row>
    <row r="1266" s="60" customFormat="1" spans="1:19">
      <c r="A1266" s="61"/>
      <c r="B1266" s="62"/>
      <c r="C1266" s="63"/>
      <c r="D1266" s="63"/>
      <c r="E1266" s="64"/>
      <c r="F1266" s="64"/>
      <c r="G1266" s="62"/>
      <c r="H1266" s="62"/>
      <c r="I1266" s="62"/>
      <c r="J1266" s="62"/>
      <c r="K1266" s="65"/>
      <c r="L1266" s="62"/>
      <c r="M1266" s="62"/>
      <c r="N1266" s="62"/>
      <c r="O1266" s="66"/>
      <c r="P1266" s="62"/>
      <c r="Q1266" s="84"/>
      <c r="R1266" s="62"/>
      <c r="S1266" s="12"/>
    </row>
    <row r="1267" spans="1:19">
      <c r="L1267" s="62"/>
    </row>
    <row r="1268" spans="1:19">
      <c r="L1268" s="62"/>
    </row>
    <row r="1269" spans="1:19">
      <c r="L1269" s="62"/>
    </row>
    <row r="1270" spans="1:19">
      <c r="L1270" s="62"/>
    </row>
    <row r="1271" spans="1:19">
      <c r="L1271" s="62"/>
    </row>
    <row r="1272" spans="1:19">
      <c r="L1272" s="62"/>
    </row>
    <row r="1273" spans="1:19">
      <c r="L1273" s="62"/>
      <c r="O1273" s="61"/>
    </row>
    <row r="1274" spans="1:19">
      <c r="L1274" s="62"/>
      <c r="O1274" s="61"/>
    </row>
    <row r="1275" spans="1:19">
      <c r="L1275" s="62"/>
    </row>
    <row r="1276" spans="1:19">
      <c r="L1276" s="62"/>
    </row>
    <row r="1277" spans="1:19">
      <c r="L1277" s="62"/>
    </row>
    <row r="1278" spans="1:19">
      <c r="L1278" s="62"/>
    </row>
    <row r="1279" spans="1:19">
      <c r="L1279" s="62"/>
      <c r="R1279" s="94"/>
    </row>
    <row r="1280" spans="1:19">
      <c r="L1280" s="62"/>
      <c r="R1280" s="92"/>
    </row>
    <row r="1281" spans="1:19">
      <c r="L1281" s="62"/>
    </row>
    <row r="1282" spans="1:19">
      <c r="L1282" s="62"/>
    </row>
    <row r="1283" spans="1:19">
      <c r="L1283" s="62"/>
    </row>
    <row r="1284" spans="1:19">
      <c r="L1284" s="62"/>
    </row>
    <row r="1285" spans="1:19">
      <c r="L1285" s="62"/>
    </row>
    <row r="1286" spans="1:19">
      <c r="L1286" s="62"/>
    </row>
    <row r="1287" spans="1:19">
      <c r="L1287" s="62"/>
    </row>
    <row r="1288" spans="1:19">
      <c r="L1288" s="62"/>
    </row>
    <row r="1289" spans="1:19">
      <c r="A1289" s="159"/>
      <c r="B1289" s="12"/>
      <c r="C1289" s="140"/>
      <c r="D1289" s="140"/>
      <c r="E1289" s="141"/>
      <c r="F1289" s="141"/>
      <c r="G1289" s="12"/>
      <c r="H1289" s="12"/>
      <c r="I1289" s="12"/>
      <c r="J1289" s="12"/>
      <c r="K1289" s="130"/>
      <c r="L1289" s="12"/>
      <c r="M1289" s="12"/>
      <c r="N1289" s="12"/>
      <c r="O1289" s="133"/>
      <c r="P1289" s="12"/>
      <c r="Q1289" s="84"/>
      <c r="R1289" s="12"/>
    </row>
    <row r="1290" spans="1:19">
      <c r="L1290" s="62"/>
    </row>
    <row r="1291" spans="1:19">
      <c r="L1291" s="62"/>
    </row>
    <row r="1292" spans="1:19">
      <c r="L1292" s="62"/>
    </row>
    <row r="1293" spans="1:19">
      <c r="L1293" s="62"/>
    </row>
    <row r="1294" spans="1:19">
      <c r="L1294" s="62"/>
    </row>
    <row r="1295" spans="1:19">
      <c r="L1295" s="62"/>
    </row>
    <row r="1296" s="60" customFormat="1" spans="1:19">
      <c r="A1296" s="61"/>
      <c r="B1296" s="62"/>
      <c r="C1296" s="63"/>
      <c r="D1296" s="63"/>
      <c r="E1296" s="64"/>
      <c r="F1296" s="64"/>
      <c r="G1296" s="62"/>
      <c r="H1296" s="62"/>
      <c r="I1296" s="62"/>
      <c r="J1296" s="62"/>
      <c r="K1296" s="65"/>
      <c r="L1296" s="62"/>
      <c r="M1296" s="62"/>
      <c r="N1296" s="62"/>
      <c r="O1296" s="66"/>
      <c r="P1296" s="62"/>
      <c r="Q1296" s="65"/>
      <c r="R1296" s="62"/>
      <c r="S1296" s="12"/>
    </row>
    <row r="1297" spans="9:18">
      <c r="L1297" s="62"/>
    </row>
    <row r="1298" spans="9:18">
      <c r="L1298" s="62"/>
    </row>
    <row r="1299" spans="9:18">
      <c r="L1299" s="62"/>
    </row>
    <row r="1300" spans="9:18">
      <c r="L1300" s="62"/>
    </row>
    <row r="1301" spans="9:18">
      <c r="I1301" s="142"/>
      <c r="L1301" s="62"/>
    </row>
    <row r="1302" spans="9:18">
      <c r="L1302" s="62"/>
    </row>
    <row r="1303" spans="9:18">
      <c r="L1303" s="62"/>
    </row>
    <row r="1304" spans="9:18">
      <c r="K1304" s="106"/>
      <c r="L1304" s="62"/>
      <c r="O1304" s="133"/>
    </row>
    <row r="1305" spans="9:18">
      <c r="K1305" s="106"/>
      <c r="L1305" s="62"/>
      <c r="O1305" s="133"/>
    </row>
    <row r="1306" spans="9:18">
      <c r="K1306" s="106"/>
      <c r="L1306" s="62"/>
      <c r="O1306" s="133"/>
    </row>
    <row r="1307" spans="9:18">
      <c r="K1307" s="106"/>
      <c r="L1307" s="62"/>
      <c r="O1307" s="133"/>
    </row>
    <row r="1308" spans="9:18">
      <c r="L1308" s="62"/>
    </row>
    <row r="1309" spans="9:18">
      <c r="L1309" s="62"/>
    </row>
    <row r="1310" spans="9:18">
      <c r="L1310" s="62"/>
    </row>
    <row r="1311" spans="9:18">
      <c r="L1311" s="62"/>
    </row>
    <row r="1312" spans="9:18">
      <c r="L1312" s="62"/>
      <c r="R1312" s="94"/>
    </row>
    <row r="1313" spans="8:18">
      <c r="L1313" s="62"/>
      <c r="R1313" s="92"/>
    </row>
    <row r="1314" spans="8:18">
      <c r="L1314" s="62"/>
    </row>
    <row r="1315" spans="8:18">
      <c r="L1315" s="62"/>
    </row>
    <row r="1316" spans="8:18">
      <c r="L1316" s="62"/>
    </row>
    <row r="1317" spans="8:18">
      <c r="L1317" s="62"/>
    </row>
    <row r="1318" spans="8:18">
      <c r="L1318" s="62"/>
    </row>
    <row r="1319" spans="8:18">
      <c r="L1319" s="62"/>
    </row>
    <row r="1320" spans="8:18">
      <c r="L1320" s="62"/>
    </row>
    <row r="1321" spans="8:18">
      <c r="L1321" s="62"/>
    </row>
    <row r="1322" spans="8:18">
      <c r="L1322" s="62"/>
    </row>
    <row r="1323" spans="8:18">
      <c r="L1323" s="62"/>
    </row>
    <row r="1324" spans="8:18">
      <c r="L1324" s="62"/>
    </row>
    <row r="1325" spans="8:18">
      <c r="L1325" s="62"/>
    </row>
    <row r="1326" spans="8:18">
      <c r="H1326" s="108"/>
      <c r="L1326" s="62"/>
    </row>
    <row r="1327" spans="8:18">
      <c r="L1327" s="62"/>
    </row>
    <row r="1328" spans="8:18">
      <c r="L1328" s="62"/>
    </row>
    <row r="1329" spans="8:15">
      <c r="L1329" s="62"/>
    </row>
    <row r="1330" spans="8:15">
      <c r="L1330" s="62"/>
    </row>
    <row r="1331" spans="8:15">
      <c r="K1331" s="106"/>
      <c r="L1331" s="62"/>
      <c r="O1331" s="133"/>
    </row>
    <row r="1332" spans="8:15">
      <c r="L1332" s="62"/>
    </row>
    <row r="1333" spans="8:15">
      <c r="L1333" s="62"/>
    </row>
    <row r="1334" spans="8:15">
      <c r="L1334" s="62"/>
    </row>
    <row r="1335" spans="8:15">
      <c r="L1335" s="62"/>
    </row>
    <row r="1336" spans="8:15">
      <c r="K1336" s="106"/>
      <c r="L1336" s="62"/>
    </row>
    <row r="1337" spans="8:15">
      <c r="L1337" s="62"/>
    </row>
    <row r="1338" spans="8:15">
      <c r="H1338" s="90"/>
      <c r="I1338" s="125"/>
      <c r="L1338" s="62"/>
    </row>
    <row r="1339" spans="8:15">
      <c r="K1339" s="106"/>
      <c r="L1339" s="62"/>
    </row>
    <row r="1340" spans="8:15">
      <c r="L1340" s="62"/>
    </row>
    <row r="1341" spans="8:15">
      <c r="L1341" s="62"/>
    </row>
    <row r="1342" spans="8:15">
      <c r="L1342" s="62"/>
    </row>
    <row r="1343" spans="8:15">
      <c r="L1343" s="62"/>
    </row>
    <row r="1344" spans="8:15">
      <c r="L1344" s="62"/>
    </row>
    <row r="1345" spans="2:18">
      <c r="L1345" s="62"/>
    </row>
    <row r="1346" ht="15" spans="2:18">
      <c r="B1346" s="143"/>
      <c r="E1346" s="143"/>
      <c r="F1346" s="143"/>
      <c r="G1346" s="143"/>
      <c r="H1346" s="143"/>
      <c r="I1346" s="143"/>
      <c r="J1346" s="143"/>
      <c r="K1346" s="143"/>
      <c r="L1346" s="143"/>
      <c r="M1346" s="143"/>
      <c r="O1346" s="143"/>
      <c r="P1346" s="143"/>
      <c r="Q1346" s="143"/>
      <c r="R1346" s="144"/>
    </row>
    <row r="1347" ht="15" spans="2:18">
      <c r="B1347" s="143"/>
      <c r="E1347" s="143"/>
      <c r="F1347" s="143"/>
      <c r="G1347" s="143"/>
      <c r="H1347" s="143"/>
      <c r="I1347" s="143"/>
      <c r="J1347" s="143"/>
      <c r="K1347" s="143"/>
      <c r="L1347" s="143"/>
      <c r="M1347" s="143"/>
      <c r="O1347" s="143"/>
      <c r="P1347" s="143"/>
      <c r="Q1347" s="143"/>
      <c r="R1347" s="144"/>
    </row>
    <row r="1348" ht="15" spans="2:18">
      <c r="B1348" s="143"/>
      <c r="E1348" s="143"/>
      <c r="F1348" s="143"/>
      <c r="G1348" s="143"/>
      <c r="H1348" s="143"/>
      <c r="I1348" s="143"/>
      <c r="J1348" s="143"/>
      <c r="K1348" s="143"/>
      <c r="L1348" s="143"/>
      <c r="M1348" s="143"/>
      <c r="O1348" s="143"/>
      <c r="P1348" s="143"/>
      <c r="Q1348" s="143"/>
      <c r="R1348" s="144"/>
    </row>
    <row r="1349" ht="15" spans="2:18">
      <c r="B1349" s="143"/>
      <c r="E1349" s="143"/>
      <c r="F1349" s="143"/>
      <c r="G1349" s="143"/>
      <c r="H1349" s="143"/>
      <c r="I1349" s="143"/>
      <c r="J1349" s="143"/>
      <c r="K1349" s="143"/>
      <c r="L1349" s="143"/>
      <c r="M1349" s="143"/>
      <c r="O1349" s="143"/>
      <c r="P1349" s="143"/>
      <c r="Q1349" s="143"/>
      <c r="R1349" s="144"/>
    </row>
    <row r="1350" ht="15" spans="2:18">
      <c r="B1350" s="143"/>
      <c r="E1350" s="143"/>
      <c r="F1350" s="143"/>
      <c r="G1350" s="143"/>
      <c r="H1350" s="143"/>
      <c r="I1350" s="143"/>
      <c r="J1350" s="143"/>
      <c r="K1350" s="143"/>
      <c r="L1350" s="143"/>
      <c r="M1350" s="143"/>
      <c r="O1350" s="143"/>
      <c r="P1350" s="143"/>
      <c r="Q1350" s="143"/>
      <c r="R1350" s="144"/>
    </row>
    <row r="1351" ht="15" spans="2:18">
      <c r="B1351" s="143"/>
      <c r="E1351" s="143"/>
      <c r="F1351" s="143"/>
      <c r="G1351" s="143"/>
      <c r="H1351" s="143"/>
      <c r="I1351" s="143"/>
      <c r="J1351" s="143"/>
      <c r="K1351" s="143"/>
      <c r="L1351" s="143"/>
      <c r="M1351" s="143"/>
      <c r="O1351" s="143"/>
      <c r="P1351" s="143"/>
      <c r="Q1351" s="143"/>
      <c r="R1351" s="144"/>
    </row>
    <row r="1352" ht="15" spans="2:18">
      <c r="B1352" s="143"/>
      <c r="E1352" s="143"/>
      <c r="F1352" s="143"/>
      <c r="G1352" s="143"/>
      <c r="H1352" s="143"/>
      <c r="I1352" s="143"/>
      <c r="J1352" s="143"/>
      <c r="K1352" s="143"/>
      <c r="L1352" s="143"/>
      <c r="M1352" s="143"/>
      <c r="O1352" s="143"/>
      <c r="P1352" s="143"/>
      <c r="Q1352" s="143"/>
      <c r="R1352" s="144"/>
    </row>
    <row r="1353" ht="15" spans="2:18">
      <c r="B1353" s="143"/>
      <c r="E1353" s="143"/>
      <c r="F1353" s="143"/>
      <c r="G1353" s="143"/>
      <c r="H1353" s="143"/>
      <c r="I1353" s="143"/>
      <c r="J1353" s="143"/>
      <c r="K1353" s="143"/>
      <c r="L1353" s="143"/>
      <c r="M1353" s="143"/>
      <c r="O1353" s="143"/>
      <c r="P1353" s="143"/>
      <c r="Q1353" s="143"/>
      <c r="R1353" s="144"/>
    </row>
    <row r="1354" ht="15" spans="2:18">
      <c r="B1354" s="143"/>
      <c r="E1354" s="143"/>
      <c r="F1354" s="143"/>
      <c r="G1354" s="143"/>
      <c r="H1354" s="143"/>
      <c r="I1354" s="143"/>
      <c r="J1354" s="143"/>
      <c r="K1354" s="143"/>
      <c r="L1354" s="143"/>
      <c r="M1354" s="143"/>
      <c r="O1354" s="143"/>
      <c r="P1354" s="143"/>
      <c r="Q1354" s="143"/>
      <c r="R1354" s="144"/>
    </row>
    <row r="1355" ht="15" spans="2:18">
      <c r="B1355" s="143"/>
      <c r="E1355" s="143"/>
      <c r="F1355" s="143"/>
      <c r="G1355" s="143"/>
      <c r="H1355" s="143"/>
      <c r="I1355" s="143"/>
      <c r="J1355" s="143"/>
      <c r="K1355" s="143"/>
      <c r="L1355" s="143"/>
      <c r="M1355" s="143"/>
      <c r="O1355" s="143"/>
      <c r="P1355" s="143"/>
      <c r="Q1355" s="143"/>
      <c r="R1355" s="144"/>
    </row>
    <row r="1356" ht="15" spans="2:18">
      <c r="B1356" s="143"/>
      <c r="E1356" s="143"/>
      <c r="F1356" s="143"/>
      <c r="G1356" s="143"/>
      <c r="H1356" s="143"/>
      <c r="I1356" s="143"/>
      <c r="J1356" s="143"/>
      <c r="K1356" s="143"/>
      <c r="L1356" s="143"/>
      <c r="M1356" s="143"/>
      <c r="O1356" s="143"/>
      <c r="P1356" s="143"/>
      <c r="Q1356" s="143"/>
      <c r="R1356" s="144"/>
    </row>
    <row r="1357" ht="15" spans="2:18">
      <c r="B1357" s="143"/>
      <c r="E1357" s="143"/>
      <c r="F1357" s="143"/>
      <c r="G1357" s="143"/>
      <c r="H1357" s="143"/>
      <c r="I1357" s="143"/>
      <c r="J1357" s="143"/>
      <c r="K1357" s="143"/>
      <c r="L1357" s="143"/>
      <c r="M1357" s="143"/>
      <c r="O1357" s="143"/>
      <c r="P1357" s="143"/>
      <c r="Q1357" s="143"/>
      <c r="R1357" s="144"/>
    </row>
    <row r="1358" ht="15" spans="2:18">
      <c r="B1358" s="143"/>
      <c r="E1358" s="143"/>
      <c r="F1358" s="143"/>
      <c r="G1358" s="143"/>
      <c r="H1358" s="143"/>
      <c r="I1358" s="143"/>
      <c r="J1358" s="143"/>
      <c r="K1358" s="143"/>
      <c r="L1358" s="143"/>
      <c r="M1358" s="143"/>
      <c r="O1358" s="143"/>
      <c r="P1358" s="143"/>
      <c r="Q1358" s="143"/>
      <c r="R1358" s="144"/>
    </row>
    <row r="1359" ht="15" spans="2:18">
      <c r="B1359" s="143"/>
      <c r="E1359" s="143"/>
      <c r="F1359" s="143"/>
      <c r="G1359" s="143"/>
      <c r="H1359" s="143"/>
      <c r="I1359" s="143"/>
      <c r="J1359" s="143"/>
      <c r="K1359" s="143"/>
      <c r="L1359" s="143"/>
      <c r="M1359" s="143"/>
      <c r="O1359" s="143"/>
      <c r="P1359" s="143"/>
      <c r="Q1359" s="143"/>
      <c r="R1359" s="144"/>
    </row>
    <row r="1360" ht="15" spans="2:18">
      <c r="B1360" s="143"/>
      <c r="E1360" s="143"/>
      <c r="F1360" s="143"/>
      <c r="G1360" s="143"/>
      <c r="H1360" s="143"/>
      <c r="I1360" s="143"/>
      <c r="J1360" s="143"/>
      <c r="K1360" s="143"/>
      <c r="L1360" s="143"/>
      <c r="M1360" s="143"/>
      <c r="O1360" s="143"/>
      <c r="P1360" s="143"/>
      <c r="Q1360" s="143"/>
      <c r="R1360" s="144"/>
    </row>
    <row r="1361" ht="15" spans="2:18">
      <c r="B1361" s="143"/>
      <c r="E1361" s="143"/>
      <c r="F1361" s="143"/>
      <c r="G1361" s="143"/>
      <c r="H1361" s="143"/>
      <c r="I1361" s="143"/>
      <c r="J1361" s="143"/>
      <c r="K1361" s="143"/>
      <c r="L1361" s="143"/>
      <c r="M1361" s="143"/>
      <c r="O1361" s="143"/>
      <c r="P1361" s="143"/>
      <c r="Q1361" s="143"/>
      <c r="R1361" s="144"/>
    </row>
    <row r="1362" ht="15" spans="2:18">
      <c r="B1362" s="143"/>
      <c r="E1362" s="143"/>
      <c r="F1362" s="143"/>
      <c r="G1362" s="143"/>
      <c r="H1362" s="143"/>
      <c r="I1362" s="145"/>
      <c r="J1362" s="143"/>
      <c r="K1362" s="143"/>
      <c r="L1362" s="143"/>
      <c r="M1362" s="143"/>
      <c r="O1362" s="143"/>
      <c r="P1362" s="143"/>
      <c r="Q1362" s="145"/>
      <c r="R1362" s="144"/>
    </row>
    <row r="1363" ht="15" spans="2:18">
      <c r="B1363" s="143"/>
      <c r="E1363" s="143"/>
      <c r="F1363" s="143"/>
      <c r="G1363" s="143"/>
      <c r="H1363" s="143"/>
      <c r="J1363" s="143"/>
      <c r="K1363" s="143"/>
      <c r="L1363" s="143"/>
      <c r="M1363" s="143"/>
      <c r="P1363" s="143"/>
      <c r="R1363" s="94"/>
    </row>
    <row r="1364" ht="15" spans="2:18">
      <c r="B1364" s="143"/>
      <c r="E1364" s="143"/>
      <c r="F1364" s="143"/>
      <c r="J1364" s="143"/>
      <c r="L1364" s="143"/>
      <c r="M1364" s="143"/>
    </row>
    <row r="1365" ht="15" spans="2:18">
      <c r="B1365" s="143"/>
      <c r="E1365" s="143"/>
      <c r="F1365" s="143"/>
      <c r="J1365" s="143"/>
      <c r="L1365" s="143"/>
    </row>
    <row r="1366" ht="15" spans="2:18">
      <c r="B1366" s="143"/>
      <c r="E1366" s="143"/>
      <c r="F1366" s="143"/>
      <c r="J1366" s="143"/>
      <c r="L1366" s="143"/>
    </row>
    <row r="1367" ht="15" spans="2:18">
      <c r="B1367" s="143"/>
      <c r="E1367" s="143"/>
      <c r="F1367" s="143"/>
      <c r="J1367" s="143"/>
      <c r="L1367" s="143"/>
    </row>
    <row r="1368" ht="15" spans="2:18">
      <c r="B1368" s="143"/>
      <c r="E1368" s="143"/>
      <c r="F1368" s="143"/>
      <c r="J1368" s="143"/>
      <c r="L1368" s="143"/>
    </row>
    <row r="1369" ht="15" spans="2:18">
      <c r="B1369" s="143"/>
      <c r="E1369" s="143"/>
      <c r="F1369" s="143"/>
      <c r="J1369" s="143"/>
      <c r="L1369" s="143"/>
    </row>
    <row r="1370" ht="15" spans="2:18">
      <c r="B1370" s="143"/>
      <c r="E1370" s="143"/>
      <c r="F1370" s="143"/>
      <c r="J1370" s="143"/>
      <c r="L1370" s="143"/>
    </row>
    <row r="1371" ht="15" spans="2:18">
      <c r="B1371" s="143"/>
      <c r="E1371" s="143"/>
      <c r="F1371" s="143"/>
      <c r="J1371" s="143"/>
      <c r="L1371" s="143"/>
    </row>
    <row r="1372" ht="15" spans="2:18">
      <c r="B1372" s="143"/>
      <c r="E1372" s="143"/>
      <c r="F1372" s="143"/>
      <c r="J1372" s="143"/>
      <c r="L1372" s="143"/>
    </row>
    <row r="1373" ht="15" spans="2:18">
      <c r="B1373" s="143"/>
      <c r="E1373" s="143"/>
      <c r="F1373" s="143"/>
      <c r="J1373" s="143"/>
      <c r="L1373" s="143"/>
    </row>
    <row r="1374" ht="15" spans="2:18">
      <c r="B1374" s="143"/>
      <c r="E1374" s="143"/>
      <c r="F1374" s="143"/>
      <c r="J1374" s="143"/>
      <c r="L1374" s="143"/>
      <c r="R1374" s="94"/>
    </row>
    <row r="1375" ht="15" spans="2:18">
      <c r="B1375" s="143"/>
      <c r="E1375" s="143"/>
      <c r="F1375" s="143"/>
      <c r="J1375" s="143"/>
      <c r="L1375" s="143"/>
      <c r="R1375" s="92"/>
    </row>
    <row r="1376" ht="15" spans="2:18">
      <c r="B1376" s="143"/>
      <c r="E1376" s="146"/>
      <c r="F1376" s="143"/>
      <c r="J1376" s="143"/>
      <c r="K1376" s="84"/>
      <c r="L1376" s="143"/>
      <c r="O1376" s="133"/>
    </row>
    <row r="1377" ht="15" spans="2:18">
      <c r="B1377" s="143"/>
      <c r="E1377" s="143"/>
      <c r="F1377" s="143"/>
      <c r="J1377" s="143"/>
      <c r="L1377" s="143"/>
      <c r="R1377" s="94"/>
    </row>
    <row r="1378" ht="15" spans="2:18">
      <c r="B1378" s="143"/>
      <c r="E1378" s="143"/>
      <c r="F1378" s="143"/>
      <c r="J1378" s="143"/>
      <c r="L1378" s="143"/>
      <c r="R1378" s="92"/>
    </row>
    <row r="1379" ht="15" spans="2:18">
      <c r="B1379" s="143"/>
      <c r="E1379" s="143"/>
      <c r="F1379" s="143"/>
      <c r="J1379" s="143"/>
      <c r="L1379" s="143"/>
    </row>
    <row r="1380" ht="15" spans="2:18">
      <c r="B1380" s="143"/>
      <c r="E1380" s="143"/>
      <c r="F1380" s="143"/>
      <c r="J1380" s="143"/>
      <c r="L1380" s="143"/>
    </row>
    <row r="1381" ht="15" spans="2:18">
      <c r="B1381" s="143"/>
      <c r="E1381" s="143"/>
      <c r="F1381" s="143"/>
      <c r="J1381" s="143"/>
      <c r="K1381" s="84"/>
      <c r="L1381" s="143"/>
      <c r="O1381" s="133"/>
    </row>
    <row r="1382" ht="15" spans="2:18">
      <c r="B1382" s="143"/>
      <c r="E1382" s="143"/>
      <c r="F1382" s="143"/>
      <c r="J1382" s="143"/>
      <c r="K1382" s="84"/>
      <c r="L1382" s="143"/>
      <c r="O1382" s="133"/>
    </row>
    <row r="1383" ht="15" spans="2:18">
      <c r="B1383" s="143"/>
      <c r="E1383" s="143"/>
      <c r="F1383" s="143"/>
      <c r="J1383" s="143"/>
      <c r="L1383" s="143"/>
    </row>
    <row r="1384" ht="15" spans="2:18">
      <c r="B1384" s="143"/>
      <c r="E1384" s="143"/>
      <c r="F1384" s="143"/>
      <c r="J1384" s="143"/>
      <c r="L1384" s="143"/>
    </row>
    <row r="1385" ht="15" spans="2:18">
      <c r="B1385" s="143"/>
      <c r="E1385" s="143"/>
      <c r="F1385" s="143"/>
      <c r="J1385" s="143"/>
      <c r="L1385" s="143"/>
    </row>
    <row r="1386" ht="15" spans="2:18">
      <c r="B1386" s="143"/>
      <c r="E1386" s="143"/>
      <c r="F1386" s="143"/>
      <c r="J1386" s="143"/>
      <c r="L1386" s="143"/>
    </row>
    <row r="1387" ht="15" spans="2:18">
      <c r="B1387" s="143"/>
      <c r="E1387" s="143"/>
      <c r="F1387" s="143"/>
      <c r="J1387" s="143"/>
      <c r="K1387" s="84"/>
      <c r="L1387" s="143"/>
      <c r="O1387" s="133"/>
    </row>
    <row r="1388" ht="15" spans="2:18">
      <c r="B1388" s="143"/>
      <c r="E1388" s="146"/>
      <c r="F1388" s="143"/>
      <c r="H1388" s="90"/>
      <c r="I1388" s="90"/>
      <c r="J1388" s="143"/>
      <c r="L1388" s="143"/>
    </row>
    <row r="1389" ht="15" spans="2:18">
      <c r="B1389" s="143"/>
      <c r="E1389" s="146"/>
      <c r="F1389" s="143"/>
      <c r="H1389" s="90"/>
      <c r="I1389" s="90"/>
      <c r="J1389" s="143"/>
      <c r="L1389" s="143"/>
    </row>
    <row r="1390" ht="15" spans="2:18">
      <c r="B1390" s="143"/>
      <c r="C1390" s="174"/>
      <c r="E1390" s="147"/>
      <c r="F1390" s="143"/>
      <c r="G1390" s="92"/>
      <c r="H1390" s="92"/>
      <c r="I1390" s="92"/>
      <c r="J1390" s="143"/>
      <c r="K1390" s="148"/>
      <c r="L1390" s="143"/>
      <c r="M1390" s="92"/>
      <c r="N1390" s="92"/>
      <c r="O1390" s="149"/>
      <c r="P1390" s="92"/>
      <c r="Q1390" s="148"/>
      <c r="R1390" s="95"/>
    </row>
    <row r="1391" ht="15" spans="2:18">
      <c r="B1391" s="143"/>
      <c r="C1391" s="174"/>
      <c r="E1391" s="147"/>
      <c r="F1391" s="143"/>
      <c r="G1391" s="92"/>
      <c r="H1391" s="92"/>
      <c r="J1391" s="143"/>
      <c r="K1391" s="148"/>
      <c r="L1391" s="143"/>
      <c r="N1391" s="92"/>
      <c r="O1391" s="149"/>
      <c r="P1391" s="92"/>
      <c r="R1391" s="92"/>
    </row>
    <row r="1392" ht="15" spans="2:18">
      <c r="B1392" s="143"/>
      <c r="C1392" s="174"/>
      <c r="E1392" s="147"/>
      <c r="F1392" s="143"/>
      <c r="G1392" s="92"/>
      <c r="J1392" s="143"/>
      <c r="K1392" s="148"/>
      <c r="L1392" s="143"/>
      <c r="M1392" s="92"/>
      <c r="N1392" s="92"/>
      <c r="P1392" s="92"/>
    </row>
    <row r="1393" ht="15" spans="2:16">
      <c r="B1393" s="143"/>
      <c r="C1393" s="174"/>
      <c r="E1393" s="147"/>
      <c r="F1393" s="143"/>
      <c r="J1393" s="143"/>
      <c r="L1393" s="143"/>
      <c r="N1393" s="92"/>
      <c r="P1393" s="92"/>
    </row>
    <row r="1394" ht="15" spans="2:16">
      <c r="B1394" s="143"/>
      <c r="C1394" s="174"/>
      <c r="E1394" s="147"/>
      <c r="F1394" s="143"/>
      <c r="J1394" s="143"/>
      <c r="L1394" s="143"/>
      <c r="N1394" s="92"/>
      <c r="P1394" s="92"/>
    </row>
    <row r="1395" ht="15" spans="2:16">
      <c r="B1395" s="143"/>
      <c r="C1395" s="174"/>
      <c r="E1395" s="147"/>
      <c r="F1395" s="143"/>
      <c r="J1395" s="143"/>
      <c r="L1395" s="143"/>
      <c r="N1395" s="92"/>
      <c r="P1395" s="92"/>
    </row>
    <row r="1396" ht="15" spans="2:16">
      <c r="B1396" s="143"/>
      <c r="C1396" s="174"/>
      <c r="E1396" s="147"/>
      <c r="F1396" s="143"/>
      <c r="J1396" s="143"/>
      <c r="L1396" s="143"/>
      <c r="N1396" s="92"/>
      <c r="P1396" s="92"/>
    </row>
    <row r="1397" ht="15" spans="2:16">
      <c r="B1397" s="143"/>
      <c r="C1397" s="174"/>
      <c r="E1397" s="147"/>
      <c r="F1397" s="143"/>
      <c r="J1397" s="143"/>
      <c r="L1397" s="143"/>
      <c r="N1397" s="92"/>
      <c r="P1397" s="92"/>
    </row>
    <row r="1398" ht="15" spans="2:16">
      <c r="B1398" s="143"/>
      <c r="C1398" s="174"/>
      <c r="E1398" s="147"/>
      <c r="F1398" s="143"/>
      <c r="J1398" s="143"/>
      <c r="L1398" s="143"/>
      <c r="N1398" s="92"/>
      <c r="P1398" s="92"/>
    </row>
    <row r="1399" ht="15" spans="2:16">
      <c r="B1399" s="143"/>
      <c r="E1399" s="150"/>
      <c r="F1399" s="143"/>
      <c r="J1399" s="143"/>
      <c r="K1399" s="84"/>
      <c r="L1399" s="143"/>
      <c r="N1399" s="92"/>
      <c r="O1399" s="133"/>
      <c r="P1399" s="92"/>
    </row>
    <row r="1400" ht="15" spans="2:16">
      <c r="B1400" s="143"/>
      <c r="E1400" s="150"/>
      <c r="F1400" s="143"/>
      <c r="J1400" s="143"/>
      <c r="L1400" s="143"/>
      <c r="N1400" s="92"/>
      <c r="P1400" s="92"/>
    </row>
    <row r="1401" ht="15" spans="2:16">
      <c r="B1401" s="143"/>
      <c r="E1401" s="150"/>
      <c r="F1401" s="143"/>
      <c r="H1401" s="61"/>
      <c r="I1401" s="61"/>
      <c r="J1401" s="143"/>
      <c r="L1401" s="143"/>
      <c r="N1401" s="92"/>
      <c r="P1401" s="92"/>
    </row>
    <row r="1402" ht="15" spans="2:16">
      <c r="B1402" s="143"/>
      <c r="E1402" s="150"/>
      <c r="F1402" s="143"/>
      <c r="J1402" s="143"/>
      <c r="K1402" s="84"/>
      <c r="L1402" s="143"/>
      <c r="N1402" s="92"/>
      <c r="O1402" s="133"/>
      <c r="P1402" s="92"/>
    </row>
    <row r="1403" ht="15" spans="2:16">
      <c r="B1403" s="143"/>
      <c r="E1403" s="150"/>
      <c r="F1403" s="143"/>
      <c r="J1403" s="143"/>
      <c r="L1403" s="143"/>
      <c r="N1403" s="92"/>
      <c r="P1403" s="92"/>
    </row>
    <row r="1404" ht="15" spans="2:16">
      <c r="B1404" s="143"/>
      <c r="E1404" s="151"/>
      <c r="F1404" s="143"/>
      <c r="J1404" s="143"/>
      <c r="L1404" s="143"/>
      <c r="P1404" s="92"/>
    </row>
    <row r="1405" ht="15" spans="2:16">
      <c r="B1405" s="143"/>
      <c r="E1405" s="151"/>
      <c r="F1405" s="143"/>
      <c r="J1405" s="143"/>
      <c r="L1405" s="143"/>
      <c r="P1405" s="92"/>
    </row>
    <row r="1406" ht="15" spans="2:16">
      <c r="B1406" s="143"/>
      <c r="E1406" s="151"/>
      <c r="F1406" s="143"/>
      <c r="J1406" s="143"/>
      <c r="L1406" s="143"/>
      <c r="P1406" s="92"/>
    </row>
    <row r="1407" ht="15" spans="2:16">
      <c r="B1407" s="143"/>
      <c r="E1407" s="151"/>
      <c r="F1407" s="143"/>
      <c r="J1407" s="143"/>
      <c r="L1407" s="143"/>
      <c r="P1407" s="92"/>
    </row>
    <row r="1408" ht="15" spans="2:16">
      <c r="B1408" s="143"/>
      <c r="E1408" s="151"/>
      <c r="F1408" s="143"/>
      <c r="J1408" s="143"/>
      <c r="L1408" s="143"/>
      <c r="P1408" s="92"/>
    </row>
    <row r="1409" ht="15" spans="2:16">
      <c r="B1409" s="143"/>
      <c r="E1409" s="151"/>
      <c r="F1409" s="143"/>
      <c r="J1409" s="143"/>
      <c r="L1409" s="143"/>
      <c r="P1409" s="92"/>
    </row>
    <row r="1410" ht="15" spans="2:16">
      <c r="B1410" s="143"/>
      <c r="E1410" s="151"/>
      <c r="F1410" s="143"/>
      <c r="J1410" s="143"/>
      <c r="L1410" s="143"/>
    </row>
    <row r="1411" ht="15" spans="2:16">
      <c r="B1411" s="143"/>
      <c r="E1411" s="151"/>
      <c r="F1411" s="143"/>
      <c r="J1411" s="143"/>
      <c r="L1411" s="143"/>
    </row>
    <row r="1412" ht="15" spans="2:16">
      <c r="B1412" s="143"/>
      <c r="E1412" s="151"/>
      <c r="F1412" s="143"/>
      <c r="J1412" s="143"/>
      <c r="L1412" s="143"/>
    </row>
    <row r="1413" ht="15" spans="2:16">
      <c r="B1413" s="143"/>
      <c r="E1413" s="151"/>
      <c r="F1413" s="143"/>
      <c r="J1413" s="143"/>
      <c r="L1413" s="143"/>
    </row>
    <row r="1414" spans="2:16">
      <c r="C1414" s="142"/>
      <c r="D1414" s="142"/>
      <c r="E1414" s="142"/>
      <c r="J1414" s="142"/>
      <c r="L1414" s="165"/>
    </row>
    <row r="1415" spans="2:16">
      <c r="C1415" s="142"/>
      <c r="D1415" s="142"/>
      <c r="E1415" s="142"/>
      <c r="J1415" s="142"/>
      <c r="L1415" s="165"/>
    </row>
    <row r="1416" spans="2:16">
      <c r="C1416" s="142"/>
      <c r="D1416" s="142"/>
      <c r="E1416" s="142"/>
      <c r="J1416" s="142"/>
      <c r="L1416" s="165"/>
    </row>
    <row r="1417" spans="2:16">
      <c r="C1417" s="142"/>
      <c r="D1417" s="142"/>
      <c r="E1417" s="142"/>
      <c r="J1417" s="142"/>
      <c r="L1417" s="165"/>
    </row>
    <row r="1418" spans="2:16">
      <c r="C1418" s="142"/>
      <c r="D1418" s="142"/>
      <c r="E1418" s="142"/>
      <c r="J1418" s="142"/>
      <c r="L1418" s="165"/>
    </row>
    <row r="1419" spans="2:16">
      <c r="C1419" s="142"/>
      <c r="D1419" s="142"/>
      <c r="E1419" s="142"/>
      <c r="J1419" s="142"/>
      <c r="L1419" s="165"/>
    </row>
    <row r="1420" spans="2:16">
      <c r="C1420" s="142"/>
      <c r="D1420" s="142"/>
      <c r="E1420" s="142"/>
      <c r="J1420" s="142"/>
      <c r="L1420" s="165"/>
    </row>
    <row r="1421" spans="2:16">
      <c r="C1421" s="142"/>
      <c r="D1421" s="142"/>
      <c r="E1421" s="142"/>
      <c r="J1421" s="142"/>
      <c r="L1421" s="165"/>
    </row>
    <row r="1422" spans="2:16">
      <c r="C1422" s="142"/>
      <c r="D1422" s="142"/>
      <c r="E1422" s="142"/>
      <c r="J1422" s="142"/>
      <c r="L1422" s="165"/>
    </row>
    <row r="1423" spans="2:16">
      <c r="C1423" s="142"/>
      <c r="D1423" s="142"/>
      <c r="E1423" s="142"/>
      <c r="J1423" s="142"/>
      <c r="L1423" s="165"/>
    </row>
    <row r="1424" spans="2:16">
      <c r="C1424" s="142"/>
      <c r="D1424" s="142"/>
      <c r="E1424" s="142"/>
      <c r="J1424" s="142"/>
      <c r="L1424" s="165"/>
    </row>
    <row r="1425" spans="3:12">
      <c r="C1425" s="142"/>
      <c r="D1425" s="142"/>
      <c r="E1425" s="142"/>
      <c r="J1425" s="142"/>
      <c r="L1425" s="165"/>
    </row>
    <row r="1426" spans="3:12">
      <c r="C1426" s="142"/>
      <c r="D1426" s="142"/>
      <c r="E1426" s="142"/>
      <c r="J1426" s="142"/>
      <c r="L1426" s="165"/>
    </row>
    <row r="1427" spans="3:12">
      <c r="C1427" s="142"/>
      <c r="D1427" s="142"/>
      <c r="E1427" s="142"/>
      <c r="J1427" s="142"/>
      <c r="L1427" s="165"/>
    </row>
    <row r="1428" spans="3:12">
      <c r="C1428" s="142"/>
      <c r="D1428" s="142"/>
      <c r="E1428" s="142"/>
      <c r="J1428" s="142"/>
      <c r="L1428" s="165"/>
    </row>
    <row r="1429" spans="3:12">
      <c r="C1429" s="142"/>
      <c r="D1429" s="142"/>
      <c r="E1429" s="142"/>
      <c r="J1429" s="142"/>
      <c r="L1429" s="165"/>
    </row>
    <row r="1430" spans="3:12">
      <c r="C1430" s="142"/>
      <c r="D1430" s="142"/>
      <c r="E1430" s="142"/>
      <c r="J1430" s="142"/>
    </row>
    <row r="1431" spans="3:12">
      <c r="C1431" s="142"/>
      <c r="D1431" s="142"/>
      <c r="E1431" s="142"/>
      <c r="J1431" s="142"/>
    </row>
    <row r="1432" spans="3:12">
      <c r="C1432" s="142"/>
      <c r="D1432" s="142"/>
      <c r="E1432" s="142"/>
      <c r="J1432" s="142"/>
    </row>
    <row r="1433" spans="3:12">
      <c r="C1433" s="142"/>
      <c r="D1433" s="142"/>
      <c r="E1433" s="142"/>
      <c r="J1433" s="142"/>
    </row>
    <row r="1434" spans="3:12">
      <c r="C1434" s="142"/>
      <c r="D1434" s="142"/>
      <c r="E1434" s="142"/>
      <c r="J1434" s="142"/>
    </row>
    <row r="1435" spans="3:12">
      <c r="C1435" s="142"/>
      <c r="D1435" s="142"/>
      <c r="E1435" s="142"/>
      <c r="J1435" s="142"/>
    </row>
    <row r="1436" spans="3:12">
      <c r="C1436" s="142"/>
      <c r="D1436" s="142"/>
      <c r="E1436" s="142"/>
      <c r="J1436" s="142"/>
    </row>
    <row r="1437" spans="3:12">
      <c r="C1437" s="142"/>
      <c r="D1437" s="142"/>
      <c r="E1437" s="142"/>
      <c r="J1437" s="142"/>
    </row>
    <row r="1438" spans="3:12">
      <c r="C1438" s="142"/>
      <c r="D1438" s="142"/>
      <c r="E1438" s="142"/>
      <c r="J1438" s="142"/>
    </row>
    <row r="1439" spans="3:12">
      <c r="C1439" s="142"/>
      <c r="D1439" s="142"/>
      <c r="E1439" s="142"/>
      <c r="J1439" s="142"/>
    </row>
    <row r="1440" spans="3:12">
      <c r="C1440" s="142"/>
      <c r="D1440" s="142"/>
      <c r="E1440" s="142"/>
      <c r="J1440" s="142"/>
    </row>
    <row r="1441" spans="3:10">
      <c r="C1441" s="142"/>
      <c r="D1441" s="142"/>
      <c r="E1441" s="142"/>
      <c r="J1441" s="142"/>
    </row>
    <row r="1442" spans="3:10">
      <c r="C1442" s="142"/>
      <c r="D1442" s="142"/>
      <c r="E1442" s="142"/>
      <c r="J1442" s="142"/>
    </row>
    <row r="1443" spans="3:10">
      <c r="C1443" s="142"/>
      <c r="D1443" s="142"/>
      <c r="E1443" s="142"/>
    </row>
    <row r="1444" spans="3:10">
      <c r="C1444" s="142"/>
      <c r="D1444" s="142"/>
      <c r="E1444" s="142"/>
      <c r="J1444" s="142"/>
    </row>
    <row r="1445" spans="3:10">
      <c r="C1445" s="142"/>
      <c r="D1445" s="142"/>
      <c r="E1445" s="142"/>
      <c r="J1445" s="142"/>
    </row>
    <row r="1446" spans="3:10">
      <c r="C1446" s="142"/>
      <c r="D1446" s="142"/>
      <c r="E1446" s="142"/>
      <c r="J1446" s="142"/>
    </row>
    <row r="1447" spans="3:10">
      <c r="C1447" s="142"/>
      <c r="D1447" s="142"/>
      <c r="E1447" s="142"/>
      <c r="J1447" s="142"/>
    </row>
    <row r="1448" spans="3:10">
      <c r="C1448" s="142"/>
      <c r="D1448" s="142"/>
      <c r="E1448" s="142"/>
      <c r="J1448" s="142"/>
    </row>
    <row r="1449" spans="3:10">
      <c r="C1449" s="142"/>
      <c r="D1449" s="142"/>
      <c r="E1449" s="142"/>
      <c r="J1449" s="142"/>
    </row>
    <row r="1450" spans="3:10">
      <c r="C1450" s="142"/>
      <c r="D1450" s="142"/>
      <c r="E1450" s="142"/>
      <c r="J1450" s="142"/>
    </row>
    <row r="1451" spans="3:10">
      <c r="C1451" s="142"/>
      <c r="D1451" s="142"/>
      <c r="E1451" s="142"/>
      <c r="J1451" s="142"/>
    </row>
    <row r="1452" spans="3:10">
      <c r="C1452" s="142"/>
      <c r="D1452" s="142"/>
      <c r="E1452" s="142"/>
      <c r="J1452" s="142"/>
    </row>
    <row r="1453" spans="3:10">
      <c r="C1453" s="142"/>
      <c r="D1453" s="142"/>
      <c r="E1453" s="142"/>
      <c r="J1453" s="142"/>
    </row>
    <row r="1454" spans="3:10">
      <c r="C1454" s="142"/>
      <c r="D1454" s="142"/>
      <c r="E1454" s="142"/>
      <c r="J1454" s="142"/>
    </row>
    <row r="1455" spans="3:10">
      <c r="C1455" s="142"/>
      <c r="D1455" s="142"/>
      <c r="E1455" s="142"/>
      <c r="J1455" s="142"/>
    </row>
    <row r="1456" spans="3:10">
      <c r="C1456" s="142"/>
      <c r="D1456" s="142"/>
      <c r="E1456" s="142"/>
      <c r="J1456" s="142"/>
    </row>
    <row r="1457" spans="3:18">
      <c r="C1457" s="142"/>
      <c r="D1457" s="142"/>
      <c r="E1457" s="142"/>
      <c r="J1457" s="142"/>
    </row>
    <row r="1458" spans="3:18">
      <c r="C1458" s="142"/>
      <c r="D1458" s="142"/>
      <c r="E1458" s="142"/>
      <c r="J1458" s="142"/>
    </row>
    <row r="1459" spans="3:18">
      <c r="C1459" s="142"/>
      <c r="D1459" s="142"/>
      <c r="E1459" s="142"/>
      <c r="J1459" s="142"/>
    </row>
    <row r="1460" spans="3:18">
      <c r="C1460" s="142"/>
      <c r="D1460" s="142"/>
      <c r="E1460" s="142"/>
      <c r="J1460" s="142"/>
    </row>
    <row r="1461" spans="3:18">
      <c r="C1461" s="142"/>
      <c r="D1461" s="142"/>
      <c r="E1461" s="142"/>
      <c r="J1461" s="142"/>
    </row>
    <row r="1462" spans="3:18">
      <c r="C1462" s="142"/>
      <c r="D1462" s="142"/>
      <c r="E1462" s="142"/>
      <c r="J1462" s="142"/>
    </row>
    <row r="1463" spans="3:18">
      <c r="C1463" s="142"/>
      <c r="D1463" s="142"/>
      <c r="E1463" s="142"/>
      <c r="J1463" s="142"/>
    </row>
    <row r="1464" spans="3:18">
      <c r="C1464" s="142"/>
      <c r="D1464" s="142"/>
      <c r="E1464" s="142"/>
      <c r="J1464" s="142"/>
    </row>
    <row r="1465" spans="3:18">
      <c r="C1465" s="142"/>
      <c r="D1465" s="142"/>
      <c r="E1465" s="142"/>
      <c r="J1465" s="142"/>
    </row>
    <row r="1466" spans="3:18">
      <c r="C1466" s="142"/>
      <c r="D1466" s="142"/>
      <c r="E1466" s="142"/>
      <c r="J1466" s="142"/>
    </row>
    <row r="1467" spans="3:18">
      <c r="C1467" s="142"/>
      <c r="D1467" s="142"/>
      <c r="E1467" s="142"/>
      <c r="J1467" s="142"/>
      <c r="R1467" s="61"/>
    </row>
    <row r="1468" spans="3:18">
      <c r="C1468" s="142"/>
      <c r="D1468" s="142"/>
      <c r="E1468" s="142"/>
      <c r="J1468" s="142"/>
      <c r="R1468" s="61"/>
    </row>
    <row r="1469" spans="3:18">
      <c r="C1469" s="142"/>
      <c r="D1469" s="142"/>
      <c r="E1469" s="142"/>
      <c r="J1469" s="142"/>
    </row>
    <row r="1470" spans="3:18">
      <c r="C1470" s="142"/>
      <c r="D1470" s="142"/>
      <c r="E1470" s="142"/>
      <c r="J1470" s="142"/>
    </row>
    <row r="1471" spans="3:18">
      <c r="C1471" s="142"/>
      <c r="D1471" s="142"/>
      <c r="E1471" s="142"/>
      <c r="J1471" s="142"/>
    </row>
    <row r="1472" spans="3:18">
      <c r="C1472" s="142"/>
      <c r="D1472" s="142"/>
      <c r="E1472" s="142"/>
      <c r="J1472" s="142"/>
    </row>
    <row r="1473" spans="3:18">
      <c r="C1473" s="142"/>
      <c r="D1473" s="142"/>
      <c r="E1473" s="142"/>
      <c r="J1473" s="142"/>
    </row>
    <row r="1474" spans="3:18">
      <c r="C1474" s="142"/>
      <c r="D1474" s="142"/>
      <c r="E1474" s="142"/>
      <c r="J1474" s="142"/>
    </row>
    <row r="1475" spans="3:18">
      <c r="C1475" s="142"/>
      <c r="D1475" s="142"/>
      <c r="E1475" s="142"/>
      <c r="J1475" s="142"/>
    </row>
    <row r="1476" spans="3:18">
      <c r="C1476" s="142"/>
      <c r="D1476" s="142"/>
      <c r="E1476" s="142"/>
      <c r="J1476" s="142"/>
    </row>
    <row r="1477" spans="3:18">
      <c r="C1477" s="142"/>
      <c r="D1477" s="142"/>
      <c r="E1477" s="142"/>
      <c r="R1477" s="94"/>
    </row>
    <row r="1478" spans="3:18">
      <c r="C1478" s="142"/>
      <c r="D1478" s="142"/>
      <c r="E1478" s="142"/>
      <c r="R1478" s="92"/>
    </row>
    <row r="1479" spans="3:18">
      <c r="C1479" s="142"/>
      <c r="D1479" s="142"/>
      <c r="E1479" s="142"/>
    </row>
    <row r="1480" spans="3:18">
      <c r="C1480" s="142"/>
      <c r="D1480" s="142"/>
      <c r="E1480" s="142"/>
      <c r="R1480" s="94"/>
    </row>
    <row r="1481" spans="3:18">
      <c r="C1481" s="142"/>
      <c r="D1481" s="142"/>
      <c r="E1481" s="142"/>
      <c r="R1481" s="92"/>
    </row>
    <row r="1482" spans="3:18">
      <c r="C1482" s="142"/>
      <c r="D1482" s="142"/>
      <c r="E1482" s="142"/>
    </row>
    <row r="1483" spans="3:18">
      <c r="C1483" s="142"/>
      <c r="D1483" s="142"/>
      <c r="E1483" s="142"/>
      <c r="R1483" s="94"/>
    </row>
    <row r="1484" spans="3:18">
      <c r="C1484" s="142"/>
      <c r="D1484" s="142"/>
      <c r="E1484" s="142"/>
      <c r="R1484" s="92"/>
    </row>
    <row r="1485" spans="3:18">
      <c r="C1485" s="142"/>
      <c r="D1485" s="142"/>
      <c r="E1485" s="142"/>
    </row>
    <row r="1486" spans="3:18">
      <c r="C1486" s="142"/>
      <c r="D1486" s="142"/>
      <c r="E1486" s="142"/>
    </row>
    <row r="1487" spans="3:18">
      <c r="C1487" s="142"/>
      <c r="D1487" s="142"/>
      <c r="E1487" s="142"/>
    </row>
    <row r="1488" spans="3:18">
      <c r="C1488" s="142"/>
      <c r="D1488" s="142"/>
      <c r="E1488" s="142"/>
    </row>
    <row r="1489" spans="3:18">
      <c r="C1489" s="142"/>
      <c r="D1489" s="142"/>
      <c r="E1489" s="142"/>
    </row>
    <row r="1490" spans="3:18">
      <c r="C1490" s="142"/>
      <c r="D1490" s="142"/>
      <c r="E1490" s="142"/>
    </row>
    <row r="1491" spans="3:18">
      <c r="C1491" s="142"/>
      <c r="D1491" s="142"/>
      <c r="E1491" s="142"/>
    </row>
    <row r="1492" spans="3:18">
      <c r="C1492" s="142"/>
      <c r="D1492" s="142"/>
      <c r="E1492" s="142"/>
    </row>
    <row r="1493" spans="3:18">
      <c r="C1493" s="142"/>
      <c r="D1493" s="142"/>
      <c r="E1493" s="142"/>
    </row>
    <row r="1494" spans="3:18">
      <c r="C1494" s="142"/>
      <c r="D1494" s="142"/>
      <c r="E1494" s="142"/>
    </row>
    <row r="1495" spans="3:18">
      <c r="C1495" s="142"/>
      <c r="D1495" s="142"/>
      <c r="E1495" s="142"/>
      <c r="K1495" s="135"/>
    </row>
    <row r="1496" spans="3:18">
      <c r="C1496" s="142"/>
      <c r="D1496" s="142"/>
      <c r="E1496" s="142"/>
    </row>
    <row r="1497" spans="3:18">
      <c r="C1497" s="142"/>
      <c r="D1497" s="142"/>
      <c r="E1497" s="142"/>
    </row>
    <row r="1498" spans="3:18">
      <c r="C1498" s="142"/>
      <c r="D1498" s="142"/>
      <c r="E1498" s="142"/>
    </row>
    <row r="1499" spans="3:18">
      <c r="C1499" s="142"/>
      <c r="D1499" s="142"/>
      <c r="E1499" s="142"/>
    </row>
    <row r="1500" spans="3:18">
      <c r="C1500" s="142"/>
      <c r="D1500" s="142"/>
      <c r="E1500" s="142"/>
    </row>
    <row r="1501" spans="3:18">
      <c r="C1501" s="142"/>
      <c r="D1501" s="142"/>
      <c r="E1501" s="142"/>
      <c r="R1501" s="94"/>
    </row>
    <row r="1502" spans="3:18">
      <c r="C1502" s="142"/>
      <c r="D1502" s="142"/>
      <c r="E1502" s="142"/>
      <c r="R1502" s="92"/>
    </row>
    <row r="1503" spans="3:18">
      <c r="C1503" s="142"/>
      <c r="D1503" s="142"/>
      <c r="E1503" s="142"/>
    </row>
    <row r="1504" spans="3:18">
      <c r="C1504" s="142"/>
      <c r="D1504" s="142"/>
      <c r="E1504" s="142"/>
    </row>
    <row r="1505" spans="3:18">
      <c r="C1505" s="142"/>
      <c r="D1505" s="142"/>
      <c r="E1505" s="142"/>
    </row>
    <row r="1506" spans="3:18">
      <c r="C1506" s="142"/>
      <c r="D1506" s="142"/>
      <c r="E1506" s="142"/>
      <c r="R1506" s="94"/>
    </row>
    <row r="1507" spans="3:18">
      <c r="C1507" s="142"/>
      <c r="D1507" s="142"/>
      <c r="E1507" s="142"/>
      <c r="R1507" s="92"/>
    </row>
    <row r="1508" spans="3:18">
      <c r="C1508" s="142"/>
      <c r="D1508" s="142"/>
      <c r="E1508" s="142"/>
    </row>
    <row r="1509" spans="3:18">
      <c r="C1509" s="142"/>
      <c r="D1509" s="142"/>
      <c r="E1509" s="142"/>
    </row>
    <row r="1510" spans="3:18">
      <c r="C1510" s="142"/>
      <c r="D1510" s="142"/>
      <c r="E1510" s="142"/>
    </row>
    <row r="1511" spans="3:18">
      <c r="C1511" s="142"/>
      <c r="D1511" s="142"/>
      <c r="E1511" s="142"/>
      <c r="R1511" s="94"/>
    </row>
    <row r="1512" spans="3:18">
      <c r="C1512" s="142"/>
      <c r="D1512" s="142"/>
      <c r="E1512" s="142"/>
      <c r="R1512" s="92"/>
    </row>
    <row r="1513" spans="3:18">
      <c r="C1513" s="142"/>
      <c r="D1513" s="142"/>
      <c r="E1513" s="142"/>
    </row>
    <row r="1514" spans="3:18">
      <c r="C1514" s="142"/>
      <c r="D1514" s="142"/>
      <c r="E1514" s="142"/>
    </row>
    <row r="1515" spans="3:18">
      <c r="C1515" s="142"/>
      <c r="D1515" s="142"/>
      <c r="E1515" s="142"/>
    </row>
    <row r="1516" spans="3:18">
      <c r="C1516" s="142"/>
      <c r="D1516" s="142"/>
      <c r="E1516" s="142"/>
      <c r="R1516" s="94"/>
    </row>
    <row r="1517" spans="3:18">
      <c r="C1517" s="142"/>
      <c r="D1517" s="142"/>
      <c r="E1517" s="142"/>
      <c r="R1517" s="92"/>
    </row>
    <row r="1518" spans="3:18">
      <c r="C1518" s="142"/>
      <c r="D1518" s="142"/>
      <c r="E1518" s="142"/>
    </row>
    <row r="1519" spans="3:18">
      <c r="C1519" s="142"/>
      <c r="D1519" s="142"/>
      <c r="E1519" s="142"/>
    </row>
    <row r="1520" spans="3:18">
      <c r="C1520" s="142"/>
      <c r="D1520" s="142"/>
      <c r="E1520" s="142"/>
    </row>
    <row r="1521" spans="3:18">
      <c r="C1521" s="142"/>
      <c r="D1521" s="142"/>
      <c r="E1521" s="142"/>
    </row>
    <row r="1522" spans="3:18">
      <c r="C1522" s="142"/>
      <c r="D1522" s="142"/>
      <c r="E1522" s="142"/>
    </row>
    <row r="1523" spans="3:18">
      <c r="C1523" s="142"/>
      <c r="D1523" s="142"/>
      <c r="E1523" s="142"/>
    </row>
    <row r="1524" spans="3:18">
      <c r="C1524" s="142"/>
      <c r="D1524" s="142"/>
      <c r="E1524" s="142"/>
    </row>
    <row r="1525" spans="3:18">
      <c r="C1525" s="142"/>
      <c r="D1525" s="142"/>
      <c r="E1525" s="142"/>
    </row>
    <row r="1526" spans="3:18">
      <c r="C1526" s="142"/>
      <c r="D1526" s="142"/>
      <c r="E1526" s="142"/>
    </row>
    <row r="1527" spans="3:18">
      <c r="C1527" s="142"/>
      <c r="D1527" s="142"/>
      <c r="E1527" s="142"/>
    </row>
    <row r="1528" spans="3:18">
      <c r="C1528" s="142"/>
      <c r="D1528" s="142"/>
      <c r="E1528" s="142"/>
    </row>
    <row r="1529" spans="3:18">
      <c r="C1529" s="142"/>
      <c r="D1529" s="142"/>
      <c r="E1529" s="142"/>
    </row>
    <row r="1530" spans="3:18">
      <c r="C1530" s="142"/>
      <c r="D1530" s="142"/>
      <c r="E1530" s="142"/>
    </row>
    <row r="1531" spans="3:18">
      <c r="C1531" s="142"/>
      <c r="D1531" s="142"/>
      <c r="E1531" s="142"/>
    </row>
    <row r="1532" spans="3:18">
      <c r="C1532" s="142"/>
      <c r="D1532" s="142"/>
      <c r="E1532" s="142"/>
    </row>
    <row r="1533" spans="3:18">
      <c r="C1533" s="142"/>
      <c r="D1533" s="142"/>
      <c r="E1533" s="142"/>
      <c r="R1533" s="94"/>
    </row>
    <row r="1534" spans="3:18">
      <c r="C1534" s="142"/>
      <c r="D1534" s="142"/>
      <c r="E1534" s="142"/>
      <c r="R1534" s="95"/>
    </row>
    <row r="1535" spans="3:18">
      <c r="C1535" s="142"/>
      <c r="D1535" s="142"/>
      <c r="E1535" s="142"/>
      <c r="R1535" s="92"/>
    </row>
    <row r="1536" spans="3:18">
      <c r="C1536" s="142"/>
      <c r="D1536" s="142"/>
      <c r="E1536" s="142"/>
    </row>
    <row r="1537" spans="3:18">
      <c r="C1537" s="142"/>
      <c r="D1537" s="142"/>
      <c r="E1537" s="142"/>
      <c r="R1537" s="94"/>
    </row>
    <row r="1538" spans="3:18">
      <c r="C1538" s="142"/>
      <c r="D1538" s="142"/>
      <c r="E1538" s="142"/>
      <c r="R1538" s="92"/>
    </row>
    <row r="1539" spans="3:18">
      <c r="C1539" s="142"/>
      <c r="D1539" s="142"/>
      <c r="E1539" s="142"/>
    </row>
    <row r="1540" spans="3:18">
      <c r="C1540" s="142"/>
      <c r="D1540" s="142"/>
      <c r="E1540" s="142"/>
    </row>
    <row r="1541" spans="3:18">
      <c r="C1541" s="142"/>
      <c r="D1541" s="142"/>
      <c r="E1541" s="142"/>
    </row>
    <row r="1542" spans="3:18">
      <c r="C1542" s="142"/>
      <c r="D1542" s="142"/>
      <c r="E1542" s="142"/>
    </row>
    <row r="1543" spans="3:18">
      <c r="C1543" s="142"/>
      <c r="D1543" s="142"/>
      <c r="E1543" s="142"/>
    </row>
    <row r="1544" spans="3:18">
      <c r="C1544" s="142"/>
      <c r="D1544" s="142"/>
      <c r="E1544" s="142"/>
    </row>
    <row r="1545" spans="3:18">
      <c r="C1545" s="142"/>
      <c r="D1545" s="142"/>
      <c r="E1545" s="142"/>
      <c r="R1545" s="94"/>
    </row>
    <row r="1546" spans="3:18">
      <c r="C1546" s="142"/>
      <c r="D1546" s="142"/>
      <c r="E1546" s="142"/>
      <c r="R1546" s="92"/>
    </row>
    <row r="1547" spans="3:18">
      <c r="C1547" s="142"/>
      <c r="D1547" s="142"/>
      <c r="E1547" s="142"/>
    </row>
    <row r="1548" spans="3:18">
      <c r="C1548" s="142"/>
      <c r="D1548" s="142"/>
      <c r="E1548" s="142"/>
    </row>
    <row r="1549" spans="3:18">
      <c r="C1549" s="142"/>
      <c r="D1549" s="142"/>
      <c r="E1549" s="142"/>
    </row>
    <row r="1550" spans="3:18">
      <c r="C1550" s="142"/>
      <c r="D1550" s="142"/>
      <c r="E1550" s="142"/>
    </row>
    <row r="1551" spans="3:18">
      <c r="C1551" s="142"/>
      <c r="D1551" s="142"/>
      <c r="E1551" s="142"/>
    </row>
    <row r="1552" spans="3:18">
      <c r="C1552" s="142"/>
      <c r="D1552" s="142"/>
      <c r="E1552" s="142"/>
      <c r="R1552" s="94"/>
    </row>
    <row r="1553" spans="3:18">
      <c r="C1553" s="142"/>
      <c r="D1553" s="142"/>
      <c r="E1553" s="142"/>
      <c r="R1553" s="92"/>
    </row>
    <row r="1554" spans="3:18">
      <c r="C1554" s="142"/>
      <c r="D1554" s="142"/>
      <c r="E1554" s="142"/>
    </row>
    <row r="1555" spans="3:18">
      <c r="C1555" s="142"/>
      <c r="D1555" s="142"/>
      <c r="E1555" s="142"/>
      <c r="R1555" s="94"/>
    </row>
    <row r="1556" spans="3:18">
      <c r="C1556" s="142"/>
      <c r="D1556" s="142"/>
      <c r="E1556" s="142"/>
      <c r="R1556" s="95"/>
    </row>
    <row r="1557" spans="3:18">
      <c r="C1557" s="142"/>
      <c r="D1557" s="142"/>
      <c r="E1557" s="142"/>
      <c r="R1557" s="95"/>
    </row>
    <row r="1558" spans="3:18">
      <c r="C1558" s="142"/>
      <c r="D1558" s="142"/>
      <c r="E1558" s="142"/>
      <c r="R1558" s="95"/>
    </row>
    <row r="1559" spans="3:18">
      <c r="C1559" s="142"/>
      <c r="D1559" s="142"/>
      <c r="E1559" s="142"/>
      <c r="R1559" s="95"/>
    </row>
    <row r="1560" spans="3:18">
      <c r="C1560" s="142"/>
      <c r="D1560" s="142"/>
      <c r="E1560" s="142"/>
      <c r="R1560" s="95"/>
    </row>
    <row r="1561" spans="3:18">
      <c r="C1561" s="142"/>
      <c r="D1561" s="142"/>
      <c r="E1561" s="142"/>
      <c r="R1561" s="95"/>
    </row>
    <row r="1562" spans="3:18">
      <c r="C1562" s="142"/>
      <c r="D1562" s="142"/>
      <c r="E1562" s="142"/>
      <c r="R1562" s="92"/>
    </row>
    <row r="1563" spans="3:18">
      <c r="C1563" s="142"/>
      <c r="D1563" s="142"/>
      <c r="E1563" s="142"/>
      <c r="I1563" s="105"/>
    </row>
    <row r="1564" spans="3:18">
      <c r="C1564" s="142"/>
      <c r="D1564" s="142"/>
      <c r="E1564" s="142"/>
    </row>
    <row r="1565" spans="3:18">
      <c r="C1565" s="142"/>
      <c r="D1565" s="142"/>
      <c r="E1565" s="142"/>
    </row>
    <row r="1566" spans="3:18">
      <c r="C1566" s="142"/>
      <c r="D1566" s="142"/>
      <c r="E1566" s="142"/>
    </row>
    <row r="1567" spans="3:18">
      <c r="C1567" s="142"/>
      <c r="D1567" s="142"/>
      <c r="E1567" s="142"/>
    </row>
    <row r="1568" spans="3:18">
      <c r="C1568" s="142"/>
      <c r="D1568" s="142"/>
      <c r="E1568" s="142"/>
    </row>
    <row r="1569" spans="3:18">
      <c r="C1569" s="142"/>
      <c r="D1569" s="142"/>
      <c r="E1569" s="142"/>
    </row>
    <row r="1570" spans="3:18">
      <c r="C1570" s="142"/>
      <c r="D1570" s="142"/>
      <c r="E1570" s="142"/>
    </row>
    <row r="1571" spans="3:18">
      <c r="C1571" s="142"/>
      <c r="D1571" s="142"/>
      <c r="E1571" s="142"/>
    </row>
    <row r="1572" spans="3:18">
      <c r="C1572" s="142"/>
      <c r="D1572" s="142"/>
      <c r="E1572" s="142"/>
    </row>
    <row r="1573" spans="3:18">
      <c r="C1573" s="142"/>
      <c r="D1573" s="142"/>
      <c r="E1573" s="142"/>
    </row>
    <row r="1574" spans="3:18">
      <c r="C1574" s="142"/>
      <c r="D1574" s="142"/>
      <c r="E1574" s="142"/>
    </row>
    <row r="1575" spans="3:18">
      <c r="C1575" s="142"/>
      <c r="D1575" s="142"/>
      <c r="E1575" s="142"/>
      <c r="R1575" s="94"/>
    </row>
    <row r="1576" spans="3:18">
      <c r="C1576" s="142"/>
      <c r="D1576" s="142"/>
      <c r="E1576" s="142"/>
      <c r="R1576" s="92"/>
    </row>
    <row r="1577" spans="3:18">
      <c r="C1577" s="142"/>
      <c r="D1577" s="142"/>
      <c r="E1577" s="142"/>
    </row>
    <row r="1578" spans="3:18">
      <c r="C1578" s="142"/>
      <c r="D1578" s="142"/>
      <c r="E1578" s="142"/>
    </row>
    <row r="1579" spans="3:18">
      <c r="C1579" s="142"/>
      <c r="D1579" s="142"/>
      <c r="E1579" s="142"/>
    </row>
    <row r="1580" spans="3:18">
      <c r="C1580" s="142"/>
      <c r="D1580" s="142"/>
      <c r="E1580" s="142"/>
    </row>
    <row r="1581" spans="3:18">
      <c r="C1581" s="142"/>
      <c r="D1581" s="142"/>
      <c r="E1581" s="142"/>
    </row>
    <row r="1582" spans="3:18">
      <c r="C1582" s="142"/>
      <c r="D1582" s="142"/>
      <c r="E1582" s="142"/>
    </row>
    <row r="1583" spans="3:18">
      <c r="C1583" s="142"/>
      <c r="D1583" s="142"/>
      <c r="E1583" s="142"/>
    </row>
    <row r="1584" spans="3:18">
      <c r="C1584" s="142"/>
      <c r="D1584" s="142"/>
      <c r="E1584" s="142"/>
    </row>
    <row r="1585" spans="3:18">
      <c r="C1585" s="142"/>
      <c r="D1585" s="142"/>
      <c r="E1585" s="142"/>
    </row>
    <row r="1586" spans="3:18">
      <c r="C1586" s="142"/>
      <c r="D1586" s="142"/>
      <c r="E1586" s="142"/>
    </row>
    <row r="1587" spans="3:18">
      <c r="C1587" s="142"/>
      <c r="D1587" s="142"/>
      <c r="E1587" s="142"/>
    </row>
    <row r="1588" spans="3:18">
      <c r="C1588" s="142"/>
      <c r="D1588" s="142"/>
      <c r="E1588" s="142"/>
    </row>
    <row r="1589" spans="3:18">
      <c r="C1589" s="142"/>
      <c r="D1589" s="142"/>
      <c r="E1589" s="142"/>
    </row>
    <row r="1590" spans="3:18">
      <c r="C1590" s="142"/>
      <c r="D1590" s="142"/>
      <c r="E1590" s="142"/>
      <c r="R1590" s="94"/>
    </row>
    <row r="1591" spans="3:18">
      <c r="C1591" s="142"/>
      <c r="D1591" s="142"/>
      <c r="E1591" s="142"/>
      <c r="R1591" s="92"/>
    </row>
    <row r="1592" spans="3:18">
      <c r="C1592" s="142"/>
      <c r="D1592" s="142"/>
      <c r="E1592" s="142"/>
    </row>
    <row r="1593" spans="3:18">
      <c r="C1593" s="142"/>
      <c r="D1593" s="142"/>
      <c r="E1593" s="142"/>
    </row>
    <row r="1594" spans="3:18">
      <c r="C1594" s="142"/>
      <c r="D1594" s="142"/>
      <c r="E1594" s="142"/>
    </row>
    <row r="1595" spans="3:18">
      <c r="C1595" s="142"/>
      <c r="D1595" s="142"/>
      <c r="E1595" s="142"/>
    </row>
    <row r="1596" spans="3:18">
      <c r="C1596" s="142"/>
      <c r="D1596" s="142"/>
      <c r="E1596" s="142"/>
    </row>
    <row r="1597" spans="3:18">
      <c r="C1597" s="142"/>
      <c r="D1597" s="142"/>
      <c r="E1597" s="142"/>
    </row>
    <row r="1598" spans="3:18">
      <c r="C1598" s="142"/>
      <c r="D1598" s="142"/>
      <c r="E1598" s="142"/>
    </row>
    <row r="1599" spans="3:18">
      <c r="C1599" s="142"/>
      <c r="D1599" s="142"/>
      <c r="E1599" s="142"/>
    </row>
    <row r="1600" spans="3:18">
      <c r="C1600" s="142"/>
      <c r="D1600" s="142"/>
      <c r="E1600" s="142"/>
    </row>
    <row r="1601" spans="3:5">
      <c r="C1601" s="142"/>
      <c r="D1601" s="142"/>
      <c r="E1601" s="142"/>
    </row>
    <row r="1602" spans="3:5">
      <c r="C1602" s="142"/>
      <c r="D1602" s="142"/>
      <c r="E1602" s="142"/>
    </row>
    <row r="1603" spans="3:5">
      <c r="C1603" s="142"/>
      <c r="D1603" s="142"/>
      <c r="E1603" s="142"/>
    </row>
    <row r="1604" spans="3:5">
      <c r="C1604" s="142"/>
      <c r="D1604" s="142"/>
      <c r="E1604" s="142"/>
    </row>
    <row r="1605" spans="3:5">
      <c r="C1605" s="142"/>
      <c r="D1605" s="142"/>
      <c r="E1605" s="142"/>
    </row>
    <row r="1606" spans="3:5">
      <c r="C1606" s="142"/>
      <c r="D1606" s="142"/>
      <c r="E1606" s="142"/>
    </row>
    <row r="1607" spans="3:5">
      <c r="C1607" s="142"/>
      <c r="D1607" s="142"/>
      <c r="E1607" s="142"/>
    </row>
    <row r="1608" spans="3:5">
      <c r="C1608" s="142"/>
      <c r="D1608" s="142"/>
      <c r="E1608" s="142"/>
    </row>
    <row r="1609" spans="3:5">
      <c r="C1609" s="142"/>
      <c r="D1609" s="142"/>
      <c r="E1609" s="142"/>
    </row>
    <row r="1610" spans="3:5">
      <c r="C1610" s="142"/>
      <c r="D1610" s="142"/>
      <c r="E1610" s="142"/>
    </row>
    <row r="1611" spans="3:5">
      <c r="C1611" s="142"/>
      <c r="D1611" s="142"/>
      <c r="E1611" s="142"/>
    </row>
    <row r="1612" spans="3:5">
      <c r="C1612" s="142"/>
      <c r="D1612" s="142"/>
      <c r="E1612" s="142"/>
    </row>
    <row r="1613" spans="3:5">
      <c r="C1613" s="142"/>
      <c r="D1613" s="142"/>
      <c r="E1613" s="142"/>
    </row>
    <row r="1614" spans="3:5">
      <c r="C1614" s="142"/>
      <c r="D1614" s="142"/>
      <c r="E1614" s="142"/>
    </row>
    <row r="1615" spans="3:5">
      <c r="C1615" s="142"/>
      <c r="D1615" s="142"/>
      <c r="E1615" s="142"/>
    </row>
    <row r="1616" spans="3:5">
      <c r="C1616" s="142"/>
      <c r="D1616" s="142"/>
      <c r="E1616" s="142"/>
    </row>
    <row r="1617" spans="3:18">
      <c r="C1617" s="142"/>
      <c r="D1617" s="142"/>
      <c r="E1617" s="142"/>
    </row>
    <row r="1618" spans="3:18">
      <c r="C1618" s="142"/>
      <c r="D1618" s="142"/>
      <c r="E1618" s="142"/>
    </row>
    <row r="1619" spans="3:18">
      <c r="C1619" s="142"/>
      <c r="D1619" s="142"/>
      <c r="E1619" s="142"/>
    </row>
    <row r="1620" spans="3:18">
      <c r="C1620" s="142"/>
      <c r="D1620" s="142"/>
      <c r="E1620" s="142"/>
    </row>
    <row r="1621" spans="3:18">
      <c r="C1621" s="142"/>
      <c r="D1621" s="142"/>
      <c r="E1621" s="142"/>
    </row>
    <row r="1622" spans="3:18">
      <c r="C1622" s="142"/>
      <c r="D1622" s="142"/>
      <c r="E1622" s="142"/>
    </row>
    <row r="1623" spans="3:18">
      <c r="C1623" s="142"/>
      <c r="D1623" s="142"/>
      <c r="E1623" s="142"/>
    </row>
    <row r="1624" spans="3:18">
      <c r="C1624" s="142"/>
      <c r="D1624" s="142"/>
      <c r="E1624" s="142"/>
    </row>
    <row r="1625" spans="3:18">
      <c r="C1625" s="142"/>
      <c r="D1625" s="142"/>
      <c r="E1625" s="142"/>
    </row>
    <row r="1626" spans="3:18">
      <c r="C1626" s="142"/>
      <c r="D1626" s="142"/>
      <c r="E1626" s="142"/>
    </row>
    <row r="1627" spans="3:18">
      <c r="C1627" s="142"/>
      <c r="D1627" s="142"/>
      <c r="E1627" s="142"/>
    </row>
    <row r="1628" spans="3:18">
      <c r="C1628" s="142"/>
      <c r="D1628" s="142"/>
      <c r="E1628" s="142"/>
    </row>
    <row r="1629" spans="3:18">
      <c r="C1629" s="142"/>
      <c r="D1629" s="142"/>
      <c r="E1629" s="142"/>
    </row>
    <row r="1630" spans="3:18">
      <c r="C1630" s="142"/>
      <c r="D1630" s="142"/>
      <c r="E1630" s="142"/>
    </row>
    <row r="1631" spans="3:18">
      <c r="C1631" s="142"/>
      <c r="D1631" s="142"/>
      <c r="E1631" s="142"/>
      <c r="R1631" s="94"/>
    </row>
    <row r="1632" spans="3:18">
      <c r="C1632" s="142"/>
      <c r="D1632" s="142"/>
      <c r="E1632" s="142"/>
      <c r="R1632" s="92"/>
    </row>
    <row r="1633" spans="3:18">
      <c r="C1633" s="142"/>
      <c r="D1633" s="142"/>
      <c r="E1633" s="142"/>
    </row>
    <row r="1634" spans="3:18">
      <c r="C1634" s="142"/>
      <c r="D1634" s="142"/>
      <c r="E1634" s="142"/>
    </row>
    <row r="1635" spans="3:18">
      <c r="C1635" s="142"/>
      <c r="D1635" s="142"/>
      <c r="E1635" s="142"/>
    </row>
    <row r="1636" spans="3:18">
      <c r="C1636" s="142"/>
      <c r="D1636" s="142"/>
      <c r="E1636" s="142"/>
      <c r="R1636" s="94"/>
    </row>
    <row r="1637" spans="3:18">
      <c r="C1637" s="142"/>
      <c r="D1637" s="142"/>
      <c r="E1637" s="142"/>
      <c r="R1637" s="92"/>
    </row>
    <row r="1638" spans="3:18">
      <c r="C1638" s="142"/>
      <c r="D1638" s="142"/>
      <c r="E1638" s="142"/>
      <c r="R1638" s="94"/>
    </row>
    <row r="1639" spans="3:18">
      <c r="C1639" s="142"/>
      <c r="D1639" s="142"/>
      <c r="E1639" s="142"/>
      <c r="R1639" s="92"/>
    </row>
    <row r="1640" spans="3:18">
      <c r="C1640" s="142"/>
      <c r="D1640" s="142"/>
      <c r="E1640" s="142"/>
      <c r="R1640" s="94"/>
    </row>
    <row r="1641" spans="3:18">
      <c r="C1641" s="142"/>
      <c r="D1641" s="142"/>
      <c r="E1641" s="142"/>
      <c r="R1641" s="92"/>
    </row>
    <row r="1642" spans="3:18">
      <c r="C1642" s="142"/>
      <c r="D1642" s="142"/>
      <c r="E1642" s="142"/>
    </row>
    <row r="1643" spans="3:18">
      <c r="C1643" s="142"/>
      <c r="D1643" s="142"/>
      <c r="E1643" s="142"/>
    </row>
    <row r="1644" spans="3:18">
      <c r="C1644" s="142"/>
      <c r="D1644" s="142"/>
      <c r="E1644" s="142"/>
      <c r="R1644" s="94"/>
    </row>
    <row r="1645" spans="3:18">
      <c r="C1645" s="142"/>
      <c r="D1645" s="142"/>
      <c r="E1645" s="142"/>
      <c r="R1645" s="92"/>
    </row>
    <row r="1646" spans="3:18">
      <c r="C1646" s="142"/>
      <c r="D1646" s="142"/>
      <c r="E1646" s="142"/>
    </row>
    <row r="1647" spans="3:18">
      <c r="C1647" s="142"/>
      <c r="D1647" s="142"/>
      <c r="E1647" s="142"/>
    </row>
    <row r="1648" spans="3:18">
      <c r="C1648" s="142"/>
      <c r="D1648" s="142"/>
      <c r="E1648" s="142"/>
    </row>
    <row r="1649" spans="3:18">
      <c r="C1649" s="142"/>
      <c r="D1649" s="142"/>
      <c r="E1649" s="142"/>
    </row>
    <row r="1650" spans="3:18">
      <c r="C1650" s="142"/>
      <c r="D1650" s="142"/>
      <c r="E1650" s="142"/>
    </row>
    <row r="1651" spans="3:18">
      <c r="C1651" s="142"/>
      <c r="D1651" s="142"/>
      <c r="E1651" s="142"/>
      <c r="R1651" s="94"/>
    </row>
    <row r="1652" spans="3:18">
      <c r="C1652" s="142"/>
      <c r="D1652" s="142"/>
      <c r="E1652" s="142"/>
      <c r="R1652" s="95"/>
    </row>
    <row r="1653" spans="3:18">
      <c r="C1653" s="142"/>
      <c r="D1653" s="142"/>
      <c r="E1653" s="142"/>
      <c r="R1653" s="92"/>
    </row>
    <row r="1654" spans="3:18">
      <c r="C1654" s="142"/>
      <c r="D1654" s="142"/>
      <c r="E1654" s="142"/>
      <c r="R1654" s="94"/>
    </row>
    <row r="1655" spans="3:18">
      <c r="C1655" s="142"/>
      <c r="D1655" s="142"/>
      <c r="E1655" s="142"/>
      <c r="R1655" s="95"/>
    </row>
    <row r="1656" spans="3:18">
      <c r="C1656" s="142"/>
      <c r="D1656" s="142"/>
      <c r="E1656" s="142"/>
      <c r="R1656" s="92"/>
    </row>
    <row r="1657" spans="3:18">
      <c r="C1657" s="142"/>
      <c r="D1657" s="142"/>
      <c r="E1657" s="142"/>
    </row>
    <row r="1658" spans="3:18">
      <c r="C1658" s="142"/>
      <c r="D1658" s="142"/>
      <c r="E1658" s="142"/>
      <c r="K1658" s="84"/>
      <c r="R1658" s="94"/>
    </row>
    <row r="1659" spans="3:18">
      <c r="C1659" s="142"/>
      <c r="D1659" s="142"/>
      <c r="E1659" s="142"/>
      <c r="K1659" s="84"/>
      <c r="R1659" s="92"/>
    </row>
    <row r="1660" spans="3:18">
      <c r="C1660" s="142"/>
      <c r="D1660" s="142"/>
      <c r="E1660" s="142"/>
    </row>
    <row r="1661" spans="3:18">
      <c r="C1661" s="142"/>
      <c r="D1661" s="142"/>
      <c r="E1661" s="142"/>
      <c r="R1661" s="94"/>
    </row>
    <row r="1662" spans="3:18">
      <c r="C1662" s="142"/>
      <c r="D1662" s="142"/>
      <c r="E1662" s="142"/>
      <c r="R1662" s="92"/>
    </row>
    <row r="1663" spans="3:18">
      <c r="C1663" s="142"/>
      <c r="D1663" s="142"/>
      <c r="E1663" s="142"/>
      <c r="R1663" s="94"/>
    </row>
    <row r="1664" spans="3:18">
      <c r="C1664" s="142"/>
      <c r="D1664" s="142"/>
      <c r="E1664" s="142"/>
      <c r="R1664" s="95"/>
    </row>
    <row r="1665" spans="3:18">
      <c r="C1665" s="142"/>
      <c r="D1665" s="142"/>
      <c r="E1665" s="142"/>
      <c r="R1665" s="92"/>
    </row>
    <row r="1666" spans="3:18">
      <c r="C1666" s="142"/>
      <c r="D1666" s="142"/>
      <c r="E1666" s="142"/>
      <c r="R1666" s="94"/>
    </row>
    <row r="1667" spans="3:18">
      <c r="C1667" s="142"/>
      <c r="D1667" s="142"/>
      <c r="E1667" s="142"/>
      <c r="R1667" s="92"/>
    </row>
    <row r="1668" spans="3:18">
      <c r="C1668" s="142"/>
      <c r="D1668" s="142"/>
      <c r="E1668" s="142"/>
      <c r="R1668" s="94"/>
    </row>
    <row r="1669" spans="3:18">
      <c r="C1669" s="142"/>
      <c r="D1669" s="142"/>
      <c r="E1669" s="142"/>
      <c r="R1669" s="92"/>
    </row>
    <row r="1670" spans="3:18">
      <c r="C1670" s="142"/>
      <c r="D1670" s="142"/>
      <c r="E1670" s="142"/>
      <c r="R1670" s="94"/>
    </row>
    <row r="1671" spans="3:18">
      <c r="C1671" s="142"/>
      <c r="D1671" s="142"/>
      <c r="E1671" s="142"/>
      <c r="R1671" s="92"/>
    </row>
    <row r="1672" spans="3:18">
      <c r="C1672" s="142"/>
      <c r="D1672" s="142"/>
      <c r="E1672" s="142"/>
    </row>
    <row r="1673" spans="3:18">
      <c r="C1673" s="142"/>
      <c r="D1673" s="142"/>
      <c r="E1673" s="142"/>
    </row>
    <row r="1674" spans="3:18">
      <c r="C1674" s="142"/>
      <c r="D1674" s="142"/>
      <c r="E1674" s="142"/>
    </row>
    <row r="1675" spans="3:18">
      <c r="C1675" s="142"/>
      <c r="D1675" s="142"/>
      <c r="E1675" s="142"/>
      <c r="O1675" s="123"/>
    </row>
    <row r="1676" spans="3:18">
      <c r="C1676" s="142"/>
      <c r="D1676" s="142"/>
      <c r="E1676" s="142"/>
    </row>
    <row r="1677" spans="3:18">
      <c r="C1677" s="142"/>
      <c r="D1677" s="142"/>
      <c r="E1677" s="142"/>
    </row>
    <row r="1678" spans="3:18">
      <c r="C1678" s="142"/>
      <c r="D1678" s="142"/>
      <c r="E1678" s="142"/>
    </row>
    <row r="1679" spans="3:18">
      <c r="C1679" s="142"/>
      <c r="D1679" s="142"/>
      <c r="E1679" s="142"/>
    </row>
    <row r="1680" spans="3:18">
      <c r="C1680" s="142"/>
      <c r="D1680" s="142"/>
      <c r="E1680" s="142"/>
    </row>
    <row r="1681" spans="3:5">
      <c r="C1681" s="142"/>
      <c r="D1681" s="142"/>
      <c r="E1681" s="142"/>
    </row>
    <row r="1682" spans="3:5">
      <c r="C1682" s="142"/>
      <c r="D1682" s="142"/>
      <c r="E1682" s="142"/>
    </row>
    <row r="1683" spans="3:5">
      <c r="C1683" s="142"/>
      <c r="D1683" s="142"/>
      <c r="E1683" s="142"/>
    </row>
    <row r="1684" spans="3:5">
      <c r="C1684" s="142"/>
      <c r="D1684" s="142"/>
      <c r="E1684" s="142"/>
    </row>
    <row r="1685" spans="3:5">
      <c r="C1685" s="142"/>
      <c r="D1685" s="142"/>
      <c r="E1685" s="142"/>
    </row>
    <row r="1686" spans="3:5">
      <c r="C1686" s="142"/>
      <c r="D1686" s="142"/>
      <c r="E1686" s="142"/>
    </row>
    <row r="1687" spans="3:5">
      <c r="C1687" s="142"/>
      <c r="D1687" s="142"/>
      <c r="E1687" s="142"/>
    </row>
    <row r="1688" spans="3:5">
      <c r="C1688" s="142"/>
      <c r="D1688" s="142"/>
      <c r="E1688" s="142"/>
    </row>
    <row r="1689" spans="3:5">
      <c r="C1689" s="142"/>
      <c r="D1689" s="142"/>
      <c r="E1689" s="142"/>
    </row>
    <row r="1690" spans="3:5">
      <c r="C1690" s="142"/>
      <c r="D1690" s="142"/>
      <c r="E1690" s="142"/>
    </row>
    <row r="1691" spans="3:5">
      <c r="C1691" s="142"/>
      <c r="D1691" s="142"/>
      <c r="E1691" s="142"/>
    </row>
    <row r="1692" spans="3:5">
      <c r="C1692" s="142"/>
      <c r="D1692" s="142"/>
      <c r="E1692" s="142"/>
    </row>
    <row r="1693" spans="3:5">
      <c r="C1693" s="142"/>
      <c r="D1693" s="142"/>
      <c r="E1693" s="142"/>
    </row>
    <row r="1694" spans="3:5">
      <c r="C1694" s="142"/>
      <c r="D1694" s="142"/>
      <c r="E1694" s="142"/>
    </row>
    <row r="1695" spans="3:5">
      <c r="C1695" s="142"/>
      <c r="D1695" s="142"/>
      <c r="E1695" s="142"/>
    </row>
    <row r="1696" spans="3:5">
      <c r="C1696" s="142"/>
      <c r="D1696" s="142"/>
      <c r="E1696" s="142"/>
    </row>
    <row r="1697" spans="3:18">
      <c r="C1697" s="142"/>
      <c r="D1697" s="142"/>
      <c r="E1697" s="142"/>
      <c r="R1697" s="94"/>
    </row>
    <row r="1698" spans="3:18">
      <c r="C1698" s="142"/>
      <c r="D1698" s="142"/>
      <c r="E1698" s="142"/>
      <c r="R1698" s="92"/>
    </row>
    <row r="1699" spans="3:18">
      <c r="C1699" s="142"/>
      <c r="D1699" s="142"/>
      <c r="E1699" s="142"/>
      <c r="R1699" s="94"/>
    </row>
    <row r="1700" spans="3:18">
      <c r="C1700" s="142"/>
      <c r="D1700" s="142"/>
      <c r="E1700" s="142"/>
      <c r="R1700" s="92"/>
    </row>
    <row r="1701" spans="3:18">
      <c r="C1701" s="142"/>
      <c r="D1701" s="142"/>
      <c r="E1701" s="142"/>
      <c r="R1701" s="94"/>
    </row>
    <row r="1702" spans="3:18">
      <c r="C1702" s="142"/>
      <c r="D1702" s="142"/>
      <c r="E1702" s="142"/>
      <c r="R1702" s="92"/>
    </row>
    <row r="1703" spans="3:18">
      <c r="C1703" s="142"/>
      <c r="D1703" s="142"/>
      <c r="E1703" s="142"/>
    </row>
    <row r="1704" spans="3:18">
      <c r="C1704" s="142"/>
      <c r="D1704" s="142"/>
      <c r="E1704" s="142"/>
    </row>
    <row r="1705" spans="3:18">
      <c r="C1705" s="142"/>
      <c r="D1705" s="142"/>
      <c r="E1705" s="142"/>
    </row>
    <row r="1706" spans="3:18">
      <c r="C1706" s="142"/>
      <c r="D1706" s="142"/>
      <c r="E1706" s="142"/>
      <c r="R1706" s="94"/>
    </row>
    <row r="1707" spans="3:18">
      <c r="C1707" s="142"/>
      <c r="D1707" s="142"/>
      <c r="E1707" s="142"/>
      <c r="R1707" s="92"/>
    </row>
    <row r="1708" spans="3:18">
      <c r="C1708" s="142"/>
      <c r="D1708" s="142"/>
      <c r="E1708" s="142"/>
      <c r="R1708" s="94"/>
    </row>
    <row r="1709" spans="3:18">
      <c r="C1709" s="142"/>
      <c r="D1709" s="142"/>
      <c r="E1709" s="142"/>
      <c r="R1709" s="95"/>
    </row>
    <row r="1710" spans="3:18">
      <c r="C1710" s="142"/>
      <c r="D1710" s="142"/>
      <c r="E1710" s="142"/>
      <c r="R1710" s="92"/>
    </row>
    <row r="1711" spans="3:18">
      <c r="C1711" s="142"/>
      <c r="D1711" s="142"/>
      <c r="E1711" s="142"/>
    </row>
    <row r="1712" spans="3:18">
      <c r="C1712" s="142"/>
      <c r="D1712" s="142"/>
      <c r="E1712" s="142"/>
    </row>
    <row r="1713" spans="3:18">
      <c r="C1713" s="142"/>
      <c r="D1713" s="142"/>
      <c r="E1713" s="142"/>
      <c r="R1713" s="94"/>
    </row>
    <row r="1714" spans="3:18">
      <c r="C1714" s="142"/>
      <c r="D1714" s="142"/>
      <c r="E1714" s="142"/>
      <c r="R1714" s="92"/>
    </row>
    <row r="1715" spans="3:18">
      <c r="C1715" s="142"/>
      <c r="D1715" s="142"/>
      <c r="E1715" s="142"/>
    </row>
    <row r="1716" spans="3:18">
      <c r="C1716" s="142"/>
      <c r="D1716" s="142"/>
      <c r="E1716" s="142"/>
    </row>
    <row r="1717" spans="3:18">
      <c r="C1717" s="142"/>
      <c r="D1717" s="142"/>
      <c r="E1717" s="142"/>
    </row>
    <row r="1718" spans="3:18">
      <c r="C1718" s="142"/>
      <c r="D1718" s="142"/>
      <c r="E1718" s="142"/>
    </row>
    <row r="1719" spans="3:18">
      <c r="C1719" s="142"/>
      <c r="D1719" s="142"/>
      <c r="E1719" s="142"/>
    </row>
    <row r="1720" spans="3:18">
      <c r="C1720" s="142"/>
      <c r="D1720" s="142"/>
      <c r="E1720" s="142"/>
      <c r="R1720" s="94"/>
    </row>
    <row r="1721" spans="3:18">
      <c r="C1721" s="142"/>
      <c r="D1721" s="142"/>
      <c r="E1721" s="142"/>
      <c r="R1721" s="92"/>
    </row>
    <row r="1722" spans="3:18">
      <c r="C1722" s="142"/>
      <c r="D1722" s="142"/>
      <c r="E1722" s="142"/>
      <c r="R1722" s="94"/>
    </row>
    <row r="1723" spans="3:18">
      <c r="C1723" s="142"/>
      <c r="D1723" s="142"/>
      <c r="E1723" s="142"/>
      <c r="R1723" s="92"/>
    </row>
    <row r="1724" spans="3:18">
      <c r="C1724" s="142"/>
      <c r="D1724" s="142"/>
      <c r="E1724" s="142"/>
    </row>
    <row r="1725" spans="3:18">
      <c r="C1725" s="142"/>
      <c r="D1725" s="142"/>
      <c r="E1725" s="142"/>
    </row>
    <row r="1726" ht="13" customHeight="1" spans="3:18">
      <c r="C1726" s="142"/>
      <c r="D1726" s="142"/>
      <c r="E1726" s="142"/>
    </row>
    <row r="1727" spans="3:18">
      <c r="C1727" s="142"/>
      <c r="D1727" s="142"/>
      <c r="E1727" s="142"/>
    </row>
    <row r="1728" spans="3:18">
      <c r="C1728" s="142"/>
      <c r="D1728" s="142"/>
      <c r="E1728" s="142"/>
    </row>
    <row r="1729" spans="3:18">
      <c r="C1729" s="142"/>
      <c r="D1729" s="142"/>
      <c r="E1729" s="142"/>
    </row>
    <row r="1730" spans="3:18">
      <c r="C1730" s="142"/>
      <c r="D1730" s="142"/>
      <c r="E1730" s="142"/>
    </row>
    <row r="1731" spans="3:18">
      <c r="C1731" s="142"/>
      <c r="D1731" s="142"/>
      <c r="E1731" s="142"/>
    </row>
    <row r="1732" spans="3:18">
      <c r="C1732" s="142"/>
      <c r="D1732" s="142"/>
      <c r="E1732" s="142"/>
    </row>
    <row r="1733" spans="3:18">
      <c r="C1733" s="142"/>
      <c r="D1733" s="142"/>
      <c r="E1733" s="142"/>
    </row>
    <row r="1734" spans="3:18">
      <c r="C1734" s="142"/>
      <c r="D1734" s="142"/>
      <c r="E1734" s="142"/>
    </row>
    <row r="1735" spans="3:18">
      <c r="C1735" s="142"/>
      <c r="D1735" s="142"/>
      <c r="E1735" s="142"/>
    </row>
    <row r="1736" spans="3:18">
      <c r="C1736" s="142"/>
      <c r="D1736" s="142"/>
      <c r="E1736" s="142"/>
    </row>
    <row r="1737" spans="3:18">
      <c r="C1737" s="142"/>
      <c r="D1737" s="142"/>
      <c r="E1737" s="142"/>
      <c r="R1737" s="94"/>
    </row>
    <row r="1738" spans="3:18">
      <c r="C1738" s="142"/>
      <c r="D1738" s="142"/>
      <c r="E1738" s="142"/>
      <c r="R1738" s="95"/>
    </row>
    <row r="1739" spans="3:18">
      <c r="C1739" s="142"/>
      <c r="D1739" s="142"/>
      <c r="E1739" s="142"/>
      <c r="R1739" s="95"/>
    </row>
    <row r="1740" spans="3:18">
      <c r="C1740" s="142"/>
      <c r="D1740" s="142"/>
      <c r="E1740" s="142"/>
      <c r="R1740" s="92"/>
    </row>
    <row r="1741" spans="3:18">
      <c r="C1741" s="142"/>
      <c r="D1741" s="142"/>
      <c r="E1741" s="142"/>
    </row>
    <row r="1742" spans="3:18">
      <c r="C1742" s="142"/>
      <c r="D1742" s="142"/>
      <c r="E1742" s="142"/>
    </row>
    <row r="1743" spans="3:18">
      <c r="C1743" s="142"/>
      <c r="D1743" s="142"/>
      <c r="E1743" s="142"/>
      <c r="R1743" s="94"/>
    </row>
    <row r="1744" spans="3:18">
      <c r="C1744" s="142"/>
      <c r="D1744" s="142"/>
      <c r="E1744" s="142"/>
      <c r="R1744" s="92"/>
    </row>
    <row r="1745" spans="3:18">
      <c r="C1745" s="142"/>
      <c r="D1745" s="142"/>
      <c r="E1745" s="142"/>
    </row>
    <row r="1746" spans="3:18">
      <c r="C1746" s="142"/>
      <c r="D1746" s="142"/>
      <c r="E1746" s="142"/>
      <c r="R1746" s="94"/>
    </row>
    <row r="1747" spans="3:18">
      <c r="C1747" s="142"/>
      <c r="D1747" s="142"/>
      <c r="E1747" s="142"/>
      <c r="R1747" s="92"/>
    </row>
    <row r="1748" spans="3:18">
      <c r="C1748" s="142"/>
      <c r="D1748" s="142"/>
      <c r="E1748" s="142"/>
    </row>
    <row r="1749" spans="3:18">
      <c r="C1749" s="142"/>
      <c r="D1749" s="142"/>
      <c r="E1749" s="142"/>
    </row>
    <row r="1750" spans="3:18">
      <c r="C1750" s="142"/>
      <c r="D1750" s="142"/>
      <c r="E1750" s="142"/>
      <c r="R1750" s="94"/>
    </row>
    <row r="1751" spans="3:18">
      <c r="C1751" s="142"/>
      <c r="D1751" s="142"/>
      <c r="E1751" s="142"/>
      <c r="R1751" s="92"/>
    </row>
    <row r="1752" spans="3:18">
      <c r="C1752" s="175"/>
      <c r="D1752" s="142"/>
    </row>
    <row r="1753" spans="3:18">
      <c r="C1753" s="175"/>
      <c r="D1753" s="142"/>
    </row>
    <row r="1754" spans="3:18">
      <c r="C1754" s="175"/>
      <c r="D1754" s="142"/>
    </row>
    <row r="1755" spans="3:18">
      <c r="C1755" s="175"/>
      <c r="D1755" s="142"/>
    </row>
    <row r="1756" spans="3:18">
      <c r="C1756" s="175"/>
      <c r="D1756" s="142"/>
    </row>
    <row r="1757" spans="3:18">
      <c r="C1757" s="175"/>
      <c r="D1757" s="142"/>
    </row>
    <row r="1758" spans="3:18">
      <c r="C1758" s="175"/>
      <c r="D1758" s="142"/>
    </row>
    <row r="1759" spans="3:18">
      <c r="C1759" s="175"/>
      <c r="D1759" s="142"/>
    </row>
    <row r="1760" spans="3:18">
      <c r="C1760" s="175"/>
      <c r="D1760" s="142"/>
      <c r="R1760" s="94"/>
    </row>
    <row r="1761" spans="3:18">
      <c r="C1761" s="175"/>
      <c r="D1761" s="142"/>
      <c r="R1761" s="92"/>
    </row>
    <row r="1762" spans="3:18">
      <c r="C1762" s="175"/>
      <c r="D1762" s="142"/>
    </row>
    <row r="1763" spans="3:18">
      <c r="C1763" s="175"/>
      <c r="D1763" s="142"/>
    </row>
    <row r="1764" spans="3:18">
      <c r="C1764" s="175"/>
      <c r="D1764" s="142"/>
    </row>
    <row r="1765" spans="3:18">
      <c r="C1765" s="175"/>
      <c r="D1765" s="142"/>
    </row>
    <row r="1766" spans="3:18">
      <c r="C1766" s="175"/>
      <c r="D1766" s="142"/>
    </row>
    <row r="1767" spans="3:18">
      <c r="C1767" s="175"/>
      <c r="D1767" s="142"/>
    </row>
    <row r="1768" spans="3:18">
      <c r="C1768" s="175"/>
      <c r="D1768" s="142"/>
    </row>
    <row r="1769" spans="3:18">
      <c r="C1769" s="175"/>
      <c r="D1769" s="142"/>
      <c r="R1769" s="94"/>
    </row>
    <row r="1770" spans="3:18">
      <c r="C1770" s="175"/>
      <c r="D1770" s="142"/>
      <c r="R1770" s="92"/>
    </row>
    <row r="1771" spans="3:18">
      <c r="C1771" s="175"/>
      <c r="D1771" s="142"/>
    </row>
    <row r="1772" spans="3:18">
      <c r="C1772" s="175"/>
      <c r="D1772" s="142"/>
    </row>
    <row r="1773" spans="3:18">
      <c r="C1773" s="175"/>
      <c r="D1773" s="142"/>
      <c r="R1773" s="94"/>
    </row>
    <row r="1774" spans="3:18">
      <c r="C1774" s="175"/>
      <c r="D1774" s="142"/>
      <c r="R1774" s="92"/>
    </row>
    <row r="1775" spans="3:18">
      <c r="C1775" s="175"/>
      <c r="D1775" s="142"/>
      <c r="R1775" s="94"/>
    </row>
    <row r="1776" spans="3:18">
      <c r="C1776" s="175"/>
      <c r="D1776" s="142"/>
      <c r="R1776" s="92"/>
    </row>
    <row r="1777" spans="3:18">
      <c r="C1777" s="175"/>
      <c r="D1777" s="142"/>
      <c r="R1777" s="94"/>
    </row>
    <row r="1778" spans="3:18">
      <c r="C1778" s="175"/>
      <c r="D1778" s="142"/>
      <c r="R1778" s="92"/>
    </row>
    <row r="1779" spans="3:18">
      <c r="C1779" s="175"/>
      <c r="D1779" s="142"/>
    </row>
    <row r="1780" spans="3:18">
      <c r="C1780" s="175"/>
      <c r="D1780" s="142"/>
    </row>
    <row r="1781" spans="3:18">
      <c r="C1781" s="175"/>
      <c r="D1781" s="142"/>
    </row>
    <row r="1782" spans="3:18">
      <c r="C1782" s="175"/>
      <c r="D1782" s="142"/>
    </row>
    <row r="1783" spans="3:18">
      <c r="C1783" s="175"/>
      <c r="D1783" s="142"/>
    </row>
    <row r="1784" spans="3:18">
      <c r="C1784" s="175"/>
      <c r="D1784" s="142"/>
    </row>
    <row r="1785" spans="3:18">
      <c r="C1785" s="175"/>
      <c r="D1785" s="142"/>
      <c r="R1785" s="94"/>
    </row>
    <row r="1786" spans="3:18">
      <c r="C1786" s="175"/>
      <c r="D1786" s="142"/>
      <c r="R1786" s="92"/>
    </row>
    <row r="1787" spans="3:18">
      <c r="C1787" s="175"/>
      <c r="D1787" s="142"/>
      <c r="R1787" s="94"/>
    </row>
    <row r="1788" spans="3:18">
      <c r="C1788" s="175"/>
      <c r="D1788" s="142"/>
      <c r="R1788" s="92"/>
    </row>
    <row r="1789" spans="3:18">
      <c r="C1789" s="175"/>
      <c r="D1789" s="142"/>
      <c r="R1789" s="94"/>
    </row>
    <row r="1790" spans="3:18">
      <c r="C1790" s="175"/>
      <c r="D1790" s="142"/>
      <c r="R1790" s="92"/>
    </row>
    <row r="1791" spans="3:18">
      <c r="C1791" s="175"/>
      <c r="D1791" s="142"/>
      <c r="R1791" s="94"/>
    </row>
    <row r="1792" spans="3:18">
      <c r="C1792" s="175"/>
      <c r="D1792" s="142"/>
      <c r="R1792" s="92"/>
    </row>
    <row r="1793" spans="3:18">
      <c r="C1793" s="175"/>
      <c r="D1793" s="142"/>
      <c r="R1793" s="94"/>
    </row>
    <row r="1794" spans="3:18">
      <c r="C1794" s="175"/>
      <c r="D1794" s="142"/>
      <c r="R1794" s="92"/>
    </row>
    <row r="1795" spans="3:18">
      <c r="C1795" s="175"/>
      <c r="D1795" s="142"/>
      <c r="R1795" s="94"/>
    </row>
    <row r="1796" spans="3:18">
      <c r="C1796" s="175"/>
      <c r="D1796" s="142"/>
      <c r="R1796" s="92"/>
    </row>
    <row r="1797" spans="3:18">
      <c r="C1797" s="175"/>
      <c r="D1797" s="142"/>
    </row>
    <row r="1798" spans="3:18">
      <c r="C1798" s="175"/>
      <c r="D1798" s="142"/>
    </row>
    <row r="1799" spans="3:18">
      <c r="C1799" s="175"/>
      <c r="D1799" s="142"/>
    </row>
    <row r="1800" spans="3:18">
      <c r="C1800" s="175"/>
      <c r="D1800" s="142"/>
    </row>
    <row r="1801" spans="3:18">
      <c r="C1801" s="175"/>
      <c r="D1801" s="142"/>
    </row>
    <row r="1802" spans="3:18">
      <c r="C1802" s="175"/>
      <c r="D1802" s="142"/>
    </row>
    <row r="1803" spans="3:18">
      <c r="C1803" s="175"/>
      <c r="D1803" s="142"/>
    </row>
    <row r="1804" spans="3:18">
      <c r="C1804" s="175"/>
      <c r="D1804" s="142"/>
    </row>
    <row r="1805" spans="3:18">
      <c r="C1805" s="175"/>
      <c r="D1805" s="142"/>
      <c r="R1805" s="94"/>
    </row>
    <row r="1806" spans="3:18">
      <c r="C1806" s="175"/>
      <c r="D1806" s="142"/>
      <c r="R1806" s="92"/>
    </row>
    <row r="1807" spans="3:18">
      <c r="C1807" s="175"/>
      <c r="D1807" s="142"/>
    </row>
    <row r="1808" spans="3:18">
      <c r="C1808" s="175"/>
      <c r="D1808" s="142"/>
    </row>
    <row r="1809" spans="3:18">
      <c r="C1809" s="175"/>
      <c r="D1809" s="142"/>
      <c r="R1809" s="94"/>
    </row>
    <row r="1810" spans="3:18">
      <c r="C1810" s="175"/>
      <c r="D1810" s="142"/>
      <c r="R1810" s="92"/>
    </row>
    <row r="1811" spans="3:18">
      <c r="C1811" s="175"/>
      <c r="D1811" s="142"/>
    </row>
    <row r="1812" spans="3:18">
      <c r="C1812" s="175"/>
      <c r="D1812" s="142"/>
    </row>
    <row r="1813" spans="3:18">
      <c r="C1813" s="175"/>
      <c r="D1813" s="142"/>
    </row>
    <row r="1814" spans="3:18">
      <c r="C1814" s="175"/>
      <c r="D1814" s="142"/>
    </row>
    <row r="1815" spans="3:18">
      <c r="C1815" s="175"/>
      <c r="D1815" s="142"/>
    </row>
    <row r="1816" spans="3:18">
      <c r="C1816" s="175"/>
      <c r="D1816" s="142"/>
    </row>
    <row r="1817" spans="3:18">
      <c r="C1817" s="175"/>
      <c r="D1817" s="142"/>
    </row>
    <row r="1818" spans="3:18">
      <c r="C1818" s="175"/>
      <c r="D1818" s="142"/>
    </row>
    <row r="1819" spans="3:18">
      <c r="C1819" s="175"/>
      <c r="D1819" s="142"/>
    </row>
    <row r="1820" spans="3:18">
      <c r="C1820" s="175"/>
      <c r="D1820" s="142"/>
    </row>
    <row r="1821" spans="3:18">
      <c r="C1821" s="175"/>
      <c r="D1821" s="142"/>
    </row>
    <row r="1822" spans="3:18">
      <c r="C1822" s="175"/>
      <c r="D1822" s="142"/>
    </row>
    <row r="1823" spans="3:18">
      <c r="C1823" s="175"/>
      <c r="D1823" s="142"/>
    </row>
    <row r="1824" spans="3:18">
      <c r="C1824" s="175"/>
      <c r="D1824" s="142"/>
    </row>
    <row r="1825" spans="3:18">
      <c r="C1825" s="175"/>
      <c r="D1825" s="142"/>
    </row>
    <row r="1826" spans="3:18">
      <c r="C1826" s="175"/>
      <c r="D1826" s="142"/>
      <c r="R1826" s="94"/>
    </row>
    <row r="1827" spans="3:18">
      <c r="C1827" s="175"/>
      <c r="D1827" s="142"/>
      <c r="R1827" s="95"/>
    </row>
    <row r="1828" spans="3:18">
      <c r="C1828" s="175"/>
      <c r="D1828" s="142"/>
      <c r="R1828" s="95"/>
    </row>
    <row r="1829" spans="3:18">
      <c r="C1829" s="175"/>
      <c r="D1829" s="142"/>
      <c r="R1829" s="92"/>
    </row>
    <row r="1830" spans="3:18">
      <c r="C1830" s="175"/>
      <c r="D1830" s="142"/>
    </row>
    <row r="1831" spans="3:18">
      <c r="C1831" s="175"/>
      <c r="D1831" s="142"/>
    </row>
    <row r="1832" spans="3:18">
      <c r="C1832" s="175"/>
      <c r="D1832" s="142"/>
    </row>
    <row r="1833" spans="3:18">
      <c r="C1833" s="175"/>
      <c r="D1833" s="142"/>
    </row>
    <row r="1834" spans="3:18">
      <c r="C1834" s="175"/>
      <c r="D1834" s="142"/>
    </row>
    <row r="1835" spans="3:18">
      <c r="C1835" s="175"/>
      <c r="D1835" s="142"/>
    </row>
    <row r="1836" spans="3:18">
      <c r="C1836" s="175"/>
      <c r="D1836" s="142"/>
    </row>
    <row r="1837" spans="3:18">
      <c r="C1837" s="175"/>
      <c r="D1837" s="142"/>
    </row>
    <row r="1838" spans="3:18">
      <c r="C1838" s="175"/>
      <c r="D1838" s="142"/>
    </row>
    <row r="1839" spans="3:18">
      <c r="C1839" s="175"/>
      <c r="D1839" s="142"/>
    </row>
    <row r="1840" spans="3:18">
      <c r="C1840" s="175"/>
      <c r="D1840" s="142"/>
    </row>
    <row r="1841" spans="3:11">
      <c r="C1841" s="175"/>
      <c r="D1841" s="142"/>
    </row>
    <row r="1842" spans="3:11">
      <c r="C1842" s="175"/>
      <c r="D1842" s="142"/>
    </row>
    <row r="1843" spans="3:11">
      <c r="C1843" s="175"/>
      <c r="D1843" s="142"/>
    </row>
    <row r="1844" spans="3:11">
      <c r="C1844" s="175"/>
      <c r="D1844" s="142"/>
    </row>
    <row r="1845" spans="3:11">
      <c r="C1845" s="175"/>
      <c r="D1845" s="142"/>
    </row>
    <row r="1846" spans="3:11">
      <c r="C1846" s="175"/>
      <c r="D1846" s="142"/>
    </row>
    <row r="1847" spans="3:11">
      <c r="C1847" s="175"/>
      <c r="D1847" s="142"/>
    </row>
    <row r="1848" spans="3:11">
      <c r="C1848" s="175"/>
      <c r="D1848" s="142"/>
    </row>
    <row r="1849" spans="3:11">
      <c r="C1849" s="175"/>
      <c r="D1849" s="142"/>
    </row>
    <row r="1850" spans="3:11">
      <c r="C1850" s="175"/>
      <c r="D1850" s="142"/>
    </row>
    <row r="1851" spans="3:11">
      <c r="C1851" s="175"/>
      <c r="D1851" s="142"/>
    </row>
    <row r="1852" spans="3:11">
      <c r="C1852" s="175"/>
      <c r="D1852" s="142"/>
      <c r="K1852" s="62"/>
    </row>
    <row r="1853" spans="3:11">
      <c r="C1853" s="175"/>
      <c r="D1853" s="142"/>
      <c r="K1853" s="62"/>
    </row>
    <row r="1854" spans="3:11">
      <c r="C1854" s="175"/>
      <c r="D1854" s="142"/>
      <c r="K1854" s="62"/>
    </row>
    <row r="1855" spans="3:11">
      <c r="C1855" s="175"/>
      <c r="D1855" s="142"/>
      <c r="K1855" s="62"/>
    </row>
    <row r="1856" spans="3:11">
      <c r="C1856" s="175"/>
      <c r="D1856" s="142"/>
      <c r="K1856" s="62"/>
    </row>
    <row r="1857" spans="3:15">
      <c r="C1857" s="175"/>
      <c r="D1857" s="142"/>
      <c r="K1857" s="62"/>
    </row>
    <row r="1858" spans="3:15">
      <c r="C1858" s="175"/>
      <c r="D1858" s="142"/>
      <c r="K1858" s="62"/>
    </row>
    <row r="1859" spans="3:15">
      <c r="C1859" s="175"/>
      <c r="D1859" s="142"/>
      <c r="K1859" s="62"/>
    </row>
    <row r="1860" spans="3:15">
      <c r="C1860" s="175"/>
      <c r="D1860" s="142"/>
      <c r="K1860" s="62"/>
    </row>
    <row r="1861" spans="3:15">
      <c r="C1861" s="175"/>
      <c r="D1861" s="142"/>
      <c r="K1861" s="62"/>
    </row>
    <row r="1862" spans="3:15">
      <c r="C1862" s="175"/>
      <c r="D1862" s="142"/>
      <c r="K1862" s="62"/>
    </row>
    <row r="1863" spans="3:15">
      <c r="C1863" s="175"/>
      <c r="D1863" s="142"/>
      <c r="K1863" s="62"/>
    </row>
    <row r="1864" spans="3:15">
      <c r="C1864" s="175"/>
      <c r="D1864" s="142"/>
      <c r="K1864" s="62"/>
    </row>
    <row r="1865" spans="3:15">
      <c r="C1865" s="175"/>
      <c r="D1865" s="142"/>
      <c r="K1865" s="62"/>
    </row>
    <row r="1866" spans="3:15">
      <c r="C1866" s="175"/>
      <c r="D1866" s="142"/>
      <c r="K1866" s="62"/>
    </row>
    <row r="1867" spans="3:15">
      <c r="C1867" s="175"/>
      <c r="D1867" s="142"/>
      <c r="K1867" s="62"/>
    </row>
    <row r="1868" spans="3:15">
      <c r="C1868" s="175"/>
      <c r="D1868" s="142"/>
      <c r="K1868" s="62"/>
    </row>
    <row r="1869" spans="3:15">
      <c r="C1869" s="175"/>
      <c r="D1869" s="142"/>
      <c r="H1869" s="105"/>
      <c r="O1869" s="167"/>
    </row>
    <row r="1870" spans="3:15">
      <c r="C1870" s="175"/>
      <c r="D1870" s="142"/>
      <c r="O1870" s="168"/>
    </row>
    <row r="1871" spans="3:15">
      <c r="C1871" s="175"/>
      <c r="D1871" s="142"/>
      <c r="O1871" s="168"/>
    </row>
    <row r="1872" spans="3:15">
      <c r="C1872" s="175"/>
      <c r="D1872" s="142"/>
      <c r="O1872" s="168"/>
    </row>
    <row r="1873" spans="3:18">
      <c r="C1873" s="175"/>
      <c r="D1873" s="142"/>
      <c r="H1873" s="105"/>
      <c r="O1873" s="168"/>
    </row>
    <row r="1874" spans="3:18">
      <c r="C1874" s="175"/>
      <c r="D1874" s="142"/>
      <c r="O1874" s="168"/>
    </row>
    <row r="1875" spans="3:18">
      <c r="C1875" s="175"/>
      <c r="D1875" s="142"/>
      <c r="O1875" s="169"/>
    </row>
    <row r="1876" spans="3:18">
      <c r="C1876" s="175"/>
      <c r="D1876" s="142"/>
    </row>
    <row r="1877" spans="3:18">
      <c r="C1877" s="175"/>
      <c r="D1877" s="142"/>
    </row>
    <row r="1878" spans="3:18">
      <c r="C1878" s="175"/>
      <c r="D1878" s="142"/>
    </row>
    <row r="1879" spans="3:18">
      <c r="C1879" s="175"/>
      <c r="D1879" s="142"/>
    </row>
    <row r="1880" spans="3:18">
      <c r="C1880" s="175"/>
      <c r="D1880" s="142"/>
      <c r="R1880" s="94"/>
    </row>
    <row r="1881" spans="3:18">
      <c r="C1881" s="175"/>
      <c r="D1881" s="142"/>
      <c r="R1881" s="92"/>
    </row>
    <row r="1882" spans="3:18">
      <c r="C1882" s="175"/>
      <c r="D1882" s="142"/>
    </row>
    <row r="1883" spans="3:18">
      <c r="C1883" s="175"/>
      <c r="D1883" s="142"/>
      <c r="R1883" s="94"/>
    </row>
    <row r="1884" spans="3:18">
      <c r="C1884" s="175"/>
      <c r="D1884" s="142"/>
      <c r="R1884" s="92"/>
    </row>
    <row r="1885" spans="3:18">
      <c r="C1885" s="175"/>
      <c r="D1885" s="142"/>
      <c r="R1885" s="94"/>
    </row>
    <row r="1886" spans="3:18">
      <c r="C1886" s="175"/>
      <c r="D1886" s="142"/>
      <c r="R1886" s="92"/>
    </row>
    <row r="1887" spans="3:18">
      <c r="C1887" s="175"/>
      <c r="D1887" s="142"/>
    </row>
    <row r="1888" spans="3:18">
      <c r="C1888" s="175"/>
      <c r="D1888" s="142"/>
    </row>
  </sheetData>
  <autoFilter xmlns:etc="http://www.wps.cn/officeDocument/2017/etCustomData" ref="A1:V3" etc:filterBottomFollowUsedRange="0">
    <extLst/>
  </autoFilter>
  <mergeCells count="205">
    <mergeCell ref="O1869:O1875"/>
    <mergeCell ref="R58:R59"/>
    <mergeCell ref="R60:R61"/>
    <mergeCell ref="R62:R63"/>
    <mergeCell ref="R102:R103"/>
    <mergeCell ref="R129:R130"/>
    <mergeCell ref="R134:R135"/>
    <mergeCell ref="R154:R155"/>
    <mergeCell ref="R195:R196"/>
    <mergeCell ref="R197:R198"/>
    <mergeCell ref="R201:R202"/>
    <mergeCell ref="R244:R245"/>
    <mergeCell ref="R247:R249"/>
    <mergeCell ref="R250:R251"/>
    <mergeCell ref="R253:R254"/>
    <mergeCell ref="R258:R259"/>
    <mergeCell ref="R261:R262"/>
    <mergeCell ref="R263:R264"/>
    <mergeCell ref="R288:R289"/>
    <mergeCell ref="R295:R296"/>
    <mergeCell ref="R303:R305"/>
    <mergeCell ref="R313:R314"/>
    <mergeCell ref="R315:R316"/>
    <mergeCell ref="R317:R318"/>
    <mergeCell ref="R356:R357"/>
    <mergeCell ref="R359:R360"/>
    <mergeCell ref="R364:R365"/>
    <mergeCell ref="R368:R369"/>
    <mergeCell ref="R370:R371"/>
    <mergeCell ref="R372:R373"/>
    <mergeCell ref="R379:R380"/>
    <mergeCell ref="R411:R412"/>
    <mergeCell ref="R415:R416"/>
    <mergeCell ref="R418:R419"/>
    <mergeCell ref="R423:R424"/>
    <mergeCell ref="R428:R429"/>
    <mergeCell ref="R433:R435"/>
    <mergeCell ref="R458:R459"/>
    <mergeCell ref="R463:R464"/>
    <mergeCell ref="R465:R466"/>
    <mergeCell ref="R471:R472"/>
    <mergeCell ref="R474:R475"/>
    <mergeCell ref="R481:R482"/>
    <mergeCell ref="R483:R484"/>
    <mergeCell ref="R491:R492"/>
    <mergeCell ref="R497:R498"/>
    <mergeCell ref="R504:R505"/>
    <mergeCell ref="R506:R507"/>
    <mergeCell ref="R513:R514"/>
    <mergeCell ref="R563:R564"/>
    <mergeCell ref="R589:R590"/>
    <mergeCell ref="R603:R604"/>
    <mergeCell ref="R606:R607"/>
    <mergeCell ref="R611:R612"/>
    <mergeCell ref="R613:R614"/>
    <mergeCell ref="R615:R616"/>
    <mergeCell ref="R617:R618"/>
    <mergeCell ref="R620:R621"/>
    <mergeCell ref="R624:R625"/>
    <mergeCell ref="R627:R628"/>
    <mergeCell ref="R629:R630"/>
    <mergeCell ref="R631:R632"/>
    <mergeCell ref="R633:R634"/>
    <mergeCell ref="R636:R637"/>
    <mergeCell ref="R642:R643"/>
    <mergeCell ref="R644:R645"/>
    <mergeCell ref="R647:R648"/>
    <mergeCell ref="R652:R653"/>
    <mergeCell ref="R656:R657"/>
    <mergeCell ref="R664:R667"/>
    <mergeCell ref="R668:R669"/>
    <mergeCell ref="R670:R673"/>
    <mergeCell ref="R698:R699"/>
    <mergeCell ref="R709:R710"/>
    <mergeCell ref="R711:R712"/>
    <mergeCell ref="R713:R714"/>
    <mergeCell ref="R715:R716"/>
    <mergeCell ref="R720:R721"/>
    <mergeCell ref="R722:R723"/>
    <mergeCell ref="R724:R725"/>
    <mergeCell ref="R726:R727"/>
    <mergeCell ref="R728:R729"/>
    <mergeCell ref="R730:R731"/>
    <mergeCell ref="R732:R733"/>
    <mergeCell ref="R735:R736"/>
    <mergeCell ref="R740:R741"/>
    <mergeCell ref="R750:R751"/>
    <mergeCell ref="R752:R753"/>
    <mergeCell ref="R754:R755"/>
    <mergeCell ref="R756:R757"/>
    <mergeCell ref="R758:R759"/>
    <mergeCell ref="R760:R761"/>
    <mergeCell ref="R763:R764"/>
    <mergeCell ref="R768:R769"/>
    <mergeCell ref="R770:R771"/>
    <mergeCell ref="R817:R818"/>
    <mergeCell ref="R819:R820"/>
    <mergeCell ref="R821:R822"/>
    <mergeCell ref="R824:R825"/>
    <mergeCell ref="R827:R828"/>
    <mergeCell ref="R832:R833"/>
    <mergeCell ref="R837:R838"/>
    <mergeCell ref="R840:R841"/>
    <mergeCell ref="R844:R845"/>
    <mergeCell ref="R846:R847"/>
    <mergeCell ref="R868:R869"/>
    <mergeCell ref="R895:R896"/>
    <mergeCell ref="R897:R898"/>
    <mergeCell ref="R899:R900"/>
    <mergeCell ref="R901:R902"/>
    <mergeCell ref="R903:R904"/>
    <mergeCell ref="R926:R927"/>
    <mergeCell ref="R935:R937"/>
    <mergeCell ref="R947:R948"/>
    <mergeCell ref="R958:R959"/>
    <mergeCell ref="R967:R968"/>
    <mergeCell ref="R969:R970"/>
    <mergeCell ref="R971:R972"/>
    <mergeCell ref="R973:R974"/>
    <mergeCell ref="R975:R976"/>
    <mergeCell ref="R977:R978"/>
    <mergeCell ref="R979:R980"/>
    <mergeCell ref="R1074:R1075"/>
    <mergeCell ref="R1083:R1084"/>
    <mergeCell ref="R1135:R1136"/>
    <mergeCell ref="R1137:R1138"/>
    <mergeCell ref="R1144:R1145"/>
    <mergeCell ref="R1146:R1147"/>
    <mergeCell ref="R1157:R1158"/>
    <mergeCell ref="R1176:R1177"/>
    <mergeCell ref="R1178:R1179"/>
    <mergeCell ref="R1180:R1181"/>
    <mergeCell ref="R1206:R1207"/>
    <mergeCell ref="R1208:R1209"/>
    <mergeCell ref="R1210:R1211"/>
    <mergeCell ref="R1212:R1213"/>
    <mergeCell ref="R1214:R1215"/>
    <mergeCell ref="R1216:R1217"/>
    <mergeCell ref="R1218:R1219"/>
    <mergeCell ref="R1221:R1222"/>
    <mergeCell ref="R1235:R1236"/>
    <mergeCell ref="R1242:R1243"/>
    <mergeCell ref="R1251:R1252"/>
    <mergeCell ref="R1312:R1313"/>
    <mergeCell ref="R1374:R1375"/>
    <mergeCell ref="R1377:R1378"/>
    <mergeCell ref="R1390:R1391"/>
    <mergeCell ref="R1477:R1478"/>
    <mergeCell ref="R1480:R1481"/>
    <mergeCell ref="R1483:R1484"/>
    <mergeCell ref="R1501:R1502"/>
    <mergeCell ref="R1506:R1507"/>
    <mergeCell ref="R1511:R1512"/>
    <mergeCell ref="R1516:R1517"/>
    <mergeCell ref="R1533:R1535"/>
    <mergeCell ref="R1537:R1538"/>
    <mergeCell ref="R1545:R1546"/>
    <mergeCell ref="R1552:R1553"/>
    <mergeCell ref="R1555:R1562"/>
    <mergeCell ref="R1575:R1576"/>
    <mergeCell ref="R1590:R1591"/>
    <mergeCell ref="R1631:R1632"/>
    <mergeCell ref="R1636:R1637"/>
    <mergeCell ref="R1638:R1639"/>
    <mergeCell ref="R1640:R1641"/>
    <mergeCell ref="R1644:R1645"/>
    <mergeCell ref="R1651:R1653"/>
    <mergeCell ref="R1654:R1656"/>
    <mergeCell ref="R1658:R1659"/>
    <mergeCell ref="R1661:R1662"/>
    <mergeCell ref="R1663:R1665"/>
    <mergeCell ref="R1666:R1667"/>
    <mergeCell ref="R1668:R1669"/>
    <mergeCell ref="R1670:R1671"/>
    <mergeCell ref="R1697:R1698"/>
    <mergeCell ref="R1699:R1700"/>
    <mergeCell ref="R1701:R1702"/>
    <mergeCell ref="R1706:R1707"/>
    <mergeCell ref="R1708:R1710"/>
    <mergeCell ref="R1713:R1714"/>
    <mergeCell ref="R1720:R1721"/>
    <mergeCell ref="R1722:R1723"/>
    <mergeCell ref="R1737:R1740"/>
    <mergeCell ref="R1743:R1744"/>
    <mergeCell ref="R1746:R1747"/>
    <mergeCell ref="R1750:R1751"/>
    <mergeCell ref="R1760:R1761"/>
    <mergeCell ref="R1769:R1770"/>
    <mergeCell ref="R1773:R1774"/>
    <mergeCell ref="R1775:R1776"/>
    <mergeCell ref="R1777:R1778"/>
    <mergeCell ref="R1785:R1786"/>
    <mergeCell ref="R1787:R1788"/>
    <mergeCell ref="R1789:R1790"/>
    <mergeCell ref="R1791:R1792"/>
    <mergeCell ref="R1793:R1794"/>
    <mergeCell ref="R1795:R1796"/>
    <mergeCell ref="R1805:R1806"/>
    <mergeCell ref="R1809:R1810"/>
    <mergeCell ref="R1826:R1829"/>
    <mergeCell ref="R1880:R1881"/>
    <mergeCell ref="R1883:R1884"/>
    <mergeCell ref="R1885:R1886"/>
    <mergeCell ref="T129:T130"/>
    <mergeCell ref="T134:T135"/>
  </mergeCell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C6" sqref="C6"/>
    </sheetView>
  </sheetViews>
  <sheetFormatPr defaultColWidth="8.72727272727273" defaultRowHeight="14" outlineLevelRow="6" outlineLevelCol="3"/>
  <cols>
    <col min="1" max="1" width="11.9090909090909"/>
    <col min="2" max="2" width="7.72727272727273"/>
    <col min="3" max="4" width="28.6363636363636"/>
  </cols>
  <sheetData>
    <row r="3" spans="1:4">
      <c r="A3" t="s">
        <v>1</v>
      </c>
      <c r="B3" t="s">
        <v>14</v>
      </c>
      <c r="C3" t="s">
        <v>126</v>
      </c>
      <c r="D3" t="s">
        <v>127</v>
      </c>
    </row>
    <row r="4" spans="1:4">
      <c r="A4">
        <v>3</v>
      </c>
      <c r="C4">
        <v>39097828</v>
      </c>
      <c r="D4" s="153">
        <v>1</v>
      </c>
    </row>
    <row r="5" spans="1:4">
      <c r="B5" t="s">
        <v>27</v>
      </c>
      <c r="C5">
        <v>27031241.6</v>
      </c>
      <c r="D5" s="153">
        <v>0.691374508067302</v>
      </c>
    </row>
    <row r="6" spans="1:4">
      <c r="B6" t="s">
        <v>43</v>
      </c>
      <c r="C6">
        <v>12066586.4</v>
      </c>
      <c r="D6" s="153">
        <v>0.308625491932698</v>
      </c>
    </row>
    <row r="7" spans="1:4">
      <c r="A7" t="s">
        <v>128</v>
      </c>
      <c r="C7">
        <v>39097828</v>
      </c>
      <c r="D7" s="153">
        <v>1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W1865"/>
  <sheetViews>
    <sheetView zoomScale="80" zoomScaleNormal="80" topLeftCell="B1" workbookViewId="0">
      <pane ySplit="1" topLeftCell="A2" activePane="bottomLeft" state="frozen"/>
      <selection/>
      <selection pane="bottomLeft" activeCell="B1" sqref="$A1:$XFD1"/>
    </sheetView>
  </sheetViews>
  <sheetFormatPr defaultColWidth="9.81818181818182" defaultRowHeight="14"/>
  <cols>
    <col min="1" max="1" width="4.81818181818182" style="61" customWidth="1"/>
    <col min="2" max="2" width="7.18181818181818" style="62" customWidth="1"/>
    <col min="3" max="3" width="14.6363636363636" style="155" customWidth="1"/>
    <col min="4" max="4" width="9.54545454545454" style="63" customWidth="1"/>
    <col min="5" max="5" width="11.8181818181818" style="64" customWidth="1"/>
    <col min="6" max="6" width="9.54545454545454" style="64" customWidth="1"/>
    <col min="7" max="7" width="7.54545454545455" style="62" customWidth="1"/>
    <col min="8" max="8" width="11.7" style="62" customWidth="1"/>
    <col min="9" max="9" width="8.54545454545454" style="62" customWidth="1"/>
    <col min="10" max="10" width="6.36363636363636" style="62" customWidth="1"/>
    <col min="11" max="11" width="9.72727272727273" style="65" customWidth="1"/>
    <col min="12" max="12" width="13.5818181818182" style="65" customWidth="1"/>
    <col min="13" max="13" width="9.54545454545454" style="62" customWidth="1"/>
    <col min="14" max="14" width="16.4727272727273" style="62" customWidth="1"/>
    <col min="15" max="15" width="13.0727272727273" style="66" customWidth="1"/>
    <col min="16" max="16" width="7.58181818181818" style="62" customWidth="1"/>
    <col min="17" max="17" width="16.9272727272727" style="62" customWidth="1"/>
    <col min="18" max="18" width="18.5454545454545" style="65" customWidth="1"/>
    <col min="19" max="19" width="13.9727272727273" style="62" customWidth="1"/>
    <col min="20" max="20" width="8.76363636363636" style="62" customWidth="1"/>
    <col min="21" max="21" width="10.5636363636364" style="67" customWidth="1"/>
    <col min="22" max="16384" width="9.81818181818182" style="58"/>
  </cols>
  <sheetData>
    <row r="1" s="56" customFormat="1" ht="36" customHeight="1" spans="1:22">
      <c r="A1" s="68" t="s">
        <v>0</v>
      </c>
      <c r="B1" s="69" t="s">
        <v>1</v>
      </c>
      <c r="C1" s="69" t="s">
        <v>121</v>
      </c>
      <c r="D1" s="69" t="s">
        <v>2</v>
      </c>
      <c r="E1" s="70" t="s">
        <v>3</v>
      </c>
      <c r="F1" s="69" t="s">
        <v>4</v>
      </c>
      <c r="G1" s="69" t="s">
        <v>5</v>
      </c>
      <c r="H1" s="69" t="s">
        <v>6</v>
      </c>
      <c r="I1" s="69" t="s">
        <v>7</v>
      </c>
      <c r="J1" s="71" t="s">
        <v>8</v>
      </c>
      <c r="K1" s="72" t="s">
        <v>9</v>
      </c>
      <c r="L1" s="72" t="s">
        <v>10</v>
      </c>
      <c r="M1" s="19" t="s">
        <v>11</v>
      </c>
      <c r="N1" s="19" t="s">
        <v>12</v>
      </c>
      <c r="O1" s="73" t="s">
        <v>13</v>
      </c>
      <c r="P1" s="74" t="s">
        <v>14</v>
      </c>
      <c r="Q1" s="74" t="s">
        <v>129</v>
      </c>
      <c r="R1" s="75" t="s">
        <v>15</v>
      </c>
      <c r="S1" s="76" t="s">
        <v>16</v>
      </c>
      <c r="T1" s="77" t="s">
        <v>17</v>
      </c>
      <c r="U1" s="78" t="s">
        <v>18</v>
      </c>
      <c r="V1" s="74" t="s">
        <v>15</v>
      </c>
    </row>
    <row r="2" s="57" customFormat="1" customHeight="1" spans="1:22">
      <c r="A2" s="61">
        <v>1</v>
      </c>
      <c r="B2" s="62">
        <v>3</v>
      </c>
      <c r="C2" s="79" t="s">
        <v>130</v>
      </c>
      <c r="D2" s="61">
        <v>20260320</v>
      </c>
      <c r="E2" s="64" t="s">
        <v>20</v>
      </c>
      <c r="F2" s="62" t="s">
        <v>21</v>
      </c>
      <c r="G2" s="62" t="s">
        <v>29</v>
      </c>
      <c r="H2" s="62" t="s">
        <v>131</v>
      </c>
      <c r="I2" s="62">
        <v>132227</v>
      </c>
      <c r="J2" s="62" t="s">
        <v>24</v>
      </c>
      <c r="K2" s="80">
        <v>8.8</v>
      </c>
      <c r="L2" s="65">
        <f t="shared" ref="L2:L13" si="0">I2*K2</f>
        <v>1163597.6</v>
      </c>
      <c r="M2" s="62" t="s">
        <v>36</v>
      </c>
      <c r="N2" s="11" t="s">
        <v>132</v>
      </c>
      <c r="O2" s="61">
        <v>8.02002</v>
      </c>
      <c r="P2" s="62" t="s">
        <v>27</v>
      </c>
      <c r="Q2" s="62" t="s">
        <v>133</v>
      </c>
      <c r="R2" s="62"/>
      <c r="S2" s="62">
        <v>1</v>
      </c>
      <c r="T2" s="62"/>
    </row>
    <row r="3" s="57" customFormat="1" customHeight="1" spans="1:22">
      <c r="A3" s="61">
        <f t="shared" ref="A3:A13" si="1">A2+1</f>
        <v>2</v>
      </c>
      <c r="B3" s="62">
        <v>3</v>
      </c>
      <c r="C3" s="79" t="s">
        <v>130</v>
      </c>
      <c r="D3" s="61">
        <v>20260320</v>
      </c>
      <c r="E3" s="64" t="s">
        <v>20</v>
      </c>
      <c r="F3" s="62" t="s">
        <v>21</v>
      </c>
      <c r="G3" s="62" t="s">
        <v>134</v>
      </c>
      <c r="H3" s="62" t="s">
        <v>135</v>
      </c>
      <c r="I3" s="62">
        <f>32864+20560</f>
        <v>53424</v>
      </c>
      <c r="J3" s="62" t="s">
        <v>24</v>
      </c>
      <c r="K3" s="80">
        <v>8.8</v>
      </c>
      <c r="L3" s="65">
        <f t="shared" si="0"/>
        <v>470131.2</v>
      </c>
      <c r="M3" s="62" t="s">
        <v>36</v>
      </c>
      <c r="N3" s="11" t="s">
        <v>136</v>
      </c>
      <c r="O3" s="61">
        <v>8.02</v>
      </c>
      <c r="P3" s="62" t="s">
        <v>27</v>
      </c>
      <c r="Q3" s="62" t="s">
        <v>137</v>
      </c>
      <c r="R3" s="62"/>
      <c r="S3" s="94" t="s">
        <v>138</v>
      </c>
      <c r="T3" s="62"/>
      <c r="U3" s="80"/>
    </row>
    <row r="4" s="57" customFormat="1" customHeight="1" spans="1:22">
      <c r="A4" s="61">
        <f t="shared" si="1"/>
        <v>3</v>
      </c>
      <c r="B4" s="62">
        <v>3</v>
      </c>
      <c r="C4" s="79" t="s">
        <v>130</v>
      </c>
      <c r="D4" s="61">
        <v>20260320</v>
      </c>
      <c r="E4" s="64" t="s">
        <v>20</v>
      </c>
      <c r="F4" s="62" t="s">
        <v>21</v>
      </c>
      <c r="G4" s="62" t="s">
        <v>134</v>
      </c>
      <c r="H4" s="62" t="s">
        <v>131</v>
      </c>
      <c r="I4" s="62">
        <v>1285970</v>
      </c>
      <c r="J4" s="62" t="s">
        <v>24</v>
      </c>
      <c r="K4" s="80">
        <v>8.8</v>
      </c>
      <c r="L4" s="65">
        <f t="shared" si="0"/>
        <v>11316536</v>
      </c>
      <c r="M4" s="62" t="s">
        <v>36</v>
      </c>
      <c r="N4" s="11" t="s">
        <v>136</v>
      </c>
      <c r="O4" s="61">
        <v>8.02</v>
      </c>
      <c r="P4" s="62" t="s">
        <v>27</v>
      </c>
      <c r="Q4" s="62" t="s">
        <v>139</v>
      </c>
      <c r="R4" s="62"/>
      <c r="S4" s="95"/>
      <c r="T4" s="62"/>
      <c r="U4" s="80"/>
    </row>
    <row r="5" s="57" customFormat="1" customHeight="1" spans="1:22">
      <c r="A5" s="61">
        <f t="shared" si="1"/>
        <v>4</v>
      </c>
      <c r="B5" s="62">
        <v>3</v>
      </c>
      <c r="C5" s="79" t="s">
        <v>130</v>
      </c>
      <c r="D5" s="61">
        <v>20260320</v>
      </c>
      <c r="E5" s="64" t="s">
        <v>20</v>
      </c>
      <c r="F5" s="62" t="s">
        <v>21</v>
      </c>
      <c r="G5" s="62" t="s">
        <v>59</v>
      </c>
      <c r="H5" s="62" t="s">
        <v>131</v>
      </c>
      <c r="I5" s="62">
        <v>589146</v>
      </c>
      <c r="J5" s="62" t="s">
        <v>24</v>
      </c>
      <c r="K5" s="80">
        <v>8.8</v>
      </c>
      <c r="L5" s="65">
        <f t="shared" si="0"/>
        <v>5184484.8</v>
      </c>
      <c r="M5" s="62" t="s">
        <v>36</v>
      </c>
      <c r="N5" s="11" t="s">
        <v>140</v>
      </c>
      <c r="O5" s="66">
        <v>8.011</v>
      </c>
      <c r="P5" s="62" t="s">
        <v>27</v>
      </c>
      <c r="Q5" s="62" t="s">
        <v>141</v>
      </c>
      <c r="R5" s="62"/>
      <c r="S5" s="85" t="s">
        <v>142</v>
      </c>
      <c r="T5" s="62"/>
      <c r="U5" s="80"/>
    </row>
    <row r="6" s="57" customFormat="1" customHeight="1" spans="1:22">
      <c r="A6" s="61">
        <f t="shared" si="1"/>
        <v>5</v>
      </c>
      <c r="B6" s="62">
        <v>3</v>
      </c>
      <c r="C6" s="79" t="s">
        <v>130</v>
      </c>
      <c r="D6" s="61">
        <v>20260320</v>
      </c>
      <c r="E6" s="64" t="s">
        <v>20</v>
      </c>
      <c r="F6" s="62" t="s">
        <v>21</v>
      </c>
      <c r="G6" s="62" t="s">
        <v>41</v>
      </c>
      <c r="H6" s="62" t="s">
        <v>131</v>
      </c>
      <c r="I6" s="62">
        <v>284392</v>
      </c>
      <c r="J6" s="62" t="s">
        <v>24</v>
      </c>
      <c r="K6" s="80">
        <v>8.8</v>
      </c>
      <c r="L6" s="65">
        <f t="shared" si="0"/>
        <v>2502649.6</v>
      </c>
      <c r="M6" s="62" t="s">
        <v>36</v>
      </c>
      <c r="N6" s="11" t="s">
        <v>143</v>
      </c>
      <c r="O6" s="66">
        <v>7.788</v>
      </c>
      <c r="P6" s="62" t="s">
        <v>43</v>
      </c>
      <c r="Q6" s="62" t="s">
        <v>144</v>
      </c>
      <c r="R6" s="62"/>
      <c r="S6" s="92" t="s">
        <v>145</v>
      </c>
      <c r="T6" s="62"/>
    </row>
    <row r="7" s="57" customFormat="1" customHeight="1" spans="1:22">
      <c r="A7" s="61">
        <f t="shared" si="1"/>
        <v>6</v>
      </c>
      <c r="B7" s="62">
        <v>3</v>
      </c>
      <c r="C7" s="79" t="s">
        <v>130</v>
      </c>
      <c r="D7" s="61">
        <v>20260320</v>
      </c>
      <c r="E7" s="64" t="s">
        <v>20</v>
      </c>
      <c r="F7" s="62" t="s">
        <v>21</v>
      </c>
      <c r="G7" s="62" t="s">
        <v>41</v>
      </c>
      <c r="H7" s="62" t="s">
        <v>135</v>
      </c>
      <c r="I7" s="62">
        <v>212430</v>
      </c>
      <c r="J7" s="62" t="s">
        <v>24</v>
      </c>
      <c r="K7" s="80">
        <v>8.8</v>
      </c>
      <c r="L7" s="65">
        <f t="shared" si="0"/>
        <v>1869384</v>
      </c>
      <c r="M7" s="62" t="s">
        <v>36</v>
      </c>
      <c r="N7" s="11" t="s">
        <v>143</v>
      </c>
      <c r="O7" s="83">
        <v>7.788</v>
      </c>
      <c r="P7" s="62" t="s">
        <v>43</v>
      </c>
      <c r="Q7" s="62" t="s">
        <v>146</v>
      </c>
      <c r="R7" s="62"/>
      <c r="S7" s="92" t="s">
        <v>147</v>
      </c>
      <c r="T7" s="62"/>
    </row>
    <row r="8" s="58" customFormat="1" customHeight="1" spans="1:22">
      <c r="A8" s="61">
        <f t="shared" si="1"/>
        <v>7</v>
      </c>
      <c r="B8" s="62">
        <v>3</v>
      </c>
      <c r="C8" s="79" t="s">
        <v>130</v>
      </c>
      <c r="D8" s="61">
        <v>20260321</v>
      </c>
      <c r="E8" s="64" t="s">
        <v>20</v>
      </c>
      <c r="F8" s="62" t="s">
        <v>21</v>
      </c>
      <c r="G8" s="62" t="s">
        <v>32</v>
      </c>
      <c r="H8" s="62" t="s">
        <v>148</v>
      </c>
      <c r="I8" s="62">
        <v>158007</v>
      </c>
      <c r="J8" s="62" t="s">
        <v>24</v>
      </c>
      <c r="K8" s="80">
        <v>8.8</v>
      </c>
      <c r="L8" s="65">
        <f t="shared" si="0"/>
        <v>1390461.6</v>
      </c>
      <c r="M8" s="62" t="s">
        <v>36</v>
      </c>
      <c r="N8" s="11" t="s">
        <v>149</v>
      </c>
      <c r="O8" s="83">
        <v>7.7034</v>
      </c>
      <c r="P8" s="62" t="s">
        <v>27</v>
      </c>
      <c r="Q8" s="62" t="s">
        <v>150</v>
      </c>
      <c r="R8" s="62"/>
      <c r="S8" s="62" t="s">
        <v>147</v>
      </c>
      <c r="T8" s="62"/>
    </row>
    <row r="9" s="58" customFormat="1" customHeight="1" spans="1:22">
      <c r="A9" s="61">
        <f t="shared" si="1"/>
        <v>8</v>
      </c>
      <c r="B9" s="62">
        <v>3</v>
      </c>
      <c r="C9" s="79" t="s">
        <v>130</v>
      </c>
      <c r="D9" s="61">
        <v>20260321</v>
      </c>
      <c r="E9" s="64" t="s">
        <v>20</v>
      </c>
      <c r="F9" s="62" t="s">
        <v>21</v>
      </c>
      <c r="G9" s="62" t="s">
        <v>32</v>
      </c>
      <c r="H9" s="62" t="s">
        <v>135</v>
      </c>
      <c r="I9" s="62">
        <v>7207</v>
      </c>
      <c r="J9" s="62" t="s">
        <v>24</v>
      </c>
      <c r="K9" s="80">
        <v>8.8</v>
      </c>
      <c r="L9" s="65">
        <f t="shared" si="0"/>
        <v>63421.6</v>
      </c>
      <c r="M9" s="62" t="s">
        <v>36</v>
      </c>
      <c r="N9" s="11" t="s">
        <v>149</v>
      </c>
      <c r="O9" s="66">
        <v>7.1817</v>
      </c>
      <c r="P9" s="62" t="s">
        <v>27</v>
      </c>
      <c r="Q9" s="62" t="s">
        <v>151</v>
      </c>
      <c r="R9" s="62"/>
      <c r="S9" s="62" t="s">
        <v>152</v>
      </c>
      <c r="T9" s="62"/>
    </row>
    <row r="10" s="58" customFormat="1" customHeight="1" spans="1:22">
      <c r="A10" s="61">
        <f t="shared" si="1"/>
        <v>9</v>
      </c>
      <c r="B10" s="62">
        <v>3</v>
      </c>
      <c r="C10" s="79" t="s">
        <v>130</v>
      </c>
      <c r="D10" s="61">
        <v>20260321</v>
      </c>
      <c r="E10" s="64" t="s">
        <v>20</v>
      </c>
      <c r="F10" s="62" t="s">
        <v>21</v>
      </c>
      <c r="G10" s="62" t="s">
        <v>32</v>
      </c>
      <c r="H10" s="62" t="s">
        <v>131</v>
      </c>
      <c r="I10" s="62">
        <v>845751</v>
      </c>
      <c r="J10" s="62" t="s">
        <v>24</v>
      </c>
      <c r="K10" s="80">
        <v>8.8</v>
      </c>
      <c r="L10" s="65">
        <f t="shared" si="0"/>
        <v>7442608.8</v>
      </c>
      <c r="M10" s="62" t="s">
        <v>36</v>
      </c>
      <c r="N10" s="11" t="s">
        <v>149</v>
      </c>
      <c r="O10" s="66">
        <v>7.9943</v>
      </c>
      <c r="P10" s="62" t="s">
        <v>27</v>
      </c>
      <c r="Q10" s="62" t="s">
        <v>153</v>
      </c>
      <c r="R10" s="62"/>
      <c r="S10" s="99" t="s">
        <v>154</v>
      </c>
      <c r="T10" s="62"/>
    </row>
    <row r="11" s="59" customFormat="1" customHeight="1" spans="1:22">
      <c r="A11" s="61">
        <f t="shared" si="1"/>
        <v>10</v>
      </c>
      <c r="B11" s="62">
        <v>3</v>
      </c>
      <c r="C11" s="79" t="s">
        <v>130</v>
      </c>
      <c r="D11" s="61">
        <v>20260323</v>
      </c>
      <c r="E11" s="64" t="s">
        <v>20</v>
      </c>
      <c r="F11" s="62" t="s">
        <v>21</v>
      </c>
      <c r="G11" s="62" t="s">
        <v>22</v>
      </c>
      <c r="H11" s="62" t="s">
        <v>131</v>
      </c>
      <c r="I11" s="62">
        <v>253946</v>
      </c>
      <c r="J11" s="62" t="s">
        <v>24</v>
      </c>
      <c r="K11" s="80">
        <v>8.8</v>
      </c>
      <c r="L11" s="65">
        <f t="shared" si="0"/>
        <v>2234724.8</v>
      </c>
      <c r="M11" s="62" t="s">
        <v>36</v>
      </c>
      <c r="N11" s="11" t="s">
        <v>155</v>
      </c>
      <c r="O11" s="66">
        <v>8.03100001575138</v>
      </c>
      <c r="P11" s="62" t="s">
        <v>43</v>
      </c>
      <c r="Q11" s="62" t="s">
        <v>156</v>
      </c>
      <c r="R11" s="62"/>
      <c r="S11" s="62" t="s">
        <v>157</v>
      </c>
      <c r="T11" s="62"/>
      <c r="U11" s="58"/>
    </row>
    <row r="12" s="59" customFormat="1" customHeight="1" spans="1:22">
      <c r="A12" s="61">
        <f t="shared" si="1"/>
        <v>11</v>
      </c>
      <c r="B12" s="62">
        <v>3</v>
      </c>
      <c r="C12" s="79" t="s">
        <v>130</v>
      </c>
      <c r="D12" s="61">
        <v>20260323</v>
      </c>
      <c r="E12" s="64" t="s">
        <v>20</v>
      </c>
      <c r="F12" s="62" t="s">
        <v>21</v>
      </c>
      <c r="G12" s="62" t="s">
        <v>59</v>
      </c>
      <c r="H12" s="62" t="s">
        <v>131</v>
      </c>
      <c r="I12" s="62">
        <v>416848</v>
      </c>
      <c r="J12" s="62" t="s">
        <v>24</v>
      </c>
      <c r="K12" s="80">
        <v>8.8</v>
      </c>
      <c r="L12" s="65">
        <f t="shared" si="0"/>
        <v>3668262.4</v>
      </c>
      <c r="M12" s="62" t="s">
        <v>36</v>
      </c>
      <c r="N12" s="11" t="s">
        <v>158</v>
      </c>
      <c r="O12" s="66">
        <v>8.011</v>
      </c>
      <c r="P12" s="62" t="s">
        <v>43</v>
      </c>
      <c r="Q12" s="62" t="s">
        <v>159</v>
      </c>
      <c r="R12" s="62"/>
      <c r="S12" s="99" t="s">
        <v>160</v>
      </c>
      <c r="T12" s="62"/>
      <c r="U12" s="58"/>
    </row>
    <row r="13" s="59" customFormat="1" customHeight="1" spans="1:22">
      <c r="A13" s="61">
        <f t="shared" si="1"/>
        <v>12</v>
      </c>
      <c r="B13" s="62">
        <v>3</v>
      </c>
      <c r="C13" s="79" t="s">
        <v>130</v>
      </c>
      <c r="D13" s="61">
        <v>20260330</v>
      </c>
      <c r="E13" s="64" t="s">
        <v>20</v>
      </c>
      <c r="F13" s="62" t="s">
        <v>21</v>
      </c>
      <c r="G13" s="62" t="s">
        <v>134</v>
      </c>
      <c r="H13" s="62" t="s">
        <v>131</v>
      </c>
      <c r="I13" s="62">
        <v>203587</v>
      </c>
      <c r="J13" s="62" t="s">
        <v>24</v>
      </c>
      <c r="K13" s="80">
        <v>8.8</v>
      </c>
      <c r="L13" s="65">
        <f t="shared" si="0"/>
        <v>1791565.6</v>
      </c>
      <c r="M13" s="62" t="s">
        <v>36</v>
      </c>
      <c r="N13" s="11" t="s">
        <v>161</v>
      </c>
      <c r="O13" s="66">
        <v>8.02</v>
      </c>
      <c r="P13" s="62" t="s">
        <v>43</v>
      </c>
      <c r="Q13" s="62" t="s">
        <v>162</v>
      </c>
      <c r="R13" s="176" t="s">
        <v>163</v>
      </c>
      <c r="S13" s="99" t="s">
        <v>164</v>
      </c>
      <c r="T13" s="62"/>
      <c r="U13" s="58"/>
    </row>
    <row r="14" s="59" customFormat="1" customHeight="1" spans="1:22">
      <c r="A14" s="61"/>
      <c r="B14" s="62"/>
      <c r="C14" s="79"/>
      <c r="D14" s="61"/>
      <c r="E14" s="64"/>
      <c r="F14" s="62"/>
      <c r="G14" s="62"/>
      <c r="H14" s="62"/>
      <c r="I14" s="62"/>
      <c r="J14" s="62"/>
      <c r="K14" s="80"/>
      <c r="L14" s="65"/>
      <c r="M14" s="62"/>
      <c r="N14" s="11"/>
      <c r="O14" s="66"/>
      <c r="P14" s="62"/>
      <c r="Q14" s="62"/>
      <c r="R14" s="62"/>
      <c r="S14" s="99"/>
      <c r="T14" s="62"/>
      <c r="U14" s="58"/>
    </row>
    <row r="15" s="59" customFormat="1" customHeight="1" spans="1:22">
      <c r="A15" s="61"/>
      <c r="B15" s="62"/>
      <c r="C15" s="79"/>
      <c r="D15" s="61"/>
      <c r="E15" s="64"/>
      <c r="F15" s="62"/>
      <c r="G15" s="62"/>
      <c r="H15" s="62"/>
      <c r="I15" s="62"/>
      <c r="J15" s="62"/>
      <c r="K15" s="80"/>
      <c r="L15" s="65"/>
      <c r="M15" s="62"/>
      <c r="N15" s="11"/>
      <c r="O15" s="66"/>
      <c r="P15" s="62"/>
      <c r="Q15" s="62"/>
      <c r="R15" s="62"/>
      <c r="S15" s="62"/>
      <c r="T15" s="62"/>
      <c r="U15" s="58"/>
    </row>
    <row r="16" s="59" customFormat="1" customHeight="1" spans="1:22">
      <c r="A16" s="61"/>
      <c r="B16" s="62"/>
      <c r="C16" s="79"/>
      <c r="D16" s="61"/>
      <c r="E16" s="64"/>
      <c r="F16" s="62"/>
      <c r="G16" s="62"/>
      <c r="H16" s="62"/>
      <c r="I16" s="62"/>
      <c r="J16" s="62"/>
      <c r="K16" s="80"/>
      <c r="L16" s="65"/>
      <c r="M16" s="62"/>
      <c r="N16" s="11"/>
      <c r="O16" s="66"/>
      <c r="P16" s="62"/>
      <c r="Q16" s="62"/>
      <c r="R16" s="62"/>
      <c r="S16" s="94"/>
      <c r="T16" s="62"/>
      <c r="U16" s="58"/>
    </row>
    <row r="17" s="59" customFormat="1" customHeight="1" spans="1:21">
      <c r="A17" s="61"/>
      <c r="B17" s="62"/>
      <c r="C17" s="79"/>
      <c r="D17" s="61"/>
      <c r="E17" s="64"/>
      <c r="F17" s="62"/>
      <c r="G17" s="62"/>
      <c r="H17" s="62"/>
      <c r="I17" s="62"/>
      <c r="J17" s="62"/>
      <c r="K17" s="80"/>
      <c r="L17" s="65"/>
      <c r="M17" s="62"/>
      <c r="N17" s="11"/>
      <c r="O17" s="66"/>
      <c r="P17" s="62"/>
      <c r="Q17" s="62"/>
      <c r="R17" s="62"/>
      <c r="S17" s="92"/>
      <c r="T17" s="62"/>
      <c r="U17" s="58"/>
    </row>
    <row r="18" s="59" customFormat="1" customHeight="1" spans="1:21">
      <c r="A18" s="61"/>
      <c r="B18" s="62"/>
      <c r="C18" s="79"/>
      <c r="D18" s="61"/>
      <c r="E18" s="64"/>
      <c r="F18" s="62"/>
      <c r="G18" s="62"/>
      <c r="H18" s="62"/>
      <c r="I18" s="62"/>
      <c r="J18" s="62"/>
      <c r="K18" s="80"/>
      <c r="L18" s="65"/>
      <c r="M18" s="62"/>
      <c r="N18" s="11"/>
      <c r="O18" s="66"/>
      <c r="P18" s="62"/>
      <c r="Q18" s="62"/>
      <c r="R18" s="62"/>
      <c r="S18" s="94"/>
      <c r="T18" s="62"/>
      <c r="U18" s="58"/>
    </row>
    <row r="19" s="59" customFormat="1" customHeight="1" spans="1:21">
      <c r="A19" s="61"/>
      <c r="B19" s="62"/>
      <c r="C19" s="79"/>
      <c r="D19" s="61"/>
      <c r="E19" s="64"/>
      <c r="F19" s="62"/>
      <c r="G19" s="62"/>
      <c r="H19" s="62"/>
      <c r="I19" s="62"/>
      <c r="J19" s="62"/>
      <c r="K19" s="80"/>
      <c r="L19" s="65"/>
      <c r="M19" s="62"/>
      <c r="N19" s="11"/>
      <c r="O19" s="66"/>
      <c r="P19" s="62"/>
      <c r="Q19" s="62"/>
      <c r="R19" s="62"/>
      <c r="S19" s="92"/>
      <c r="T19" s="62"/>
      <c r="U19" s="58"/>
    </row>
    <row r="20" s="58" customFormat="1" customHeight="1" spans="1:21">
      <c r="A20" s="61"/>
      <c r="B20" s="62"/>
      <c r="C20" s="79"/>
      <c r="D20" s="61"/>
      <c r="E20" s="64"/>
      <c r="F20" s="62"/>
      <c r="G20" s="62"/>
      <c r="H20" s="62"/>
      <c r="I20" s="62"/>
      <c r="J20" s="62"/>
      <c r="K20" s="80"/>
      <c r="L20" s="65"/>
      <c r="M20" s="62"/>
      <c r="N20" s="11"/>
      <c r="O20" s="66"/>
      <c r="P20" s="62"/>
      <c r="Q20" s="62"/>
      <c r="R20" s="62"/>
      <c r="S20" s="62"/>
      <c r="T20" s="62"/>
    </row>
    <row r="21" s="58" customFormat="1" customHeight="1" spans="1:21">
      <c r="A21" s="61"/>
      <c r="B21" s="62"/>
      <c r="C21" s="79"/>
      <c r="D21" s="61"/>
      <c r="E21" s="64"/>
      <c r="F21" s="62"/>
      <c r="G21" s="62"/>
      <c r="H21" s="62"/>
      <c r="I21" s="62"/>
      <c r="J21" s="62"/>
      <c r="K21" s="80"/>
      <c r="L21" s="65"/>
      <c r="M21" s="62"/>
      <c r="N21" s="11"/>
      <c r="O21" s="66"/>
      <c r="P21" s="62"/>
      <c r="Q21" s="62"/>
      <c r="R21" s="62"/>
      <c r="S21" s="62"/>
      <c r="T21" s="62"/>
    </row>
    <row r="22" s="58" customFormat="1" customHeight="1" spans="1:21">
      <c r="A22" s="61"/>
      <c r="B22" s="62"/>
      <c r="C22" s="79"/>
      <c r="D22" s="61"/>
      <c r="E22" s="64"/>
      <c r="F22" s="62"/>
      <c r="G22" s="62"/>
      <c r="H22" s="62"/>
      <c r="I22" s="62"/>
      <c r="J22" s="62"/>
      <c r="K22" s="80"/>
      <c r="L22" s="65"/>
      <c r="M22" s="62"/>
      <c r="N22" s="11"/>
      <c r="O22" s="66"/>
      <c r="P22" s="62"/>
      <c r="Q22" s="62"/>
      <c r="R22" s="62"/>
      <c r="S22" s="62"/>
      <c r="T22" s="62"/>
    </row>
    <row r="23" s="58" customFormat="1" customHeight="1" spans="1:21">
      <c r="A23" s="61"/>
      <c r="B23" s="62"/>
      <c r="C23" s="79"/>
      <c r="D23" s="61"/>
      <c r="E23" s="64"/>
      <c r="F23" s="62"/>
      <c r="G23" s="62"/>
      <c r="H23" s="62"/>
      <c r="I23" s="62"/>
      <c r="J23" s="62"/>
      <c r="K23" s="80"/>
      <c r="L23" s="65"/>
      <c r="M23" s="62"/>
      <c r="N23" s="11"/>
      <c r="O23" s="66"/>
      <c r="P23" s="62"/>
      <c r="Q23" s="62"/>
      <c r="R23" s="62"/>
      <c r="S23" s="62"/>
      <c r="T23" s="62"/>
    </row>
    <row r="24" s="58" customFormat="1" customHeight="1" spans="1:21">
      <c r="A24" s="61"/>
      <c r="B24" s="62"/>
      <c r="C24" s="79"/>
      <c r="D24" s="61"/>
      <c r="E24" s="64"/>
      <c r="F24" s="62"/>
      <c r="G24" s="62"/>
      <c r="H24" s="62"/>
      <c r="I24" s="62"/>
      <c r="J24" s="62"/>
      <c r="K24" s="80"/>
      <c r="L24" s="65"/>
      <c r="M24" s="62"/>
      <c r="N24" s="11"/>
      <c r="O24" s="66"/>
      <c r="P24" s="62"/>
      <c r="Q24" s="62"/>
      <c r="R24" s="62"/>
      <c r="S24" s="92"/>
      <c r="T24" s="62"/>
    </row>
    <row r="25" s="58" customFormat="1" customHeight="1" spans="1:21">
      <c r="A25" s="61"/>
      <c r="B25" s="62"/>
      <c r="C25" s="79"/>
      <c r="D25" s="61"/>
      <c r="E25" s="64"/>
      <c r="F25" s="62"/>
      <c r="G25" s="62"/>
      <c r="H25" s="62"/>
      <c r="I25" s="62"/>
      <c r="J25" s="62"/>
      <c r="K25" s="65"/>
      <c r="L25" s="65"/>
      <c r="M25" s="62"/>
      <c r="N25" s="11"/>
      <c r="O25" s="66"/>
      <c r="P25" s="62"/>
      <c r="Q25" s="62"/>
      <c r="R25" s="62"/>
      <c r="S25" s="62"/>
      <c r="T25" s="62"/>
    </row>
    <row r="26" s="58" customFormat="1" customHeight="1" spans="1:21">
      <c r="A26" s="61"/>
      <c r="B26" s="62"/>
      <c r="C26" s="79"/>
      <c r="D26" s="61"/>
      <c r="E26" s="64"/>
      <c r="F26" s="62"/>
      <c r="G26" s="62"/>
      <c r="H26" s="62"/>
      <c r="I26" s="62"/>
      <c r="J26" s="62"/>
      <c r="K26" s="65"/>
      <c r="L26" s="65"/>
      <c r="M26" s="62"/>
      <c r="N26" s="11"/>
      <c r="O26" s="66"/>
      <c r="P26" s="62"/>
      <c r="Q26" s="62"/>
      <c r="R26" s="62"/>
      <c r="S26" s="62"/>
      <c r="T26" s="62"/>
    </row>
    <row r="27" s="58" customFormat="1" customHeight="1" spans="1:21">
      <c r="A27" s="61"/>
      <c r="B27" s="62"/>
      <c r="C27" s="79"/>
      <c r="D27" s="61"/>
      <c r="E27" s="64"/>
      <c r="F27" s="62"/>
      <c r="G27" s="62"/>
      <c r="H27" s="62"/>
      <c r="I27" s="62"/>
      <c r="J27" s="62"/>
      <c r="K27" s="65"/>
      <c r="L27" s="65"/>
      <c r="M27" s="62"/>
      <c r="N27" s="11"/>
      <c r="O27" s="66"/>
      <c r="P27" s="62"/>
      <c r="Q27" s="62"/>
      <c r="R27" s="62"/>
      <c r="S27" s="62"/>
      <c r="T27" s="62"/>
    </row>
    <row r="28" s="58" customFormat="1" customHeight="1" spans="1:21">
      <c r="A28" s="61"/>
      <c r="B28" s="62"/>
      <c r="C28" s="79"/>
      <c r="D28" s="61"/>
      <c r="E28" s="141"/>
      <c r="F28" s="62"/>
      <c r="G28" s="62"/>
      <c r="H28" s="62"/>
      <c r="I28" s="62"/>
      <c r="J28" s="62"/>
      <c r="K28" s="84"/>
      <c r="L28" s="65"/>
      <c r="M28" s="62"/>
      <c r="N28" s="156"/>
      <c r="O28" s="133"/>
      <c r="P28" s="62"/>
      <c r="Q28" s="62"/>
      <c r="R28" s="62"/>
      <c r="S28" s="62"/>
      <c r="T28" s="62"/>
    </row>
    <row r="29" s="58" customFormat="1" customHeight="1" spans="1:21">
      <c r="A29" s="61"/>
      <c r="B29" s="62"/>
      <c r="C29" s="79"/>
      <c r="D29" s="61"/>
      <c r="E29" s="64"/>
      <c r="F29" s="62"/>
      <c r="G29" s="62"/>
      <c r="H29" s="62"/>
      <c r="I29" s="62"/>
      <c r="J29" s="62"/>
      <c r="K29" s="65"/>
      <c r="L29" s="65"/>
      <c r="M29" s="62"/>
      <c r="N29" s="11"/>
      <c r="O29" s="66"/>
      <c r="P29" s="62"/>
      <c r="Q29" s="62"/>
      <c r="R29" s="62"/>
      <c r="S29" s="62"/>
      <c r="T29" s="62"/>
    </row>
    <row r="30" s="58" customFormat="1" customHeight="1" spans="1:21">
      <c r="A30" s="61"/>
      <c r="B30" s="62"/>
      <c r="C30" s="79"/>
      <c r="D30" s="61"/>
      <c r="E30" s="141"/>
      <c r="F30" s="62"/>
      <c r="G30" s="62"/>
      <c r="H30" s="62"/>
      <c r="I30" s="105"/>
      <c r="J30" s="62"/>
      <c r="K30" s="65"/>
      <c r="L30" s="65"/>
      <c r="M30" s="62"/>
      <c r="N30" s="11"/>
      <c r="O30" s="66"/>
      <c r="P30" s="62"/>
      <c r="Q30" s="62"/>
      <c r="R30" s="62"/>
      <c r="S30" s="62"/>
      <c r="T30" s="62"/>
    </row>
    <row r="31" s="58" customFormat="1" customHeight="1" spans="1:21">
      <c r="A31" s="61"/>
      <c r="B31" s="62"/>
      <c r="C31" s="79"/>
      <c r="D31" s="61"/>
      <c r="E31" s="64"/>
      <c r="F31" s="62"/>
      <c r="G31" s="62"/>
      <c r="H31" s="62"/>
      <c r="I31" s="62"/>
      <c r="J31" s="62"/>
      <c r="K31" s="65"/>
      <c r="L31" s="65"/>
      <c r="M31" s="62"/>
      <c r="N31" s="11"/>
      <c r="O31" s="66"/>
      <c r="P31" s="62"/>
      <c r="Q31" s="62"/>
      <c r="R31" s="62"/>
      <c r="S31" s="62"/>
      <c r="T31" s="62"/>
    </row>
    <row r="32" s="58" customFormat="1" customHeight="1" spans="1:21">
      <c r="A32" s="61"/>
      <c r="B32" s="62"/>
      <c r="C32" s="79"/>
      <c r="D32" s="61"/>
      <c r="E32" s="141"/>
      <c r="F32" s="62"/>
      <c r="G32" s="62"/>
      <c r="H32" s="62"/>
      <c r="I32" s="62"/>
      <c r="J32" s="62"/>
      <c r="K32" s="65"/>
      <c r="L32" s="65"/>
      <c r="M32" s="62"/>
      <c r="N32" s="11"/>
      <c r="O32" s="66"/>
      <c r="P32" s="62"/>
      <c r="Q32" s="62"/>
      <c r="R32" s="62"/>
      <c r="S32" s="62"/>
      <c r="T32" s="62"/>
    </row>
    <row r="33" s="58" customFormat="1" customHeight="1" spans="1:20">
      <c r="A33" s="61"/>
      <c r="B33" s="62"/>
      <c r="C33" s="79"/>
      <c r="D33" s="61"/>
      <c r="E33" s="141"/>
      <c r="F33" s="62"/>
      <c r="G33" s="62"/>
      <c r="H33" s="62"/>
      <c r="I33" s="62"/>
      <c r="J33" s="62"/>
      <c r="K33" s="65"/>
      <c r="L33" s="65"/>
      <c r="M33" s="62"/>
      <c r="N33" s="11"/>
      <c r="O33" s="66"/>
      <c r="P33" s="62"/>
      <c r="Q33" s="62"/>
      <c r="R33" s="62"/>
      <c r="S33" s="62"/>
      <c r="T33" s="62"/>
    </row>
    <row r="34" s="58" customFormat="1" customHeight="1" spans="1:20">
      <c r="A34" s="61"/>
      <c r="B34" s="62"/>
      <c r="C34" s="79"/>
      <c r="D34" s="61"/>
      <c r="E34" s="141"/>
      <c r="F34" s="62"/>
      <c r="G34" s="62"/>
      <c r="H34" s="62"/>
      <c r="I34" s="62"/>
      <c r="J34" s="62"/>
      <c r="K34" s="65"/>
      <c r="L34" s="65"/>
      <c r="M34" s="62"/>
      <c r="N34" s="11"/>
      <c r="O34" s="86"/>
      <c r="P34" s="62"/>
      <c r="Q34" s="62"/>
      <c r="R34" s="62"/>
      <c r="S34" s="62"/>
      <c r="T34" s="62"/>
    </row>
    <row r="35" s="58" customFormat="1" customHeight="1" spans="1:20">
      <c r="A35" s="61"/>
      <c r="B35" s="62"/>
      <c r="C35" s="79"/>
      <c r="D35" s="61"/>
      <c r="E35" s="64"/>
      <c r="F35" s="62"/>
      <c r="G35" s="62"/>
      <c r="H35" s="62"/>
      <c r="I35" s="87"/>
      <c r="J35" s="62"/>
      <c r="K35" s="65"/>
      <c r="L35" s="65"/>
      <c r="M35" s="62"/>
      <c r="N35" s="11"/>
      <c r="O35" s="86"/>
      <c r="P35" s="62"/>
      <c r="Q35" s="62"/>
      <c r="R35" s="62"/>
      <c r="S35" s="62"/>
      <c r="T35" s="62"/>
    </row>
    <row r="36" s="58" customFormat="1" customHeight="1" spans="1:20">
      <c r="A36" s="61"/>
      <c r="B36" s="62"/>
      <c r="C36" s="79"/>
      <c r="D36" s="61"/>
      <c r="E36" s="64"/>
      <c r="F36" s="62"/>
      <c r="G36" s="62"/>
      <c r="H36" s="88"/>
      <c r="I36" s="87"/>
      <c r="J36" s="62"/>
      <c r="K36" s="65"/>
      <c r="L36" s="65"/>
      <c r="M36" s="62"/>
      <c r="N36" s="11"/>
      <c r="O36" s="86"/>
      <c r="P36" s="62"/>
      <c r="Q36" s="62"/>
      <c r="R36" s="62"/>
      <c r="S36" s="62"/>
      <c r="T36" s="62"/>
    </row>
    <row r="37" s="58" customFormat="1" customHeight="1" spans="1:20">
      <c r="A37" s="61"/>
      <c r="B37" s="62"/>
      <c r="C37" s="79"/>
      <c r="D37" s="61"/>
      <c r="E37" s="64"/>
      <c r="F37" s="62"/>
      <c r="G37" s="62"/>
      <c r="H37" s="88"/>
      <c r="I37" s="87"/>
      <c r="J37" s="62"/>
      <c r="K37" s="65"/>
      <c r="L37" s="65"/>
      <c r="M37" s="62"/>
      <c r="N37" s="11"/>
      <c r="O37" s="86"/>
      <c r="P37" s="62"/>
      <c r="Q37" s="62"/>
      <c r="R37" s="62"/>
      <c r="S37" s="62"/>
      <c r="T37" s="62"/>
    </row>
    <row r="38" s="58" customFormat="1" customHeight="1" spans="1:20">
      <c r="A38" s="61"/>
      <c r="B38" s="62"/>
      <c r="C38" s="79"/>
      <c r="D38" s="61"/>
      <c r="E38" s="64"/>
      <c r="F38" s="62"/>
      <c r="G38" s="62"/>
      <c r="H38" s="88"/>
      <c r="I38" s="87"/>
      <c r="J38" s="62"/>
      <c r="K38" s="65"/>
      <c r="L38" s="65"/>
      <c r="M38" s="62"/>
      <c r="N38" s="11"/>
      <c r="O38" s="86"/>
      <c r="P38" s="62"/>
      <c r="Q38" s="62"/>
      <c r="R38" s="62"/>
      <c r="S38" s="94"/>
      <c r="T38" s="62"/>
    </row>
    <row r="39" s="58" customFormat="1" customHeight="1" spans="1:20">
      <c r="A39" s="61"/>
      <c r="B39" s="62"/>
      <c r="C39" s="79"/>
      <c r="D39" s="61"/>
      <c r="E39" s="64"/>
      <c r="F39" s="62"/>
      <c r="G39" s="62"/>
      <c r="H39" s="88"/>
      <c r="I39" s="87"/>
      <c r="J39" s="62"/>
      <c r="K39" s="65"/>
      <c r="L39" s="65"/>
      <c r="M39" s="62"/>
      <c r="N39" s="11"/>
      <c r="O39" s="86"/>
      <c r="P39" s="62"/>
      <c r="Q39" s="62"/>
      <c r="R39" s="62"/>
      <c r="S39" s="92"/>
      <c r="T39" s="62"/>
    </row>
    <row r="40" s="58" customFormat="1" customHeight="1" spans="1:20">
      <c r="A40" s="61"/>
      <c r="B40" s="62"/>
      <c r="C40" s="79"/>
      <c r="D40" s="61"/>
      <c r="E40" s="141"/>
      <c r="F40" s="62"/>
      <c r="G40" s="62"/>
      <c r="H40" s="62"/>
      <c r="I40" s="62"/>
      <c r="J40" s="62"/>
      <c r="K40" s="84"/>
      <c r="L40" s="65"/>
      <c r="M40" s="62"/>
      <c r="N40" s="11"/>
      <c r="O40" s="152"/>
      <c r="P40" s="62"/>
      <c r="Q40" s="62"/>
      <c r="R40" s="62"/>
      <c r="S40" s="62"/>
      <c r="T40" s="62"/>
    </row>
    <row r="41" s="58" customFormat="1" customHeight="1" spans="1:20">
      <c r="A41" s="61"/>
      <c r="B41" s="62"/>
      <c r="C41" s="79"/>
      <c r="D41" s="61"/>
      <c r="E41" s="141"/>
      <c r="F41" s="62"/>
      <c r="G41" s="62"/>
      <c r="H41" s="62"/>
      <c r="I41" s="62"/>
      <c r="J41" s="62"/>
      <c r="K41" s="84"/>
      <c r="L41" s="65"/>
      <c r="M41" s="62"/>
      <c r="N41" s="11"/>
      <c r="O41" s="152"/>
      <c r="P41" s="62"/>
      <c r="Q41" s="62"/>
      <c r="R41" s="62"/>
      <c r="S41" s="62"/>
      <c r="T41" s="62"/>
    </row>
    <row r="42" s="58" customFormat="1" customHeight="1" spans="1:20">
      <c r="A42" s="61"/>
      <c r="B42" s="62"/>
      <c r="C42" s="79"/>
      <c r="D42" s="61"/>
      <c r="E42" s="64"/>
      <c r="F42" s="62"/>
      <c r="G42" s="62"/>
      <c r="H42" s="62"/>
      <c r="I42" s="62"/>
      <c r="J42" s="62"/>
      <c r="K42" s="65"/>
      <c r="L42" s="65"/>
      <c r="M42" s="62"/>
      <c r="N42" s="11"/>
      <c r="O42" s="66"/>
      <c r="P42" s="62"/>
      <c r="Q42" s="62"/>
      <c r="R42" s="62"/>
      <c r="S42" s="62"/>
      <c r="T42" s="62"/>
    </row>
    <row r="43" s="58" customFormat="1" customHeight="1" spans="1:20">
      <c r="A43" s="61"/>
      <c r="B43" s="62"/>
      <c r="C43" s="79"/>
      <c r="D43" s="61"/>
      <c r="E43" s="64"/>
      <c r="F43" s="62"/>
      <c r="G43" s="62"/>
      <c r="H43" s="62"/>
      <c r="I43" s="62"/>
      <c r="J43" s="62"/>
      <c r="K43" s="65"/>
      <c r="L43" s="65"/>
      <c r="M43" s="62"/>
      <c r="N43" s="11"/>
      <c r="O43" s="66"/>
      <c r="P43" s="62"/>
      <c r="Q43" s="62"/>
      <c r="R43" s="62"/>
      <c r="S43" s="62"/>
      <c r="T43" s="62"/>
    </row>
    <row r="44" s="58" customFormat="1" customHeight="1" spans="1:20">
      <c r="A44" s="61"/>
      <c r="B44" s="62"/>
      <c r="C44" s="79"/>
      <c r="D44" s="61"/>
      <c r="E44" s="64"/>
      <c r="F44" s="62"/>
      <c r="G44" s="62"/>
      <c r="H44" s="62"/>
      <c r="I44" s="62"/>
      <c r="J44" s="62"/>
      <c r="K44" s="65"/>
      <c r="L44" s="65"/>
      <c r="M44" s="62"/>
      <c r="N44" s="11"/>
      <c r="O44" s="66"/>
      <c r="P44" s="62"/>
      <c r="Q44" s="62"/>
      <c r="R44" s="62"/>
      <c r="S44" s="62"/>
      <c r="T44" s="62"/>
    </row>
    <row r="45" s="58" customFormat="1" customHeight="1" spans="1:20">
      <c r="A45" s="61"/>
      <c r="B45" s="62"/>
      <c r="C45" s="79"/>
      <c r="D45" s="61"/>
      <c r="E45" s="64"/>
      <c r="F45" s="62"/>
      <c r="G45" s="62"/>
      <c r="H45" s="62"/>
      <c r="I45" s="62"/>
      <c r="J45" s="62"/>
      <c r="K45" s="65"/>
      <c r="L45" s="65"/>
      <c r="M45" s="62"/>
      <c r="N45" s="11"/>
      <c r="O45" s="66"/>
      <c r="P45" s="62"/>
      <c r="Q45" s="62"/>
      <c r="R45" s="62"/>
      <c r="S45" s="62"/>
      <c r="T45" s="62"/>
    </row>
    <row r="46" s="58" customFormat="1" customHeight="1" spans="1:20">
      <c r="A46" s="61"/>
      <c r="B46" s="62"/>
      <c r="C46" s="79"/>
      <c r="D46" s="61"/>
      <c r="E46" s="64"/>
      <c r="F46" s="62"/>
      <c r="G46" s="62"/>
      <c r="H46" s="62"/>
      <c r="I46" s="62"/>
      <c r="J46" s="62"/>
      <c r="K46" s="65"/>
      <c r="L46" s="65"/>
      <c r="M46" s="62"/>
      <c r="N46" s="11"/>
      <c r="O46" s="66"/>
      <c r="P46" s="62"/>
      <c r="Q46" s="62"/>
      <c r="R46" s="62"/>
      <c r="S46" s="62"/>
      <c r="T46" s="62"/>
    </row>
    <row r="47" s="58" customFormat="1" customHeight="1" spans="1:20">
      <c r="A47" s="61"/>
      <c r="B47" s="62"/>
      <c r="C47" s="79"/>
      <c r="D47" s="61"/>
      <c r="E47" s="64"/>
      <c r="F47" s="62"/>
      <c r="G47" s="62"/>
      <c r="H47" s="62"/>
      <c r="I47" s="62"/>
      <c r="J47" s="62"/>
      <c r="K47" s="65"/>
      <c r="L47" s="65"/>
      <c r="M47" s="62"/>
      <c r="N47" s="11"/>
      <c r="O47" s="66"/>
      <c r="P47" s="62"/>
      <c r="Q47" s="62"/>
      <c r="R47" s="62"/>
      <c r="S47" s="62"/>
      <c r="T47" s="62"/>
    </row>
    <row r="48" s="58" customFormat="1" customHeight="1" spans="1:20">
      <c r="A48" s="61"/>
      <c r="B48" s="62"/>
      <c r="C48" s="79"/>
      <c r="D48" s="61"/>
      <c r="E48" s="64"/>
      <c r="F48" s="62"/>
      <c r="G48" s="62"/>
      <c r="H48" s="62"/>
      <c r="I48" s="90"/>
      <c r="J48" s="62"/>
      <c r="K48" s="65"/>
      <c r="L48" s="65"/>
      <c r="M48" s="62"/>
      <c r="N48" s="11"/>
      <c r="O48" s="93"/>
      <c r="P48" s="62"/>
      <c r="Q48" s="62"/>
      <c r="R48" s="62"/>
      <c r="S48" s="92"/>
      <c r="T48" s="62"/>
    </row>
    <row r="49" s="58" customFormat="1" customHeight="1" spans="1:20">
      <c r="A49" s="61"/>
      <c r="B49" s="62"/>
      <c r="C49" s="79"/>
      <c r="D49" s="61"/>
      <c r="E49" s="64"/>
      <c r="F49" s="62"/>
      <c r="G49" s="62"/>
      <c r="H49" s="90"/>
      <c r="I49" s="90"/>
      <c r="J49" s="62"/>
      <c r="K49" s="65"/>
      <c r="L49" s="65"/>
      <c r="M49" s="62"/>
      <c r="N49" s="11"/>
      <c r="O49" s="93"/>
      <c r="P49" s="62"/>
      <c r="Q49" s="62"/>
      <c r="R49" s="62"/>
      <c r="S49" s="62"/>
      <c r="T49" s="62"/>
    </row>
    <row r="50" s="58" customFormat="1" spans="1:20">
      <c r="A50" s="61"/>
      <c r="B50" s="62"/>
      <c r="C50" s="79"/>
      <c r="D50" s="61"/>
      <c r="E50" s="64"/>
      <c r="F50" s="62"/>
      <c r="G50" s="62"/>
      <c r="H50" s="62"/>
      <c r="I50" s="62"/>
      <c r="J50" s="62"/>
      <c r="K50" s="65"/>
      <c r="L50" s="65"/>
      <c r="M50" s="62"/>
      <c r="N50" s="11"/>
      <c r="O50" s="66"/>
      <c r="P50" s="62"/>
      <c r="Q50" s="62"/>
      <c r="R50" s="62"/>
      <c r="S50" s="62"/>
      <c r="T50" s="62"/>
    </row>
    <row r="51" s="58" customFormat="1" spans="1:20">
      <c r="A51" s="61"/>
      <c r="B51" s="62"/>
      <c r="C51" s="79"/>
      <c r="D51" s="61"/>
      <c r="E51" s="64"/>
      <c r="F51" s="62"/>
      <c r="G51" s="62"/>
      <c r="H51" s="62"/>
      <c r="I51" s="62"/>
      <c r="J51" s="62"/>
      <c r="K51" s="65"/>
      <c r="L51" s="65"/>
      <c r="M51" s="62"/>
      <c r="N51" s="11"/>
      <c r="O51" s="66"/>
      <c r="P51" s="62"/>
      <c r="Q51" s="62"/>
      <c r="R51" s="62"/>
      <c r="S51" s="62"/>
      <c r="T51" s="62"/>
    </row>
    <row r="52" s="58" customFormat="1" customHeight="1" spans="1:20">
      <c r="A52" s="61"/>
      <c r="B52" s="62"/>
      <c r="C52" s="79"/>
      <c r="D52" s="61"/>
      <c r="E52" s="64"/>
      <c r="F52" s="62"/>
      <c r="G52" s="62"/>
      <c r="H52" s="62"/>
      <c r="I52" s="62"/>
      <c r="J52" s="62"/>
      <c r="K52" s="65"/>
      <c r="L52" s="65"/>
      <c r="M52" s="62"/>
      <c r="N52" s="11"/>
      <c r="O52" s="66"/>
      <c r="P52" s="62"/>
      <c r="Q52" s="62"/>
      <c r="R52" s="62"/>
      <c r="S52" s="62"/>
      <c r="T52" s="62"/>
    </row>
    <row r="53" s="58" customFormat="1" customHeight="1" spans="1:20">
      <c r="A53" s="61"/>
      <c r="B53" s="62"/>
      <c r="C53" s="79"/>
      <c r="D53" s="61"/>
      <c r="E53" s="64"/>
      <c r="F53" s="62"/>
      <c r="G53" s="62"/>
      <c r="H53" s="62"/>
      <c r="I53" s="62"/>
      <c r="J53" s="62"/>
      <c r="K53" s="65"/>
      <c r="L53" s="65"/>
      <c r="M53" s="62"/>
      <c r="N53" s="11"/>
      <c r="O53" s="66"/>
      <c r="P53" s="62"/>
      <c r="Q53" s="62"/>
      <c r="R53" s="62"/>
      <c r="S53" s="62"/>
      <c r="T53" s="62"/>
    </row>
    <row r="54" s="58" customFormat="1" customHeight="1" spans="1:20">
      <c r="A54" s="61"/>
      <c r="B54" s="62"/>
      <c r="C54" s="79"/>
      <c r="D54" s="61"/>
      <c r="E54" s="64"/>
      <c r="F54" s="62"/>
      <c r="G54" s="62"/>
      <c r="H54" s="62"/>
      <c r="I54" s="62"/>
      <c r="J54" s="62"/>
      <c r="K54" s="65"/>
      <c r="L54" s="65"/>
      <c r="M54" s="62"/>
      <c r="N54" s="11"/>
      <c r="O54" s="66"/>
      <c r="P54" s="62"/>
      <c r="Q54" s="62"/>
      <c r="R54" s="62"/>
      <c r="S54" s="62"/>
      <c r="T54" s="62"/>
    </row>
    <row r="55" s="58" customFormat="1" customHeight="1" spans="1:20">
      <c r="A55" s="61"/>
      <c r="B55" s="62"/>
      <c r="C55" s="79"/>
      <c r="D55" s="61"/>
      <c r="E55" s="64"/>
      <c r="F55" s="62"/>
      <c r="G55" s="62"/>
      <c r="H55" s="62"/>
      <c r="I55" s="62"/>
      <c r="J55" s="62"/>
      <c r="K55" s="65"/>
      <c r="L55" s="65"/>
      <c r="M55" s="62"/>
      <c r="N55" s="11"/>
      <c r="O55" s="66"/>
      <c r="P55" s="62"/>
      <c r="Q55" s="62"/>
      <c r="R55" s="62"/>
      <c r="S55" s="62"/>
      <c r="T55" s="62"/>
    </row>
    <row r="56" s="58" customFormat="1" customHeight="1" spans="1:20">
      <c r="A56" s="61"/>
      <c r="B56" s="62"/>
      <c r="C56" s="79"/>
      <c r="D56" s="61"/>
      <c r="E56" s="64"/>
      <c r="F56" s="62"/>
      <c r="G56" s="62"/>
      <c r="H56" s="62"/>
      <c r="I56" s="62"/>
      <c r="J56" s="62"/>
      <c r="K56" s="65"/>
      <c r="L56" s="65"/>
      <c r="M56" s="62"/>
      <c r="N56" s="11"/>
      <c r="O56" s="66"/>
      <c r="P56" s="62"/>
      <c r="Q56" s="62"/>
      <c r="R56" s="62"/>
      <c r="S56" s="62"/>
      <c r="T56" s="62"/>
    </row>
    <row r="57" s="58" customFormat="1" customHeight="1" spans="1:20">
      <c r="A57" s="61"/>
      <c r="B57" s="62"/>
      <c r="C57" s="79"/>
      <c r="D57" s="61"/>
      <c r="E57" s="64"/>
      <c r="F57" s="62"/>
      <c r="G57" s="62"/>
      <c r="H57" s="62"/>
      <c r="I57" s="62"/>
      <c r="J57" s="62"/>
      <c r="K57" s="65"/>
      <c r="L57" s="65"/>
      <c r="M57" s="62"/>
      <c r="N57" s="11"/>
      <c r="O57" s="66"/>
      <c r="P57" s="62"/>
      <c r="Q57" s="62"/>
      <c r="R57" s="62"/>
      <c r="S57" s="94"/>
      <c r="T57" s="62"/>
    </row>
    <row r="58" s="58" customFormat="1" customHeight="1" spans="1:20">
      <c r="A58" s="61"/>
      <c r="B58" s="62"/>
      <c r="C58" s="79"/>
      <c r="D58" s="61"/>
      <c r="E58" s="64"/>
      <c r="F58" s="62"/>
      <c r="G58" s="62"/>
      <c r="H58" s="62"/>
      <c r="I58" s="62"/>
      <c r="J58" s="62"/>
      <c r="K58" s="65"/>
      <c r="L58" s="65"/>
      <c r="M58" s="62"/>
      <c r="N58" s="11"/>
      <c r="O58" s="66"/>
      <c r="P58" s="62"/>
      <c r="Q58" s="62"/>
      <c r="R58" s="62"/>
      <c r="S58" s="92"/>
      <c r="T58" s="62"/>
    </row>
    <row r="59" s="58" customFormat="1" customHeight="1" spans="1:20">
      <c r="A59" s="61"/>
      <c r="B59" s="62"/>
      <c r="C59" s="79"/>
      <c r="D59" s="61"/>
      <c r="E59" s="64"/>
      <c r="F59" s="62"/>
      <c r="G59" s="62"/>
      <c r="H59" s="62"/>
      <c r="I59" s="62"/>
      <c r="J59" s="62"/>
      <c r="K59" s="65"/>
      <c r="L59" s="65"/>
      <c r="M59" s="62"/>
      <c r="N59" s="11"/>
      <c r="O59" s="66"/>
      <c r="P59" s="62"/>
      <c r="Q59" s="62"/>
      <c r="R59" s="62"/>
      <c r="S59" s="62"/>
      <c r="T59" s="62"/>
    </row>
    <row r="60" s="58" customFormat="1" customHeight="1" spans="1:20">
      <c r="A60" s="61"/>
      <c r="B60" s="62"/>
      <c r="C60" s="79"/>
      <c r="D60" s="61"/>
      <c r="E60" s="64"/>
      <c r="F60" s="62"/>
      <c r="G60" s="62"/>
      <c r="H60" s="62"/>
      <c r="I60" s="62"/>
      <c r="J60" s="62"/>
      <c r="K60" s="65"/>
      <c r="L60" s="65"/>
      <c r="M60" s="62"/>
      <c r="N60" s="11"/>
      <c r="O60" s="66"/>
      <c r="P60" s="62"/>
      <c r="Q60" s="62"/>
      <c r="R60" s="62"/>
      <c r="S60" s="94"/>
      <c r="T60" s="62"/>
    </row>
    <row r="61" s="58" customFormat="1" customHeight="1" spans="1:20">
      <c r="A61" s="61"/>
      <c r="B61" s="62"/>
      <c r="C61" s="79"/>
      <c r="D61" s="61"/>
      <c r="E61" s="64"/>
      <c r="F61" s="62"/>
      <c r="G61" s="62"/>
      <c r="H61" s="62"/>
      <c r="I61" s="62"/>
      <c r="J61" s="62"/>
      <c r="K61" s="65"/>
      <c r="L61" s="65"/>
      <c r="M61" s="62"/>
      <c r="N61" s="11"/>
      <c r="O61" s="66"/>
      <c r="P61" s="62"/>
      <c r="Q61" s="62"/>
      <c r="R61" s="62"/>
      <c r="S61" s="92"/>
      <c r="T61" s="62"/>
    </row>
    <row r="62" s="58" customFormat="1" customHeight="1" spans="1:20">
      <c r="A62" s="61"/>
      <c r="B62" s="62"/>
      <c r="C62" s="79"/>
      <c r="D62" s="61"/>
      <c r="E62" s="64"/>
      <c r="F62" s="62"/>
      <c r="G62" s="62"/>
      <c r="H62" s="62"/>
      <c r="I62" s="62"/>
      <c r="J62" s="62"/>
      <c r="K62" s="65"/>
      <c r="L62" s="65"/>
      <c r="M62" s="62"/>
      <c r="N62" s="11"/>
      <c r="O62" s="66"/>
      <c r="P62" s="62"/>
      <c r="Q62" s="62"/>
      <c r="R62" s="62"/>
      <c r="S62" s="94"/>
      <c r="T62" s="62"/>
    </row>
    <row r="63" s="58" customFormat="1" customHeight="1" spans="1:20">
      <c r="A63" s="61"/>
      <c r="B63" s="62"/>
      <c r="C63" s="79"/>
      <c r="D63" s="61"/>
      <c r="E63" s="64"/>
      <c r="F63" s="62"/>
      <c r="G63" s="62"/>
      <c r="H63" s="62"/>
      <c r="I63" s="62"/>
      <c r="J63" s="62"/>
      <c r="K63" s="65"/>
      <c r="L63" s="65"/>
      <c r="M63" s="62"/>
      <c r="N63" s="11"/>
      <c r="O63" s="66"/>
      <c r="P63" s="62"/>
      <c r="Q63" s="62"/>
      <c r="R63" s="62"/>
      <c r="S63" s="92"/>
      <c r="T63" s="62"/>
    </row>
    <row r="64" s="58" customFormat="1" customHeight="1" spans="1:20">
      <c r="A64" s="61"/>
      <c r="B64" s="62"/>
      <c r="C64" s="79"/>
      <c r="D64" s="61"/>
      <c r="E64" s="64"/>
      <c r="F64" s="62"/>
      <c r="G64" s="62"/>
      <c r="H64" s="62"/>
      <c r="I64" s="62"/>
      <c r="J64" s="62"/>
      <c r="K64" s="65"/>
      <c r="L64" s="65"/>
      <c r="M64" s="62"/>
      <c r="N64" s="11"/>
      <c r="O64" s="66"/>
      <c r="P64" s="62"/>
      <c r="Q64" s="62"/>
      <c r="R64" s="62"/>
      <c r="S64" s="94"/>
      <c r="T64" s="62"/>
    </row>
    <row r="65" s="58" customFormat="1" customHeight="1" spans="1:20">
      <c r="A65" s="61"/>
      <c r="B65" s="62"/>
      <c r="C65" s="79"/>
      <c r="D65" s="61"/>
      <c r="E65" s="64"/>
      <c r="F65" s="62"/>
      <c r="G65" s="62"/>
      <c r="H65" s="62"/>
      <c r="I65" s="62"/>
      <c r="J65" s="62"/>
      <c r="K65" s="65"/>
      <c r="L65" s="65"/>
      <c r="M65" s="62"/>
      <c r="N65" s="11"/>
      <c r="O65" s="66"/>
      <c r="P65" s="62"/>
      <c r="Q65" s="62"/>
      <c r="R65" s="62"/>
      <c r="S65" s="92"/>
      <c r="T65" s="62"/>
    </row>
    <row r="66" s="58" customFormat="1" customHeight="1" spans="1:20">
      <c r="A66" s="61"/>
      <c r="B66" s="62"/>
      <c r="C66" s="79"/>
      <c r="D66" s="61"/>
      <c r="E66" s="64"/>
      <c r="F66" s="62"/>
      <c r="G66" s="62"/>
      <c r="H66" s="62"/>
      <c r="I66" s="62"/>
      <c r="J66" s="62"/>
      <c r="K66" s="65"/>
      <c r="L66" s="65"/>
      <c r="M66" s="62"/>
      <c r="N66" s="11"/>
      <c r="O66" s="66"/>
      <c r="P66" s="62"/>
      <c r="Q66" s="62"/>
      <c r="R66" s="62"/>
      <c r="S66" s="62"/>
      <c r="T66" s="62"/>
    </row>
    <row r="67" s="58" customFormat="1" customHeight="1" spans="1:20">
      <c r="A67" s="61"/>
      <c r="B67" s="62"/>
      <c r="C67" s="79"/>
      <c r="D67" s="61"/>
      <c r="E67" s="64"/>
      <c r="F67" s="62"/>
      <c r="G67" s="62"/>
      <c r="H67" s="62"/>
      <c r="I67" s="62"/>
      <c r="J67" s="62"/>
      <c r="K67" s="65"/>
      <c r="L67" s="65"/>
      <c r="M67" s="62"/>
      <c r="N67" s="11"/>
      <c r="O67" s="66"/>
      <c r="P67" s="62"/>
      <c r="Q67" s="62"/>
      <c r="R67" s="62"/>
      <c r="S67" s="62"/>
      <c r="T67" s="62"/>
    </row>
    <row r="68" s="58" customFormat="1" customHeight="1" spans="1:20">
      <c r="A68" s="61"/>
      <c r="B68" s="62"/>
      <c r="C68" s="79"/>
      <c r="D68" s="61"/>
      <c r="E68" s="64"/>
      <c r="F68" s="62"/>
      <c r="G68" s="62"/>
      <c r="H68" s="62"/>
      <c r="I68" s="62"/>
      <c r="J68" s="62"/>
      <c r="K68" s="65"/>
      <c r="L68" s="65"/>
      <c r="M68" s="62"/>
      <c r="N68" s="11"/>
      <c r="O68" s="66"/>
      <c r="P68" s="62"/>
      <c r="Q68" s="62"/>
      <c r="R68" s="62"/>
      <c r="S68" s="62"/>
      <c r="T68" s="62"/>
    </row>
    <row r="69" s="58" customFormat="1" customHeight="1" spans="1:20">
      <c r="A69" s="61"/>
      <c r="B69" s="62"/>
      <c r="C69" s="79"/>
      <c r="D69" s="61"/>
      <c r="E69" s="64"/>
      <c r="F69" s="62"/>
      <c r="G69" s="62"/>
      <c r="H69" s="62"/>
      <c r="I69" s="62"/>
      <c r="J69" s="62"/>
      <c r="K69" s="65"/>
      <c r="L69" s="65"/>
      <c r="M69" s="62"/>
      <c r="N69" s="11"/>
      <c r="O69" s="66"/>
      <c r="P69" s="62"/>
      <c r="Q69" s="62"/>
      <c r="R69" s="62"/>
      <c r="S69" s="62"/>
      <c r="T69" s="62"/>
    </row>
    <row r="70" s="58" customFormat="1" customHeight="1" spans="1:20">
      <c r="A70" s="61"/>
      <c r="B70" s="62"/>
      <c r="C70" s="79"/>
      <c r="D70" s="61"/>
      <c r="E70" s="64"/>
      <c r="F70" s="62"/>
      <c r="G70" s="62"/>
      <c r="H70" s="62"/>
      <c r="I70" s="62"/>
      <c r="J70" s="62"/>
      <c r="K70" s="65"/>
      <c r="L70" s="65"/>
      <c r="M70" s="62"/>
      <c r="N70" s="11"/>
      <c r="O70" s="66"/>
      <c r="P70" s="62"/>
      <c r="Q70" s="62"/>
      <c r="R70" s="62"/>
      <c r="S70" s="62"/>
      <c r="T70" s="62"/>
    </row>
    <row r="71" s="58" customFormat="1" customHeight="1" spans="1:20">
      <c r="A71" s="61"/>
      <c r="B71" s="62"/>
      <c r="C71" s="79"/>
      <c r="D71" s="61"/>
      <c r="E71" s="64"/>
      <c r="F71" s="62"/>
      <c r="G71" s="62"/>
      <c r="H71" s="62"/>
      <c r="I71" s="62"/>
      <c r="J71" s="62"/>
      <c r="K71" s="65"/>
      <c r="L71" s="65"/>
      <c r="M71" s="62"/>
      <c r="N71" s="11"/>
      <c r="O71" s="66"/>
      <c r="P71" s="62"/>
      <c r="Q71" s="62"/>
      <c r="R71" s="62"/>
      <c r="S71" s="62"/>
      <c r="T71" s="62"/>
    </row>
    <row r="72" s="58" customFormat="1" customHeight="1" spans="1:20">
      <c r="A72" s="61"/>
      <c r="B72" s="62"/>
      <c r="C72" s="79"/>
      <c r="D72" s="61"/>
      <c r="E72" s="64"/>
      <c r="F72" s="62"/>
      <c r="G72" s="62"/>
      <c r="H72" s="62"/>
      <c r="I72" s="62"/>
      <c r="J72" s="62"/>
      <c r="K72" s="65"/>
      <c r="L72" s="65"/>
      <c r="M72" s="62"/>
      <c r="N72" s="11"/>
      <c r="O72" s="66"/>
      <c r="P72" s="62"/>
      <c r="Q72" s="62"/>
      <c r="R72" s="62"/>
      <c r="S72" s="62"/>
      <c r="T72" s="62"/>
    </row>
    <row r="73" s="58" customFormat="1" customHeight="1" spans="1:20">
      <c r="A73" s="61"/>
      <c r="B73" s="62"/>
      <c r="C73" s="79"/>
      <c r="D73" s="61"/>
      <c r="E73" s="64"/>
      <c r="F73" s="62"/>
      <c r="G73" s="62"/>
      <c r="H73" s="62"/>
      <c r="I73" s="62"/>
      <c r="J73" s="62"/>
      <c r="K73" s="84"/>
      <c r="L73" s="65"/>
      <c r="M73" s="62"/>
      <c r="N73" s="11"/>
      <c r="O73" s="133"/>
      <c r="P73" s="62"/>
      <c r="Q73" s="62"/>
      <c r="R73" s="62"/>
      <c r="S73" s="62"/>
      <c r="T73" s="62"/>
    </row>
    <row r="74" s="58" customFormat="1" customHeight="1" spans="1:20">
      <c r="A74" s="61"/>
      <c r="B74" s="62"/>
      <c r="C74" s="79"/>
      <c r="D74" s="61"/>
      <c r="E74" s="141"/>
      <c r="F74" s="62"/>
      <c r="G74" s="62"/>
      <c r="H74" s="62"/>
      <c r="I74" s="62"/>
      <c r="J74" s="62"/>
      <c r="K74" s="65"/>
      <c r="L74" s="65"/>
      <c r="M74" s="62"/>
      <c r="N74" s="11"/>
      <c r="O74" s="66"/>
      <c r="P74" s="62"/>
      <c r="Q74" s="62"/>
      <c r="R74" s="62"/>
      <c r="S74" s="62"/>
      <c r="T74" s="62"/>
    </row>
    <row r="75" s="58" customFormat="1" customHeight="1" spans="1:20">
      <c r="A75" s="61"/>
      <c r="B75" s="62"/>
      <c r="C75" s="79"/>
      <c r="D75" s="61"/>
      <c r="E75" s="141"/>
      <c r="F75" s="62"/>
      <c r="G75" s="62"/>
      <c r="H75" s="62"/>
      <c r="I75" s="62"/>
      <c r="J75" s="62"/>
      <c r="K75" s="65"/>
      <c r="L75" s="65"/>
      <c r="M75" s="62"/>
      <c r="N75" s="11"/>
      <c r="O75" s="66"/>
      <c r="P75" s="62"/>
      <c r="Q75" s="62"/>
      <c r="R75" s="62"/>
      <c r="S75" s="62"/>
      <c r="T75" s="62"/>
    </row>
    <row r="76" s="58" customFormat="1" customHeight="1" spans="1:20">
      <c r="A76" s="61"/>
      <c r="B76" s="62"/>
      <c r="C76" s="79"/>
      <c r="D76" s="61"/>
      <c r="E76" s="141"/>
      <c r="F76" s="62"/>
      <c r="G76" s="62"/>
      <c r="H76" s="62"/>
      <c r="I76" s="62"/>
      <c r="J76" s="62"/>
      <c r="K76" s="65"/>
      <c r="L76" s="65"/>
      <c r="M76" s="62"/>
      <c r="N76" s="11"/>
      <c r="O76" s="66"/>
      <c r="P76" s="62"/>
      <c r="Q76" s="62"/>
      <c r="R76" s="62"/>
      <c r="S76" s="62"/>
      <c r="T76" s="62"/>
    </row>
    <row r="77" s="58" customFormat="1" customHeight="1" spans="1:20">
      <c r="A77" s="61"/>
      <c r="B77" s="62"/>
      <c r="C77" s="79"/>
      <c r="D77" s="61"/>
      <c r="E77" s="141"/>
      <c r="F77" s="62"/>
      <c r="G77" s="62"/>
      <c r="H77" s="62"/>
      <c r="I77" s="62"/>
      <c r="J77" s="62"/>
      <c r="K77" s="65"/>
      <c r="L77" s="65"/>
      <c r="M77" s="62"/>
      <c r="N77" s="11"/>
      <c r="O77" s="66"/>
      <c r="P77" s="62"/>
      <c r="Q77" s="62"/>
      <c r="R77" s="62"/>
      <c r="S77" s="62"/>
      <c r="T77" s="62"/>
    </row>
    <row r="78" s="58" customFormat="1" customHeight="1" spans="1:20">
      <c r="A78" s="61"/>
      <c r="B78" s="62"/>
      <c r="C78" s="79"/>
      <c r="D78" s="61"/>
      <c r="E78" s="141"/>
      <c r="F78" s="62"/>
      <c r="G78" s="62"/>
      <c r="H78" s="62"/>
      <c r="I78" s="62"/>
      <c r="J78" s="62"/>
      <c r="K78" s="65"/>
      <c r="L78" s="65"/>
      <c r="M78" s="62"/>
      <c r="N78" s="11"/>
      <c r="O78" s="66"/>
      <c r="P78" s="62"/>
      <c r="Q78" s="62"/>
      <c r="R78" s="62"/>
      <c r="S78" s="62"/>
      <c r="T78" s="62"/>
    </row>
    <row r="79" s="58" customFormat="1" customHeight="1" spans="1:20">
      <c r="A79" s="61"/>
      <c r="B79" s="62"/>
      <c r="C79" s="79"/>
      <c r="D79" s="61"/>
      <c r="E79" s="141"/>
      <c r="F79" s="62"/>
      <c r="G79" s="62"/>
      <c r="H79" s="62"/>
      <c r="I79" s="62"/>
      <c r="J79" s="62"/>
      <c r="K79" s="65"/>
      <c r="L79" s="65"/>
      <c r="M79" s="62"/>
      <c r="N79" s="11"/>
      <c r="O79" s="66"/>
      <c r="P79" s="62"/>
      <c r="Q79" s="62"/>
      <c r="R79" s="62"/>
      <c r="S79" s="62"/>
      <c r="T79" s="62"/>
    </row>
    <row r="80" s="58" customFormat="1" customHeight="1" spans="1:20">
      <c r="A80" s="61"/>
      <c r="B80" s="62"/>
      <c r="C80" s="79"/>
      <c r="D80" s="61"/>
      <c r="E80" s="64"/>
      <c r="F80" s="62"/>
      <c r="G80" s="62"/>
      <c r="H80" s="62"/>
      <c r="I80" s="62"/>
      <c r="J80" s="62"/>
      <c r="K80" s="65"/>
      <c r="L80" s="65"/>
      <c r="M80" s="62"/>
      <c r="N80" s="11"/>
      <c r="O80" s="66"/>
      <c r="P80" s="62"/>
      <c r="Q80" s="62"/>
      <c r="R80" s="62"/>
      <c r="S80" s="62"/>
      <c r="T80" s="62"/>
    </row>
    <row r="81" s="58" customFormat="1" customHeight="1" spans="1:20">
      <c r="A81" s="61"/>
      <c r="B81" s="62"/>
      <c r="C81" s="79"/>
      <c r="D81" s="61"/>
      <c r="E81" s="64"/>
      <c r="F81" s="62"/>
      <c r="G81" s="62"/>
      <c r="H81" s="62"/>
      <c r="I81" s="62"/>
      <c r="J81" s="62"/>
      <c r="K81" s="84"/>
      <c r="L81" s="65"/>
      <c r="M81" s="62"/>
      <c r="N81" s="11"/>
      <c r="O81" s="133"/>
      <c r="P81" s="62"/>
      <c r="Q81" s="62"/>
      <c r="R81" s="62"/>
      <c r="S81" s="62"/>
      <c r="T81" s="62"/>
    </row>
    <row r="82" s="58" customFormat="1" customHeight="1" spans="1:20">
      <c r="A82" s="61"/>
      <c r="B82" s="62"/>
      <c r="C82" s="79"/>
      <c r="D82" s="61"/>
      <c r="E82" s="141"/>
      <c r="F82" s="62"/>
      <c r="G82" s="62"/>
      <c r="H82" s="62"/>
      <c r="I82" s="62"/>
      <c r="J82" s="62"/>
      <c r="K82" s="84"/>
      <c r="L82" s="65"/>
      <c r="M82" s="62"/>
      <c r="N82" s="11"/>
      <c r="O82" s="133"/>
      <c r="P82" s="62"/>
      <c r="Q82" s="62"/>
      <c r="R82" s="62"/>
      <c r="S82" s="62"/>
      <c r="T82" s="62"/>
    </row>
    <row r="83" s="58" customFormat="1" customHeight="1" spans="1:20">
      <c r="A83" s="61"/>
      <c r="B83" s="62"/>
      <c r="C83" s="79"/>
      <c r="D83" s="61"/>
      <c r="E83" s="141"/>
      <c r="F83" s="62"/>
      <c r="G83" s="62"/>
      <c r="H83" s="62"/>
      <c r="I83" s="62"/>
      <c r="J83" s="62"/>
      <c r="K83" s="84"/>
      <c r="L83" s="65"/>
      <c r="M83" s="62"/>
      <c r="N83" s="11"/>
      <c r="O83" s="133"/>
      <c r="P83" s="62"/>
      <c r="Q83" s="62"/>
      <c r="R83" s="62"/>
      <c r="S83" s="62"/>
      <c r="T83" s="62"/>
    </row>
    <row r="84" s="58" customFormat="1" customHeight="1" spans="1:20">
      <c r="A84" s="61"/>
      <c r="B84" s="62"/>
      <c r="C84" s="79"/>
      <c r="D84" s="61"/>
      <c r="E84" s="141"/>
      <c r="F84" s="62"/>
      <c r="G84" s="62"/>
      <c r="H84" s="62"/>
      <c r="I84" s="62"/>
      <c r="J84" s="62"/>
      <c r="K84" s="65"/>
      <c r="L84" s="65"/>
      <c r="M84" s="62"/>
      <c r="N84" s="11"/>
      <c r="O84" s="66"/>
      <c r="P84" s="62"/>
      <c r="Q84" s="62"/>
      <c r="R84" s="62"/>
      <c r="S84" s="62"/>
      <c r="T84" s="62"/>
    </row>
    <row r="85" s="58" customFormat="1" customHeight="1" spans="1:20">
      <c r="A85" s="61"/>
      <c r="B85" s="62"/>
      <c r="C85" s="79"/>
      <c r="D85" s="61"/>
      <c r="E85" s="64"/>
      <c r="F85" s="62"/>
      <c r="G85" s="62"/>
      <c r="H85" s="62"/>
      <c r="I85" s="62"/>
      <c r="J85" s="62"/>
      <c r="K85" s="65"/>
      <c r="L85" s="65"/>
      <c r="M85" s="62"/>
      <c r="N85" s="62"/>
      <c r="O85" s="66"/>
      <c r="P85" s="62"/>
      <c r="Q85" s="62"/>
      <c r="R85" s="62"/>
      <c r="S85" s="62"/>
      <c r="T85" s="62"/>
    </row>
    <row r="86" s="58" customFormat="1" customHeight="1" spans="1:20">
      <c r="A86" s="61"/>
      <c r="B86" s="62"/>
      <c r="C86" s="79"/>
      <c r="D86" s="61"/>
      <c r="E86" s="64"/>
      <c r="F86" s="62"/>
      <c r="G86" s="62"/>
      <c r="H86" s="62"/>
      <c r="I86" s="62"/>
      <c r="J86" s="62"/>
      <c r="K86" s="65"/>
      <c r="L86" s="65"/>
      <c r="M86" s="62"/>
      <c r="N86" s="62"/>
      <c r="O86" s="66"/>
      <c r="P86" s="62"/>
      <c r="Q86" s="62"/>
      <c r="R86" s="62"/>
      <c r="S86" s="62"/>
      <c r="T86" s="62"/>
    </row>
    <row r="87" s="58" customFormat="1" customHeight="1" spans="1:20">
      <c r="A87" s="61"/>
      <c r="B87" s="62"/>
      <c r="C87" s="79"/>
      <c r="D87" s="61"/>
      <c r="E87" s="64"/>
      <c r="F87" s="62"/>
      <c r="G87" s="62"/>
      <c r="H87" s="62"/>
      <c r="I87" s="62"/>
      <c r="J87" s="62"/>
      <c r="K87" s="65"/>
      <c r="L87" s="65"/>
      <c r="M87" s="62"/>
      <c r="N87" s="62"/>
      <c r="O87" s="66"/>
      <c r="P87" s="62"/>
      <c r="Q87" s="62"/>
      <c r="R87" s="62"/>
      <c r="S87" s="62"/>
      <c r="T87" s="62"/>
    </row>
    <row r="88" s="58" customFormat="1" customHeight="1" spans="1:20">
      <c r="A88" s="61"/>
      <c r="B88" s="62"/>
      <c r="C88" s="79"/>
      <c r="D88" s="61"/>
      <c r="E88" s="64"/>
      <c r="F88" s="62"/>
      <c r="G88" s="62"/>
      <c r="H88" s="62"/>
      <c r="I88" s="62"/>
      <c r="J88" s="62"/>
      <c r="K88" s="65"/>
      <c r="L88" s="65"/>
      <c r="M88" s="62"/>
      <c r="N88" s="11"/>
      <c r="O88" s="66"/>
      <c r="P88" s="62"/>
      <c r="Q88" s="62"/>
      <c r="R88" s="62"/>
      <c r="S88" s="62"/>
      <c r="T88" s="62"/>
    </row>
    <row r="89" s="58" customFormat="1" customHeight="1" spans="1:20">
      <c r="A89" s="61"/>
      <c r="B89" s="62"/>
      <c r="C89" s="79"/>
      <c r="D89" s="61"/>
      <c r="E89" s="141"/>
      <c r="F89" s="62"/>
      <c r="G89" s="62"/>
      <c r="H89" s="62"/>
      <c r="I89" s="62"/>
      <c r="J89" s="62"/>
      <c r="K89" s="84"/>
      <c r="L89" s="65"/>
      <c r="M89" s="62"/>
      <c r="N89" s="11"/>
      <c r="O89" s="133"/>
      <c r="P89" s="62"/>
      <c r="Q89" s="62"/>
      <c r="R89" s="62"/>
      <c r="S89" s="62"/>
      <c r="T89" s="62"/>
    </row>
    <row r="90" s="58" customFormat="1" customHeight="1" spans="1:20">
      <c r="A90" s="61"/>
      <c r="B90" s="62"/>
      <c r="C90" s="79"/>
      <c r="D90" s="61"/>
      <c r="E90" s="64"/>
      <c r="F90" s="62"/>
      <c r="G90" s="62"/>
      <c r="H90" s="62"/>
      <c r="I90" s="62"/>
      <c r="J90" s="62"/>
      <c r="K90" s="65"/>
      <c r="L90" s="65"/>
      <c r="M90" s="62"/>
      <c r="N90" s="11"/>
      <c r="O90" s="66"/>
      <c r="P90" s="62"/>
      <c r="Q90" s="62"/>
      <c r="R90" s="62"/>
      <c r="S90" s="62"/>
      <c r="T90" s="62"/>
    </row>
    <row r="91" s="58" customFormat="1" customHeight="1" spans="1:20">
      <c r="A91" s="61"/>
      <c r="B91" s="62"/>
      <c r="C91" s="79"/>
      <c r="D91" s="61"/>
      <c r="E91" s="64"/>
      <c r="F91" s="62"/>
      <c r="G91" s="62"/>
      <c r="H91" s="62"/>
      <c r="I91" s="62"/>
      <c r="J91" s="62"/>
      <c r="K91" s="65"/>
      <c r="L91" s="65"/>
      <c r="M91" s="62"/>
      <c r="N91" s="11"/>
      <c r="O91" s="66"/>
      <c r="P91" s="62"/>
      <c r="Q91" s="62"/>
      <c r="R91" s="62"/>
      <c r="S91" s="62"/>
      <c r="T91" s="62"/>
    </row>
    <row r="92" s="58" customFormat="1" customHeight="1" spans="1:20">
      <c r="A92" s="61"/>
      <c r="B92" s="62"/>
      <c r="C92" s="79"/>
      <c r="D92" s="61"/>
      <c r="E92" s="64"/>
      <c r="F92" s="62"/>
      <c r="G92" s="62"/>
      <c r="H92" s="62"/>
      <c r="I92" s="62"/>
      <c r="J92" s="62"/>
      <c r="K92" s="65"/>
      <c r="L92" s="65"/>
      <c r="M92" s="62"/>
      <c r="N92" s="11"/>
      <c r="O92" s="66"/>
      <c r="P92" s="62"/>
      <c r="Q92" s="62"/>
      <c r="R92" s="62"/>
      <c r="S92" s="62"/>
      <c r="T92" s="62"/>
    </row>
    <row r="93" s="58" customFormat="1" customHeight="1" spans="1:20">
      <c r="A93" s="61"/>
      <c r="B93" s="62"/>
      <c r="C93" s="79"/>
      <c r="D93" s="61"/>
      <c r="E93" s="64"/>
      <c r="F93" s="62"/>
      <c r="G93" s="62"/>
      <c r="H93" s="62"/>
      <c r="I93" s="62"/>
      <c r="J93" s="62"/>
      <c r="K93" s="65"/>
      <c r="L93" s="65"/>
      <c r="M93" s="62"/>
      <c r="N93" s="11"/>
      <c r="O93" s="66"/>
      <c r="P93" s="62"/>
      <c r="Q93" s="62"/>
      <c r="R93" s="62"/>
      <c r="S93" s="62"/>
      <c r="T93" s="62"/>
    </row>
    <row r="94" s="58" customFormat="1" customHeight="1" spans="1:20">
      <c r="A94" s="61"/>
      <c r="B94" s="62"/>
      <c r="C94" s="79"/>
      <c r="D94" s="61"/>
      <c r="E94" s="64"/>
      <c r="F94" s="62"/>
      <c r="G94" s="62"/>
      <c r="H94" s="62"/>
      <c r="I94" s="62"/>
      <c r="J94" s="62"/>
      <c r="K94" s="65"/>
      <c r="L94" s="65"/>
      <c r="M94" s="62"/>
      <c r="N94" s="11"/>
      <c r="O94" s="66"/>
      <c r="P94" s="62"/>
      <c r="Q94" s="62"/>
      <c r="R94" s="62"/>
      <c r="S94" s="62"/>
      <c r="T94" s="62"/>
    </row>
    <row r="95" s="58" customFormat="1" customHeight="1" spans="1:20">
      <c r="A95" s="61"/>
      <c r="B95" s="62"/>
      <c r="C95" s="79"/>
      <c r="D95" s="61"/>
      <c r="E95" s="64"/>
      <c r="F95" s="62"/>
      <c r="G95" s="62"/>
      <c r="H95" s="62"/>
      <c r="I95" s="62"/>
      <c r="J95" s="62"/>
      <c r="K95" s="65"/>
      <c r="L95" s="65"/>
      <c r="M95" s="62"/>
      <c r="N95" s="11"/>
      <c r="O95" s="66"/>
      <c r="P95" s="62"/>
      <c r="Q95" s="62"/>
      <c r="R95" s="62"/>
      <c r="S95" s="62"/>
      <c r="T95" s="62"/>
    </row>
    <row r="96" s="58" customFormat="1" customHeight="1" spans="1:20">
      <c r="A96" s="61"/>
      <c r="B96" s="62"/>
      <c r="C96" s="79"/>
      <c r="D96" s="61"/>
      <c r="E96" s="64"/>
      <c r="F96" s="62"/>
      <c r="G96" s="62"/>
      <c r="H96" s="62"/>
      <c r="I96" s="62"/>
      <c r="J96" s="62"/>
      <c r="K96" s="65"/>
      <c r="L96" s="65"/>
      <c r="M96" s="62"/>
      <c r="N96" s="11"/>
      <c r="O96" s="66"/>
      <c r="P96" s="62"/>
      <c r="Q96" s="62"/>
      <c r="R96" s="62"/>
      <c r="S96" s="62"/>
      <c r="T96" s="62"/>
    </row>
    <row r="97" s="58" customFormat="1" customHeight="1" spans="1:22">
      <c r="A97" s="61"/>
      <c r="B97" s="62"/>
      <c r="C97" s="79"/>
      <c r="D97" s="61"/>
      <c r="E97" s="64"/>
      <c r="F97" s="62"/>
      <c r="G97" s="62"/>
      <c r="H97" s="62"/>
      <c r="I97" s="62"/>
      <c r="J97" s="62"/>
      <c r="K97" s="65"/>
      <c r="L97" s="65"/>
      <c r="M97" s="62"/>
      <c r="N97" s="11"/>
      <c r="O97" s="66"/>
      <c r="P97" s="62"/>
      <c r="Q97" s="62"/>
      <c r="R97" s="62"/>
      <c r="S97" s="62"/>
      <c r="T97" s="62"/>
    </row>
    <row r="98" s="58" customFormat="1" customHeight="1" spans="1:22">
      <c r="A98" s="61"/>
      <c r="B98" s="62"/>
      <c r="C98" s="79"/>
      <c r="D98" s="61"/>
      <c r="E98" s="64"/>
      <c r="F98" s="62"/>
      <c r="G98" s="62"/>
      <c r="H98" s="62"/>
      <c r="I98" s="62"/>
      <c r="J98" s="62"/>
      <c r="K98" s="65"/>
      <c r="L98" s="65"/>
      <c r="M98" s="62"/>
      <c r="N98" s="11"/>
      <c r="O98" s="100"/>
      <c r="P98" s="62"/>
      <c r="Q98" s="62"/>
      <c r="R98" s="62"/>
      <c r="S98" s="62"/>
      <c r="T98" s="62"/>
    </row>
    <row r="99" s="58" customFormat="1" customHeight="1" spans="1:22">
      <c r="A99" s="61"/>
      <c r="B99" s="62"/>
      <c r="C99" s="79"/>
      <c r="D99" s="61"/>
      <c r="E99" s="64"/>
      <c r="F99" s="62"/>
      <c r="G99" s="62"/>
      <c r="H99" s="62"/>
      <c r="I99" s="62"/>
      <c r="J99" s="62"/>
      <c r="K99" s="65"/>
      <c r="L99" s="65"/>
      <c r="M99" s="62"/>
      <c r="N99" s="11"/>
      <c r="O99" s="66"/>
      <c r="P99" s="62"/>
      <c r="Q99" s="62"/>
      <c r="R99" s="62"/>
      <c r="S99" s="62"/>
      <c r="T99" s="62"/>
    </row>
    <row r="100" s="58" customFormat="1" customHeight="1" spans="1:22">
      <c r="A100" s="61"/>
      <c r="B100" s="62"/>
      <c r="C100" s="79"/>
      <c r="D100" s="61"/>
      <c r="E100" s="64"/>
      <c r="F100" s="62"/>
      <c r="G100" s="62"/>
      <c r="H100" s="62"/>
      <c r="I100" s="62"/>
      <c r="J100" s="62"/>
      <c r="K100" s="65"/>
      <c r="L100" s="65"/>
      <c r="M100" s="62"/>
      <c r="N100" s="11"/>
      <c r="O100" s="66"/>
      <c r="P100" s="62"/>
      <c r="Q100" s="62"/>
      <c r="R100" s="62"/>
      <c r="S100" s="92"/>
      <c r="T100" s="62"/>
    </row>
    <row r="101" s="58" customFormat="1" customHeight="1" spans="1:22">
      <c r="A101" s="61"/>
      <c r="B101" s="62"/>
      <c r="C101" s="79"/>
      <c r="D101" s="61"/>
      <c r="E101" s="141"/>
      <c r="F101" s="62"/>
      <c r="G101" s="62"/>
      <c r="H101" s="62"/>
      <c r="I101" s="62"/>
      <c r="J101" s="62"/>
      <c r="K101" s="65"/>
      <c r="L101" s="65"/>
      <c r="M101" s="62"/>
      <c r="N101" s="11"/>
      <c r="O101" s="66"/>
      <c r="P101" s="62"/>
      <c r="Q101" s="62"/>
      <c r="R101" s="62"/>
      <c r="S101" s="62"/>
      <c r="T101" s="62"/>
    </row>
    <row r="102" s="58" customFormat="1" customHeight="1" spans="1:22">
      <c r="A102" s="61"/>
      <c r="B102" s="62"/>
      <c r="C102" s="79"/>
      <c r="D102" s="61"/>
      <c r="E102" s="141"/>
      <c r="F102" s="62"/>
      <c r="G102" s="62"/>
      <c r="H102" s="62"/>
      <c r="I102" s="62"/>
      <c r="J102" s="62"/>
      <c r="K102" s="65"/>
      <c r="L102" s="65"/>
      <c r="M102" s="62"/>
      <c r="N102" s="11"/>
      <c r="O102" s="66"/>
      <c r="P102" s="62"/>
      <c r="Q102" s="62"/>
      <c r="R102" s="62"/>
      <c r="S102" s="62"/>
      <c r="T102" s="62"/>
    </row>
    <row r="103" s="58" customFormat="1" customHeight="1" spans="1:22">
      <c r="A103" s="61"/>
      <c r="B103" s="62"/>
      <c r="C103" s="79"/>
      <c r="D103" s="61"/>
      <c r="E103" s="141"/>
      <c r="F103" s="62"/>
      <c r="G103" s="62"/>
      <c r="H103" s="62"/>
      <c r="I103" s="62"/>
      <c r="J103" s="62"/>
      <c r="K103" s="65"/>
      <c r="L103" s="65"/>
      <c r="M103" s="62"/>
      <c r="N103" s="11"/>
      <c r="O103" s="89"/>
      <c r="P103" s="62"/>
      <c r="Q103" s="62"/>
      <c r="R103" s="62"/>
      <c r="S103" s="62"/>
      <c r="T103" s="62"/>
    </row>
    <row r="104" s="58" customFormat="1" customHeight="1" spans="1:22">
      <c r="A104" s="61"/>
      <c r="B104" s="62"/>
      <c r="C104" s="79"/>
      <c r="D104" s="61"/>
      <c r="E104" s="141"/>
      <c r="F104" s="62"/>
      <c r="G104" s="62"/>
      <c r="H104" s="62"/>
      <c r="I104" s="62"/>
      <c r="J104" s="62"/>
      <c r="K104" s="65"/>
      <c r="L104" s="65"/>
      <c r="M104" s="62"/>
      <c r="N104" s="11"/>
      <c r="O104" s="66"/>
      <c r="P104" s="62"/>
      <c r="Q104" s="62"/>
      <c r="R104" s="62"/>
      <c r="S104" s="62"/>
      <c r="T104" s="62"/>
    </row>
    <row r="105" s="58" customFormat="1" customHeight="1" spans="1:22">
      <c r="A105" s="61"/>
      <c r="B105" s="62"/>
      <c r="C105" s="79"/>
      <c r="D105" s="61"/>
      <c r="E105" s="141"/>
      <c r="F105" s="62"/>
      <c r="G105" s="62"/>
      <c r="H105" s="62"/>
      <c r="I105" s="62"/>
      <c r="J105" s="62"/>
      <c r="K105" s="65"/>
      <c r="L105" s="65"/>
      <c r="M105" s="62"/>
      <c r="N105" s="11"/>
      <c r="O105" s="66"/>
      <c r="P105" s="62"/>
      <c r="Q105" s="62"/>
      <c r="R105" s="62"/>
      <c r="S105" s="62"/>
      <c r="T105" s="62"/>
    </row>
    <row r="106" s="58" customFormat="1" customHeight="1" spans="1:22">
      <c r="A106" s="61"/>
      <c r="B106" s="62"/>
      <c r="C106" s="79"/>
      <c r="D106" s="61"/>
      <c r="E106" s="64"/>
      <c r="F106" s="62"/>
      <c r="G106" s="62"/>
      <c r="H106" s="62"/>
      <c r="I106" s="62"/>
      <c r="J106" s="62"/>
      <c r="K106" s="65"/>
      <c r="L106" s="65"/>
      <c r="M106" s="62"/>
      <c r="N106" s="11"/>
      <c r="O106" s="66"/>
      <c r="P106" s="62"/>
      <c r="Q106" s="62"/>
      <c r="R106" s="62"/>
      <c r="S106" s="94"/>
      <c r="T106" s="62"/>
    </row>
    <row r="107" s="58" customFormat="1" customHeight="1" spans="1:22">
      <c r="A107" s="61"/>
      <c r="B107" s="62"/>
      <c r="C107" s="79"/>
      <c r="D107" s="61"/>
      <c r="E107" s="64"/>
      <c r="F107" s="62"/>
      <c r="G107" s="62"/>
      <c r="H107" s="62"/>
      <c r="I107" s="62"/>
      <c r="J107" s="62"/>
      <c r="K107" s="65"/>
      <c r="L107" s="65"/>
      <c r="M107" s="62"/>
      <c r="N107" s="11"/>
      <c r="O107" s="66"/>
      <c r="P107" s="62"/>
      <c r="Q107" s="62"/>
      <c r="R107" s="62"/>
      <c r="S107" s="62"/>
      <c r="T107" s="62"/>
    </row>
    <row r="108" s="58" customFormat="1" customHeight="1" spans="1:22">
      <c r="A108" s="61"/>
      <c r="B108" s="62"/>
      <c r="C108" s="79"/>
      <c r="D108" s="61"/>
      <c r="E108" s="64"/>
      <c r="F108" s="62"/>
      <c r="G108" s="62"/>
      <c r="H108" s="62"/>
      <c r="I108" s="62"/>
      <c r="J108" s="62"/>
      <c r="K108" s="65"/>
      <c r="L108" s="65"/>
      <c r="M108" s="62"/>
      <c r="N108" s="11"/>
      <c r="O108" s="66"/>
      <c r="P108" s="62"/>
      <c r="Q108" s="62"/>
      <c r="R108" s="62"/>
      <c r="S108" s="157"/>
      <c r="T108" s="62"/>
    </row>
    <row r="109" s="58" customFormat="1" customHeight="1" spans="1:22">
      <c r="A109" s="61"/>
      <c r="B109" s="62"/>
      <c r="C109" s="79"/>
      <c r="D109" s="61"/>
      <c r="E109" s="64"/>
      <c r="F109" s="62"/>
      <c r="G109" s="62"/>
      <c r="H109" s="62"/>
      <c r="I109" s="62"/>
      <c r="J109" s="62"/>
      <c r="K109" s="65"/>
      <c r="L109" s="65"/>
      <c r="M109" s="62"/>
      <c r="N109" s="11"/>
      <c r="O109" s="66"/>
      <c r="P109" s="62"/>
      <c r="Q109" s="62"/>
      <c r="R109" s="62"/>
      <c r="S109" s="62"/>
      <c r="T109" s="62"/>
    </row>
    <row r="110" s="58" customFormat="1" customHeight="1" spans="1:22">
      <c r="A110" s="61"/>
      <c r="B110" s="62"/>
      <c r="C110" s="79"/>
      <c r="D110" s="61"/>
      <c r="E110" s="141"/>
      <c r="F110" s="62"/>
      <c r="G110" s="62"/>
      <c r="H110" s="62"/>
      <c r="I110" s="62"/>
      <c r="J110" s="62"/>
      <c r="K110" s="65"/>
      <c r="L110" s="65"/>
      <c r="M110" s="62"/>
      <c r="N110" s="11"/>
      <c r="O110" s="66"/>
      <c r="P110" s="62"/>
      <c r="Q110" s="62"/>
      <c r="R110" s="62"/>
      <c r="S110" s="62"/>
      <c r="T110" s="62"/>
      <c r="V110" s="104"/>
    </row>
    <row r="111" s="58" customFormat="1" customHeight="1" spans="1:22">
      <c r="A111" s="61"/>
      <c r="B111" s="62"/>
      <c r="C111" s="79"/>
      <c r="D111" s="61"/>
      <c r="E111" s="141"/>
      <c r="F111" s="62"/>
      <c r="G111" s="62"/>
      <c r="H111" s="62"/>
      <c r="I111" s="62"/>
      <c r="J111" s="62"/>
      <c r="K111" s="84"/>
      <c r="L111" s="65"/>
      <c r="M111" s="62"/>
      <c r="N111" s="11"/>
      <c r="O111" s="133"/>
      <c r="P111" s="62"/>
      <c r="Q111" s="62"/>
      <c r="R111" s="62"/>
      <c r="S111" s="62"/>
      <c r="T111" s="62"/>
      <c r="V111" s="104"/>
    </row>
    <row r="112" s="58" customFormat="1" customHeight="1" spans="1:22">
      <c r="A112" s="61"/>
      <c r="B112" s="62"/>
      <c r="C112" s="79"/>
      <c r="D112" s="61"/>
      <c r="E112" s="141"/>
      <c r="F112" s="62"/>
      <c r="G112" s="62"/>
      <c r="H112" s="62"/>
      <c r="I112" s="62"/>
      <c r="J112" s="62"/>
      <c r="K112" s="65"/>
      <c r="L112" s="65"/>
      <c r="M112" s="62"/>
      <c r="N112" s="11"/>
      <c r="O112" s="66"/>
      <c r="P112" s="62"/>
      <c r="Q112" s="62"/>
      <c r="R112" s="62"/>
      <c r="S112" s="62"/>
      <c r="T112" s="62"/>
    </row>
    <row r="113" s="58" customFormat="1" customHeight="1" spans="1:21">
      <c r="A113" s="61"/>
      <c r="B113" s="62"/>
      <c r="C113" s="79"/>
      <c r="D113" s="61"/>
      <c r="E113" s="141"/>
      <c r="F113" s="62"/>
      <c r="G113" s="62"/>
      <c r="H113" s="62"/>
      <c r="I113" s="62"/>
      <c r="J113" s="62"/>
      <c r="K113" s="84"/>
      <c r="L113" s="65"/>
      <c r="M113" s="62"/>
      <c r="N113" s="11"/>
      <c r="O113" s="133"/>
      <c r="P113" s="62"/>
      <c r="Q113" s="62"/>
      <c r="R113" s="62"/>
      <c r="S113" s="62"/>
      <c r="T113" s="62"/>
    </row>
    <row r="114" s="58" customFormat="1" customHeight="1" spans="1:21">
      <c r="A114" s="61"/>
      <c r="B114" s="62"/>
      <c r="C114" s="79"/>
      <c r="D114" s="61"/>
      <c r="E114" s="141"/>
      <c r="F114" s="62"/>
      <c r="G114" s="62"/>
      <c r="H114" s="62"/>
      <c r="I114" s="62"/>
      <c r="J114" s="62"/>
      <c r="K114" s="65"/>
      <c r="L114" s="65"/>
      <c r="M114" s="62"/>
      <c r="N114" s="11"/>
      <c r="O114" s="66"/>
      <c r="P114" s="62"/>
      <c r="Q114" s="62"/>
      <c r="R114" s="62"/>
      <c r="S114" s="62"/>
      <c r="T114" s="62"/>
    </row>
    <row r="115" s="58" customFormat="1" customHeight="1" spans="1:21">
      <c r="A115" s="61"/>
      <c r="B115" s="62"/>
      <c r="C115" s="79"/>
      <c r="D115" s="61"/>
      <c r="E115" s="141"/>
      <c r="F115" s="62"/>
      <c r="G115" s="62"/>
      <c r="H115" s="62"/>
      <c r="I115" s="62"/>
      <c r="J115" s="62"/>
      <c r="K115" s="84"/>
      <c r="L115" s="65"/>
      <c r="M115" s="62"/>
      <c r="N115" s="11"/>
      <c r="O115" s="133"/>
      <c r="P115" s="62"/>
      <c r="Q115" s="62"/>
      <c r="R115" s="62"/>
      <c r="S115" s="62"/>
      <c r="T115" s="62"/>
    </row>
    <row r="116" s="58" customFormat="1" customHeight="1" spans="1:21">
      <c r="A116" s="61"/>
      <c r="B116" s="62"/>
      <c r="C116" s="79"/>
      <c r="D116" s="61"/>
      <c r="E116" s="141"/>
      <c r="F116" s="62"/>
      <c r="G116" s="62"/>
      <c r="H116" s="62"/>
      <c r="I116" s="62"/>
      <c r="J116" s="62"/>
      <c r="K116" s="65"/>
      <c r="L116" s="65"/>
      <c r="M116" s="62"/>
      <c r="N116" s="11"/>
      <c r="O116" s="66"/>
      <c r="P116" s="62"/>
      <c r="Q116" s="62"/>
      <c r="R116" s="62"/>
      <c r="S116" s="62"/>
      <c r="T116" s="62"/>
    </row>
    <row r="117" s="58" customFormat="1" customHeight="1" spans="1:21">
      <c r="A117" s="61"/>
      <c r="B117" s="62"/>
      <c r="C117" s="79"/>
      <c r="D117" s="61"/>
      <c r="E117" s="141"/>
      <c r="F117" s="62"/>
      <c r="G117" s="62"/>
      <c r="H117" s="62"/>
      <c r="I117" s="62"/>
      <c r="J117" s="62"/>
      <c r="K117" s="84"/>
      <c r="L117" s="65"/>
      <c r="M117" s="62"/>
      <c r="N117" s="11"/>
      <c r="O117" s="66"/>
      <c r="P117" s="62"/>
      <c r="Q117" s="62"/>
      <c r="R117" s="62"/>
      <c r="S117" s="62"/>
      <c r="T117" s="62"/>
      <c r="U117" s="67"/>
    </row>
    <row r="118" s="58" customFormat="1" customHeight="1" spans="1:21">
      <c r="A118" s="61"/>
      <c r="B118" s="62"/>
      <c r="C118" s="79"/>
      <c r="D118" s="61"/>
      <c r="E118" s="64"/>
      <c r="F118" s="62"/>
      <c r="G118" s="62"/>
      <c r="H118" s="62"/>
      <c r="I118" s="62"/>
      <c r="J118" s="62"/>
      <c r="K118" s="65"/>
      <c r="L118" s="65"/>
      <c r="M118" s="62"/>
      <c r="N118" s="11"/>
      <c r="O118" s="66"/>
      <c r="P118" s="62"/>
      <c r="Q118" s="62"/>
      <c r="R118" s="62"/>
      <c r="S118" s="62"/>
      <c r="T118" s="62"/>
    </row>
    <row r="119" s="58" customFormat="1" customHeight="1" spans="1:21">
      <c r="A119" s="61"/>
      <c r="B119" s="62"/>
      <c r="C119" s="79"/>
      <c r="D119" s="61"/>
      <c r="E119" s="64"/>
      <c r="F119" s="62"/>
      <c r="G119" s="62"/>
      <c r="H119" s="62"/>
      <c r="I119" s="62"/>
      <c r="J119" s="62"/>
      <c r="K119" s="65"/>
      <c r="L119" s="65"/>
      <c r="M119" s="62"/>
      <c r="N119" s="11"/>
      <c r="O119" s="66"/>
      <c r="P119" s="62"/>
      <c r="S119" s="62"/>
      <c r="T119" s="62"/>
    </row>
    <row r="120" s="58" customFormat="1" customHeight="1" spans="1:21">
      <c r="A120" s="61"/>
      <c r="B120" s="62"/>
      <c r="C120" s="79"/>
      <c r="D120" s="61"/>
      <c r="E120" s="64"/>
      <c r="F120" s="62"/>
      <c r="G120" s="62"/>
      <c r="H120" s="62"/>
      <c r="I120" s="62"/>
      <c r="J120" s="62"/>
      <c r="K120" s="65"/>
      <c r="L120" s="65"/>
      <c r="M120" s="62"/>
      <c r="N120" s="11"/>
      <c r="O120" s="66"/>
      <c r="P120" s="62"/>
      <c r="Q120" s="62"/>
      <c r="R120" s="62"/>
      <c r="S120" s="62"/>
      <c r="T120" s="62"/>
    </row>
    <row r="121" s="58" customFormat="1" customHeight="1" spans="1:21">
      <c r="A121" s="61"/>
      <c r="B121" s="62"/>
      <c r="C121" s="79"/>
      <c r="D121" s="61"/>
      <c r="E121" s="141"/>
      <c r="F121" s="62"/>
      <c r="G121" s="62"/>
      <c r="H121" s="62"/>
      <c r="I121" s="62"/>
      <c r="J121" s="62"/>
      <c r="K121" s="65"/>
      <c r="L121" s="65"/>
      <c r="M121" s="62"/>
      <c r="N121" s="11"/>
      <c r="O121" s="66"/>
      <c r="P121" s="62"/>
      <c r="Q121" s="62"/>
      <c r="R121" s="62"/>
      <c r="S121" s="62"/>
      <c r="T121" s="62"/>
    </row>
    <row r="122" s="58" customFormat="1" customHeight="1" spans="1:21">
      <c r="A122" s="61"/>
      <c r="B122" s="62"/>
      <c r="C122" s="79"/>
      <c r="D122" s="61"/>
      <c r="E122" s="141"/>
      <c r="F122" s="62"/>
      <c r="G122" s="62"/>
      <c r="H122" s="62"/>
      <c r="I122" s="62"/>
      <c r="J122" s="62"/>
      <c r="K122" s="65"/>
      <c r="L122" s="65"/>
      <c r="M122" s="62"/>
      <c r="N122" s="11"/>
      <c r="O122" s="66"/>
      <c r="P122" s="62"/>
      <c r="Q122" s="62"/>
      <c r="R122" s="62"/>
      <c r="S122" s="62"/>
      <c r="T122" s="62"/>
    </row>
    <row r="123" s="58" customFormat="1" customHeight="1" spans="1:21">
      <c r="A123" s="61"/>
      <c r="B123" s="62"/>
      <c r="C123" s="79"/>
      <c r="D123" s="61"/>
      <c r="E123" s="141"/>
      <c r="F123" s="62"/>
      <c r="G123" s="62"/>
      <c r="H123" s="62"/>
      <c r="I123" s="62"/>
      <c r="J123" s="62"/>
      <c r="K123" s="65"/>
      <c r="L123" s="65"/>
      <c r="M123" s="62"/>
      <c r="N123" s="11"/>
      <c r="O123" s="66"/>
      <c r="P123" s="62"/>
      <c r="Q123" s="62"/>
      <c r="R123" s="62"/>
      <c r="S123" s="62"/>
      <c r="T123" s="62"/>
    </row>
    <row r="124" s="58" customFormat="1" customHeight="1" spans="1:21">
      <c r="A124" s="61"/>
      <c r="B124" s="62"/>
      <c r="C124" s="79"/>
      <c r="D124" s="61"/>
      <c r="E124" s="64"/>
      <c r="F124" s="62"/>
      <c r="G124" s="62"/>
      <c r="H124" s="62"/>
      <c r="I124" s="62"/>
      <c r="J124" s="62"/>
      <c r="K124" s="65"/>
      <c r="L124" s="65"/>
      <c r="M124" s="62"/>
      <c r="N124" s="11"/>
      <c r="O124" s="66"/>
      <c r="P124" s="62"/>
      <c r="Q124" s="62"/>
      <c r="R124" s="62"/>
      <c r="S124" s="62"/>
      <c r="T124" s="62"/>
    </row>
    <row r="125" s="58" customFormat="1" customHeight="1" spans="1:21">
      <c r="A125" s="61"/>
      <c r="B125" s="62"/>
      <c r="C125" s="79"/>
      <c r="D125" s="61"/>
      <c r="E125" s="64"/>
      <c r="F125" s="62"/>
      <c r="G125" s="62"/>
      <c r="H125" s="62"/>
      <c r="I125" s="62"/>
      <c r="J125" s="62"/>
      <c r="K125" s="65"/>
      <c r="L125" s="65"/>
      <c r="M125" s="62"/>
      <c r="N125" s="11"/>
      <c r="O125" s="66"/>
      <c r="P125" s="62"/>
      <c r="Q125" s="62"/>
      <c r="R125" s="62"/>
      <c r="S125" s="62"/>
      <c r="T125" s="62"/>
    </row>
    <row r="126" s="58" customFormat="1" customHeight="1" spans="1:21">
      <c r="A126" s="61"/>
      <c r="B126" s="62"/>
      <c r="C126" s="79"/>
      <c r="D126" s="61"/>
      <c r="E126" s="64"/>
      <c r="F126" s="62"/>
      <c r="G126" s="62"/>
      <c r="H126" s="62"/>
      <c r="I126" s="62"/>
      <c r="J126" s="62"/>
      <c r="K126" s="65"/>
      <c r="L126" s="65"/>
      <c r="M126" s="62"/>
      <c r="N126" s="11"/>
      <c r="O126" s="66"/>
      <c r="P126" s="62"/>
      <c r="Q126" s="62"/>
      <c r="R126" s="62"/>
      <c r="S126" s="62"/>
      <c r="T126" s="62"/>
    </row>
    <row r="127" s="58" customFormat="1" customHeight="1" spans="1:21">
      <c r="A127" s="61"/>
      <c r="B127" s="62"/>
      <c r="C127" s="79"/>
      <c r="D127" s="61"/>
      <c r="E127" s="64"/>
      <c r="F127" s="62"/>
      <c r="G127" s="62"/>
      <c r="H127" s="62"/>
      <c r="I127" s="62"/>
      <c r="J127" s="62"/>
      <c r="K127" s="65"/>
      <c r="L127" s="65"/>
      <c r="M127" s="62"/>
      <c r="N127" s="11"/>
      <c r="O127" s="66"/>
      <c r="P127" s="62"/>
      <c r="Q127" s="62"/>
      <c r="R127" s="62"/>
      <c r="S127" s="62"/>
      <c r="T127" s="62"/>
    </row>
    <row r="128" s="58" customFormat="1" customHeight="1" spans="1:21">
      <c r="A128" s="61"/>
      <c r="B128" s="62"/>
      <c r="C128" s="79"/>
      <c r="D128" s="61"/>
      <c r="E128" s="64"/>
      <c r="F128" s="62"/>
      <c r="G128" s="62"/>
      <c r="H128" s="62"/>
      <c r="I128" s="62"/>
      <c r="J128" s="62"/>
      <c r="K128" s="65"/>
      <c r="L128" s="65"/>
      <c r="M128" s="62"/>
      <c r="N128" s="11"/>
      <c r="O128" s="66"/>
      <c r="P128" s="62"/>
      <c r="Q128" s="62"/>
      <c r="R128" s="62"/>
      <c r="S128" s="62"/>
      <c r="T128" s="62"/>
    </row>
    <row r="129" s="58" customFormat="1" customHeight="1" spans="1:21">
      <c r="A129" s="61"/>
      <c r="B129" s="62"/>
      <c r="C129" s="79"/>
      <c r="D129" s="61"/>
      <c r="E129" s="64"/>
      <c r="F129" s="62"/>
      <c r="G129" s="62"/>
      <c r="H129" s="62"/>
      <c r="I129" s="62"/>
      <c r="J129" s="62"/>
      <c r="K129" s="65"/>
      <c r="L129" s="65"/>
      <c r="M129" s="62"/>
      <c r="N129" s="11"/>
      <c r="O129" s="66"/>
      <c r="P129" s="62"/>
      <c r="Q129" s="62"/>
      <c r="R129" s="62"/>
      <c r="S129" s="62"/>
      <c r="T129" s="62"/>
    </row>
    <row r="130" s="58" customFormat="1" customHeight="1" spans="1:21">
      <c r="A130" s="61"/>
      <c r="B130" s="62"/>
      <c r="C130" s="79"/>
      <c r="D130" s="61"/>
      <c r="E130" s="64"/>
      <c r="F130" s="62"/>
      <c r="G130" s="62"/>
      <c r="H130" s="62"/>
      <c r="I130" s="62"/>
      <c r="J130" s="62"/>
      <c r="K130" s="65"/>
      <c r="L130" s="65"/>
      <c r="M130" s="62"/>
      <c r="N130" s="11"/>
      <c r="O130" s="66"/>
      <c r="P130" s="62"/>
      <c r="Q130" s="62"/>
      <c r="R130" s="62"/>
      <c r="S130" s="62"/>
      <c r="T130" s="62"/>
    </row>
    <row r="131" s="58" customFormat="1" customHeight="1" spans="1:21">
      <c r="A131" s="61"/>
      <c r="B131" s="62"/>
      <c r="C131" s="79"/>
      <c r="D131" s="61"/>
      <c r="E131" s="64"/>
      <c r="F131" s="62"/>
      <c r="G131" s="62"/>
      <c r="H131" s="62"/>
      <c r="I131" s="62"/>
      <c r="J131" s="62"/>
      <c r="K131" s="65"/>
      <c r="L131" s="65"/>
      <c r="M131" s="62"/>
      <c r="N131" s="11"/>
      <c r="O131" s="66"/>
      <c r="P131" s="62"/>
      <c r="Q131" s="62"/>
      <c r="R131" s="62"/>
      <c r="S131" s="62"/>
      <c r="T131" s="62"/>
    </row>
    <row r="132" s="58" customFormat="1" customHeight="1" spans="1:21">
      <c r="A132" s="61"/>
      <c r="B132" s="62"/>
      <c r="C132" s="79"/>
      <c r="D132" s="61"/>
      <c r="E132" s="64"/>
      <c r="F132" s="62"/>
      <c r="G132" s="62"/>
      <c r="H132" s="62"/>
      <c r="I132" s="62"/>
      <c r="J132" s="62"/>
      <c r="K132" s="65"/>
      <c r="L132" s="65"/>
      <c r="M132" s="62"/>
      <c r="N132" s="11"/>
      <c r="O132" s="66"/>
      <c r="P132" s="62"/>
      <c r="Q132" s="62"/>
      <c r="R132" s="62"/>
      <c r="S132" s="62"/>
      <c r="T132" s="62"/>
    </row>
    <row r="133" s="58" customFormat="1" customHeight="1" spans="1:21">
      <c r="A133" s="61"/>
      <c r="B133" s="62"/>
      <c r="C133" s="79"/>
      <c r="D133" s="61"/>
      <c r="E133" s="64"/>
      <c r="F133" s="62"/>
      <c r="G133" s="62"/>
      <c r="H133" s="62"/>
      <c r="I133" s="62"/>
      <c r="J133" s="62"/>
      <c r="K133" s="65"/>
      <c r="L133" s="65"/>
      <c r="M133" s="62"/>
      <c r="N133" s="11"/>
      <c r="O133" s="66"/>
      <c r="P133" s="62"/>
      <c r="Q133" s="62"/>
      <c r="R133" s="62"/>
      <c r="S133" s="62"/>
      <c r="T133" s="62"/>
    </row>
    <row r="134" s="58" customFormat="1" customHeight="1" spans="1:21">
      <c r="A134" s="61"/>
      <c r="B134" s="62"/>
      <c r="C134" s="79"/>
      <c r="D134" s="61"/>
      <c r="E134" s="64"/>
      <c r="F134" s="62"/>
      <c r="G134" s="62"/>
      <c r="H134" s="62"/>
      <c r="I134" s="62"/>
      <c r="J134" s="62"/>
      <c r="K134" s="65"/>
      <c r="L134" s="65"/>
      <c r="M134" s="62"/>
      <c r="N134" s="11"/>
      <c r="O134" s="66"/>
      <c r="P134" s="62"/>
      <c r="Q134" s="62"/>
      <c r="R134" s="62"/>
      <c r="S134" s="62"/>
      <c r="T134" s="62"/>
    </row>
    <row r="135" s="58" customFormat="1" customHeight="1" spans="1:21">
      <c r="A135" s="61"/>
      <c r="B135" s="62"/>
      <c r="C135" s="79"/>
      <c r="D135" s="61"/>
      <c r="E135" s="64"/>
      <c r="F135" s="62"/>
      <c r="G135" s="62"/>
      <c r="H135" s="62"/>
      <c r="I135" s="62"/>
      <c r="J135" s="62"/>
      <c r="K135" s="65"/>
      <c r="L135" s="65"/>
      <c r="M135" s="62"/>
      <c r="N135" s="11"/>
      <c r="O135" s="66"/>
      <c r="P135" s="62"/>
      <c r="Q135" s="62"/>
      <c r="R135" s="62"/>
      <c r="S135" s="62"/>
      <c r="T135" s="62"/>
      <c r="U135" s="67"/>
    </row>
    <row r="136" s="58" customFormat="1" customHeight="1" spans="1:21">
      <c r="A136" s="61"/>
      <c r="B136" s="62"/>
      <c r="C136" s="79"/>
      <c r="D136" s="61"/>
      <c r="E136" s="64"/>
      <c r="F136" s="62"/>
      <c r="G136" s="62"/>
      <c r="H136" s="62"/>
      <c r="I136" s="62"/>
      <c r="J136" s="62"/>
      <c r="K136" s="65"/>
      <c r="L136" s="65"/>
      <c r="M136" s="62"/>
      <c r="N136" s="11"/>
      <c r="O136" s="66"/>
      <c r="P136" s="62"/>
      <c r="Q136" s="62"/>
      <c r="R136" s="62"/>
      <c r="S136" s="62"/>
      <c r="T136" s="62"/>
      <c r="U136" s="67"/>
    </row>
    <row r="137" s="58" customFormat="1" customHeight="1" spans="1:21">
      <c r="A137" s="61"/>
      <c r="B137" s="62"/>
      <c r="C137" s="79"/>
      <c r="D137" s="61"/>
      <c r="E137" s="64"/>
      <c r="F137" s="62"/>
      <c r="G137" s="62"/>
      <c r="H137" s="62"/>
      <c r="I137" s="62"/>
      <c r="J137" s="62"/>
      <c r="K137" s="65"/>
      <c r="L137" s="65"/>
      <c r="M137" s="62"/>
      <c r="N137" s="11"/>
      <c r="O137" s="66"/>
      <c r="P137" s="62"/>
      <c r="Q137" s="62"/>
      <c r="R137" s="62"/>
      <c r="S137" s="62"/>
      <c r="T137" s="62"/>
      <c r="U137" s="67"/>
    </row>
    <row r="138" s="58" customFormat="1" customHeight="1" spans="1:21">
      <c r="A138" s="61"/>
      <c r="B138" s="62"/>
      <c r="C138" s="79"/>
      <c r="D138" s="61"/>
      <c r="E138" s="64"/>
      <c r="F138" s="62"/>
      <c r="G138" s="62"/>
      <c r="H138" s="62"/>
      <c r="I138" s="62"/>
      <c r="J138" s="62"/>
      <c r="K138" s="65"/>
      <c r="L138" s="65"/>
      <c r="M138" s="62"/>
      <c r="N138" s="11"/>
      <c r="O138" s="66"/>
      <c r="P138" s="62"/>
      <c r="Q138" s="62"/>
      <c r="R138" s="62"/>
      <c r="S138" s="62"/>
      <c r="T138" s="62"/>
      <c r="U138" s="67"/>
    </row>
    <row r="139" s="58" customFormat="1" customHeight="1" spans="1:21">
      <c r="A139" s="61"/>
      <c r="B139" s="62"/>
      <c r="C139" s="79"/>
      <c r="D139" s="61"/>
      <c r="E139" s="64"/>
      <c r="F139" s="62"/>
      <c r="G139" s="62"/>
      <c r="H139" s="62"/>
      <c r="I139" s="62"/>
      <c r="J139" s="62"/>
      <c r="K139" s="65"/>
      <c r="L139" s="65"/>
      <c r="M139" s="62"/>
      <c r="N139" s="11"/>
      <c r="O139" s="66"/>
      <c r="P139" s="62"/>
      <c r="Q139" s="62"/>
      <c r="R139" s="62"/>
      <c r="S139" s="62"/>
      <c r="T139" s="62"/>
      <c r="U139" s="67"/>
    </row>
    <row r="140" s="58" customFormat="1" customHeight="1" spans="1:21">
      <c r="A140" s="61"/>
      <c r="B140" s="62"/>
      <c r="C140" s="79"/>
      <c r="D140" s="61"/>
      <c r="E140" s="64"/>
      <c r="F140" s="62"/>
      <c r="G140" s="62"/>
      <c r="H140" s="62"/>
      <c r="I140" s="62"/>
      <c r="J140" s="62"/>
      <c r="K140" s="65"/>
      <c r="L140" s="65"/>
      <c r="M140" s="62"/>
      <c r="N140" s="11"/>
      <c r="O140" s="66"/>
      <c r="P140" s="62"/>
      <c r="Q140" s="62"/>
      <c r="R140" s="62"/>
      <c r="S140" s="62"/>
      <c r="T140" s="62"/>
      <c r="U140" s="67"/>
    </row>
    <row r="141" s="58" customFormat="1" customHeight="1" spans="1:21">
      <c r="A141" s="61"/>
      <c r="B141" s="62"/>
      <c r="C141" s="79"/>
      <c r="D141" s="61"/>
      <c r="E141" s="64"/>
      <c r="F141" s="62"/>
      <c r="G141" s="62"/>
      <c r="H141" s="62"/>
      <c r="I141" s="62"/>
      <c r="J141" s="62"/>
      <c r="K141" s="65"/>
      <c r="L141" s="65"/>
      <c r="M141" s="62"/>
      <c r="N141" s="11"/>
      <c r="O141" s="66"/>
      <c r="P141" s="62"/>
      <c r="Q141" s="62"/>
      <c r="R141" s="62"/>
      <c r="S141" s="62"/>
      <c r="T141" s="62"/>
      <c r="U141" s="67"/>
    </row>
    <row r="142" s="58" customFormat="1" customHeight="1" spans="1:21">
      <c r="A142" s="61"/>
      <c r="B142" s="62"/>
      <c r="C142" s="79"/>
      <c r="D142" s="61"/>
      <c r="E142" s="64"/>
      <c r="F142" s="62"/>
      <c r="G142" s="62"/>
      <c r="H142" s="62"/>
      <c r="I142" s="62"/>
      <c r="J142" s="62"/>
      <c r="K142" s="65"/>
      <c r="L142" s="65"/>
      <c r="M142" s="62"/>
      <c r="N142" s="11"/>
      <c r="O142" s="66"/>
      <c r="P142" s="62"/>
      <c r="Q142" s="62"/>
      <c r="R142" s="62"/>
      <c r="S142" s="62"/>
      <c r="T142" s="62"/>
      <c r="U142" s="67"/>
    </row>
    <row r="143" s="58" customFormat="1" customHeight="1" spans="1:21">
      <c r="A143" s="61"/>
      <c r="B143" s="62"/>
      <c r="C143" s="79"/>
      <c r="D143" s="61"/>
      <c r="E143" s="64"/>
      <c r="F143" s="62"/>
      <c r="G143" s="62"/>
      <c r="H143" s="62"/>
      <c r="I143" s="62"/>
      <c r="J143" s="62"/>
      <c r="K143" s="65"/>
      <c r="L143" s="65"/>
      <c r="M143" s="62"/>
      <c r="N143" s="11"/>
      <c r="O143" s="66"/>
      <c r="P143" s="62"/>
      <c r="Q143" s="62"/>
      <c r="R143" s="62"/>
      <c r="S143" s="62"/>
      <c r="T143" s="62"/>
      <c r="U143" s="67"/>
    </row>
    <row r="144" s="58" customFormat="1" customHeight="1" spans="1:21">
      <c r="A144" s="61"/>
      <c r="B144" s="62"/>
      <c r="C144" s="79"/>
      <c r="D144" s="61"/>
      <c r="E144" s="64"/>
      <c r="F144" s="62"/>
      <c r="G144" s="62"/>
      <c r="H144" s="62"/>
      <c r="I144" s="62"/>
      <c r="J144" s="62"/>
      <c r="K144" s="65"/>
      <c r="L144" s="65"/>
      <c r="M144" s="62"/>
      <c r="N144" s="11"/>
      <c r="O144" s="66"/>
      <c r="P144" s="62"/>
      <c r="Q144" s="62"/>
      <c r="R144" s="62"/>
      <c r="S144" s="62"/>
      <c r="T144" s="62"/>
      <c r="U144" s="67"/>
    </row>
    <row r="145" s="58" customFormat="1" customHeight="1" spans="1:21">
      <c r="A145" s="61"/>
      <c r="B145" s="62"/>
      <c r="C145" s="79"/>
      <c r="D145" s="61"/>
      <c r="E145" s="64"/>
      <c r="F145" s="62"/>
      <c r="G145" s="62"/>
      <c r="H145" s="62"/>
      <c r="I145" s="62"/>
      <c r="J145" s="62"/>
      <c r="K145" s="65"/>
      <c r="L145" s="65"/>
      <c r="M145" s="62"/>
      <c r="N145" s="11"/>
      <c r="O145" s="66"/>
      <c r="P145" s="62"/>
      <c r="Q145" s="62"/>
      <c r="R145" s="62"/>
      <c r="S145" s="62"/>
      <c r="T145" s="62"/>
      <c r="U145" s="67"/>
    </row>
    <row r="146" s="58" customFormat="1" customHeight="1" spans="1:21">
      <c r="A146" s="61"/>
      <c r="B146" s="62"/>
      <c r="C146" s="79"/>
      <c r="D146" s="61"/>
      <c r="E146" s="64"/>
      <c r="F146" s="62"/>
      <c r="G146" s="62"/>
      <c r="H146" s="62"/>
      <c r="I146" s="62"/>
      <c r="J146" s="62"/>
      <c r="K146" s="65"/>
      <c r="L146" s="65"/>
      <c r="M146" s="62"/>
      <c r="N146" s="11"/>
      <c r="O146" s="66"/>
      <c r="P146" s="62"/>
      <c r="Q146" s="62"/>
      <c r="R146" s="62"/>
      <c r="S146" s="62"/>
      <c r="T146" s="62"/>
      <c r="U146" s="67"/>
    </row>
    <row r="147" s="58" customFormat="1" customHeight="1" spans="1:21">
      <c r="A147" s="61"/>
      <c r="B147" s="62"/>
      <c r="C147" s="79"/>
      <c r="D147" s="61"/>
      <c r="E147" s="64"/>
      <c r="F147" s="62"/>
      <c r="G147" s="62"/>
      <c r="H147" s="62"/>
      <c r="I147" s="62"/>
      <c r="J147" s="62"/>
      <c r="K147" s="65"/>
      <c r="L147" s="65"/>
      <c r="M147" s="62"/>
      <c r="N147" s="11"/>
      <c r="O147" s="66"/>
      <c r="P147" s="62"/>
      <c r="Q147" s="62"/>
      <c r="R147" s="62"/>
      <c r="S147" s="62"/>
      <c r="T147" s="62"/>
      <c r="U147" s="67"/>
    </row>
    <row r="148" s="58" customFormat="1" customHeight="1" spans="1:21">
      <c r="A148" s="61"/>
      <c r="B148" s="62"/>
      <c r="C148" s="79"/>
      <c r="D148" s="61"/>
      <c r="E148" s="141"/>
      <c r="F148" s="62"/>
      <c r="G148" s="62"/>
      <c r="H148" s="62"/>
      <c r="I148" s="62"/>
      <c r="J148" s="62"/>
      <c r="K148" s="65"/>
      <c r="L148" s="65"/>
      <c r="M148" s="62"/>
      <c r="N148" s="11"/>
      <c r="O148" s="66"/>
      <c r="P148" s="62"/>
      <c r="Q148" s="62"/>
      <c r="R148" s="62"/>
      <c r="S148" s="62"/>
      <c r="T148" s="62"/>
      <c r="U148" s="67"/>
    </row>
    <row r="149" s="58" customFormat="1" customHeight="1" spans="1:21">
      <c r="A149" s="61"/>
      <c r="B149" s="62"/>
      <c r="C149" s="79"/>
      <c r="D149" s="61"/>
      <c r="E149" s="64"/>
      <c r="F149" s="62"/>
      <c r="G149" s="62"/>
      <c r="H149" s="62"/>
      <c r="I149" s="62"/>
      <c r="J149" s="62"/>
      <c r="K149" s="65"/>
      <c r="L149" s="65"/>
      <c r="M149" s="62"/>
      <c r="N149" s="11"/>
      <c r="O149" s="66"/>
      <c r="P149" s="62"/>
      <c r="Q149" s="62"/>
      <c r="R149" s="62"/>
      <c r="S149" s="62"/>
      <c r="T149" s="62"/>
      <c r="U149" s="67"/>
    </row>
    <row r="150" s="58" customFormat="1" customHeight="1" spans="1:21">
      <c r="A150" s="61"/>
      <c r="B150" s="62"/>
      <c r="C150" s="79"/>
      <c r="D150" s="61"/>
      <c r="E150" s="64"/>
      <c r="F150" s="62"/>
      <c r="G150" s="62"/>
      <c r="H150" s="62"/>
      <c r="I150" s="62"/>
      <c r="J150" s="62"/>
      <c r="K150" s="65"/>
      <c r="L150" s="65"/>
      <c r="M150" s="62"/>
      <c r="N150" s="11"/>
      <c r="O150" s="66"/>
      <c r="P150" s="62"/>
      <c r="Q150" s="62"/>
      <c r="R150" s="62"/>
      <c r="S150" s="62"/>
      <c r="T150" s="62"/>
      <c r="U150" s="67"/>
    </row>
    <row r="151" s="58" customFormat="1" customHeight="1" spans="1:21">
      <c r="A151" s="61"/>
      <c r="B151" s="62"/>
      <c r="C151" s="79"/>
      <c r="D151" s="61"/>
      <c r="E151" s="64"/>
      <c r="F151" s="62"/>
      <c r="G151" s="62"/>
      <c r="H151" s="62"/>
      <c r="I151" s="62"/>
      <c r="J151" s="62"/>
      <c r="K151" s="65"/>
      <c r="L151" s="65"/>
      <c r="M151" s="62"/>
      <c r="N151" s="11"/>
      <c r="O151" s="66"/>
      <c r="P151" s="62"/>
      <c r="Q151" s="62"/>
      <c r="R151" s="62"/>
      <c r="S151" s="62"/>
      <c r="T151" s="62"/>
      <c r="U151" s="67"/>
    </row>
    <row r="152" s="58" customFormat="1" customHeight="1" spans="1:21">
      <c r="A152" s="61"/>
      <c r="B152" s="62"/>
      <c r="C152" s="79"/>
      <c r="D152" s="61"/>
      <c r="E152" s="64"/>
      <c r="F152" s="62"/>
      <c r="G152" s="62"/>
      <c r="H152" s="62"/>
      <c r="I152" s="62"/>
      <c r="J152" s="62"/>
      <c r="K152" s="65"/>
      <c r="L152" s="65"/>
      <c r="M152" s="62"/>
      <c r="N152" s="11"/>
      <c r="O152" s="66"/>
      <c r="P152" s="62"/>
      <c r="Q152" s="62"/>
      <c r="R152" s="62"/>
      <c r="S152" s="62"/>
      <c r="T152" s="62"/>
      <c r="U152" s="67"/>
    </row>
    <row r="153" s="58" customFormat="1" customHeight="1" spans="1:21">
      <c r="A153" s="61"/>
      <c r="B153" s="62"/>
      <c r="C153" s="79"/>
      <c r="D153" s="61"/>
      <c r="E153" s="64"/>
      <c r="F153" s="62"/>
      <c r="G153" s="62"/>
      <c r="H153" s="62"/>
      <c r="I153" s="62"/>
      <c r="J153" s="62"/>
      <c r="K153" s="65"/>
      <c r="L153" s="65"/>
      <c r="M153" s="62"/>
      <c r="N153" s="11"/>
      <c r="O153" s="66"/>
      <c r="P153" s="62"/>
      <c r="Q153" s="62"/>
      <c r="R153" s="62"/>
      <c r="S153" s="62"/>
      <c r="T153" s="62"/>
      <c r="U153" s="67"/>
    </row>
    <row r="154" s="58" customFormat="1" customHeight="1" spans="1:21">
      <c r="A154" s="61"/>
      <c r="B154" s="62"/>
      <c r="C154" s="79"/>
      <c r="D154" s="61"/>
      <c r="E154" s="64"/>
      <c r="F154" s="62"/>
      <c r="G154" s="62"/>
      <c r="H154" s="62"/>
      <c r="I154" s="62"/>
      <c r="J154" s="62"/>
      <c r="K154" s="65"/>
      <c r="L154" s="65"/>
      <c r="M154" s="62"/>
      <c r="N154" s="11"/>
      <c r="O154" s="66"/>
      <c r="P154" s="62"/>
      <c r="Q154" s="62"/>
      <c r="R154" s="62"/>
      <c r="S154" s="92"/>
      <c r="T154" s="62"/>
      <c r="U154" s="67"/>
    </row>
    <row r="155" s="58" customFormat="1" customHeight="1" spans="1:21">
      <c r="A155" s="61"/>
      <c r="B155" s="62"/>
      <c r="C155" s="79"/>
      <c r="D155" s="61"/>
      <c r="E155" s="64"/>
      <c r="F155" s="62"/>
      <c r="G155" s="62"/>
      <c r="H155" s="62"/>
      <c r="I155" s="62"/>
      <c r="J155" s="62"/>
      <c r="K155" s="65"/>
      <c r="L155" s="65"/>
      <c r="M155" s="62"/>
      <c r="N155" s="11"/>
      <c r="O155" s="66"/>
      <c r="P155" s="62"/>
      <c r="Q155" s="62"/>
      <c r="R155" s="62"/>
      <c r="S155" s="62"/>
      <c r="T155" s="62"/>
      <c r="U155" s="67"/>
    </row>
    <row r="156" s="58" customFormat="1" customHeight="1" spans="1:21">
      <c r="A156" s="61"/>
      <c r="B156" s="62"/>
      <c r="C156" s="79"/>
      <c r="D156" s="61"/>
      <c r="E156" s="64"/>
      <c r="F156" s="62"/>
      <c r="G156" s="62"/>
      <c r="H156" s="62"/>
      <c r="I156" s="62"/>
      <c r="J156" s="62"/>
      <c r="K156" s="65"/>
      <c r="L156" s="65"/>
      <c r="M156" s="62"/>
      <c r="N156" s="11"/>
      <c r="O156" s="66"/>
      <c r="P156" s="62"/>
      <c r="Q156" s="62"/>
      <c r="R156" s="62"/>
      <c r="S156" s="62"/>
      <c r="T156" s="62"/>
      <c r="U156" s="67"/>
    </row>
    <row r="157" s="58" customFormat="1" customHeight="1" spans="1:21">
      <c r="A157" s="61"/>
      <c r="B157" s="62"/>
      <c r="C157" s="79"/>
      <c r="D157" s="61"/>
      <c r="E157" s="64"/>
      <c r="F157" s="62"/>
      <c r="G157" s="62"/>
      <c r="H157" s="62"/>
      <c r="I157" s="62"/>
      <c r="J157" s="62"/>
      <c r="K157" s="65"/>
      <c r="L157" s="65"/>
      <c r="M157" s="62"/>
      <c r="N157" s="11"/>
      <c r="O157" s="66"/>
      <c r="P157" s="62"/>
      <c r="Q157" s="62"/>
      <c r="R157" s="62"/>
      <c r="S157" s="62"/>
      <c r="T157" s="62"/>
      <c r="U157" s="67"/>
    </row>
    <row r="158" s="58" customFormat="1" customHeight="1" spans="1:21">
      <c r="A158" s="61"/>
      <c r="B158" s="62"/>
      <c r="C158" s="79"/>
      <c r="D158" s="61"/>
      <c r="E158" s="64"/>
      <c r="F158" s="62"/>
      <c r="G158" s="62"/>
      <c r="H158" s="62"/>
      <c r="I158" s="62"/>
      <c r="J158" s="62"/>
      <c r="K158" s="65"/>
      <c r="L158" s="65"/>
      <c r="M158" s="62"/>
      <c r="N158" s="11"/>
      <c r="O158" s="66"/>
      <c r="P158" s="62"/>
      <c r="Q158" s="62"/>
      <c r="R158" s="62"/>
      <c r="S158" s="62"/>
      <c r="T158" s="62"/>
      <c r="U158" s="67"/>
    </row>
    <row r="159" s="58" customFormat="1" customHeight="1" spans="1:21">
      <c r="A159" s="61"/>
      <c r="B159" s="62"/>
      <c r="C159" s="79"/>
      <c r="D159" s="61"/>
      <c r="E159" s="64"/>
      <c r="F159" s="62"/>
      <c r="G159" s="62"/>
      <c r="H159" s="62"/>
      <c r="I159" s="62"/>
      <c r="J159" s="62"/>
      <c r="K159" s="65"/>
      <c r="L159" s="65"/>
      <c r="M159" s="62"/>
      <c r="N159" s="11"/>
      <c r="O159" s="66"/>
      <c r="P159" s="62"/>
      <c r="Q159" s="62"/>
      <c r="R159" s="62"/>
      <c r="S159" s="62"/>
      <c r="T159" s="62"/>
      <c r="U159" s="67"/>
    </row>
    <row r="160" s="58" customFormat="1" customHeight="1" spans="1:21">
      <c r="A160" s="61"/>
      <c r="B160" s="62"/>
      <c r="C160" s="79"/>
      <c r="D160" s="61"/>
      <c r="E160" s="64"/>
      <c r="F160" s="62"/>
      <c r="G160" s="62"/>
      <c r="H160" s="62"/>
      <c r="I160" s="62"/>
      <c r="J160" s="62"/>
      <c r="K160" s="65"/>
      <c r="L160" s="65"/>
      <c r="M160" s="62"/>
      <c r="N160" s="11"/>
      <c r="O160" s="66"/>
      <c r="P160" s="62"/>
      <c r="Q160" s="62"/>
      <c r="R160" s="62"/>
      <c r="S160" s="62"/>
      <c r="T160" s="62"/>
      <c r="U160" s="67"/>
    </row>
    <row r="161" s="58" customFormat="1" customHeight="1" spans="1:21">
      <c r="A161" s="61"/>
      <c r="B161" s="62"/>
      <c r="C161" s="79"/>
      <c r="D161" s="61"/>
      <c r="E161" s="64"/>
      <c r="F161" s="62"/>
      <c r="G161" s="62"/>
      <c r="H161" s="62"/>
      <c r="I161" s="62"/>
      <c r="J161" s="62"/>
      <c r="K161" s="65"/>
      <c r="L161" s="65"/>
      <c r="M161" s="62"/>
      <c r="N161" s="11"/>
      <c r="O161" s="66"/>
      <c r="P161" s="62"/>
      <c r="Q161" s="62"/>
      <c r="R161" s="62"/>
      <c r="S161" s="62"/>
      <c r="T161" s="62"/>
      <c r="U161" s="67"/>
    </row>
    <row r="162" s="58" customFormat="1" customHeight="1" spans="1:21">
      <c r="A162" s="61"/>
      <c r="B162" s="62"/>
      <c r="C162" s="79"/>
      <c r="D162" s="61"/>
      <c r="E162" s="141"/>
      <c r="F162" s="62"/>
      <c r="G162" s="62"/>
      <c r="H162" s="62"/>
      <c r="I162" s="62"/>
      <c r="J162" s="62"/>
      <c r="K162" s="65"/>
      <c r="L162" s="65"/>
      <c r="M162" s="62"/>
      <c r="N162" s="11"/>
      <c r="O162" s="66"/>
      <c r="P162" s="62"/>
      <c r="Q162" s="62"/>
      <c r="R162" s="62"/>
      <c r="S162" s="94"/>
      <c r="T162" s="62"/>
      <c r="U162" s="67"/>
    </row>
    <row r="163" s="58" customFormat="1" customHeight="1" spans="1:21">
      <c r="A163" s="61"/>
      <c r="B163" s="62"/>
      <c r="C163" s="79"/>
      <c r="D163" s="61"/>
      <c r="E163" s="141"/>
      <c r="F163" s="62"/>
      <c r="G163" s="62"/>
      <c r="H163" s="62"/>
      <c r="I163" s="62"/>
      <c r="J163" s="62"/>
      <c r="K163" s="65"/>
      <c r="L163" s="65"/>
      <c r="M163" s="62"/>
      <c r="N163" s="11"/>
      <c r="O163" s="66"/>
      <c r="P163" s="62"/>
      <c r="Q163" s="62"/>
      <c r="R163" s="62"/>
      <c r="S163" s="92"/>
      <c r="T163" s="62"/>
      <c r="U163" s="67"/>
    </row>
    <row r="164" s="58" customFormat="1" customHeight="1" spans="1:21">
      <c r="A164" s="61"/>
      <c r="B164" s="62"/>
      <c r="C164" s="79"/>
      <c r="D164" s="61"/>
      <c r="E164" s="64"/>
      <c r="F164" s="62"/>
      <c r="G164" s="62"/>
      <c r="H164" s="62"/>
      <c r="I164" s="62"/>
      <c r="J164" s="62"/>
      <c r="K164" s="65"/>
      <c r="L164" s="65"/>
      <c r="M164" s="62"/>
      <c r="N164" s="11"/>
      <c r="O164" s="66"/>
      <c r="P164" s="62"/>
      <c r="Q164" s="62"/>
      <c r="R164" s="62"/>
      <c r="S164" s="62"/>
      <c r="T164" s="62"/>
      <c r="U164" s="67"/>
    </row>
    <row r="165" s="58" customFormat="1" customHeight="1" spans="1:21">
      <c r="A165" s="61"/>
      <c r="B165" s="62"/>
      <c r="C165" s="79"/>
      <c r="D165" s="61"/>
      <c r="E165" s="64"/>
      <c r="F165" s="62"/>
      <c r="G165" s="62"/>
      <c r="H165" s="62"/>
      <c r="I165" s="62"/>
      <c r="J165" s="62"/>
      <c r="K165" s="65"/>
      <c r="L165" s="65"/>
      <c r="M165" s="62"/>
      <c r="N165" s="11"/>
      <c r="O165" s="66"/>
      <c r="P165" s="62"/>
      <c r="Q165" s="62"/>
      <c r="R165" s="62"/>
      <c r="S165" s="62"/>
      <c r="T165" s="62"/>
      <c r="U165" s="67"/>
    </row>
    <row r="166" s="58" customFormat="1" customHeight="1" spans="1:21">
      <c r="A166" s="61"/>
      <c r="B166" s="62"/>
      <c r="C166" s="79"/>
      <c r="D166" s="61"/>
      <c r="E166" s="64"/>
      <c r="F166" s="62"/>
      <c r="G166" s="62"/>
      <c r="H166" s="62"/>
      <c r="I166" s="62"/>
      <c r="J166" s="62"/>
      <c r="K166" s="65"/>
      <c r="L166" s="65"/>
      <c r="M166" s="62"/>
      <c r="N166" s="11"/>
      <c r="O166" s="66"/>
      <c r="P166" s="62"/>
      <c r="Q166" s="62"/>
      <c r="R166" s="62"/>
      <c r="S166" s="62"/>
      <c r="T166" s="62"/>
      <c r="U166" s="67"/>
    </row>
    <row r="167" s="58" customFormat="1" customHeight="1" spans="1:21">
      <c r="A167" s="61"/>
      <c r="B167" s="62"/>
      <c r="C167" s="79"/>
      <c r="D167" s="61"/>
      <c r="E167" s="141"/>
      <c r="F167" s="62"/>
      <c r="G167" s="62"/>
      <c r="H167" s="62"/>
      <c r="I167" s="62"/>
      <c r="J167" s="62"/>
      <c r="K167" s="84"/>
      <c r="L167" s="65"/>
      <c r="M167" s="62"/>
      <c r="N167" s="11"/>
      <c r="O167" s="133"/>
      <c r="P167" s="62"/>
      <c r="Q167" s="62"/>
      <c r="R167" s="62"/>
      <c r="S167" s="62"/>
      <c r="T167" s="62"/>
      <c r="U167" s="67"/>
    </row>
    <row r="168" s="58" customFormat="1" customHeight="1" spans="1:21">
      <c r="A168" s="61"/>
      <c r="B168" s="62"/>
      <c r="C168" s="79"/>
      <c r="D168" s="61"/>
      <c r="E168" s="141"/>
      <c r="F168" s="62"/>
      <c r="G168" s="62"/>
      <c r="H168" s="62"/>
      <c r="I168" s="62"/>
      <c r="J168" s="62"/>
      <c r="K168" s="84"/>
      <c r="L168" s="65"/>
      <c r="M168" s="62"/>
      <c r="N168" s="11"/>
      <c r="O168" s="133"/>
      <c r="P168" s="62"/>
      <c r="Q168" s="62"/>
      <c r="R168" s="62"/>
      <c r="S168" s="62"/>
      <c r="T168" s="62"/>
      <c r="U168" s="67"/>
    </row>
    <row r="169" s="58" customFormat="1" customHeight="1" spans="1:21">
      <c r="A169" s="61"/>
      <c r="B169" s="62"/>
      <c r="C169" s="79"/>
      <c r="D169" s="61"/>
      <c r="E169" s="141"/>
      <c r="F169" s="62"/>
      <c r="G169" s="62"/>
      <c r="H169" s="62"/>
      <c r="I169" s="62"/>
      <c r="J169" s="62"/>
      <c r="K169" s="65"/>
      <c r="L169" s="65"/>
      <c r="M169" s="62"/>
      <c r="N169" s="11"/>
      <c r="O169" s="66"/>
      <c r="P169" s="62"/>
      <c r="Q169" s="62"/>
      <c r="R169" s="62"/>
      <c r="S169" s="62"/>
      <c r="T169" s="62"/>
      <c r="U169" s="67"/>
    </row>
    <row r="170" s="58" customFormat="1" customHeight="1" spans="1:21">
      <c r="A170" s="61"/>
      <c r="B170" s="62"/>
      <c r="C170" s="79"/>
      <c r="D170" s="61"/>
      <c r="E170" s="141"/>
      <c r="F170" s="62"/>
      <c r="G170" s="62"/>
      <c r="H170" s="62"/>
      <c r="I170" s="62"/>
      <c r="J170" s="62"/>
      <c r="K170" s="65"/>
      <c r="L170" s="65"/>
      <c r="M170" s="62"/>
      <c r="N170" s="11"/>
      <c r="O170" s="66"/>
      <c r="P170" s="62"/>
      <c r="Q170" s="62"/>
      <c r="R170" s="62"/>
      <c r="S170" s="62"/>
      <c r="T170" s="62"/>
      <c r="U170" s="67"/>
    </row>
    <row r="171" s="58" customFormat="1" customHeight="1" spans="1:21">
      <c r="A171" s="61"/>
      <c r="B171" s="62"/>
      <c r="C171" s="79"/>
      <c r="D171" s="61"/>
      <c r="E171" s="141"/>
      <c r="F171" s="62"/>
      <c r="G171" s="62"/>
      <c r="H171" s="62"/>
      <c r="I171" s="62"/>
      <c r="J171" s="62"/>
      <c r="K171" s="65"/>
      <c r="L171" s="65"/>
      <c r="M171" s="62"/>
      <c r="N171" s="11"/>
      <c r="O171" s="66"/>
      <c r="P171" s="62"/>
      <c r="Q171" s="62"/>
      <c r="R171" s="62"/>
      <c r="S171" s="62"/>
      <c r="T171" s="62"/>
      <c r="U171" s="67"/>
    </row>
    <row r="172" s="58" customFormat="1" customHeight="1" spans="1:21">
      <c r="A172" s="61"/>
      <c r="B172" s="62"/>
      <c r="C172" s="79"/>
      <c r="D172" s="61"/>
      <c r="E172" s="141"/>
      <c r="F172" s="62"/>
      <c r="G172" s="62"/>
      <c r="H172" s="62"/>
      <c r="I172" s="62"/>
      <c r="J172" s="62"/>
      <c r="K172" s="65"/>
      <c r="L172" s="65"/>
      <c r="M172" s="62"/>
      <c r="N172" s="11"/>
      <c r="O172" s="66"/>
      <c r="P172" s="62"/>
      <c r="Q172" s="62"/>
      <c r="R172" s="62"/>
      <c r="S172" s="62"/>
      <c r="T172" s="62"/>
      <c r="U172" s="67"/>
    </row>
    <row r="173" s="58" customFormat="1" customHeight="1" spans="1:21">
      <c r="A173" s="61"/>
      <c r="B173" s="62"/>
      <c r="C173" s="79"/>
      <c r="D173" s="61"/>
      <c r="E173" s="64"/>
      <c r="F173" s="62"/>
      <c r="G173" s="62"/>
      <c r="H173" s="62"/>
      <c r="I173" s="62"/>
      <c r="J173" s="62"/>
      <c r="K173" s="65"/>
      <c r="L173" s="65"/>
      <c r="M173" s="62"/>
      <c r="N173" s="11"/>
      <c r="O173" s="66"/>
      <c r="P173" s="62"/>
      <c r="Q173" s="62"/>
      <c r="R173" s="62"/>
      <c r="S173" s="62"/>
      <c r="T173" s="62"/>
      <c r="U173" s="67"/>
    </row>
    <row r="174" s="58" customFormat="1" customHeight="1" spans="1:21">
      <c r="A174" s="61"/>
      <c r="B174" s="62"/>
      <c r="C174" s="79"/>
      <c r="D174" s="61"/>
      <c r="E174" s="64"/>
      <c r="F174" s="62"/>
      <c r="G174" s="62"/>
      <c r="H174" s="62"/>
      <c r="I174" s="62"/>
      <c r="J174" s="62"/>
      <c r="K174" s="65"/>
      <c r="L174" s="65"/>
      <c r="M174" s="62"/>
      <c r="N174" s="11"/>
      <c r="O174" s="66"/>
      <c r="P174" s="62"/>
      <c r="Q174" s="62"/>
      <c r="R174" s="62"/>
      <c r="S174" s="62"/>
      <c r="T174" s="62"/>
      <c r="U174" s="67"/>
    </row>
    <row r="175" s="58" customFormat="1" customHeight="1" spans="1:21">
      <c r="A175" s="61"/>
      <c r="B175" s="62"/>
      <c r="C175" s="79"/>
      <c r="D175" s="61"/>
      <c r="E175" s="64"/>
      <c r="F175" s="62"/>
      <c r="G175" s="62"/>
      <c r="H175" s="62"/>
      <c r="I175" s="62"/>
      <c r="J175" s="62"/>
      <c r="K175" s="65"/>
      <c r="L175" s="65"/>
      <c r="M175" s="62"/>
      <c r="N175" s="11"/>
      <c r="O175" s="66"/>
      <c r="P175" s="62"/>
      <c r="Q175" s="62"/>
      <c r="R175" s="62"/>
      <c r="S175" s="105"/>
      <c r="T175" s="62"/>
      <c r="U175" s="67"/>
    </row>
    <row r="176" s="58" customFormat="1" customHeight="1" spans="1:21">
      <c r="A176" s="61"/>
      <c r="B176" s="62"/>
      <c r="C176" s="79"/>
      <c r="D176" s="61"/>
      <c r="E176" s="64"/>
      <c r="F176" s="62"/>
      <c r="G176" s="62"/>
      <c r="H176" s="62"/>
      <c r="I176" s="62"/>
      <c r="J176" s="62"/>
      <c r="K176" s="65"/>
      <c r="L176" s="65"/>
      <c r="M176" s="62"/>
      <c r="N176" s="11"/>
      <c r="O176" s="66"/>
      <c r="P176" s="62"/>
      <c r="Q176" s="62"/>
      <c r="R176" s="62"/>
      <c r="S176" s="62"/>
      <c r="T176" s="62"/>
      <c r="U176" s="67"/>
    </row>
    <row r="177" s="58" customFormat="1" customHeight="1" spans="1:21">
      <c r="A177" s="61"/>
      <c r="B177" s="62"/>
      <c r="C177" s="79"/>
      <c r="D177" s="61"/>
      <c r="E177" s="141"/>
      <c r="F177" s="62"/>
      <c r="G177" s="62"/>
      <c r="H177" s="62"/>
      <c r="I177" s="62"/>
      <c r="J177" s="62"/>
      <c r="K177" s="65"/>
      <c r="L177" s="65"/>
      <c r="M177" s="62"/>
      <c r="N177" s="11"/>
      <c r="O177" s="66"/>
      <c r="P177" s="62"/>
      <c r="Q177" s="62"/>
      <c r="R177" s="62"/>
      <c r="S177" s="62"/>
      <c r="T177" s="62"/>
      <c r="U177" s="67"/>
    </row>
    <row r="178" s="58" customFormat="1" customHeight="1" spans="1:21">
      <c r="A178" s="61"/>
      <c r="B178" s="62"/>
      <c r="C178" s="79"/>
      <c r="D178" s="61"/>
      <c r="E178" s="64"/>
      <c r="F178" s="62"/>
      <c r="G178" s="62"/>
      <c r="H178" s="62"/>
      <c r="I178" s="62"/>
      <c r="J178" s="62"/>
      <c r="K178" s="65"/>
      <c r="L178" s="65"/>
      <c r="M178" s="62"/>
      <c r="N178" s="11"/>
      <c r="O178" s="66"/>
      <c r="P178" s="62"/>
      <c r="Q178" s="62"/>
      <c r="R178" s="62"/>
      <c r="S178" s="62"/>
      <c r="T178" s="62"/>
      <c r="U178" s="67"/>
    </row>
    <row r="179" s="58" customFormat="1" customHeight="1" spans="1:21">
      <c r="A179" s="61"/>
      <c r="B179" s="62"/>
      <c r="C179" s="79"/>
      <c r="D179" s="61"/>
      <c r="E179" s="64"/>
      <c r="F179" s="62"/>
      <c r="G179" s="62"/>
      <c r="H179" s="62"/>
      <c r="I179" s="62"/>
      <c r="J179" s="62"/>
      <c r="K179" s="84"/>
      <c r="L179" s="65"/>
      <c r="M179" s="62"/>
      <c r="N179" s="11"/>
      <c r="O179" s="66"/>
      <c r="P179" s="62"/>
      <c r="Q179" s="62"/>
      <c r="R179" s="62"/>
      <c r="S179" s="62"/>
      <c r="T179" s="62"/>
      <c r="U179" s="139"/>
    </row>
    <row r="180" s="58" customFormat="1" customHeight="1" spans="1:21">
      <c r="A180" s="61"/>
      <c r="B180" s="62"/>
      <c r="C180" s="79"/>
      <c r="D180" s="61"/>
      <c r="E180" s="64"/>
      <c r="F180" s="62"/>
      <c r="G180" s="62"/>
      <c r="H180" s="62"/>
      <c r="I180" s="62"/>
      <c r="J180" s="62"/>
      <c r="K180" s="65"/>
      <c r="L180" s="65"/>
      <c r="M180" s="62"/>
      <c r="N180" s="11"/>
      <c r="O180" s="66"/>
      <c r="P180" s="62"/>
      <c r="Q180" s="62"/>
      <c r="R180" s="62"/>
      <c r="S180" s="62"/>
      <c r="T180" s="62"/>
      <c r="U180" s="67"/>
    </row>
    <row r="181" s="58" customFormat="1" customHeight="1" spans="1:21">
      <c r="A181" s="61"/>
      <c r="B181" s="62"/>
      <c r="C181" s="79"/>
      <c r="D181" s="61"/>
      <c r="E181" s="64"/>
      <c r="F181" s="62"/>
      <c r="G181" s="62"/>
      <c r="H181" s="62"/>
      <c r="I181" s="62"/>
      <c r="J181" s="62"/>
      <c r="K181" s="65"/>
      <c r="L181" s="65"/>
      <c r="M181" s="62"/>
      <c r="N181" s="11"/>
      <c r="O181" s="66"/>
      <c r="P181" s="62"/>
      <c r="Q181" s="62"/>
      <c r="R181" s="62"/>
      <c r="S181" s="62"/>
      <c r="T181" s="62"/>
      <c r="U181" s="67"/>
    </row>
    <row r="182" s="58" customFormat="1" customHeight="1" spans="1:21">
      <c r="A182" s="61"/>
      <c r="B182" s="62"/>
      <c r="C182" s="79"/>
      <c r="D182" s="61"/>
      <c r="E182" s="64"/>
      <c r="F182" s="62"/>
      <c r="G182" s="62"/>
      <c r="H182" s="62"/>
      <c r="I182" s="62"/>
      <c r="J182" s="62"/>
      <c r="K182" s="65"/>
      <c r="L182" s="65"/>
      <c r="M182" s="62"/>
      <c r="N182" s="11"/>
      <c r="O182" s="66"/>
      <c r="P182" s="62"/>
      <c r="Q182" s="62"/>
      <c r="R182" s="62"/>
      <c r="S182" s="62"/>
      <c r="T182" s="62"/>
      <c r="U182" s="67"/>
    </row>
    <row r="183" s="58" customFormat="1" customHeight="1" spans="1:21">
      <c r="A183" s="61"/>
      <c r="B183" s="62"/>
      <c r="C183" s="79"/>
      <c r="D183" s="61"/>
      <c r="E183" s="64"/>
      <c r="F183" s="62"/>
      <c r="G183" s="62"/>
      <c r="H183" s="62"/>
      <c r="I183" s="62"/>
      <c r="J183" s="62"/>
      <c r="K183" s="65"/>
      <c r="L183" s="65"/>
      <c r="M183" s="62"/>
      <c r="N183" s="11"/>
      <c r="O183" s="66"/>
      <c r="P183" s="62"/>
      <c r="Q183" s="62"/>
      <c r="R183" s="62"/>
      <c r="S183" s="62"/>
      <c r="T183" s="62"/>
      <c r="U183" s="67"/>
    </row>
    <row r="184" s="58" customFormat="1" customHeight="1" spans="1:21">
      <c r="A184" s="61"/>
      <c r="B184" s="62"/>
      <c r="C184" s="79"/>
      <c r="D184" s="61"/>
      <c r="E184" s="64"/>
      <c r="F184" s="62"/>
      <c r="G184" s="62"/>
      <c r="H184" s="62"/>
      <c r="I184" s="62"/>
      <c r="J184" s="62"/>
      <c r="K184" s="84"/>
      <c r="L184" s="65"/>
      <c r="M184" s="62"/>
      <c r="N184" s="11"/>
      <c r="O184" s="133"/>
      <c r="P184" s="62"/>
      <c r="Q184" s="62"/>
      <c r="R184" s="62"/>
      <c r="S184" s="62"/>
      <c r="T184" s="62"/>
      <c r="U184" s="139"/>
    </row>
    <row r="185" s="58" customFormat="1" customHeight="1" spans="1:21">
      <c r="A185" s="61"/>
      <c r="B185" s="62"/>
      <c r="C185" s="79"/>
      <c r="D185" s="61"/>
      <c r="E185" s="64"/>
      <c r="F185" s="62"/>
      <c r="G185" s="62"/>
      <c r="H185" s="62"/>
      <c r="I185" s="62"/>
      <c r="J185" s="62"/>
      <c r="K185" s="65"/>
      <c r="L185" s="65"/>
      <c r="M185" s="62"/>
      <c r="N185" s="11"/>
      <c r="O185" s="66"/>
      <c r="P185" s="62"/>
      <c r="Q185" s="62"/>
      <c r="R185" s="62"/>
      <c r="S185" s="62"/>
      <c r="T185" s="62"/>
      <c r="U185" s="67"/>
    </row>
    <row r="186" s="58" customFormat="1" customHeight="1" spans="1:21">
      <c r="A186" s="61"/>
      <c r="B186" s="62"/>
      <c r="C186" s="79"/>
      <c r="D186" s="61"/>
      <c r="E186" s="64"/>
      <c r="F186" s="62"/>
      <c r="G186" s="62"/>
      <c r="H186" s="62"/>
      <c r="I186" s="62"/>
      <c r="J186" s="62"/>
      <c r="K186" s="65"/>
      <c r="L186" s="65"/>
      <c r="M186" s="62"/>
      <c r="N186" s="11"/>
      <c r="O186" s="66"/>
      <c r="P186" s="62"/>
      <c r="Q186" s="62"/>
      <c r="R186" s="62"/>
      <c r="S186" s="62"/>
      <c r="T186" s="62"/>
      <c r="U186" s="67"/>
    </row>
    <row r="187" s="58" customFormat="1" customHeight="1" spans="1:21">
      <c r="A187" s="61"/>
      <c r="B187" s="62"/>
      <c r="C187" s="79"/>
      <c r="D187" s="61"/>
      <c r="E187" s="141"/>
      <c r="F187" s="62"/>
      <c r="G187" s="62"/>
      <c r="H187" s="62"/>
      <c r="I187" s="62"/>
      <c r="J187" s="62"/>
      <c r="K187" s="158"/>
      <c r="L187" s="65"/>
      <c r="M187" s="62"/>
      <c r="N187" s="11"/>
      <c r="O187" s="66"/>
      <c r="P187" s="62"/>
      <c r="Q187" s="62"/>
      <c r="R187" s="62"/>
      <c r="S187" s="62"/>
      <c r="T187" s="62"/>
      <c r="U187" s="67"/>
    </row>
    <row r="188" s="58" customFormat="1" customHeight="1" spans="1:21">
      <c r="A188" s="61"/>
      <c r="B188" s="62"/>
      <c r="C188" s="79"/>
      <c r="D188" s="61"/>
      <c r="E188" s="141"/>
      <c r="F188" s="62"/>
      <c r="G188" s="62"/>
      <c r="H188" s="62"/>
      <c r="I188" s="62"/>
      <c r="J188" s="62"/>
      <c r="K188" s="158"/>
      <c r="L188" s="65"/>
      <c r="M188" s="62"/>
      <c r="N188" s="11"/>
      <c r="O188" s="66"/>
      <c r="P188" s="62"/>
      <c r="Q188" s="62"/>
      <c r="R188" s="62"/>
      <c r="S188" s="62"/>
      <c r="T188" s="62"/>
      <c r="U188" s="67"/>
    </row>
    <row r="189" s="58" customFormat="1" customHeight="1" spans="1:21">
      <c r="A189" s="61"/>
      <c r="B189" s="62"/>
      <c r="C189" s="79"/>
      <c r="D189" s="61"/>
      <c r="E189" s="64"/>
      <c r="F189" s="62"/>
      <c r="G189" s="62"/>
      <c r="H189" s="62"/>
      <c r="I189" s="62"/>
      <c r="J189" s="62"/>
      <c r="K189" s="65"/>
      <c r="L189" s="65"/>
      <c r="M189" s="62"/>
      <c r="N189" s="11"/>
      <c r="O189" s="66"/>
      <c r="P189" s="62"/>
      <c r="Q189" s="62"/>
      <c r="R189" s="62"/>
      <c r="S189" s="62"/>
      <c r="T189" s="62"/>
      <c r="U189" s="67"/>
    </row>
    <row r="190" s="58" customFormat="1" customHeight="1" spans="1:21">
      <c r="A190" s="61"/>
      <c r="B190" s="62"/>
      <c r="C190" s="79"/>
      <c r="D190" s="61"/>
      <c r="E190" s="64"/>
      <c r="F190" s="62"/>
      <c r="G190" s="62"/>
      <c r="H190" s="62"/>
      <c r="I190" s="62"/>
      <c r="J190" s="62"/>
      <c r="K190" s="65"/>
      <c r="L190" s="65"/>
      <c r="M190" s="62"/>
      <c r="N190" s="11"/>
      <c r="O190" s="66"/>
      <c r="P190" s="62"/>
      <c r="Q190" s="62"/>
      <c r="R190" s="62"/>
      <c r="S190" s="94"/>
      <c r="T190" s="62"/>
      <c r="U190" s="67"/>
    </row>
    <row r="191" s="58" customFormat="1" customHeight="1" spans="1:21">
      <c r="A191" s="61"/>
      <c r="B191" s="62"/>
      <c r="C191" s="79"/>
      <c r="D191" s="61"/>
      <c r="E191" s="64"/>
      <c r="F191" s="62"/>
      <c r="G191" s="62"/>
      <c r="H191" s="62"/>
      <c r="I191" s="62"/>
      <c r="J191" s="62"/>
      <c r="K191" s="65"/>
      <c r="L191" s="65"/>
      <c r="M191" s="62"/>
      <c r="N191" s="11"/>
      <c r="O191" s="66"/>
      <c r="P191" s="62"/>
      <c r="Q191" s="62"/>
      <c r="R191" s="62"/>
      <c r="S191" s="94"/>
      <c r="T191" s="62"/>
      <c r="U191" s="67"/>
    </row>
    <row r="192" s="58" customFormat="1" customHeight="1" spans="1:21">
      <c r="A192" s="61"/>
      <c r="B192" s="62"/>
      <c r="C192" s="79"/>
      <c r="D192" s="61"/>
      <c r="E192" s="64"/>
      <c r="F192" s="62"/>
      <c r="G192" s="62"/>
      <c r="H192" s="62"/>
      <c r="I192" s="62"/>
      <c r="J192" s="62"/>
      <c r="K192" s="65"/>
      <c r="L192" s="65"/>
      <c r="M192" s="62"/>
      <c r="N192" s="11"/>
      <c r="O192" s="66"/>
      <c r="P192" s="62"/>
      <c r="Q192" s="62"/>
      <c r="R192" s="62"/>
      <c r="S192" s="94"/>
      <c r="T192" s="62"/>
      <c r="U192" s="67"/>
    </row>
    <row r="193" s="58" customFormat="1" customHeight="1" spans="1:21">
      <c r="A193" s="61"/>
      <c r="B193" s="62"/>
      <c r="C193" s="79"/>
      <c r="D193" s="61"/>
      <c r="E193" s="64"/>
      <c r="F193" s="62"/>
      <c r="G193" s="62"/>
      <c r="H193" s="62"/>
      <c r="I193" s="62"/>
      <c r="J193" s="62"/>
      <c r="K193" s="65"/>
      <c r="L193" s="65"/>
      <c r="M193" s="62"/>
      <c r="N193" s="11"/>
      <c r="O193" s="66"/>
      <c r="P193" s="62"/>
      <c r="Q193" s="62"/>
      <c r="R193" s="62"/>
      <c r="S193" s="94"/>
      <c r="T193" s="62"/>
      <c r="U193" s="67"/>
    </row>
    <row r="194" s="58" customFormat="1" customHeight="1" spans="1:21">
      <c r="A194" s="61"/>
      <c r="B194" s="62"/>
      <c r="C194" s="79"/>
      <c r="D194" s="61"/>
      <c r="E194" s="64"/>
      <c r="F194" s="62"/>
      <c r="G194" s="62"/>
      <c r="H194" s="62"/>
      <c r="I194" s="62"/>
      <c r="J194" s="62"/>
      <c r="K194" s="65"/>
      <c r="L194" s="65"/>
      <c r="M194" s="62"/>
      <c r="N194" s="11"/>
      <c r="O194" s="66"/>
      <c r="P194" s="62"/>
      <c r="Q194" s="62"/>
      <c r="R194" s="62"/>
      <c r="S194" s="62"/>
      <c r="T194" s="62"/>
      <c r="U194" s="67"/>
    </row>
    <row r="195" s="58" customFormat="1" customHeight="1" spans="1:21">
      <c r="A195" s="61"/>
      <c r="B195" s="62"/>
      <c r="C195" s="79"/>
      <c r="D195" s="61"/>
      <c r="E195" s="64"/>
      <c r="F195" s="62"/>
      <c r="G195" s="62"/>
      <c r="H195" s="62"/>
      <c r="I195" s="62"/>
      <c r="J195" s="62"/>
      <c r="K195" s="65"/>
      <c r="L195" s="65"/>
      <c r="M195" s="62"/>
      <c r="N195" s="11"/>
      <c r="O195" s="66"/>
      <c r="P195" s="62"/>
      <c r="Q195" s="62"/>
      <c r="R195" s="62"/>
      <c r="S195" s="62"/>
      <c r="T195" s="62"/>
      <c r="U195" s="67"/>
    </row>
    <row r="196" s="58" customFormat="1" customHeight="1" spans="1:21">
      <c r="A196" s="61"/>
      <c r="B196" s="62"/>
      <c r="C196" s="79"/>
      <c r="D196" s="61"/>
      <c r="E196" s="64"/>
      <c r="F196" s="62"/>
      <c r="G196" s="62"/>
      <c r="H196" s="62"/>
      <c r="I196" s="62"/>
      <c r="J196" s="62"/>
      <c r="K196" s="65"/>
      <c r="L196" s="65"/>
      <c r="M196" s="62"/>
      <c r="N196" s="11"/>
      <c r="O196" s="66"/>
      <c r="P196" s="62"/>
      <c r="Q196" s="62"/>
      <c r="R196" s="62"/>
      <c r="S196" s="62"/>
      <c r="T196" s="62"/>
      <c r="U196" s="67"/>
    </row>
    <row r="197" s="58" customFormat="1" customHeight="1" spans="1:21">
      <c r="A197" s="61"/>
      <c r="B197" s="62"/>
      <c r="C197" s="79"/>
      <c r="D197" s="61"/>
      <c r="E197" s="64"/>
      <c r="F197" s="62"/>
      <c r="G197" s="62"/>
      <c r="H197" s="62"/>
      <c r="I197" s="62"/>
      <c r="J197" s="62"/>
      <c r="K197" s="65"/>
      <c r="L197" s="65"/>
      <c r="M197" s="62"/>
      <c r="N197" s="11"/>
      <c r="O197" s="66"/>
      <c r="P197" s="62"/>
      <c r="Q197" s="62"/>
      <c r="R197" s="62"/>
      <c r="S197" s="62"/>
      <c r="T197" s="62"/>
      <c r="U197" s="67"/>
    </row>
    <row r="198" s="58" customFormat="1" customHeight="1" spans="1:21">
      <c r="A198" s="61"/>
      <c r="B198" s="62"/>
      <c r="C198" s="79"/>
      <c r="D198" s="61"/>
      <c r="E198" s="64"/>
      <c r="F198" s="62"/>
      <c r="G198" s="62"/>
      <c r="H198" s="62"/>
      <c r="I198" s="62"/>
      <c r="J198" s="62"/>
      <c r="K198" s="65"/>
      <c r="L198" s="65"/>
      <c r="M198" s="62"/>
      <c r="N198" s="11"/>
      <c r="O198" s="66"/>
      <c r="P198" s="62"/>
      <c r="Q198" s="62"/>
      <c r="R198" s="62"/>
      <c r="S198" s="62"/>
      <c r="T198" s="62"/>
      <c r="U198" s="67"/>
    </row>
    <row r="199" s="58" customFormat="1" customHeight="1" spans="1:21">
      <c r="A199" s="61"/>
      <c r="B199" s="62"/>
      <c r="C199" s="79"/>
      <c r="D199" s="61"/>
      <c r="E199" s="64"/>
      <c r="F199" s="62"/>
      <c r="G199" s="62"/>
      <c r="H199" s="62"/>
      <c r="I199" s="62"/>
      <c r="J199" s="62"/>
      <c r="K199" s="65"/>
      <c r="L199" s="65"/>
      <c r="M199" s="62"/>
      <c r="N199" s="11"/>
      <c r="O199" s="66"/>
      <c r="P199" s="62"/>
      <c r="Q199" s="62"/>
      <c r="R199" s="62"/>
      <c r="S199" s="62"/>
      <c r="T199" s="62"/>
      <c r="U199" s="67"/>
    </row>
    <row r="200" s="58" customFormat="1" customHeight="1" spans="1:21">
      <c r="A200" s="61"/>
      <c r="B200" s="62"/>
      <c r="C200" s="79"/>
      <c r="D200" s="61"/>
      <c r="E200" s="64"/>
      <c r="F200" s="62"/>
      <c r="G200" s="62"/>
      <c r="H200" s="62"/>
      <c r="I200" s="62"/>
      <c r="J200" s="62"/>
      <c r="K200" s="65"/>
      <c r="L200" s="65"/>
      <c r="M200" s="62"/>
      <c r="N200" s="11"/>
      <c r="O200" s="66"/>
      <c r="P200" s="62"/>
      <c r="Q200" s="62"/>
      <c r="R200" s="62"/>
      <c r="S200" s="62"/>
      <c r="T200" s="62"/>
      <c r="U200" s="67"/>
    </row>
    <row r="201" s="58" customFormat="1" customHeight="1" spans="1:21">
      <c r="A201" s="61"/>
      <c r="B201" s="62"/>
      <c r="C201" s="79"/>
      <c r="D201" s="61"/>
      <c r="E201" s="64"/>
      <c r="F201" s="62"/>
      <c r="G201" s="62"/>
      <c r="H201" s="62"/>
      <c r="I201" s="62"/>
      <c r="J201" s="62"/>
      <c r="K201" s="65"/>
      <c r="L201" s="65"/>
      <c r="M201" s="62"/>
      <c r="N201" s="11"/>
      <c r="O201" s="66"/>
      <c r="P201" s="62"/>
      <c r="Q201" s="62"/>
      <c r="R201" s="62"/>
      <c r="S201" s="62"/>
      <c r="T201" s="62"/>
      <c r="U201" s="67"/>
    </row>
    <row r="202" s="58" customFormat="1" customHeight="1" spans="1:21">
      <c r="A202" s="61"/>
      <c r="B202" s="62"/>
      <c r="C202" s="79"/>
      <c r="D202" s="61"/>
      <c r="E202" s="64"/>
      <c r="F202" s="62"/>
      <c r="G202" s="62"/>
      <c r="H202" s="62"/>
      <c r="I202" s="62"/>
      <c r="J202" s="62"/>
      <c r="K202" s="65"/>
      <c r="L202" s="65"/>
      <c r="M202" s="62"/>
      <c r="N202" s="11"/>
      <c r="O202" s="66"/>
      <c r="P202" s="62"/>
      <c r="Q202" s="62"/>
      <c r="R202" s="62"/>
      <c r="S202" s="62"/>
      <c r="T202" s="62"/>
      <c r="U202" s="67"/>
    </row>
    <row r="203" s="58" customFormat="1" customHeight="1" spans="1:21">
      <c r="A203" s="61"/>
      <c r="B203" s="62"/>
      <c r="C203" s="79"/>
      <c r="D203" s="61"/>
      <c r="E203" s="141"/>
      <c r="F203" s="62"/>
      <c r="G203" s="62"/>
      <c r="H203" s="62"/>
      <c r="I203" s="62"/>
      <c r="J203" s="62"/>
      <c r="K203" s="65"/>
      <c r="L203" s="65"/>
      <c r="M203" s="62"/>
      <c r="N203" s="11"/>
      <c r="O203" s="66"/>
      <c r="P203" s="62"/>
      <c r="Q203" s="62"/>
      <c r="R203" s="62"/>
      <c r="S203" s="62"/>
      <c r="T203" s="62"/>
      <c r="U203" s="67"/>
    </row>
    <row r="204" s="58" customFormat="1" customHeight="1" spans="1:21">
      <c r="A204" s="61"/>
      <c r="B204" s="62"/>
      <c r="C204" s="79"/>
      <c r="D204" s="61"/>
      <c r="E204" s="141"/>
      <c r="F204" s="62"/>
      <c r="G204" s="62"/>
      <c r="H204" s="62"/>
      <c r="I204" s="62"/>
      <c r="J204" s="62"/>
      <c r="K204" s="84"/>
      <c r="L204" s="65"/>
      <c r="M204" s="62"/>
      <c r="N204" s="11"/>
      <c r="O204" s="66"/>
      <c r="P204" s="62"/>
      <c r="Q204" s="62"/>
      <c r="R204" s="62"/>
      <c r="S204" s="62"/>
      <c r="T204" s="62"/>
      <c r="U204" s="67"/>
    </row>
    <row r="205" s="58" customFormat="1" customHeight="1" spans="1:21">
      <c r="A205" s="61"/>
      <c r="B205" s="62"/>
      <c r="C205" s="79"/>
      <c r="D205" s="61"/>
      <c r="E205" s="141"/>
      <c r="F205" s="62"/>
      <c r="G205" s="62"/>
      <c r="H205" s="62"/>
      <c r="I205" s="62"/>
      <c r="J205" s="62"/>
      <c r="K205" s="65"/>
      <c r="L205" s="65"/>
      <c r="M205" s="62"/>
      <c r="N205" s="11"/>
      <c r="O205" s="66"/>
      <c r="P205" s="62"/>
      <c r="Q205" s="62"/>
      <c r="R205" s="62"/>
      <c r="S205" s="62"/>
      <c r="T205" s="62"/>
      <c r="U205" s="67"/>
    </row>
    <row r="206" s="58" customFormat="1" customHeight="1" spans="1:21">
      <c r="A206" s="61"/>
      <c r="B206" s="62"/>
      <c r="C206" s="79"/>
      <c r="D206" s="61"/>
      <c r="E206" s="141"/>
      <c r="F206" s="62"/>
      <c r="G206" s="62"/>
      <c r="H206" s="62"/>
      <c r="I206" s="62"/>
      <c r="J206" s="62"/>
      <c r="K206" s="84"/>
      <c r="L206" s="65"/>
      <c r="M206" s="62"/>
      <c r="N206" s="11"/>
      <c r="O206" s="66"/>
      <c r="P206" s="62"/>
      <c r="Q206" s="62"/>
      <c r="R206" s="62"/>
      <c r="S206" s="62"/>
      <c r="T206" s="62"/>
      <c r="U206" s="67"/>
    </row>
    <row r="207" s="58" customFormat="1" customHeight="1" spans="1:21">
      <c r="A207" s="61"/>
      <c r="B207" s="62"/>
      <c r="C207" s="79"/>
      <c r="D207" s="61"/>
      <c r="E207" s="64"/>
      <c r="F207" s="62"/>
      <c r="G207" s="62"/>
      <c r="H207" s="62"/>
      <c r="I207" s="62"/>
      <c r="J207" s="62"/>
      <c r="K207" s="65"/>
      <c r="L207" s="65"/>
      <c r="M207" s="62"/>
      <c r="N207" s="11"/>
      <c r="O207" s="66"/>
      <c r="P207" s="62"/>
      <c r="Q207" s="62"/>
      <c r="R207" s="62"/>
      <c r="S207" s="62"/>
      <c r="T207" s="62"/>
      <c r="U207" s="67"/>
    </row>
    <row r="208" s="58" customFormat="1" customHeight="1" spans="1:21">
      <c r="A208" s="61"/>
      <c r="B208" s="62"/>
      <c r="C208" s="79"/>
      <c r="D208" s="61"/>
      <c r="E208" s="64"/>
      <c r="F208" s="62"/>
      <c r="G208" s="62"/>
      <c r="H208" s="62"/>
      <c r="I208" s="62"/>
      <c r="J208" s="62"/>
      <c r="K208" s="65"/>
      <c r="L208" s="65"/>
      <c r="M208" s="62"/>
      <c r="N208" s="11"/>
      <c r="O208" s="66"/>
      <c r="P208" s="62"/>
      <c r="Q208" s="62"/>
      <c r="R208" s="62"/>
      <c r="S208" s="62"/>
      <c r="T208" s="62"/>
      <c r="U208" s="67"/>
    </row>
    <row r="209" s="58" customFormat="1" customHeight="1" spans="1:21">
      <c r="A209" s="61"/>
      <c r="B209" s="62"/>
      <c r="C209" s="79"/>
      <c r="D209" s="61"/>
      <c r="E209" s="64"/>
      <c r="F209" s="62"/>
      <c r="G209" s="62"/>
      <c r="H209" s="62"/>
      <c r="I209" s="62"/>
      <c r="J209" s="62"/>
      <c r="K209" s="65"/>
      <c r="L209" s="65"/>
      <c r="M209" s="62"/>
      <c r="N209" s="11"/>
      <c r="O209" s="66"/>
      <c r="P209" s="62"/>
      <c r="Q209" s="62"/>
      <c r="R209" s="62"/>
      <c r="S209" s="62"/>
      <c r="T209" s="62"/>
      <c r="U209" s="67"/>
    </row>
    <row r="210" s="58" customFormat="1" customHeight="1" spans="1:21">
      <c r="A210" s="61"/>
      <c r="B210" s="62"/>
      <c r="C210" s="79"/>
      <c r="D210" s="61"/>
      <c r="E210" s="64"/>
      <c r="F210" s="62"/>
      <c r="G210" s="62"/>
      <c r="H210" s="62"/>
      <c r="I210" s="62"/>
      <c r="J210" s="62"/>
      <c r="K210" s="65"/>
      <c r="L210" s="65"/>
      <c r="M210" s="62"/>
      <c r="N210" s="11"/>
      <c r="O210" s="66"/>
      <c r="P210" s="62"/>
      <c r="Q210" s="62"/>
      <c r="R210" s="62"/>
      <c r="S210" s="62"/>
      <c r="T210" s="62"/>
      <c r="U210" s="67"/>
    </row>
    <row r="211" s="58" customFormat="1" customHeight="1" spans="1:21">
      <c r="A211" s="61"/>
      <c r="B211" s="62"/>
      <c r="C211" s="79"/>
      <c r="D211" s="61"/>
      <c r="E211" s="64"/>
      <c r="F211" s="62"/>
      <c r="G211" s="62"/>
      <c r="H211" s="62"/>
      <c r="I211" s="62"/>
      <c r="J211" s="62"/>
      <c r="K211" s="65"/>
      <c r="L211" s="65"/>
      <c r="M211" s="62"/>
      <c r="N211" s="11"/>
      <c r="O211" s="66"/>
      <c r="P211" s="62"/>
      <c r="Q211" s="62"/>
      <c r="R211" s="62"/>
      <c r="S211" s="62"/>
      <c r="T211" s="62"/>
      <c r="U211" s="67"/>
    </row>
    <row r="212" s="58" customFormat="1" customHeight="1" spans="1:21">
      <c r="A212" s="61"/>
      <c r="B212" s="62"/>
      <c r="C212" s="79"/>
      <c r="D212" s="61"/>
      <c r="E212" s="64"/>
      <c r="F212" s="62"/>
      <c r="G212" s="62"/>
      <c r="H212" s="62"/>
      <c r="I212" s="62"/>
      <c r="J212" s="62"/>
      <c r="K212" s="65"/>
      <c r="L212" s="65"/>
      <c r="M212" s="62"/>
      <c r="N212" s="11"/>
      <c r="O212" s="66"/>
      <c r="P212" s="62"/>
      <c r="Q212" s="62"/>
      <c r="R212" s="62"/>
      <c r="S212" s="62"/>
      <c r="T212" s="62"/>
      <c r="U212" s="67"/>
    </row>
    <row r="213" s="58" customFormat="1" customHeight="1" spans="1:21">
      <c r="A213" s="61"/>
      <c r="B213" s="62"/>
      <c r="C213" s="79"/>
      <c r="D213" s="61"/>
      <c r="E213" s="64"/>
      <c r="F213" s="62"/>
      <c r="G213" s="62"/>
      <c r="H213" s="62"/>
      <c r="I213" s="62"/>
      <c r="J213" s="62"/>
      <c r="K213" s="65"/>
      <c r="L213" s="65"/>
      <c r="M213" s="62"/>
      <c r="N213" s="11"/>
      <c r="O213" s="66"/>
      <c r="P213" s="62"/>
      <c r="Q213" s="62"/>
      <c r="R213" s="62"/>
      <c r="S213" s="62"/>
      <c r="T213" s="62"/>
      <c r="U213" s="67"/>
    </row>
    <row r="214" s="58" customFormat="1" customHeight="1" spans="1:21">
      <c r="A214" s="61"/>
      <c r="B214" s="62"/>
      <c r="C214" s="79"/>
      <c r="D214" s="61"/>
      <c r="E214" s="64"/>
      <c r="F214" s="62"/>
      <c r="G214" s="62"/>
      <c r="H214" s="62"/>
      <c r="I214" s="62"/>
      <c r="J214" s="62"/>
      <c r="K214" s="65"/>
      <c r="L214" s="65"/>
      <c r="M214" s="62"/>
      <c r="N214" s="11"/>
      <c r="O214" s="66"/>
      <c r="P214" s="62"/>
      <c r="Q214" s="62"/>
      <c r="R214" s="62"/>
      <c r="S214" s="62"/>
      <c r="T214" s="62"/>
      <c r="U214" s="67"/>
    </row>
    <row r="215" s="58" customFormat="1" customHeight="1" spans="1:21">
      <c r="A215" s="61"/>
      <c r="B215" s="62"/>
      <c r="C215" s="79"/>
      <c r="D215" s="61"/>
      <c r="E215" s="64"/>
      <c r="F215" s="62"/>
      <c r="G215" s="62"/>
      <c r="H215" s="62"/>
      <c r="I215" s="62"/>
      <c r="J215" s="62"/>
      <c r="K215" s="65"/>
      <c r="L215" s="65"/>
      <c r="M215" s="62"/>
      <c r="N215" s="11"/>
      <c r="O215" s="66"/>
      <c r="P215" s="62"/>
      <c r="Q215" s="62"/>
      <c r="R215" s="62"/>
      <c r="S215" s="62"/>
      <c r="T215" s="62"/>
      <c r="U215" s="67"/>
    </row>
    <row r="216" s="58" customFormat="1" customHeight="1" spans="1:21">
      <c r="A216" s="61"/>
      <c r="B216" s="62"/>
      <c r="C216" s="79"/>
      <c r="D216" s="61"/>
      <c r="E216" s="64"/>
      <c r="F216" s="62"/>
      <c r="G216" s="62"/>
      <c r="H216" s="62"/>
      <c r="I216" s="62"/>
      <c r="J216" s="62"/>
      <c r="K216" s="65"/>
      <c r="L216" s="65"/>
      <c r="M216" s="62"/>
      <c r="N216" s="11"/>
      <c r="O216" s="66"/>
      <c r="P216" s="62"/>
      <c r="Q216" s="62"/>
      <c r="R216" s="62"/>
      <c r="S216" s="62"/>
      <c r="T216" s="62"/>
      <c r="U216" s="67"/>
    </row>
    <row r="217" s="58" customFormat="1" customHeight="1" spans="1:21">
      <c r="A217" s="61"/>
      <c r="B217" s="62"/>
      <c r="C217" s="79"/>
      <c r="D217" s="61"/>
      <c r="E217" s="64"/>
      <c r="F217" s="62"/>
      <c r="G217" s="62"/>
      <c r="H217" s="62"/>
      <c r="I217" s="62"/>
      <c r="J217" s="62"/>
      <c r="K217" s="65"/>
      <c r="L217" s="65"/>
      <c r="M217" s="62"/>
      <c r="N217" s="11"/>
      <c r="O217" s="66"/>
      <c r="P217" s="62"/>
      <c r="Q217" s="62"/>
      <c r="R217" s="62"/>
      <c r="S217" s="62"/>
      <c r="T217" s="62"/>
      <c r="U217" s="67"/>
    </row>
    <row r="218" s="58" customFormat="1" customHeight="1" spans="1:21">
      <c r="A218" s="61"/>
      <c r="B218" s="62"/>
      <c r="C218" s="79"/>
      <c r="D218" s="61"/>
      <c r="E218" s="64"/>
      <c r="F218" s="62"/>
      <c r="G218" s="62"/>
      <c r="H218" s="62"/>
      <c r="I218" s="62"/>
      <c r="J218" s="62"/>
      <c r="K218" s="65"/>
      <c r="L218" s="65"/>
      <c r="M218" s="62"/>
      <c r="N218" s="11"/>
      <c r="O218" s="66"/>
      <c r="P218" s="62"/>
      <c r="Q218" s="62"/>
      <c r="R218" s="62"/>
      <c r="S218" s="62"/>
      <c r="T218" s="62"/>
      <c r="U218" s="67"/>
    </row>
    <row r="219" s="58" customFormat="1" customHeight="1" spans="1:21">
      <c r="A219" s="61"/>
      <c r="B219" s="62"/>
      <c r="C219" s="79"/>
      <c r="D219" s="61"/>
      <c r="E219" s="64"/>
      <c r="F219" s="62"/>
      <c r="G219" s="62"/>
      <c r="H219" s="62"/>
      <c r="I219" s="62"/>
      <c r="J219" s="62"/>
      <c r="K219" s="65"/>
      <c r="L219" s="65"/>
      <c r="M219" s="62"/>
      <c r="N219" s="11"/>
      <c r="O219" s="66"/>
      <c r="P219" s="62"/>
      <c r="Q219" s="62"/>
      <c r="R219" s="62"/>
      <c r="S219" s="62"/>
      <c r="T219" s="62"/>
      <c r="U219" s="67"/>
    </row>
    <row r="220" s="58" customFormat="1" customHeight="1" spans="1:21">
      <c r="A220" s="61"/>
      <c r="B220" s="62"/>
      <c r="C220" s="79"/>
      <c r="D220" s="61"/>
      <c r="E220" s="64"/>
      <c r="F220" s="62"/>
      <c r="G220" s="62"/>
      <c r="H220" s="62"/>
      <c r="I220" s="62"/>
      <c r="J220" s="62"/>
      <c r="K220" s="65"/>
      <c r="L220" s="65"/>
      <c r="M220" s="62"/>
      <c r="N220" s="11"/>
      <c r="O220" s="66"/>
      <c r="P220" s="62"/>
      <c r="Q220" s="62"/>
      <c r="R220" s="62"/>
      <c r="S220" s="62"/>
      <c r="T220" s="62"/>
      <c r="U220" s="67"/>
    </row>
    <row r="221" s="58" customFormat="1" customHeight="1" spans="1:21">
      <c r="A221" s="61"/>
      <c r="B221" s="62"/>
      <c r="C221" s="79"/>
      <c r="D221" s="61"/>
      <c r="E221" s="64"/>
      <c r="F221" s="62"/>
      <c r="G221" s="62"/>
      <c r="H221" s="62"/>
      <c r="I221" s="62"/>
      <c r="J221" s="62"/>
      <c r="K221" s="65"/>
      <c r="L221" s="65"/>
      <c r="M221" s="62"/>
      <c r="N221" s="11"/>
      <c r="O221" s="66"/>
      <c r="P221" s="62"/>
      <c r="Q221" s="62"/>
      <c r="R221" s="62"/>
      <c r="S221" s="62"/>
      <c r="T221" s="62"/>
      <c r="U221" s="67"/>
    </row>
    <row r="222" s="58" customFormat="1" customHeight="1" spans="1:21">
      <c r="A222" s="61"/>
      <c r="B222" s="62"/>
      <c r="C222" s="79"/>
      <c r="D222" s="61"/>
      <c r="E222" s="64"/>
      <c r="F222" s="62"/>
      <c r="G222" s="62"/>
      <c r="H222" s="62"/>
      <c r="I222" s="62"/>
      <c r="J222" s="62"/>
      <c r="K222" s="65"/>
      <c r="L222" s="65"/>
      <c r="M222" s="62"/>
      <c r="N222" s="11"/>
      <c r="O222" s="66"/>
      <c r="P222" s="62"/>
      <c r="Q222" s="62"/>
      <c r="R222" s="62"/>
      <c r="S222" s="62"/>
      <c r="T222" s="62"/>
      <c r="U222" s="67"/>
    </row>
    <row r="223" s="58" customFormat="1" customHeight="1" spans="1:21">
      <c r="A223" s="61"/>
      <c r="B223" s="62"/>
      <c r="C223" s="79"/>
      <c r="D223" s="61"/>
      <c r="E223" s="64"/>
      <c r="F223" s="62"/>
      <c r="G223" s="62"/>
      <c r="H223" s="62"/>
      <c r="I223" s="62"/>
      <c r="J223" s="62"/>
      <c r="K223" s="65"/>
      <c r="L223" s="65"/>
      <c r="M223" s="62"/>
      <c r="N223" s="11"/>
      <c r="O223" s="66"/>
      <c r="P223" s="62"/>
      <c r="Q223" s="62"/>
      <c r="R223" s="62"/>
      <c r="S223" s="62"/>
      <c r="T223" s="62"/>
      <c r="U223" s="67"/>
    </row>
    <row r="224" s="58" customFormat="1" customHeight="1" spans="1:21">
      <c r="A224" s="61"/>
      <c r="B224" s="62"/>
      <c r="C224" s="79"/>
      <c r="D224" s="61"/>
      <c r="E224" s="64"/>
      <c r="F224" s="62"/>
      <c r="G224" s="62"/>
      <c r="H224" s="62"/>
      <c r="I224" s="62"/>
      <c r="J224" s="62"/>
      <c r="K224" s="65"/>
      <c r="L224" s="65"/>
      <c r="M224" s="62"/>
      <c r="N224" s="11"/>
      <c r="O224" s="66"/>
      <c r="P224" s="62"/>
      <c r="Q224" s="62"/>
      <c r="R224" s="62"/>
      <c r="S224" s="62"/>
      <c r="T224" s="62"/>
      <c r="U224" s="67"/>
    </row>
    <row r="225" s="58" customFormat="1" customHeight="1" spans="1:21">
      <c r="A225" s="61"/>
      <c r="B225" s="62"/>
      <c r="C225" s="79"/>
      <c r="D225" s="61"/>
      <c r="E225" s="64"/>
      <c r="F225" s="62"/>
      <c r="G225" s="62"/>
      <c r="H225" s="62"/>
      <c r="I225" s="62"/>
      <c r="J225" s="62"/>
      <c r="K225" s="65"/>
      <c r="L225" s="65"/>
      <c r="M225" s="62"/>
      <c r="N225" s="11"/>
      <c r="O225" s="66"/>
      <c r="P225" s="62"/>
      <c r="Q225" s="62"/>
      <c r="R225" s="62"/>
      <c r="S225" s="62"/>
      <c r="T225" s="62"/>
      <c r="U225" s="67"/>
    </row>
    <row r="226" s="58" customFormat="1" customHeight="1" spans="1:21">
      <c r="A226" s="61"/>
      <c r="B226" s="62"/>
      <c r="C226" s="79"/>
      <c r="D226" s="61"/>
      <c r="E226" s="64"/>
      <c r="F226" s="62"/>
      <c r="G226" s="62"/>
      <c r="H226" s="62"/>
      <c r="I226" s="62"/>
      <c r="J226" s="62"/>
      <c r="K226" s="65"/>
      <c r="L226" s="65"/>
      <c r="M226" s="62"/>
      <c r="N226" s="11"/>
      <c r="O226" s="66"/>
      <c r="P226" s="62"/>
      <c r="Q226" s="62"/>
      <c r="R226" s="62"/>
      <c r="S226" s="62"/>
      <c r="T226" s="62"/>
      <c r="U226" s="67"/>
    </row>
    <row r="227" s="58" customFormat="1" spans="1:21">
      <c r="A227" s="61"/>
      <c r="B227" s="62"/>
      <c r="C227" s="79"/>
      <c r="D227" s="61"/>
      <c r="E227" s="150"/>
      <c r="F227" s="62"/>
      <c r="G227" s="62"/>
      <c r="H227" s="62"/>
      <c r="I227" s="62"/>
      <c r="J227" s="62"/>
      <c r="K227" s="65"/>
      <c r="L227" s="65"/>
      <c r="M227" s="62"/>
      <c r="N227" s="11"/>
      <c r="O227" s="66"/>
      <c r="P227" s="62"/>
      <c r="Q227" s="62"/>
      <c r="R227" s="65"/>
      <c r="S227" s="92"/>
      <c r="T227" s="62"/>
      <c r="U227" s="67"/>
    </row>
    <row r="228" s="58" customFormat="1" spans="1:21">
      <c r="A228" s="61"/>
      <c r="B228" s="62"/>
      <c r="C228" s="79"/>
      <c r="D228" s="61"/>
      <c r="E228" s="150"/>
      <c r="F228" s="62"/>
      <c r="G228" s="62"/>
      <c r="H228" s="62"/>
      <c r="I228" s="62"/>
      <c r="J228" s="62"/>
      <c r="K228" s="65"/>
      <c r="L228" s="65"/>
      <c r="M228" s="62"/>
      <c r="N228" s="11"/>
      <c r="O228" s="66"/>
      <c r="P228" s="62"/>
      <c r="Q228" s="62"/>
      <c r="R228" s="65"/>
      <c r="S228" s="62"/>
      <c r="T228" s="62"/>
      <c r="U228" s="67"/>
    </row>
    <row r="229" s="58" customFormat="1" spans="1:21">
      <c r="A229" s="61"/>
      <c r="B229" s="62"/>
      <c r="C229" s="79"/>
      <c r="D229" s="61"/>
      <c r="E229" s="150"/>
      <c r="F229" s="62"/>
      <c r="G229" s="62"/>
      <c r="H229" s="62"/>
      <c r="I229" s="62"/>
      <c r="J229" s="62"/>
      <c r="K229" s="65"/>
      <c r="L229" s="65"/>
      <c r="M229" s="62"/>
      <c r="N229" s="11"/>
      <c r="O229" s="66"/>
      <c r="P229" s="62"/>
      <c r="Q229" s="62"/>
      <c r="R229" s="65"/>
      <c r="S229" s="62"/>
      <c r="T229" s="62"/>
      <c r="U229" s="67"/>
    </row>
    <row r="230" s="58" customFormat="1" spans="1:21">
      <c r="A230" s="61"/>
      <c r="B230" s="62"/>
      <c r="C230" s="79"/>
      <c r="D230" s="61"/>
      <c r="E230" s="64"/>
      <c r="F230" s="62"/>
      <c r="G230" s="62"/>
      <c r="H230" s="62"/>
      <c r="I230" s="62"/>
      <c r="J230" s="62"/>
      <c r="K230" s="65"/>
      <c r="L230" s="65"/>
      <c r="M230" s="62"/>
      <c r="N230" s="11"/>
      <c r="O230" s="66"/>
      <c r="P230" s="62"/>
      <c r="Q230" s="62"/>
      <c r="R230" s="62"/>
      <c r="S230" s="62"/>
      <c r="T230" s="62"/>
      <c r="U230" s="67"/>
    </row>
    <row r="231" s="58" customFormat="1" spans="1:21">
      <c r="A231" s="61"/>
      <c r="B231" s="62"/>
      <c r="C231" s="79"/>
      <c r="D231" s="61"/>
      <c r="E231" s="64"/>
      <c r="F231" s="62"/>
      <c r="G231" s="62"/>
      <c r="H231" s="62"/>
      <c r="I231" s="62"/>
      <c r="J231" s="62"/>
      <c r="K231" s="65"/>
      <c r="L231" s="65"/>
      <c r="M231" s="62"/>
      <c r="N231" s="11"/>
      <c r="O231" s="66"/>
      <c r="P231" s="62"/>
      <c r="Q231" s="62"/>
      <c r="R231" s="62"/>
      <c r="S231" s="62"/>
      <c r="T231" s="62"/>
      <c r="U231" s="67"/>
    </row>
    <row r="232" s="58" customFormat="1" spans="1:21">
      <c r="A232" s="61"/>
      <c r="B232" s="62"/>
      <c r="C232" s="79"/>
      <c r="D232" s="61"/>
      <c r="E232" s="150"/>
      <c r="F232" s="62"/>
      <c r="G232" s="62"/>
      <c r="H232" s="62"/>
      <c r="I232" s="62"/>
      <c r="J232" s="62"/>
      <c r="K232" s="65"/>
      <c r="L232" s="65"/>
      <c r="M232" s="62"/>
      <c r="N232" s="11"/>
      <c r="O232" s="66"/>
      <c r="P232" s="62"/>
      <c r="Q232" s="62"/>
      <c r="R232" s="62"/>
      <c r="S232" s="62"/>
      <c r="T232" s="62"/>
      <c r="U232" s="67"/>
    </row>
    <row r="233" s="58" customFormat="1" spans="1:21">
      <c r="A233" s="61"/>
      <c r="B233" s="62"/>
      <c r="C233" s="79"/>
      <c r="D233" s="61"/>
      <c r="E233" s="150"/>
      <c r="F233" s="62"/>
      <c r="G233" s="62"/>
      <c r="H233" s="62"/>
      <c r="I233" s="62"/>
      <c r="J233" s="62"/>
      <c r="K233" s="65"/>
      <c r="L233" s="65"/>
      <c r="M233" s="62"/>
      <c r="N233" s="11"/>
      <c r="O233" s="66"/>
      <c r="P233" s="62"/>
      <c r="Q233" s="62"/>
      <c r="R233" s="62"/>
      <c r="S233" s="62"/>
      <c r="T233" s="62"/>
      <c r="U233" s="67"/>
    </row>
    <row r="234" s="58" customFormat="1" spans="1:21">
      <c r="A234" s="61"/>
      <c r="B234" s="62"/>
      <c r="C234" s="79"/>
      <c r="D234" s="61"/>
      <c r="E234" s="150"/>
      <c r="F234" s="62"/>
      <c r="G234" s="62"/>
      <c r="H234" s="62"/>
      <c r="I234" s="62"/>
      <c r="J234" s="62"/>
      <c r="K234" s="65"/>
      <c r="L234" s="65"/>
      <c r="M234" s="62"/>
      <c r="N234" s="11"/>
      <c r="O234" s="66"/>
      <c r="P234" s="62"/>
      <c r="Q234" s="62"/>
      <c r="R234" s="62"/>
      <c r="S234" s="62"/>
      <c r="T234" s="62"/>
      <c r="U234" s="67"/>
    </row>
    <row r="235" s="58" customFormat="1" spans="1:21">
      <c r="A235" s="61"/>
      <c r="B235" s="62"/>
      <c r="C235" s="79"/>
      <c r="D235" s="61"/>
      <c r="E235" s="150"/>
      <c r="F235" s="62"/>
      <c r="G235" s="62"/>
      <c r="H235" s="62"/>
      <c r="I235" s="62"/>
      <c r="J235" s="62"/>
      <c r="K235" s="65"/>
      <c r="L235" s="65"/>
      <c r="M235" s="62"/>
      <c r="N235" s="11"/>
      <c r="O235" s="66"/>
      <c r="P235" s="62"/>
      <c r="Q235" s="62"/>
      <c r="R235" s="62"/>
      <c r="S235" s="62"/>
      <c r="T235" s="62"/>
      <c r="U235" s="67"/>
    </row>
    <row r="236" s="58" customFormat="1" spans="1:21">
      <c r="A236" s="61"/>
      <c r="B236" s="62"/>
      <c r="C236" s="79"/>
      <c r="D236" s="61"/>
      <c r="E236" s="64"/>
      <c r="F236" s="62"/>
      <c r="G236" s="62"/>
      <c r="H236" s="62"/>
      <c r="I236" s="62"/>
      <c r="J236" s="62"/>
      <c r="K236" s="61"/>
      <c r="L236" s="65"/>
      <c r="M236" s="62"/>
      <c r="N236" s="11"/>
      <c r="O236" s="66"/>
      <c r="P236" s="62"/>
      <c r="Q236" s="62"/>
      <c r="R236" s="62"/>
      <c r="S236" s="62"/>
      <c r="T236" s="62"/>
      <c r="U236" s="67"/>
    </row>
    <row r="237" s="58" customFormat="1" spans="1:21">
      <c r="A237" s="61"/>
      <c r="B237" s="62"/>
      <c r="C237" s="79"/>
      <c r="D237" s="61"/>
      <c r="E237" s="64"/>
      <c r="F237" s="62"/>
      <c r="G237" s="62"/>
      <c r="H237" s="62"/>
      <c r="I237" s="62"/>
      <c r="J237" s="62"/>
      <c r="K237" s="61"/>
      <c r="L237" s="65"/>
      <c r="M237" s="62"/>
      <c r="N237" s="11"/>
      <c r="O237" s="66"/>
      <c r="P237" s="62"/>
      <c r="Q237" s="62"/>
      <c r="R237" s="62"/>
      <c r="S237" s="62"/>
      <c r="T237" s="62"/>
      <c r="U237" s="67"/>
    </row>
    <row r="238" s="58" customFormat="1" spans="1:21">
      <c r="A238" s="61"/>
      <c r="B238" s="62"/>
      <c r="C238" s="79"/>
      <c r="D238" s="61"/>
      <c r="E238" s="64"/>
      <c r="F238" s="62"/>
      <c r="G238" s="62"/>
      <c r="H238" s="62"/>
      <c r="I238" s="62"/>
      <c r="J238" s="62"/>
      <c r="K238" s="61"/>
      <c r="L238" s="65"/>
      <c r="M238" s="62"/>
      <c r="N238" s="11"/>
      <c r="O238" s="66"/>
      <c r="P238" s="62"/>
      <c r="Q238" s="62"/>
      <c r="R238" s="62"/>
      <c r="S238" s="62"/>
      <c r="T238" s="62"/>
      <c r="U238" s="67"/>
    </row>
    <row r="239" s="58" customFormat="1" spans="1:21">
      <c r="A239" s="61"/>
      <c r="B239" s="62"/>
      <c r="C239" s="79"/>
      <c r="D239" s="61"/>
      <c r="E239" s="64"/>
      <c r="F239" s="62"/>
      <c r="G239" s="62"/>
      <c r="H239" s="62"/>
      <c r="I239" s="62"/>
      <c r="J239" s="62"/>
      <c r="K239" s="61"/>
      <c r="L239" s="65"/>
      <c r="M239" s="62"/>
      <c r="N239" s="11"/>
      <c r="O239" s="66"/>
      <c r="P239" s="62"/>
      <c r="Q239" s="62"/>
      <c r="R239" s="62"/>
      <c r="S239" s="62"/>
      <c r="T239" s="62"/>
      <c r="U239" s="67"/>
    </row>
    <row r="240" s="58" customFormat="1" spans="1:21">
      <c r="A240" s="61"/>
      <c r="B240" s="62"/>
      <c r="C240" s="79"/>
      <c r="D240" s="61"/>
      <c r="E240" s="64"/>
      <c r="F240" s="62"/>
      <c r="G240" s="62"/>
      <c r="H240" s="62"/>
      <c r="I240" s="62"/>
      <c r="J240" s="62"/>
      <c r="K240" s="61"/>
      <c r="L240" s="65"/>
      <c r="M240" s="62"/>
      <c r="N240" s="11"/>
      <c r="O240" s="66"/>
      <c r="P240" s="62"/>
      <c r="Q240" s="62"/>
      <c r="R240" s="62"/>
      <c r="S240" s="62"/>
      <c r="T240" s="62"/>
      <c r="U240" s="67"/>
    </row>
    <row r="241" s="58" customFormat="1" spans="1:21">
      <c r="A241" s="61"/>
      <c r="B241" s="62"/>
      <c r="C241" s="79"/>
      <c r="D241" s="61"/>
      <c r="E241" s="141"/>
      <c r="F241" s="62"/>
      <c r="G241" s="62"/>
      <c r="H241" s="62"/>
      <c r="I241" s="62"/>
      <c r="J241" s="62"/>
      <c r="K241" s="159"/>
      <c r="L241" s="65"/>
      <c r="M241" s="62"/>
      <c r="N241" s="11"/>
      <c r="O241" s="66"/>
      <c r="P241" s="62"/>
      <c r="Q241" s="62"/>
      <c r="R241" s="62"/>
      <c r="S241" s="62"/>
      <c r="T241" s="62"/>
      <c r="U241" s="67"/>
    </row>
    <row r="242" s="58" customFormat="1" spans="1:21">
      <c r="A242" s="61"/>
      <c r="B242" s="62"/>
      <c r="C242" s="79"/>
      <c r="D242" s="61"/>
      <c r="E242" s="141"/>
      <c r="F242" s="62"/>
      <c r="G242" s="62"/>
      <c r="H242" s="62"/>
      <c r="I242" s="62"/>
      <c r="J242" s="62"/>
      <c r="K242" s="159"/>
      <c r="L242" s="65"/>
      <c r="M242" s="62"/>
      <c r="N242" s="11"/>
      <c r="O242" s="66"/>
      <c r="P242" s="62"/>
      <c r="Q242" s="62"/>
      <c r="R242" s="62"/>
      <c r="S242" s="62"/>
      <c r="T242" s="62"/>
      <c r="U242" s="67"/>
    </row>
    <row r="243" s="58" customFormat="1" spans="1:21">
      <c r="A243" s="61"/>
      <c r="B243" s="62"/>
      <c r="C243" s="79"/>
      <c r="D243" s="61"/>
      <c r="E243" s="141"/>
      <c r="F243" s="62"/>
      <c r="G243" s="62"/>
      <c r="H243" s="62"/>
      <c r="I243" s="62"/>
      <c r="J243" s="62"/>
      <c r="K243" s="159"/>
      <c r="L243" s="65"/>
      <c r="M243" s="62"/>
      <c r="N243" s="11"/>
      <c r="O243" s="66"/>
      <c r="P243" s="62"/>
      <c r="Q243" s="62"/>
      <c r="R243" s="62"/>
      <c r="S243" s="62"/>
      <c r="T243" s="62"/>
      <c r="U243" s="67"/>
    </row>
    <row r="244" s="58" customFormat="1" spans="1:21">
      <c r="A244" s="61"/>
      <c r="B244" s="62"/>
      <c r="C244" s="79"/>
      <c r="D244" s="61"/>
      <c r="E244" s="64"/>
      <c r="F244" s="62"/>
      <c r="G244" s="62"/>
      <c r="H244" s="62"/>
      <c r="I244" s="62"/>
      <c r="J244" s="62"/>
      <c r="K244" s="61"/>
      <c r="L244" s="65"/>
      <c r="M244" s="62"/>
      <c r="N244" s="11"/>
      <c r="O244" s="66"/>
      <c r="P244" s="62"/>
      <c r="Q244" s="62"/>
      <c r="R244" s="62"/>
      <c r="S244" s="62"/>
      <c r="T244" s="62"/>
      <c r="U244" s="67"/>
    </row>
    <row r="245" s="58" customFormat="1" spans="1:21">
      <c r="A245" s="61"/>
      <c r="B245" s="62"/>
      <c r="C245" s="79"/>
      <c r="D245" s="61"/>
      <c r="E245" s="64"/>
      <c r="F245" s="62"/>
      <c r="G245" s="62"/>
      <c r="H245" s="62"/>
      <c r="I245" s="62"/>
      <c r="J245" s="62"/>
      <c r="K245" s="61"/>
      <c r="L245" s="65"/>
      <c r="M245" s="62"/>
      <c r="N245" s="11"/>
      <c r="O245" s="66"/>
      <c r="P245" s="62"/>
      <c r="Q245" s="62"/>
      <c r="R245" s="62"/>
      <c r="S245" s="62"/>
      <c r="T245" s="62"/>
      <c r="U245" s="67"/>
    </row>
    <row r="246" s="58" customFormat="1" spans="1:21">
      <c r="A246" s="61"/>
      <c r="B246" s="62"/>
      <c r="C246" s="79"/>
      <c r="D246" s="61"/>
      <c r="E246" s="64"/>
      <c r="F246" s="62"/>
      <c r="G246" s="62"/>
      <c r="H246" s="62"/>
      <c r="I246" s="62"/>
      <c r="J246" s="62"/>
      <c r="K246" s="61"/>
      <c r="L246" s="65"/>
      <c r="M246" s="62"/>
      <c r="N246" s="11"/>
      <c r="O246" s="66"/>
      <c r="P246" s="62"/>
      <c r="Q246" s="62"/>
      <c r="R246" s="62"/>
      <c r="S246" s="62"/>
      <c r="T246" s="62"/>
      <c r="U246" s="67"/>
    </row>
    <row r="247" s="58" customFormat="1" spans="1:21">
      <c r="A247" s="61"/>
      <c r="B247" s="62"/>
      <c r="C247" s="79"/>
      <c r="D247" s="61"/>
      <c r="E247" s="64"/>
      <c r="F247" s="62"/>
      <c r="G247" s="62"/>
      <c r="H247" s="62"/>
      <c r="I247" s="62"/>
      <c r="J247" s="62"/>
      <c r="K247" s="61"/>
      <c r="L247" s="65"/>
      <c r="M247" s="62"/>
      <c r="N247" s="11"/>
      <c r="O247" s="66"/>
      <c r="P247" s="62"/>
      <c r="Q247" s="62"/>
      <c r="R247" s="62"/>
      <c r="S247" s="62"/>
      <c r="T247" s="62"/>
      <c r="U247" s="67"/>
    </row>
    <row r="248" s="58" customFormat="1" spans="1:21">
      <c r="A248" s="61"/>
      <c r="B248" s="62"/>
      <c r="C248" s="79"/>
      <c r="D248" s="61"/>
      <c r="E248" s="141"/>
      <c r="F248" s="62"/>
      <c r="G248" s="62"/>
      <c r="H248" s="62"/>
      <c r="I248" s="62"/>
      <c r="J248" s="62"/>
      <c r="K248" s="61"/>
      <c r="L248" s="65"/>
      <c r="M248" s="62"/>
      <c r="N248" s="11"/>
      <c r="O248" s="66"/>
      <c r="P248" s="62"/>
      <c r="Q248" s="62"/>
      <c r="R248" s="62"/>
      <c r="S248" s="62"/>
      <c r="T248" s="62"/>
      <c r="U248" s="67"/>
    </row>
    <row r="249" s="58" customFormat="1" spans="1:21">
      <c r="A249" s="61"/>
      <c r="B249" s="62"/>
      <c r="C249" s="79"/>
      <c r="D249" s="61"/>
      <c r="E249" s="141"/>
      <c r="F249" s="62"/>
      <c r="G249" s="62"/>
      <c r="H249" s="62"/>
      <c r="I249" s="62"/>
      <c r="J249" s="62"/>
      <c r="K249" s="61"/>
      <c r="L249" s="65"/>
      <c r="M249" s="62"/>
      <c r="N249" s="11"/>
      <c r="O249" s="66"/>
      <c r="P249" s="62"/>
      <c r="Q249" s="62"/>
      <c r="R249" s="62"/>
      <c r="S249" s="62"/>
      <c r="T249" s="62"/>
      <c r="U249" s="67"/>
    </row>
    <row r="250" s="58" customFormat="1" spans="1:21">
      <c r="A250" s="61"/>
      <c r="B250" s="62"/>
      <c r="C250" s="79"/>
      <c r="D250" s="61"/>
      <c r="E250" s="141"/>
      <c r="F250" s="62"/>
      <c r="G250" s="62"/>
      <c r="H250" s="62"/>
      <c r="I250" s="62"/>
      <c r="J250" s="62"/>
      <c r="K250" s="61"/>
      <c r="L250" s="65"/>
      <c r="M250" s="62"/>
      <c r="N250" s="11"/>
      <c r="O250" s="66"/>
      <c r="P250" s="62"/>
      <c r="Q250" s="62"/>
      <c r="R250" s="62"/>
      <c r="S250" s="62"/>
      <c r="T250" s="62"/>
      <c r="U250" s="67"/>
    </row>
    <row r="251" s="58" customFormat="1" spans="1:21">
      <c r="A251" s="61"/>
      <c r="B251" s="62"/>
      <c r="C251" s="79"/>
      <c r="D251" s="61"/>
      <c r="E251" s="141"/>
      <c r="F251" s="62"/>
      <c r="G251" s="62"/>
      <c r="H251" s="62"/>
      <c r="I251" s="62"/>
      <c r="J251" s="62"/>
      <c r="K251" s="61"/>
      <c r="L251" s="65"/>
      <c r="M251" s="62"/>
      <c r="N251" s="11"/>
      <c r="O251" s="66"/>
      <c r="P251" s="62"/>
      <c r="Q251" s="62"/>
      <c r="R251" s="62"/>
      <c r="S251" s="62"/>
      <c r="T251" s="62"/>
      <c r="U251" s="67"/>
    </row>
    <row r="252" s="58" customFormat="1" spans="1:21">
      <c r="A252" s="61"/>
      <c r="B252" s="62"/>
      <c r="C252" s="79"/>
      <c r="D252" s="61"/>
      <c r="E252" s="64"/>
      <c r="F252" s="62"/>
      <c r="G252" s="62"/>
      <c r="H252" s="62"/>
      <c r="I252" s="62"/>
      <c r="J252" s="62"/>
      <c r="K252" s="61"/>
      <c r="L252" s="65"/>
      <c r="M252" s="62"/>
      <c r="N252" s="11"/>
      <c r="O252" s="66"/>
      <c r="P252" s="62"/>
      <c r="Q252" s="62"/>
      <c r="R252" s="62"/>
      <c r="S252" s="62"/>
      <c r="T252" s="62"/>
      <c r="U252" s="67"/>
    </row>
    <row r="253" s="58" customFormat="1" spans="1:21">
      <c r="A253" s="61"/>
      <c r="B253" s="62"/>
      <c r="C253" s="79"/>
      <c r="D253" s="61"/>
      <c r="E253" s="64"/>
      <c r="F253" s="62"/>
      <c r="G253" s="62"/>
      <c r="H253" s="62"/>
      <c r="I253" s="62"/>
      <c r="J253" s="62"/>
      <c r="K253" s="61"/>
      <c r="L253" s="65"/>
      <c r="M253" s="62"/>
      <c r="N253" s="11"/>
      <c r="O253" s="66"/>
      <c r="P253" s="62"/>
      <c r="Q253" s="62"/>
      <c r="R253" s="62"/>
      <c r="S253" s="62"/>
      <c r="T253" s="62"/>
      <c r="U253" s="67"/>
    </row>
    <row r="254" s="58" customFormat="1" spans="1:21">
      <c r="A254" s="61"/>
      <c r="B254" s="62"/>
      <c r="C254" s="79"/>
      <c r="D254" s="61"/>
      <c r="E254" s="64"/>
      <c r="F254" s="62"/>
      <c r="G254" s="62"/>
      <c r="H254" s="62"/>
      <c r="I254" s="62"/>
      <c r="J254" s="62"/>
      <c r="K254" s="61"/>
      <c r="L254" s="65"/>
      <c r="M254" s="62"/>
      <c r="N254" s="11"/>
      <c r="O254" s="66"/>
      <c r="P254" s="62"/>
      <c r="Q254" s="62"/>
      <c r="R254" s="62"/>
      <c r="S254" s="62"/>
      <c r="T254" s="62"/>
      <c r="U254" s="67"/>
    </row>
    <row r="255" s="58" customFormat="1" spans="1:21">
      <c r="A255" s="61"/>
      <c r="B255" s="62"/>
      <c r="C255" s="79"/>
      <c r="D255" s="61"/>
      <c r="E255" s="64"/>
      <c r="F255" s="62"/>
      <c r="G255" s="62"/>
      <c r="H255" s="62"/>
      <c r="I255" s="62"/>
      <c r="J255" s="62"/>
      <c r="K255" s="61"/>
      <c r="L255" s="65"/>
      <c r="M255" s="62"/>
      <c r="N255" s="11"/>
      <c r="O255" s="66"/>
      <c r="P255" s="62"/>
      <c r="Q255" s="62"/>
      <c r="R255" s="62"/>
      <c r="S255" s="62"/>
      <c r="T255" s="62"/>
      <c r="U255" s="67"/>
    </row>
    <row r="256" s="58" customFormat="1" spans="1:21">
      <c r="A256" s="61"/>
      <c r="B256" s="62"/>
      <c r="C256" s="79"/>
      <c r="D256" s="61"/>
      <c r="E256" s="64"/>
      <c r="F256" s="62"/>
      <c r="G256" s="62"/>
      <c r="H256" s="62"/>
      <c r="I256" s="62"/>
      <c r="J256" s="62"/>
      <c r="K256" s="61"/>
      <c r="L256" s="65"/>
      <c r="M256" s="62"/>
      <c r="N256" s="11"/>
      <c r="O256" s="66"/>
      <c r="P256" s="62"/>
      <c r="Q256" s="62"/>
      <c r="R256" s="62"/>
      <c r="S256" s="62"/>
      <c r="T256" s="62"/>
      <c r="U256" s="67"/>
    </row>
    <row r="257" s="58" customFormat="1" spans="1:21">
      <c r="A257" s="61"/>
      <c r="B257" s="62"/>
      <c r="C257" s="79"/>
      <c r="D257" s="61"/>
      <c r="E257" s="64"/>
      <c r="F257" s="62"/>
      <c r="G257" s="62"/>
      <c r="H257" s="62"/>
      <c r="I257" s="62"/>
      <c r="J257" s="62"/>
      <c r="K257" s="61"/>
      <c r="L257" s="65"/>
      <c r="M257" s="62"/>
      <c r="N257" s="11"/>
      <c r="O257" s="66"/>
      <c r="P257" s="62"/>
      <c r="Q257" s="62"/>
      <c r="R257" s="62"/>
      <c r="S257" s="62"/>
      <c r="T257" s="62"/>
      <c r="U257" s="67"/>
    </row>
    <row r="258" s="58" customFormat="1" spans="1:21">
      <c r="A258" s="61"/>
      <c r="B258" s="62"/>
      <c r="C258" s="79"/>
      <c r="D258" s="61"/>
      <c r="E258" s="64"/>
      <c r="F258" s="62"/>
      <c r="G258" s="62"/>
      <c r="H258" s="62"/>
      <c r="I258" s="62"/>
      <c r="J258" s="62"/>
      <c r="K258" s="61"/>
      <c r="L258" s="65"/>
      <c r="M258" s="62"/>
      <c r="N258" s="11"/>
      <c r="O258" s="66"/>
      <c r="P258" s="62"/>
      <c r="Q258" s="62"/>
      <c r="R258" s="62"/>
      <c r="S258" s="62"/>
      <c r="T258" s="62"/>
      <c r="U258" s="67"/>
    </row>
    <row r="259" s="58" customFormat="1" spans="1:21">
      <c r="A259" s="61"/>
      <c r="B259" s="62"/>
      <c r="C259" s="79"/>
      <c r="D259" s="61"/>
      <c r="E259" s="64"/>
      <c r="F259" s="62"/>
      <c r="G259" s="62"/>
      <c r="H259" s="62"/>
      <c r="I259" s="62"/>
      <c r="J259" s="62"/>
      <c r="K259" s="61"/>
      <c r="L259" s="65"/>
      <c r="M259" s="62"/>
      <c r="N259" s="11"/>
      <c r="O259" s="66"/>
      <c r="P259" s="62"/>
      <c r="Q259" s="62"/>
      <c r="R259" s="62"/>
      <c r="S259" s="94"/>
      <c r="T259" s="62"/>
      <c r="U259" s="67"/>
    </row>
    <row r="260" s="58" customFormat="1" spans="1:21">
      <c r="A260" s="61"/>
      <c r="B260" s="62"/>
      <c r="C260" s="79"/>
      <c r="D260" s="61"/>
      <c r="E260" s="64"/>
      <c r="F260" s="62"/>
      <c r="G260" s="62"/>
      <c r="H260" s="62"/>
      <c r="I260" s="62"/>
      <c r="J260" s="62"/>
      <c r="K260" s="61"/>
      <c r="L260" s="65"/>
      <c r="M260" s="62"/>
      <c r="N260" s="11"/>
      <c r="O260" s="66"/>
      <c r="P260" s="62"/>
      <c r="Q260" s="62"/>
      <c r="R260" s="62"/>
      <c r="S260" s="92"/>
      <c r="T260" s="62"/>
      <c r="U260" s="67"/>
    </row>
    <row r="261" s="58" customFormat="1" spans="1:21">
      <c r="A261" s="61"/>
      <c r="B261" s="62"/>
      <c r="C261" s="79"/>
      <c r="D261" s="61"/>
      <c r="E261" s="64"/>
      <c r="F261" s="62"/>
      <c r="G261" s="62"/>
      <c r="H261" s="62"/>
      <c r="I261" s="62"/>
      <c r="J261" s="62"/>
      <c r="K261" s="61"/>
      <c r="L261" s="65"/>
      <c r="M261" s="62"/>
      <c r="N261" s="11"/>
      <c r="O261" s="66"/>
      <c r="P261" s="62"/>
      <c r="Q261" s="62"/>
      <c r="R261" s="62"/>
      <c r="S261" s="62"/>
      <c r="T261" s="62"/>
      <c r="U261" s="67"/>
    </row>
    <row r="262" s="58" customFormat="1" spans="1:21">
      <c r="A262" s="61"/>
      <c r="B262" s="62"/>
      <c r="C262" s="79"/>
      <c r="D262" s="61"/>
      <c r="E262" s="64"/>
      <c r="F262" s="62"/>
      <c r="G262" s="62"/>
      <c r="H262" s="62"/>
      <c r="I262" s="62"/>
      <c r="J262" s="62"/>
      <c r="K262" s="61"/>
      <c r="L262" s="65"/>
      <c r="M262" s="62"/>
      <c r="N262" s="11"/>
      <c r="O262" s="66"/>
      <c r="P262" s="62"/>
      <c r="Q262" s="62"/>
      <c r="R262" s="62"/>
      <c r="S262" s="62"/>
      <c r="T262" s="62"/>
      <c r="U262" s="67"/>
    </row>
    <row r="263" s="58" customFormat="1" spans="1:21">
      <c r="A263" s="61"/>
      <c r="B263" s="62"/>
      <c r="C263" s="79"/>
      <c r="D263" s="61"/>
      <c r="E263" s="64"/>
      <c r="F263" s="62"/>
      <c r="G263" s="62"/>
      <c r="H263" s="62"/>
      <c r="I263" s="62"/>
      <c r="J263" s="62"/>
      <c r="K263" s="61"/>
      <c r="L263" s="65"/>
      <c r="M263" s="62"/>
      <c r="N263" s="11"/>
      <c r="O263" s="66"/>
      <c r="P263" s="62"/>
      <c r="Q263" s="62"/>
      <c r="R263" s="62"/>
      <c r="S263" s="62"/>
      <c r="T263" s="62"/>
      <c r="U263" s="67"/>
    </row>
    <row r="264" s="58" customFormat="1" spans="1:21">
      <c r="A264" s="61"/>
      <c r="B264" s="62"/>
      <c r="C264" s="79"/>
      <c r="D264" s="61"/>
      <c r="E264" s="64"/>
      <c r="F264" s="62"/>
      <c r="G264" s="62"/>
      <c r="H264" s="62"/>
      <c r="I264" s="62"/>
      <c r="J264" s="62"/>
      <c r="K264" s="61"/>
      <c r="L264" s="65"/>
      <c r="M264" s="62"/>
      <c r="N264" s="11"/>
      <c r="O264" s="66"/>
      <c r="P264" s="62"/>
      <c r="Q264" s="62"/>
      <c r="R264" s="62"/>
      <c r="S264" s="62"/>
      <c r="T264" s="62"/>
      <c r="U264" s="67"/>
    </row>
    <row r="265" s="58" customFormat="1" spans="1:21">
      <c r="A265" s="61"/>
      <c r="B265" s="62"/>
      <c r="C265" s="79"/>
      <c r="D265" s="61"/>
      <c r="E265" s="64"/>
      <c r="F265" s="62"/>
      <c r="G265" s="62"/>
      <c r="H265" s="62"/>
      <c r="I265" s="62"/>
      <c r="J265" s="62"/>
      <c r="K265" s="61"/>
      <c r="L265" s="65"/>
      <c r="M265" s="62"/>
      <c r="N265" s="11"/>
      <c r="O265" s="66"/>
      <c r="P265" s="62"/>
      <c r="Q265" s="62"/>
      <c r="R265" s="62"/>
      <c r="S265" s="62"/>
      <c r="T265" s="62"/>
      <c r="U265" s="67"/>
    </row>
    <row r="266" s="58" customFormat="1" spans="1:21">
      <c r="A266" s="61"/>
      <c r="B266" s="62"/>
      <c r="C266" s="79"/>
      <c r="D266" s="61"/>
      <c r="E266" s="64"/>
      <c r="F266" s="62"/>
      <c r="G266" s="62"/>
      <c r="H266" s="62"/>
      <c r="I266" s="62"/>
      <c r="J266" s="62"/>
      <c r="K266" s="65"/>
      <c r="L266" s="65"/>
      <c r="M266" s="62"/>
      <c r="N266" s="11"/>
      <c r="O266" s="66"/>
      <c r="P266" s="62"/>
      <c r="Q266" s="62"/>
      <c r="R266" s="62"/>
      <c r="S266" s="62"/>
      <c r="T266" s="62"/>
      <c r="U266" s="67"/>
    </row>
    <row r="267" s="58" customFormat="1" spans="1:21">
      <c r="A267" s="61"/>
      <c r="B267" s="62"/>
      <c r="C267" s="79"/>
      <c r="D267" s="61"/>
      <c r="E267" s="64"/>
      <c r="F267" s="62"/>
      <c r="G267" s="62"/>
      <c r="H267" s="62"/>
      <c r="I267" s="62"/>
      <c r="J267" s="62"/>
      <c r="K267" s="65"/>
      <c r="L267" s="65"/>
      <c r="M267" s="62"/>
      <c r="N267" s="11"/>
      <c r="O267" s="66"/>
      <c r="P267" s="62"/>
      <c r="Q267" s="62"/>
      <c r="R267" s="62"/>
      <c r="S267" s="62"/>
      <c r="T267" s="62"/>
      <c r="U267" s="67"/>
    </row>
    <row r="268" s="58" customFormat="1" spans="1:21">
      <c r="A268" s="61"/>
      <c r="B268" s="62"/>
      <c r="C268" s="79"/>
      <c r="D268" s="61"/>
      <c r="E268" s="64"/>
      <c r="F268" s="62"/>
      <c r="G268" s="62"/>
      <c r="H268" s="62"/>
      <c r="I268" s="62"/>
      <c r="J268" s="62"/>
      <c r="K268" s="65"/>
      <c r="L268" s="65"/>
      <c r="M268" s="62"/>
      <c r="N268" s="11"/>
      <c r="O268" s="66"/>
      <c r="P268" s="62"/>
      <c r="Q268" s="62"/>
      <c r="R268" s="62"/>
      <c r="S268" s="62"/>
      <c r="T268" s="62"/>
      <c r="U268" s="67"/>
    </row>
    <row r="269" s="58" customFormat="1" spans="1:21">
      <c r="A269" s="61"/>
      <c r="B269" s="62"/>
      <c r="C269" s="79"/>
      <c r="D269" s="61"/>
      <c r="E269" s="64"/>
      <c r="F269" s="62"/>
      <c r="G269" s="62"/>
      <c r="H269" s="62"/>
      <c r="I269" s="62"/>
      <c r="J269" s="62"/>
      <c r="K269" s="65"/>
      <c r="L269" s="65"/>
      <c r="M269" s="62"/>
      <c r="N269" s="11"/>
      <c r="O269" s="66"/>
      <c r="P269" s="62"/>
      <c r="Q269" s="62"/>
      <c r="R269" s="62"/>
      <c r="S269" s="62"/>
      <c r="T269" s="62"/>
      <c r="U269" s="67"/>
    </row>
    <row r="270" s="58" customFormat="1" spans="1:21">
      <c r="A270" s="61"/>
      <c r="B270" s="62"/>
      <c r="C270" s="79"/>
      <c r="D270" s="61"/>
      <c r="E270" s="64"/>
      <c r="F270" s="62"/>
      <c r="G270" s="62"/>
      <c r="H270" s="62"/>
      <c r="I270" s="62"/>
      <c r="J270" s="62"/>
      <c r="K270" s="65"/>
      <c r="L270" s="65"/>
      <c r="M270" s="62"/>
      <c r="N270" s="11"/>
      <c r="O270" s="66"/>
      <c r="P270" s="62"/>
      <c r="Q270" s="62"/>
      <c r="R270" s="62"/>
      <c r="S270" s="62"/>
      <c r="T270" s="62"/>
      <c r="U270" s="67"/>
    </row>
    <row r="271" s="58" customFormat="1" spans="1:21">
      <c r="A271" s="61"/>
      <c r="B271" s="62"/>
      <c r="C271" s="79"/>
      <c r="D271" s="61"/>
      <c r="E271" s="141"/>
      <c r="F271" s="62"/>
      <c r="G271" s="62"/>
      <c r="H271" s="62"/>
      <c r="I271" s="62"/>
      <c r="J271" s="62"/>
      <c r="K271" s="65"/>
      <c r="L271" s="65"/>
      <c r="M271" s="62"/>
      <c r="N271" s="11"/>
      <c r="O271" s="66"/>
      <c r="P271" s="62"/>
      <c r="Q271" s="62"/>
      <c r="R271" s="62"/>
      <c r="S271" s="62"/>
      <c r="T271" s="62"/>
      <c r="U271" s="67"/>
    </row>
    <row r="272" s="58" customFormat="1" spans="1:21">
      <c r="A272" s="61"/>
      <c r="B272" s="62"/>
      <c r="C272" s="79"/>
      <c r="D272" s="61"/>
      <c r="E272" s="141"/>
      <c r="F272" s="62"/>
      <c r="G272" s="62"/>
      <c r="H272" s="62"/>
      <c r="I272" s="62"/>
      <c r="J272" s="62"/>
      <c r="K272" s="84"/>
      <c r="L272" s="65"/>
      <c r="M272" s="62"/>
      <c r="N272" s="11"/>
      <c r="O272" s="133"/>
      <c r="P272" s="62"/>
      <c r="Q272" s="62"/>
      <c r="R272" s="62"/>
      <c r="S272" s="62"/>
      <c r="T272" s="62"/>
      <c r="U272" s="67"/>
    </row>
    <row r="273" s="58" customFormat="1" spans="1:21">
      <c r="A273" s="61"/>
      <c r="B273" s="62"/>
      <c r="C273" s="79"/>
      <c r="D273" s="61"/>
      <c r="E273" s="141"/>
      <c r="F273" s="62"/>
      <c r="G273" s="62"/>
      <c r="H273" s="62"/>
      <c r="I273" s="62"/>
      <c r="J273" s="62"/>
      <c r="K273" s="84"/>
      <c r="L273" s="65"/>
      <c r="M273" s="62"/>
      <c r="N273" s="11"/>
      <c r="O273" s="133"/>
      <c r="P273" s="62"/>
      <c r="Q273" s="62"/>
      <c r="R273" s="62"/>
      <c r="S273" s="62"/>
      <c r="T273" s="62"/>
      <c r="U273" s="67"/>
    </row>
    <row r="274" s="58" customFormat="1" spans="1:21">
      <c r="A274" s="61"/>
      <c r="B274" s="62"/>
      <c r="C274" s="79"/>
      <c r="D274" s="61"/>
      <c r="E274" s="141"/>
      <c r="F274" s="62"/>
      <c r="G274" s="62"/>
      <c r="H274" s="62"/>
      <c r="I274" s="62"/>
      <c r="J274" s="62"/>
      <c r="K274" s="65"/>
      <c r="L274" s="65"/>
      <c r="M274" s="62"/>
      <c r="N274" s="11"/>
      <c r="O274" s="66"/>
      <c r="P274" s="62"/>
      <c r="Q274" s="62"/>
      <c r="R274" s="62"/>
      <c r="S274" s="62"/>
      <c r="T274" s="62"/>
      <c r="U274" s="67"/>
    </row>
    <row r="275" s="58" customFormat="1" spans="1:21">
      <c r="A275" s="61"/>
      <c r="B275" s="62"/>
      <c r="C275" s="79"/>
      <c r="D275" s="61"/>
      <c r="E275" s="141"/>
      <c r="F275" s="62"/>
      <c r="G275" s="62"/>
      <c r="H275" s="62"/>
      <c r="I275" s="62"/>
      <c r="J275" s="62"/>
      <c r="K275" s="84"/>
      <c r="L275" s="65"/>
      <c r="M275" s="62"/>
      <c r="N275" s="11"/>
      <c r="O275" s="133"/>
      <c r="P275" s="62"/>
      <c r="Q275" s="62"/>
      <c r="R275" s="62"/>
      <c r="S275" s="62"/>
      <c r="T275" s="62"/>
      <c r="U275" s="67"/>
    </row>
    <row r="276" s="58" customFormat="1" spans="1:21">
      <c r="A276" s="61"/>
      <c r="B276" s="62"/>
      <c r="C276" s="79"/>
      <c r="D276" s="61"/>
      <c r="E276" s="141"/>
      <c r="F276" s="62"/>
      <c r="G276" s="62"/>
      <c r="H276" s="62"/>
      <c r="I276" s="62"/>
      <c r="J276" s="62"/>
      <c r="K276" s="84"/>
      <c r="L276" s="65"/>
      <c r="M276" s="62"/>
      <c r="N276" s="11"/>
      <c r="O276" s="133"/>
      <c r="P276" s="62"/>
      <c r="Q276" s="62"/>
      <c r="R276" s="62"/>
      <c r="S276" s="62"/>
      <c r="T276" s="62"/>
      <c r="U276" s="67"/>
    </row>
    <row r="277" s="58" customFormat="1" spans="1:21">
      <c r="A277" s="61"/>
      <c r="B277" s="62"/>
      <c r="C277" s="79"/>
      <c r="D277" s="61"/>
      <c r="E277" s="141"/>
      <c r="F277" s="62"/>
      <c r="G277" s="62"/>
      <c r="H277" s="62"/>
      <c r="I277" s="62"/>
      <c r="J277" s="62"/>
      <c r="K277" s="84"/>
      <c r="L277" s="65"/>
      <c r="M277" s="62"/>
      <c r="N277" s="11"/>
      <c r="O277" s="133"/>
      <c r="P277" s="62"/>
      <c r="Q277" s="62"/>
      <c r="R277" s="62"/>
      <c r="S277" s="62"/>
      <c r="T277" s="62"/>
      <c r="U277" s="67"/>
    </row>
    <row r="278" s="58" customFormat="1" spans="1:21">
      <c r="A278" s="61"/>
      <c r="B278" s="62"/>
      <c r="C278" s="79"/>
      <c r="D278" s="61"/>
      <c r="E278" s="141"/>
      <c r="F278" s="62"/>
      <c r="G278" s="62"/>
      <c r="H278" s="62"/>
      <c r="I278" s="62"/>
      <c r="J278" s="62"/>
      <c r="K278" s="84"/>
      <c r="L278" s="65"/>
      <c r="M278" s="62"/>
      <c r="N278" s="11"/>
      <c r="O278" s="133"/>
      <c r="P278" s="62"/>
      <c r="Q278" s="62"/>
      <c r="R278" s="62"/>
      <c r="S278" s="62"/>
      <c r="T278" s="62"/>
      <c r="U278" s="67"/>
    </row>
    <row r="279" s="58" customFormat="1" spans="1:21">
      <c r="A279" s="61"/>
      <c r="B279" s="62"/>
      <c r="C279" s="79"/>
      <c r="D279" s="61"/>
      <c r="E279" s="64"/>
      <c r="F279" s="62"/>
      <c r="G279" s="62"/>
      <c r="H279" s="105"/>
      <c r="I279" s="62"/>
      <c r="J279" s="62"/>
      <c r="K279" s="65"/>
      <c r="L279" s="65"/>
      <c r="M279" s="62"/>
      <c r="N279" s="11"/>
      <c r="O279" s="66"/>
      <c r="P279" s="62"/>
      <c r="Q279" s="62"/>
      <c r="R279" s="62"/>
      <c r="S279" s="62"/>
      <c r="T279" s="62"/>
      <c r="U279" s="67"/>
    </row>
    <row r="280" s="58" customFormat="1" spans="1:21">
      <c r="A280" s="61"/>
      <c r="B280" s="62"/>
      <c r="C280" s="79"/>
      <c r="D280" s="61"/>
      <c r="E280" s="64"/>
      <c r="F280" s="62"/>
      <c r="G280" s="62"/>
      <c r="H280" s="62"/>
      <c r="I280" s="62"/>
      <c r="J280" s="62"/>
      <c r="K280" s="65"/>
      <c r="L280" s="65"/>
      <c r="M280" s="62"/>
      <c r="N280" s="11"/>
      <c r="O280" s="66"/>
      <c r="P280" s="62"/>
      <c r="Q280" s="62"/>
      <c r="R280" s="62"/>
      <c r="S280" s="62"/>
      <c r="T280" s="62"/>
      <c r="U280" s="67"/>
    </row>
    <row r="281" s="58" customFormat="1" spans="1:21">
      <c r="A281" s="61"/>
      <c r="B281" s="62"/>
      <c r="C281" s="79"/>
      <c r="D281" s="61"/>
      <c r="E281" s="64"/>
      <c r="F281" s="62"/>
      <c r="G281" s="62"/>
      <c r="H281" s="62"/>
      <c r="I281" s="62"/>
      <c r="J281" s="62"/>
      <c r="K281" s="65"/>
      <c r="L281" s="65"/>
      <c r="M281" s="62"/>
      <c r="N281" s="11"/>
      <c r="O281" s="66"/>
      <c r="P281" s="62"/>
      <c r="Q281" s="62"/>
      <c r="R281" s="62"/>
      <c r="S281" s="62"/>
      <c r="T281" s="62"/>
      <c r="U281" s="67"/>
    </row>
    <row r="282" s="58" customFormat="1" spans="1:21">
      <c r="A282" s="61"/>
      <c r="B282" s="62"/>
      <c r="C282" s="79"/>
      <c r="D282" s="61"/>
      <c r="E282" s="64"/>
      <c r="F282" s="62"/>
      <c r="G282" s="62"/>
      <c r="H282" s="62"/>
      <c r="I282" s="62"/>
      <c r="J282" s="62"/>
      <c r="K282" s="65"/>
      <c r="L282" s="65"/>
      <c r="M282" s="62"/>
      <c r="N282" s="11"/>
      <c r="O282" s="66"/>
      <c r="P282" s="62"/>
      <c r="Q282" s="62"/>
      <c r="R282" s="62"/>
      <c r="S282" s="62"/>
      <c r="T282" s="62"/>
      <c r="U282" s="67"/>
    </row>
    <row r="283" s="58" customFormat="1" spans="1:21">
      <c r="A283" s="61"/>
      <c r="B283" s="62"/>
      <c r="C283" s="79"/>
      <c r="D283" s="61"/>
      <c r="E283" s="141"/>
      <c r="F283" s="62"/>
      <c r="G283" s="62"/>
      <c r="H283" s="62"/>
      <c r="I283" s="62"/>
      <c r="J283" s="62"/>
      <c r="K283" s="84"/>
      <c r="L283" s="65"/>
      <c r="M283" s="62"/>
      <c r="N283" s="11"/>
      <c r="O283" s="133"/>
      <c r="P283" s="62"/>
      <c r="Q283" s="62"/>
      <c r="R283" s="62"/>
      <c r="S283" s="62"/>
      <c r="T283" s="62"/>
      <c r="U283" s="67"/>
    </row>
    <row r="284" s="58" customFormat="1" spans="1:21">
      <c r="A284" s="61"/>
      <c r="B284" s="62"/>
      <c r="C284" s="79"/>
      <c r="D284" s="61"/>
      <c r="E284" s="141"/>
      <c r="F284" s="62"/>
      <c r="G284" s="62"/>
      <c r="H284" s="62"/>
      <c r="I284" s="62"/>
      <c r="J284" s="62"/>
      <c r="K284" s="84"/>
      <c r="L284" s="65"/>
      <c r="M284" s="62"/>
      <c r="N284" s="11"/>
      <c r="O284" s="133"/>
      <c r="P284" s="62"/>
      <c r="Q284" s="62"/>
      <c r="R284" s="62"/>
      <c r="S284" s="62"/>
      <c r="T284" s="62"/>
      <c r="U284" s="67"/>
    </row>
    <row r="285" s="58" customFormat="1" spans="1:21">
      <c r="A285" s="61"/>
      <c r="B285" s="62"/>
      <c r="C285" s="79"/>
      <c r="D285" s="61"/>
      <c r="E285" s="141"/>
      <c r="F285" s="62"/>
      <c r="G285" s="62"/>
      <c r="H285" s="62"/>
      <c r="I285" s="62"/>
      <c r="J285" s="62"/>
      <c r="K285" s="84"/>
      <c r="L285" s="65"/>
      <c r="M285" s="62"/>
      <c r="N285" s="11"/>
      <c r="O285" s="133"/>
      <c r="P285" s="62"/>
      <c r="Q285" s="62"/>
      <c r="R285" s="62"/>
      <c r="S285" s="62"/>
      <c r="T285" s="62"/>
      <c r="U285" s="67"/>
    </row>
    <row r="286" s="58" customFormat="1" spans="1:21">
      <c r="A286" s="61"/>
      <c r="B286" s="62"/>
      <c r="C286" s="79"/>
      <c r="D286" s="61"/>
      <c r="E286" s="64"/>
      <c r="F286" s="62"/>
      <c r="G286" s="62"/>
      <c r="H286" s="62"/>
      <c r="I286" s="62"/>
      <c r="J286" s="62"/>
      <c r="K286" s="65"/>
      <c r="L286" s="65"/>
      <c r="M286" s="62"/>
      <c r="N286" s="11"/>
      <c r="O286" s="66"/>
      <c r="P286" s="62"/>
      <c r="Q286" s="62"/>
      <c r="R286" s="62"/>
      <c r="S286" s="62"/>
      <c r="T286" s="62"/>
      <c r="U286" s="67"/>
    </row>
    <row r="287" s="58" customFormat="1" spans="1:21">
      <c r="A287" s="61"/>
      <c r="B287" s="62"/>
      <c r="C287" s="79"/>
      <c r="D287" s="61"/>
      <c r="E287" s="64"/>
      <c r="F287" s="62"/>
      <c r="G287" s="62"/>
      <c r="H287" s="62"/>
      <c r="I287" s="62"/>
      <c r="J287" s="62"/>
      <c r="K287" s="65"/>
      <c r="L287" s="65"/>
      <c r="M287" s="62"/>
      <c r="N287" s="11"/>
      <c r="O287" s="66"/>
      <c r="P287" s="62"/>
      <c r="Q287" s="62"/>
      <c r="R287" s="62"/>
      <c r="S287" s="62"/>
      <c r="T287" s="62"/>
      <c r="U287" s="67"/>
    </row>
    <row r="288" s="58" customFormat="1" spans="1:21">
      <c r="A288" s="61"/>
      <c r="B288" s="62"/>
      <c r="C288" s="79"/>
      <c r="D288" s="61"/>
      <c r="E288" s="64"/>
      <c r="F288" s="62"/>
      <c r="G288" s="62"/>
      <c r="H288" s="62"/>
      <c r="I288" s="62"/>
      <c r="J288" s="62"/>
      <c r="K288" s="65"/>
      <c r="L288" s="65"/>
      <c r="M288" s="62"/>
      <c r="N288" s="11"/>
      <c r="O288" s="66"/>
      <c r="P288" s="62"/>
      <c r="Q288" s="62"/>
      <c r="R288" s="62"/>
      <c r="S288" s="62"/>
      <c r="T288" s="62"/>
      <c r="U288" s="67"/>
    </row>
    <row r="289" s="58" customFormat="1" spans="1:21">
      <c r="A289" s="61"/>
      <c r="B289" s="62"/>
      <c r="C289" s="79"/>
      <c r="D289" s="61"/>
      <c r="E289" s="64"/>
      <c r="F289" s="62"/>
      <c r="G289" s="62"/>
      <c r="H289" s="62"/>
      <c r="I289" s="62"/>
      <c r="J289" s="62"/>
      <c r="K289" s="65"/>
      <c r="L289" s="65"/>
      <c r="M289" s="62"/>
      <c r="N289" s="11"/>
      <c r="O289" s="66"/>
      <c r="P289" s="62"/>
      <c r="Q289" s="62"/>
      <c r="R289" s="62"/>
      <c r="S289" s="62"/>
      <c r="T289" s="62"/>
      <c r="U289" s="67"/>
    </row>
    <row r="290" s="58" customFormat="1" spans="1:21">
      <c r="A290" s="61"/>
      <c r="B290" s="62"/>
      <c r="C290" s="79"/>
      <c r="D290" s="61"/>
      <c r="E290" s="64"/>
      <c r="F290" s="62"/>
      <c r="G290" s="62"/>
      <c r="H290" s="62"/>
      <c r="I290" s="62"/>
      <c r="J290" s="62"/>
      <c r="K290" s="65"/>
      <c r="L290" s="65"/>
      <c r="M290" s="62"/>
      <c r="N290" s="11"/>
      <c r="O290" s="66"/>
      <c r="P290" s="62"/>
      <c r="Q290" s="62"/>
      <c r="R290" s="62"/>
      <c r="S290" s="62"/>
      <c r="T290" s="62"/>
      <c r="U290" s="67"/>
    </row>
    <row r="291" s="58" customFormat="1" spans="1:21">
      <c r="A291" s="61"/>
      <c r="B291" s="62"/>
      <c r="C291" s="79"/>
      <c r="D291" s="61"/>
      <c r="E291" s="64"/>
      <c r="F291" s="62"/>
      <c r="G291" s="62"/>
      <c r="H291" s="62"/>
      <c r="I291" s="62"/>
      <c r="J291" s="62"/>
      <c r="K291" s="65"/>
      <c r="L291" s="65"/>
      <c r="M291" s="62"/>
      <c r="N291" s="11"/>
      <c r="O291" s="66"/>
      <c r="P291" s="62"/>
      <c r="Q291" s="62"/>
      <c r="R291" s="62"/>
      <c r="S291" s="62"/>
      <c r="T291" s="62"/>
      <c r="U291" s="67"/>
    </row>
    <row r="292" s="58" customFormat="1" spans="1:21">
      <c r="A292" s="61"/>
      <c r="B292" s="62"/>
      <c r="C292" s="79"/>
      <c r="D292" s="61"/>
      <c r="E292" s="64"/>
      <c r="F292" s="62"/>
      <c r="G292" s="62"/>
      <c r="H292" s="62"/>
      <c r="I292" s="62"/>
      <c r="J292" s="62"/>
      <c r="K292" s="65"/>
      <c r="L292" s="65"/>
      <c r="M292" s="62"/>
      <c r="N292" s="11"/>
      <c r="O292" s="66"/>
      <c r="P292" s="62"/>
      <c r="Q292" s="62"/>
      <c r="R292" s="62"/>
      <c r="S292" s="62"/>
      <c r="T292" s="62"/>
      <c r="U292" s="67"/>
    </row>
    <row r="293" s="58" customFormat="1" spans="1:21">
      <c r="A293" s="61"/>
      <c r="B293" s="62"/>
      <c r="C293" s="79"/>
      <c r="D293" s="61"/>
      <c r="E293" s="64"/>
      <c r="F293" s="62"/>
      <c r="G293" s="62"/>
      <c r="H293" s="62"/>
      <c r="I293" s="62"/>
      <c r="J293" s="62"/>
      <c r="K293" s="65"/>
      <c r="L293" s="65"/>
      <c r="M293" s="62"/>
      <c r="N293" s="11"/>
      <c r="O293" s="66"/>
      <c r="P293" s="62"/>
      <c r="Q293" s="62"/>
      <c r="R293" s="62"/>
      <c r="S293" s="62"/>
      <c r="T293" s="62"/>
      <c r="U293" s="67"/>
    </row>
    <row r="294" s="58" customFormat="1" spans="1:21">
      <c r="A294" s="61"/>
      <c r="B294" s="62"/>
      <c r="C294" s="79"/>
      <c r="D294" s="61"/>
      <c r="E294" s="64"/>
      <c r="F294" s="62"/>
      <c r="G294" s="62"/>
      <c r="H294" s="62"/>
      <c r="I294" s="62"/>
      <c r="J294" s="62"/>
      <c r="K294" s="65"/>
      <c r="L294" s="65"/>
      <c r="M294" s="62"/>
      <c r="N294" s="11"/>
      <c r="O294" s="66"/>
      <c r="P294" s="62"/>
      <c r="Q294" s="62"/>
      <c r="R294" s="62"/>
      <c r="S294" s="62"/>
      <c r="T294" s="62"/>
      <c r="U294" s="67"/>
    </row>
    <row r="295" s="58" customFormat="1" spans="1:21">
      <c r="A295" s="61"/>
      <c r="B295" s="62"/>
      <c r="C295" s="79"/>
      <c r="D295" s="61"/>
      <c r="E295" s="64"/>
      <c r="F295" s="62"/>
      <c r="G295" s="62"/>
      <c r="H295" s="62"/>
      <c r="I295" s="62"/>
      <c r="J295" s="62"/>
      <c r="K295" s="65"/>
      <c r="L295" s="65"/>
      <c r="M295" s="62"/>
      <c r="N295" s="11"/>
      <c r="O295" s="66"/>
      <c r="P295" s="62"/>
      <c r="Q295" s="62"/>
      <c r="R295" s="62"/>
      <c r="S295" s="62"/>
      <c r="T295" s="62"/>
      <c r="U295" s="67"/>
    </row>
    <row r="296" s="58" customFormat="1" spans="1:21">
      <c r="A296" s="61"/>
      <c r="B296" s="62"/>
      <c r="C296" s="79"/>
      <c r="D296" s="61"/>
      <c r="E296" s="64"/>
      <c r="F296" s="62"/>
      <c r="G296" s="62"/>
      <c r="H296" s="62"/>
      <c r="I296" s="62"/>
      <c r="J296" s="62"/>
      <c r="K296" s="65"/>
      <c r="L296" s="65"/>
      <c r="M296" s="62"/>
      <c r="N296" s="11"/>
      <c r="O296" s="66"/>
      <c r="P296" s="62"/>
      <c r="Q296" s="62"/>
      <c r="R296" s="62"/>
      <c r="S296" s="62"/>
      <c r="T296" s="62"/>
      <c r="U296" s="67"/>
    </row>
    <row r="297" s="58" customFormat="1" spans="1:21">
      <c r="A297" s="61"/>
      <c r="B297" s="62"/>
      <c r="C297" s="79"/>
      <c r="D297" s="61"/>
      <c r="E297" s="142"/>
      <c r="F297" s="62"/>
      <c r="G297" s="62"/>
      <c r="H297" s="62"/>
      <c r="I297" s="62"/>
      <c r="J297" s="62"/>
      <c r="K297" s="65"/>
      <c r="L297" s="65"/>
      <c r="M297" s="62"/>
      <c r="N297" s="62"/>
      <c r="O297" s="66"/>
      <c r="P297" s="62"/>
      <c r="Q297" s="62"/>
      <c r="R297" s="62"/>
      <c r="S297" s="62"/>
      <c r="T297" s="62"/>
      <c r="U297" s="67"/>
    </row>
    <row r="298" s="58" customFormat="1" spans="1:21">
      <c r="A298" s="61"/>
      <c r="B298" s="62"/>
      <c r="C298" s="79"/>
      <c r="D298" s="61"/>
      <c r="E298" s="150"/>
      <c r="F298" s="62"/>
      <c r="G298" s="62"/>
      <c r="H298" s="62"/>
      <c r="I298" s="62"/>
      <c r="J298" s="62"/>
      <c r="K298" s="65"/>
      <c r="L298" s="65"/>
      <c r="M298" s="62"/>
      <c r="N298" s="11"/>
      <c r="O298" s="112"/>
      <c r="P298" s="62"/>
      <c r="Q298" s="62"/>
      <c r="R298" s="62"/>
      <c r="S298" s="62"/>
      <c r="T298" s="62"/>
      <c r="U298" s="67"/>
    </row>
    <row r="299" s="58" customFormat="1" spans="1:21">
      <c r="A299" s="61"/>
      <c r="B299" s="62"/>
      <c r="C299" s="79"/>
      <c r="D299" s="61"/>
      <c r="E299" s="150"/>
      <c r="F299" s="62"/>
      <c r="G299" s="62"/>
      <c r="H299" s="105"/>
      <c r="I299" s="62"/>
      <c r="J299" s="62"/>
      <c r="K299" s="65"/>
      <c r="L299" s="65"/>
      <c r="M299" s="62"/>
      <c r="N299" s="11"/>
      <c r="O299" s="66"/>
      <c r="P299" s="62"/>
      <c r="Q299" s="62"/>
      <c r="R299" s="62"/>
      <c r="S299" s="62"/>
      <c r="T299" s="62"/>
      <c r="U299" s="67"/>
    </row>
    <row r="300" s="58" customFormat="1" spans="1:21">
      <c r="A300" s="61"/>
      <c r="B300" s="62"/>
      <c r="C300" s="79"/>
      <c r="D300" s="61"/>
      <c r="E300" s="150"/>
      <c r="F300" s="62"/>
      <c r="G300" s="62"/>
      <c r="H300" s="62"/>
      <c r="I300" s="62"/>
      <c r="J300" s="62"/>
      <c r="K300" s="65"/>
      <c r="L300" s="65"/>
      <c r="M300" s="62"/>
      <c r="N300" s="11"/>
      <c r="O300" s="66"/>
      <c r="P300" s="62"/>
      <c r="Q300" s="62"/>
      <c r="R300" s="62"/>
      <c r="S300" s="62"/>
      <c r="T300" s="62"/>
      <c r="U300" s="67"/>
    </row>
    <row r="301" s="58" customFormat="1" spans="1:21">
      <c r="A301" s="61"/>
      <c r="B301" s="62"/>
      <c r="C301" s="79"/>
      <c r="D301" s="61"/>
      <c r="E301" s="150"/>
      <c r="F301" s="62"/>
      <c r="G301" s="62"/>
      <c r="H301" s="62"/>
      <c r="I301" s="62"/>
      <c r="J301" s="62"/>
      <c r="K301" s="65"/>
      <c r="L301" s="65"/>
      <c r="M301" s="62"/>
      <c r="N301" s="11"/>
      <c r="O301" s="66"/>
      <c r="P301" s="62"/>
      <c r="Q301" s="62"/>
      <c r="R301" s="62"/>
      <c r="S301" s="62"/>
      <c r="T301" s="62"/>
      <c r="U301" s="67"/>
    </row>
    <row r="302" s="58" customFormat="1" spans="1:21">
      <c r="A302" s="61"/>
      <c r="B302" s="62"/>
      <c r="C302" s="79"/>
      <c r="D302" s="61"/>
      <c r="E302" s="150"/>
      <c r="F302" s="62"/>
      <c r="G302" s="62"/>
      <c r="H302" s="62"/>
      <c r="I302" s="62"/>
      <c r="J302" s="62"/>
      <c r="K302" s="65"/>
      <c r="L302" s="65"/>
      <c r="M302" s="62"/>
      <c r="N302" s="11"/>
      <c r="O302" s="66"/>
      <c r="P302" s="62"/>
      <c r="Q302" s="62"/>
      <c r="R302" s="62"/>
      <c r="S302" s="62"/>
      <c r="T302" s="62"/>
      <c r="U302" s="67"/>
    </row>
    <row r="303" s="58" customFormat="1" spans="1:21">
      <c r="A303" s="61"/>
      <c r="B303" s="62"/>
      <c r="C303" s="79"/>
      <c r="D303" s="61"/>
      <c r="E303" s="64"/>
      <c r="F303" s="62"/>
      <c r="G303" s="62"/>
      <c r="H303" s="62"/>
      <c r="I303" s="62"/>
      <c r="J303" s="62"/>
      <c r="K303" s="65"/>
      <c r="L303" s="65"/>
      <c r="M303" s="62"/>
      <c r="N303" s="11"/>
      <c r="O303" s="66"/>
      <c r="P303" s="62"/>
      <c r="Q303" s="62"/>
      <c r="R303" s="62"/>
      <c r="S303" s="62"/>
      <c r="T303" s="62"/>
      <c r="U303" s="67"/>
    </row>
    <row r="304" s="58" customFormat="1" spans="1:21">
      <c r="A304" s="61"/>
      <c r="B304" s="62"/>
      <c r="C304" s="79"/>
      <c r="D304" s="61"/>
      <c r="E304" s="64"/>
      <c r="F304" s="62"/>
      <c r="G304" s="62"/>
      <c r="H304" s="62"/>
      <c r="I304" s="62"/>
      <c r="J304" s="62"/>
      <c r="K304" s="65"/>
      <c r="L304" s="65"/>
      <c r="M304" s="62"/>
      <c r="N304" s="11"/>
      <c r="O304" s="66"/>
      <c r="P304" s="62"/>
      <c r="Q304" s="62"/>
      <c r="R304" s="62"/>
      <c r="S304" s="94"/>
      <c r="T304" s="62"/>
      <c r="U304" s="67"/>
    </row>
    <row r="305" s="58" customFormat="1" spans="1:21">
      <c r="A305" s="61"/>
      <c r="B305" s="62"/>
      <c r="C305" s="79"/>
      <c r="D305" s="61"/>
      <c r="E305" s="64"/>
      <c r="F305" s="62"/>
      <c r="G305" s="62"/>
      <c r="H305" s="62"/>
      <c r="I305" s="62"/>
      <c r="J305" s="62"/>
      <c r="K305" s="65"/>
      <c r="L305" s="65"/>
      <c r="M305" s="62"/>
      <c r="N305" s="11"/>
      <c r="O305" s="66"/>
      <c r="P305" s="62"/>
      <c r="Q305" s="62"/>
      <c r="R305" s="62"/>
      <c r="S305" s="92"/>
      <c r="T305" s="62"/>
      <c r="U305" s="67"/>
    </row>
    <row r="306" s="58" customFormat="1" spans="1:21">
      <c r="A306" s="61"/>
      <c r="B306" s="62"/>
      <c r="C306" s="79"/>
      <c r="D306" s="61"/>
      <c r="E306" s="64"/>
      <c r="F306" s="62"/>
      <c r="G306" s="62"/>
      <c r="H306" s="62"/>
      <c r="I306" s="62"/>
      <c r="J306" s="62"/>
      <c r="K306" s="65"/>
      <c r="L306" s="65"/>
      <c r="M306" s="62"/>
      <c r="N306" s="11"/>
      <c r="O306" s="66"/>
      <c r="P306" s="62"/>
      <c r="Q306" s="62"/>
      <c r="R306" s="62"/>
      <c r="S306" s="62"/>
      <c r="T306" s="62"/>
      <c r="U306" s="67"/>
    </row>
    <row r="307" s="58" customFormat="1" spans="1:21">
      <c r="A307" s="61"/>
      <c r="B307" s="62"/>
      <c r="C307" s="79"/>
      <c r="D307" s="61"/>
      <c r="E307" s="64"/>
      <c r="F307" s="62"/>
      <c r="G307" s="62"/>
      <c r="H307" s="62"/>
      <c r="I307" s="62"/>
      <c r="J307" s="62"/>
      <c r="K307" s="65"/>
      <c r="L307" s="65"/>
      <c r="M307" s="62"/>
      <c r="N307" s="11"/>
      <c r="O307" s="66"/>
      <c r="P307" s="62"/>
      <c r="Q307" s="62"/>
      <c r="R307" s="62"/>
      <c r="S307" s="105"/>
      <c r="T307" s="62"/>
      <c r="U307" s="67"/>
    </row>
    <row r="308" s="58" customFormat="1" spans="1:21">
      <c r="A308" s="61"/>
      <c r="B308" s="62"/>
      <c r="C308" s="79"/>
      <c r="D308" s="61"/>
      <c r="E308" s="64"/>
      <c r="F308" s="62"/>
      <c r="G308" s="62"/>
      <c r="H308" s="62"/>
      <c r="I308" s="62"/>
      <c r="J308" s="62"/>
      <c r="K308" s="65"/>
      <c r="L308" s="65"/>
      <c r="M308" s="62"/>
      <c r="N308" s="11"/>
      <c r="O308" s="66"/>
      <c r="P308" s="62"/>
      <c r="Q308" s="62"/>
      <c r="R308" s="62"/>
      <c r="S308" s="62"/>
      <c r="T308" s="62"/>
      <c r="U308" s="67"/>
    </row>
    <row r="309" s="58" customFormat="1" spans="1:21">
      <c r="A309" s="61"/>
      <c r="B309" s="62"/>
      <c r="C309" s="79"/>
      <c r="D309" s="61"/>
      <c r="E309" s="64"/>
      <c r="F309" s="62"/>
      <c r="G309" s="62"/>
      <c r="H309" s="62"/>
      <c r="I309" s="62"/>
      <c r="J309" s="62"/>
      <c r="K309" s="65"/>
      <c r="L309" s="65"/>
      <c r="M309" s="62"/>
      <c r="N309" s="11"/>
      <c r="O309" s="66"/>
      <c r="P309" s="62"/>
      <c r="Q309" s="62"/>
      <c r="R309" s="62"/>
      <c r="S309" s="62"/>
      <c r="T309" s="62"/>
      <c r="U309" s="67"/>
    </row>
    <row r="310" s="58" customFormat="1" spans="1:21">
      <c r="A310" s="61"/>
      <c r="B310" s="62"/>
      <c r="C310" s="79"/>
      <c r="D310" s="61"/>
      <c r="E310" s="64"/>
      <c r="F310" s="62"/>
      <c r="G310" s="62"/>
      <c r="H310" s="62"/>
      <c r="I310" s="62"/>
      <c r="J310" s="62"/>
      <c r="K310" s="65"/>
      <c r="L310" s="65"/>
      <c r="M310" s="62"/>
      <c r="N310" s="11"/>
      <c r="O310" s="66"/>
      <c r="P310" s="62"/>
      <c r="Q310" s="62"/>
      <c r="R310" s="62"/>
      <c r="S310" s="62"/>
      <c r="T310" s="62"/>
      <c r="U310" s="67"/>
    </row>
    <row r="311" s="58" customFormat="1" spans="1:21">
      <c r="A311" s="61"/>
      <c r="B311" s="62"/>
      <c r="C311" s="79"/>
      <c r="D311" s="61"/>
      <c r="E311" s="64"/>
      <c r="F311" s="62"/>
      <c r="G311" s="62"/>
      <c r="H311" s="62"/>
      <c r="I311" s="115"/>
      <c r="J311" s="62"/>
      <c r="K311" s="65"/>
      <c r="L311" s="65"/>
      <c r="M311" s="62"/>
      <c r="N311" s="11"/>
      <c r="O311" s="114"/>
      <c r="P311" s="62"/>
      <c r="Q311" s="62"/>
      <c r="R311" s="62"/>
      <c r="S311" s="62"/>
      <c r="T311" s="62"/>
      <c r="U311" s="67"/>
    </row>
    <row r="312" s="58" customFormat="1" spans="1:21">
      <c r="A312" s="61"/>
      <c r="B312" s="62"/>
      <c r="C312" s="79"/>
      <c r="D312" s="61"/>
      <c r="E312" s="151"/>
      <c r="F312" s="62"/>
      <c r="G312" s="62"/>
      <c r="H312" s="62"/>
      <c r="I312" s="62"/>
      <c r="J312" s="62"/>
      <c r="K312" s="65"/>
      <c r="L312" s="65"/>
      <c r="M312" s="62"/>
      <c r="N312" s="62"/>
      <c r="O312" s="66"/>
      <c r="P312" s="62"/>
      <c r="Q312" s="62"/>
      <c r="R312" s="65"/>
      <c r="S312" s="62"/>
      <c r="T312" s="62"/>
      <c r="U312" s="67"/>
    </row>
    <row r="313" s="58" customFormat="1" spans="1:21">
      <c r="A313" s="61"/>
      <c r="B313" s="62"/>
      <c r="C313" s="79"/>
      <c r="D313" s="61"/>
      <c r="E313" s="151"/>
      <c r="F313" s="62"/>
      <c r="G313" s="62"/>
      <c r="H313" s="62"/>
      <c r="I313" s="62"/>
      <c r="J313" s="62"/>
      <c r="K313" s="65"/>
      <c r="L313" s="65"/>
      <c r="M313" s="62"/>
      <c r="N313" s="62"/>
      <c r="O313" s="66"/>
      <c r="P313" s="62"/>
      <c r="Q313" s="62"/>
      <c r="R313" s="65"/>
      <c r="S313" s="62"/>
      <c r="T313" s="62"/>
      <c r="U313" s="67"/>
    </row>
    <row r="314" s="58" customFormat="1" spans="1:21">
      <c r="A314" s="61"/>
      <c r="B314" s="62"/>
      <c r="C314" s="79"/>
      <c r="D314" s="61"/>
      <c r="E314" s="151"/>
      <c r="F314" s="62"/>
      <c r="G314" s="62"/>
      <c r="H314" s="62"/>
      <c r="I314" s="62"/>
      <c r="J314" s="62"/>
      <c r="K314" s="65"/>
      <c r="L314" s="65"/>
      <c r="M314" s="62"/>
      <c r="N314" s="62"/>
      <c r="O314" s="66"/>
      <c r="P314" s="62"/>
      <c r="Q314" s="62"/>
      <c r="R314" s="65"/>
      <c r="S314" s="62"/>
      <c r="T314" s="62"/>
      <c r="U314" s="67"/>
    </row>
    <row r="315" s="58" customFormat="1" spans="1:21">
      <c r="A315" s="61"/>
      <c r="B315" s="62"/>
      <c r="C315" s="79"/>
      <c r="D315" s="61"/>
      <c r="E315" s="151"/>
      <c r="F315" s="62"/>
      <c r="G315" s="62"/>
      <c r="H315" s="62"/>
      <c r="I315" s="62"/>
      <c r="J315" s="62"/>
      <c r="K315" s="65"/>
      <c r="L315" s="65"/>
      <c r="M315" s="62"/>
      <c r="N315" s="62"/>
      <c r="O315" s="66"/>
      <c r="P315" s="62"/>
      <c r="Q315" s="62"/>
      <c r="R315" s="65"/>
      <c r="S315" s="62"/>
      <c r="T315" s="62"/>
      <c r="U315" s="67"/>
    </row>
    <row r="316" s="58" customFormat="1" spans="1:21">
      <c r="A316" s="61"/>
      <c r="B316" s="62"/>
      <c r="C316" s="79"/>
      <c r="D316" s="61"/>
      <c r="E316" s="151"/>
      <c r="F316" s="62"/>
      <c r="G316" s="62"/>
      <c r="H316" s="62"/>
      <c r="I316" s="62"/>
      <c r="J316" s="62"/>
      <c r="K316" s="65"/>
      <c r="L316" s="65"/>
      <c r="M316" s="62"/>
      <c r="N316" s="62"/>
      <c r="O316" s="66"/>
      <c r="P316" s="62"/>
      <c r="Q316" s="62"/>
      <c r="R316" s="65"/>
      <c r="S316" s="62"/>
      <c r="T316" s="62"/>
      <c r="U316" s="67"/>
    </row>
    <row r="317" s="58" customFormat="1" spans="1:21">
      <c r="A317" s="61"/>
      <c r="B317" s="62"/>
      <c r="C317" s="79"/>
      <c r="D317" s="61"/>
      <c r="E317" s="151"/>
      <c r="F317" s="62"/>
      <c r="G317" s="62"/>
      <c r="H317" s="62"/>
      <c r="I317" s="62"/>
      <c r="J317" s="62"/>
      <c r="K317" s="65"/>
      <c r="L317" s="65"/>
      <c r="M317" s="62"/>
      <c r="N317" s="58"/>
      <c r="O317" s="66"/>
      <c r="P317" s="62"/>
      <c r="Q317" s="62"/>
      <c r="R317" s="65"/>
      <c r="S317" s="62"/>
      <c r="T317" s="62"/>
      <c r="U317" s="67"/>
    </row>
    <row r="318" s="58" customFormat="1" spans="1:21">
      <c r="A318" s="61"/>
      <c r="B318" s="62"/>
      <c r="C318" s="79"/>
      <c r="D318" s="61"/>
      <c r="E318" s="150"/>
      <c r="F318" s="62"/>
      <c r="G318" s="62"/>
      <c r="H318" s="62"/>
      <c r="I318" s="62"/>
      <c r="J318" s="62"/>
      <c r="K318" s="65"/>
      <c r="L318" s="65"/>
      <c r="M318" s="62"/>
      <c r="N318" s="62"/>
      <c r="O318" s="114"/>
      <c r="P318" s="62"/>
      <c r="Q318" s="62"/>
      <c r="R318" s="62"/>
      <c r="S318" s="160"/>
      <c r="T318" s="62"/>
      <c r="U318" s="139"/>
    </row>
    <row r="319" s="58" customFormat="1" spans="1:21">
      <c r="A319" s="61"/>
      <c r="B319" s="62"/>
      <c r="C319" s="79"/>
      <c r="D319" s="61"/>
      <c r="E319" s="150"/>
      <c r="F319" s="62"/>
      <c r="G319" s="62"/>
      <c r="H319" s="62"/>
      <c r="I319" s="62"/>
      <c r="J319" s="62"/>
      <c r="K319" s="65"/>
      <c r="L319" s="65"/>
      <c r="M319" s="62"/>
      <c r="N319" s="11"/>
      <c r="O319" s="114"/>
      <c r="P319" s="62"/>
      <c r="Q319" s="62"/>
      <c r="R319" s="62"/>
      <c r="S319" s="161"/>
      <c r="T319" s="62"/>
      <c r="U319" s="67"/>
    </row>
    <row r="320" s="58" customFormat="1" spans="1:21">
      <c r="A320" s="61"/>
      <c r="B320" s="62"/>
      <c r="C320" s="79"/>
      <c r="D320" s="61"/>
      <c r="E320" s="151"/>
      <c r="F320" s="62"/>
      <c r="G320" s="62"/>
      <c r="H320" s="62"/>
      <c r="I320" s="62"/>
      <c r="J320" s="62"/>
      <c r="K320" s="65"/>
      <c r="L320" s="65"/>
      <c r="M320" s="62"/>
      <c r="N320" s="11"/>
      <c r="O320" s="66"/>
      <c r="P320" s="62"/>
      <c r="Q320" s="62"/>
      <c r="R320" s="62"/>
      <c r="S320" s="61"/>
      <c r="T320" s="62"/>
      <c r="U320" s="67"/>
    </row>
    <row r="321" s="58" customFormat="1" spans="1:21">
      <c r="A321" s="61"/>
      <c r="B321" s="62"/>
      <c r="C321" s="79"/>
      <c r="D321" s="61"/>
      <c r="E321" s="150"/>
      <c r="F321" s="62"/>
      <c r="G321" s="62"/>
      <c r="H321" s="62"/>
      <c r="I321" s="62"/>
      <c r="J321" s="62"/>
      <c r="K321" s="65"/>
      <c r="L321" s="65"/>
      <c r="M321" s="62"/>
      <c r="N321" s="11"/>
      <c r="O321" s="66"/>
      <c r="P321" s="62"/>
      <c r="Q321" s="62"/>
      <c r="R321" s="62"/>
      <c r="S321" s="61"/>
      <c r="T321" s="62"/>
      <c r="U321" s="67"/>
    </row>
    <row r="322" s="58" customFormat="1" spans="1:21">
      <c r="A322" s="61"/>
      <c r="B322" s="62"/>
      <c r="C322" s="79"/>
      <c r="D322" s="61"/>
      <c r="E322" s="150"/>
      <c r="F322" s="62"/>
      <c r="G322" s="62"/>
      <c r="H322" s="62"/>
      <c r="I322" s="62"/>
      <c r="J322" s="62"/>
      <c r="K322" s="65"/>
      <c r="L322" s="65"/>
      <c r="M322" s="62"/>
      <c r="N322" s="11"/>
      <c r="O322" s="66"/>
      <c r="P322" s="62"/>
      <c r="Q322" s="62"/>
      <c r="R322" s="62"/>
      <c r="S322" s="61"/>
      <c r="T322" s="62"/>
      <c r="U322" s="67"/>
    </row>
    <row r="323" s="58" customFormat="1" spans="1:21">
      <c r="A323" s="61"/>
      <c r="B323" s="62"/>
      <c r="C323" s="79"/>
      <c r="D323" s="61"/>
      <c r="E323" s="150"/>
      <c r="F323" s="62"/>
      <c r="G323" s="62"/>
      <c r="H323" s="62"/>
      <c r="I323" s="62"/>
      <c r="J323" s="62"/>
      <c r="K323" s="65"/>
      <c r="L323" s="65"/>
      <c r="M323" s="62"/>
      <c r="N323" s="11"/>
      <c r="O323" s="66"/>
      <c r="P323" s="62"/>
      <c r="Q323" s="62"/>
      <c r="R323" s="62"/>
      <c r="S323" s="61"/>
      <c r="T323" s="62"/>
      <c r="U323" s="67"/>
    </row>
    <row r="324" s="58" customFormat="1" spans="1:21">
      <c r="A324" s="61"/>
      <c r="B324" s="62"/>
      <c r="C324" s="79"/>
      <c r="D324" s="61"/>
      <c r="E324" s="150"/>
      <c r="F324" s="62"/>
      <c r="G324" s="62"/>
      <c r="H324" s="62"/>
      <c r="I324" s="116"/>
      <c r="J324" s="62"/>
      <c r="K324" s="65"/>
      <c r="L324" s="65"/>
      <c r="M324" s="62"/>
      <c r="N324" s="11"/>
      <c r="O324" s="66"/>
      <c r="P324" s="62"/>
      <c r="Q324" s="62"/>
      <c r="R324" s="62"/>
      <c r="S324" s="61"/>
      <c r="T324" s="62"/>
      <c r="U324" s="67"/>
    </row>
    <row r="325" s="58" customFormat="1" spans="1:21">
      <c r="A325" s="61"/>
      <c r="B325" s="62"/>
      <c r="C325" s="79"/>
      <c r="D325" s="61"/>
      <c r="E325" s="150"/>
      <c r="F325" s="62"/>
      <c r="G325" s="62"/>
      <c r="H325" s="62"/>
      <c r="I325" s="116"/>
      <c r="J325" s="62"/>
      <c r="K325" s="65"/>
      <c r="L325" s="65"/>
      <c r="M325" s="62"/>
      <c r="N325" s="11"/>
      <c r="O325" s="66"/>
      <c r="P325" s="62"/>
      <c r="Q325" s="62"/>
      <c r="R325" s="62"/>
      <c r="S325" s="61"/>
      <c r="T325" s="62"/>
      <c r="U325" s="67"/>
    </row>
    <row r="326" s="58" customFormat="1" spans="1:21">
      <c r="A326" s="61"/>
      <c r="B326" s="62"/>
      <c r="C326" s="79"/>
      <c r="D326" s="61"/>
      <c r="E326" s="64"/>
      <c r="F326" s="62"/>
      <c r="G326" s="62"/>
      <c r="H326" s="62"/>
      <c r="I326" s="116"/>
      <c r="J326" s="62"/>
      <c r="K326" s="65"/>
      <c r="L326" s="65"/>
      <c r="M326" s="62"/>
      <c r="N326" s="11"/>
      <c r="O326" s="66"/>
      <c r="P326" s="62"/>
      <c r="Q326" s="62"/>
      <c r="R326" s="62"/>
      <c r="S326" s="61"/>
      <c r="T326" s="62"/>
      <c r="U326" s="67"/>
    </row>
    <row r="327" s="58" customFormat="1" spans="1:21">
      <c r="A327" s="61"/>
      <c r="B327" s="62"/>
      <c r="C327" s="79"/>
      <c r="D327" s="61"/>
      <c r="E327" s="64"/>
      <c r="F327" s="62"/>
      <c r="G327" s="62"/>
      <c r="H327" s="62"/>
      <c r="I327" s="116"/>
      <c r="J327" s="62"/>
      <c r="K327" s="65"/>
      <c r="L327" s="65"/>
      <c r="M327" s="62"/>
      <c r="N327" s="11"/>
      <c r="O327" s="66"/>
      <c r="P327" s="62"/>
      <c r="Q327" s="62"/>
      <c r="R327" s="62"/>
      <c r="S327" s="61"/>
      <c r="T327" s="62"/>
      <c r="U327" s="67"/>
    </row>
    <row r="328" s="58" customFormat="1" spans="1:21">
      <c r="A328" s="61"/>
      <c r="B328" s="62"/>
      <c r="C328" s="79"/>
      <c r="D328" s="61"/>
      <c r="E328" s="141"/>
      <c r="F328" s="62"/>
      <c r="G328" s="62"/>
      <c r="H328" s="62"/>
      <c r="I328" s="62"/>
      <c r="J328" s="62"/>
      <c r="K328" s="65"/>
      <c r="L328" s="65"/>
      <c r="M328" s="62"/>
      <c r="N328" s="11"/>
      <c r="O328" s="66"/>
      <c r="P328" s="62"/>
      <c r="Q328" s="62"/>
      <c r="R328" s="62"/>
      <c r="S328" s="62"/>
      <c r="T328" s="62"/>
      <c r="U328" s="67"/>
    </row>
    <row r="329" s="58" customFormat="1" spans="1:21">
      <c r="A329" s="61"/>
      <c r="B329" s="62"/>
      <c r="C329" s="79"/>
      <c r="D329" s="61"/>
      <c r="E329" s="64"/>
      <c r="F329" s="62"/>
      <c r="G329" s="62"/>
      <c r="H329" s="62"/>
      <c r="I329" s="62"/>
      <c r="J329" s="62"/>
      <c r="K329" s="65"/>
      <c r="L329" s="65"/>
      <c r="M329" s="62"/>
      <c r="N329" s="11"/>
      <c r="O329" s="66"/>
      <c r="P329" s="62"/>
      <c r="Q329" s="62"/>
      <c r="R329" s="62"/>
      <c r="S329" s="62"/>
      <c r="T329" s="62"/>
      <c r="U329" s="67"/>
    </row>
    <row r="330" s="58" customFormat="1" spans="1:21">
      <c r="A330" s="61"/>
      <c r="B330" s="62"/>
      <c r="C330" s="79"/>
      <c r="D330" s="61"/>
      <c r="E330" s="64"/>
      <c r="F330" s="62"/>
      <c r="G330" s="62"/>
      <c r="H330" s="62"/>
      <c r="I330" s="119"/>
      <c r="J330" s="62"/>
      <c r="K330" s="65"/>
      <c r="L330" s="65"/>
      <c r="M330" s="62"/>
      <c r="N330" s="11"/>
      <c r="O330" s="66"/>
      <c r="P330" s="62"/>
      <c r="Q330" s="62"/>
      <c r="R330" s="62"/>
      <c r="S330" s="62"/>
      <c r="T330" s="62"/>
      <c r="U330" s="67"/>
    </row>
    <row r="331" s="58" customFormat="1" spans="1:21">
      <c r="A331" s="61"/>
      <c r="B331" s="62"/>
      <c r="C331" s="79"/>
      <c r="D331" s="61"/>
      <c r="E331" s="141"/>
      <c r="F331" s="62"/>
      <c r="G331" s="62"/>
      <c r="H331" s="62"/>
      <c r="I331" s="120"/>
      <c r="J331" s="62"/>
      <c r="K331" s="65"/>
      <c r="L331" s="65"/>
      <c r="M331" s="62"/>
      <c r="N331" s="11"/>
      <c r="O331" s="66"/>
      <c r="P331" s="62"/>
      <c r="Q331" s="62"/>
      <c r="R331" s="62"/>
      <c r="S331" s="62"/>
      <c r="T331" s="62"/>
      <c r="U331" s="67"/>
    </row>
    <row r="332" s="58" customFormat="1" spans="1:21">
      <c r="A332" s="61"/>
      <c r="B332" s="62"/>
      <c r="C332" s="79"/>
      <c r="D332" s="61"/>
      <c r="E332" s="141"/>
      <c r="F332" s="62"/>
      <c r="G332" s="62"/>
      <c r="H332" s="62"/>
      <c r="I332" s="62"/>
      <c r="J332" s="62"/>
      <c r="K332" s="65"/>
      <c r="L332" s="65"/>
      <c r="M332" s="62"/>
      <c r="N332" s="11"/>
      <c r="O332" s="66"/>
      <c r="P332" s="62"/>
      <c r="Q332" s="62"/>
      <c r="R332" s="62"/>
      <c r="S332" s="62"/>
      <c r="T332" s="62"/>
      <c r="U332" s="67"/>
    </row>
    <row r="333" s="58" customFormat="1" spans="1:21">
      <c r="A333" s="61"/>
      <c r="B333" s="62"/>
      <c r="C333" s="79"/>
      <c r="D333" s="61"/>
      <c r="E333" s="141"/>
      <c r="F333" s="62"/>
      <c r="G333" s="62"/>
      <c r="H333" s="105"/>
      <c r="I333" s="62"/>
      <c r="J333" s="62"/>
      <c r="K333" s="65"/>
      <c r="L333" s="65"/>
      <c r="M333" s="62"/>
      <c r="N333" s="11"/>
      <c r="O333" s="66"/>
      <c r="P333" s="62"/>
      <c r="Q333" s="62"/>
      <c r="R333" s="62"/>
      <c r="S333" s="62"/>
      <c r="T333" s="62"/>
      <c r="U333" s="67"/>
    </row>
    <row r="334" s="58" customFormat="1" spans="1:21">
      <c r="A334" s="61"/>
      <c r="B334" s="62"/>
      <c r="C334" s="79"/>
      <c r="D334" s="61"/>
      <c r="E334" s="141"/>
      <c r="F334" s="62"/>
      <c r="G334" s="62"/>
      <c r="H334" s="105"/>
      <c r="I334" s="62"/>
      <c r="J334" s="62"/>
      <c r="K334" s="65"/>
      <c r="L334" s="65"/>
      <c r="M334" s="62"/>
      <c r="N334" s="11"/>
      <c r="O334" s="66"/>
      <c r="P334" s="62"/>
      <c r="Q334" s="62"/>
      <c r="R334" s="62"/>
      <c r="S334" s="62"/>
      <c r="T334" s="62"/>
      <c r="U334" s="67"/>
    </row>
    <row r="335" s="58" customFormat="1" spans="1:21">
      <c r="A335" s="61"/>
      <c r="B335" s="62"/>
      <c r="C335" s="79"/>
      <c r="D335" s="61"/>
      <c r="E335" s="141"/>
      <c r="F335" s="62"/>
      <c r="G335" s="62"/>
      <c r="H335" s="105"/>
      <c r="I335" s="61"/>
      <c r="J335" s="62"/>
      <c r="K335" s="65"/>
      <c r="L335" s="65"/>
      <c r="M335" s="62"/>
      <c r="N335" s="11"/>
      <c r="O335" s="66"/>
      <c r="P335" s="62"/>
      <c r="Q335" s="62"/>
      <c r="R335" s="62"/>
      <c r="S335" s="94"/>
      <c r="T335" s="62"/>
      <c r="U335" s="67"/>
    </row>
    <row r="336" s="58" customFormat="1" spans="1:21">
      <c r="A336" s="61"/>
      <c r="B336" s="62"/>
      <c r="C336" s="79"/>
      <c r="D336" s="61"/>
      <c r="E336" s="141"/>
      <c r="F336" s="62"/>
      <c r="G336" s="62"/>
      <c r="H336" s="105"/>
      <c r="I336" s="61"/>
      <c r="J336" s="62"/>
      <c r="K336" s="65"/>
      <c r="L336" s="65"/>
      <c r="M336" s="62"/>
      <c r="N336" s="11"/>
      <c r="O336" s="66"/>
      <c r="P336" s="62"/>
      <c r="Q336" s="62"/>
      <c r="R336" s="62"/>
      <c r="S336" s="94"/>
      <c r="T336" s="62"/>
      <c r="U336" s="67"/>
    </row>
    <row r="337" s="58" customFormat="1" spans="1:21">
      <c r="A337" s="61"/>
      <c r="B337" s="62"/>
      <c r="C337" s="79"/>
      <c r="D337" s="61"/>
      <c r="E337" s="64"/>
      <c r="F337" s="62"/>
      <c r="G337" s="62"/>
      <c r="H337" s="62"/>
      <c r="I337" s="61"/>
      <c r="J337" s="62"/>
      <c r="K337" s="65"/>
      <c r="L337" s="65"/>
      <c r="M337" s="62"/>
      <c r="N337" s="11"/>
      <c r="O337" s="66"/>
      <c r="P337" s="62"/>
      <c r="Q337" s="62"/>
      <c r="R337" s="62"/>
      <c r="S337" s="94"/>
      <c r="T337" s="62"/>
      <c r="U337" s="67"/>
    </row>
    <row r="338" s="58" customFormat="1" spans="1:21">
      <c r="A338" s="61"/>
      <c r="B338" s="62"/>
      <c r="C338" s="79"/>
      <c r="D338" s="61"/>
      <c r="E338" s="64"/>
      <c r="F338" s="62"/>
      <c r="G338" s="62"/>
      <c r="H338" s="62"/>
      <c r="I338" s="61"/>
      <c r="J338" s="62"/>
      <c r="K338" s="65"/>
      <c r="L338" s="65"/>
      <c r="M338" s="62"/>
      <c r="N338" s="11"/>
      <c r="O338" s="66"/>
      <c r="P338" s="62"/>
      <c r="Q338" s="62"/>
      <c r="R338" s="62"/>
      <c r="S338" s="62"/>
      <c r="T338" s="62"/>
      <c r="U338" s="67"/>
    </row>
    <row r="339" s="58" customFormat="1" spans="1:21">
      <c r="A339" s="61"/>
      <c r="B339" s="62"/>
      <c r="C339" s="79"/>
      <c r="D339" s="61"/>
      <c r="E339" s="64"/>
      <c r="F339" s="62"/>
      <c r="G339" s="62"/>
      <c r="H339" s="62"/>
      <c r="I339" s="61"/>
      <c r="J339" s="62"/>
      <c r="K339" s="65"/>
      <c r="L339" s="65"/>
      <c r="M339" s="62"/>
      <c r="N339" s="11"/>
      <c r="O339" s="66"/>
      <c r="P339" s="62"/>
      <c r="Q339" s="62"/>
      <c r="R339" s="62"/>
      <c r="S339" s="62"/>
      <c r="T339" s="62"/>
      <c r="U339" s="67"/>
    </row>
    <row r="340" s="58" customFormat="1" spans="1:21">
      <c r="A340" s="61"/>
      <c r="B340" s="62"/>
      <c r="C340" s="79"/>
      <c r="D340" s="61"/>
      <c r="E340" s="64"/>
      <c r="F340" s="62"/>
      <c r="G340" s="62"/>
      <c r="H340" s="62"/>
      <c r="I340" s="61"/>
      <c r="J340" s="62"/>
      <c r="K340" s="65"/>
      <c r="L340" s="65"/>
      <c r="M340" s="62"/>
      <c r="N340" s="11"/>
      <c r="O340" s="66"/>
      <c r="P340" s="62"/>
      <c r="Q340" s="62"/>
      <c r="R340" s="62"/>
      <c r="S340" s="62"/>
      <c r="T340" s="62"/>
      <c r="U340" s="67"/>
    </row>
    <row r="341" s="58" customFormat="1" spans="1:21">
      <c r="A341" s="61"/>
      <c r="B341" s="62"/>
      <c r="C341" s="79"/>
      <c r="D341" s="61"/>
      <c r="E341" s="64"/>
      <c r="F341" s="62"/>
      <c r="G341" s="62"/>
      <c r="H341" s="62"/>
      <c r="I341" s="62"/>
      <c r="J341" s="62"/>
      <c r="K341" s="65"/>
      <c r="L341" s="65"/>
      <c r="M341" s="62"/>
      <c r="N341" s="11"/>
      <c r="O341" s="66"/>
      <c r="P341" s="62"/>
      <c r="Q341" s="62"/>
      <c r="R341" s="62"/>
      <c r="S341" s="62"/>
      <c r="T341" s="62"/>
      <c r="U341" s="67"/>
    </row>
    <row r="342" s="58" customFormat="1" spans="1:21">
      <c r="A342" s="61"/>
      <c r="B342" s="62"/>
      <c r="C342" s="79"/>
      <c r="D342" s="61"/>
      <c r="E342" s="64"/>
      <c r="F342" s="62"/>
      <c r="G342" s="62"/>
      <c r="H342" s="62"/>
      <c r="I342" s="62"/>
      <c r="J342" s="62"/>
      <c r="K342" s="65"/>
      <c r="L342" s="65"/>
      <c r="M342" s="62"/>
      <c r="N342" s="11"/>
      <c r="O342" s="66"/>
      <c r="P342" s="62"/>
      <c r="Q342" s="62"/>
      <c r="R342" s="62"/>
      <c r="S342" s="92"/>
      <c r="T342" s="62"/>
      <c r="U342" s="67"/>
    </row>
    <row r="343" s="58" customFormat="1" spans="1:21">
      <c r="A343" s="61"/>
      <c r="B343" s="62"/>
      <c r="C343" s="79"/>
      <c r="D343" s="61"/>
      <c r="E343" s="64"/>
      <c r="F343" s="64"/>
      <c r="G343" s="62"/>
      <c r="H343" s="62"/>
      <c r="I343" s="62"/>
      <c r="J343" s="62"/>
      <c r="K343" s="65"/>
      <c r="L343" s="65"/>
      <c r="M343" s="62"/>
      <c r="N343" s="11"/>
      <c r="O343" s="66"/>
      <c r="P343" s="62"/>
      <c r="Q343" s="62"/>
      <c r="R343" s="62"/>
      <c r="S343" s="62"/>
      <c r="T343" s="62"/>
      <c r="U343" s="67"/>
    </row>
    <row r="344" s="58" customFormat="1" spans="1:21">
      <c r="A344" s="61"/>
      <c r="B344" s="62"/>
      <c r="C344" s="79"/>
      <c r="D344" s="61"/>
      <c r="E344" s="64"/>
      <c r="F344" s="64"/>
      <c r="G344" s="62"/>
      <c r="H344" s="62"/>
      <c r="I344" s="62"/>
      <c r="J344" s="62"/>
      <c r="K344" s="65"/>
      <c r="L344" s="65"/>
      <c r="M344" s="62"/>
      <c r="N344" s="11"/>
      <c r="O344" s="66"/>
      <c r="P344" s="62"/>
      <c r="Q344" s="62"/>
      <c r="R344" s="62"/>
      <c r="S344" s="62"/>
      <c r="T344" s="62"/>
      <c r="U344" s="67"/>
    </row>
    <row r="345" s="58" customFormat="1" spans="1:21">
      <c r="A345" s="61"/>
      <c r="B345" s="62"/>
      <c r="C345" s="79"/>
      <c r="D345" s="61"/>
      <c r="E345" s="64"/>
      <c r="F345" s="64"/>
      <c r="G345" s="62"/>
      <c r="H345" s="62"/>
      <c r="I345" s="62"/>
      <c r="J345" s="62"/>
      <c r="K345" s="65"/>
      <c r="L345" s="65"/>
      <c r="M345" s="62"/>
      <c r="N345" s="11"/>
      <c r="O345" s="66"/>
      <c r="P345" s="62"/>
      <c r="Q345" s="62"/>
      <c r="R345" s="62"/>
      <c r="S345" s="94"/>
      <c r="T345" s="62"/>
      <c r="U345" s="67"/>
    </row>
    <row r="346" s="58" customFormat="1" spans="1:21">
      <c r="A346" s="61"/>
      <c r="B346" s="62"/>
      <c r="C346" s="79"/>
      <c r="D346" s="61"/>
      <c r="E346" s="64"/>
      <c r="F346" s="64"/>
      <c r="G346" s="62"/>
      <c r="H346" s="62"/>
      <c r="I346" s="62"/>
      <c r="J346" s="62"/>
      <c r="K346" s="65"/>
      <c r="L346" s="65"/>
      <c r="M346" s="62"/>
      <c r="N346" s="11"/>
      <c r="O346" s="66"/>
      <c r="P346" s="62"/>
      <c r="Q346" s="62"/>
      <c r="R346" s="62"/>
      <c r="S346" s="92"/>
      <c r="T346" s="62"/>
      <c r="U346" s="67"/>
    </row>
    <row r="347" s="58" customFormat="1" spans="1:21">
      <c r="A347" s="61"/>
      <c r="B347" s="62"/>
      <c r="C347" s="79"/>
      <c r="D347" s="61"/>
      <c r="E347" s="64"/>
      <c r="F347" s="64"/>
      <c r="G347" s="62"/>
      <c r="H347" s="62"/>
      <c r="I347" s="62"/>
      <c r="J347" s="62"/>
      <c r="K347" s="65"/>
      <c r="L347" s="65"/>
      <c r="M347" s="62"/>
      <c r="N347" s="11"/>
      <c r="O347" s="66"/>
      <c r="P347" s="62"/>
      <c r="Q347" s="62"/>
      <c r="R347" s="62"/>
      <c r="S347" s="94"/>
      <c r="T347" s="62"/>
      <c r="U347" s="67"/>
    </row>
    <row r="348" s="58" customFormat="1" spans="1:21">
      <c r="A348" s="61"/>
      <c r="B348" s="62"/>
      <c r="C348" s="79"/>
      <c r="D348" s="61"/>
      <c r="E348" s="64"/>
      <c r="F348" s="64"/>
      <c r="G348" s="62"/>
      <c r="H348" s="62"/>
      <c r="I348" s="62"/>
      <c r="J348" s="62"/>
      <c r="K348" s="65"/>
      <c r="L348" s="65"/>
      <c r="M348" s="62"/>
      <c r="N348" s="11"/>
      <c r="O348" s="66"/>
      <c r="P348" s="62"/>
      <c r="Q348" s="62"/>
      <c r="R348" s="62"/>
      <c r="S348" s="92"/>
      <c r="T348" s="62"/>
      <c r="U348" s="67"/>
    </row>
    <row r="349" s="58" customFormat="1" spans="1:21">
      <c r="A349" s="61"/>
      <c r="B349" s="62"/>
      <c r="C349" s="79"/>
      <c r="D349" s="61"/>
      <c r="E349" s="64"/>
      <c r="F349" s="64"/>
      <c r="G349" s="62"/>
      <c r="H349" s="62"/>
      <c r="I349" s="62"/>
      <c r="J349" s="62"/>
      <c r="K349" s="65"/>
      <c r="L349" s="65"/>
      <c r="M349" s="62"/>
      <c r="N349" s="11"/>
      <c r="O349" s="66"/>
      <c r="P349" s="62"/>
      <c r="Q349" s="62"/>
      <c r="R349" s="62"/>
      <c r="S349" s="94"/>
      <c r="T349" s="62"/>
      <c r="U349" s="67"/>
    </row>
    <row r="350" s="58" customFormat="1" spans="1:21">
      <c r="A350" s="61"/>
      <c r="B350" s="62"/>
      <c r="C350" s="79"/>
      <c r="D350" s="61"/>
      <c r="E350" s="64"/>
      <c r="F350" s="64"/>
      <c r="G350" s="62"/>
      <c r="H350" s="62"/>
      <c r="I350" s="62"/>
      <c r="J350" s="62"/>
      <c r="K350" s="65"/>
      <c r="L350" s="65"/>
      <c r="M350" s="62"/>
      <c r="N350" s="11"/>
      <c r="O350" s="66"/>
      <c r="P350" s="62"/>
      <c r="Q350" s="62"/>
      <c r="R350" s="62"/>
      <c r="S350" s="92"/>
      <c r="T350" s="62"/>
      <c r="U350" s="67"/>
    </row>
    <row r="351" s="58" customFormat="1" spans="1:21">
      <c r="A351" s="61"/>
      <c r="B351" s="62"/>
      <c r="C351" s="79"/>
      <c r="D351" s="61"/>
      <c r="E351" s="64"/>
      <c r="F351" s="64"/>
      <c r="G351" s="62"/>
      <c r="H351" s="62"/>
      <c r="I351" s="62"/>
      <c r="J351" s="62"/>
      <c r="K351" s="65"/>
      <c r="L351" s="65"/>
      <c r="M351" s="62"/>
      <c r="N351" s="11"/>
      <c r="O351" s="66"/>
      <c r="P351" s="62"/>
      <c r="Q351" s="62"/>
      <c r="R351" s="62"/>
      <c r="S351" s="62"/>
      <c r="T351" s="62"/>
      <c r="U351" s="67"/>
    </row>
    <row r="352" s="58" customFormat="1" spans="1:21">
      <c r="A352" s="61"/>
      <c r="B352" s="62"/>
      <c r="C352" s="79"/>
      <c r="D352" s="61"/>
      <c r="E352" s="64"/>
      <c r="F352" s="64"/>
      <c r="G352" s="62"/>
      <c r="H352" s="62"/>
      <c r="I352" s="62"/>
      <c r="J352" s="62"/>
      <c r="K352" s="65"/>
      <c r="L352" s="65"/>
      <c r="M352" s="62"/>
      <c r="N352" s="11"/>
      <c r="O352" s="66"/>
      <c r="P352" s="62"/>
      <c r="Q352" s="62"/>
      <c r="R352" s="62"/>
      <c r="S352" s="62"/>
      <c r="T352" s="62"/>
      <c r="U352" s="67"/>
    </row>
    <row r="353" s="58" customFormat="1" spans="1:21">
      <c r="A353" s="61"/>
      <c r="B353" s="62"/>
      <c r="C353" s="79"/>
      <c r="D353" s="61"/>
      <c r="E353" s="64"/>
      <c r="F353" s="64"/>
      <c r="G353" s="62"/>
      <c r="H353" s="62"/>
      <c r="I353" s="62"/>
      <c r="J353" s="62"/>
      <c r="K353" s="65"/>
      <c r="L353" s="65"/>
      <c r="M353" s="62"/>
      <c r="N353" s="11"/>
      <c r="O353" s="66"/>
      <c r="P353" s="62"/>
      <c r="Q353" s="62"/>
      <c r="R353" s="62"/>
      <c r="S353" s="62"/>
      <c r="T353" s="62"/>
      <c r="U353" s="67"/>
    </row>
    <row r="354" s="58" customFormat="1" spans="1:21">
      <c r="A354" s="61"/>
      <c r="B354" s="62"/>
      <c r="C354" s="79"/>
      <c r="D354" s="61"/>
      <c r="E354" s="64"/>
      <c r="F354" s="64"/>
      <c r="G354" s="62"/>
      <c r="H354" s="62"/>
      <c r="I354" s="62"/>
      <c r="J354" s="62"/>
      <c r="K354" s="65"/>
      <c r="L354" s="65"/>
      <c r="M354" s="62"/>
      <c r="N354" s="11"/>
      <c r="O354" s="66"/>
      <c r="P354" s="62"/>
      <c r="Q354" s="62"/>
      <c r="R354" s="62"/>
      <c r="S354" s="62"/>
      <c r="T354" s="62"/>
      <c r="U354" s="67"/>
    </row>
    <row r="355" s="58" customFormat="1" spans="1:21">
      <c r="A355" s="61"/>
      <c r="B355" s="62"/>
      <c r="C355" s="79"/>
      <c r="D355" s="61"/>
      <c r="E355" s="64"/>
      <c r="F355" s="64"/>
      <c r="G355" s="62"/>
      <c r="H355" s="62"/>
      <c r="I355" s="62"/>
      <c r="J355" s="62"/>
      <c r="K355" s="65"/>
      <c r="L355" s="65"/>
      <c r="M355" s="62"/>
      <c r="N355" s="11"/>
      <c r="O355" s="66"/>
      <c r="P355" s="62"/>
      <c r="Q355" s="62"/>
      <c r="R355" s="62"/>
      <c r="S355" s="62"/>
      <c r="T355" s="62"/>
      <c r="U355" s="67"/>
    </row>
    <row r="356" s="58" customFormat="1" spans="1:21">
      <c r="A356" s="61"/>
      <c r="B356" s="62"/>
      <c r="C356" s="79"/>
      <c r="D356" s="61"/>
      <c r="E356" s="64"/>
      <c r="F356" s="64"/>
      <c r="G356" s="62"/>
      <c r="H356" s="62"/>
      <c r="I356" s="62"/>
      <c r="J356" s="62"/>
      <c r="K356" s="65"/>
      <c r="L356" s="65"/>
      <c r="M356" s="62"/>
      <c r="N356" s="11"/>
      <c r="O356" s="66"/>
      <c r="P356" s="62"/>
      <c r="Q356" s="62"/>
      <c r="R356" s="62"/>
      <c r="S356" s="94"/>
      <c r="T356" s="62"/>
      <c r="U356" s="67"/>
    </row>
    <row r="357" s="58" customFormat="1" spans="1:21">
      <c r="A357" s="61"/>
      <c r="B357" s="62"/>
      <c r="C357" s="79"/>
      <c r="D357" s="61"/>
      <c r="E357" s="64"/>
      <c r="F357" s="64"/>
      <c r="G357" s="62"/>
      <c r="H357" s="62"/>
      <c r="I357" s="62"/>
      <c r="J357" s="62"/>
      <c r="K357" s="65"/>
      <c r="L357" s="65"/>
      <c r="M357" s="62"/>
      <c r="N357" s="11"/>
      <c r="O357" s="66"/>
      <c r="P357" s="62"/>
      <c r="Q357" s="62"/>
      <c r="R357" s="62"/>
      <c r="S357" s="92"/>
      <c r="T357" s="62"/>
      <c r="U357" s="67"/>
    </row>
    <row r="358" s="58" customFormat="1" spans="1:21">
      <c r="A358" s="61"/>
      <c r="B358" s="62"/>
      <c r="C358" s="79"/>
      <c r="D358" s="61"/>
      <c r="E358" s="64"/>
      <c r="F358" s="64"/>
      <c r="G358" s="62"/>
      <c r="H358" s="62"/>
      <c r="I358" s="62"/>
      <c r="J358" s="62"/>
      <c r="K358" s="65"/>
      <c r="L358" s="65"/>
      <c r="M358" s="62"/>
      <c r="N358" s="11"/>
      <c r="O358" s="66"/>
      <c r="P358" s="62"/>
      <c r="Q358" s="62"/>
      <c r="R358" s="62"/>
      <c r="S358" s="62"/>
      <c r="T358" s="62"/>
      <c r="U358" s="67"/>
    </row>
    <row r="359" s="58" customFormat="1" spans="1:21">
      <c r="A359" s="61"/>
      <c r="B359" s="62"/>
      <c r="C359" s="79"/>
      <c r="D359" s="61"/>
      <c r="E359" s="64"/>
      <c r="F359" s="64"/>
      <c r="G359" s="62"/>
      <c r="H359" s="62"/>
      <c r="I359" s="62"/>
      <c r="J359" s="62"/>
      <c r="K359" s="65"/>
      <c r="L359" s="65"/>
      <c r="M359" s="62"/>
      <c r="N359" s="11"/>
      <c r="O359" s="89"/>
      <c r="P359" s="62"/>
      <c r="Q359" s="62"/>
      <c r="R359" s="62"/>
      <c r="S359" s="62"/>
      <c r="T359" s="62"/>
      <c r="U359" s="67"/>
    </row>
    <row r="360" s="58" customFormat="1" spans="1:21">
      <c r="A360" s="61"/>
      <c r="B360" s="62"/>
      <c r="C360" s="79"/>
      <c r="D360" s="61"/>
      <c r="E360" s="64"/>
      <c r="F360" s="64"/>
      <c r="G360" s="62"/>
      <c r="H360" s="62"/>
      <c r="I360" s="62"/>
      <c r="J360" s="62"/>
      <c r="K360" s="65"/>
      <c r="L360" s="65"/>
      <c r="M360" s="62"/>
      <c r="N360" s="11"/>
      <c r="O360" s="89"/>
      <c r="P360" s="62"/>
      <c r="Q360" s="62"/>
      <c r="R360" s="62"/>
      <c r="S360" s="62"/>
      <c r="T360" s="62"/>
      <c r="U360" s="67"/>
    </row>
    <row r="361" s="58" customFormat="1" spans="1:21">
      <c r="A361" s="61"/>
      <c r="B361" s="62"/>
      <c r="C361" s="79"/>
      <c r="D361" s="61"/>
      <c r="E361" s="64"/>
      <c r="F361" s="64"/>
      <c r="G361" s="62"/>
      <c r="H361" s="62"/>
      <c r="I361" s="62"/>
      <c r="J361" s="62"/>
      <c r="K361" s="65"/>
      <c r="L361" s="65"/>
      <c r="M361" s="62"/>
      <c r="N361" s="11"/>
      <c r="O361" s="66"/>
      <c r="P361" s="62"/>
      <c r="Q361" s="62"/>
      <c r="R361" s="62"/>
      <c r="S361" s="62"/>
      <c r="T361" s="62"/>
      <c r="U361" s="67"/>
    </row>
    <row r="362" s="58" customFormat="1" spans="1:21">
      <c r="A362" s="61"/>
      <c r="B362" s="62"/>
      <c r="C362" s="79"/>
      <c r="D362" s="61"/>
      <c r="E362" s="64"/>
      <c r="F362" s="64"/>
      <c r="G362" s="62"/>
      <c r="H362" s="62"/>
      <c r="I362" s="62"/>
      <c r="J362" s="62"/>
      <c r="K362" s="65"/>
      <c r="L362" s="65"/>
      <c r="M362" s="62"/>
      <c r="N362" s="11"/>
      <c r="O362" s="66"/>
      <c r="P362" s="62"/>
      <c r="Q362" s="62"/>
      <c r="R362" s="62"/>
      <c r="S362" s="62"/>
      <c r="T362" s="62"/>
      <c r="U362" s="67"/>
    </row>
    <row r="363" s="58" customFormat="1" spans="1:21">
      <c r="A363" s="61"/>
      <c r="B363" s="62"/>
      <c r="C363" s="79"/>
      <c r="D363" s="61"/>
      <c r="E363" s="64"/>
      <c r="F363" s="64"/>
      <c r="G363" s="62"/>
      <c r="H363" s="62"/>
      <c r="I363" s="62"/>
      <c r="J363" s="62"/>
      <c r="K363" s="65"/>
      <c r="L363" s="65"/>
      <c r="M363" s="62"/>
      <c r="N363" s="11"/>
      <c r="O363" s="66"/>
      <c r="P363" s="62"/>
      <c r="Q363" s="62"/>
      <c r="R363" s="62"/>
      <c r="S363" s="62"/>
      <c r="T363" s="62"/>
      <c r="U363" s="67"/>
    </row>
    <row r="364" s="58" customFormat="1" spans="1:21">
      <c r="A364" s="61"/>
      <c r="B364" s="62"/>
      <c r="C364" s="79"/>
      <c r="D364" s="61"/>
      <c r="E364" s="64"/>
      <c r="F364" s="64"/>
      <c r="G364" s="62"/>
      <c r="H364" s="62"/>
      <c r="I364" s="62"/>
      <c r="J364" s="62"/>
      <c r="K364" s="65"/>
      <c r="L364" s="65"/>
      <c r="M364" s="62"/>
      <c r="N364" s="11"/>
      <c r="O364" s="66"/>
      <c r="P364" s="62"/>
      <c r="Q364" s="62"/>
      <c r="R364" s="62"/>
      <c r="S364" s="62"/>
      <c r="T364" s="62"/>
      <c r="U364" s="67"/>
    </row>
    <row r="365" s="58" customFormat="1" spans="1:21">
      <c r="A365" s="61"/>
      <c r="B365" s="62"/>
      <c r="C365" s="79"/>
      <c r="D365" s="61"/>
      <c r="E365" s="64"/>
      <c r="F365" s="64"/>
      <c r="G365" s="62"/>
      <c r="H365" s="62"/>
      <c r="I365" s="62"/>
      <c r="J365" s="62"/>
      <c r="K365" s="65"/>
      <c r="L365" s="65"/>
      <c r="M365" s="62"/>
      <c r="N365" s="11"/>
      <c r="O365" s="66"/>
      <c r="P365" s="62"/>
      <c r="Q365" s="62"/>
      <c r="R365" s="62"/>
      <c r="S365" s="62"/>
      <c r="T365" s="62"/>
      <c r="U365" s="67"/>
    </row>
    <row r="366" s="58" customFormat="1" spans="1:21">
      <c r="A366" s="61"/>
      <c r="B366" s="62"/>
      <c r="C366" s="79"/>
      <c r="D366" s="61"/>
      <c r="E366" s="64"/>
      <c r="F366" s="64"/>
      <c r="G366" s="62"/>
      <c r="H366" s="62"/>
      <c r="I366" s="62"/>
      <c r="J366" s="62"/>
      <c r="K366" s="65"/>
      <c r="L366" s="65"/>
      <c r="M366" s="62"/>
      <c r="N366" s="11"/>
      <c r="O366" s="66"/>
      <c r="P366" s="62"/>
      <c r="Q366" s="62"/>
      <c r="R366" s="62"/>
      <c r="S366" s="62"/>
      <c r="T366" s="62"/>
      <c r="U366" s="67"/>
    </row>
    <row r="367" s="58" customFormat="1" spans="1:21">
      <c r="A367" s="61"/>
      <c r="B367" s="62"/>
      <c r="C367" s="79"/>
      <c r="D367" s="61"/>
      <c r="E367" s="64"/>
      <c r="F367" s="64"/>
      <c r="G367" s="62"/>
      <c r="H367" s="62"/>
      <c r="I367" s="62"/>
      <c r="J367" s="62"/>
      <c r="K367" s="65"/>
      <c r="L367" s="65"/>
      <c r="M367" s="62"/>
      <c r="N367" s="11"/>
      <c r="O367" s="66"/>
      <c r="P367" s="62"/>
      <c r="Q367" s="62"/>
      <c r="R367" s="62"/>
      <c r="S367" s="62"/>
      <c r="T367" s="62"/>
      <c r="U367" s="67"/>
    </row>
    <row r="368" s="58" customFormat="1" spans="1:21">
      <c r="A368" s="61"/>
      <c r="B368" s="62"/>
      <c r="C368" s="79"/>
      <c r="D368" s="61"/>
      <c r="E368" s="64"/>
      <c r="F368" s="64"/>
      <c r="G368" s="62"/>
      <c r="H368" s="62"/>
      <c r="I368" s="62"/>
      <c r="J368" s="62"/>
      <c r="K368" s="65"/>
      <c r="L368" s="65"/>
      <c r="M368" s="62"/>
      <c r="N368" s="11"/>
      <c r="O368" s="66"/>
      <c r="P368" s="62"/>
      <c r="Q368" s="62"/>
      <c r="R368" s="62"/>
      <c r="S368" s="62"/>
      <c r="T368" s="62"/>
      <c r="U368" s="67"/>
    </row>
    <row r="369" s="58" customFormat="1" spans="1:21">
      <c r="A369" s="61"/>
      <c r="B369" s="62"/>
      <c r="C369" s="79"/>
      <c r="D369" s="61"/>
      <c r="E369" s="64"/>
      <c r="F369" s="64"/>
      <c r="G369" s="62"/>
      <c r="H369" s="62"/>
      <c r="I369" s="62"/>
      <c r="J369" s="62"/>
      <c r="K369" s="65"/>
      <c r="L369" s="65"/>
      <c r="M369" s="62"/>
      <c r="N369" s="11"/>
      <c r="O369" s="66"/>
      <c r="P369" s="62"/>
      <c r="Q369" s="62"/>
      <c r="R369" s="62"/>
      <c r="S369" s="62"/>
      <c r="T369" s="62"/>
      <c r="U369" s="67"/>
    </row>
    <row r="370" s="58" customFormat="1" spans="1:21">
      <c r="A370" s="61"/>
      <c r="B370" s="62"/>
      <c r="C370" s="79"/>
      <c r="D370" s="61"/>
      <c r="E370" s="64"/>
      <c r="F370" s="64"/>
      <c r="G370" s="62"/>
      <c r="H370" s="62"/>
      <c r="I370" s="62"/>
      <c r="J370" s="62"/>
      <c r="K370" s="65"/>
      <c r="L370" s="65"/>
      <c r="M370" s="62"/>
      <c r="N370" s="11"/>
      <c r="O370" s="66"/>
      <c r="P370" s="62"/>
      <c r="Q370" s="62"/>
      <c r="R370" s="62"/>
      <c r="S370" s="62"/>
      <c r="T370" s="62"/>
      <c r="U370" s="67"/>
    </row>
    <row r="371" s="58" customFormat="1" spans="1:21">
      <c r="A371" s="61"/>
      <c r="B371" s="62"/>
      <c r="C371" s="79"/>
      <c r="D371" s="61"/>
      <c r="E371" s="64"/>
      <c r="F371" s="64"/>
      <c r="G371" s="62"/>
      <c r="H371" s="62"/>
      <c r="I371" s="62"/>
      <c r="J371" s="62"/>
      <c r="K371" s="65"/>
      <c r="L371" s="65"/>
      <c r="M371" s="62"/>
      <c r="N371" s="11"/>
      <c r="O371" s="66"/>
      <c r="P371" s="62"/>
      <c r="Q371" s="62"/>
      <c r="R371" s="62"/>
      <c r="S371" s="62"/>
      <c r="T371" s="62"/>
      <c r="U371" s="67"/>
    </row>
    <row r="372" s="58" customFormat="1" spans="1:21">
      <c r="A372" s="61"/>
      <c r="B372" s="62"/>
      <c r="C372" s="79"/>
      <c r="D372" s="61"/>
      <c r="E372" s="64"/>
      <c r="F372" s="64"/>
      <c r="G372" s="62"/>
      <c r="H372" s="62"/>
      <c r="I372" s="62"/>
      <c r="J372" s="62"/>
      <c r="K372" s="65"/>
      <c r="L372" s="65"/>
      <c r="M372" s="62"/>
      <c r="N372" s="11"/>
      <c r="O372" s="66"/>
      <c r="P372" s="62"/>
      <c r="Q372" s="62"/>
      <c r="R372" s="62"/>
      <c r="S372" s="62"/>
      <c r="T372" s="62"/>
      <c r="U372" s="67"/>
    </row>
    <row r="373" s="58" customFormat="1" spans="1:21">
      <c r="A373" s="61"/>
      <c r="B373" s="62"/>
      <c r="C373" s="79"/>
      <c r="D373" s="61"/>
      <c r="E373" s="64"/>
      <c r="F373" s="64"/>
      <c r="G373" s="62"/>
      <c r="H373" s="62"/>
      <c r="I373" s="62"/>
      <c r="J373" s="62"/>
      <c r="K373" s="65"/>
      <c r="L373" s="65"/>
      <c r="M373" s="62"/>
      <c r="N373" s="11"/>
      <c r="O373" s="66"/>
      <c r="P373" s="62"/>
      <c r="Q373" s="62"/>
      <c r="R373" s="62"/>
      <c r="S373" s="62"/>
      <c r="T373" s="62"/>
      <c r="U373" s="67"/>
    </row>
    <row r="374" s="58" customFormat="1" spans="1:21">
      <c r="A374" s="61"/>
      <c r="B374" s="62"/>
      <c r="C374" s="79"/>
      <c r="D374" s="61"/>
      <c r="E374" s="64"/>
      <c r="F374" s="64"/>
      <c r="G374" s="62"/>
      <c r="H374" s="62"/>
      <c r="I374" s="62"/>
      <c r="J374" s="62"/>
      <c r="K374" s="65"/>
      <c r="L374" s="65"/>
      <c r="M374" s="62"/>
      <c r="N374" s="11"/>
      <c r="O374" s="66"/>
      <c r="P374" s="62"/>
      <c r="Q374" s="62"/>
      <c r="R374" s="62"/>
      <c r="S374" s="62"/>
      <c r="T374" s="62"/>
      <c r="U374" s="67"/>
    </row>
    <row r="375" s="58" customFormat="1" spans="1:21">
      <c r="A375" s="61"/>
      <c r="B375" s="62"/>
      <c r="C375" s="79"/>
      <c r="D375" s="61"/>
      <c r="E375" s="64"/>
      <c r="F375" s="64"/>
      <c r="G375" s="62"/>
      <c r="H375" s="62"/>
      <c r="I375" s="62"/>
      <c r="J375" s="62"/>
      <c r="K375" s="65"/>
      <c r="L375" s="65"/>
      <c r="M375" s="62"/>
      <c r="N375" s="11"/>
      <c r="O375" s="66"/>
      <c r="P375" s="62"/>
      <c r="Q375" s="62"/>
      <c r="R375" s="62"/>
      <c r="S375" s="62"/>
      <c r="T375" s="62"/>
      <c r="U375" s="67"/>
    </row>
    <row r="376" s="58" customFormat="1" spans="1:21">
      <c r="A376" s="61"/>
      <c r="B376" s="62"/>
      <c r="C376" s="79"/>
      <c r="D376" s="61"/>
      <c r="E376" s="64"/>
      <c r="F376" s="64"/>
      <c r="G376" s="62"/>
      <c r="H376" s="62"/>
      <c r="I376" s="62"/>
      <c r="J376" s="62"/>
      <c r="K376" s="65"/>
      <c r="L376" s="65"/>
      <c r="M376" s="62"/>
      <c r="N376" s="11"/>
      <c r="O376" s="121"/>
      <c r="P376" s="62"/>
      <c r="Q376" s="62"/>
      <c r="R376" s="62"/>
      <c r="S376" s="62"/>
      <c r="T376" s="62"/>
      <c r="U376" s="67"/>
    </row>
    <row r="377" s="58" customFormat="1" spans="1:21">
      <c r="A377" s="61"/>
      <c r="B377" s="62"/>
      <c r="C377" s="79"/>
      <c r="D377" s="61"/>
      <c r="E377" s="64"/>
      <c r="F377" s="64"/>
      <c r="G377" s="62"/>
      <c r="H377" s="62"/>
      <c r="I377" s="62"/>
      <c r="J377" s="62"/>
      <c r="K377" s="65"/>
      <c r="L377" s="65"/>
      <c r="M377" s="62"/>
      <c r="N377" s="11"/>
      <c r="O377" s="66"/>
      <c r="P377" s="62"/>
      <c r="Q377" s="62"/>
      <c r="R377" s="62"/>
      <c r="S377" s="62"/>
      <c r="T377" s="62"/>
      <c r="U377" s="67"/>
    </row>
    <row r="378" s="58" customFormat="1" spans="1:21">
      <c r="A378" s="61"/>
      <c r="B378" s="62"/>
      <c r="C378" s="79"/>
      <c r="D378" s="61"/>
      <c r="E378" s="64"/>
      <c r="F378" s="64"/>
      <c r="G378" s="62"/>
      <c r="H378" s="62"/>
      <c r="I378" s="62"/>
      <c r="J378" s="62"/>
      <c r="K378" s="65"/>
      <c r="L378" s="65"/>
      <c r="M378" s="62"/>
      <c r="N378" s="11"/>
      <c r="O378" s="66"/>
      <c r="P378" s="62"/>
      <c r="Q378" s="62"/>
      <c r="R378" s="62"/>
      <c r="S378" s="62"/>
      <c r="T378" s="62"/>
      <c r="U378" s="67"/>
    </row>
    <row r="379" s="58" customFormat="1" spans="1:21">
      <c r="A379" s="61"/>
      <c r="B379" s="62"/>
      <c r="C379" s="79"/>
      <c r="D379" s="61"/>
      <c r="E379" s="64"/>
      <c r="F379" s="64"/>
      <c r="G379" s="62"/>
      <c r="H379" s="62"/>
      <c r="I379" s="62"/>
      <c r="J379" s="62"/>
      <c r="K379" s="106"/>
      <c r="L379" s="65"/>
      <c r="M379" s="62"/>
      <c r="N379" s="11"/>
      <c r="O379" s="66"/>
      <c r="P379" s="62"/>
      <c r="Q379" s="62"/>
      <c r="R379" s="62"/>
      <c r="S379" s="62"/>
      <c r="T379" s="62"/>
      <c r="U379" s="67"/>
    </row>
    <row r="380" s="58" customFormat="1" spans="1:21">
      <c r="A380" s="61"/>
      <c r="B380" s="62"/>
      <c r="C380" s="79"/>
      <c r="D380" s="61"/>
      <c r="E380" s="64"/>
      <c r="F380" s="64"/>
      <c r="G380" s="62"/>
      <c r="H380" s="62"/>
      <c r="I380" s="62"/>
      <c r="J380" s="62"/>
      <c r="K380" s="106"/>
      <c r="L380" s="65"/>
      <c r="M380" s="62"/>
      <c r="N380" s="11"/>
      <c r="O380" s="66"/>
      <c r="P380" s="62"/>
      <c r="Q380" s="62"/>
      <c r="R380" s="62"/>
      <c r="S380" s="62"/>
      <c r="T380" s="62"/>
      <c r="U380" s="67"/>
    </row>
    <row r="381" s="58" customFormat="1" spans="1:21">
      <c r="A381" s="61"/>
      <c r="B381" s="62"/>
      <c r="C381" s="79"/>
      <c r="D381" s="61"/>
      <c r="E381" s="64"/>
      <c r="F381" s="64"/>
      <c r="G381" s="62"/>
      <c r="H381" s="62"/>
      <c r="I381" s="62"/>
      <c r="J381" s="62"/>
      <c r="K381" s="106"/>
      <c r="L381" s="65"/>
      <c r="M381" s="62"/>
      <c r="N381" s="11"/>
      <c r="O381" s="66"/>
      <c r="P381" s="62"/>
      <c r="Q381" s="62"/>
      <c r="R381" s="62"/>
      <c r="S381" s="62"/>
      <c r="T381" s="62"/>
      <c r="U381" s="67"/>
    </row>
    <row r="382" s="58" customFormat="1" spans="1:21">
      <c r="A382" s="61"/>
      <c r="B382" s="62"/>
      <c r="C382" s="79"/>
      <c r="D382" s="61"/>
      <c r="E382" s="64"/>
      <c r="F382" s="64"/>
      <c r="G382" s="62"/>
      <c r="H382" s="62"/>
      <c r="I382" s="62"/>
      <c r="J382" s="62"/>
      <c r="K382" s="65"/>
      <c r="L382" s="65"/>
      <c r="M382" s="62"/>
      <c r="N382" s="11"/>
      <c r="O382" s="66"/>
      <c r="P382" s="62"/>
      <c r="Q382" s="62"/>
      <c r="R382" s="62"/>
      <c r="S382" s="62"/>
      <c r="T382" s="62"/>
      <c r="U382" s="67"/>
    </row>
    <row r="383" s="58" customFormat="1" spans="1:21">
      <c r="A383" s="61"/>
      <c r="B383" s="62"/>
      <c r="C383" s="79"/>
      <c r="D383" s="61"/>
      <c r="E383" s="64"/>
      <c r="F383" s="64"/>
      <c r="G383" s="62"/>
      <c r="H383" s="62"/>
      <c r="I383" s="62"/>
      <c r="J383" s="62"/>
      <c r="K383" s="65"/>
      <c r="L383" s="65"/>
      <c r="M383" s="62"/>
      <c r="N383" s="11"/>
      <c r="O383" s="66"/>
      <c r="P383" s="62"/>
      <c r="Q383" s="62"/>
      <c r="R383" s="62"/>
      <c r="S383" s="62"/>
      <c r="T383" s="62"/>
      <c r="U383" s="67"/>
    </row>
    <row r="384" s="58" customFormat="1" spans="1:21">
      <c r="A384" s="61"/>
      <c r="B384" s="62"/>
      <c r="C384" s="79"/>
      <c r="D384" s="61"/>
      <c r="E384" s="64"/>
      <c r="F384" s="64"/>
      <c r="G384" s="62"/>
      <c r="H384" s="62"/>
      <c r="I384" s="62"/>
      <c r="J384" s="62"/>
      <c r="K384" s="65"/>
      <c r="L384" s="65"/>
      <c r="M384" s="62"/>
      <c r="N384" s="11"/>
      <c r="O384" s="66"/>
      <c r="P384" s="62"/>
      <c r="Q384" s="62"/>
      <c r="R384" s="62"/>
      <c r="S384" s="62"/>
      <c r="T384" s="62"/>
      <c r="U384" s="67"/>
    </row>
    <row r="385" s="58" customFormat="1" spans="1:21">
      <c r="A385" s="61"/>
      <c r="B385" s="62"/>
      <c r="C385" s="79"/>
      <c r="D385" s="61"/>
      <c r="E385" s="64"/>
      <c r="F385" s="64"/>
      <c r="G385" s="62"/>
      <c r="H385" s="62"/>
      <c r="I385" s="122"/>
      <c r="J385" s="62"/>
      <c r="K385" s="65"/>
      <c r="L385" s="65"/>
      <c r="M385" s="62"/>
      <c r="N385" s="11"/>
      <c r="O385" s="66"/>
      <c r="P385" s="62"/>
      <c r="Q385" s="62"/>
      <c r="R385" s="62"/>
      <c r="S385" s="62"/>
      <c r="T385" s="62"/>
      <c r="U385" s="67"/>
    </row>
    <row r="386" s="58" customFormat="1" spans="1:21">
      <c r="A386" s="61"/>
      <c r="B386" s="62"/>
      <c r="C386" s="79"/>
      <c r="D386" s="61"/>
      <c r="E386" s="64"/>
      <c r="F386" s="64"/>
      <c r="G386" s="62"/>
      <c r="H386" s="62"/>
      <c r="I386" s="62"/>
      <c r="J386" s="62"/>
      <c r="K386" s="65"/>
      <c r="L386" s="65"/>
      <c r="M386" s="62"/>
      <c r="N386" s="11"/>
      <c r="O386" s="66"/>
      <c r="P386" s="62"/>
      <c r="Q386" s="62"/>
      <c r="R386" s="62"/>
      <c r="S386" s="62"/>
      <c r="T386" s="62"/>
      <c r="U386" s="67"/>
    </row>
    <row r="387" s="58" customFormat="1" spans="1:21">
      <c r="A387" s="61"/>
      <c r="B387" s="62"/>
      <c r="C387" s="79"/>
      <c r="D387" s="61"/>
      <c r="E387" s="64"/>
      <c r="F387" s="64"/>
      <c r="G387" s="62"/>
      <c r="H387" s="62"/>
      <c r="I387" s="62"/>
      <c r="J387" s="62"/>
      <c r="K387" s="65"/>
      <c r="L387" s="65"/>
      <c r="M387" s="62"/>
      <c r="N387" s="11"/>
      <c r="O387" s="66"/>
      <c r="P387" s="62"/>
      <c r="Q387" s="62"/>
      <c r="R387" s="62"/>
      <c r="S387" s="62"/>
      <c r="T387" s="62"/>
      <c r="U387" s="67"/>
    </row>
    <row r="388" s="58" customFormat="1" spans="1:21">
      <c r="A388" s="61"/>
      <c r="B388" s="62"/>
      <c r="C388" s="79"/>
      <c r="D388" s="61"/>
      <c r="E388" s="64"/>
      <c r="F388" s="64"/>
      <c r="G388" s="62"/>
      <c r="H388" s="62"/>
      <c r="I388" s="62"/>
      <c r="J388" s="62"/>
      <c r="K388" s="65"/>
      <c r="L388" s="65"/>
      <c r="M388" s="62"/>
      <c r="N388" s="11"/>
      <c r="O388" s="66"/>
      <c r="P388" s="62"/>
      <c r="Q388" s="62"/>
      <c r="R388" s="62"/>
      <c r="S388" s="94"/>
      <c r="T388" s="62"/>
      <c r="U388" s="67"/>
    </row>
    <row r="389" s="58" customFormat="1" spans="1:21">
      <c r="A389" s="61"/>
      <c r="B389" s="62"/>
      <c r="C389" s="79"/>
      <c r="D389" s="61"/>
      <c r="E389" s="64"/>
      <c r="F389" s="64"/>
      <c r="G389" s="62"/>
      <c r="H389" s="62"/>
      <c r="I389" s="62"/>
      <c r="J389" s="62"/>
      <c r="K389" s="65"/>
      <c r="L389" s="65"/>
      <c r="M389" s="62"/>
      <c r="N389" s="11"/>
      <c r="O389" s="66"/>
      <c r="P389" s="62"/>
      <c r="Q389" s="62"/>
      <c r="R389" s="62"/>
      <c r="S389" s="92"/>
      <c r="T389" s="62"/>
      <c r="U389" s="67"/>
    </row>
    <row r="390" s="58" customFormat="1" spans="1:21">
      <c r="A390" s="61"/>
      <c r="B390" s="62"/>
      <c r="C390" s="79"/>
      <c r="D390" s="61"/>
      <c r="E390" s="64"/>
      <c r="F390" s="64"/>
      <c r="G390" s="62"/>
      <c r="H390" s="62"/>
      <c r="I390" s="62"/>
      <c r="J390" s="62"/>
      <c r="K390" s="65"/>
      <c r="L390" s="65"/>
      <c r="M390" s="62"/>
      <c r="N390" s="11"/>
      <c r="O390" s="123"/>
      <c r="P390" s="62"/>
      <c r="Q390" s="62"/>
      <c r="R390" s="62"/>
      <c r="S390" s="62"/>
      <c r="T390" s="62"/>
      <c r="U390" s="67"/>
    </row>
    <row r="391" s="58" customFormat="1" spans="1:21">
      <c r="A391" s="61"/>
      <c r="B391" s="62"/>
      <c r="C391" s="79"/>
      <c r="D391" s="61"/>
      <c r="E391" s="64"/>
      <c r="F391" s="64"/>
      <c r="G391" s="62"/>
      <c r="H391" s="62"/>
      <c r="I391" s="62"/>
      <c r="J391" s="62"/>
      <c r="K391" s="65"/>
      <c r="L391" s="65"/>
      <c r="M391" s="62"/>
      <c r="N391" s="11"/>
      <c r="O391" s="66"/>
      <c r="P391" s="62"/>
      <c r="Q391" s="62"/>
      <c r="R391" s="62"/>
      <c r="S391" s="62"/>
      <c r="T391" s="62"/>
      <c r="U391" s="67"/>
    </row>
    <row r="392" s="58" customFormat="1" spans="1:21">
      <c r="A392" s="61"/>
      <c r="B392" s="62"/>
      <c r="C392" s="79"/>
      <c r="D392" s="61"/>
      <c r="E392" s="64"/>
      <c r="F392" s="64"/>
      <c r="G392" s="62"/>
      <c r="H392" s="62"/>
      <c r="I392" s="62"/>
      <c r="J392" s="62"/>
      <c r="K392" s="65"/>
      <c r="L392" s="65"/>
      <c r="M392" s="62"/>
      <c r="N392" s="11"/>
      <c r="O392" s="66"/>
      <c r="P392" s="62"/>
      <c r="Q392" s="62"/>
      <c r="R392" s="62"/>
      <c r="S392" s="94"/>
      <c r="T392" s="62"/>
      <c r="U392" s="67"/>
    </row>
    <row r="393" s="58" customFormat="1" spans="1:21">
      <c r="A393" s="61"/>
      <c r="B393" s="62"/>
      <c r="C393" s="79"/>
      <c r="D393" s="61"/>
      <c r="E393" s="64"/>
      <c r="F393" s="64"/>
      <c r="G393" s="62"/>
      <c r="H393" s="62"/>
      <c r="I393" s="62"/>
      <c r="J393" s="62"/>
      <c r="K393" s="65"/>
      <c r="L393" s="65"/>
      <c r="M393" s="62"/>
      <c r="N393" s="11"/>
      <c r="O393" s="66"/>
      <c r="P393" s="62"/>
      <c r="Q393" s="62"/>
      <c r="R393" s="62"/>
      <c r="S393" s="92"/>
      <c r="T393" s="62"/>
      <c r="U393" s="67"/>
    </row>
    <row r="394" s="58" customFormat="1" spans="1:21">
      <c r="A394" s="61"/>
      <c r="B394" s="62"/>
      <c r="C394" s="79"/>
      <c r="D394" s="61"/>
      <c r="E394" s="64"/>
      <c r="F394" s="64"/>
      <c r="G394" s="62"/>
      <c r="H394" s="62"/>
      <c r="I394" s="62"/>
      <c r="J394" s="62"/>
      <c r="K394" s="65"/>
      <c r="L394" s="65"/>
      <c r="M394" s="62"/>
      <c r="N394" s="11"/>
      <c r="O394" s="66"/>
      <c r="P394" s="62"/>
      <c r="Q394" s="62"/>
      <c r="R394" s="62"/>
      <c r="S394" s="62"/>
      <c r="T394" s="62"/>
      <c r="U394" s="67"/>
    </row>
    <row r="395" s="58" customFormat="1" spans="1:21">
      <c r="A395" s="61"/>
      <c r="B395" s="62"/>
      <c r="C395" s="79"/>
      <c r="D395" s="61"/>
      <c r="E395" s="64"/>
      <c r="F395" s="64"/>
      <c r="G395" s="62"/>
      <c r="H395" s="62"/>
      <c r="I395" s="62"/>
      <c r="J395" s="62"/>
      <c r="K395" s="65"/>
      <c r="L395" s="65"/>
      <c r="M395" s="62"/>
      <c r="N395" s="11"/>
      <c r="O395" s="66"/>
      <c r="P395" s="62"/>
      <c r="Q395" s="62"/>
      <c r="R395" s="62"/>
      <c r="S395" s="94"/>
      <c r="T395" s="62"/>
      <c r="U395" s="67"/>
    </row>
    <row r="396" s="58" customFormat="1" spans="1:21">
      <c r="A396" s="61"/>
      <c r="B396" s="62"/>
      <c r="C396" s="79"/>
      <c r="D396" s="61"/>
      <c r="E396" s="64"/>
      <c r="F396" s="64"/>
      <c r="G396" s="62"/>
      <c r="H396" s="62"/>
      <c r="I396" s="62"/>
      <c r="J396" s="62"/>
      <c r="K396" s="65"/>
      <c r="L396" s="65"/>
      <c r="M396" s="62"/>
      <c r="N396" s="11"/>
      <c r="O396" s="66"/>
      <c r="P396" s="62"/>
      <c r="Q396" s="62"/>
      <c r="R396" s="62"/>
      <c r="S396" s="92"/>
      <c r="T396" s="62"/>
      <c r="U396" s="67"/>
    </row>
    <row r="397" s="58" customFormat="1" spans="1:21">
      <c r="A397" s="61"/>
      <c r="B397" s="62"/>
      <c r="C397" s="79"/>
      <c r="D397" s="61"/>
      <c r="E397" s="64"/>
      <c r="F397" s="64"/>
      <c r="G397" s="62"/>
      <c r="H397" s="62"/>
      <c r="I397" s="62"/>
      <c r="J397" s="62"/>
      <c r="K397" s="65"/>
      <c r="L397" s="65"/>
      <c r="M397" s="62"/>
      <c r="N397" s="11"/>
      <c r="O397" s="66"/>
      <c r="P397" s="62"/>
      <c r="Q397" s="62"/>
      <c r="R397" s="62"/>
      <c r="S397" s="62"/>
      <c r="T397" s="62"/>
      <c r="U397" s="67"/>
    </row>
    <row r="398" s="58" customFormat="1" spans="1:21">
      <c r="A398" s="61"/>
      <c r="B398" s="62"/>
      <c r="C398" s="79"/>
      <c r="D398" s="61"/>
      <c r="E398" s="64"/>
      <c r="F398" s="64"/>
      <c r="G398" s="62"/>
      <c r="H398" s="62"/>
      <c r="I398" s="62"/>
      <c r="J398" s="62"/>
      <c r="K398" s="106"/>
      <c r="L398" s="65"/>
      <c r="M398" s="62"/>
      <c r="N398" s="11"/>
      <c r="O398" s="66"/>
      <c r="P398" s="62"/>
      <c r="Q398" s="62"/>
      <c r="R398" s="62"/>
      <c r="S398" s="62"/>
      <c r="T398" s="62"/>
      <c r="U398" s="67"/>
    </row>
    <row r="399" s="58" customFormat="1" spans="1:21">
      <c r="A399" s="61"/>
      <c r="B399" s="62"/>
      <c r="C399" s="79"/>
      <c r="D399" s="61"/>
      <c r="E399" s="64"/>
      <c r="F399" s="64"/>
      <c r="G399" s="62"/>
      <c r="H399" s="62"/>
      <c r="I399" s="62"/>
      <c r="J399" s="62"/>
      <c r="K399" s="106"/>
      <c r="L399" s="65"/>
      <c r="M399" s="62"/>
      <c r="N399" s="11"/>
      <c r="O399" s="66"/>
      <c r="P399" s="62"/>
      <c r="Q399" s="62"/>
      <c r="R399" s="62"/>
      <c r="S399" s="62"/>
      <c r="T399" s="62"/>
      <c r="U399" s="67"/>
    </row>
    <row r="400" s="58" customFormat="1" spans="1:21">
      <c r="A400" s="61"/>
      <c r="B400" s="62"/>
      <c r="C400" s="79"/>
      <c r="D400" s="61"/>
      <c r="E400" s="64"/>
      <c r="F400" s="64"/>
      <c r="G400" s="62"/>
      <c r="H400" s="62"/>
      <c r="I400" s="62"/>
      <c r="J400" s="62"/>
      <c r="K400" s="65"/>
      <c r="L400" s="65"/>
      <c r="M400" s="62"/>
      <c r="N400" s="11"/>
      <c r="O400" s="66"/>
      <c r="P400" s="62"/>
      <c r="Q400" s="62"/>
      <c r="R400" s="62"/>
      <c r="S400" s="94"/>
      <c r="T400" s="62"/>
      <c r="U400" s="67"/>
    </row>
    <row r="401" s="58" customFormat="1" spans="1:21">
      <c r="A401" s="61"/>
      <c r="B401" s="62"/>
      <c r="C401" s="79"/>
      <c r="D401" s="61"/>
      <c r="E401" s="64"/>
      <c r="F401" s="64"/>
      <c r="G401" s="62"/>
      <c r="H401" s="62"/>
      <c r="I401" s="62"/>
      <c r="J401" s="62"/>
      <c r="K401" s="65"/>
      <c r="L401" s="65"/>
      <c r="M401" s="62"/>
      <c r="N401" s="11"/>
      <c r="O401" s="66"/>
      <c r="P401" s="62"/>
      <c r="Q401" s="62"/>
      <c r="R401" s="62"/>
      <c r="S401" s="92"/>
      <c r="T401" s="62"/>
      <c r="U401" s="67"/>
    </row>
    <row r="402" s="58" customFormat="1" spans="1:21">
      <c r="A402" s="61"/>
      <c r="B402" s="62"/>
      <c r="C402" s="79"/>
      <c r="D402" s="61"/>
      <c r="E402" s="64"/>
      <c r="F402" s="64"/>
      <c r="G402" s="62"/>
      <c r="H402" s="62"/>
      <c r="I402" s="62"/>
      <c r="J402" s="62"/>
      <c r="K402" s="65"/>
      <c r="L402" s="65"/>
      <c r="M402" s="62"/>
      <c r="N402" s="11"/>
      <c r="O402" s="66"/>
      <c r="P402" s="62"/>
      <c r="Q402" s="62"/>
      <c r="R402" s="62"/>
      <c r="S402" s="62"/>
      <c r="T402" s="62"/>
      <c r="U402" s="67"/>
    </row>
    <row r="403" s="58" customFormat="1" spans="1:21">
      <c r="A403" s="61"/>
      <c r="B403" s="62"/>
      <c r="C403" s="79"/>
      <c r="D403" s="61"/>
      <c r="E403" s="64"/>
      <c r="F403" s="64"/>
      <c r="G403" s="62"/>
      <c r="H403" s="62"/>
      <c r="I403" s="62"/>
      <c r="J403" s="62"/>
      <c r="K403" s="65"/>
      <c r="L403" s="65"/>
      <c r="M403" s="62"/>
      <c r="N403" s="11"/>
      <c r="O403" s="66"/>
      <c r="P403" s="62"/>
      <c r="Q403" s="62"/>
      <c r="R403" s="62"/>
      <c r="S403" s="62"/>
      <c r="T403" s="62"/>
      <c r="U403" s="67"/>
    </row>
    <row r="404" s="58" customFormat="1" spans="1:21">
      <c r="A404" s="61"/>
      <c r="B404" s="62"/>
      <c r="C404" s="79"/>
      <c r="D404" s="61"/>
      <c r="E404" s="64"/>
      <c r="F404" s="64"/>
      <c r="G404" s="62"/>
      <c r="H404" s="62"/>
      <c r="I404" s="62"/>
      <c r="J404" s="62"/>
      <c r="K404" s="106"/>
      <c r="L404" s="65"/>
      <c r="M404" s="62"/>
      <c r="N404" s="11"/>
      <c r="O404" s="66"/>
      <c r="P404" s="62"/>
      <c r="Q404" s="62"/>
      <c r="R404" s="62"/>
      <c r="S404" s="62"/>
      <c r="T404" s="62"/>
      <c r="U404" s="67"/>
    </row>
    <row r="405" s="58" customFormat="1" spans="1:21">
      <c r="A405" s="61"/>
      <c r="B405" s="62"/>
      <c r="C405" s="79"/>
      <c r="D405" s="61"/>
      <c r="E405" s="64"/>
      <c r="F405" s="64"/>
      <c r="G405" s="62"/>
      <c r="H405" s="62"/>
      <c r="I405" s="62"/>
      <c r="J405" s="62"/>
      <c r="K405" s="65"/>
      <c r="L405" s="65"/>
      <c r="M405" s="62"/>
      <c r="N405" s="11"/>
      <c r="O405" s="66"/>
      <c r="P405" s="62"/>
      <c r="Q405" s="62"/>
      <c r="R405" s="62"/>
      <c r="S405" s="94"/>
      <c r="T405" s="62"/>
      <c r="U405" s="67"/>
    </row>
    <row r="406" s="58" customFormat="1" spans="1:21">
      <c r="A406" s="61"/>
      <c r="B406" s="62"/>
      <c r="C406" s="79"/>
      <c r="D406" s="61"/>
      <c r="E406" s="64"/>
      <c r="F406" s="64"/>
      <c r="G406" s="62"/>
      <c r="H406" s="62"/>
      <c r="I406" s="62"/>
      <c r="J406" s="62"/>
      <c r="K406" s="65"/>
      <c r="L406" s="65"/>
      <c r="M406" s="62"/>
      <c r="N406" s="11"/>
      <c r="O406" s="66"/>
      <c r="P406" s="62"/>
      <c r="Q406" s="62"/>
      <c r="R406" s="62"/>
      <c r="S406" s="92"/>
      <c r="T406" s="62"/>
      <c r="U406" s="67"/>
    </row>
    <row r="407" s="58" customFormat="1" spans="1:21">
      <c r="A407" s="61"/>
      <c r="B407" s="62"/>
      <c r="C407" s="79"/>
      <c r="D407" s="61"/>
      <c r="E407" s="64"/>
      <c r="F407" s="64"/>
      <c r="G407" s="62"/>
      <c r="H407" s="62"/>
      <c r="I407" s="62"/>
      <c r="J407" s="62"/>
      <c r="K407" s="65"/>
      <c r="L407" s="65"/>
      <c r="M407" s="62"/>
      <c r="N407" s="11"/>
      <c r="O407" s="66"/>
      <c r="P407" s="62"/>
      <c r="Q407" s="62"/>
      <c r="R407" s="62"/>
      <c r="S407" s="62"/>
      <c r="T407" s="62"/>
      <c r="U407" s="67"/>
    </row>
    <row r="408" s="58" customFormat="1" spans="1:21">
      <c r="A408" s="61"/>
      <c r="B408" s="62"/>
      <c r="C408" s="79"/>
      <c r="D408" s="61"/>
      <c r="E408" s="64"/>
      <c r="F408" s="64"/>
      <c r="G408" s="62"/>
      <c r="H408" s="62"/>
      <c r="I408" s="62"/>
      <c r="J408" s="62"/>
      <c r="K408" s="65"/>
      <c r="L408" s="65"/>
      <c r="M408" s="62"/>
      <c r="N408" s="11"/>
      <c r="O408" s="66"/>
      <c r="P408" s="62"/>
      <c r="Q408" s="62"/>
      <c r="R408" s="62"/>
      <c r="S408" s="62"/>
      <c r="T408" s="62"/>
      <c r="U408" s="67"/>
    </row>
    <row r="409" s="58" customFormat="1" spans="1:21">
      <c r="A409" s="61"/>
      <c r="B409" s="62"/>
      <c r="C409" s="79"/>
      <c r="D409" s="61"/>
      <c r="E409" s="64"/>
      <c r="F409" s="64"/>
      <c r="G409" s="62"/>
      <c r="H409" s="62"/>
      <c r="I409" s="62"/>
      <c r="J409" s="62"/>
      <c r="K409" s="65"/>
      <c r="L409" s="65"/>
      <c r="M409" s="62"/>
      <c r="N409" s="11"/>
      <c r="O409" s="66"/>
      <c r="P409" s="62"/>
      <c r="Q409" s="62"/>
      <c r="R409" s="62"/>
      <c r="S409" s="62"/>
      <c r="T409" s="62"/>
      <c r="U409" s="67"/>
    </row>
    <row r="410" s="58" customFormat="1" spans="1:21">
      <c r="A410" s="61"/>
      <c r="B410" s="62"/>
      <c r="C410" s="79"/>
      <c r="D410" s="61"/>
      <c r="E410" s="64"/>
      <c r="F410" s="64"/>
      <c r="G410" s="62"/>
      <c r="H410" s="62"/>
      <c r="I410" s="62"/>
      <c r="J410" s="62"/>
      <c r="K410" s="65"/>
      <c r="L410" s="65"/>
      <c r="M410" s="62"/>
      <c r="N410" s="11"/>
      <c r="O410" s="66"/>
      <c r="P410" s="62"/>
      <c r="Q410" s="62"/>
      <c r="R410" s="62"/>
      <c r="S410" s="94"/>
      <c r="T410" s="62"/>
      <c r="U410" s="67"/>
    </row>
    <row r="411" s="58" customFormat="1" spans="1:21">
      <c r="A411" s="61"/>
      <c r="B411" s="62"/>
      <c r="C411" s="79"/>
      <c r="D411" s="61"/>
      <c r="E411" s="64"/>
      <c r="F411" s="64"/>
      <c r="G411" s="62"/>
      <c r="H411" s="62"/>
      <c r="I411" s="62"/>
      <c r="J411" s="62"/>
      <c r="K411" s="65"/>
      <c r="L411" s="65"/>
      <c r="M411" s="62"/>
      <c r="N411" s="11"/>
      <c r="O411" s="66"/>
      <c r="P411" s="62"/>
      <c r="Q411" s="62"/>
      <c r="R411" s="62"/>
      <c r="S411" s="95"/>
      <c r="T411" s="62"/>
      <c r="U411" s="67"/>
    </row>
    <row r="412" s="58" customFormat="1" spans="1:21">
      <c r="A412" s="61"/>
      <c r="B412" s="62"/>
      <c r="C412" s="79"/>
      <c r="D412" s="61"/>
      <c r="E412" s="64"/>
      <c r="F412" s="64"/>
      <c r="G412" s="62"/>
      <c r="H412" s="62"/>
      <c r="I412" s="62"/>
      <c r="J412" s="62"/>
      <c r="K412" s="65"/>
      <c r="L412" s="65"/>
      <c r="M412" s="62"/>
      <c r="N412" s="11"/>
      <c r="O412" s="66"/>
      <c r="P412" s="62"/>
      <c r="Q412" s="62"/>
      <c r="R412" s="62"/>
      <c r="S412" s="92"/>
      <c r="T412" s="62"/>
      <c r="U412" s="67"/>
    </row>
    <row r="413" s="58" customFormat="1" spans="1:21">
      <c r="A413" s="61"/>
      <c r="B413" s="62"/>
      <c r="C413" s="79"/>
      <c r="D413" s="61"/>
      <c r="E413" s="64"/>
      <c r="F413" s="64"/>
      <c r="G413" s="62"/>
      <c r="H413" s="62"/>
      <c r="I413" s="62"/>
      <c r="J413" s="62"/>
      <c r="K413" s="65"/>
      <c r="L413" s="65"/>
      <c r="M413" s="62"/>
      <c r="N413" s="11"/>
      <c r="O413" s="66"/>
      <c r="P413" s="62"/>
      <c r="Q413" s="62"/>
      <c r="R413" s="62"/>
      <c r="S413" s="62"/>
      <c r="T413" s="62"/>
      <c r="U413" s="67"/>
    </row>
    <row r="414" s="58" customFormat="1" spans="1:21">
      <c r="A414" s="61"/>
      <c r="B414" s="62"/>
      <c r="C414" s="79"/>
      <c r="D414" s="61"/>
      <c r="E414" s="64"/>
      <c r="F414" s="64"/>
      <c r="G414" s="64"/>
      <c r="H414" s="62"/>
      <c r="I414" s="62"/>
      <c r="J414" s="62"/>
      <c r="K414" s="106"/>
      <c r="L414" s="65"/>
      <c r="M414" s="62"/>
      <c r="N414" s="11"/>
      <c r="O414" s="66"/>
      <c r="P414" s="62"/>
      <c r="Q414" s="62"/>
      <c r="R414" s="62"/>
      <c r="S414" s="94"/>
      <c r="T414" s="62"/>
      <c r="U414" s="67"/>
    </row>
    <row r="415" s="58" customFormat="1" spans="1:21">
      <c r="A415" s="61"/>
      <c r="B415" s="62"/>
      <c r="C415" s="79"/>
      <c r="D415" s="61"/>
      <c r="E415" s="64"/>
      <c r="F415" s="64"/>
      <c r="G415" s="64"/>
      <c r="H415" s="62"/>
      <c r="I415" s="62"/>
      <c r="J415" s="62"/>
      <c r="K415" s="106"/>
      <c r="L415" s="65"/>
      <c r="M415" s="62"/>
      <c r="N415" s="11"/>
      <c r="O415" s="66"/>
      <c r="P415" s="62"/>
      <c r="Q415" s="62"/>
      <c r="R415" s="62"/>
      <c r="S415" s="62"/>
      <c r="T415" s="62"/>
      <c r="U415" s="67"/>
    </row>
    <row r="416" s="58" customFormat="1" spans="1:21">
      <c r="A416" s="61"/>
      <c r="B416" s="62"/>
      <c r="C416" s="79"/>
      <c r="D416" s="61"/>
      <c r="E416" s="64"/>
      <c r="F416" s="64"/>
      <c r="G416" s="64"/>
      <c r="H416" s="62"/>
      <c r="I416" s="62"/>
      <c r="J416" s="62"/>
      <c r="K416" s="106"/>
      <c r="L416" s="65"/>
      <c r="M416" s="62"/>
      <c r="N416" s="11"/>
      <c r="O416" s="66"/>
      <c r="P416" s="62"/>
      <c r="Q416" s="62"/>
      <c r="R416" s="62"/>
      <c r="S416" s="62"/>
      <c r="T416" s="62"/>
      <c r="U416" s="67"/>
    </row>
    <row r="417" s="58" customFormat="1" spans="1:21">
      <c r="A417" s="61"/>
      <c r="B417" s="62"/>
      <c r="C417" s="79"/>
      <c r="D417" s="61"/>
      <c r="E417" s="64"/>
      <c r="F417" s="64"/>
      <c r="G417" s="62"/>
      <c r="H417" s="62"/>
      <c r="I417" s="62"/>
      <c r="J417" s="62"/>
      <c r="K417" s="106"/>
      <c r="L417" s="65"/>
      <c r="M417" s="62"/>
      <c r="N417" s="11"/>
      <c r="O417" s="66"/>
      <c r="P417" s="62"/>
      <c r="Q417" s="62"/>
      <c r="R417" s="62"/>
      <c r="S417" s="62"/>
      <c r="T417" s="62"/>
      <c r="U417" s="67"/>
    </row>
    <row r="418" s="58" customFormat="1" spans="1:21">
      <c r="A418" s="61"/>
      <c r="B418" s="62"/>
      <c r="C418" s="79"/>
      <c r="D418" s="61"/>
      <c r="E418" s="64"/>
      <c r="F418" s="64"/>
      <c r="G418" s="62"/>
      <c r="H418" s="62"/>
      <c r="I418" s="62"/>
      <c r="J418" s="62"/>
      <c r="K418" s="65"/>
      <c r="L418" s="65"/>
      <c r="M418" s="62"/>
      <c r="N418" s="11"/>
      <c r="O418" s="66"/>
      <c r="P418" s="62"/>
      <c r="Q418" s="62"/>
      <c r="R418" s="62"/>
      <c r="S418" s="62"/>
      <c r="T418" s="62"/>
      <c r="U418" s="67"/>
    </row>
    <row r="419" s="58" customFormat="1" spans="1:21">
      <c r="A419" s="61"/>
      <c r="B419" s="62"/>
      <c r="C419" s="79"/>
      <c r="D419" s="61"/>
      <c r="E419" s="64"/>
      <c r="F419" s="64"/>
      <c r="G419" s="62"/>
      <c r="H419" s="62"/>
      <c r="I419" s="62"/>
      <c r="J419" s="62"/>
      <c r="K419" s="65"/>
      <c r="L419" s="65"/>
      <c r="M419" s="62"/>
      <c r="N419" s="11"/>
      <c r="O419" s="66"/>
      <c r="P419" s="62"/>
      <c r="Q419" s="62"/>
      <c r="R419" s="62"/>
      <c r="S419" s="62"/>
      <c r="T419" s="62"/>
      <c r="U419" s="67"/>
    </row>
    <row r="420" s="58" customFormat="1" spans="1:21">
      <c r="A420" s="61"/>
      <c r="B420" s="62"/>
      <c r="C420" s="79"/>
      <c r="D420" s="61"/>
      <c r="E420" s="64"/>
      <c r="F420" s="64"/>
      <c r="G420" s="62"/>
      <c r="H420" s="62"/>
      <c r="I420" s="62"/>
      <c r="J420" s="62"/>
      <c r="K420" s="65"/>
      <c r="L420" s="65"/>
      <c r="M420" s="62"/>
      <c r="N420" s="11"/>
      <c r="O420" s="66"/>
      <c r="P420" s="62"/>
      <c r="Q420" s="62"/>
      <c r="R420" s="62"/>
      <c r="S420" s="62"/>
      <c r="T420" s="62"/>
      <c r="U420" s="67"/>
    </row>
    <row r="421" s="58" customFormat="1" spans="1:21">
      <c r="A421" s="61"/>
      <c r="B421" s="62"/>
      <c r="C421" s="79"/>
      <c r="D421" s="61"/>
      <c r="E421" s="64"/>
      <c r="F421" s="64"/>
      <c r="G421" s="62"/>
      <c r="H421" s="62"/>
      <c r="I421" s="62"/>
      <c r="J421" s="62"/>
      <c r="K421" s="106"/>
      <c r="L421" s="65"/>
      <c r="M421" s="62"/>
      <c r="N421" s="11"/>
      <c r="O421" s="66"/>
      <c r="P421" s="62"/>
      <c r="Q421" s="62"/>
      <c r="R421" s="62"/>
      <c r="S421" s="62"/>
      <c r="T421" s="62"/>
      <c r="U421" s="67"/>
    </row>
    <row r="422" s="58" customFormat="1" spans="1:21">
      <c r="A422" s="61"/>
      <c r="B422" s="62"/>
      <c r="C422" s="79"/>
      <c r="D422" s="61"/>
      <c r="E422" s="64"/>
      <c r="F422" s="64"/>
      <c r="G422" s="62"/>
      <c r="H422" s="62"/>
      <c r="I422" s="62"/>
      <c r="J422" s="62"/>
      <c r="K422" s="106"/>
      <c r="L422" s="65"/>
      <c r="M422" s="62"/>
      <c r="N422" s="11"/>
      <c r="O422" s="66"/>
      <c r="P422" s="62"/>
      <c r="Q422" s="62"/>
      <c r="R422" s="62"/>
      <c r="S422" s="62"/>
      <c r="T422" s="62"/>
      <c r="U422" s="67"/>
    </row>
    <row r="423" s="58" customFormat="1" spans="1:21">
      <c r="A423" s="61"/>
      <c r="B423" s="62"/>
      <c r="C423" s="79"/>
      <c r="D423" s="61"/>
      <c r="E423" s="64"/>
      <c r="F423" s="64"/>
      <c r="G423" s="62"/>
      <c r="H423" s="62"/>
      <c r="I423" s="62"/>
      <c r="J423" s="62"/>
      <c r="K423" s="65"/>
      <c r="L423" s="65"/>
      <c r="M423" s="62"/>
      <c r="N423" s="11"/>
      <c r="O423" s="66"/>
      <c r="P423" s="62"/>
      <c r="Q423" s="62"/>
      <c r="R423" s="62"/>
      <c r="S423" s="62"/>
      <c r="T423" s="62"/>
      <c r="U423" s="67"/>
    </row>
    <row r="424" s="58" customFormat="1" spans="1:21">
      <c r="A424" s="61"/>
      <c r="B424" s="62"/>
      <c r="C424" s="79"/>
      <c r="D424" s="61"/>
      <c r="E424" s="64"/>
      <c r="F424" s="64"/>
      <c r="G424" s="62"/>
      <c r="H424" s="62"/>
      <c r="I424" s="62"/>
      <c r="J424" s="62"/>
      <c r="K424" s="65"/>
      <c r="L424" s="65"/>
      <c r="M424" s="62"/>
      <c r="N424" s="11"/>
      <c r="O424" s="66"/>
      <c r="P424" s="62"/>
      <c r="Q424" s="62"/>
      <c r="R424" s="62"/>
      <c r="S424" s="62"/>
      <c r="T424" s="62"/>
      <c r="U424" s="67"/>
    </row>
    <row r="425" s="58" customFormat="1" spans="1:21">
      <c r="A425" s="61"/>
      <c r="B425" s="62"/>
      <c r="C425" s="79"/>
      <c r="D425" s="61"/>
      <c r="E425" s="64"/>
      <c r="F425" s="64"/>
      <c r="G425" s="62"/>
      <c r="H425" s="62"/>
      <c r="I425" s="62"/>
      <c r="J425" s="62"/>
      <c r="K425" s="65"/>
      <c r="L425" s="65"/>
      <c r="M425" s="62"/>
      <c r="N425" s="11"/>
      <c r="O425" s="66"/>
      <c r="P425" s="62"/>
      <c r="Q425" s="62"/>
      <c r="R425" s="62"/>
      <c r="S425" s="62"/>
      <c r="T425" s="62"/>
      <c r="U425" s="67"/>
    </row>
    <row r="426" s="58" customFormat="1" spans="1:21">
      <c r="A426" s="61"/>
      <c r="B426" s="62"/>
      <c r="C426" s="79"/>
      <c r="D426" s="61"/>
      <c r="E426" s="64"/>
      <c r="F426" s="64"/>
      <c r="G426" s="62"/>
      <c r="H426" s="105"/>
      <c r="I426" s="62"/>
      <c r="J426" s="62"/>
      <c r="K426" s="65"/>
      <c r="L426" s="65"/>
      <c r="M426" s="62"/>
      <c r="N426" s="11"/>
      <c r="O426" s="66"/>
      <c r="P426" s="62"/>
      <c r="Q426" s="62"/>
      <c r="R426" s="62"/>
      <c r="S426" s="62"/>
      <c r="T426" s="62"/>
      <c r="U426" s="67"/>
    </row>
    <row r="427" s="58" customFormat="1" spans="1:21">
      <c r="A427" s="61"/>
      <c r="B427" s="62"/>
      <c r="C427" s="79"/>
      <c r="D427" s="61"/>
      <c r="E427" s="64"/>
      <c r="F427" s="64"/>
      <c r="G427" s="62"/>
      <c r="H427" s="105"/>
      <c r="I427" s="62"/>
      <c r="J427" s="62"/>
      <c r="K427" s="65"/>
      <c r="L427" s="65"/>
      <c r="M427" s="62"/>
      <c r="N427" s="11"/>
      <c r="O427" s="66"/>
      <c r="P427" s="62"/>
      <c r="Q427" s="62"/>
      <c r="R427" s="62"/>
      <c r="S427" s="62"/>
      <c r="T427" s="62"/>
      <c r="U427" s="67"/>
    </row>
    <row r="428" s="58" customFormat="1" spans="1:21">
      <c r="A428" s="61"/>
      <c r="B428" s="62"/>
      <c r="C428" s="79"/>
      <c r="D428" s="61"/>
      <c r="E428" s="64"/>
      <c r="F428" s="64"/>
      <c r="G428" s="62"/>
      <c r="H428" s="105"/>
      <c r="I428" s="62"/>
      <c r="J428" s="62"/>
      <c r="K428" s="65"/>
      <c r="L428" s="65"/>
      <c r="M428" s="62"/>
      <c r="N428" s="11"/>
      <c r="O428" s="124"/>
      <c r="P428" s="62"/>
      <c r="Q428" s="62"/>
      <c r="R428" s="62"/>
      <c r="S428" s="62"/>
      <c r="T428" s="62"/>
      <c r="U428" s="67"/>
    </row>
    <row r="429" s="58" customFormat="1" spans="1:21">
      <c r="A429" s="61"/>
      <c r="B429" s="62"/>
      <c r="C429" s="79"/>
      <c r="D429" s="61"/>
      <c r="E429" s="64"/>
      <c r="F429" s="64"/>
      <c r="G429" s="62"/>
      <c r="H429" s="105"/>
      <c r="I429" s="62"/>
      <c r="J429" s="62"/>
      <c r="K429" s="65"/>
      <c r="L429" s="65"/>
      <c r="M429" s="62"/>
      <c r="N429" s="11"/>
      <c r="O429" s="62"/>
      <c r="P429" s="62"/>
      <c r="Q429" s="62"/>
      <c r="R429" s="62"/>
      <c r="S429" s="62"/>
      <c r="T429" s="62"/>
      <c r="U429" s="67"/>
    </row>
    <row r="430" s="58" customFormat="1" spans="1:21">
      <c r="A430" s="61"/>
      <c r="B430" s="62"/>
      <c r="C430" s="79"/>
      <c r="D430" s="61"/>
      <c r="E430" s="64"/>
      <c r="F430" s="64"/>
      <c r="G430" s="62"/>
      <c r="H430" s="62"/>
      <c r="I430" s="62"/>
      <c r="J430" s="62"/>
      <c r="K430" s="65"/>
      <c r="L430" s="65"/>
      <c r="M430" s="62"/>
      <c r="N430" s="11"/>
      <c r="O430" s="124"/>
      <c r="P430" s="62"/>
      <c r="Q430" s="62"/>
      <c r="R430" s="62"/>
      <c r="S430" s="62"/>
      <c r="T430" s="62"/>
      <c r="U430" s="67"/>
    </row>
    <row r="431" s="58" customFormat="1" spans="1:21">
      <c r="A431" s="61"/>
      <c r="B431" s="62"/>
      <c r="C431" s="79"/>
      <c r="D431" s="61"/>
      <c r="E431" s="64"/>
      <c r="F431" s="64"/>
      <c r="G431" s="62"/>
      <c r="H431" s="62"/>
      <c r="I431" s="62"/>
      <c r="J431" s="62"/>
      <c r="K431" s="65"/>
      <c r="L431" s="65"/>
      <c r="M431" s="62"/>
      <c r="N431" s="11"/>
      <c r="O431" s="124"/>
      <c r="P431" s="62"/>
      <c r="Q431" s="62"/>
      <c r="R431" s="62"/>
      <c r="S431" s="62"/>
      <c r="T431" s="62"/>
      <c r="U431" s="67"/>
    </row>
    <row r="432" s="58" customFormat="1" spans="1:21">
      <c r="A432" s="61"/>
      <c r="B432" s="62"/>
      <c r="C432" s="79"/>
      <c r="D432" s="61"/>
      <c r="E432" s="64"/>
      <c r="F432" s="64"/>
      <c r="G432" s="62"/>
      <c r="H432" s="62"/>
      <c r="I432" s="62"/>
      <c r="J432" s="62"/>
      <c r="K432" s="65"/>
      <c r="L432" s="65"/>
      <c r="M432" s="62"/>
      <c r="N432" s="11"/>
      <c r="O432" s="66"/>
      <c r="P432" s="62"/>
      <c r="Q432" s="62"/>
      <c r="R432" s="62"/>
      <c r="S432" s="62"/>
      <c r="T432" s="62"/>
      <c r="U432" s="67"/>
    </row>
    <row r="433" s="58" customFormat="1" spans="1:21">
      <c r="A433" s="61"/>
      <c r="B433" s="62"/>
      <c r="C433" s="79"/>
      <c r="D433" s="61"/>
      <c r="E433" s="64"/>
      <c r="F433" s="64"/>
      <c r="G433" s="62"/>
      <c r="H433" s="62"/>
      <c r="I433" s="62"/>
      <c r="J433" s="62"/>
      <c r="K433" s="65"/>
      <c r="L433" s="65"/>
      <c r="M433" s="62"/>
      <c r="N433" s="11"/>
      <c r="O433" s="66"/>
      <c r="P433" s="62"/>
      <c r="Q433" s="62"/>
      <c r="R433" s="62"/>
      <c r="S433" s="62"/>
      <c r="T433" s="62"/>
      <c r="U433" s="67"/>
    </row>
    <row r="434" s="58" customFormat="1" spans="1:21">
      <c r="A434" s="61"/>
      <c r="B434" s="62"/>
      <c r="C434" s="79"/>
      <c r="D434" s="61"/>
      <c r="E434" s="64"/>
      <c r="F434" s="64"/>
      <c r="G434" s="62"/>
      <c r="H434" s="62"/>
      <c r="I434" s="62"/>
      <c r="J434" s="62"/>
      <c r="K434" s="65"/>
      <c r="L434" s="65"/>
      <c r="M434" s="62"/>
      <c r="N434" s="11"/>
      <c r="O434" s="66"/>
      <c r="P434" s="62"/>
      <c r="Q434" s="62"/>
      <c r="R434" s="62"/>
      <c r="S434" s="62"/>
      <c r="T434" s="62"/>
      <c r="U434" s="67"/>
    </row>
    <row r="435" s="58" customFormat="1" spans="1:21">
      <c r="A435" s="61"/>
      <c r="B435" s="62"/>
      <c r="C435" s="79"/>
      <c r="D435" s="61"/>
      <c r="E435" s="64"/>
      <c r="F435" s="64"/>
      <c r="G435" s="62"/>
      <c r="H435" s="62"/>
      <c r="I435" s="62"/>
      <c r="J435" s="62"/>
      <c r="K435" s="65"/>
      <c r="L435" s="65"/>
      <c r="M435" s="62"/>
      <c r="N435" s="11"/>
      <c r="O435" s="66"/>
      <c r="P435" s="62"/>
      <c r="Q435" s="62"/>
      <c r="R435" s="62"/>
      <c r="S435" s="94"/>
      <c r="T435" s="62"/>
      <c r="U435" s="67"/>
    </row>
    <row r="436" s="58" customFormat="1" spans="1:21">
      <c r="A436" s="61"/>
      <c r="B436" s="62"/>
      <c r="C436" s="79"/>
      <c r="D436" s="61"/>
      <c r="E436" s="64"/>
      <c r="F436" s="64"/>
      <c r="G436" s="62"/>
      <c r="H436" s="62"/>
      <c r="I436" s="90"/>
      <c r="J436" s="62"/>
      <c r="K436" s="65"/>
      <c r="L436" s="65"/>
      <c r="M436" s="62"/>
      <c r="N436" s="11"/>
      <c r="O436" s="66"/>
      <c r="P436" s="62"/>
      <c r="Q436" s="62"/>
      <c r="R436" s="62"/>
      <c r="S436" s="92"/>
      <c r="T436" s="62"/>
      <c r="U436" s="67"/>
    </row>
    <row r="437" s="58" customFormat="1" spans="1:21">
      <c r="A437" s="61"/>
      <c r="B437" s="62"/>
      <c r="C437" s="79"/>
      <c r="D437" s="61"/>
      <c r="E437" s="64"/>
      <c r="F437" s="64"/>
      <c r="G437" s="62"/>
      <c r="H437" s="62"/>
      <c r="I437" s="62"/>
      <c r="J437" s="62"/>
      <c r="K437" s="65"/>
      <c r="L437" s="65"/>
      <c r="M437" s="62"/>
      <c r="N437" s="11"/>
      <c r="O437" s="66"/>
      <c r="P437" s="62"/>
      <c r="Q437" s="62"/>
      <c r="R437" s="62"/>
      <c r="S437" s="62"/>
      <c r="T437" s="62"/>
      <c r="U437" s="67"/>
    </row>
    <row r="438" s="58" customFormat="1" spans="1:21">
      <c r="A438" s="61"/>
      <c r="B438" s="62"/>
      <c r="C438" s="79"/>
      <c r="D438" s="61"/>
      <c r="E438" s="64"/>
      <c r="F438" s="64"/>
      <c r="G438" s="62"/>
      <c r="H438" s="62"/>
      <c r="I438" s="62"/>
      <c r="J438" s="62"/>
      <c r="K438" s="65"/>
      <c r="L438" s="65"/>
      <c r="M438" s="62"/>
      <c r="N438" s="11"/>
      <c r="O438" s="66"/>
      <c r="P438" s="62"/>
      <c r="Q438" s="62"/>
      <c r="R438" s="62"/>
      <c r="S438" s="62"/>
      <c r="T438" s="62"/>
      <c r="U438" s="67"/>
    </row>
    <row r="439" s="58" customFormat="1" spans="1:21">
      <c r="A439" s="61"/>
      <c r="B439" s="62"/>
      <c r="C439" s="79"/>
      <c r="D439" s="61"/>
      <c r="E439" s="64"/>
      <c r="F439" s="64"/>
      <c r="G439" s="62"/>
      <c r="H439" s="62"/>
      <c r="I439" s="62"/>
      <c r="J439" s="62"/>
      <c r="K439" s="65"/>
      <c r="L439" s="65"/>
      <c r="M439" s="62"/>
      <c r="N439" s="11"/>
      <c r="O439" s="66"/>
      <c r="P439" s="62"/>
      <c r="Q439" s="62"/>
      <c r="R439" s="62"/>
      <c r="S439" s="62"/>
      <c r="T439" s="62"/>
      <c r="U439" s="67"/>
    </row>
    <row r="440" s="58" customFormat="1" spans="1:21">
      <c r="A440" s="61"/>
      <c r="B440" s="62"/>
      <c r="C440" s="79"/>
      <c r="D440" s="61"/>
      <c r="E440" s="64"/>
      <c r="F440" s="64"/>
      <c r="G440" s="62"/>
      <c r="H440" s="62"/>
      <c r="I440" s="62"/>
      <c r="J440" s="62"/>
      <c r="K440" s="65"/>
      <c r="L440" s="65"/>
      <c r="M440" s="62"/>
      <c r="N440" s="11"/>
      <c r="O440" s="66"/>
      <c r="P440" s="62"/>
      <c r="Q440" s="62"/>
      <c r="R440" s="62"/>
      <c r="S440" s="94"/>
      <c r="T440" s="62"/>
      <c r="U440" s="67"/>
    </row>
    <row r="441" s="58" customFormat="1" spans="1:21">
      <c r="A441" s="61"/>
      <c r="B441" s="62"/>
      <c r="C441" s="79"/>
      <c r="D441" s="61"/>
      <c r="E441" s="64"/>
      <c r="F441" s="64"/>
      <c r="G441" s="62"/>
      <c r="H441" s="62"/>
      <c r="I441" s="62"/>
      <c r="J441" s="62"/>
      <c r="K441" s="65"/>
      <c r="L441" s="65"/>
      <c r="M441" s="62"/>
      <c r="N441" s="11"/>
      <c r="O441" s="66"/>
      <c r="P441" s="62"/>
      <c r="Q441" s="62"/>
      <c r="R441" s="62"/>
      <c r="S441" s="92"/>
      <c r="T441" s="62"/>
      <c r="U441" s="67"/>
    </row>
    <row r="442" s="58" customFormat="1" spans="1:21">
      <c r="A442" s="61"/>
      <c r="B442" s="62"/>
      <c r="C442" s="79"/>
      <c r="D442" s="61"/>
      <c r="E442" s="64"/>
      <c r="F442" s="64"/>
      <c r="G442" s="62"/>
      <c r="H442" s="62"/>
      <c r="I442" s="62"/>
      <c r="J442" s="62"/>
      <c r="K442" s="65"/>
      <c r="L442" s="65"/>
      <c r="M442" s="62"/>
      <c r="N442" s="11"/>
      <c r="O442" s="66"/>
      <c r="P442" s="62"/>
      <c r="Q442" s="62"/>
      <c r="R442" s="62"/>
      <c r="S442" s="94"/>
      <c r="T442" s="62"/>
      <c r="U442" s="67"/>
    </row>
    <row r="443" s="58" customFormat="1" spans="1:21">
      <c r="A443" s="61"/>
      <c r="B443" s="62"/>
      <c r="C443" s="79"/>
      <c r="D443" s="61"/>
      <c r="E443" s="64"/>
      <c r="F443" s="64"/>
      <c r="G443" s="62"/>
      <c r="H443" s="62"/>
      <c r="I443" s="62"/>
      <c r="J443" s="62"/>
      <c r="K443" s="65"/>
      <c r="L443" s="65"/>
      <c r="M443" s="62"/>
      <c r="N443" s="11"/>
      <c r="O443" s="66"/>
      <c r="P443" s="62"/>
      <c r="Q443" s="62"/>
      <c r="R443" s="62"/>
      <c r="S443" s="92"/>
      <c r="T443" s="62"/>
      <c r="U443" s="67"/>
    </row>
    <row r="444" s="58" customFormat="1" spans="1:21">
      <c r="A444" s="61"/>
      <c r="B444" s="62"/>
      <c r="C444" s="79"/>
      <c r="D444" s="61"/>
      <c r="E444" s="64"/>
      <c r="F444" s="64"/>
      <c r="G444" s="62"/>
      <c r="H444" s="62"/>
      <c r="I444" s="62"/>
      <c r="J444" s="62"/>
      <c r="K444" s="65"/>
      <c r="L444" s="65"/>
      <c r="M444" s="62"/>
      <c r="N444" s="11"/>
      <c r="O444" s="66"/>
      <c r="P444" s="62"/>
      <c r="Q444" s="62"/>
      <c r="R444" s="62"/>
      <c r="S444" s="62"/>
      <c r="T444" s="62"/>
      <c r="U444" s="67"/>
    </row>
    <row r="445" s="58" customFormat="1" spans="1:21">
      <c r="A445" s="61"/>
      <c r="B445" s="62"/>
      <c r="C445" s="79"/>
      <c r="D445" s="61"/>
      <c r="E445" s="64"/>
      <c r="F445" s="64"/>
      <c r="G445" s="62"/>
      <c r="H445" s="62"/>
      <c r="I445" s="62"/>
      <c r="J445" s="62"/>
      <c r="K445" s="65"/>
      <c r="L445" s="65"/>
      <c r="M445" s="62"/>
      <c r="N445" s="11"/>
      <c r="O445" s="66"/>
      <c r="P445" s="62"/>
      <c r="Q445" s="62"/>
      <c r="R445" s="62"/>
      <c r="S445" s="62"/>
      <c r="T445" s="62"/>
      <c r="U445" s="67"/>
    </row>
    <row r="446" s="58" customFormat="1" spans="1:21">
      <c r="A446" s="61"/>
      <c r="B446" s="62"/>
      <c r="C446" s="79"/>
      <c r="D446" s="61"/>
      <c r="E446" s="64"/>
      <c r="F446" s="64"/>
      <c r="G446" s="62"/>
      <c r="H446" s="62"/>
      <c r="I446" s="62"/>
      <c r="J446" s="62"/>
      <c r="K446" s="65"/>
      <c r="L446" s="65"/>
      <c r="M446" s="62"/>
      <c r="N446" s="11"/>
      <c r="O446" s="66"/>
      <c r="P446" s="62"/>
      <c r="Q446" s="62"/>
      <c r="R446" s="62"/>
      <c r="S446" s="62"/>
      <c r="T446" s="62"/>
      <c r="U446" s="67"/>
    </row>
    <row r="447" s="58" customFormat="1" spans="1:21">
      <c r="A447" s="61"/>
      <c r="B447" s="62"/>
      <c r="C447" s="79"/>
      <c r="D447" s="61"/>
      <c r="E447" s="64"/>
      <c r="F447" s="64"/>
      <c r="G447" s="62"/>
      <c r="H447" s="62"/>
      <c r="I447" s="62"/>
      <c r="J447" s="62"/>
      <c r="K447" s="65"/>
      <c r="L447" s="65"/>
      <c r="M447" s="62"/>
      <c r="N447" s="11"/>
      <c r="O447" s="66"/>
      <c r="P447" s="62"/>
      <c r="Q447" s="62"/>
      <c r="R447" s="62"/>
      <c r="S447" s="62"/>
      <c r="T447" s="62"/>
      <c r="U447" s="67"/>
    </row>
    <row r="448" s="58" customFormat="1" spans="1:21">
      <c r="A448" s="61"/>
      <c r="B448" s="62"/>
      <c r="C448" s="79"/>
      <c r="D448" s="61"/>
      <c r="E448" s="64"/>
      <c r="F448" s="64"/>
      <c r="G448" s="62"/>
      <c r="H448" s="62"/>
      <c r="I448" s="62"/>
      <c r="J448" s="62"/>
      <c r="K448" s="65"/>
      <c r="L448" s="65"/>
      <c r="M448" s="62"/>
      <c r="N448" s="11"/>
      <c r="O448" s="66"/>
      <c r="P448" s="62"/>
      <c r="Q448" s="62"/>
      <c r="R448" s="62"/>
      <c r="S448" s="94"/>
      <c r="T448" s="62"/>
      <c r="U448" s="67"/>
    </row>
    <row r="449" s="58" customFormat="1" spans="1:21">
      <c r="A449" s="61"/>
      <c r="B449" s="62"/>
      <c r="C449" s="79"/>
      <c r="D449" s="61"/>
      <c r="E449" s="64"/>
      <c r="F449" s="64"/>
      <c r="G449" s="62"/>
      <c r="H449" s="62"/>
      <c r="I449" s="62"/>
      <c r="J449" s="62"/>
      <c r="K449" s="65"/>
      <c r="L449" s="65"/>
      <c r="M449" s="62"/>
      <c r="N449" s="11"/>
      <c r="O449" s="66"/>
      <c r="P449" s="62"/>
      <c r="Q449" s="62"/>
      <c r="R449" s="62"/>
      <c r="S449" s="92"/>
      <c r="T449" s="62"/>
      <c r="U449" s="67"/>
    </row>
    <row r="450" s="58" customFormat="1" spans="1:21">
      <c r="A450" s="61"/>
      <c r="B450" s="62"/>
      <c r="C450" s="79"/>
      <c r="D450" s="61"/>
      <c r="E450" s="64"/>
      <c r="F450" s="64"/>
      <c r="G450" s="62"/>
      <c r="H450" s="62"/>
      <c r="I450" s="62"/>
      <c r="J450" s="62"/>
      <c r="K450" s="65"/>
      <c r="L450" s="65"/>
      <c r="M450" s="62"/>
      <c r="N450" s="11"/>
      <c r="O450" s="66"/>
      <c r="P450" s="62"/>
      <c r="Q450" s="62"/>
      <c r="R450" s="62"/>
      <c r="S450" s="62"/>
      <c r="T450" s="62"/>
      <c r="U450" s="67"/>
    </row>
    <row r="451" s="58" customFormat="1" spans="1:21">
      <c r="A451" s="61"/>
      <c r="B451" s="62"/>
      <c r="C451" s="79"/>
      <c r="D451" s="61"/>
      <c r="E451" s="64"/>
      <c r="F451" s="64"/>
      <c r="G451" s="62"/>
      <c r="H451" s="62"/>
      <c r="I451" s="62"/>
      <c r="J451" s="62"/>
      <c r="K451" s="65"/>
      <c r="L451" s="65"/>
      <c r="M451" s="62"/>
      <c r="N451" s="11"/>
      <c r="O451" s="66"/>
      <c r="P451" s="62"/>
      <c r="Q451" s="62"/>
      <c r="R451" s="62"/>
      <c r="S451" s="94"/>
      <c r="T451" s="62"/>
      <c r="U451" s="67"/>
    </row>
    <row r="452" s="58" customFormat="1" spans="1:21">
      <c r="A452" s="61"/>
      <c r="B452" s="62"/>
      <c r="C452" s="79"/>
      <c r="D452" s="61"/>
      <c r="E452" s="64"/>
      <c r="F452" s="64"/>
      <c r="G452" s="62"/>
      <c r="H452" s="62"/>
      <c r="I452" s="62"/>
      <c r="J452" s="62"/>
      <c r="K452" s="65"/>
      <c r="L452" s="65"/>
      <c r="M452" s="62"/>
      <c r="N452" s="11"/>
      <c r="O452" s="66"/>
      <c r="P452" s="62"/>
      <c r="Q452" s="62"/>
      <c r="R452" s="62"/>
      <c r="S452" s="92"/>
      <c r="T452" s="62"/>
      <c r="U452" s="67"/>
    </row>
    <row r="453" s="58" customFormat="1" spans="1:21">
      <c r="A453" s="61"/>
      <c r="B453" s="62"/>
      <c r="C453" s="79"/>
      <c r="D453" s="61"/>
      <c r="E453" s="64"/>
      <c r="F453" s="64"/>
      <c r="G453" s="62"/>
      <c r="H453" s="62"/>
      <c r="I453" s="62"/>
      <c r="J453" s="62"/>
      <c r="K453" s="65"/>
      <c r="L453" s="65"/>
      <c r="M453" s="62"/>
      <c r="N453" s="11"/>
      <c r="O453" s="66"/>
      <c r="P453" s="62"/>
      <c r="Q453" s="62"/>
      <c r="R453" s="62"/>
      <c r="S453" s="62"/>
      <c r="T453" s="62"/>
      <c r="U453" s="67"/>
    </row>
    <row r="454" s="58" customFormat="1" spans="1:21">
      <c r="A454" s="61"/>
      <c r="B454" s="62"/>
      <c r="C454" s="79"/>
      <c r="D454" s="61"/>
      <c r="E454" s="64"/>
      <c r="F454" s="64"/>
      <c r="G454" s="62"/>
      <c r="H454" s="62"/>
      <c r="I454" s="62"/>
      <c r="J454" s="62"/>
      <c r="K454" s="65"/>
      <c r="L454" s="65"/>
      <c r="M454" s="62"/>
      <c r="N454" s="11"/>
      <c r="O454" s="66"/>
      <c r="P454" s="62"/>
      <c r="Q454" s="62"/>
      <c r="R454" s="62"/>
      <c r="S454" s="62"/>
      <c r="T454" s="62"/>
      <c r="U454" s="67"/>
    </row>
    <row r="455" s="58" customFormat="1" spans="1:21">
      <c r="A455" s="61"/>
      <c r="B455" s="62"/>
      <c r="C455" s="79"/>
      <c r="D455" s="61"/>
      <c r="E455" s="64"/>
      <c r="F455" s="64"/>
      <c r="G455" s="62"/>
      <c r="H455" s="62"/>
      <c r="I455" s="62"/>
      <c r="J455" s="62"/>
      <c r="K455" s="65"/>
      <c r="L455" s="65"/>
      <c r="M455" s="62"/>
      <c r="N455" s="11"/>
      <c r="O455" s="66"/>
      <c r="P455" s="62"/>
      <c r="Q455" s="62"/>
      <c r="R455" s="62"/>
      <c r="S455" s="62"/>
      <c r="T455" s="62"/>
      <c r="U455" s="67"/>
    </row>
    <row r="456" s="58" customFormat="1" spans="1:21">
      <c r="A456" s="61"/>
      <c r="B456" s="62"/>
      <c r="C456" s="79"/>
      <c r="D456" s="61"/>
      <c r="E456" s="64"/>
      <c r="F456" s="64"/>
      <c r="G456" s="62"/>
      <c r="H456" s="62"/>
      <c r="I456" s="62"/>
      <c r="J456" s="62"/>
      <c r="K456" s="65"/>
      <c r="L456" s="65"/>
      <c r="M456" s="62"/>
      <c r="N456" s="11"/>
      <c r="O456" s="66"/>
      <c r="P456" s="62"/>
      <c r="Q456" s="62"/>
      <c r="R456" s="62"/>
      <c r="S456" s="62"/>
      <c r="T456" s="62"/>
      <c r="U456" s="67"/>
    </row>
    <row r="457" s="58" customFormat="1" spans="1:21">
      <c r="A457" s="61"/>
      <c r="B457" s="62"/>
      <c r="C457" s="79"/>
      <c r="D457" s="61"/>
      <c r="E457" s="64"/>
      <c r="F457" s="64"/>
      <c r="G457" s="62"/>
      <c r="H457" s="62"/>
      <c r="I457" s="97"/>
      <c r="J457" s="62"/>
      <c r="K457" s="65"/>
      <c r="L457" s="65"/>
      <c r="M457" s="62"/>
      <c r="N457" s="11"/>
      <c r="O457" s="66"/>
      <c r="P457" s="62"/>
      <c r="Q457" s="62"/>
      <c r="R457" s="62"/>
      <c r="S457" s="62"/>
      <c r="T457" s="62"/>
      <c r="U457" s="67"/>
    </row>
    <row r="458" s="58" customFormat="1" spans="1:21">
      <c r="A458" s="61"/>
      <c r="B458" s="62"/>
      <c r="C458" s="79"/>
      <c r="D458" s="61"/>
      <c r="E458" s="64"/>
      <c r="F458" s="64"/>
      <c r="G458" s="62"/>
      <c r="H458" s="62"/>
      <c r="I458" s="122"/>
      <c r="J458" s="62"/>
      <c r="K458" s="65"/>
      <c r="L458" s="65"/>
      <c r="M458" s="62"/>
      <c r="N458" s="11"/>
      <c r="O458" s="66"/>
      <c r="P458" s="62"/>
      <c r="Q458" s="62"/>
      <c r="R458" s="62"/>
      <c r="S458" s="94"/>
      <c r="T458" s="62"/>
      <c r="U458" s="67"/>
    </row>
    <row r="459" s="58" customFormat="1" spans="1:21">
      <c r="A459" s="61"/>
      <c r="B459" s="62"/>
      <c r="C459" s="79"/>
      <c r="D459" s="61"/>
      <c r="E459" s="64"/>
      <c r="F459" s="64"/>
      <c r="G459" s="62"/>
      <c r="H459" s="62"/>
      <c r="I459" s="62"/>
      <c r="J459" s="62"/>
      <c r="K459" s="65"/>
      <c r="L459" s="65"/>
      <c r="M459" s="62"/>
      <c r="N459" s="11"/>
      <c r="O459" s="66"/>
      <c r="P459" s="62"/>
      <c r="Q459" s="62"/>
      <c r="R459" s="62"/>
      <c r="S459" s="92"/>
      <c r="T459" s="62"/>
      <c r="U459" s="67"/>
    </row>
    <row r="460" s="58" customFormat="1" spans="1:21">
      <c r="A460" s="61"/>
      <c r="B460" s="62"/>
      <c r="C460" s="79"/>
      <c r="D460" s="61"/>
      <c r="E460" s="64"/>
      <c r="F460" s="64"/>
      <c r="G460" s="62"/>
      <c r="H460" s="62"/>
      <c r="I460" s="62"/>
      <c r="J460" s="62"/>
      <c r="K460" s="65"/>
      <c r="L460" s="65"/>
      <c r="M460" s="62"/>
      <c r="N460" s="11"/>
      <c r="O460" s="66"/>
      <c r="P460" s="62"/>
      <c r="Q460" s="62"/>
      <c r="R460" s="62"/>
      <c r="S460" s="94"/>
      <c r="T460" s="62"/>
      <c r="U460" s="67"/>
    </row>
    <row r="461" s="58" customFormat="1" spans="1:21">
      <c r="A461" s="61"/>
      <c r="B461" s="62"/>
      <c r="C461" s="79"/>
      <c r="D461" s="61"/>
      <c r="E461" s="64"/>
      <c r="F461" s="64"/>
      <c r="G461" s="62"/>
      <c r="H461" s="62"/>
      <c r="I461" s="62"/>
      <c r="J461" s="62"/>
      <c r="K461" s="65"/>
      <c r="L461" s="65"/>
      <c r="M461" s="62"/>
      <c r="N461" s="11"/>
      <c r="O461" s="66"/>
      <c r="P461" s="62"/>
      <c r="Q461" s="62"/>
      <c r="R461" s="62"/>
      <c r="S461" s="92"/>
      <c r="T461" s="62"/>
      <c r="U461" s="67"/>
    </row>
    <row r="462" s="58" customFormat="1" spans="1:21">
      <c r="A462" s="61"/>
      <c r="B462" s="62"/>
      <c r="C462" s="79"/>
      <c r="D462" s="61"/>
      <c r="E462" s="64"/>
      <c r="F462" s="64"/>
      <c r="G462" s="62"/>
      <c r="H462" s="62"/>
      <c r="I462" s="62"/>
      <c r="J462" s="62"/>
      <c r="K462" s="65"/>
      <c r="L462" s="65"/>
      <c r="M462" s="62"/>
      <c r="N462" s="11"/>
      <c r="O462" s="66"/>
      <c r="P462" s="62"/>
      <c r="Q462" s="62"/>
      <c r="R462" s="62"/>
      <c r="S462" s="62"/>
      <c r="T462" s="62"/>
      <c r="U462" s="67"/>
    </row>
    <row r="463" s="58" customFormat="1" spans="1:21">
      <c r="A463" s="61"/>
      <c r="B463" s="62"/>
      <c r="C463" s="79"/>
      <c r="D463" s="61"/>
      <c r="E463" s="64"/>
      <c r="F463" s="64"/>
      <c r="G463" s="62"/>
      <c r="H463" s="62"/>
      <c r="I463" s="62"/>
      <c r="J463" s="62"/>
      <c r="K463" s="65"/>
      <c r="L463" s="65"/>
      <c r="M463" s="62"/>
      <c r="N463" s="11"/>
      <c r="O463" s="66"/>
      <c r="P463" s="62"/>
      <c r="Q463" s="62"/>
      <c r="R463" s="62"/>
      <c r="S463" s="62"/>
      <c r="T463" s="62"/>
      <c r="U463" s="67"/>
    </row>
    <row r="464" s="58" customFormat="1" spans="1:21">
      <c r="A464" s="61"/>
      <c r="B464" s="62"/>
      <c r="C464" s="79"/>
      <c r="D464" s="61"/>
      <c r="E464" s="64"/>
      <c r="F464" s="64"/>
      <c r="G464" s="62"/>
      <c r="H464" s="62"/>
      <c r="I464" s="62"/>
      <c r="J464" s="62"/>
      <c r="K464" s="65"/>
      <c r="L464" s="65"/>
      <c r="M464" s="62"/>
      <c r="N464" s="11"/>
      <c r="O464" s="66"/>
      <c r="P464" s="62"/>
      <c r="Q464" s="62"/>
      <c r="R464" s="62"/>
      <c r="S464" s="62"/>
      <c r="T464" s="62"/>
      <c r="U464" s="67"/>
    </row>
    <row r="465" s="58" customFormat="1" spans="1:21">
      <c r="A465" s="61"/>
      <c r="B465" s="62"/>
      <c r="C465" s="79"/>
      <c r="D465" s="61"/>
      <c r="E465" s="64"/>
      <c r="F465" s="64"/>
      <c r="G465" s="62"/>
      <c r="H465" s="62"/>
      <c r="I465" s="62"/>
      <c r="J465" s="62"/>
      <c r="K465" s="65"/>
      <c r="L465" s="65"/>
      <c r="M465" s="62"/>
      <c r="N465" s="11"/>
      <c r="O465" s="66"/>
      <c r="P465" s="62"/>
      <c r="Q465" s="62"/>
      <c r="R465" s="62"/>
      <c r="S465" s="62"/>
      <c r="T465" s="62"/>
      <c r="U465" s="67"/>
    </row>
    <row r="466" s="58" customFormat="1" spans="1:21">
      <c r="A466" s="61"/>
      <c r="B466" s="62"/>
      <c r="C466" s="79"/>
      <c r="D466" s="61"/>
      <c r="E466" s="64"/>
      <c r="F466" s="64"/>
      <c r="G466" s="62"/>
      <c r="H466" s="62"/>
      <c r="I466" s="62"/>
      <c r="J466" s="62"/>
      <c r="K466" s="62"/>
      <c r="L466" s="65"/>
      <c r="M466" s="62"/>
      <c r="N466" s="11"/>
      <c r="O466" s="66"/>
      <c r="P466" s="62"/>
      <c r="Q466" s="62"/>
      <c r="R466" s="62"/>
      <c r="S466" s="62"/>
      <c r="T466" s="62"/>
      <c r="U466" s="67"/>
    </row>
    <row r="467" s="58" customFormat="1" spans="1:21">
      <c r="A467" s="61"/>
      <c r="B467" s="62"/>
      <c r="C467" s="79"/>
      <c r="D467" s="61"/>
      <c r="E467" s="64"/>
      <c r="F467" s="64"/>
      <c r="G467" s="62"/>
      <c r="H467" s="62"/>
      <c r="I467" s="62"/>
      <c r="J467" s="62"/>
      <c r="K467" s="62"/>
      <c r="L467" s="65"/>
      <c r="M467" s="62"/>
      <c r="N467" s="11"/>
      <c r="O467" s="66"/>
      <c r="P467" s="62"/>
      <c r="Q467" s="62"/>
      <c r="R467" s="62"/>
      <c r="S467" s="62"/>
      <c r="T467" s="62"/>
      <c r="U467" s="67"/>
    </row>
    <row r="468" s="58" customFormat="1" spans="1:21">
      <c r="A468" s="61"/>
      <c r="B468" s="62"/>
      <c r="C468" s="79"/>
      <c r="D468" s="61"/>
      <c r="E468" s="64"/>
      <c r="F468" s="64"/>
      <c r="G468" s="62"/>
      <c r="H468" s="62"/>
      <c r="I468" s="62"/>
      <c r="J468" s="62"/>
      <c r="K468" s="62"/>
      <c r="L468" s="65"/>
      <c r="M468" s="62"/>
      <c r="N468" s="11"/>
      <c r="O468" s="66"/>
      <c r="P468" s="62"/>
      <c r="Q468" s="62"/>
      <c r="R468" s="62"/>
      <c r="S468" s="94"/>
      <c r="T468" s="62"/>
      <c r="U468" s="67"/>
    </row>
    <row r="469" s="58" customFormat="1" spans="1:21">
      <c r="A469" s="61"/>
      <c r="B469" s="62"/>
      <c r="C469" s="79"/>
      <c r="D469" s="61"/>
      <c r="E469" s="64"/>
      <c r="F469" s="64"/>
      <c r="G469" s="62"/>
      <c r="H469" s="62"/>
      <c r="I469" s="62"/>
      <c r="J469" s="62"/>
      <c r="K469" s="62"/>
      <c r="L469" s="65"/>
      <c r="M469" s="62"/>
      <c r="N469" s="11"/>
      <c r="O469" s="66"/>
      <c r="P469" s="62"/>
      <c r="Q469" s="62"/>
      <c r="R469" s="62"/>
      <c r="S469" s="92"/>
      <c r="T469" s="62"/>
      <c r="U469" s="67"/>
    </row>
    <row r="470" s="58" customFormat="1" spans="1:21">
      <c r="A470" s="61"/>
      <c r="B470" s="62"/>
      <c r="C470" s="79"/>
      <c r="D470" s="61"/>
      <c r="E470" s="64"/>
      <c r="F470" s="64"/>
      <c r="G470" s="62"/>
      <c r="H470" s="62"/>
      <c r="I470" s="62"/>
      <c r="J470" s="62"/>
      <c r="K470" s="62"/>
      <c r="L470" s="65"/>
      <c r="M470" s="62"/>
      <c r="N470" s="11"/>
      <c r="O470" s="66"/>
      <c r="P470" s="62"/>
      <c r="Q470" s="62"/>
      <c r="R470" s="62"/>
      <c r="S470" s="62"/>
      <c r="T470" s="62"/>
      <c r="U470" s="67"/>
    </row>
    <row r="471" s="58" customFormat="1" spans="1:21">
      <c r="A471" s="61"/>
      <c r="B471" s="62"/>
      <c r="C471" s="79"/>
      <c r="D471" s="61"/>
      <c r="E471" s="64"/>
      <c r="F471" s="64"/>
      <c r="G471" s="62"/>
      <c r="H471" s="62"/>
      <c r="I471" s="62"/>
      <c r="J471" s="62"/>
      <c r="K471" s="62"/>
      <c r="L471" s="65"/>
      <c r="M471" s="62"/>
      <c r="N471" s="11"/>
      <c r="O471" s="89"/>
      <c r="P471" s="62"/>
      <c r="Q471" s="62"/>
      <c r="R471" s="62"/>
      <c r="S471" s="62"/>
      <c r="T471" s="62"/>
      <c r="U471" s="67"/>
    </row>
    <row r="472" s="58" customFormat="1" spans="1:21">
      <c r="A472" s="61"/>
      <c r="B472" s="62"/>
      <c r="C472" s="79"/>
      <c r="D472" s="61"/>
      <c r="E472" s="64"/>
      <c r="F472" s="64"/>
      <c r="G472" s="62"/>
      <c r="H472" s="62"/>
      <c r="I472" s="62"/>
      <c r="J472" s="62"/>
      <c r="K472" s="62"/>
      <c r="L472" s="65"/>
      <c r="M472" s="62"/>
      <c r="N472" s="11"/>
      <c r="O472" s="61"/>
      <c r="P472" s="62"/>
      <c r="Q472" s="62"/>
      <c r="R472" s="62"/>
      <c r="S472" s="62"/>
      <c r="T472" s="62"/>
      <c r="U472" s="67"/>
    </row>
    <row r="473" s="58" customFormat="1" spans="1:21">
      <c r="A473" s="61"/>
      <c r="B473" s="62"/>
      <c r="C473" s="79"/>
      <c r="D473" s="61"/>
      <c r="E473" s="64"/>
      <c r="F473" s="64"/>
      <c r="G473" s="62"/>
      <c r="H473" s="62"/>
      <c r="I473" s="62"/>
      <c r="J473" s="62"/>
      <c r="K473" s="65"/>
      <c r="L473" s="65"/>
      <c r="M473" s="62"/>
      <c r="N473" s="11"/>
      <c r="O473" s="66"/>
      <c r="P473" s="62"/>
      <c r="Q473" s="62"/>
      <c r="R473" s="62"/>
      <c r="S473" s="62"/>
      <c r="T473" s="62"/>
      <c r="U473" s="67"/>
    </row>
    <row r="474" s="58" customFormat="1" spans="1:21">
      <c r="A474" s="61"/>
      <c r="B474" s="62"/>
      <c r="C474" s="79"/>
      <c r="D474" s="61"/>
      <c r="E474" s="64"/>
      <c r="F474" s="64"/>
      <c r="G474" s="62"/>
      <c r="H474" s="62"/>
      <c r="I474" s="62"/>
      <c r="J474" s="62"/>
      <c r="K474" s="65"/>
      <c r="L474" s="65"/>
      <c r="M474" s="62"/>
      <c r="N474" s="11"/>
      <c r="O474" s="66"/>
      <c r="P474" s="62"/>
      <c r="Q474" s="62"/>
      <c r="R474" s="62"/>
      <c r="S474" s="94"/>
      <c r="T474" s="62"/>
      <c r="U474" s="67"/>
    </row>
    <row r="475" s="58" customFormat="1" spans="1:21">
      <c r="A475" s="61"/>
      <c r="B475" s="62"/>
      <c r="C475" s="79"/>
      <c r="D475" s="61"/>
      <c r="E475" s="64"/>
      <c r="F475" s="64"/>
      <c r="G475" s="62"/>
      <c r="H475" s="62"/>
      <c r="I475" s="62"/>
      <c r="J475" s="62"/>
      <c r="K475" s="65"/>
      <c r="L475" s="65"/>
      <c r="M475" s="62"/>
      <c r="N475" s="11"/>
      <c r="O475" s="66"/>
      <c r="P475" s="62"/>
      <c r="Q475" s="62"/>
      <c r="R475" s="62"/>
      <c r="S475" s="92"/>
      <c r="T475" s="62"/>
      <c r="U475" s="67"/>
    </row>
    <row r="476" s="58" customFormat="1" spans="1:21">
      <c r="A476" s="61"/>
      <c r="B476" s="62"/>
      <c r="C476" s="79"/>
      <c r="D476" s="61"/>
      <c r="E476" s="64"/>
      <c r="F476" s="64"/>
      <c r="G476" s="62"/>
      <c r="H476" s="62"/>
      <c r="I476" s="62"/>
      <c r="J476" s="62"/>
      <c r="K476" s="65"/>
      <c r="L476" s="65"/>
      <c r="M476" s="62"/>
      <c r="N476" s="11"/>
      <c r="O476" s="66"/>
      <c r="P476" s="62"/>
      <c r="Q476" s="62"/>
      <c r="R476" s="62"/>
      <c r="S476" s="62"/>
      <c r="T476" s="62"/>
      <c r="U476" s="67"/>
    </row>
    <row r="477" s="58" customFormat="1" spans="1:21">
      <c r="A477" s="61"/>
      <c r="B477" s="62"/>
      <c r="C477" s="79"/>
      <c r="D477" s="61"/>
      <c r="E477" s="64"/>
      <c r="F477" s="64"/>
      <c r="G477" s="62"/>
      <c r="H477" s="62"/>
      <c r="I477" s="62"/>
      <c r="J477" s="62"/>
      <c r="K477" s="65"/>
      <c r="L477" s="65"/>
      <c r="M477" s="62"/>
      <c r="N477" s="11"/>
      <c r="O477" s="66"/>
      <c r="P477" s="62"/>
      <c r="Q477" s="62"/>
      <c r="R477" s="62"/>
      <c r="S477" s="62"/>
      <c r="T477" s="62"/>
      <c r="U477" s="67"/>
    </row>
    <row r="478" s="58" customFormat="1" spans="1:21">
      <c r="A478" s="61"/>
      <c r="B478" s="62"/>
      <c r="C478" s="79"/>
      <c r="D478" s="61"/>
      <c r="E478" s="64"/>
      <c r="F478" s="64"/>
      <c r="G478" s="62"/>
      <c r="H478" s="62"/>
      <c r="I478" s="62"/>
      <c r="J478" s="62"/>
      <c r="K478" s="65"/>
      <c r="L478" s="65"/>
      <c r="M478" s="62"/>
      <c r="N478" s="11"/>
      <c r="O478" s="66"/>
      <c r="P478" s="62"/>
      <c r="Q478" s="62"/>
      <c r="R478" s="62"/>
      <c r="S478" s="62"/>
      <c r="T478" s="62"/>
      <c r="U478" s="67"/>
    </row>
    <row r="479" s="58" customFormat="1" spans="1:21">
      <c r="A479" s="61"/>
      <c r="B479" s="62"/>
      <c r="C479" s="79"/>
      <c r="D479" s="61"/>
      <c r="E479" s="64"/>
      <c r="F479" s="64"/>
      <c r="G479" s="62"/>
      <c r="H479" s="62"/>
      <c r="I479" s="62"/>
      <c r="J479" s="62"/>
      <c r="K479" s="65"/>
      <c r="L479" s="65"/>
      <c r="M479" s="62"/>
      <c r="N479" s="11"/>
      <c r="O479" s="66"/>
      <c r="P479" s="62"/>
      <c r="Q479" s="62"/>
      <c r="R479" s="62"/>
      <c r="S479" s="62"/>
      <c r="T479" s="62"/>
      <c r="U479" s="67"/>
    </row>
    <row r="480" s="58" customFormat="1" spans="1:21">
      <c r="A480" s="61"/>
      <c r="B480" s="62"/>
      <c r="C480" s="79"/>
      <c r="D480" s="61"/>
      <c r="E480" s="64"/>
      <c r="F480" s="64"/>
      <c r="G480" s="62"/>
      <c r="H480" s="62"/>
      <c r="I480" s="62"/>
      <c r="J480" s="62"/>
      <c r="K480" s="65"/>
      <c r="L480" s="65"/>
      <c r="M480" s="62"/>
      <c r="N480" s="11"/>
      <c r="O480" s="66"/>
      <c r="P480" s="62"/>
      <c r="Q480" s="62"/>
      <c r="R480" s="62"/>
      <c r="S480" s="62"/>
      <c r="T480" s="62"/>
      <c r="U480" s="67"/>
    </row>
    <row r="481" s="58" customFormat="1" spans="1:21">
      <c r="A481" s="61"/>
      <c r="B481" s="62"/>
      <c r="C481" s="79"/>
      <c r="D481" s="61"/>
      <c r="E481" s="64"/>
      <c r="F481" s="64"/>
      <c r="G481" s="62"/>
      <c r="H481" s="62"/>
      <c r="I481" s="62"/>
      <c r="J481" s="62"/>
      <c r="K481" s="65"/>
      <c r="L481" s="65"/>
      <c r="M481" s="62"/>
      <c r="N481" s="11"/>
      <c r="O481" s="66"/>
      <c r="P481" s="62"/>
      <c r="Q481" s="62"/>
      <c r="R481" s="62"/>
      <c r="S481" s="94"/>
      <c r="T481" s="62"/>
      <c r="U481" s="67"/>
    </row>
    <row r="482" s="58" customFormat="1" spans="1:21">
      <c r="A482" s="61"/>
      <c r="B482" s="62"/>
      <c r="C482" s="79"/>
      <c r="D482" s="61"/>
      <c r="E482" s="64"/>
      <c r="F482" s="64"/>
      <c r="G482" s="62"/>
      <c r="H482" s="62"/>
      <c r="I482" s="62"/>
      <c r="J482" s="62"/>
      <c r="K482" s="65"/>
      <c r="L482" s="65"/>
      <c r="M482" s="62"/>
      <c r="N482" s="11"/>
      <c r="O482" s="66"/>
      <c r="P482" s="62"/>
      <c r="Q482" s="62"/>
      <c r="R482" s="62"/>
      <c r="S482" s="92"/>
      <c r="T482" s="62"/>
      <c r="U482" s="67"/>
    </row>
    <row r="483" s="58" customFormat="1" spans="1:21">
      <c r="A483" s="61"/>
      <c r="B483" s="62"/>
      <c r="C483" s="79"/>
      <c r="D483" s="61"/>
      <c r="E483" s="64"/>
      <c r="F483" s="64"/>
      <c r="G483" s="62"/>
      <c r="H483" s="62"/>
      <c r="I483" s="62"/>
      <c r="J483" s="62"/>
      <c r="K483" s="65"/>
      <c r="L483" s="65"/>
      <c r="M483" s="62"/>
      <c r="N483" s="11"/>
      <c r="O483" s="66"/>
      <c r="P483" s="62"/>
      <c r="Q483" s="62"/>
      <c r="R483" s="62"/>
      <c r="S483" s="94"/>
      <c r="T483" s="62"/>
      <c r="U483" s="67"/>
    </row>
    <row r="484" s="58" customFormat="1" spans="1:21">
      <c r="A484" s="61"/>
      <c r="B484" s="62"/>
      <c r="C484" s="79"/>
      <c r="D484" s="61"/>
      <c r="E484" s="64"/>
      <c r="F484" s="64"/>
      <c r="G484" s="62"/>
      <c r="H484" s="62"/>
      <c r="I484" s="62"/>
      <c r="J484" s="62"/>
      <c r="K484" s="65"/>
      <c r="L484" s="65"/>
      <c r="M484" s="62"/>
      <c r="N484" s="11"/>
      <c r="O484" s="66"/>
      <c r="P484" s="62"/>
      <c r="Q484" s="62"/>
      <c r="R484" s="62"/>
      <c r="S484" s="92"/>
      <c r="T484" s="62"/>
      <c r="U484" s="67"/>
    </row>
    <row r="485" s="58" customFormat="1" spans="1:21">
      <c r="A485" s="61"/>
      <c r="B485" s="62"/>
      <c r="C485" s="79"/>
      <c r="D485" s="61"/>
      <c r="E485" s="64"/>
      <c r="F485" s="64"/>
      <c r="G485" s="62"/>
      <c r="H485" s="62"/>
      <c r="I485" s="62"/>
      <c r="J485" s="62"/>
      <c r="K485" s="65"/>
      <c r="L485" s="65"/>
      <c r="M485" s="62"/>
      <c r="N485" s="11"/>
      <c r="O485" s="66"/>
      <c r="P485" s="62"/>
      <c r="Q485" s="62"/>
      <c r="R485" s="62"/>
      <c r="S485" s="62"/>
      <c r="T485" s="62"/>
      <c r="U485" s="67"/>
    </row>
    <row r="486" s="58" customFormat="1" spans="1:21">
      <c r="A486" s="61"/>
      <c r="B486" s="62"/>
      <c r="C486" s="79"/>
      <c r="D486" s="61"/>
      <c r="E486" s="64"/>
      <c r="F486" s="64"/>
      <c r="G486" s="62"/>
      <c r="H486" s="62"/>
      <c r="I486" s="62"/>
      <c r="J486" s="62"/>
      <c r="K486" s="65"/>
      <c r="L486" s="65"/>
      <c r="M486" s="62"/>
      <c r="N486" s="11"/>
      <c r="O486" s="66"/>
      <c r="P486" s="62"/>
      <c r="Q486" s="62"/>
      <c r="R486" s="62"/>
      <c r="S486" s="62"/>
      <c r="T486" s="62"/>
      <c r="U486" s="67"/>
    </row>
    <row r="487" s="58" customFormat="1" spans="1:21">
      <c r="A487" s="61"/>
      <c r="B487" s="62"/>
      <c r="C487" s="79"/>
      <c r="D487" s="61"/>
      <c r="E487" s="64"/>
      <c r="F487" s="64"/>
      <c r="G487" s="62"/>
      <c r="H487" s="62"/>
      <c r="I487" s="62"/>
      <c r="J487" s="62"/>
      <c r="K487" s="65"/>
      <c r="L487" s="65"/>
      <c r="M487" s="62"/>
      <c r="N487" s="11"/>
      <c r="O487" s="66"/>
      <c r="P487" s="62"/>
      <c r="Q487" s="62"/>
      <c r="R487" s="62"/>
      <c r="S487" s="62"/>
      <c r="T487" s="62"/>
      <c r="U487" s="67"/>
    </row>
    <row r="488" s="58" customFormat="1" spans="1:21">
      <c r="A488" s="61"/>
      <c r="B488" s="62"/>
      <c r="C488" s="79"/>
      <c r="D488" s="61"/>
      <c r="E488" s="64"/>
      <c r="F488" s="64"/>
      <c r="G488" s="62"/>
      <c r="H488" s="62"/>
      <c r="I488" s="62"/>
      <c r="J488" s="62"/>
      <c r="K488" s="65"/>
      <c r="L488" s="65"/>
      <c r="M488" s="62"/>
      <c r="N488" s="11"/>
      <c r="O488" s="66"/>
      <c r="P488" s="62"/>
      <c r="Q488" s="62"/>
      <c r="R488" s="62"/>
      <c r="S488" s="62"/>
      <c r="T488" s="62"/>
      <c r="U488" s="67"/>
    </row>
    <row r="489" s="58" customFormat="1" spans="1:21">
      <c r="A489" s="61"/>
      <c r="B489" s="62"/>
      <c r="C489" s="79"/>
      <c r="D489" s="61"/>
      <c r="E489" s="64"/>
      <c r="F489" s="64"/>
      <c r="G489" s="62"/>
      <c r="H489" s="62"/>
      <c r="I489" s="62"/>
      <c r="J489" s="62"/>
      <c r="K489" s="65"/>
      <c r="L489" s="65"/>
      <c r="M489" s="62"/>
      <c r="N489" s="11"/>
      <c r="O489" s="66"/>
      <c r="P489" s="62"/>
      <c r="Q489" s="62"/>
      <c r="R489" s="62"/>
      <c r="S489" s="62"/>
      <c r="T489" s="62"/>
      <c r="U489" s="67"/>
    </row>
    <row r="490" s="58" customFormat="1" spans="1:21">
      <c r="A490" s="61"/>
      <c r="B490" s="62"/>
      <c r="C490" s="79"/>
      <c r="D490" s="61"/>
      <c r="E490" s="64"/>
      <c r="F490" s="64"/>
      <c r="G490" s="62"/>
      <c r="H490" s="62"/>
      <c r="I490" s="62"/>
      <c r="J490" s="62"/>
      <c r="K490" s="65"/>
      <c r="L490" s="65"/>
      <c r="M490" s="62"/>
      <c r="N490" s="11"/>
      <c r="O490" s="66"/>
      <c r="P490" s="62"/>
      <c r="Q490" s="62"/>
      <c r="R490" s="62"/>
      <c r="S490" s="94"/>
      <c r="T490" s="62"/>
      <c r="U490" s="67"/>
    </row>
    <row r="491" s="58" customFormat="1" spans="1:21">
      <c r="A491" s="61"/>
      <c r="B491" s="62"/>
      <c r="C491" s="79"/>
      <c r="D491" s="61"/>
      <c r="E491" s="64"/>
      <c r="F491" s="64"/>
      <c r="G491" s="62"/>
      <c r="H491" s="62"/>
      <c r="I491" s="62"/>
      <c r="J491" s="62"/>
      <c r="K491" s="65"/>
      <c r="L491" s="65"/>
      <c r="M491" s="62"/>
      <c r="N491" s="11"/>
      <c r="O491" s="66"/>
      <c r="P491" s="62"/>
      <c r="Q491" s="62"/>
      <c r="R491" s="62"/>
      <c r="S491" s="92"/>
      <c r="T491" s="62"/>
      <c r="U491" s="67"/>
    </row>
    <row r="492" s="58" customFormat="1" spans="1:21">
      <c r="A492" s="61"/>
      <c r="B492" s="62"/>
      <c r="C492" s="79"/>
      <c r="D492" s="61"/>
      <c r="E492" s="64"/>
      <c r="F492" s="64"/>
      <c r="G492" s="62"/>
      <c r="H492" s="62"/>
      <c r="I492" s="62"/>
      <c r="J492" s="62"/>
      <c r="K492" s="65"/>
      <c r="L492" s="65"/>
      <c r="M492" s="62"/>
      <c r="N492" s="11"/>
      <c r="O492" s="66"/>
      <c r="P492" s="62"/>
      <c r="Q492" s="62"/>
      <c r="R492" s="62"/>
      <c r="S492" s="62"/>
      <c r="T492" s="62"/>
      <c r="U492" s="67"/>
    </row>
    <row r="493" s="58" customFormat="1" spans="1:21">
      <c r="A493" s="61"/>
      <c r="B493" s="62"/>
      <c r="C493" s="79"/>
      <c r="D493" s="61"/>
      <c r="E493" s="64"/>
      <c r="F493" s="64"/>
      <c r="G493" s="62"/>
      <c r="H493" s="62"/>
      <c r="I493" s="62"/>
      <c r="J493" s="62"/>
      <c r="K493" s="65"/>
      <c r="L493" s="65"/>
      <c r="M493" s="62"/>
      <c r="N493" s="11"/>
      <c r="O493" s="66"/>
      <c r="P493" s="62"/>
      <c r="Q493" s="62"/>
      <c r="R493" s="62"/>
      <c r="S493" s="62"/>
      <c r="T493" s="62"/>
      <c r="U493" s="67"/>
    </row>
    <row r="494" s="58" customFormat="1" spans="1:21">
      <c r="A494" s="61"/>
      <c r="B494" s="62"/>
      <c r="C494" s="79"/>
      <c r="D494" s="61"/>
      <c r="E494" s="64"/>
      <c r="F494" s="64"/>
      <c r="G494" s="62"/>
      <c r="H494" s="62"/>
      <c r="I494" s="62"/>
      <c r="J494" s="62"/>
      <c r="K494" s="65"/>
      <c r="L494" s="65"/>
      <c r="M494" s="62"/>
      <c r="N494" s="11"/>
      <c r="O494" s="66"/>
      <c r="P494" s="62"/>
      <c r="Q494" s="62"/>
      <c r="R494" s="62"/>
      <c r="S494" s="62"/>
      <c r="T494" s="62"/>
      <c r="U494" s="67"/>
    </row>
    <row r="495" s="58" customFormat="1" spans="1:21">
      <c r="A495" s="61"/>
      <c r="B495" s="62"/>
      <c r="C495" s="79"/>
      <c r="D495" s="61"/>
      <c r="E495" s="64"/>
      <c r="F495" s="64"/>
      <c r="G495" s="62"/>
      <c r="H495" s="62"/>
      <c r="I495" s="62"/>
      <c r="J495" s="62"/>
      <c r="K495" s="65"/>
      <c r="L495" s="65"/>
      <c r="M495" s="62"/>
      <c r="N495" s="11"/>
      <c r="O495" s="66"/>
      <c r="P495" s="62"/>
      <c r="Q495" s="62"/>
      <c r="R495" s="62"/>
      <c r="S495" s="62"/>
      <c r="T495" s="62"/>
      <c r="U495" s="67"/>
    </row>
    <row r="496" s="58" customFormat="1" spans="1:21">
      <c r="A496" s="61"/>
      <c r="B496" s="62"/>
      <c r="C496" s="79"/>
      <c r="D496" s="61"/>
      <c r="E496" s="64"/>
      <c r="F496" s="64"/>
      <c r="G496" s="62"/>
      <c r="H496" s="62"/>
      <c r="I496" s="62"/>
      <c r="J496" s="62"/>
      <c r="K496" s="65"/>
      <c r="L496" s="65"/>
      <c r="M496" s="62"/>
      <c r="N496" s="11"/>
      <c r="O496" s="66"/>
      <c r="P496" s="62"/>
      <c r="Q496" s="62"/>
      <c r="R496" s="62"/>
      <c r="S496" s="62"/>
      <c r="T496" s="62"/>
      <c r="U496" s="67"/>
    </row>
    <row r="497" s="58" customFormat="1" spans="1:21">
      <c r="A497" s="61"/>
      <c r="B497" s="62"/>
      <c r="C497" s="79"/>
      <c r="D497" s="61"/>
      <c r="E497" s="64"/>
      <c r="F497" s="64"/>
      <c r="G497" s="62"/>
      <c r="H497" s="62"/>
      <c r="I497" s="62"/>
      <c r="J497" s="62"/>
      <c r="K497" s="65"/>
      <c r="L497" s="65"/>
      <c r="M497" s="62"/>
      <c r="N497" s="11"/>
      <c r="O497" s="66"/>
      <c r="P497" s="62"/>
      <c r="Q497" s="62"/>
      <c r="R497" s="62"/>
      <c r="S497" s="62"/>
      <c r="T497" s="62"/>
      <c r="U497" s="67"/>
    </row>
    <row r="498" s="58" customFormat="1" spans="1:21">
      <c r="A498" s="61"/>
      <c r="B498" s="62"/>
      <c r="C498" s="79"/>
      <c r="D498" s="61"/>
      <c r="E498" s="64"/>
      <c r="F498" s="64"/>
      <c r="G498" s="62"/>
      <c r="H498" s="62"/>
      <c r="I498" s="62"/>
      <c r="J498" s="62"/>
      <c r="K498" s="65"/>
      <c r="L498" s="65"/>
      <c r="M498" s="62"/>
      <c r="N498" s="11"/>
      <c r="O498" s="66"/>
      <c r="P498" s="62"/>
      <c r="Q498" s="62"/>
      <c r="R498" s="62"/>
      <c r="S498" s="62"/>
      <c r="T498" s="62"/>
      <c r="U498" s="67"/>
    </row>
    <row r="499" s="58" customFormat="1" spans="1:21">
      <c r="A499" s="61"/>
      <c r="B499" s="62"/>
      <c r="C499" s="79"/>
      <c r="D499" s="61"/>
      <c r="E499" s="64"/>
      <c r="F499" s="64"/>
      <c r="G499" s="62"/>
      <c r="H499" s="62"/>
      <c r="I499" s="62"/>
      <c r="J499" s="62"/>
      <c r="K499" s="65"/>
      <c r="L499" s="65"/>
      <c r="M499" s="62"/>
      <c r="N499" s="11"/>
      <c r="O499" s="66"/>
      <c r="P499" s="62"/>
      <c r="Q499" s="62"/>
      <c r="R499" s="62"/>
      <c r="S499" s="62"/>
      <c r="T499" s="62"/>
      <c r="U499" s="67"/>
    </row>
    <row r="500" s="58" customFormat="1" spans="1:21">
      <c r="A500" s="61"/>
      <c r="B500" s="62"/>
      <c r="C500" s="79"/>
      <c r="D500" s="61"/>
      <c r="E500" s="64"/>
      <c r="F500" s="64"/>
      <c r="G500" s="62"/>
      <c r="H500" s="62"/>
      <c r="I500" s="62"/>
      <c r="J500" s="62"/>
      <c r="K500" s="65"/>
      <c r="L500" s="65"/>
      <c r="M500" s="62"/>
      <c r="N500" s="11"/>
      <c r="O500" s="66"/>
      <c r="P500" s="62"/>
      <c r="Q500" s="62"/>
      <c r="R500" s="62"/>
      <c r="S500" s="62"/>
      <c r="T500" s="62"/>
      <c r="U500" s="67"/>
    </row>
    <row r="501" s="58" customFormat="1" spans="1:21">
      <c r="A501" s="61"/>
      <c r="B501" s="62"/>
      <c r="C501" s="79"/>
      <c r="D501" s="61"/>
      <c r="E501" s="64"/>
      <c r="F501" s="64"/>
      <c r="G501" s="62"/>
      <c r="H501" s="62"/>
      <c r="I501" s="62"/>
      <c r="J501" s="62"/>
      <c r="K501" s="65"/>
      <c r="L501" s="65"/>
      <c r="M501" s="62"/>
      <c r="N501" s="11"/>
      <c r="O501" s="66"/>
      <c r="P501" s="62"/>
      <c r="Q501" s="62"/>
      <c r="R501" s="62"/>
      <c r="S501" s="62"/>
      <c r="T501" s="62"/>
      <c r="U501" s="67"/>
    </row>
    <row r="502" s="58" customFormat="1" spans="1:21">
      <c r="A502" s="61"/>
      <c r="B502" s="62"/>
      <c r="C502" s="79"/>
      <c r="D502" s="61"/>
      <c r="E502" s="64"/>
      <c r="F502" s="64"/>
      <c r="G502" s="62"/>
      <c r="H502" s="62"/>
      <c r="I502" s="62"/>
      <c r="J502" s="62"/>
      <c r="K502" s="65"/>
      <c r="L502" s="65"/>
      <c r="M502" s="62"/>
      <c r="N502" s="11"/>
      <c r="O502" s="66"/>
      <c r="P502" s="62"/>
      <c r="Q502" s="62"/>
      <c r="R502" s="62"/>
      <c r="S502" s="62"/>
      <c r="T502" s="62"/>
      <c r="U502" s="67"/>
    </row>
    <row r="503" s="58" customFormat="1" spans="1:21">
      <c r="A503" s="61"/>
      <c r="B503" s="62"/>
      <c r="C503" s="79"/>
      <c r="D503" s="61"/>
      <c r="E503" s="64"/>
      <c r="F503" s="64"/>
      <c r="G503" s="62"/>
      <c r="H503" s="62"/>
      <c r="I503" s="62"/>
      <c r="J503" s="62"/>
      <c r="K503" s="65"/>
      <c r="L503" s="65"/>
      <c r="M503" s="62"/>
      <c r="N503" s="11"/>
      <c r="O503" s="66"/>
      <c r="P503" s="62"/>
      <c r="Q503" s="62"/>
      <c r="R503" s="62"/>
      <c r="S503" s="62"/>
      <c r="T503" s="62"/>
      <c r="U503" s="67"/>
    </row>
    <row r="504" s="58" customFormat="1" spans="1:21">
      <c r="A504" s="61"/>
      <c r="B504" s="62"/>
      <c r="C504" s="79"/>
      <c r="D504" s="61"/>
      <c r="E504" s="64"/>
      <c r="F504" s="64"/>
      <c r="G504" s="62"/>
      <c r="H504" s="62"/>
      <c r="I504" s="62"/>
      <c r="J504" s="62"/>
      <c r="K504" s="65"/>
      <c r="L504" s="65"/>
      <c r="M504" s="62"/>
      <c r="N504" s="11"/>
      <c r="O504" s="66"/>
      <c r="P504" s="62"/>
      <c r="Q504" s="62"/>
      <c r="R504" s="62"/>
      <c r="S504" s="62"/>
      <c r="T504" s="62"/>
      <c r="U504" s="67"/>
    </row>
    <row r="505" s="58" customFormat="1" spans="1:21">
      <c r="A505" s="61"/>
      <c r="B505" s="62"/>
      <c r="C505" s="79"/>
      <c r="D505" s="61"/>
      <c r="E505" s="64"/>
      <c r="F505" s="64"/>
      <c r="G505" s="62"/>
      <c r="H505" s="62"/>
      <c r="I505" s="62"/>
      <c r="J505" s="62"/>
      <c r="K505" s="106"/>
      <c r="L505" s="65"/>
      <c r="M505" s="62"/>
      <c r="N505" s="11"/>
      <c r="O505" s="107"/>
      <c r="P505" s="62"/>
      <c r="Q505" s="62"/>
      <c r="R505" s="62"/>
      <c r="S505" s="62"/>
      <c r="T505" s="62"/>
      <c r="U505" s="67"/>
    </row>
    <row r="506" s="58" customFormat="1" spans="1:21">
      <c r="A506" s="61"/>
      <c r="B506" s="62"/>
      <c r="C506" s="79"/>
      <c r="D506" s="61"/>
      <c r="E506" s="64"/>
      <c r="F506" s="64"/>
      <c r="G506" s="62"/>
      <c r="H506" s="62"/>
      <c r="I506" s="62"/>
      <c r="J506" s="62"/>
      <c r="K506" s="65"/>
      <c r="L506" s="65"/>
      <c r="M506" s="62"/>
      <c r="N506" s="11"/>
      <c r="O506" s="66"/>
      <c r="P506" s="62"/>
      <c r="Q506" s="62"/>
      <c r="R506" s="62"/>
      <c r="S506" s="62"/>
      <c r="T506" s="62"/>
      <c r="U506" s="67"/>
    </row>
    <row r="507" s="58" customFormat="1" spans="1:21">
      <c r="A507" s="61"/>
      <c r="B507" s="62"/>
      <c r="C507" s="79"/>
      <c r="D507" s="61"/>
      <c r="E507" s="64"/>
      <c r="F507" s="64"/>
      <c r="G507" s="62"/>
      <c r="H507" s="62"/>
      <c r="I507" s="62"/>
      <c r="J507" s="62"/>
      <c r="K507" s="65"/>
      <c r="L507" s="65"/>
      <c r="M507" s="62"/>
      <c r="N507" s="11"/>
      <c r="O507" s="66"/>
      <c r="P507" s="62"/>
      <c r="Q507" s="62"/>
      <c r="R507" s="62"/>
      <c r="S507" s="62"/>
      <c r="T507" s="62"/>
      <c r="U507" s="67"/>
    </row>
    <row r="508" s="58" customFormat="1" spans="1:21">
      <c r="A508" s="61"/>
      <c r="B508" s="62"/>
      <c r="C508" s="79"/>
      <c r="D508" s="61"/>
      <c r="E508" s="64"/>
      <c r="F508" s="64"/>
      <c r="G508" s="62"/>
      <c r="H508" s="62"/>
      <c r="I508" s="62"/>
      <c r="J508" s="62"/>
      <c r="K508" s="65"/>
      <c r="L508" s="65"/>
      <c r="M508" s="62"/>
      <c r="N508" s="11"/>
      <c r="O508" s="66"/>
      <c r="P508" s="62"/>
      <c r="Q508" s="62"/>
      <c r="R508" s="62"/>
      <c r="S508" s="62"/>
      <c r="T508" s="62"/>
      <c r="U508" s="67"/>
    </row>
    <row r="509" s="58" customFormat="1" spans="1:21">
      <c r="A509" s="61"/>
      <c r="B509" s="62"/>
      <c r="C509" s="79"/>
      <c r="D509" s="61"/>
      <c r="E509" s="64"/>
      <c r="F509" s="64"/>
      <c r="G509" s="62"/>
      <c r="H509" s="62"/>
      <c r="I509" s="62"/>
      <c r="J509" s="62"/>
      <c r="K509" s="65"/>
      <c r="L509" s="65"/>
      <c r="M509" s="62"/>
      <c r="N509" s="11"/>
      <c r="O509" s="66"/>
      <c r="P509" s="62"/>
      <c r="Q509" s="62"/>
      <c r="R509" s="62"/>
      <c r="S509" s="62"/>
      <c r="T509" s="62"/>
      <c r="U509" s="67"/>
    </row>
    <row r="510" s="58" customFormat="1" spans="1:21">
      <c r="A510" s="61"/>
      <c r="B510" s="62"/>
      <c r="C510" s="79"/>
      <c r="D510" s="61"/>
      <c r="E510" s="64"/>
      <c r="F510" s="64"/>
      <c r="G510" s="62"/>
      <c r="H510" s="62"/>
      <c r="I510" s="62"/>
      <c r="J510" s="62"/>
      <c r="K510" s="65"/>
      <c r="L510" s="65"/>
      <c r="M510" s="62"/>
      <c r="N510" s="11"/>
      <c r="O510" s="66"/>
      <c r="P510" s="62"/>
      <c r="Q510" s="62"/>
      <c r="R510" s="62"/>
      <c r="S510" s="62"/>
      <c r="T510" s="62"/>
      <c r="U510" s="67"/>
    </row>
    <row r="511" s="58" customFormat="1" spans="1:21">
      <c r="A511" s="61"/>
      <c r="B511" s="62"/>
      <c r="C511" s="79"/>
      <c r="D511" s="61"/>
      <c r="E511" s="64"/>
      <c r="F511" s="64"/>
      <c r="G511" s="62"/>
      <c r="H511" s="62"/>
      <c r="I511" s="62"/>
      <c r="J511" s="62"/>
      <c r="K511" s="65"/>
      <c r="L511" s="65"/>
      <c r="M511" s="62"/>
      <c r="N511" s="11"/>
      <c r="O511" s="66"/>
      <c r="P511" s="62"/>
      <c r="Q511" s="62"/>
      <c r="R511" s="62"/>
      <c r="S511" s="62"/>
      <c r="T511" s="62"/>
      <c r="U511" s="67"/>
    </row>
    <row r="512" s="58" customFormat="1" spans="1:21">
      <c r="A512" s="61"/>
      <c r="B512" s="62"/>
      <c r="C512" s="79"/>
      <c r="D512" s="61"/>
      <c r="E512" s="64"/>
      <c r="F512" s="64"/>
      <c r="G512" s="62"/>
      <c r="H512" s="62"/>
      <c r="I512" s="62"/>
      <c r="J512" s="62"/>
      <c r="K512" s="65"/>
      <c r="L512" s="65"/>
      <c r="M512" s="62"/>
      <c r="N512" s="11"/>
      <c r="O512" s="66"/>
      <c r="P512" s="62"/>
      <c r="Q512" s="62"/>
      <c r="R512" s="62"/>
      <c r="S512" s="62"/>
      <c r="T512" s="62"/>
      <c r="U512" s="67"/>
    </row>
    <row r="513" s="58" customFormat="1" spans="1:21">
      <c r="A513" s="61"/>
      <c r="B513" s="62"/>
      <c r="C513" s="79"/>
      <c r="D513" s="61"/>
      <c r="E513" s="64"/>
      <c r="F513" s="64"/>
      <c r="G513" s="62"/>
      <c r="H513" s="62"/>
      <c r="I513" s="62"/>
      <c r="J513" s="62"/>
      <c r="K513" s="65"/>
      <c r="L513" s="65"/>
      <c r="M513" s="62"/>
      <c r="N513" s="11"/>
      <c r="O513" s="66"/>
      <c r="P513" s="62"/>
      <c r="Q513" s="62"/>
      <c r="R513" s="62"/>
      <c r="S513" s="62"/>
      <c r="T513" s="62"/>
      <c r="U513" s="67"/>
    </row>
    <row r="514" s="58" customFormat="1" spans="1:21">
      <c r="A514" s="61"/>
      <c r="B514" s="62"/>
      <c r="C514" s="79"/>
      <c r="D514" s="61"/>
      <c r="E514" s="64"/>
      <c r="F514" s="64"/>
      <c r="G514" s="62"/>
      <c r="H514" s="62"/>
      <c r="I514" s="62"/>
      <c r="J514" s="62"/>
      <c r="K514" s="65"/>
      <c r="L514" s="65"/>
      <c r="M514" s="62"/>
      <c r="N514" s="11"/>
      <c r="O514" s="66"/>
      <c r="P514" s="62"/>
      <c r="Q514" s="62"/>
      <c r="R514" s="62"/>
      <c r="S514" s="62"/>
      <c r="T514" s="62"/>
      <c r="U514" s="67"/>
    </row>
    <row r="515" s="58" customFormat="1" spans="1:21">
      <c r="A515" s="61"/>
      <c r="B515" s="62"/>
      <c r="C515" s="79"/>
      <c r="D515" s="61"/>
      <c r="E515" s="64"/>
      <c r="F515" s="64"/>
      <c r="G515" s="62"/>
      <c r="H515" s="62"/>
      <c r="I515" s="62"/>
      <c r="J515" s="62"/>
      <c r="K515" s="65"/>
      <c r="L515" s="65"/>
      <c r="M515" s="62"/>
      <c r="N515" s="11"/>
      <c r="O515" s="66"/>
      <c r="P515" s="62"/>
      <c r="Q515" s="62"/>
      <c r="R515" s="62"/>
      <c r="S515" s="62"/>
      <c r="T515" s="62"/>
      <c r="U515" s="67"/>
    </row>
    <row r="516" s="58" customFormat="1" spans="1:21">
      <c r="A516" s="61"/>
      <c r="B516" s="62"/>
      <c r="C516" s="79"/>
      <c r="D516" s="61"/>
      <c r="E516" s="64"/>
      <c r="F516" s="64"/>
      <c r="G516" s="62"/>
      <c r="H516" s="62"/>
      <c r="I516" s="62"/>
      <c r="J516" s="62"/>
      <c r="K516" s="65"/>
      <c r="L516" s="65"/>
      <c r="M516" s="62"/>
      <c r="N516" s="11"/>
      <c r="O516" s="66"/>
      <c r="P516" s="62"/>
      <c r="Q516" s="62"/>
      <c r="R516" s="62"/>
      <c r="S516" s="62"/>
      <c r="T516" s="62"/>
      <c r="U516" s="67"/>
    </row>
    <row r="517" s="58" customFormat="1" spans="1:21">
      <c r="A517" s="61"/>
      <c r="B517" s="62"/>
      <c r="C517" s="79"/>
      <c r="D517" s="61"/>
      <c r="E517" s="64"/>
      <c r="F517" s="64"/>
      <c r="G517" s="62"/>
      <c r="H517" s="62"/>
      <c r="I517" s="62"/>
      <c r="J517" s="62"/>
      <c r="K517" s="65"/>
      <c r="L517" s="65"/>
      <c r="M517" s="62"/>
      <c r="N517" s="11"/>
      <c r="O517" s="66"/>
      <c r="P517" s="62"/>
      <c r="Q517" s="62"/>
      <c r="R517" s="62"/>
      <c r="S517" s="62"/>
      <c r="T517" s="62"/>
      <c r="U517" s="67"/>
    </row>
    <row r="518" s="58" customFormat="1" spans="1:21">
      <c r="A518" s="61"/>
      <c r="B518" s="62"/>
      <c r="C518" s="79"/>
      <c r="D518" s="61"/>
      <c r="E518" s="64"/>
      <c r="F518" s="64"/>
      <c r="G518" s="62"/>
      <c r="H518" s="62"/>
      <c r="I518" s="62"/>
      <c r="J518" s="62"/>
      <c r="K518" s="65"/>
      <c r="L518" s="65"/>
      <c r="M518" s="62"/>
      <c r="N518" s="11"/>
      <c r="O518" s="66"/>
      <c r="P518" s="62"/>
      <c r="Q518" s="62"/>
      <c r="R518" s="62"/>
      <c r="S518" s="62"/>
      <c r="T518" s="62"/>
      <c r="U518" s="67"/>
    </row>
    <row r="519" s="58" customFormat="1" spans="1:21">
      <c r="A519" s="61"/>
      <c r="B519" s="62"/>
      <c r="C519" s="79"/>
      <c r="D519" s="61"/>
      <c r="E519" s="64"/>
      <c r="F519" s="64"/>
      <c r="G519" s="62"/>
      <c r="H519" s="62"/>
      <c r="I519" s="62"/>
      <c r="J519" s="62"/>
      <c r="K519" s="65"/>
      <c r="L519" s="65"/>
      <c r="M519" s="62"/>
      <c r="N519" s="11"/>
      <c r="O519" s="66"/>
      <c r="P519" s="62"/>
      <c r="Q519" s="62"/>
      <c r="R519" s="62"/>
      <c r="S519" s="62"/>
      <c r="T519" s="62"/>
      <c r="U519" s="67"/>
    </row>
    <row r="520" s="58" customFormat="1" spans="1:21">
      <c r="A520" s="61"/>
      <c r="B520" s="62"/>
      <c r="C520" s="79"/>
      <c r="D520" s="61"/>
      <c r="E520" s="64"/>
      <c r="F520" s="64"/>
      <c r="G520" s="62"/>
      <c r="H520" s="62"/>
      <c r="I520" s="62"/>
      <c r="J520" s="62"/>
      <c r="K520" s="65"/>
      <c r="L520" s="65"/>
      <c r="M520" s="62"/>
      <c r="N520" s="11"/>
      <c r="O520" s="66"/>
      <c r="P520" s="62"/>
      <c r="Q520" s="62"/>
      <c r="R520" s="62"/>
      <c r="S520" s="62"/>
      <c r="T520" s="62"/>
      <c r="U520" s="67"/>
    </row>
    <row r="521" s="58" customFormat="1" spans="1:21">
      <c r="A521" s="61"/>
      <c r="B521" s="62"/>
      <c r="C521" s="79"/>
      <c r="D521" s="61"/>
      <c r="E521" s="64"/>
      <c r="F521" s="64"/>
      <c r="G521" s="62"/>
      <c r="H521" s="62"/>
      <c r="I521" s="62"/>
      <c r="J521" s="62"/>
      <c r="K521" s="65"/>
      <c r="L521" s="65"/>
      <c r="M521" s="62"/>
      <c r="N521" s="11"/>
      <c r="O521" s="66"/>
      <c r="P521" s="62"/>
      <c r="Q521" s="62"/>
      <c r="R521" s="62"/>
      <c r="S521" s="62"/>
      <c r="T521" s="62"/>
      <c r="U521" s="67"/>
    </row>
    <row r="522" s="58" customFormat="1" spans="1:21">
      <c r="A522" s="61"/>
      <c r="B522" s="62"/>
      <c r="C522" s="79"/>
      <c r="D522" s="61"/>
      <c r="E522" s="64"/>
      <c r="F522" s="64"/>
      <c r="G522" s="62"/>
      <c r="H522" s="62"/>
      <c r="I522" s="62"/>
      <c r="J522" s="62"/>
      <c r="K522" s="65"/>
      <c r="L522" s="65"/>
      <c r="M522" s="62"/>
      <c r="N522" s="11"/>
      <c r="O522" s="66"/>
      <c r="P522" s="62"/>
      <c r="Q522" s="62"/>
      <c r="R522" s="62"/>
      <c r="S522" s="62"/>
      <c r="T522" s="62"/>
      <c r="U522" s="67"/>
    </row>
    <row r="523" s="58" customFormat="1" spans="1:21">
      <c r="A523" s="61"/>
      <c r="B523" s="62"/>
      <c r="C523" s="79"/>
      <c r="D523" s="61"/>
      <c r="E523" s="64"/>
      <c r="F523" s="64"/>
      <c r="G523" s="62"/>
      <c r="H523" s="62"/>
      <c r="I523" s="62"/>
      <c r="J523" s="62"/>
      <c r="K523" s="65"/>
      <c r="L523" s="65"/>
      <c r="M523" s="62"/>
      <c r="N523" s="11"/>
      <c r="O523" s="66"/>
      <c r="P523" s="62"/>
      <c r="Q523" s="62"/>
      <c r="R523" s="62"/>
      <c r="S523" s="62"/>
      <c r="T523" s="62"/>
      <c r="U523" s="67"/>
    </row>
    <row r="524" s="58" customFormat="1" spans="1:21">
      <c r="A524" s="61"/>
      <c r="B524" s="62"/>
      <c r="C524" s="79"/>
      <c r="D524" s="61"/>
      <c r="E524" s="64"/>
      <c r="F524" s="64"/>
      <c r="G524" s="62"/>
      <c r="H524" s="62"/>
      <c r="I524" s="62"/>
      <c r="J524" s="62"/>
      <c r="K524" s="65"/>
      <c r="L524" s="65"/>
      <c r="M524" s="62"/>
      <c r="N524" s="11"/>
      <c r="O524" s="66"/>
      <c r="P524" s="62"/>
      <c r="Q524" s="62"/>
      <c r="R524" s="62"/>
      <c r="S524" s="62"/>
      <c r="T524" s="62"/>
      <c r="U524" s="67"/>
    </row>
    <row r="525" s="58" customFormat="1" spans="1:21">
      <c r="A525" s="61"/>
      <c r="B525" s="62"/>
      <c r="C525" s="79"/>
      <c r="D525" s="61"/>
      <c r="E525" s="64"/>
      <c r="F525" s="64"/>
      <c r="G525" s="62"/>
      <c r="H525" s="62"/>
      <c r="I525" s="62"/>
      <c r="J525" s="62"/>
      <c r="K525" s="106"/>
      <c r="L525" s="65"/>
      <c r="M525" s="62"/>
      <c r="N525" s="11"/>
      <c r="O525" s="66"/>
      <c r="P525" s="62"/>
      <c r="Q525" s="62"/>
      <c r="R525" s="62"/>
      <c r="S525" s="62"/>
      <c r="T525" s="62"/>
      <c r="U525" s="67"/>
    </row>
    <row r="526" s="58" customFormat="1" spans="1:21">
      <c r="A526" s="61"/>
      <c r="B526" s="62"/>
      <c r="C526" s="79"/>
      <c r="D526" s="61"/>
      <c r="E526" s="64"/>
      <c r="F526" s="64"/>
      <c r="G526" s="62"/>
      <c r="H526" s="62"/>
      <c r="I526" s="62"/>
      <c r="J526" s="62"/>
      <c r="K526" s="106"/>
      <c r="L526" s="65"/>
      <c r="M526" s="62"/>
      <c r="N526" s="11"/>
      <c r="O526" s="66"/>
      <c r="P526" s="62"/>
      <c r="Q526" s="62"/>
      <c r="R526" s="62"/>
      <c r="S526" s="62"/>
      <c r="T526" s="62"/>
      <c r="U526" s="67"/>
    </row>
    <row r="527" s="58" customFormat="1" spans="1:21">
      <c r="A527" s="61"/>
      <c r="B527" s="62"/>
      <c r="C527" s="79"/>
      <c r="D527" s="61"/>
      <c r="E527" s="64"/>
      <c r="F527" s="64"/>
      <c r="G527" s="62"/>
      <c r="H527" s="62"/>
      <c r="I527" s="62"/>
      <c r="J527" s="62"/>
      <c r="K527" s="106"/>
      <c r="L527" s="65"/>
      <c r="M527" s="62"/>
      <c r="N527" s="11"/>
      <c r="O527" s="66"/>
      <c r="P527" s="62"/>
      <c r="Q527" s="62"/>
      <c r="R527" s="62"/>
      <c r="S527" s="62"/>
      <c r="T527" s="62"/>
      <c r="U527" s="67"/>
    </row>
    <row r="528" s="58" customFormat="1" spans="1:21">
      <c r="A528" s="61"/>
      <c r="B528" s="62"/>
      <c r="C528" s="79"/>
      <c r="D528" s="61"/>
      <c r="E528" s="64"/>
      <c r="F528" s="64"/>
      <c r="G528" s="62"/>
      <c r="H528" s="62"/>
      <c r="I528" s="62"/>
      <c r="J528" s="62"/>
      <c r="K528" s="106"/>
      <c r="L528" s="65"/>
      <c r="M528" s="62"/>
      <c r="N528" s="11"/>
      <c r="O528" s="66"/>
      <c r="P528" s="62"/>
      <c r="Q528" s="62"/>
      <c r="R528" s="62"/>
      <c r="S528" s="62"/>
      <c r="T528" s="62"/>
      <c r="U528" s="67"/>
    </row>
    <row r="529" s="58" customFormat="1" spans="1:21">
      <c r="A529" s="61"/>
      <c r="B529" s="62"/>
      <c r="C529" s="79"/>
      <c r="D529" s="61"/>
      <c r="E529" s="64"/>
      <c r="F529" s="64"/>
      <c r="G529" s="62"/>
      <c r="H529" s="62"/>
      <c r="I529" s="62"/>
      <c r="J529" s="62"/>
      <c r="K529" s="106"/>
      <c r="L529" s="65"/>
      <c r="M529" s="62"/>
      <c r="N529" s="11"/>
      <c r="O529" s="66"/>
      <c r="P529" s="62"/>
      <c r="Q529" s="62"/>
      <c r="R529" s="62"/>
      <c r="S529" s="62"/>
      <c r="T529" s="62"/>
      <c r="U529" s="67"/>
    </row>
    <row r="530" s="58" customFormat="1" spans="1:21">
      <c r="A530" s="61"/>
      <c r="B530" s="62"/>
      <c r="C530" s="79"/>
      <c r="D530" s="61"/>
      <c r="E530" s="64"/>
      <c r="F530" s="64"/>
      <c r="G530" s="62"/>
      <c r="H530" s="62"/>
      <c r="I530" s="62"/>
      <c r="J530" s="62"/>
      <c r="K530" s="65"/>
      <c r="L530" s="65"/>
      <c r="M530" s="62"/>
      <c r="N530" s="11"/>
      <c r="O530" s="66"/>
      <c r="P530" s="62"/>
      <c r="Q530" s="62"/>
      <c r="R530" s="62"/>
      <c r="S530" s="62"/>
      <c r="T530" s="62"/>
      <c r="U530" s="67"/>
    </row>
    <row r="531" s="58" customFormat="1" spans="1:21">
      <c r="A531" s="61"/>
      <c r="B531" s="62"/>
      <c r="C531" s="79"/>
      <c r="D531" s="61"/>
      <c r="E531" s="64"/>
      <c r="F531" s="64"/>
      <c r="G531" s="62"/>
      <c r="H531" s="62"/>
      <c r="I531" s="62"/>
      <c r="J531" s="62"/>
      <c r="K531" s="65"/>
      <c r="L531" s="65"/>
      <c r="M531" s="62"/>
      <c r="N531" s="11"/>
      <c r="O531" s="66"/>
      <c r="P531" s="62"/>
      <c r="Q531" s="62"/>
      <c r="R531" s="62"/>
      <c r="S531" s="62"/>
      <c r="T531" s="62"/>
      <c r="U531" s="67"/>
    </row>
    <row r="532" s="58" customFormat="1" spans="1:21">
      <c r="A532" s="61"/>
      <c r="B532" s="62"/>
      <c r="C532" s="79"/>
      <c r="D532" s="61"/>
      <c r="E532" s="64"/>
      <c r="F532" s="64"/>
      <c r="G532" s="62"/>
      <c r="H532" s="62"/>
      <c r="I532" s="62"/>
      <c r="J532" s="62"/>
      <c r="K532" s="65"/>
      <c r="L532" s="65"/>
      <c r="M532" s="62"/>
      <c r="N532" s="11"/>
      <c r="O532" s="66"/>
      <c r="P532" s="62"/>
      <c r="Q532" s="62"/>
      <c r="R532" s="62"/>
      <c r="S532" s="62"/>
      <c r="T532" s="62"/>
      <c r="U532" s="67"/>
    </row>
    <row r="533" s="58" customFormat="1" spans="1:21">
      <c r="A533" s="61"/>
      <c r="B533" s="62"/>
      <c r="C533" s="79"/>
      <c r="D533" s="61"/>
      <c r="E533" s="64"/>
      <c r="F533" s="64"/>
      <c r="G533" s="62"/>
      <c r="H533" s="62"/>
      <c r="I533" s="62"/>
      <c r="J533" s="62"/>
      <c r="K533" s="65"/>
      <c r="L533" s="65"/>
      <c r="M533" s="62"/>
      <c r="N533" s="11"/>
      <c r="O533" s="66"/>
      <c r="P533" s="62"/>
      <c r="Q533" s="62"/>
      <c r="R533" s="62"/>
      <c r="S533" s="62"/>
      <c r="T533" s="62"/>
      <c r="U533" s="67"/>
    </row>
    <row r="534" s="58" customFormat="1" spans="1:21">
      <c r="A534" s="61"/>
      <c r="B534" s="62"/>
      <c r="C534" s="79"/>
      <c r="D534" s="61"/>
      <c r="E534" s="64"/>
      <c r="F534" s="64"/>
      <c r="G534" s="62"/>
      <c r="H534" s="62"/>
      <c r="I534" s="62"/>
      <c r="J534" s="62"/>
      <c r="K534" s="65"/>
      <c r="L534" s="65"/>
      <c r="M534" s="62"/>
      <c r="N534" s="11"/>
      <c r="O534" s="66"/>
      <c r="P534" s="62"/>
      <c r="Q534" s="62"/>
      <c r="R534" s="62"/>
      <c r="S534" s="62"/>
      <c r="T534" s="62"/>
      <c r="U534" s="67"/>
    </row>
    <row r="535" spans="1:21">
      <c r="C535" s="79"/>
      <c r="D535" s="61"/>
      <c r="N535" s="11"/>
      <c r="R535" s="62"/>
    </row>
    <row r="536" spans="1:21">
      <c r="C536" s="79"/>
      <c r="D536" s="61"/>
      <c r="N536" s="11"/>
      <c r="R536" s="62"/>
    </row>
    <row r="537" spans="1:21">
      <c r="C537" s="79"/>
      <c r="D537" s="61"/>
      <c r="N537" s="11"/>
      <c r="R537" s="62"/>
    </row>
    <row r="538" spans="1:21">
      <c r="C538" s="79"/>
      <c r="D538" s="61"/>
      <c r="N538" s="11"/>
      <c r="R538" s="62"/>
    </row>
    <row r="539" spans="1:21">
      <c r="C539" s="79"/>
      <c r="D539" s="61"/>
      <c r="R539" s="62"/>
    </row>
    <row r="540" spans="1:21">
      <c r="C540" s="79"/>
      <c r="D540" s="61"/>
      <c r="R540" s="62"/>
      <c r="S540" s="94"/>
    </row>
    <row r="541" spans="1:21">
      <c r="C541" s="79"/>
      <c r="D541" s="61"/>
      <c r="R541" s="62"/>
      <c r="S541" s="92"/>
    </row>
    <row r="542" spans="1:21">
      <c r="C542" s="79"/>
      <c r="D542" s="61"/>
      <c r="K542" s="106"/>
      <c r="O542" s="109"/>
      <c r="R542" s="62"/>
    </row>
    <row r="543" spans="1:21">
      <c r="C543" s="79"/>
      <c r="D543" s="61"/>
      <c r="R543" s="62"/>
    </row>
    <row r="544" spans="1:21">
      <c r="C544" s="79"/>
      <c r="D544" s="61"/>
      <c r="R544" s="62"/>
    </row>
    <row r="545" spans="3:18">
      <c r="C545" s="79"/>
      <c r="D545" s="61"/>
      <c r="R545" s="62"/>
    </row>
    <row r="546" spans="3:18">
      <c r="C546" s="79"/>
      <c r="D546" s="61"/>
      <c r="R546" s="62"/>
    </row>
    <row r="547" spans="3:18">
      <c r="C547" s="79"/>
      <c r="D547" s="61"/>
      <c r="R547" s="62"/>
    </row>
    <row r="548" spans="3:18">
      <c r="C548" s="79"/>
      <c r="D548" s="61"/>
      <c r="R548" s="62"/>
    </row>
    <row r="549" spans="3:18">
      <c r="C549" s="79"/>
      <c r="D549" s="61"/>
      <c r="K549" s="106"/>
      <c r="O549" s="107"/>
      <c r="R549" s="62"/>
    </row>
    <row r="550" spans="3:18">
      <c r="C550" s="79"/>
      <c r="D550" s="61"/>
      <c r="K550" s="106"/>
      <c r="O550" s="107"/>
      <c r="R550" s="62"/>
    </row>
    <row r="551" spans="3:18">
      <c r="C551" s="79"/>
      <c r="D551" s="61"/>
      <c r="K551" s="106"/>
      <c r="O551" s="107"/>
      <c r="R551" s="62"/>
    </row>
    <row r="552" spans="3:18">
      <c r="C552" s="79"/>
      <c r="D552" s="61"/>
      <c r="R552" s="62"/>
    </row>
    <row r="553" spans="3:18">
      <c r="C553" s="79"/>
      <c r="D553" s="61"/>
      <c r="K553" s="106"/>
      <c r="O553" s="107"/>
      <c r="R553" s="62"/>
    </row>
    <row r="554" spans="3:18">
      <c r="C554" s="79"/>
      <c r="D554" s="61"/>
      <c r="O554" s="125"/>
      <c r="R554" s="62"/>
    </row>
    <row r="555" spans="3:18">
      <c r="C555" s="79"/>
      <c r="D555" s="61"/>
      <c r="R555" s="62"/>
    </row>
    <row r="556" spans="3:18">
      <c r="C556" s="79"/>
      <c r="D556" s="61"/>
      <c r="R556" s="62"/>
    </row>
    <row r="557" spans="3:18">
      <c r="C557" s="79"/>
      <c r="D557" s="61"/>
      <c r="R557" s="62"/>
    </row>
    <row r="558" spans="3:18">
      <c r="C558" s="79"/>
      <c r="D558" s="61"/>
      <c r="R558" s="62"/>
    </row>
    <row r="559" spans="3:18">
      <c r="C559" s="79"/>
      <c r="D559" s="61"/>
      <c r="R559" s="62"/>
    </row>
    <row r="560" spans="3:18">
      <c r="C560" s="79"/>
      <c r="D560" s="61"/>
      <c r="R560" s="62"/>
    </row>
    <row r="561" spans="3:19">
      <c r="C561" s="79"/>
      <c r="D561" s="61"/>
      <c r="R561" s="62"/>
    </row>
    <row r="562" spans="3:19">
      <c r="C562" s="79"/>
      <c r="D562" s="61"/>
      <c r="R562" s="62"/>
    </row>
    <row r="563" spans="3:19">
      <c r="C563" s="79"/>
      <c r="D563" s="61"/>
      <c r="K563" s="106"/>
      <c r="O563" s="107"/>
      <c r="R563" s="62"/>
    </row>
    <row r="564" spans="3:19">
      <c r="C564" s="79"/>
      <c r="D564" s="61"/>
      <c r="R564" s="62"/>
    </row>
    <row r="565" spans="3:19">
      <c r="C565" s="79"/>
      <c r="D565" s="61"/>
      <c r="R565" s="62"/>
    </row>
    <row r="566" spans="3:19">
      <c r="C566" s="79"/>
      <c r="D566" s="61"/>
      <c r="R566" s="62"/>
      <c r="S566" s="94"/>
    </row>
    <row r="567" spans="3:19">
      <c r="C567" s="79"/>
      <c r="D567" s="61"/>
      <c r="R567" s="62"/>
      <c r="S567" s="92"/>
    </row>
    <row r="568" spans="3:19">
      <c r="C568" s="79"/>
      <c r="D568" s="61"/>
      <c r="K568" s="106"/>
      <c r="R568" s="62"/>
    </row>
    <row r="569" spans="3:19">
      <c r="C569" s="79"/>
      <c r="D569" s="61"/>
      <c r="K569" s="106"/>
      <c r="R569" s="62"/>
    </row>
    <row r="570" spans="3:19">
      <c r="C570" s="79"/>
      <c r="D570" s="61"/>
      <c r="R570" s="62"/>
    </row>
    <row r="571" spans="3:19">
      <c r="C571" s="79"/>
      <c r="D571" s="61"/>
      <c r="K571" s="106"/>
      <c r="R571" s="62"/>
    </row>
    <row r="572" spans="3:19">
      <c r="C572" s="79"/>
      <c r="D572" s="61"/>
      <c r="K572" s="106"/>
      <c r="R572" s="62"/>
    </row>
    <row r="573" spans="3:19">
      <c r="C573" s="79"/>
      <c r="D573" s="61"/>
      <c r="R573" s="62"/>
    </row>
    <row r="574" spans="3:19">
      <c r="C574" s="79"/>
      <c r="D574" s="61"/>
      <c r="R574" s="62"/>
    </row>
    <row r="575" spans="3:19">
      <c r="C575" s="79"/>
      <c r="D575" s="61"/>
      <c r="R575" s="62"/>
    </row>
    <row r="576" spans="3:19">
      <c r="C576" s="79"/>
      <c r="D576" s="61"/>
      <c r="O576" s="61"/>
      <c r="R576" s="62"/>
    </row>
    <row r="577" spans="3:19">
      <c r="C577" s="79"/>
      <c r="D577" s="61"/>
      <c r="R577" s="62"/>
    </row>
    <row r="578" spans="3:19">
      <c r="C578" s="79"/>
      <c r="D578" s="61"/>
      <c r="R578" s="62"/>
    </row>
    <row r="579" spans="3:19">
      <c r="C579" s="79"/>
      <c r="D579" s="61"/>
      <c r="R579" s="62"/>
    </row>
    <row r="580" spans="3:19">
      <c r="C580" s="79"/>
      <c r="D580" s="61"/>
      <c r="K580" s="106"/>
      <c r="O580" s="107"/>
      <c r="R580" s="62"/>
      <c r="S580" s="94"/>
    </row>
    <row r="581" spans="3:19">
      <c r="C581" s="79"/>
      <c r="D581" s="61"/>
      <c r="K581" s="106"/>
      <c r="O581" s="107"/>
      <c r="R581" s="62"/>
      <c r="S581" s="92"/>
    </row>
    <row r="582" spans="3:19">
      <c r="C582" s="79"/>
      <c r="D582" s="61"/>
      <c r="R582" s="62"/>
    </row>
    <row r="583" spans="3:19">
      <c r="C583" s="79"/>
      <c r="D583" s="61"/>
      <c r="K583" s="106"/>
      <c r="O583" s="107"/>
      <c r="R583" s="62"/>
      <c r="S583" s="94"/>
    </row>
    <row r="584" spans="3:19">
      <c r="C584" s="79"/>
      <c r="D584" s="61"/>
      <c r="I584" s="126"/>
      <c r="K584" s="106"/>
      <c r="O584" s="107"/>
      <c r="R584" s="62"/>
      <c r="S584" s="92"/>
    </row>
    <row r="585" spans="3:19">
      <c r="C585" s="79"/>
      <c r="D585" s="61"/>
      <c r="I585" s="126"/>
      <c r="R585" s="62"/>
    </row>
    <row r="586" spans="3:19">
      <c r="C586" s="79"/>
      <c r="D586" s="61"/>
      <c r="R586" s="62"/>
    </row>
    <row r="587" spans="3:19">
      <c r="C587" s="79"/>
      <c r="D587" s="61"/>
      <c r="R587" s="62"/>
    </row>
    <row r="588" spans="3:19">
      <c r="C588" s="79"/>
      <c r="D588" s="61"/>
      <c r="R588" s="62"/>
      <c r="S588" s="94"/>
    </row>
    <row r="589" spans="3:19">
      <c r="C589" s="79"/>
      <c r="D589" s="61"/>
      <c r="R589" s="62"/>
      <c r="S589" s="92"/>
    </row>
    <row r="590" spans="3:19">
      <c r="C590" s="79"/>
      <c r="D590" s="61"/>
      <c r="R590" s="62"/>
      <c r="S590" s="94"/>
    </row>
    <row r="591" spans="3:19">
      <c r="C591" s="79"/>
      <c r="D591" s="61"/>
      <c r="R591" s="62"/>
      <c r="S591" s="92"/>
    </row>
    <row r="592" spans="3:19">
      <c r="C592" s="79"/>
      <c r="D592" s="61"/>
      <c r="R592" s="62"/>
      <c r="S592" s="94"/>
    </row>
    <row r="593" spans="3:19">
      <c r="C593" s="79"/>
      <c r="D593" s="61"/>
      <c r="R593" s="62"/>
      <c r="S593" s="92"/>
    </row>
    <row r="594" spans="3:19">
      <c r="C594" s="79"/>
      <c r="D594" s="61"/>
      <c r="R594" s="62"/>
      <c r="S594" s="94"/>
    </row>
    <row r="595" spans="3:19">
      <c r="C595" s="79"/>
      <c r="D595" s="61"/>
      <c r="R595" s="62"/>
      <c r="S595" s="92"/>
    </row>
    <row r="596" spans="3:19">
      <c r="C596" s="79"/>
      <c r="D596" s="61"/>
      <c r="R596" s="62"/>
    </row>
    <row r="597" spans="3:19">
      <c r="C597" s="79"/>
      <c r="D597" s="61"/>
      <c r="R597" s="62"/>
      <c r="S597" s="94"/>
    </row>
    <row r="598" spans="3:19">
      <c r="C598" s="79"/>
      <c r="D598" s="61"/>
      <c r="R598" s="62"/>
      <c r="S598" s="92"/>
    </row>
    <row r="599" spans="3:19">
      <c r="C599" s="79"/>
      <c r="D599" s="61"/>
      <c r="R599" s="62"/>
    </row>
    <row r="600" spans="3:19">
      <c r="C600" s="79"/>
      <c r="D600" s="61"/>
      <c r="R600" s="62"/>
    </row>
    <row r="601" spans="3:19">
      <c r="C601" s="79"/>
      <c r="D601" s="61"/>
      <c r="R601" s="62"/>
      <c r="S601" s="94"/>
    </row>
    <row r="602" spans="3:19">
      <c r="C602" s="79"/>
      <c r="D602" s="61"/>
      <c r="R602" s="62"/>
      <c r="S602" s="92"/>
    </row>
    <row r="603" spans="3:19">
      <c r="C603" s="79"/>
      <c r="D603" s="61"/>
      <c r="K603" s="106"/>
      <c r="O603" s="107"/>
      <c r="R603" s="62"/>
    </row>
    <row r="604" spans="3:19">
      <c r="C604" s="79"/>
      <c r="D604" s="61"/>
      <c r="K604" s="106"/>
      <c r="O604" s="107"/>
      <c r="R604" s="62"/>
      <c r="S604" s="94"/>
    </row>
    <row r="605" spans="3:19">
      <c r="C605" s="79"/>
      <c r="D605" s="61"/>
      <c r="K605" s="106"/>
      <c r="O605" s="107"/>
      <c r="R605" s="62"/>
      <c r="S605" s="92"/>
    </row>
    <row r="606" spans="3:19">
      <c r="C606" s="79"/>
      <c r="D606" s="61"/>
      <c r="R606" s="62"/>
      <c r="S606" s="94"/>
    </row>
    <row r="607" spans="3:19">
      <c r="C607" s="79"/>
      <c r="D607" s="61"/>
      <c r="R607" s="62"/>
      <c r="S607" s="92"/>
    </row>
    <row r="608" spans="3:19">
      <c r="C608" s="79"/>
      <c r="D608" s="61"/>
      <c r="K608" s="106"/>
      <c r="O608" s="107"/>
      <c r="R608" s="62"/>
      <c r="S608" s="94"/>
    </row>
    <row r="609" spans="3:19">
      <c r="C609" s="79"/>
      <c r="D609" s="61"/>
      <c r="K609" s="106"/>
      <c r="O609" s="107"/>
      <c r="R609" s="62"/>
      <c r="S609" s="92"/>
    </row>
    <row r="610" ht="15" spans="3:19">
      <c r="C610" s="79"/>
      <c r="D610" s="61"/>
      <c r="K610" s="127"/>
      <c r="R610" s="62"/>
      <c r="S610" s="94"/>
    </row>
    <row r="611" ht="15" spans="3:19">
      <c r="C611" s="79"/>
      <c r="D611" s="61"/>
      <c r="K611" s="127"/>
      <c r="R611" s="62"/>
      <c r="S611" s="92"/>
    </row>
    <row r="612" ht="15" spans="3:19">
      <c r="C612" s="79"/>
      <c r="D612" s="61"/>
      <c r="K612" s="128"/>
      <c r="O612" s="107"/>
      <c r="R612" s="62"/>
    </row>
    <row r="613" ht="15" spans="3:19">
      <c r="C613" s="79"/>
      <c r="D613" s="61"/>
      <c r="K613" s="128"/>
      <c r="O613" s="107"/>
      <c r="R613" s="62"/>
      <c r="S613" s="94"/>
    </row>
    <row r="614" ht="15" spans="3:19">
      <c r="C614" s="79"/>
      <c r="D614" s="61"/>
      <c r="K614" s="128"/>
      <c r="O614" s="107"/>
      <c r="R614" s="62"/>
      <c r="S614" s="92"/>
    </row>
    <row r="615" ht="15" spans="3:19">
      <c r="C615" s="79"/>
      <c r="D615" s="61"/>
      <c r="K615" s="129"/>
      <c r="O615" s="107"/>
      <c r="R615" s="62"/>
    </row>
    <row r="616" spans="3:19">
      <c r="C616" s="79"/>
      <c r="D616" s="61"/>
      <c r="R616" s="62"/>
    </row>
    <row r="617" spans="3:19">
      <c r="C617" s="79"/>
      <c r="D617" s="61"/>
      <c r="R617" s="62"/>
    </row>
    <row r="618" spans="3:19">
      <c r="C618" s="79"/>
      <c r="D618" s="61"/>
      <c r="R618" s="62"/>
    </row>
    <row r="619" spans="3:19">
      <c r="C619" s="79"/>
      <c r="D619" s="61"/>
      <c r="R619" s="62"/>
      <c r="S619" s="94"/>
    </row>
    <row r="620" spans="3:19">
      <c r="C620" s="79"/>
      <c r="D620" s="61"/>
      <c r="R620" s="62"/>
      <c r="S620" s="92"/>
    </row>
    <row r="621" spans="3:19">
      <c r="C621" s="79"/>
      <c r="D621" s="61"/>
      <c r="R621" s="62"/>
      <c r="S621" s="94"/>
    </row>
    <row r="622" spans="3:19">
      <c r="C622" s="79"/>
      <c r="D622" s="61"/>
      <c r="R622" s="62"/>
      <c r="S622" s="92"/>
    </row>
    <row r="623" spans="3:19">
      <c r="C623" s="79"/>
      <c r="D623" s="61"/>
      <c r="R623" s="62"/>
    </row>
    <row r="624" spans="3:19">
      <c r="C624" s="79"/>
      <c r="D624" s="61"/>
      <c r="R624" s="62"/>
      <c r="S624" s="94"/>
    </row>
    <row r="625" spans="3:19">
      <c r="C625" s="79"/>
      <c r="D625" s="61"/>
      <c r="R625" s="62"/>
      <c r="S625" s="92"/>
    </row>
    <row r="626" spans="3:19">
      <c r="C626" s="79"/>
      <c r="D626" s="61"/>
      <c r="R626" s="62"/>
    </row>
    <row r="627" spans="3:19">
      <c r="C627" s="79"/>
      <c r="D627" s="61"/>
      <c r="R627" s="62"/>
    </row>
    <row r="628" spans="3:19">
      <c r="C628" s="79"/>
      <c r="D628" s="61"/>
      <c r="R628" s="62"/>
    </row>
    <row r="629" spans="3:19">
      <c r="C629" s="79"/>
      <c r="D629" s="61"/>
      <c r="R629" s="62"/>
      <c r="S629" s="94"/>
    </row>
    <row r="630" spans="3:19">
      <c r="C630" s="79"/>
      <c r="D630" s="61"/>
      <c r="R630" s="62"/>
      <c r="S630" s="92"/>
    </row>
    <row r="631" spans="3:19">
      <c r="C631" s="79"/>
      <c r="D631" s="61"/>
      <c r="R631" s="62"/>
    </row>
    <row r="632" spans="3:19">
      <c r="C632" s="79"/>
      <c r="D632" s="61"/>
      <c r="R632" s="62"/>
    </row>
    <row r="633" spans="3:19">
      <c r="C633" s="79"/>
      <c r="D633" s="61"/>
      <c r="K633" s="106"/>
      <c r="O633" s="107"/>
      <c r="R633" s="62"/>
      <c r="S633" s="94"/>
    </row>
    <row r="634" spans="3:19">
      <c r="C634" s="79"/>
      <c r="D634" s="61"/>
      <c r="R634" s="62"/>
      <c r="S634" s="92"/>
    </row>
    <row r="635" spans="3:19">
      <c r="C635" s="79"/>
      <c r="D635" s="61"/>
      <c r="K635" s="106"/>
      <c r="R635" s="62"/>
    </row>
    <row r="636" spans="3:19">
      <c r="C636" s="79"/>
      <c r="D636" s="61"/>
      <c r="K636" s="106"/>
      <c r="R636" s="62"/>
    </row>
    <row r="637" spans="3:19">
      <c r="C637" s="79"/>
      <c r="D637" s="61"/>
      <c r="R637" s="62"/>
    </row>
    <row r="638" spans="3:19">
      <c r="C638" s="79"/>
      <c r="D638" s="61"/>
      <c r="R638" s="62"/>
    </row>
    <row r="639" spans="3:19">
      <c r="C639" s="79"/>
      <c r="D639" s="61"/>
      <c r="R639" s="62"/>
    </row>
    <row r="640" spans="3:19">
      <c r="C640" s="79"/>
      <c r="D640" s="61"/>
      <c r="R640" s="62"/>
    </row>
    <row r="641" spans="3:19">
      <c r="C641" s="79"/>
      <c r="D641" s="61"/>
      <c r="R641" s="62"/>
      <c r="S641" s="94"/>
    </row>
    <row r="642" spans="3:19">
      <c r="C642" s="79"/>
      <c r="D642" s="61"/>
      <c r="K642" s="106"/>
      <c r="O642" s="107"/>
      <c r="R642" s="62"/>
      <c r="S642" s="95"/>
    </row>
    <row r="643" spans="3:19">
      <c r="C643" s="79"/>
      <c r="D643" s="61"/>
      <c r="K643" s="106"/>
      <c r="O643" s="107"/>
      <c r="R643" s="62"/>
      <c r="S643" s="95"/>
    </row>
    <row r="644" spans="3:19">
      <c r="C644" s="79"/>
      <c r="D644" s="61"/>
      <c r="K644" s="106"/>
      <c r="O644" s="107"/>
      <c r="R644" s="62"/>
      <c r="S644" s="92"/>
    </row>
    <row r="645" spans="3:19">
      <c r="C645" s="79"/>
      <c r="D645" s="61"/>
      <c r="R645" s="62"/>
      <c r="S645" s="94"/>
    </row>
    <row r="646" spans="3:19">
      <c r="C646" s="79"/>
      <c r="D646" s="61"/>
      <c r="R646" s="62"/>
      <c r="S646" s="92"/>
    </row>
    <row r="647" spans="3:19">
      <c r="C647" s="79"/>
      <c r="D647" s="61"/>
      <c r="R647" s="62"/>
      <c r="S647" s="94"/>
    </row>
    <row r="648" spans="3:19">
      <c r="C648" s="79"/>
      <c r="D648" s="61"/>
      <c r="K648" s="106"/>
      <c r="O648" s="107"/>
      <c r="R648" s="62"/>
      <c r="S648" s="95"/>
    </row>
    <row r="649" spans="3:19">
      <c r="C649" s="79"/>
      <c r="D649" s="61"/>
      <c r="R649" s="62"/>
      <c r="S649" s="95"/>
    </row>
    <row r="650" spans="3:19">
      <c r="C650" s="79"/>
      <c r="D650" s="61"/>
      <c r="R650" s="62"/>
      <c r="S650" s="92"/>
    </row>
    <row r="651" spans="3:19">
      <c r="C651" s="79"/>
      <c r="D651" s="61"/>
      <c r="K651" s="106"/>
      <c r="R651" s="62"/>
    </row>
    <row r="652" spans="3:19">
      <c r="C652" s="79"/>
      <c r="D652" s="61"/>
      <c r="K652" s="106"/>
      <c r="R652" s="62"/>
    </row>
    <row r="653" spans="3:19">
      <c r="C653" s="79"/>
      <c r="D653" s="61"/>
      <c r="K653" s="106"/>
      <c r="R653" s="62"/>
    </row>
    <row r="654" spans="3:19">
      <c r="C654" s="79"/>
      <c r="D654" s="61"/>
      <c r="R654" s="62"/>
    </row>
    <row r="655" spans="3:19">
      <c r="C655" s="79"/>
      <c r="D655" s="61"/>
      <c r="K655" s="106"/>
      <c r="O655" s="107"/>
      <c r="R655" s="62"/>
    </row>
    <row r="656" spans="3:19">
      <c r="C656" s="79"/>
      <c r="D656" s="61"/>
      <c r="K656" s="106"/>
      <c r="O656" s="107"/>
      <c r="R656" s="62"/>
    </row>
    <row r="657" spans="3:19">
      <c r="C657" s="79"/>
      <c r="D657" s="61"/>
      <c r="R657" s="62"/>
    </row>
    <row r="658" spans="3:19">
      <c r="C658" s="79"/>
      <c r="D658" s="61"/>
      <c r="R658" s="62"/>
    </row>
    <row r="659" spans="3:19">
      <c r="C659" s="79"/>
      <c r="D659" s="61"/>
      <c r="R659" s="62"/>
    </row>
    <row r="660" spans="3:19">
      <c r="C660" s="79"/>
      <c r="D660" s="61"/>
      <c r="R660" s="62"/>
    </row>
    <row r="661" spans="3:19">
      <c r="C661" s="79"/>
      <c r="D661" s="61"/>
      <c r="R661" s="62"/>
    </row>
    <row r="662" spans="3:19">
      <c r="C662" s="79"/>
      <c r="D662" s="61"/>
      <c r="R662" s="62"/>
    </row>
    <row r="663" spans="3:19">
      <c r="C663" s="79"/>
      <c r="D663" s="61"/>
      <c r="K663" s="130"/>
      <c r="O663" s="131"/>
      <c r="R663" s="62"/>
    </row>
    <row r="664" spans="3:19">
      <c r="C664" s="79"/>
      <c r="D664" s="61"/>
      <c r="R664" s="62"/>
    </row>
    <row r="665" spans="3:19">
      <c r="C665" s="79"/>
      <c r="D665" s="61"/>
      <c r="K665" s="130"/>
      <c r="O665" s="131"/>
      <c r="R665" s="62"/>
    </row>
    <row r="666" spans="3:19">
      <c r="C666" s="79"/>
      <c r="D666" s="61"/>
      <c r="R666" s="62"/>
    </row>
    <row r="667" spans="3:19">
      <c r="C667" s="79"/>
      <c r="D667" s="61"/>
      <c r="R667" s="62"/>
    </row>
    <row r="668" spans="3:19">
      <c r="C668" s="79"/>
      <c r="D668" s="61"/>
      <c r="K668" s="132"/>
      <c r="O668" s="131"/>
      <c r="R668" s="62"/>
    </row>
    <row r="669" spans="3:19">
      <c r="C669" s="79"/>
      <c r="D669" s="61"/>
      <c r="R669" s="62"/>
    </row>
    <row r="670" spans="3:19">
      <c r="C670" s="79"/>
      <c r="D670" s="61"/>
      <c r="R670" s="62"/>
    </row>
    <row r="671" spans="3:19">
      <c r="C671" s="79"/>
      <c r="D671" s="61"/>
      <c r="R671" s="62"/>
    </row>
    <row r="672" spans="3:19">
      <c r="C672" s="79"/>
      <c r="D672" s="61"/>
      <c r="R672" s="62"/>
      <c r="S672" s="94"/>
    </row>
    <row r="673" spans="3:19">
      <c r="C673" s="79"/>
      <c r="D673" s="61"/>
      <c r="R673" s="62"/>
    </row>
    <row r="674" spans="3:19">
      <c r="C674" s="79"/>
      <c r="D674" s="61"/>
      <c r="R674" s="62"/>
    </row>
    <row r="675" spans="3:19">
      <c r="C675" s="79"/>
      <c r="D675" s="61"/>
      <c r="R675" s="62"/>
      <c r="S675" s="94"/>
    </row>
    <row r="676" spans="3:19">
      <c r="C676" s="79"/>
      <c r="D676" s="61"/>
      <c r="R676" s="62"/>
      <c r="S676" s="92"/>
    </row>
    <row r="677" spans="3:19">
      <c r="C677" s="79"/>
      <c r="D677" s="61"/>
      <c r="R677" s="62"/>
    </row>
    <row r="678" spans="3:19">
      <c r="C678" s="79"/>
      <c r="D678" s="61"/>
      <c r="R678" s="62"/>
    </row>
    <row r="679" spans="3:19">
      <c r="C679" s="79"/>
      <c r="D679" s="61"/>
      <c r="R679" s="62"/>
    </row>
    <row r="680" spans="3:19">
      <c r="C680" s="79"/>
      <c r="D680" s="61"/>
      <c r="R680" s="62"/>
    </row>
    <row r="681" spans="3:19">
      <c r="C681" s="79"/>
      <c r="D681" s="61"/>
      <c r="R681" s="62"/>
    </row>
    <row r="682" spans="3:19">
      <c r="C682" s="79"/>
      <c r="D682" s="61"/>
      <c r="R682" s="62"/>
    </row>
    <row r="683" spans="3:19">
      <c r="C683" s="79"/>
      <c r="D683" s="61"/>
      <c r="R683" s="62"/>
    </row>
    <row r="684" spans="3:19">
      <c r="C684" s="79"/>
      <c r="D684" s="61"/>
      <c r="R684" s="62"/>
    </row>
    <row r="685" spans="3:19">
      <c r="C685" s="79"/>
      <c r="D685" s="61"/>
      <c r="R685" s="62"/>
    </row>
    <row r="686" spans="3:19">
      <c r="C686" s="79"/>
      <c r="D686" s="61"/>
      <c r="R686" s="62"/>
      <c r="S686" s="94"/>
    </row>
    <row r="687" spans="3:19">
      <c r="C687" s="79"/>
      <c r="D687" s="61"/>
      <c r="R687" s="62"/>
      <c r="S687" s="92"/>
    </row>
    <row r="688" spans="3:19">
      <c r="C688" s="79"/>
      <c r="D688" s="61"/>
      <c r="R688" s="62"/>
      <c r="S688" s="94"/>
    </row>
    <row r="689" spans="3:19">
      <c r="C689" s="79"/>
      <c r="D689" s="61"/>
      <c r="R689" s="62"/>
      <c r="S689" s="92"/>
    </row>
    <row r="690" spans="3:19">
      <c r="C690" s="79"/>
      <c r="D690" s="61"/>
      <c r="R690" s="62"/>
      <c r="S690" s="94"/>
    </row>
    <row r="691" spans="3:19">
      <c r="C691" s="79"/>
      <c r="D691" s="61"/>
      <c r="R691" s="62"/>
      <c r="S691" s="92"/>
    </row>
    <row r="692" spans="3:19">
      <c r="C692" s="79"/>
      <c r="D692" s="61"/>
      <c r="R692" s="62"/>
      <c r="S692" s="94"/>
    </row>
    <row r="693" spans="3:19">
      <c r="C693" s="79"/>
      <c r="D693" s="61"/>
      <c r="R693" s="62"/>
      <c r="S693" s="92"/>
    </row>
    <row r="694" spans="3:19">
      <c r="C694" s="79"/>
      <c r="D694" s="61"/>
      <c r="R694" s="62"/>
    </row>
    <row r="695" spans="3:19">
      <c r="C695" s="79"/>
      <c r="D695" s="61"/>
      <c r="R695" s="62"/>
    </row>
    <row r="696" spans="3:19">
      <c r="C696" s="79"/>
      <c r="D696" s="61"/>
      <c r="R696" s="62"/>
    </row>
    <row r="697" spans="3:19">
      <c r="C697" s="79"/>
      <c r="D697" s="61"/>
      <c r="R697" s="62"/>
      <c r="S697" s="94"/>
    </row>
    <row r="698" spans="3:19">
      <c r="C698" s="79"/>
      <c r="D698" s="61"/>
      <c r="R698" s="62"/>
      <c r="S698" s="92"/>
    </row>
    <row r="699" spans="3:19">
      <c r="C699" s="79"/>
      <c r="D699" s="61"/>
      <c r="R699" s="62"/>
      <c r="S699" s="94"/>
    </row>
    <row r="700" spans="3:19">
      <c r="C700" s="79"/>
      <c r="D700" s="61"/>
      <c r="R700" s="62"/>
      <c r="S700" s="92"/>
    </row>
    <row r="701" spans="3:19">
      <c r="C701" s="79"/>
      <c r="D701" s="61"/>
      <c r="R701" s="62"/>
      <c r="S701" s="94"/>
    </row>
    <row r="702" spans="3:19">
      <c r="C702" s="79"/>
      <c r="D702" s="61"/>
      <c r="R702" s="62"/>
      <c r="S702" s="92"/>
    </row>
    <row r="703" spans="3:19">
      <c r="C703" s="79"/>
      <c r="D703" s="61"/>
      <c r="R703" s="62"/>
      <c r="S703" s="94"/>
    </row>
    <row r="704" spans="3:19">
      <c r="C704" s="79"/>
      <c r="D704" s="61"/>
      <c r="R704" s="62"/>
      <c r="S704" s="92"/>
    </row>
    <row r="705" spans="1:19">
      <c r="C705" s="79"/>
      <c r="D705" s="61"/>
      <c r="R705" s="62"/>
      <c r="S705" s="94"/>
    </row>
    <row r="706" spans="1:19">
      <c r="C706" s="79"/>
      <c r="D706" s="61"/>
      <c r="R706" s="62"/>
      <c r="S706" s="95"/>
    </row>
    <row r="707" spans="1:19">
      <c r="C707" s="79"/>
      <c r="D707" s="61"/>
      <c r="R707" s="62"/>
      <c r="S707" s="95"/>
    </row>
    <row r="708" spans="1:19">
      <c r="C708" s="79"/>
      <c r="D708" s="61"/>
      <c r="R708" s="62"/>
      <c r="S708" s="92"/>
    </row>
    <row r="709" spans="1:19">
      <c r="C709" s="79"/>
      <c r="D709" s="61"/>
      <c r="R709" s="62"/>
      <c r="S709" s="94"/>
    </row>
    <row r="710" spans="1:19">
      <c r="C710" s="79"/>
      <c r="D710" s="61"/>
      <c r="R710" s="62"/>
      <c r="S710" s="92"/>
    </row>
    <row r="711" spans="1:19">
      <c r="C711" s="79"/>
      <c r="D711" s="61"/>
      <c r="R711" s="62"/>
    </row>
    <row r="712" spans="1:19">
      <c r="C712" s="79"/>
      <c r="D712" s="61"/>
      <c r="R712" s="62"/>
      <c r="S712" s="95"/>
    </row>
    <row r="713" spans="1:19">
      <c r="C713" s="79"/>
      <c r="D713" s="61"/>
      <c r="R713" s="62"/>
      <c r="S713" s="92"/>
    </row>
    <row r="714" spans="1:19">
      <c r="A714" s="109"/>
      <c r="B714" s="108"/>
      <c r="C714" s="162"/>
      <c r="D714" s="109"/>
      <c r="E714" s="110"/>
      <c r="F714" s="110"/>
      <c r="G714" s="108"/>
      <c r="H714" s="108"/>
      <c r="I714" s="108"/>
      <c r="J714" s="108"/>
      <c r="K714" s="106"/>
      <c r="L714" s="106"/>
      <c r="M714" s="108"/>
      <c r="N714" s="108"/>
      <c r="O714" s="107"/>
      <c r="P714" s="108"/>
      <c r="Q714" s="108"/>
      <c r="R714" s="62"/>
      <c r="S714" s="108"/>
    </row>
    <row r="715" spans="1:19">
      <c r="C715" s="79"/>
      <c r="D715" s="61"/>
      <c r="R715" s="62"/>
    </row>
    <row r="716" spans="1:19">
      <c r="C716" s="79"/>
      <c r="D716" s="61"/>
      <c r="R716" s="62"/>
    </row>
    <row r="717" spans="1:19">
      <c r="C717" s="79"/>
      <c r="D717" s="61"/>
      <c r="R717" s="62"/>
      <c r="S717" s="94"/>
    </row>
    <row r="718" spans="1:19">
      <c r="C718" s="79"/>
      <c r="D718" s="61"/>
      <c r="R718" s="62"/>
      <c r="S718" s="92"/>
    </row>
    <row r="719" spans="1:19">
      <c r="C719" s="79"/>
      <c r="D719" s="61"/>
      <c r="K719" s="106"/>
      <c r="R719" s="62"/>
    </row>
    <row r="720" spans="1:19">
      <c r="C720" s="79"/>
      <c r="D720" s="61"/>
      <c r="K720" s="106"/>
      <c r="R720" s="62"/>
    </row>
    <row r="721" spans="3:19">
      <c r="C721" s="79"/>
      <c r="D721" s="61"/>
      <c r="R721" s="62"/>
    </row>
    <row r="722" spans="3:19">
      <c r="C722" s="79"/>
      <c r="D722" s="61"/>
      <c r="R722" s="62"/>
    </row>
    <row r="723" spans="3:19">
      <c r="C723" s="79"/>
      <c r="D723" s="61"/>
      <c r="R723" s="62"/>
    </row>
    <row r="724" spans="3:19">
      <c r="C724" s="79"/>
      <c r="D724" s="61"/>
      <c r="R724" s="62"/>
    </row>
    <row r="725" spans="3:19">
      <c r="C725" s="79"/>
      <c r="D725" s="61"/>
      <c r="R725" s="62"/>
    </row>
    <row r="726" spans="3:19">
      <c r="C726" s="79"/>
      <c r="D726" s="61"/>
      <c r="K726" s="106"/>
      <c r="O726" s="107"/>
      <c r="R726" s="62"/>
    </row>
    <row r="727" spans="3:19">
      <c r="C727" s="79"/>
      <c r="D727" s="61"/>
      <c r="R727" s="62"/>
      <c r="S727" s="94"/>
    </row>
    <row r="728" spans="3:19">
      <c r="C728" s="79"/>
      <c r="D728" s="61"/>
      <c r="R728" s="62"/>
      <c r="S728" s="92"/>
    </row>
    <row r="729" spans="3:19">
      <c r="C729" s="79"/>
      <c r="D729" s="61"/>
      <c r="R729" s="62"/>
      <c r="S729" s="94"/>
    </row>
    <row r="730" spans="3:19">
      <c r="C730" s="79"/>
      <c r="D730" s="61"/>
      <c r="R730" s="62"/>
      <c r="S730" s="92"/>
    </row>
    <row r="731" spans="3:19">
      <c r="C731" s="79"/>
      <c r="D731" s="61"/>
      <c r="R731" s="62"/>
      <c r="S731" s="94"/>
    </row>
    <row r="732" spans="3:19">
      <c r="C732" s="79"/>
      <c r="D732" s="61"/>
      <c r="R732" s="62"/>
      <c r="S732" s="92"/>
    </row>
    <row r="733" spans="3:19">
      <c r="C733" s="79"/>
      <c r="D733" s="61"/>
      <c r="K733" s="106"/>
      <c r="O733" s="107"/>
      <c r="R733" s="62"/>
      <c r="S733" s="94"/>
    </row>
    <row r="734" spans="3:19">
      <c r="C734" s="79"/>
      <c r="D734" s="61"/>
      <c r="K734" s="106"/>
      <c r="O734" s="107"/>
      <c r="R734" s="62"/>
      <c r="S734" s="92"/>
    </row>
    <row r="735" spans="3:19">
      <c r="C735" s="79"/>
      <c r="D735" s="61"/>
      <c r="R735" s="62"/>
      <c r="S735" s="94"/>
    </row>
    <row r="736" spans="3:19">
      <c r="C736" s="79"/>
      <c r="D736" s="61"/>
      <c r="R736" s="62"/>
      <c r="S736" s="92"/>
    </row>
    <row r="737" spans="3:19">
      <c r="C737" s="79"/>
      <c r="D737" s="61"/>
      <c r="K737" s="106"/>
      <c r="O737" s="107"/>
      <c r="R737" s="62"/>
      <c r="S737" s="94"/>
    </row>
    <row r="738" spans="3:19">
      <c r="C738" s="79"/>
      <c r="D738" s="61"/>
      <c r="K738" s="106"/>
      <c r="O738" s="107"/>
      <c r="R738" s="62"/>
      <c r="S738" s="92"/>
    </row>
    <row r="739" spans="3:19">
      <c r="C739" s="79"/>
      <c r="D739" s="61"/>
      <c r="R739" s="62"/>
    </row>
    <row r="740" spans="3:19">
      <c r="C740" s="79"/>
      <c r="D740" s="61"/>
      <c r="R740" s="62"/>
      <c r="S740" s="94"/>
    </row>
    <row r="741" spans="3:19">
      <c r="C741" s="79"/>
      <c r="D741" s="61"/>
      <c r="R741" s="62"/>
      <c r="S741" s="95"/>
    </row>
    <row r="742" spans="3:19">
      <c r="C742" s="79"/>
      <c r="D742" s="61"/>
      <c r="R742" s="62"/>
      <c r="S742" s="92"/>
    </row>
    <row r="743" spans="3:19">
      <c r="C743" s="79"/>
      <c r="D743" s="61"/>
      <c r="K743" s="106"/>
      <c r="O743" s="107"/>
      <c r="R743" s="62"/>
    </row>
    <row r="744" spans="3:19">
      <c r="C744" s="79"/>
      <c r="D744" s="61"/>
      <c r="R744" s="62"/>
    </row>
    <row r="745" spans="3:19">
      <c r="C745" s="79"/>
      <c r="D745" s="61"/>
      <c r="R745" s="62"/>
      <c r="S745" s="94"/>
    </row>
    <row r="746" spans="3:19">
      <c r="C746" s="79"/>
      <c r="D746" s="61"/>
      <c r="R746" s="62"/>
      <c r="S746" s="92"/>
    </row>
    <row r="747" spans="3:19">
      <c r="C747" s="79"/>
      <c r="D747" s="61"/>
      <c r="R747" s="62"/>
      <c r="S747" s="94"/>
    </row>
    <row r="748" spans="3:19">
      <c r="C748" s="79"/>
      <c r="D748" s="61"/>
      <c r="R748" s="62"/>
      <c r="S748" s="92"/>
    </row>
    <row r="749" spans="3:19">
      <c r="C749" s="79"/>
      <c r="D749" s="61"/>
      <c r="R749" s="62"/>
    </row>
    <row r="750" spans="3:19">
      <c r="C750" s="79"/>
      <c r="D750" s="61"/>
      <c r="R750" s="62"/>
    </row>
    <row r="751" spans="3:19">
      <c r="C751" s="79"/>
      <c r="D751" s="61"/>
      <c r="R751" s="62"/>
    </row>
    <row r="752" spans="3:19">
      <c r="C752" s="79"/>
      <c r="D752" s="61"/>
      <c r="R752" s="62"/>
    </row>
    <row r="753" spans="3:18">
      <c r="C753" s="79"/>
      <c r="D753" s="61"/>
      <c r="R753" s="62"/>
    </row>
    <row r="754" spans="3:18">
      <c r="C754" s="79"/>
      <c r="D754" s="61"/>
      <c r="R754" s="62"/>
    </row>
    <row r="755" spans="3:18">
      <c r="C755" s="79"/>
      <c r="D755" s="61"/>
      <c r="R755" s="62"/>
    </row>
    <row r="756" spans="3:18">
      <c r="C756" s="79"/>
      <c r="D756" s="61"/>
      <c r="R756" s="62"/>
    </row>
    <row r="757" spans="3:18">
      <c r="C757" s="79"/>
      <c r="D757" s="61"/>
      <c r="O757" s="133"/>
      <c r="R757" s="62"/>
    </row>
    <row r="758" spans="3:18">
      <c r="C758" s="79"/>
      <c r="D758" s="61"/>
      <c r="O758" s="133"/>
      <c r="R758" s="62"/>
    </row>
    <row r="759" spans="3:18">
      <c r="C759" s="79"/>
      <c r="D759" s="61"/>
      <c r="R759" s="62"/>
    </row>
    <row r="760" spans="3:18">
      <c r="C760" s="79"/>
      <c r="D760" s="61"/>
      <c r="R760" s="62"/>
    </row>
    <row r="761" spans="3:18">
      <c r="C761" s="79"/>
      <c r="D761" s="61"/>
      <c r="R761" s="62"/>
    </row>
    <row r="762" spans="3:18">
      <c r="C762" s="79"/>
      <c r="D762" s="61"/>
      <c r="R762" s="62"/>
    </row>
    <row r="763" spans="3:18">
      <c r="C763" s="79"/>
      <c r="D763" s="61"/>
      <c r="R763" s="62"/>
    </row>
    <row r="764" spans="3:18">
      <c r="C764" s="79"/>
      <c r="D764" s="61"/>
      <c r="R764" s="62"/>
    </row>
    <row r="765" spans="3:18">
      <c r="C765" s="79"/>
      <c r="D765" s="61"/>
      <c r="K765" s="106"/>
      <c r="O765" s="107"/>
      <c r="R765" s="62"/>
    </row>
    <row r="766" spans="3:18">
      <c r="C766" s="79"/>
      <c r="D766" s="61"/>
      <c r="K766" s="106"/>
      <c r="O766" s="107"/>
      <c r="R766" s="62"/>
    </row>
    <row r="767" spans="3:18">
      <c r="C767" s="79"/>
      <c r="D767" s="61"/>
      <c r="K767" s="106"/>
      <c r="O767" s="107"/>
      <c r="R767" s="62"/>
    </row>
    <row r="768" spans="3:18">
      <c r="C768" s="79"/>
      <c r="D768" s="61"/>
      <c r="K768" s="106"/>
      <c r="O768" s="107"/>
      <c r="R768" s="62"/>
    </row>
    <row r="769" spans="3:18">
      <c r="C769" s="79"/>
      <c r="D769" s="61"/>
      <c r="K769" s="106"/>
      <c r="O769" s="107"/>
      <c r="R769" s="62"/>
    </row>
    <row r="770" spans="3:18">
      <c r="C770" s="79"/>
      <c r="D770" s="61"/>
      <c r="R770" s="62"/>
    </row>
    <row r="771" spans="3:18">
      <c r="C771" s="79"/>
      <c r="D771" s="61"/>
      <c r="R771" s="62"/>
    </row>
    <row r="772" spans="3:18">
      <c r="C772" s="79"/>
      <c r="D772" s="61"/>
      <c r="R772" s="62"/>
    </row>
    <row r="773" spans="3:18">
      <c r="C773" s="79"/>
      <c r="D773" s="61"/>
      <c r="R773" s="62"/>
    </row>
    <row r="774" spans="3:18">
      <c r="C774" s="79"/>
      <c r="D774" s="61"/>
      <c r="K774" s="106"/>
      <c r="O774" s="107"/>
      <c r="R774" s="62"/>
    </row>
    <row r="775" spans="3:18">
      <c r="C775" s="79"/>
      <c r="D775" s="61"/>
      <c r="R775" s="62"/>
    </row>
    <row r="776" spans="3:18">
      <c r="C776" s="79"/>
      <c r="D776" s="61"/>
      <c r="R776" s="62"/>
    </row>
    <row r="777" spans="3:18">
      <c r="C777" s="79"/>
      <c r="D777" s="61"/>
      <c r="R777" s="62"/>
    </row>
    <row r="778" spans="3:18">
      <c r="C778" s="79"/>
      <c r="D778" s="61"/>
      <c r="K778" s="106"/>
      <c r="O778" s="107"/>
      <c r="R778" s="62"/>
    </row>
    <row r="779" spans="3:18">
      <c r="C779" s="79"/>
      <c r="D779" s="61"/>
      <c r="O779" s="107"/>
      <c r="R779" s="62"/>
    </row>
    <row r="780" spans="3:18">
      <c r="C780" s="79"/>
      <c r="D780" s="61"/>
      <c r="R780" s="62"/>
    </row>
    <row r="781" spans="3:18">
      <c r="C781" s="79"/>
      <c r="D781" s="61"/>
      <c r="R781" s="62"/>
    </row>
    <row r="782" spans="3:18">
      <c r="C782" s="79"/>
      <c r="D782" s="61"/>
      <c r="R782" s="62"/>
    </row>
    <row r="783" spans="3:18">
      <c r="C783" s="79"/>
      <c r="D783" s="61"/>
      <c r="R783" s="62"/>
    </row>
    <row r="784" spans="3:18">
      <c r="C784" s="79"/>
      <c r="D784" s="61"/>
      <c r="R784" s="62"/>
    </row>
    <row r="785" spans="3:19">
      <c r="C785" s="79"/>
      <c r="D785" s="61"/>
      <c r="K785" s="106"/>
      <c r="R785" s="62"/>
    </row>
    <row r="786" spans="3:19">
      <c r="C786" s="79"/>
      <c r="D786" s="61"/>
      <c r="K786" s="106"/>
      <c r="O786" s="107"/>
      <c r="R786" s="62"/>
    </row>
    <row r="787" spans="3:19">
      <c r="C787" s="79"/>
      <c r="D787" s="61"/>
      <c r="R787" s="62"/>
    </row>
    <row r="788" spans="3:19">
      <c r="C788" s="79"/>
      <c r="D788" s="61"/>
      <c r="R788" s="62"/>
    </row>
    <row r="789" spans="3:19">
      <c r="C789" s="79"/>
      <c r="D789" s="61"/>
      <c r="R789" s="62"/>
    </row>
    <row r="790" spans="3:19">
      <c r="C790" s="79"/>
      <c r="D790" s="61"/>
      <c r="R790" s="62"/>
    </row>
    <row r="791" spans="3:19">
      <c r="C791" s="79"/>
      <c r="D791" s="61"/>
      <c r="K791" s="106"/>
      <c r="O791" s="107"/>
      <c r="R791" s="62"/>
    </row>
    <row r="792" spans="3:19">
      <c r="C792" s="79"/>
      <c r="D792" s="61"/>
      <c r="K792" s="106"/>
      <c r="O792" s="107"/>
      <c r="R792" s="62"/>
    </row>
    <row r="793" spans="3:19">
      <c r="C793" s="79"/>
      <c r="D793" s="61"/>
      <c r="R793" s="62"/>
    </row>
    <row r="794" spans="3:19">
      <c r="C794" s="79"/>
      <c r="D794" s="61"/>
      <c r="K794" s="106"/>
      <c r="O794" s="107"/>
      <c r="R794" s="62"/>
      <c r="S794" s="94"/>
    </row>
    <row r="795" spans="3:19">
      <c r="C795" s="79"/>
      <c r="D795" s="61"/>
      <c r="K795" s="106"/>
      <c r="O795" s="107"/>
      <c r="R795" s="62"/>
      <c r="S795" s="92"/>
    </row>
    <row r="796" spans="3:19">
      <c r="C796" s="79"/>
      <c r="D796" s="61"/>
      <c r="R796" s="62"/>
      <c r="S796" s="94"/>
    </row>
    <row r="797" spans="3:19">
      <c r="C797" s="79"/>
      <c r="D797" s="61"/>
      <c r="R797" s="62"/>
      <c r="S797" s="92"/>
    </row>
    <row r="798" spans="3:19">
      <c r="C798" s="79"/>
      <c r="D798" s="61"/>
      <c r="K798" s="106"/>
      <c r="O798" s="107"/>
      <c r="R798" s="62"/>
      <c r="S798" s="94"/>
    </row>
    <row r="799" spans="3:19">
      <c r="C799" s="79"/>
      <c r="D799" s="61"/>
      <c r="K799" s="106"/>
      <c r="O799" s="107"/>
      <c r="R799" s="62"/>
      <c r="S799" s="92"/>
    </row>
    <row r="800" spans="3:19">
      <c r="C800" s="79"/>
      <c r="D800" s="61"/>
      <c r="R800" s="62"/>
    </row>
    <row r="801" spans="3:19">
      <c r="C801" s="79"/>
      <c r="D801" s="61"/>
      <c r="K801" s="106"/>
      <c r="O801" s="107"/>
      <c r="R801" s="62"/>
      <c r="S801" s="94"/>
    </row>
    <row r="802" spans="3:19">
      <c r="C802" s="79"/>
      <c r="D802" s="61"/>
      <c r="K802" s="106"/>
      <c r="O802" s="107"/>
      <c r="R802" s="62"/>
      <c r="S802" s="92"/>
    </row>
    <row r="803" spans="3:19">
      <c r="C803" s="79"/>
      <c r="D803" s="61"/>
      <c r="R803" s="62"/>
    </row>
    <row r="804" spans="3:19">
      <c r="C804" s="79"/>
      <c r="D804" s="61"/>
      <c r="K804" s="106"/>
      <c r="O804" s="107"/>
      <c r="R804" s="62"/>
      <c r="S804" s="94"/>
    </row>
    <row r="805" spans="3:19">
      <c r="C805" s="79"/>
      <c r="D805" s="61"/>
      <c r="K805" s="106"/>
      <c r="O805" s="107"/>
      <c r="R805" s="62"/>
      <c r="S805" s="92"/>
    </row>
    <row r="806" spans="3:19">
      <c r="C806" s="79"/>
      <c r="D806" s="61"/>
      <c r="K806" s="106"/>
      <c r="O806" s="107"/>
      <c r="R806" s="62"/>
    </row>
    <row r="807" spans="3:19">
      <c r="C807" s="79"/>
      <c r="D807" s="61"/>
      <c r="K807" s="106"/>
      <c r="O807" s="107"/>
      <c r="R807" s="62"/>
    </row>
    <row r="808" spans="3:19">
      <c r="C808" s="79"/>
      <c r="D808" s="61"/>
      <c r="R808" s="62"/>
    </row>
    <row r="809" spans="3:19">
      <c r="C809" s="79"/>
      <c r="D809" s="61"/>
      <c r="R809" s="62"/>
      <c r="S809" s="94"/>
    </row>
    <row r="810" spans="3:19">
      <c r="C810" s="79"/>
      <c r="D810" s="61"/>
      <c r="R810" s="62"/>
      <c r="S810" s="95"/>
    </row>
    <row r="811" spans="3:19">
      <c r="C811" s="79"/>
      <c r="D811" s="61"/>
      <c r="R811" s="62"/>
      <c r="S811" s="92"/>
    </row>
    <row r="812" spans="3:19">
      <c r="C812" s="79"/>
      <c r="D812" s="61"/>
      <c r="R812" s="62"/>
    </row>
    <row r="813" spans="3:19">
      <c r="C813" s="79"/>
      <c r="D813" s="61"/>
      <c r="K813" s="106"/>
      <c r="O813" s="107"/>
      <c r="R813" s="62"/>
    </row>
    <row r="814" spans="3:19">
      <c r="C814" s="79"/>
      <c r="D814" s="61"/>
      <c r="R814" s="62"/>
      <c r="S814" s="94"/>
    </row>
    <row r="815" spans="3:19">
      <c r="C815" s="79"/>
      <c r="D815" s="61"/>
      <c r="K815" s="106"/>
      <c r="R815" s="62"/>
      <c r="S815" s="92"/>
    </row>
    <row r="816" spans="3:19">
      <c r="C816" s="79"/>
      <c r="D816" s="61"/>
      <c r="R816" s="62"/>
    </row>
    <row r="817" spans="3:19">
      <c r="C817" s="79"/>
      <c r="D817" s="61"/>
      <c r="R817" s="62"/>
      <c r="S817" s="94"/>
    </row>
    <row r="818" spans="3:19">
      <c r="C818" s="79"/>
      <c r="D818" s="61"/>
      <c r="R818" s="62"/>
      <c r="S818" s="92"/>
    </row>
    <row r="819" spans="3:19">
      <c r="C819" s="79"/>
      <c r="D819" s="61"/>
      <c r="H819" s="134"/>
      <c r="I819" s="134"/>
      <c r="O819" s="134"/>
      <c r="R819" s="62"/>
    </row>
    <row r="820" spans="3:19">
      <c r="C820" s="79"/>
      <c r="D820" s="61"/>
      <c r="H820" s="134"/>
      <c r="I820" s="134"/>
      <c r="O820" s="134"/>
      <c r="R820" s="62"/>
    </row>
    <row r="821" spans="3:19">
      <c r="C821" s="79"/>
      <c r="D821" s="61"/>
      <c r="H821" s="134"/>
      <c r="I821" s="134"/>
      <c r="O821" s="134"/>
      <c r="R821" s="62"/>
    </row>
    <row r="822" spans="3:19">
      <c r="C822" s="79"/>
      <c r="D822" s="61"/>
      <c r="H822" s="134"/>
      <c r="I822" s="134"/>
      <c r="O822" s="134"/>
      <c r="R822" s="62"/>
    </row>
    <row r="823" spans="3:19">
      <c r="C823" s="79"/>
      <c r="D823" s="61"/>
      <c r="R823" s="62"/>
      <c r="S823" s="94"/>
    </row>
    <row r="824" spans="3:19">
      <c r="C824" s="79"/>
      <c r="D824" s="61"/>
      <c r="R824" s="62"/>
      <c r="S824" s="92"/>
    </row>
    <row r="825" spans="3:19">
      <c r="C825" s="79"/>
      <c r="D825" s="61"/>
      <c r="R825" s="62"/>
    </row>
    <row r="826" spans="3:19">
      <c r="C826" s="79"/>
      <c r="D826" s="61"/>
      <c r="R826" s="62"/>
    </row>
    <row r="827" spans="3:19">
      <c r="C827" s="79"/>
      <c r="D827" s="61"/>
      <c r="R827" s="62"/>
    </row>
    <row r="828" spans="3:19">
      <c r="C828" s="79"/>
      <c r="D828" s="61"/>
      <c r="R828" s="62"/>
    </row>
    <row r="829" spans="3:19">
      <c r="C829" s="79"/>
      <c r="D829" s="61"/>
      <c r="R829" s="62"/>
    </row>
    <row r="830" spans="3:19">
      <c r="C830" s="79"/>
      <c r="D830" s="61"/>
      <c r="R830" s="62"/>
    </row>
    <row r="831" spans="3:19">
      <c r="C831" s="79"/>
      <c r="D831" s="61"/>
      <c r="R831" s="62"/>
    </row>
    <row r="832" spans="3:19">
      <c r="C832" s="79"/>
      <c r="D832" s="61"/>
      <c r="R832" s="62"/>
    </row>
    <row r="833" spans="1:21">
      <c r="C833" s="79"/>
      <c r="D833" s="61"/>
      <c r="R833" s="62"/>
    </row>
    <row r="834" spans="1:21">
      <c r="C834" s="79"/>
      <c r="D834" s="61"/>
      <c r="R834" s="62"/>
    </row>
    <row r="835" spans="1:21">
      <c r="C835" s="79"/>
      <c r="D835" s="61"/>
      <c r="R835" s="62"/>
    </row>
    <row r="836" spans="1:21">
      <c r="C836" s="79"/>
      <c r="D836" s="61"/>
      <c r="R836" s="62"/>
    </row>
    <row r="837" spans="1:21">
      <c r="C837" s="79"/>
      <c r="D837" s="61"/>
      <c r="R837" s="62"/>
    </row>
    <row r="838" spans="1:21">
      <c r="C838" s="79"/>
      <c r="D838" s="61"/>
      <c r="K838" s="106"/>
      <c r="O838" s="133"/>
      <c r="R838" s="62"/>
    </row>
    <row r="839" spans="1:21">
      <c r="C839" s="79"/>
      <c r="D839" s="61"/>
      <c r="K839" s="106"/>
      <c r="O839" s="133"/>
      <c r="R839" s="62"/>
    </row>
    <row r="840" spans="1:21">
      <c r="C840" s="79"/>
      <c r="D840" s="61"/>
      <c r="R840" s="62"/>
    </row>
    <row r="841" spans="1:21">
      <c r="C841" s="79"/>
      <c r="D841" s="61"/>
      <c r="R841" s="62"/>
    </row>
    <row r="842" spans="1:21">
      <c r="C842" s="79"/>
      <c r="D842" s="61"/>
      <c r="R842" s="62"/>
    </row>
    <row r="843" spans="1:21">
      <c r="C843" s="79"/>
      <c r="D843" s="61"/>
      <c r="K843" s="106"/>
      <c r="O843" s="133"/>
      <c r="R843" s="62"/>
    </row>
    <row r="844" spans="1:21">
      <c r="C844" s="79"/>
      <c r="D844" s="61"/>
      <c r="R844" s="62"/>
    </row>
    <row r="845" spans="1:21">
      <c r="C845" s="79"/>
      <c r="D845" s="61"/>
      <c r="R845" s="62"/>
      <c r="S845" s="94"/>
    </row>
    <row r="846" spans="1:21">
      <c r="C846" s="79"/>
      <c r="D846" s="61"/>
      <c r="R846" s="62"/>
      <c r="S846" s="92"/>
    </row>
    <row r="847" s="58" customFormat="1" spans="1:21">
      <c r="A847" s="61"/>
      <c r="B847" s="62"/>
      <c r="C847" s="79"/>
      <c r="D847" s="61"/>
      <c r="E847" s="64"/>
      <c r="F847" s="64"/>
      <c r="G847" s="62"/>
      <c r="H847" s="62"/>
      <c r="I847" s="62"/>
      <c r="J847" s="62"/>
      <c r="K847" s="65"/>
      <c r="L847" s="65"/>
      <c r="M847" s="62"/>
      <c r="N847" s="62"/>
      <c r="O847" s="66"/>
      <c r="P847" s="62"/>
      <c r="Q847" s="62"/>
      <c r="R847" s="62"/>
      <c r="S847" s="62"/>
      <c r="T847" s="62"/>
      <c r="U847" s="67"/>
    </row>
    <row r="848" s="58" customFormat="1" spans="1:21">
      <c r="A848" s="61"/>
      <c r="B848" s="62"/>
      <c r="C848" s="79"/>
      <c r="D848" s="61"/>
      <c r="E848" s="64"/>
      <c r="F848" s="64"/>
      <c r="G848" s="62"/>
      <c r="H848" s="62"/>
      <c r="I848" s="62"/>
      <c r="J848" s="62"/>
      <c r="K848" s="65"/>
      <c r="L848" s="65"/>
      <c r="M848" s="62"/>
      <c r="N848" s="62"/>
      <c r="O848" s="66"/>
      <c r="P848" s="62"/>
      <c r="Q848" s="62"/>
      <c r="R848" s="62"/>
      <c r="S848" s="62"/>
      <c r="T848" s="62"/>
      <c r="U848" s="67"/>
    </row>
    <row r="849" s="58" customFormat="1" spans="1:21">
      <c r="A849" s="61"/>
      <c r="B849" s="62"/>
      <c r="C849" s="155"/>
      <c r="D849" s="63"/>
      <c r="E849" s="64"/>
      <c r="F849" s="64"/>
      <c r="G849" s="62"/>
      <c r="H849" s="62"/>
      <c r="I849" s="62"/>
      <c r="J849" s="62"/>
      <c r="K849" s="65"/>
      <c r="L849" s="65"/>
      <c r="M849" s="62"/>
      <c r="N849" s="62"/>
      <c r="O849" s="66"/>
      <c r="P849" s="62"/>
      <c r="Q849" s="62"/>
      <c r="R849" s="62"/>
      <c r="S849" s="62"/>
      <c r="T849" s="62"/>
      <c r="U849" s="67"/>
    </row>
    <row r="850" s="58" customFormat="1" spans="1:21">
      <c r="A850" s="61"/>
      <c r="B850" s="62"/>
      <c r="C850" s="155"/>
      <c r="D850" s="63"/>
      <c r="E850" s="64"/>
      <c r="F850" s="64"/>
      <c r="G850" s="62"/>
      <c r="H850" s="62"/>
      <c r="I850" s="62"/>
      <c r="J850" s="62"/>
      <c r="K850" s="65"/>
      <c r="L850" s="65"/>
      <c r="M850" s="62"/>
      <c r="N850" s="62"/>
      <c r="O850" s="66"/>
      <c r="P850" s="62"/>
      <c r="Q850" s="62"/>
      <c r="R850" s="62"/>
      <c r="S850" s="62"/>
      <c r="T850" s="62"/>
      <c r="U850" s="67"/>
    </row>
    <row r="851" s="58" customFormat="1" spans="1:21">
      <c r="A851" s="61"/>
      <c r="B851" s="62"/>
      <c r="C851" s="155"/>
      <c r="D851" s="63"/>
      <c r="E851" s="64"/>
      <c r="F851" s="64"/>
      <c r="G851" s="62"/>
      <c r="H851" s="62"/>
      <c r="I851" s="62"/>
      <c r="J851" s="62"/>
      <c r="K851" s="65"/>
      <c r="L851" s="65"/>
      <c r="M851" s="62"/>
      <c r="N851" s="62"/>
      <c r="O851" s="66"/>
      <c r="P851" s="62"/>
      <c r="Q851" s="62"/>
      <c r="R851" s="62"/>
      <c r="S851" s="62"/>
      <c r="T851" s="62"/>
      <c r="U851" s="67"/>
    </row>
    <row r="852" s="58" customFormat="1" spans="1:21">
      <c r="A852" s="61"/>
      <c r="B852" s="62"/>
      <c r="C852" s="155"/>
      <c r="D852" s="63"/>
      <c r="E852" s="64"/>
      <c r="F852" s="64"/>
      <c r="G852" s="62"/>
      <c r="H852" s="62"/>
      <c r="I852" s="62"/>
      <c r="J852" s="62"/>
      <c r="K852" s="65"/>
      <c r="L852" s="65"/>
      <c r="M852" s="62"/>
      <c r="N852" s="62"/>
      <c r="O852" s="66"/>
      <c r="P852" s="62"/>
      <c r="Q852" s="62"/>
      <c r="R852" s="62"/>
      <c r="S852" s="62"/>
      <c r="T852" s="62"/>
      <c r="U852" s="67"/>
    </row>
    <row r="853" s="58" customFormat="1" spans="1:21">
      <c r="A853" s="61"/>
      <c r="B853" s="62"/>
      <c r="C853" s="155"/>
      <c r="D853" s="63"/>
      <c r="E853" s="64"/>
      <c r="F853" s="64"/>
      <c r="G853" s="62"/>
      <c r="H853" s="62"/>
      <c r="I853" s="62"/>
      <c r="J853" s="62"/>
      <c r="K853" s="65"/>
      <c r="L853" s="65"/>
      <c r="M853" s="62"/>
      <c r="N853" s="62"/>
      <c r="O853" s="66"/>
      <c r="P853" s="62"/>
      <c r="Q853" s="62"/>
      <c r="R853" s="62"/>
      <c r="S853" s="62"/>
      <c r="T853" s="62"/>
      <c r="U853" s="67"/>
    </row>
    <row r="854" s="58" customFormat="1" spans="1:21">
      <c r="A854" s="61"/>
      <c r="B854" s="62"/>
      <c r="C854" s="155"/>
      <c r="D854" s="63"/>
      <c r="E854" s="64"/>
      <c r="F854" s="64"/>
      <c r="G854" s="62"/>
      <c r="H854" s="62"/>
      <c r="I854" s="62"/>
      <c r="J854" s="62"/>
      <c r="K854" s="65"/>
      <c r="L854" s="65"/>
      <c r="M854" s="62"/>
      <c r="N854" s="62"/>
      <c r="O854" s="66"/>
      <c r="P854" s="62"/>
      <c r="Q854" s="62"/>
      <c r="R854" s="62"/>
      <c r="S854" s="62"/>
      <c r="T854" s="62"/>
      <c r="U854" s="67"/>
    </row>
    <row r="855" s="58" customFormat="1" spans="1:21">
      <c r="A855" s="61"/>
      <c r="B855" s="62"/>
      <c r="C855" s="155"/>
      <c r="D855" s="63"/>
      <c r="E855" s="64"/>
      <c r="F855" s="64"/>
      <c r="G855" s="62"/>
      <c r="H855" s="62"/>
      <c r="I855" s="62"/>
      <c r="J855" s="62"/>
      <c r="K855" s="65"/>
      <c r="L855" s="65"/>
      <c r="M855" s="62"/>
      <c r="N855" s="62"/>
      <c r="O855" s="66"/>
      <c r="P855" s="62"/>
      <c r="Q855" s="62"/>
      <c r="R855" s="62"/>
      <c r="S855" s="62"/>
      <c r="T855" s="62"/>
      <c r="U855" s="67"/>
    </row>
    <row r="856" s="58" customFormat="1" spans="1:21">
      <c r="A856" s="61"/>
      <c r="B856" s="62"/>
      <c r="C856" s="155"/>
      <c r="D856" s="63"/>
      <c r="E856" s="64"/>
      <c r="F856" s="64"/>
      <c r="G856" s="62"/>
      <c r="H856" s="62"/>
      <c r="I856" s="62"/>
      <c r="J856" s="62"/>
      <c r="K856" s="65"/>
      <c r="L856" s="65"/>
      <c r="M856" s="62"/>
      <c r="N856" s="62"/>
      <c r="O856" s="66"/>
      <c r="P856" s="62"/>
      <c r="Q856" s="62"/>
      <c r="R856" s="62"/>
      <c r="S856" s="62"/>
      <c r="T856" s="62"/>
      <c r="U856" s="67"/>
    </row>
    <row r="857" s="58" customFormat="1" spans="1:21">
      <c r="A857" s="61"/>
      <c r="B857" s="62"/>
      <c r="C857" s="155"/>
      <c r="D857" s="63"/>
      <c r="E857" s="64"/>
      <c r="F857" s="64"/>
      <c r="G857" s="62"/>
      <c r="H857" s="62"/>
      <c r="I857" s="62"/>
      <c r="J857" s="62"/>
      <c r="K857" s="65"/>
      <c r="L857" s="65"/>
      <c r="M857" s="62"/>
      <c r="N857" s="62"/>
      <c r="O857" s="66"/>
      <c r="P857" s="62"/>
      <c r="Q857" s="62"/>
      <c r="R857" s="62"/>
      <c r="S857" s="62"/>
      <c r="T857" s="62"/>
      <c r="U857" s="67"/>
    </row>
    <row r="858" s="58" customFormat="1" spans="1:21">
      <c r="A858" s="61"/>
      <c r="B858" s="62"/>
      <c r="C858" s="155"/>
      <c r="D858" s="63"/>
      <c r="E858" s="64"/>
      <c r="F858" s="64"/>
      <c r="G858" s="62"/>
      <c r="H858" s="62"/>
      <c r="I858" s="62"/>
      <c r="J858" s="62"/>
      <c r="K858" s="65"/>
      <c r="L858" s="65"/>
      <c r="M858" s="62"/>
      <c r="N858" s="62"/>
      <c r="O858" s="66"/>
      <c r="P858" s="62"/>
      <c r="Q858" s="62"/>
      <c r="R858" s="62"/>
      <c r="S858" s="62"/>
      <c r="T858" s="62"/>
      <c r="U858" s="67"/>
    </row>
    <row r="859" s="58" customFormat="1" spans="1:21">
      <c r="A859" s="61"/>
      <c r="B859" s="62"/>
      <c r="C859" s="155"/>
      <c r="D859" s="63"/>
      <c r="E859" s="64"/>
      <c r="F859" s="64"/>
      <c r="G859" s="62"/>
      <c r="H859" s="62"/>
      <c r="I859" s="62"/>
      <c r="J859" s="62"/>
      <c r="K859" s="65"/>
      <c r="L859" s="65"/>
      <c r="M859" s="62"/>
      <c r="N859" s="62"/>
      <c r="O859" s="66"/>
      <c r="P859" s="62"/>
      <c r="Q859" s="62"/>
      <c r="R859" s="62"/>
      <c r="S859" s="62"/>
      <c r="T859" s="62"/>
      <c r="U859" s="67"/>
    </row>
    <row r="860" s="58" customFormat="1" spans="1:21">
      <c r="A860" s="61"/>
      <c r="B860" s="62"/>
      <c r="C860" s="155"/>
      <c r="D860" s="63"/>
      <c r="E860" s="64"/>
      <c r="F860" s="64"/>
      <c r="G860" s="62"/>
      <c r="H860" s="62"/>
      <c r="I860" s="62"/>
      <c r="J860" s="62"/>
      <c r="K860" s="65"/>
      <c r="L860" s="65"/>
      <c r="M860" s="62"/>
      <c r="N860" s="62"/>
      <c r="O860" s="66"/>
      <c r="P860" s="62"/>
      <c r="Q860" s="62"/>
      <c r="R860" s="62"/>
      <c r="S860" s="62"/>
      <c r="T860" s="62"/>
      <c r="U860" s="67"/>
    </row>
    <row r="861" s="58" customFormat="1" spans="1:21">
      <c r="A861" s="61"/>
      <c r="B861" s="62"/>
      <c r="C861" s="155"/>
      <c r="D861" s="63"/>
      <c r="E861" s="64"/>
      <c r="F861" s="64"/>
      <c r="G861" s="62"/>
      <c r="H861" s="62"/>
      <c r="I861" s="62"/>
      <c r="J861" s="62"/>
      <c r="K861" s="65"/>
      <c r="L861" s="65"/>
      <c r="M861" s="62"/>
      <c r="N861" s="62"/>
      <c r="O861" s="66"/>
      <c r="P861" s="62"/>
      <c r="Q861" s="62"/>
      <c r="R861" s="62"/>
      <c r="S861" s="62"/>
      <c r="T861" s="62"/>
      <c r="U861" s="67"/>
    </row>
    <row r="862" s="58" customFormat="1" spans="1:21">
      <c r="A862" s="61"/>
      <c r="B862" s="62"/>
      <c r="C862" s="155"/>
      <c r="D862" s="63"/>
      <c r="E862" s="64"/>
      <c r="F862" s="64"/>
      <c r="G862" s="62"/>
      <c r="H862" s="62"/>
      <c r="I862" s="62"/>
      <c r="J862" s="62"/>
      <c r="K862" s="65"/>
      <c r="L862" s="65"/>
      <c r="M862" s="62"/>
      <c r="N862" s="62"/>
      <c r="O862" s="66"/>
      <c r="P862" s="62"/>
      <c r="Q862" s="62"/>
      <c r="R862" s="62"/>
      <c r="S862" s="62"/>
      <c r="T862" s="62"/>
      <c r="U862" s="67"/>
    </row>
    <row r="863" s="58" customFormat="1" spans="1:21">
      <c r="A863" s="61"/>
      <c r="B863" s="62"/>
      <c r="C863" s="155"/>
      <c r="D863" s="63"/>
      <c r="E863" s="64"/>
      <c r="F863" s="64"/>
      <c r="G863" s="62"/>
      <c r="H863" s="62"/>
      <c r="I863" s="62"/>
      <c r="J863" s="62"/>
      <c r="K863" s="65"/>
      <c r="L863" s="65"/>
      <c r="M863" s="62"/>
      <c r="N863" s="62"/>
      <c r="O863" s="66"/>
      <c r="P863" s="62"/>
      <c r="Q863" s="62"/>
      <c r="R863" s="62"/>
      <c r="S863" s="62"/>
      <c r="T863" s="62"/>
      <c r="U863" s="67"/>
    </row>
    <row r="864" s="58" customFormat="1" spans="1:21">
      <c r="A864" s="61"/>
      <c r="B864" s="62"/>
      <c r="C864" s="79"/>
      <c r="D864" s="61"/>
      <c r="E864" s="64"/>
      <c r="F864" s="64"/>
      <c r="G864" s="62"/>
      <c r="H864" s="62"/>
      <c r="I864" s="62"/>
      <c r="J864" s="62"/>
      <c r="K864" s="65"/>
      <c r="L864" s="65"/>
      <c r="M864" s="62"/>
      <c r="N864" s="62"/>
      <c r="O864" s="66"/>
      <c r="P864" s="62"/>
      <c r="Q864" s="62"/>
      <c r="R864" s="62"/>
      <c r="S864" s="62"/>
      <c r="T864" s="62"/>
      <c r="U864" s="67"/>
    </row>
    <row r="865" s="58" customFormat="1" spans="1:23">
      <c r="A865" s="61"/>
      <c r="B865" s="62"/>
      <c r="C865" s="79"/>
      <c r="D865" s="61"/>
      <c r="E865" s="64"/>
      <c r="F865" s="64"/>
      <c r="G865" s="62"/>
      <c r="H865" s="62"/>
      <c r="I865" s="62"/>
      <c r="J865" s="62"/>
      <c r="K865" s="65"/>
      <c r="L865" s="65"/>
      <c r="M865" s="62"/>
      <c r="N865" s="62"/>
      <c r="O865" s="66"/>
      <c r="P865" s="62"/>
      <c r="Q865" s="62"/>
      <c r="R865" s="62"/>
      <c r="S865" s="62"/>
      <c r="T865" s="62"/>
      <c r="U865" s="67"/>
    </row>
    <row r="866" s="58" customFormat="1" spans="1:23">
      <c r="A866" s="61"/>
      <c r="B866" s="62"/>
      <c r="C866" s="79"/>
      <c r="D866" s="61"/>
      <c r="E866" s="64"/>
      <c r="F866" s="64"/>
      <c r="G866" s="62"/>
      <c r="H866" s="62"/>
      <c r="I866" s="62"/>
      <c r="J866" s="62"/>
      <c r="K866" s="65"/>
      <c r="L866" s="65"/>
      <c r="M866" s="62"/>
      <c r="N866" s="62"/>
      <c r="O866" s="135"/>
      <c r="P866" s="62"/>
      <c r="Q866" s="62"/>
      <c r="R866" s="62"/>
      <c r="S866" s="62"/>
      <c r="T866" s="62"/>
      <c r="U866" s="67"/>
      <c r="W866" s="104"/>
    </row>
    <row r="867" s="58" customFormat="1" spans="1:23">
      <c r="A867" s="61"/>
      <c r="B867" s="62"/>
      <c r="C867" s="155"/>
      <c r="D867" s="63"/>
      <c r="E867" s="64"/>
      <c r="F867" s="64"/>
      <c r="G867" s="62"/>
      <c r="H867" s="62"/>
      <c r="I867" s="62"/>
      <c r="J867" s="62"/>
      <c r="K867" s="106"/>
      <c r="L867" s="65"/>
      <c r="M867" s="62"/>
      <c r="N867" s="62"/>
      <c r="O867" s="107"/>
      <c r="P867" s="62"/>
      <c r="Q867" s="62"/>
      <c r="R867" s="62"/>
      <c r="S867" s="62"/>
      <c r="T867" s="62"/>
      <c r="U867" s="67"/>
      <c r="W867" s="104"/>
    </row>
    <row r="868" s="58" customFormat="1" spans="1:23">
      <c r="A868" s="61"/>
      <c r="B868" s="62"/>
      <c r="C868" s="155"/>
      <c r="D868" s="63"/>
      <c r="E868" s="64"/>
      <c r="F868" s="64"/>
      <c r="G868" s="62"/>
      <c r="H868" s="62"/>
      <c r="I868" s="62"/>
      <c r="J868" s="62"/>
      <c r="K868" s="106"/>
      <c r="L868" s="65"/>
      <c r="M868" s="62"/>
      <c r="N868" s="62"/>
      <c r="O868" s="107"/>
      <c r="P868" s="62"/>
      <c r="Q868" s="62"/>
      <c r="R868" s="62"/>
      <c r="S868" s="94"/>
      <c r="T868" s="62"/>
      <c r="U868" s="67"/>
      <c r="W868" s="104"/>
    </row>
    <row r="869" s="58" customFormat="1" spans="1:23">
      <c r="A869" s="61"/>
      <c r="B869" s="62"/>
      <c r="C869" s="155"/>
      <c r="D869" s="63"/>
      <c r="E869" s="64"/>
      <c r="F869" s="64"/>
      <c r="G869" s="62"/>
      <c r="H869" s="62"/>
      <c r="I869" s="62"/>
      <c r="J869" s="62"/>
      <c r="K869" s="65"/>
      <c r="L869" s="65"/>
      <c r="M869" s="62"/>
      <c r="N869" s="62"/>
      <c r="O869" s="66"/>
      <c r="P869" s="62"/>
      <c r="Q869" s="62"/>
      <c r="R869" s="62"/>
      <c r="S869" s="62"/>
      <c r="T869" s="62"/>
      <c r="U869" s="67"/>
      <c r="W869" s="104"/>
    </row>
    <row r="870" spans="1:23">
      <c r="R870" s="62"/>
      <c r="W870" s="104"/>
    </row>
    <row r="871" spans="1:23">
      <c r="R871" s="62"/>
      <c r="W871" s="104"/>
    </row>
    <row r="872" spans="1:23">
      <c r="R872" s="62"/>
      <c r="S872" s="94"/>
      <c r="W872" s="104"/>
    </row>
    <row r="873" spans="1:23">
      <c r="R873" s="62"/>
      <c r="S873" s="92"/>
    </row>
    <row r="874" spans="1:23">
      <c r="R874" s="62"/>
      <c r="S874" s="94"/>
    </row>
    <row r="875" spans="1:23">
      <c r="R875" s="62"/>
      <c r="S875" s="92"/>
      <c r="W875" s="104"/>
    </row>
    <row r="876" spans="1:23">
      <c r="R876" s="62"/>
      <c r="S876" s="94"/>
      <c r="W876" s="104"/>
    </row>
    <row r="877" spans="1:23">
      <c r="R877" s="62"/>
      <c r="S877" s="92"/>
    </row>
    <row r="878" spans="1:23">
      <c r="R878" s="62"/>
      <c r="S878" s="94"/>
    </row>
    <row r="879" spans="1:23">
      <c r="R879" s="62"/>
      <c r="S879" s="92"/>
    </row>
    <row r="880" spans="1:23">
      <c r="R880" s="62"/>
      <c r="S880" s="94"/>
    </row>
    <row r="881" spans="11:19">
      <c r="R881" s="62"/>
      <c r="S881" s="92"/>
    </row>
    <row r="882" spans="11:19">
      <c r="R882" s="62"/>
    </row>
    <row r="883" spans="11:19">
      <c r="R883" s="62"/>
    </row>
    <row r="884" spans="11:19">
      <c r="R884" s="62"/>
    </row>
    <row r="885" spans="11:19">
      <c r="R885" s="62"/>
    </row>
    <row r="886" spans="11:19">
      <c r="R886" s="62"/>
    </row>
    <row r="887" spans="11:19">
      <c r="R887" s="62"/>
    </row>
    <row r="888" spans="11:19">
      <c r="R888" s="62"/>
    </row>
    <row r="889" spans="11:19">
      <c r="R889" s="62"/>
    </row>
    <row r="890" spans="11:19">
      <c r="R890" s="62"/>
    </row>
    <row r="891" spans="11:19">
      <c r="R891" s="62"/>
    </row>
    <row r="892" spans="11:19">
      <c r="R892" s="62"/>
    </row>
    <row r="893" spans="11:19">
      <c r="R893" s="62"/>
    </row>
    <row r="894" spans="11:19">
      <c r="K894" s="106"/>
      <c r="R894" s="62"/>
    </row>
    <row r="895" spans="11:19">
      <c r="K895" s="106"/>
      <c r="R895" s="62"/>
    </row>
    <row r="896" spans="11:19">
      <c r="K896" s="106"/>
      <c r="R896" s="62"/>
    </row>
    <row r="897" spans="11:19">
      <c r="K897" s="106"/>
      <c r="R897" s="62"/>
    </row>
    <row r="898" spans="11:19">
      <c r="R898" s="62"/>
    </row>
    <row r="899" spans="11:19">
      <c r="R899" s="62"/>
    </row>
    <row r="900" spans="11:19">
      <c r="R900" s="62"/>
    </row>
    <row r="901" spans="11:19">
      <c r="R901" s="62"/>
    </row>
    <row r="902" spans="11:19">
      <c r="R902" s="62"/>
    </row>
    <row r="903" spans="11:19">
      <c r="R903" s="62"/>
      <c r="S903" s="94"/>
    </row>
    <row r="904" spans="11:19">
      <c r="R904" s="62"/>
      <c r="S904" s="92"/>
    </row>
    <row r="905" spans="11:19">
      <c r="R905" s="62"/>
    </row>
    <row r="906" spans="11:19">
      <c r="K906" s="106"/>
      <c r="O906" s="133"/>
      <c r="R906" s="62"/>
    </row>
    <row r="907" spans="11:19">
      <c r="K907" s="106"/>
      <c r="O907" s="133"/>
      <c r="R907" s="62"/>
    </row>
    <row r="908" spans="11:19">
      <c r="R908" s="62"/>
    </row>
    <row r="909" spans="11:19">
      <c r="R909" s="62"/>
    </row>
    <row r="910" spans="11:19">
      <c r="R910" s="62"/>
    </row>
    <row r="911" spans="11:19">
      <c r="R911" s="62"/>
    </row>
    <row r="912" spans="11:19">
      <c r="R912" s="62"/>
      <c r="S912" s="94"/>
    </row>
    <row r="913" spans="15:19">
      <c r="R913" s="62"/>
      <c r="S913" s="95"/>
    </row>
    <row r="914" spans="15:19">
      <c r="R914" s="62"/>
      <c r="S914" s="92"/>
    </row>
    <row r="915" spans="15:19">
      <c r="R915" s="62"/>
    </row>
    <row r="916" spans="15:19">
      <c r="R916" s="62"/>
    </row>
    <row r="917" spans="15:19">
      <c r="R917" s="62"/>
    </row>
    <row r="918" spans="15:19">
      <c r="R918" s="62"/>
    </row>
    <row r="919" spans="15:19">
      <c r="R919" s="62"/>
    </row>
    <row r="920" spans="15:19">
      <c r="R920" s="62"/>
    </row>
    <row r="921" spans="15:19">
      <c r="R921" s="62"/>
    </row>
    <row r="922" spans="15:19">
      <c r="O922" s="90"/>
      <c r="R922" s="62"/>
    </row>
    <row r="923" spans="15:19">
      <c r="O923" s="90"/>
      <c r="R923" s="62"/>
    </row>
    <row r="924" spans="15:19">
      <c r="R924" s="62"/>
      <c r="S924" s="94"/>
    </row>
    <row r="925" spans="15:19">
      <c r="R925" s="62"/>
      <c r="S925" s="92"/>
    </row>
    <row r="926" spans="15:19">
      <c r="R926" s="62"/>
    </row>
    <row r="927" spans="15:19">
      <c r="R927" s="62"/>
    </row>
    <row r="928" spans="15:19">
      <c r="R928" s="62"/>
    </row>
    <row r="929" spans="18:19">
      <c r="R929" s="62"/>
    </row>
    <row r="930" spans="18:19">
      <c r="R930" s="62"/>
    </row>
    <row r="931" spans="18:19">
      <c r="R931" s="62"/>
    </row>
    <row r="932" spans="18:19">
      <c r="R932" s="62"/>
    </row>
    <row r="933" spans="18:19">
      <c r="R933" s="62"/>
    </row>
    <row r="934" spans="18:19">
      <c r="R934" s="62"/>
    </row>
    <row r="935" spans="18:19">
      <c r="R935" s="62"/>
      <c r="S935" s="94"/>
    </row>
    <row r="936" spans="18:19">
      <c r="R936" s="62"/>
      <c r="S936" s="92"/>
    </row>
    <row r="937" spans="18:19">
      <c r="R937" s="62"/>
    </row>
    <row r="938" spans="18:19">
      <c r="R938" s="62"/>
    </row>
    <row r="939" spans="18:19">
      <c r="R939" s="62"/>
    </row>
    <row r="940" spans="18:19">
      <c r="R940" s="62"/>
    </row>
    <row r="941" spans="18:19">
      <c r="R941" s="62"/>
    </row>
    <row r="942" spans="18:19">
      <c r="R942" s="62"/>
    </row>
    <row r="943" spans="18:19">
      <c r="R943" s="62"/>
    </row>
    <row r="944" spans="18:19">
      <c r="R944" s="62"/>
      <c r="S944" s="94"/>
    </row>
    <row r="945" spans="9:19">
      <c r="R945" s="62"/>
      <c r="S945" s="92"/>
    </row>
    <row r="946" spans="9:19">
      <c r="R946" s="62"/>
      <c r="S946" s="94"/>
    </row>
    <row r="947" spans="9:19">
      <c r="R947" s="62"/>
      <c r="S947" s="92"/>
    </row>
    <row r="948" spans="9:19">
      <c r="R948" s="62"/>
      <c r="S948" s="94"/>
    </row>
    <row r="949" spans="9:19">
      <c r="I949" s="136"/>
      <c r="R949" s="62"/>
      <c r="S949" s="92"/>
    </row>
    <row r="950" spans="9:19">
      <c r="R950" s="62"/>
      <c r="S950" s="94"/>
    </row>
    <row r="951" spans="9:19">
      <c r="R951" s="62"/>
      <c r="S951" s="92"/>
    </row>
    <row r="952" spans="9:19">
      <c r="R952" s="62"/>
      <c r="S952" s="94"/>
    </row>
    <row r="953" spans="9:19">
      <c r="R953" s="62"/>
      <c r="S953" s="92"/>
    </row>
    <row r="954" spans="9:19">
      <c r="R954" s="62"/>
      <c r="S954" s="94"/>
    </row>
    <row r="955" spans="9:19">
      <c r="R955" s="62"/>
      <c r="S955" s="92"/>
    </row>
    <row r="956" spans="9:19">
      <c r="R956" s="62"/>
      <c r="S956" s="94"/>
    </row>
    <row r="957" spans="9:19">
      <c r="R957" s="62"/>
      <c r="S957" s="92"/>
    </row>
    <row r="958" spans="9:19">
      <c r="R958" s="62"/>
    </row>
    <row r="959" spans="9:19">
      <c r="R959" s="62"/>
    </row>
    <row r="960" spans="9:19">
      <c r="R960" s="62"/>
    </row>
    <row r="961" spans="18:19">
      <c r="R961" s="62"/>
    </row>
    <row r="962" spans="18:19">
      <c r="R962" s="62"/>
    </row>
    <row r="963" spans="18:19">
      <c r="R963" s="62"/>
    </row>
    <row r="964" spans="18:19">
      <c r="R964" s="62"/>
    </row>
    <row r="965" spans="18:19">
      <c r="R965" s="62"/>
    </row>
    <row r="966" spans="18:19">
      <c r="R966" s="62"/>
    </row>
    <row r="967" spans="18:19">
      <c r="R967" s="62"/>
    </row>
    <row r="968" spans="18:19">
      <c r="R968" s="62"/>
    </row>
    <row r="969" spans="18:19">
      <c r="R969" s="62"/>
      <c r="S969" s="94"/>
    </row>
    <row r="970" spans="18:19">
      <c r="R970" s="62"/>
    </row>
    <row r="971" spans="18:19">
      <c r="R971" s="62"/>
    </row>
    <row r="972" spans="18:19">
      <c r="R972" s="62"/>
    </row>
    <row r="973" spans="18:19">
      <c r="R973" s="62"/>
    </row>
    <row r="974" spans="18:19">
      <c r="R974" s="62"/>
    </row>
    <row r="975" spans="18:19">
      <c r="R975" s="62"/>
    </row>
    <row r="976" spans="18:19">
      <c r="R976" s="62"/>
    </row>
    <row r="977" spans="15:18">
      <c r="R977" s="62"/>
    </row>
    <row r="978" spans="15:18">
      <c r="R978" s="62"/>
    </row>
    <row r="979" spans="15:18">
      <c r="R979" s="62"/>
    </row>
    <row r="980" spans="15:18">
      <c r="R980" s="62"/>
    </row>
    <row r="981" spans="15:18">
      <c r="R981" s="62"/>
    </row>
    <row r="982" spans="15:18">
      <c r="R982" s="62"/>
    </row>
    <row r="983" spans="15:18">
      <c r="R983" s="62"/>
    </row>
    <row r="984" spans="15:18">
      <c r="R984" s="62"/>
    </row>
    <row r="985" spans="15:18">
      <c r="R985" s="62"/>
    </row>
    <row r="986" spans="15:18">
      <c r="R986" s="62"/>
    </row>
    <row r="987" spans="15:18">
      <c r="R987" s="62"/>
    </row>
    <row r="988" spans="15:18">
      <c r="R988" s="62"/>
    </row>
    <row r="989" spans="15:18">
      <c r="R989" s="62"/>
    </row>
    <row r="990" spans="15:18">
      <c r="R990" s="62"/>
    </row>
    <row r="991" spans="15:18">
      <c r="O991" s="86"/>
      <c r="R991" s="62"/>
    </row>
    <row r="992" spans="15:18">
      <c r="O992" s="86"/>
      <c r="R992" s="62"/>
    </row>
    <row r="993" spans="15:18">
      <c r="O993" s="86"/>
      <c r="R993" s="62"/>
    </row>
    <row r="994" spans="15:18">
      <c r="O994" s="86"/>
      <c r="R994" s="62"/>
    </row>
    <row r="995" spans="15:18">
      <c r="O995" s="86"/>
      <c r="R995" s="62"/>
    </row>
    <row r="996" spans="15:18">
      <c r="R996" s="62"/>
    </row>
    <row r="997" spans="15:18">
      <c r="R997" s="62"/>
    </row>
    <row r="998" spans="15:18">
      <c r="R998" s="62"/>
    </row>
    <row r="999" spans="15:18">
      <c r="R999" s="62"/>
    </row>
    <row r="1000" spans="15:18">
      <c r="R1000" s="62"/>
    </row>
    <row r="1001" spans="15:18">
      <c r="R1001" s="62"/>
    </row>
    <row r="1002" spans="15:18">
      <c r="R1002" s="62"/>
    </row>
    <row r="1003" spans="15:18">
      <c r="R1003" s="62"/>
    </row>
    <row r="1004" spans="15:18">
      <c r="R1004" s="62"/>
    </row>
    <row r="1005" spans="15:18">
      <c r="R1005" s="62"/>
    </row>
    <row r="1006" spans="15:18">
      <c r="R1006" s="62"/>
    </row>
    <row r="1007" spans="15:18">
      <c r="R1007" s="62"/>
    </row>
    <row r="1008" spans="15:18">
      <c r="R1008" s="62"/>
    </row>
    <row r="1009" spans="11:18">
      <c r="R1009" s="62"/>
    </row>
    <row r="1010" spans="11:18">
      <c r="R1010" s="62"/>
    </row>
    <row r="1011" spans="11:18">
      <c r="R1011" s="62"/>
    </row>
    <row r="1012" spans="11:18">
      <c r="K1012" s="106"/>
      <c r="O1012" s="133"/>
      <c r="R1012" s="62"/>
    </row>
    <row r="1013" spans="11:18">
      <c r="K1013" s="106"/>
      <c r="O1013" s="133"/>
      <c r="R1013" s="62"/>
    </row>
    <row r="1014" spans="11:18">
      <c r="K1014" s="106"/>
      <c r="R1014" s="62"/>
    </row>
    <row r="1015" spans="11:18">
      <c r="K1015" s="106"/>
      <c r="R1015" s="62"/>
    </row>
    <row r="1016" spans="11:18">
      <c r="K1016" s="106"/>
      <c r="R1016" s="62"/>
    </row>
    <row r="1017" spans="11:18">
      <c r="K1017" s="106"/>
      <c r="R1017" s="62"/>
    </row>
    <row r="1018" spans="11:18">
      <c r="R1018" s="62"/>
    </row>
    <row r="1019" spans="11:18">
      <c r="R1019" s="62"/>
    </row>
    <row r="1020" spans="11:18">
      <c r="R1020" s="62"/>
    </row>
    <row r="1021" spans="11:18">
      <c r="R1021" s="62"/>
    </row>
    <row r="1022" spans="11:18">
      <c r="R1022" s="62"/>
    </row>
    <row r="1023" spans="11:18">
      <c r="R1023" s="62"/>
    </row>
    <row r="1024" spans="11:18">
      <c r="R1024" s="62"/>
    </row>
    <row r="1025" spans="11:18">
      <c r="R1025" s="62"/>
    </row>
    <row r="1026" spans="11:18">
      <c r="R1026" s="62"/>
    </row>
    <row r="1027" spans="11:18">
      <c r="R1027" s="62"/>
    </row>
    <row r="1028" spans="11:18">
      <c r="K1028" s="137"/>
      <c r="R1028" s="62"/>
    </row>
    <row r="1029" spans="11:18">
      <c r="K1029" s="137"/>
      <c r="R1029" s="62"/>
    </row>
    <row r="1030" spans="11:18">
      <c r="K1030" s="137"/>
      <c r="R1030" s="62"/>
    </row>
    <row r="1031" spans="11:18">
      <c r="R1031" s="62"/>
    </row>
    <row r="1032" spans="11:18">
      <c r="R1032" s="62"/>
    </row>
    <row r="1033" spans="11:18">
      <c r="R1033" s="62"/>
    </row>
    <row r="1034" spans="11:18">
      <c r="R1034" s="62"/>
    </row>
    <row r="1035" spans="11:18">
      <c r="R1035" s="62"/>
    </row>
    <row r="1036" spans="11:18">
      <c r="R1036" s="62"/>
    </row>
    <row r="1037" spans="11:18">
      <c r="R1037" s="62"/>
    </row>
    <row r="1038" spans="11:18">
      <c r="R1038" s="62"/>
    </row>
    <row r="1039" spans="11:18">
      <c r="R1039" s="62"/>
    </row>
    <row r="1040" spans="11:18">
      <c r="R1040" s="62"/>
    </row>
    <row r="1041" spans="11:19">
      <c r="R1041" s="62"/>
    </row>
    <row r="1042" spans="11:19">
      <c r="R1042" s="62"/>
    </row>
    <row r="1043" spans="11:19">
      <c r="R1043" s="62"/>
    </row>
    <row r="1044" spans="11:19">
      <c r="R1044" s="62"/>
    </row>
    <row r="1045" spans="11:19">
      <c r="R1045" s="62"/>
    </row>
    <row r="1046" spans="11:19">
      <c r="R1046" s="62"/>
    </row>
    <row r="1047" spans="11:19">
      <c r="R1047" s="62"/>
    </row>
    <row r="1048" spans="11:19">
      <c r="K1048" s="106"/>
      <c r="R1048" s="62"/>
    </row>
    <row r="1049" spans="11:19">
      <c r="K1049" s="106"/>
      <c r="R1049" s="62"/>
    </row>
    <row r="1050" spans="11:19">
      <c r="K1050" s="106"/>
      <c r="R1050" s="62"/>
    </row>
    <row r="1051" spans="11:19">
      <c r="R1051" s="62"/>
      <c r="S1051" s="94"/>
    </row>
    <row r="1052" spans="11:19">
      <c r="R1052" s="62"/>
      <c r="S1052" s="92"/>
    </row>
    <row r="1053" spans="11:19">
      <c r="R1053" s="62"/>
    </row>
    <row r="1054" spans="11:19">
      <c r="R1054" s="62"/>
    </row>
    <row r="1055" spans="11:19">
      <c r="R1055" s="62"/>
    </row>
    <row r="1056" spans="11:19">
      <c r="R1056" s="62"/>
    </row>
    <row r="1057" spans="8:19">
      <c r="R1057" s="62"/>
    </row>
    <row r="1058" spans="8:19">
      <c r="H1058" s="105"/>
      <c r="R1058" s="62"/>
    </row>
    <row r="1059" spans="8:19">
      <c r="R1059" s="62"/>
    </row>
    <row r="1060" spans="8:19">
      <c r="R1060" s="62"/>
      <c r="S1060" s="94"/>
    </row>
    <row r="1061" spans="8:19">
      <c r="R1061" s="62"/>
      <c r="S1061" s="92"/>
    </row>
    <row r="1062" spans="8:19">
      <c r="R1062" s="62"/>
    </row>
    <row r="1063" spans="8:19">
      <c r="R1063" s="62"/>
    </row>
    <row r="1064" spans="8:19">
      <c r="R1064" s="62"/>
    </row>
    <row r="1065" spans="8:19">
      <c r="R1065" s="62"/>
    </row>
    <row r="1066" spans="8:19">
      <c r="R1066" s="62"/>
    </row>
    <row r="1067" spans="8:19">
      <c r="R1067" s="62"/>
    </row>
    <row r="1068" spans="8:19">
      <c r="R1068" s="62"/>
    </row>
    <row r="1069" spans="8:19">
      <c r="R1069" s="62"/>
    </row>
    <row r="1070" spans="8:19">
      <c r="R1070" s="62"/>
    </row>
    <row r="1071" spans="8:19">
      <c r="R1071" s="62"/>
    </row>
    <row r="1072" spans="8:19">
      <c r="R1072" s="62"/>
    </row>
    <row r="1073" spans="11:18">
      <c r="R1073" s="62"/>
    </row>
    <row r="1074" spans="11:18">
      <c r="R1074" s="62"/>
    </row>
    <row r="1075" spans="11:18">
      <c r="R1075" s="62"/>
    </row>
    <row r="1076" spans="11:18">
      <c r="R1076" s="62"/>
    </row>
    <row r="1077" spans="11:18">
      <c r="R1077" s="62"/>
    </row>
    <row r="1078" spans="11:18">
      <c r="R1078" s="62"/>
    </row>
    <row r="1079" spans="11:18">
      <c r="R1079" s="62"/>
    </row>
    <row r="1080" spans="11:18">
      <c r="R1080" s="62"/>
    </row>
    <row r="1081" spans="11:18">
      <c r="R1081" s="62"/>
    </row>
    <row r="1082" spans="11:18">
      <c r="K1082" s="130"/>
      <c r="O1082" s="138"/>
      <c r="R1082" s="62"/>
    </row>
    <row r="1083" spans="11:18">
      <c r="R1083" s="62"/>
    </row>
    <row r="1084" spans="11:18">
      <c r="K1084" s="130"/>
      <c r="O1084" s="138"/>
      <c r="R1084" s="62"/>
    </row>
    <row r="1085" spans="11:18">
      <c r="R1085" s="62"/>
    </row>
    <row r="1086" spans="11:18">
      <c r="K1086" s="130"/>
      <c r="O1086" s="138"/>
      <c r="R1086" s="62"/>
    </row>
    <row r="1087" spans="11:18">
      <c r="R1087" s="62"/>
    </row>
    <row r="1088" spans="11:18">
      <c r="R1088" s="62"/>
    </row>
    <row r="1089" spans="1:21">
      <c r="R1089" s="62"/>
    </row>
    <row r="1090" spans="1:21">
      <c r="R1090" s="62"/>
    </row>
    <row r="1091" spans="1:21">
      <c r="R1091" s="62"/>
    </row>
    <row r="1092" spans="1:21">
      <c r="R1092" s="62"/>
    </row>
    <row r="1093" s="58" customFormat="1" spans="1:21">
      <c r="A1093" s="61"/>
      <c r="B1093" s="62"/>
      <c r="C1093" s="155"/>
      <c r="D1093" s="63"/>
      <c r="E1093" s="64"/>
      <c r="F1093" s="64"/>
      <c r="G1093" s="62"/>
      <c r="H1093" s="62"/>
      <c r="I1093" s="62"/>
      <c r="J1093" s="62"/>
      <c r="K1093" s="65"/>
      <c r="L1093" s="65"/>
      <c r="M1093" s="62"/>
      <c r="N1093" s="62"/>
      <c r="O1093" s="66"/>
      <c r="P1093" s="62"/>
      <c r="Q1093" s="62"/>
      <c r="R1093" s="62"/>
      <c r="S1093" s="62"/>
      <c r="T1093" s="62"/>
      <c r="U1093" s="67"/>
    </row>
    <row r="1094" s="58" customFormat="1" spans="1:21">
      <c r="A1094" s="61"/>
      <c r="B1094" s="62"/>
      <c r="C1094" s="155"/>
      <c r="D1094" s="63"/>
      <c r="E1094" s="64"/>
      <c r="F1094" s="64"/>
      <c r="G1094" s="62"/>
      <c r="H1094" s="62"/>
      <c r="I1094" s="62"/>
      <c r="J1094" s="62"/>
      <c r="K1094" s="65"/>
      <c r="L1094" s="65"/>
      <c r="M1094" s="62"/>
      <c r="N1094" s="62"/>
      <c r="O1094" s="66"/>
      <c r="P1094" s="62"/>
      <c r="Q1094" s="62"/>
      <c r="R1094" s="62"/>
      <c r="S1094" s="62"/>
      <c r="T1094" s="62"/>
      <c r="U1094" s="67"/>
    </row>
    <row r="1095" s="58" customFormat="1" spans="1:21">
      <c r="A1095" s="61"/>
      <c r="B1095" s="62"/>
      <c r="C1095" s="155"/>
      <c r="D1095" s="63"/>
      <c r="E1095" s="64"/>
      <c r="F1095" s="64"/>
      <c r="G1095" s="62"/>
      <c r="H1095" s="62"/>
      <c r="I1095" s="62"/>
      <c r="J1095" s="62"/>
      <c r="K1095" s="65"/>
      <c r="L1095" s="65"/>
      <c r="M1095" s="62"/>
      <c r="N1095" s="62"/>
      <c r="O1095" s="66"/>
      <c r="P1095" s="62"/>
      <c r="Q1095" s="62"/>
      <c r="R1095" s="62"/>
      <c r="S1095" s="62"/>
      <c r="T1095" s="62"/>
      <c r="U1095" s="67"/>
    </row>
    <row r="1096" s="58" customFormat="1" spans="1:21">
      <c r="A1096" s="61"/>
      <c r="B1096" s="62"/>
      <c r="C1096" s="155"/>
      <c r="D1096" s="63"/>
      <c r="E1096" s="64"/>
      <c r="F1096" s="64"/>
      <c r="G1096" s="62"/>
      <c r="H1096" s="62"/>
      <c r="I1096" s="62"/>
      <c r="J1096" s="62"/>
      <c r="K1096" s="65"/>
      <c r="L1096" s="65"/>
      <c r="M1096" s="62"/>
      <c r="N1096" s="62"/>
      <c r="O1096" s="66"/>
      <c r="P1096" s="62"/>
      <c r="Q1096" s="62"/>
      <c r="R1096" s="62"/>
      <c r="S1096" s="62"/>
      <c r="T1096" s="62"/>
      <c r="U1096" s="67"/>
    </row>
    <row r="1097" s="58" customFormat="1" spans="1:21">
      <c r="A1097" s="61"/>
      <c r="B1097" s="62"/>
      <c r="C1097" s="155"/>
      <c r="D1097" s="63"/>
      <c r="E1097" s="64"/>
      <c r="F1097" s="64"/>
      <c r="G1097" s="62"/>
      <c r="H1097" s="62"/>
      <c r="I1097" s="62"/>
      <c r="J1097" s="62"/>
      <c r="K1097" s="65"/>
      <c r="L1097" s="65"/>
      <c r="M1097" s="62"/>
      <c r="N1097" s="62"/>
      <c r="O1097" s="66"/>
      <c r="P1097" s="62"/>
      <c r="Q1097" s="62"/>
      <c r="R1097" s="62"/>
      <c r="S1097" s="62"/>
      <c r="T1097" s="62"/>
      <c r="U1097" s="67"/>
    </row>
    <row r="1098" s="58" customFormat="1" spans="1:21">
      <c r="A1098" s="61"/>
      <c r="B1098" s="62"/>
      <c r="C1098" s="155"/>
      <c r="D1098" s="63"/>
      <c r="E1098" s="64"/>
      <c r="F1098" s="64"/>
      <c r="G1098" s="62"/>
      <c r="H1098" s="62"/>
      <c r="I1098" s="62"/>
      <c r="J1098" s="62"/>
      <c r="K1098" s="65"/>
      <c r="L1098" s="65"/>
      <c r="M1098" s="62"/>
      <c r="N1098" s="62"/>
      <c r="O1098" s="66"/>
      <c r="P1098" s="62"/>
      <c r="Q1098" s="62"/>
      <c r="R1098" s="62"/>
      <c r="S1098" s="62"/>
      <c r="T1098" s="62"/>
      <c r="U1098" s="67"/>
    </row>
    <row r="1099" s="58" customFormat="1" spans="1:21">
      <c r="A1099" s="61"/>
      <c r="B1099" s="62"/>
      <c r="C1099" s="155"/>
      <c r="D1099" s="63"/>
      <c r="E1099" s="64"/>
      <c r="F1099" s="64"/>
      <c r="G1099" s="62"/>
      <c r="H1099" s="62"/>
      <c r="I1099" s="62"/>
      <c r="J1099" s="62"/>
      <c r="K1099" s="65"/>
      <c r="L1099" s="65"/>
      <c r="M1099" s="62"/>
      <c r="N1099" s="62"/>
      <c r="O1099" s="66"/>
      <c r="P1099" s="62"/>
      <c r="Q1099" s="62"/>
      <c r="R1099" s="62"/>
      <c r="S1099" s="62"/>
      <c r="T1099" s="62"/>
      <c r="U1099" s="67"/>
    </row>
    <row r="1100" s="58" customFormat="1" spans="1:21">
      <c r="A1100" s="61"/>
      <c r="B1100" s="62"/>
      <c r="C1100" s="155"/>
      <c r="D1100" s="63"/>
      <c r="E1100" s="64"/>
      <c r="F1100" s="64"/>
      <c r="G1100" s="62"/>
      <c r="H1100" s="62"/>
      <c r="I1100" s="62"/>
      <c r="J1100" s="62"/>
      <c r="K1100" s="65"/>
      <c r="L1100" s="65"/>
      <c r="M1100" s="62"/>
      <c r="N1100" s="62"/>
      <c r="O1100" s="66"/>
      <c r="P1100" s="62"/>
      <c r="Q1100" s="62"/>
      <c r="R1100" s="62"/>
      <c r="S1100" s="62"/>
      <c r="T1100" s="62"/>
      <c r="U1100" s="67"/>
    </row>
    <row r="1101" s="58" customFormat="1" spans="1:21">
      <c r="A1101" s="61"/>
      <c r="B1101" s="62"/>
      <c r="C1101" s="155"/>
      <c r="D1101" s="63"/>
      <c r="E1101" s="64"/>
      <c r="F1101" s="64"/>
      <c r="G1101" s="62"/>
      <c r="H1101" s="62"/>
      <c r="I1101" s="62"/>
      <c r="J1101" s="62"/>
      <c r="K1101" s="65"/>
      <c r="L1101" s="65"/>
      <c r="M1101" s="62"/>
      <c r="N1101" s="62"/>
      <c r="O1101" s="66"/>
      <c r="P1101" s="62"/>
      <c r="Q1101" s="62"/>
      <c r="R1101" s="62"/>
      <c r="S1101" s="62"/>
      <c r="T1101" s="62"/>
      <c r="U1101" s="67"/>
    </row>
    <row r="1102" s="58" customFormat="1" spans="1:21">
      <c r="A1102" s="61"/>
      <c r="B1102" s="62"/>
      <c r="C1102" s="155"/>
      <c r="D1102" s="63"/>
      <c r="E1102" s="64"/>
      <c r="F1102" s="64"/>
      <c r="G1102" s="62"/>
      <c r="H1102" s="62"/>
      <c r="I1102" s="62"/>
      <c r="J1102" s="62"/>
      <c r="K1102" s="65"/>
      <c r="L1102" s="65"/>
      <c r="M1102" s="62"/>
      <c r="N1102" s="62"/>
      <c r="O1102" s="66"/>
      <c r="P1102" s="62"/>
      <c r="Q1102" s="62"/>
      <c r="R1102" s="62"/>
      <c r="S1102" s="62"/>
      <c r="T1102" s="62"/>
      <c r="U1102" s="67"/>
    </row>
    <row r="1103" s="58" customFormat="1" spans="1:21">
      <c r="A1103" s="61"/>
      <c r="B1103" s="62"/>
      <c r="C1103" s="155"/>
      <c r="D1103" s="63"/>
      <c r="E1103" s="64"/>
      <c r="F1103" s="64"/>
      <c r="G1103" s="62"/>
      <c r="H1103" s="62"/>
      <c r="I1103" s="62"/>
      <c r="J1103" s="62"/>
      <c r="K1103" s="65"/>
      <c r="L1103" s="65"/>
      <c r="M1103" s="62"/>
      <c r="N1103" s="62"/>
      <c r="O1103" s="66"/>
      <c r="P1103" s="62"/>
      <c r="Q1103" s="62"/>
      <c r="R1103" s="62"/>
      <c r="S1103" s="62"/>
      <c r="T1103" s="62"/>
      <c r="U1103" s="67"/>
    </row>
    <row r="1104" s="58" customFormat="1" spans="1:21">
      <c r="A1104" s="61"/>
      <c r="B1104" s="62"/>
      <c r="C1104" s="155"/>
      <c r="D1104" s="63"/>
      <c r="E1104" s="64"/>
      <c r="F1104" s="64"/>
      <c r="G1104" s="62"/>
      <c r="H1104" s="62"/>
      <c r="I1104" s="62"/>
      <c r="J1104" s="62"/>
      <c r="K1104" s="65"/>
      <c r="L1104" s="65"/>
      <c r="M1104" s="62"/>
      <c r="N1104" s="62"/>
      <c r="O1104" s="66"/>
      <c r="P1104" s="62"/>
      <c r="Q1104" s="62"/>
      <c r="R1104" s="62"/>
      <c r="S1104" s="62"/>
      <c r="T1104" s="62"/>
      <c r="U1104" s="67"/>
    </row>
    <row r="1105" spans="11:19">
      <c r="R1105" s="62"/>
      <c r="S1105" s="61"/>
    </row>
    <row r="1106" spans="11:19">
      <c r="R1106" s="62"/>
      <c r="S1106" s="61"/>
    </row>
    <row r="1107" spans="11:19">
      <c r="R1107" s="62"/>
    </row>
    <row r="1108" spans="11:19">
      <c r="R1108" s="62"/>
    </row>
    <row r="1109" spans="11:19">
      <c r="R1109" s="62"/>
    </row>
    <row r="1110" spans="11:19">
      <c r="R1110" s="62"/>
    </row>
    <row r="1111" spans="11:19">
      <c r="R1111" s="62"/>
    </row>
    <row r="1112" spans="11:19">
      <c r="R1112" s="62"/>
      <c r="S1112" s="94"/>
    </row>
    <row r="1113" spans="11:19">
      <c r="S1113" s="92"/>
    </row>
    <row r="1114" spans="11:19">
      <c r="S1114" s="94"/>
    </row>
    <row r="1115" spans="11:19">
      <c r="S1115" s="92"/>
    </row>
    <row r="1119" spans="11:19">
      <c r="K1119" s="106"/>
      <c r="O1119" s="107"/>
    </row>
    <row r="1121" spans="11:19">
      <c r="S1121" s="94"/>
    </row>
    <row r="1122" spans="11:19">
      <c r="S1122" s="92"/>
    </row>
    <row r="1123" spans="11:19">
      <c r="S1123" s="94"/>
    </row>
    <row r="1124" spans="11:19">
      <c r="S1124" s="92"/>
    </row>
    <row r="1127" spans="11:19">
      <c r="K1127" s="106"/>
    </row>
    <row r="1128" spans="11:19">
      <c r="K1128" s="106"/>
    </row>
    <row r="1133" spans="11:19">
      <c r="K1133" s="84"/>
      <c r="O1133" s="133"/>
    </row>
    <row r="1134" spans="11:19">
      <c r="S1134" s="94"/>
    </row>
    <row r="1135" spans="11:19">
      <c r="S1135" s="92"/>
    </row>
    <row r="1136" spans="11:19">
      <c r="K1136" s="84"/>
      <c r="O1136" s="133"/>
    </row>
    <row r="1139" spans="11:15">
      <c r="K1139" s="106"/>
      <c r="O1139" s="107"/>
    </row>
    <row r="1140" spans="11:15">
      <c r="K1140" s="106"/>
      <c r="O1140" s="107"/>
    </row>
    <row r="1143" customHeight="1"/>
    <row r="1153" spans="19:19">
      <c r="S1153" s="94"/>
    </row>
    <row r="1154" spans="19:19">
      <c r="S1154" s="92"/>
    </row>
    <row r="1155" spans="19:19">
      <c r="S1155" s="94"/>
    </row>
    <row r="1156" spans="19:19">
      <c r="S1156" s="92"/>
    </row>
    <row r="1157" spans="19:19">
      <c r="S1157" s="94"/>
    </row>
    <row r="1158" spans="19:19">
      <c r="S1158" s="92"/>
    </row>
    <row r="1180" spans="11:19">
      <c r="K1180" s="106"/>
      <c r="O1180" s="107"/>
    </row>
    <row r="1183" spans="11:19">
      <c r="S1183" s="94"/>
    </row>
    <row r="1184" spans="11:19">
      <c r="S1184" s="92"/>
    </row>
    <row r="1185" spans="19:19">
      <c r="S1185" s="94"/>
    </row>
    <row r="1186" spans="19:19">
      <c r="S1186" s="92"/>
    </row>
    <row r="1187" spans="19:19">
      <c r="S1187" s="94"/>
    </row>
    <row r="1188" spans="19:19">
      <c r="S1188" s="92"/>
    </row>
    <row r="1189" spans="19:19">
      <c r="S1189" s="94"/>
    </row>
    <row r="1190" spans="19:19">
      <c r="S1190" s="92"/>
    </row>
    <row r="1191" spans="19:19">
      <c r="S1191" s="94"/>
    </row>
    <row r="1192" spans="19:19">
      <c r="S1192" s="92"/>
    </row>
    <row r="1193" spans="19:19">
      <c r="S1193" s="94"/>
    </row>
    <row r="1194" spans="19:19">
      <c r="S1194" s="92"/>
    </row>
    <row r="1195" spans="19:19">
      <c r="S1195" s="94"/>
    </row>
    <row r="1196" spans="19:19">
      <c r="S1196" s="92"/>
    </row>
    <row r="1198" spans="19:19">
      <c r="S1198" s="94"/>
    </row>
    <row r="1199" spans="19:19">
      <c r="S1199" s="92"/>
    </row>
    <row r="1202" spans="8:19">
      <c r="K1202" s="106"/>
      <c r="O1202" s="133"/>
    </row>
    <row r="1205" spans="8:19">
      <c r="K1205" s="106"/>
      <c r="O1205" s="133"/>
    </row>
    <row r="1212" spans="8:19">
      <c r="S1212" s="94"/>
    </row>
    <row r="1213" spans="8:19">
      <c r="S1213" s="92"/>
    </row>
    <row r="1215" spans="8:19">
      <c r="H1215" s="61"/>
      <c r="I1215" s="61"/>
      <c r="K1215" s="106"/>
      <c r="O1215" s="107"/>
    </row>
    <row r="1216" spans="8:19">
      <c r="I1216" s="61"/>
    </row>
    <row r="1219" spans="1:21">
      <c r="S1219" s="94"/>
    </row>
    <row r="1220" spans="1:21">
      <c r="S1220" s="92"/>
    </row>
    <row r="1221" spans="1:21">
      <c r="K1221" s="106"/>
      <c r="O1221" s="133"/>
    </row>
    <row r="1222" spans="1:21">
      <c r="K1222" s="106"/>
      <c r="O1222" s="133"/>
    </row>
    <row r="1227" spans="1:21">
      <c r="G1227" s="105"/>
    </row>
    <row r="1228" spans="1:21">
      <c r="S1228" s="94"/>
    </row>
    <row r="1229" spans="1:21">
      <c r="S1229" s="92"/>
    </row>
    <row r="1231" s="60" customFormat="1" spans="1:21">
      <c r="A1231" s="61"/>
      <c r="B1231" s="62"/>
      <c r="C1231" s="155"/>
      <c r="D1231" s="63"/>
      <c r="E1231" s="64"/>
      <c r="F1231" s="64"/>
      <c r="G1231" s="62"/>
      <c r="H1231" s="62"/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12"/>
      <c r="U1231" s="139"/>
    </row>
    <row r="1232" spans="1:21">
      <c r="K1232" s="62"/>
      <c r="L1232" s="62"/>
      <c r="O1232" s="62"/>
      <c r="R1232" s="62"/>
    </row>
    <row r="1233" spans="1:21">
      <c r="K1233" s="62"/>
      <c r="L1233" s="62"/>
    </row>
    <row r="1234" spans="1:21">
      <c r="L1234" s="62"/>
    </row>
    <row r="1235" spans="1:21">
      <c r="L1235" s="62"/>
    </row>
    <row r="1236" spans="1:21">
      <c r="L1236" s="62"/>
    </row>
    <row r="1237" spans="1:21">
      <c r="L1237" s="62"/>
    </row>
    <row r="1238" spans="1:21">
      <c r="L1238" s="62"/>
    </row>
    <row r="1239" spans="1:21">
      <c r="L1239" s="62"/>
    </row>
    <row r="1240" spans="1:21">
      <c r="L1240" s="62"/>
    </row>
    <row r="1241" spans="1:21">
      <c r="L1241" s="62"/>
    </row>
    <row r="1242" spans="1:21">
      <c r="L1242" s="62"/>
    </row>
    <row r="1243" s="60" customFormat="1" spans="1:21">
      <c r="A1243" s="61"/>
      <c r="B1243" s="62"/>
      <c r="C1243" s="155"/>
      <c r="D1243" s="63"/>
      <c r="E1243" s="64"/>
      <c r="F1243" s="64"/>
      <c r="G1243" s="62"/>
      <c r="H1243" s="62"/>
      <c r="I1243" s="62"/>
      <c r="J1243" s="62"/>
      <c r="K1243" s="65"/>
      <c r="L1243" s="62"/>
      <c r="M1243" s="62"/>
      <c r="N1243" s="62"/>
      <c r="O1243" s="66"/>
      <c r="P1243" s="62"/>
      <c r="Q1243" s="62"/>
      <c r="R1243" s="84"/>
      <c r="S1243" s="62"/>
      <c r="T1243" s="12"/>
      <c r="U1243" s="139"/>
    </row>
    <row r="1244" spans="1:21">
      <c r="L1244" s="62"/>
    </row>
    <row r="1245" spans="1:21">
      <c r="L1245" s="62"/>
    </row>
    <row r="1246" spans="1:21">
      <c r="L1246" s="62"/>
    </row>
    <row r="1247" spans="1:21">
      <c r="L1247" s="62"/>
    </row>
    <row r="1248" spans="1:21">
      <c r="L1248" s="62"/>
    </row>
    <row r="1249" spans="12:19">
      <c r="L1249" s="62"/>
    </row>
    <row r="1250" spans="12:19">
      <c r="L1250" s="62"/>
      <c r="O1250" s="61"/>
    </row>
    <row r="1251" spans="12:19">
      <c r="L1251" s="62"/>
      <c r="O1251" s="61"/>
    </row>
    <row r="1252" spans="12:19">
      <c r="L1252" s="62"/>
    </row>
    <row r="1253" spans="12:19">
      <c r="L1253" s="62"/>
    </row>
    <row r="1254" spans="12:19">
      <c r="L1254" s="62"/>
    </row>
    <row r="1255" spans="12:19">
      <c r="L1255" s="62"/>
    </row>
    <row r="1256" spans="12:19">
      <c r="L1256" s="62"/>
      <c r="S1256" s="94"/>
    </row>
    <row r="1257" spans="12:19">
      <c r="L1257" s="62"/>
      <c r="S1257" s="92"/>
    </row>
    <row r="1258" spans="12:19">
      <c r="L1258" s="62"/>
    </row>
    <row r="1259" spans="12:19">
      <c r="L1259" s="62"/>
    </row>
    <row r="1260" spans="12:19">
      <c r="L1260" s="62"/>
    </row>
    <row r="1261" spans="12:19">
      <c r="L1261" s="62"/>
    </row>
    <row r="1262" spans="12:19">
      <c r="L1262" s="62"/>
    </row>
    <row r="1263" spans="12:19">
      <c r="L1263" s="62"/>
    </row>
    <row r="1264" spans="12:19">
      <c r="L1264" s="62"/>
    </row>
    <row r="1265" spans="1:21">
      <c r="L1265" s="62"/>
    </row>
    <row r="1266" spans="1:21">
      <c r="A1266" s="159"/>
      <c r="B1266" s="12"/>
      <c r="D1266" s="140"/>
      <c r="E1266" s="141"/>
      <c r="F1266" s="141"/>
      <c r="G1266" s="12"/>
      <c r="H1266" s="12"/>
      <c r="I1266" s="12"/>
      <c r="J1266" s="12"/>
      <c r="K1266" s="130"/>
      <c r="L1266" s="12"/>
      <c r="M1266" s="12"/>
      <c r="N1266" s="12"/>
      <c r="O1266" s="133"/>
      <c r="P1266" s="12"/>
      <c r="Q1266" s="12"/>
      <c r="R1266" s="84"/>
      <c r="S1266" s="12"/>
    </row>
    <row r="1267" spans="1:21">
      <c r="L1267" s="62"/>
    </row>
    <row r="1268" spans="1:21">
      <c r="L1268" s="62"/>
    </row>
    <row r="1269" spans="1:21">
      <c r="L1269" s="62"/>
    </row>
    <row r="1270" spans="1:21">
      <c r="L1270" s="62"/>
    </row>
    <row r="1271" spans="1:21">
      <c r="L1271" s="62"/>
    </row>
    <row r="1272" spans="1:21">
      <c r="L1272" s="62"/>
    </row>
    <row r="1273" s="60" customFormat="1" spans="1:21">
      <c r="A1273" s="61"/>
      <c r="B1273" s="62"/>
      <c r="C1273" s="155"/>
      <c r="D1273" s="63"/>
      <c r="E1273" s="64"/>
      <c r="F1273" s="64"/>
      <c r="G1273" s="62"/>
      <c r="H1273" s="62"/>
      <c r="I1273" s="62"/>
      <c r="J1273" s="62"/>
      <c r="K1273" s="65"/>
      <c r="L1273" s="62"/>
      <c r="M1273" s="62"/>
      <c r="N1273" s="62"/>
      <c r="O1273" s="66"/>
      <c r="P1273" s="62"/>
      <c r="Q1273" s="62"/>
      <c r="R1273" s="65"/>
      <c r="S1273" s="62"/>
      <c r="T1273" s="12"/>
      <c r="U1273" s="139"/>
    </row>
    <row r="1274" spans="1:21">
      <c r="L1274" s="62"/>
    </row>
    <row r="1275" spans="1:21">
      <c r="L1275" s="62"/>
    </row>
    <row r="1276" spans="1:21">
      <c r="L1276" s="62"/>
    </row>
    <row r="1277" spans="1:21">
      <c r="L1277" s="62"/>
    </row>
    <row r="1278" spans="1:21">
      <c r="I1278" s="142"/>
      <c r="L1278" s="62"/>
    </row>
    <row r="1279" spans="1:21">
      <c r="L1279" s="62"/>
    </row>
    <row r="1280" spans="1:21">
      <c r="L1280" s="62"/>
    </row>
    <row r="1281" spans="11:19">
      <c r="K1281" s="106"/>
      <c r="L1281" s="62"/>
      <c r="O1281" s="133"/>
    </row>
    <row r="1282" spans="11:19">
      <c r="K1282" s="106"/>
      <c r="L1282" s="62"/>
      <c r="O1282" s="133"/>
    </row>
    <row r="1283" spans="11:19">
      <c r="K1283" s="106"/>
      <c r="L1283" s="62"/>
      <c r="O1283" s="133"/>
    </row>
    <row r="1284" spans="11:19">
      <c r="K1284" s="106"/>
      <c r="L1284" s="62"/>
      <c r="O1284" s="133"/>
    </row>
    <row r="1285" spans="11:19">
      <c r="L1285" s="62"/>
    </row>
    <row r="1286" spans="11:19">
      <c r="L1286" s="62"/>
    </row>
    <row r="1287" spans="11:19">
      <c r="L1287" s="62"/>
    </row>
    <row r="1288" spans="11:19">
      <c r="L1288" s="62"/>
    </row>
    <row r="1289" spans="11:19">
      <c r="L1289" s="62"/>
      <c r="S1289" s="94"/>
    </row>
    <row r="1290" spans="11:19">
      <c r="L1290" s="62"/>
      <c r="S1290" s="92"/>
    </row>
    <row r="1291" spans="11:19">
      <c r="L1291" s="62"/>
    </row>
    <row r="1292" spans="11:19">
      <c r="L1292" s="62"/>
    </row>
    <row r="1293" spans="11:19">
      <c r="L1293" s="62"/>
    </row>
    <row r="1294" spans="11:19">
      <c r="L1294" s="62"/>
    </row>
    <row r="1295" spans="11:19">
      <c r="L1295" s="62"/>
    </row>
    <row r="1296" spans="11:19">
      <c r="L1296" s="62"/>
    </row>
    <row r="1297" spans="8:15">
      <c r="L1297" s="62"/>
    </row>
    <row r="1298" spans="8:15">
      <c r="L1298" s="62"/>
    </row>
    <row r="1299" spans="8:15">
      <c r="L1299" s="62"/>
    </row>
    <row r="1300" spans="8:15">
      <c r="L1300" s="62"/>
    </row>
    <row r="1301" spans="8:15">
      <c r="L1301" s="62"/>
    </row>
    <row r="1302" spans="8:15">
      <c r="L1302" s="62"/>
    </row>
    <row r="1303" spans="8:15">
      <c r="H1303" s="108"/>
      <c r="L1303" s="62"/>
    </row>
    <row r="1304" spans="8:15">
      <c r="L1304" s="62"/>
    </row>
    <row r="1305" spans="8:15">
      <c r="L1305" s="62"/>
    </row>
    <row r="1306" spans="8:15">
      <c r="L1306" s="62"/>
    </row>
    <row r="1307" spans="8:15">
      <c r="L1307" s="62"/>
    </row>
    <row r="1308" spans="8:15">
      <c r="K1308" s="106"/>
      <c r="L1308" s="62"/>
      <c r="O1308" s="133"/>
    </row>
    <row r="1309" spans="8:15">
      <c r="L1309" s="62"/>
    </row>
    <row r="1310" spans="8:15">
      <c r="L1310" s="62"/>
    </row>
    <row r="1311" spans="8:15">
      <c r="L1311" s="62"/>
    </row>
    <row r="1312" spans="8:15">
      <c r="L1312" s="62"/>
    </row>
    <row r="1313" spans="2:19">
      <c r="K1313" s="106"/>
      <c r="L1313" s="62"/>
    </row>
    <row r="1314" spans="2:19">
      <c r="L1314" s="62"/>
    </row>
    <row r="1315" spans="2:19">
      <c r="H1315" s="90"/>
      <c r="I1315" s="125"/>
      <c r="L1315" s="62"/>
    </row>
    <row r="1316" spans="2:19">
      <c r="K1316" s="106"/>
      <c r="L1316" s="62"/>
    </row>
    <row r="1317" spans="2:19">
      <c r="L1317" s="62"/>
    </row>
    <row r="1318" spans="2:19">
      <c r="L1318" s="62"/>
    </row>
    <row r="1319" spans="2:19">
      <c r="L1319" s="62"/>
    </row>
    <row r="1320" spans="2:19">
      <c r="L1320" s="62"/>
    </row>
    <row r="1321" spans="2:19">
      <c r="L1321" s="62"/>
    </row>
    <row r="1322" spans="2:19">
      <c r="L1322" s="62"/>
    </row>
    <row r="1323" ht="15" spans="2:19">
      <c r="B1323" s="143"/>
      <c r="E1323" s="143"/>
      <c r="F1323" s="143"/>
      <c r="G1323" s="143"/>
      <c r="H1323" s="143"/>
      <c r="I1323" s="143"/>
      <c r="J1323" s="143"/>
      <c r="K1323" s="143"/>
      <c r="L1323" s="143"/>
      <c r="M1323" s="143"/>
      <c r="O1323" s="143"/>
      <c r="P1323" s="143"/>
      <c r="Q1323" s="143"/>
      <c r="R1323" s="143"/>
      <c r="S1323" s="144"/>
    </row>
    <row r="1324" ht="15" spans="2:19">
      <c r="B1324" s="143"/>
      <c r="E1324" s="143"/>
      <c r="F1324" s="143"/>
      <c r="G1324" s="143"/>
      <c r="H1324" s="143"/>
      <c r="I1324" s="143"/>
      <c r="J1324" s="143"/>
      <c r="K1324" s="143"/>
      <c r="L1324" s="143"/>
      <c r="M1324" s="143"/>
      <c r="O1324" s="143"/>
      <c r="P1324" s="143"/>
      <c r="Q1324" s="143"/>
      <c r="R1324" s="143"/>
      <c r="S1324" s="144"/>
    </row>
    <row r="1325" ht="15" spans="2:19">
      <c r="B1325" s="143"/>
      <c r="E1325" s="143"/>
      <c r="F1325" s="143"/>
      <c r="G1325" s="143"/>
      <c r="H1325" s="143"/>
      <c r="I1325" s="143"/>
      <c r="J1325" s="143"/>
      <c r="K1325" s="143"/>
      <c r="L1325" s="143"/>
      <c r="M1325" s="143"/>
      <c r="O1325" s="143"/>
      <c r="P1325" s="143"/>
      <c r="Q1325" s="143"/>
      <c r="R1325" s="143"/>
      <c r="S1325" s="144"/>
    </row>
    <row r="1326" ht="15" spans="2:19">
      <c r="B1326" s="143"/>
      <c r="E1326" s="143"/>
      <c r="F1326" s="143"/>
      <c r="G1326" s="143"/>
      <c r="H1326" s="143"/>
      <c r="I1326" s="143"/>
      <c r="J1326" s="143"/>
      <c r="K1326" s="143"/>
      <c r="L1326" s="143"/>
      <c r="M1326" s="143"/>
      <c r="O1326" s="143"/>
      <c r="P1326" s="143"/>
      <c r="Q1326" s="143"/>
      <c r="R1326" s="143"/>
      <c r="S1326" s="144"/>
    </row>
    <row r="1327" ht="15" spans="2:19">
      <c r="B1327" s="143"/>
      <c r="E1327" s="143"/>
      <c r="F1327" s="143"/>
      <c r="G1327" s="143"/>
      <c r="H1327" s="143"/>
      <c r="I1327" s="143"/>
      <c r="J1327" s="143"/>
      <c r="K1327" s="143"/>
      <c r="L1327" s="143"/>
      <c r="M1327" s="143"/>
      <c r="O1327" s="143"/>
      <c r="P1327" s="143"/>
      <c r="Q1327" s="143"/>
      <c r="R1327" s="143"/>
      <c r="S1327" s="144"/>
    </row>
    <row r="1328" ht="15" spans="2:19">
      <c r="B1328" s="143"/>
      <c r="E1328" s="143"/>
      <c r="F1328" s="143"/>
      <c r="G1328" s="143"/>
      <c r="H1328" s="143"/>
      <c r="I1328" s="143"/>
      <c r="J1328" s="143"/>
      <c r="K1328" s="143"/>
      <c r="L1328" s="143"/>
      <c r="M1328" s="143"/>
      <c r="O1328" s="143"/>
      <c r="P1328" s="143"/>
      <c r="Q1328" s="143"/>
      <c r="R1328" s="143"/>
      <c r="S1328" s="144"/>
    </row>
    <row r="1329" ht="15" spans="2:19">
      <c r="B1329" s="143"/>
      <c r="E1329" s="143"/>
      <c r="F1329" s="143"/>
      <c r="G1329" s="143"/>
      <c r="H1329" s="143"/>
      <c r="I1329" s="143"/>
      <c r="J1329" s="143"/>
      <c r="K1329" s="143"/>
      <c r="L1329" s="143"/>
      <c r="M1329" s="143"/>
      <c r="O1329" s="143"/>
      <c r="P1329" s="143"/>
      <c r="Q1329" s="143"/>
      <c r="R1329" s="143"/>
      <c r="S1329" s="144"/>
    </row>
    <row r="1330" ht="15" spans="2:19">
      <c r="B1330" s="143"/>
      <c r="E1330" s="143"/>
      <c r="F1330" s="143"/>
      <c r="G1330" s="143"/>
      <c r="H1330" s="143"/>
      <c r="I1330" s="143"/>
      <c r="J1330" s="143"/>
      <c r="K1330" s="143"/>
      <c r="L1330" s="143"/>
      <c r="M1330" s="143"/>
      <c r="O1330" s="143"/>
      <c r="P1330" s="143"/>
      <c r="Q1330" s="143"/>
      <c r="R1330" s="143"/>
      <c r="S1330" s="144"/>
    </row>
    <row r="1331" ht="15" spans="2:19">
      <c r="B1331" s="143"/>
      <c r="E1331" s="143"/>
      <c r="F1331" s="143"/>
      <c r="G1331" s="143"/>
      <c r="H1331" s="143"/>
      <c r="I1331" s="143"/>
      <c r="J1331" s="143"/>
      <c r="K1331" s="143"/>
      <c r="L1331" s="143"/>
      <c r="M1331" s="143"/>
      <c r="O1331" s="143"/>
      <c r="P1331" s="143"/>
      <c r="Q1331" s="143"/>
      <c r="R1331" s="143"/>
      <c r="S1331" s="144"/>
    </row>
    <row r="1332" ht="15" spans="2:19">
      <c r="B1332" s="143"/>
      <c r="E1332" s="143"/>
      <c r="F1332" s="143"/>
      <c r="G1332" s="143"/>
      <c r="H1332" s="143"/>
      <c r="I1332" s="143"/>
      <c r="J1332" s="143"/>
      <c r="K1332" s="143"/>
      <c r="L1332" s="143"/>
      <c r="M1332" s="143"/>
      <c r="O1332" s="143"/>
      <c r="P1332" s="143"/>
      <c r="Q1332" s="143"/>
      <c r="R1332" s="143"/>
      <c r="S1332" s="144"/>
    </row>
    <row r="1333" ht="15" spans="2:19">
      <c r="B1333" s="143"/>
      <c r="E1333" s="143"/>
      <c r="F1333" s="143"/>
      <c r="G1333" s="143"/>
      <c r="H1333" s="143"/>
      <c r="I1333" s="143"/>
      <c r="J1333" s="143"/>
      <c r="K1333" s="143"/>
      <c r="L1333" s="143"/>
      <c r="M1333" s="143"/>
      <c r="O1333" s="143"/>
      <c r="P1333" s="143"/>
      <c r="Q1333" s="143"/>
      <c r="R1333" s="143"/>
      <c r="S1333" s="144"/>
    </row>
    <row r="1334" ht="15" spans="2:19">
      <c r="B1334" s="143"/>
      <c r="E1334" s="143"/>
      <c r="F1334" s="143"/>
      <c r="G1334" s="143"/>
      <c r="H1334" s="143"/>
      <c r="I1334" s="143"/>
      <c r="J1334" s="143"/>
      <c r="K1334" s="143"/>
      <c r="L1334" s="143"/>
      <c r="M1334" s="143"/>
      <c r="O1334" s="143"/>
      <c r="P1334" s="143"/>
      <c r="Q1334" s="143"/>
      <c r="R1334" s="143"/>
      <c r="S1334" s="144"/>
    </row>
    <row r="1335" ht="15" spans="2:19">
      <c r="B1335" s="143"/>
      <c r="E1335" s="143"/>
      <c r="F1335" s="143"/>
      <c r="G1335" s="143"/>
      <c r="H1335" s="143"/>
      <c r="I1335" s="143"/>
      <c r="J1335" s="143"/>
      <c r="K1335" s="143"/>
      <c r="L1335" s="143"/>
      <c r="M1335" s="143"/>
      <c r="O1335" s="143"/>
      <c r="P1335" s="143"/>
      <c r="Q1335" s="143"/>
      <c r="R1335" s="143"/>
      <c r="S1335" s="144"/>
    </row>
    <row r="1336" ht="15" spans="2:19">
      <c r="B1336" s="143"/>
      <c r="E1336" s="143"/>
      <c r="F1336" s="143"/>
      <c r="G1336" s="143"/>
      <c r="H1336" s="143"/>
      <c r="I1336" s="143"/>
      <c r="J1336" s="143"/>
      <c r="K1336" s="143"/>
      <c r="L1336" s="143"/>
      <c r="M1336" s="143"/>
      <c r="O1336" s="143"/>
      <c r="P1336" s="143"/>
      <c r="Q1336" s="143"/>
      <c r="R1336" s="143"/>
      <c r="S1336" s="144"/>
    </row>
    <row r="1337" ht="15" spans="2:19">
      <c r="B1337" s="143"/>
      <c r="E1337" s="143"/>
      <c r="F1337" s="143"/>
      <c r="G1337" s="143"/>
      <c r="H1337" s="143"/>
      <c r="I1337" s="143"/>
      <c r="J1337" s="143"/>
      <c r="K1337" s="143"/>
      <c r="L1337" s="143"/>
      <c r="M1337" s="143"/>
      <c r="O1337" s="143"/>
      <c r="P1337" s="143"/>
      <c r="Q1337" s="143"/>
      <c r="R1337" s="143"/>
      <c r="S1337" s="144"/>
    </row>
    <row r="1338" ht="15" spans="2:19">
      <c r="B1338" s="143"/>
      <c r="E1338" s="143"/>
      <c r="F1338" s="143"/>
      <c r="G1338" s="143"/>
      <c r="H1338" s="143"/>
      <c r="I1338" s="143"/>
      <c r="J1338" s="143"/>
      <c r="K1338" s="143"/>
      <c r="L1338" s="143"/>
      <c r="M1338" s="143"/>
      <c r="O1338" s="143"/>
      <c r="P1338" s="143"/>
      <c r="Q1338" s="143"/>
      <c r="R1338" s="143"/>
      <c r="S1338" s="144"/>
    </row>
    <row r="1339" ht="15" spans="2:19">
      <c r="B1339" s="143"/>
      <c r="E1339" s="143"/>
      <c r="F1339" s="143"/>
      <c r="G1339" s="143"/>
      <c r="H1339" s="143"/>
      <c r="I1339" s="145"/>
      <c r="J1339" s="143"/>
      <c r="K1339" s="143"/>
      <c r="L1339" s="143"/>
      <c r="M1339" s="143"/>
      <c r="O1339" s="143"/>
      <c r="P1339" s="143"/>
      <c r="Q1339" s="143"/>
      <c r="R1339" s="145"/>
      <c r="S1339" s="144"/>
    </row>
    <row r="1340" ht="15" spans="2:19">
      <c r="B1340" s="143"/>
      <c r="E1340" s="143"/>
      <c r="F1340" s="143"/>
      <c r="G1340" s="143"/>
      <c r="H1340" s="143"/>
      <c r="J1340" s="143"/>
      <c r="K1340" s="143"/>
      <c r="L1340" s="143"/>
      <c r="M1340" s="143"/>
      <c r="P1340" s="143"/>
      <c r="Q1340" s="143"/>
      <c r="S1340" s="94"/>
    </row>
    <row r="1341" ht="15" spans="2:19">
      <c r="B1341" s="143"/>
      <c r="E1341" s="143"/>
      <c r="F1341" s="143"/>
      <c r="J1341" s="143"/>
      <c r="L1341" s="143"/>
      <c r="M1341" s="143"/>
    </row>
    <row r="1342" ht="15" spans="2:19">
      <c r="B1342" s="143"/>
      <c r="E1342" s="143"/>
      <c r="F1342" s="143"/>
      <c r="J1342" s="143"/>
      <c r="L1342" s="143"/>
    </row>
    <row r="1343" ht="15" spans="2:19">
      <c r="B1343" s="143"/>
      <c r="E1343" s="143"/>
      <c r="F1343" s="143"/>
      <c r="J1343" s="143"/>
      <c r="L1343" s="143"/>
    </row>
    <row r="1344" ht="15" spans="2:19">
      <c r="B1344" s="143"/>
      <c r="E1344" s="143"/>
      <c r="F1344" s="143"/>
      <c r="J1344" s="143"/>
      <c r="L1344" s="143"/>
    </row>
    <row r="1345" ht="15" spans="2:19">
      <c r="B1345" s="143"/>
      <c r="E1345" s="143"/>
      <c r="F1345" s="143"/>
      <c r="J1345" s="143"/>
      <c r="L1345" s="143"/>
    </row>
    <row r="1346" ht="15" spans="2:19">
      <c r="B1346" s="143"/>
      <c r="E1346" s="143"/>
      <c r="F1346" s="143"/>
      <c r="J1346" s="143"/>
      <c r="L1346" s="143"/>
    </row>
    <row r="1347" ht="15" spans="2:19">
      <c r="B1347" s="143"/>
      <c r="E1347" s="143"/>
      <c r="F1347" s="143"/>
      <c r="J1347" s="143"/>
      <c r="L1347" s="143"/>
    </row>
    <row r="1348" ht="15" spans="2:19">
      <c r="B1348" s="143"/>
      <c r="E1348" s="143"/>
      <c r="F1348" s="143"/>
      <c r="J1348" s="143"/>
      <c r="L1348" s="143"/>
    </row>
    <row r="1349" ht="15" spans="2:19">
      <c r="B1349" s="143"/>
      <c r="E1349" s="143"/>
      <c r="F1349" s="143"/>
      <c r="J1349" s="143"/>
      <c r="L1349" s="143"/>
    </row>
    <row r="1350" ht="15" spans="2:19">
      <c r="B1350" s="143"/>
      <c r="E1350" s="143"/>
      <c r="F1350" s="143"/>
      <c r="J1350" s="143"/>
      <c r="L1350" s="143"/>
    </row>
    <row r="1351" ht="15" spans="2:19">
      <c r="B1351" s="143"/>
      <c r="E1351" s="143"/>
      <c r="F1351" s="143"/>
      <c r="J1351" s="143"/>
      <c r="L1351" s="143"/>
      <c r="S1351" s="94"/>
    </row>
    <row r="1352" ht="15" spans="2:19">
      <c r="B1352" s="143"/>
      <c r="E1352" s="143"/>
      <c r="F1352" s="143"/>
      <c r="J1352" s="143"/>
      <c r="L1352" s="143"/>
      <c r="S1352" s="92"/>
    </row>
    <row r="1353" ht="15" spans="2:19">
      <c r="B1353" s="143"/>
      <c r="E1353" s="146"/>
      <c r="F1353" s="143"/>
      <c r="J1353" s="143"/>
      <c r="K1353" s="84"/>
      <c r="L1353" s="143"/>
      <c r="O1353" s="133"/>
    </row>
    <row r="1354" ht="15" spans="2:19">
      <c r="B1354" s="143"/>
      <c r="E1354" s="143"/>
      <c r="F1354" s="143"/>
      <c r="J1354" s="143"/>
      <c r="L1354" s="143"/>
      <c r="S1354" s="94"/>
    </row>
    <row r="1355" ht="15" spans="2:19">
      <c r="B1355" s="143"/>
      <c r="E1355" s="143"/>
      <c r="F1355" s="143"/>
      <c r="J1355" s="143"/>
      <c r="L1355" s="143"/>
      <c r="S1355" s="92"/>
    </row>
    <row r="1356" ht="15" spans="2:19">
      <c r="B1356" s="143"/>
      <c r="E1356" s="143"/>
      <c r="F1356" s="143"/>
      <c r="J1356" s="143"/>
      <c r="L1356" s="143"/>
    </row>
    <row r="1357" ht="15" spans="2:19">
      <c r="B1357" s="143"/>
      <c r="E1357" s="143"/>
      <c r="F1357" s="143"/>
      <c r="J1357" s="143"/>
      <c r="L1357" s="143"/>
    </row>
    <row r="1358" ht="15" spans="2:19">
      <c r="B1358" s="143"/>
      <c r="E1358" s="143"/>
      <c r="F1358" s="143"/>
      <c r="J1358" s="143"/>
      <c r="K1358" s="84"/>
      <c r="L1358" s="143"/>
      <c r="O1358" s="133"/>
    </row>
    <row r="1359" ht="15" spans="2:19">
      <c r="B1359" s="143"/>
      <c r="E1359" s="143"/>
      <c r="F1359" s="143"/>
      <c r="J1359" s="143"/>
      <c r="K1359" s="84"/>
      <c r="L1359" s="143"/>
      <c r="O1359" s="133"/>
    </row>
    <row r="1360" ht="15" spans="2:19">
      <c r="B1360" s="143"/>
      <c r="E1360" s="143"/>
      <c r="F1360" s="143"/>
      <c r="J1360" s="143"/>
      <c r="L1360" s="143"/>
    </row>
    <row r="1361" ht="15" spans="2:19">
      <c r="B1361" s="143"/>
      <c r="E1361" s="143"/>
      <c r="F1361" s="143"/>
      <c r="J1361" s="143"/>
      <c r="L1361" s="143"/>
    </row>
    <row r="1362" ht="15" spans="2:19">
      <c r="B1362" s="143"/>
      <c r="E1362" s="143"/>
      <c r="F1362" s="143"/>
      <c r="J1362" s="143"/>
      <c r="L1362" s="143"/>
    </row>
    <row r="1363" ht="15" spans="2:19">
      <c r="B1363" s="143"/>
      <c r="E1363" s="143"/>
      <c r="F1363" s="143"/>
      <c r="J1363" s="143"/>
      <c r="L1363" s="143"/>
    </row>
    <row r="1364" ht="15" spans="2:19">
      <c r="B1364" s="143"/>
      <c r="E1364" s="143"/>
      <c r="F1364" s="143"/>
      <c r="J1364" s="143"/>
      <c r="K1364" s="84"/>
      <c r="L1364" s="143"/>
      <c r="O1364" s="133"/>
    </row>
    <row r="1365" ht="15" spans="2:19">
      <c r="B1365" s="143"/>
      <c r="E1365" s="146"/>
      <c r="F1365" s="143"/>
      <c r="H1365" s="90"/>
      <c r="I1365" s="90"/>
      <c r="J1365" s="143"/>
      <c r="L1365" s="143"/>
    </row>
    <row r="1366" ht="15" spans="2:19">
      <c r="B1366" s="143"/>
      <c r="E1366" s="146"/>
      <c r="F1366" s="143"/>
      <c r="H1366" s="90"/>
      <c r="I1366" s="90"/>
      <c r="J1366" s="143"/>
      <c r="L1366" s="143"/>
    </row>
    <row r="1367" ht="15" spans="2:19">
      <c r="B1367" s="143"/>
      <c r="C1367" s="163"/>
      <c r="E1367" s="147"/>
      <c r="F1367" s="143"/>
      <c r="G1367" s="92"/>
      <c r="H1367" s="92"/>
      <c r="I1367" s="92"/>
      <c r="J1367" s="143"/>
      <c r="K1367" s="148"/>
      <c r="L1367" s="143"/>
      <c r="M1367" s="92"/>
      <c r="N1367" s="92"/>
      <c r="O1367" s="149"/>
      <c r="P1367" s="92"/>
      <c r="Q1367" s="92"/>
      <c r="R1367" s="148"/>
      <c r="S1367" s="95"/>
    </row>
    <row r="1368" ht="15" spans="2:19">
      <c r="B1368" s="143"/>
      <c r="C1368" s="163"/>
      <c r="E1368" s="147"/>
      <c r="F1368" s="143"/>
      <c r="G1368" s="92"/>
      <c r="H1368" s="92"/>
      <c r="J1368" s="143"/>
      <c r="K1368" s="148"/>
      <c r="L1368" s="143"/>
      <c r="N1368" s="92"/>
      <c r="O1368" s="149"/>
      <c r="P1368" s="92"/>
      <c r="Q1368" s="92"/>
      <c r="S1368" s="92"/>
    </row>
    <row r="1369" ht="15" spans="2:19">
      <c r="B1369" s="143"/>
      <c r="C1369" s="163"/>
      <c r="E1369" s="147"/>
      <c r="F1369" s="143"/>
      <c r="G1369" s="92"/>
      <c r="J1369" s="143"/>
      <c r="K1369" s="148"/>
      <c r="L1369" s="143"/>
      <c r="M1369" s="92"/>
      <c r="N1369" s="92"/>
      <c r="P1369" s="92"/>
      <c r="Q1369" s="92"/>
    </row>
    <row r="1370" ht="15" spans="2:19">
      <c r="B1370" s="143"/>
      <c r="C1370" s="163"/>
      <c r="E1370" s="147"/>
      <c r="F1370" s="143"/>
      <c r="J1370" s="143"/>
      <c r="L1370" s="143"/>
      <c r="N1370" s="92"/>
      <c r="P1370" s="92"/>
      <c r="Q1370" s="92"/>
    </row>
    <row r="1371" ht="15" spans="2:19">
      <c r="B1371" s="143"/>
      <c r="C1371" s="163"/>
      <c r="E1371" s="147"/>
      <c r="F1371" s="143"/>
      <c r="J1371" s="143"/>
      <c r="L1371" s="143"/>
      <c r="N1371" s="92"/>
      <c r="P1371" s="92"/>
      <c r="Q1371" s="92"/>
    </row>
    <row r="1372" ht="15" spans="2:19">
      <c r="B1372" s="143"/>
      <c r="C1372" s="163"/>
      <c r="E1372" s="147"/>
      <c r="F1372" s="143"/>
      <c r="J1372" s="143"/>
      <c r="L1372" s="143"/>
      <c r="N1372" s="92"/>
      <c r="P1372" s="92"/>
      <c r="Q1372" s="92"/>
    </row>
    <row r="1373" ht="15" spans="2:19">
      <c r="B1373" s="143"/>
      <c r="C1373" s="163"/>
      <c r="E1373" s="147"/>
      <c r="F1373" s="143"/>
      <c r="J1373" s="143"/>
      <c r="L1373" s="143"/>
      <c r="N1373" s="92"/>
      <c r="P1373" s="92"/>
      <c r="Q1373" s="92"/>
    </row>
    <row r="1374" ht="15" spans="2:19">
      <c r="B1374" s="143"/>
      <c r="C1374" s="163"/>
      <c r="E1374" s="147"/>
      <c r="F1374" s="143"/>
      <c r="J1374" s="143"/>
      <c r="L1374" s="143"/>
      <c r="N1374" s="92"/>
      <c r="P1374" s="92"/>
      <c r="Q1374" s="92"/>
    </row>
    <row r="1375" ht="15" spans="2:19">
      <c r="B1375" s="143"/>
      <c r="C1375" s="163"/>
      <c r="E1375" s="147"/>
      <c r="F1375" s="143"/>
      <c r="J1375" s="143"/>
      <c r="L1375" s="143"/>
      <c r="N1375" s="92"/>
      <c r="P1375" s="92"/>
      <c r="Q1375" s="92"/>
    </row>
    <row r="1376" ht="15" spans="2:19">
      <c r="B1376" s="143"/>
      <c r="E1376" s="150"/>
      <c r="F1376" s="143"/>
      <c r="J1376" s="143"/>
      <c r="K1376" s="84"/>
      <c r="L1376" s="143"/>
      <c r="N1376" s="92"/>
      <c r="O1376" s="133"/>
      <c r="P1376" s="92"/>
      <c r="Q1376" s="92"/>
    </row>
    <row r="1377" ht="15" spans="2:17">
      <c r="B1377" s="143"/>
      <c r="E1377" s="150"/>
      <c r="F1377" s="143"/>
      <c r="J1377" s="143"/>
      <c r="L1377" s="143"/>
      <c r="N1377" s="92"/>
      <c r="P1377" s="92"/>
      <c r="Q1377" s="92"/>
    </row>
    <row r="1378" ht="15" spans="2:17">
      <c r="B1378" s="143"/>
      <c r="E1378" s="150"/>
      <c r="F1378" s="143"/>
      <c r="H1378" s="61"/>
      <c r="I1378" s="61"/>
      <c r="J1378" s="143"/>
      <c r="L1378" s="143"/>
      <c r="N1378" s="92"/>
      <c r="P1378" s="92"/>
      <c r="Q1378" s="92"/>
    </row>
    <row r="1379" ht="15" spans="2:17">
      <c r="B1379" s="143"/>
      <c r="E1379" s="150"/>
      <c r="F1379" s="143"/>
      <c r="J1379" s="143"/>
      <c r="K1379" s="84"/>
      <c r="L1379" s="143"/>
      <c r="N1379" s="92"/>
      <c r="O1379" s="133"/>
      <c r="P1379" s="92"/>
      <c r="Q1379" s="92"/>
    </row>
    <row r="1380" ht="15" spans="2:17">
      <c r="B1380" s="143"/>
      <c r="E1380" s="150"/>
      <c r="F1380" s="143"/>
      <c r="J1380" s="143"/>
      <c r="L1380" s="143"/>
      <c r="N1380" s="92"/>
      <c r="P1380" s="92"/>
      <c r="Q1380" s="92"/>
    </row>
    <row r="1381" ht="15" spans="2:17">
      <c r="B1381" s="143"/>
      <c r="E1381" s="151"/>
      <c r="F1381" s="143"/>
      <c r="J1381" s="143"/>
      <c r="L1381" s="143"/>
      <c r="P1381" s="92"/>
      <c r="Q1381" s="92"/>
    </row>
    <row r="1382" ht="15" spans="2:17">
      <c r="B1382" s="143"/>
      <c r="E1382" s="151"/>
      <c r="F1382" s="143"/>
      <c r="J1382" s="143"/>
      <c r="L1382" s="143"/>
      <c r="P1382" s="92"/>
      <c r="Q1382" s="92"/>
    </row>
    <row r="1383" ht="15" spans="2:17">
      <c r="B1383" s="143"/>
      <c r="E1383" s="151"/>
      <c r="F1383" s="143"/>
      <c r="J1383" s="143"/>
      <c r="L1383" s="143"/>
      <c r="P1383" s="92"/>
      <c r="Q1383" s="92"/>
    </row>
    <row r="1384" ht="15" spans="2:17">
      <c r="B1384" s="143"/>
      <c r="E1384" s="151"/>
      <c r="F1384" s="143"/>
      <c r="J1384" s="143"/>
      <c r="L1384" s="143"/>
      <c r="P1384" s="92"/>
      <c r="Q1384" s="92"/>
    </row>
    <row r="1385" ht="15" spans="2:17">
      <c r="B1385" s="143"/>
      <c r="E1385" s="151"/>
      <c r="F1385" s="143"/>
      <c r="J1385" s="143"/>
      <c r="L1385" s="143"/>
      <c r="P1385" s="92"/>
      <c r="Q1385" s="92"/>
    </row>
    <row r="1386" ht="15" spans="2:17">
      <c r="B1386" s="143"/>
      <c r="E1386" s="151"/>
      <c r="F1386" s="143"/>
      <c r="J1386" s="143"/>
      <c r="L1386" s="143"/>
      <c r="P1386" s="92"/>
      <c r="Q1386" s="92"/>
    </row>
    <row r="1387" ht="15" spans="2:17">
      <c r="B1387" s="143"/>
      <c r="E1387" s="151"/>
      <c r="F1387" s="143"/>
      <c r="J1387" s="143"/>
      <c r="L1387" s="143"/>
    </row>
    <row r="1388" ht="15" spans="2:17">
      <c r="B1388" s="143"/>
      <c r="E1388" s="151"/>
      <c r="F1388" s="143"/>
      <c r="J1388" s="143"/>
      <c r="L1388" s="143"/>
    </row>
    <row r="1389" ht="15" spans="2:17">
      <c r="B1389" s="143"/>
      <c r="E1389" s="151"/>
      <c r="F1389" s="143"/>
      <c r="J1389" s="143"/>
      <c r="L1389" s="143"/>
    </row>
    <row r="1390" ht="15" spans="2:17">
      <c r="B1390" s="143"/>
      <c r="E1390" s="151"/>
      <c r="F1390" s="143"/>
      <c r="J1390" s="143"/>
      <c r="L1390" s="143"/>
    </row>
    <row r="1391" spans="2:17">
      <c r="C1391" s="164"/>
      <c r="D1391" s="142"/>
      <c r="E1391" s="142"/>
      <c r="J1391" s="142"/>
      <c r="L1391" s="165"/>
    </row>
    <row r="1392" spans="2:17">
      <c r="C1392" s="164"/>
      <c r="D1392" s="142"/>
      <c r="E1392" s="142"/>
      <c r="J1392" s="142"/>
      <c r="L1392" s="165"/>
    </row>
    <row r="1393" spans="3:12">
      <c r="C1393" s="164"/>
      <c r="D1393" s="142"/>
      <c r="E1393" s="142"/>
      <c r="J1393" s="142"/>
      <c r="L1393" s="165"/>
    </row>
    <row r="1394" spans="3:12">
      <c r="C1394" s="164"/>
      <c r="D1394" s="142"/>
      <c r="E1394" s="142"/>
      <c r="J1394" s="142"/>
      <c r="L1394" s="165"/>
    </row>
    <row r="1395" spans="3:12">
      <c r="C1395" s="164"/>
      <c r="D1395" s="142"/>
      <c r="E1395" s="142"/>
      <c r="J1395" s="142"/>
      <c r="L1395" s="165"/>
    </row>
    <row r="1396" spans="3:12">
      <c r="C1396" s="164"/>
      <c r="D1396" s="142"/>
      <c r="E1396" s="142"/>
      <c r="J1396" s="142"/>
      <c r="L1396" s="165"/>
    </row>
    <row r="1397" spans="3:12">
      <c r="C1397" s="164"/>
      <c r="D1397" s="142"/>
      <c r="E1397" s="142"/>
      <c r="J1397" s="142"/>
      <c r="L1397" s="165"/>
    </row>
    <row r="1398" spans="3:12">
      <c r="C1398" s="164"/>
      <c r="D1398" s="142"/>
      <c r="E1398" s="142"/>
      <c r="J1398" s="142"/>
      <c r="L1398" s="165"/>
    </row>
    <row r="1399" spans="3:12">
      <c r="C1399" s="164"/>
      <c r="D1399" s="142"/>
      <c r="E1399" s="142"/>
      <c r="J1399" s="142"/>
      <c r="L1399" s="165"/>
    </row>
    <row r="1400" spans="3:12">
      <c r="C1400" s="164"/>
      <c r="D1400" s="142"/>
      <c r="E1400" s="142"/>
      <c r="J1400" s="142"/>
      <c r="L1400" s="165"/>
    </row>
    <row r="1401" spans="3:12">
      <c r="C1401" s="164"/>
      <c r="D1401" s="142"/>
      <c r="E1401" s="142"/>
      <c r="J1401" s="142"/>
      <c r="L1401" s="165"/>
    </row>
    <row r="1402" spans="3:12">
      <c r="C1402" s="164"/>
      <c r="D1402" s="142"/>
      <c r="E1402" s="142"/>
      <c r="J1402" s="142"/>
      <c r="L1402" s="165"/>
    </row>
    <row r="1403" spans="3:12">
      <c r="C1403" s="164"/>
      <c r="D1403" s="142"/>
      <c r="E1403" s="142"/>
      <c r="J1403" s="142"/>
      <c r="L1403" s="165"/>
    </row>
    <row r="1404" spans="3:12">
      <c r="C1404" s="164"/>
      <c r="D1404" s="142"/>
      <c r="E1404" s="142"/>
      <c r="J1404" s="142"/>
      <c r="L1404" s="165"/>
    </row>
    <row r="1405" spans="3:12">
      <c r="C1405" s="164"/>
      <c r="D1405" s="142"/>
      <c r="E1405" s="142"/>
      <c r="J1405" s="142"/>
      <c r="L1405" s="165"/>
    </row>
    <row r="1406" spans="3:12">
      <c r="C1406" s="164"/>
      <c r="D1406" s="142"/>
      <c r="E1406" s="142"/>
      <c r="J1406" s="142"/>
      <c r="L1406" s="165"/>
    </row>
    <row r="1407" spans="3:12">
      <c r="C1407" s="164"/>
      <c r="D1407" s="142"/>
      <c r="E1407" s="142"/>
      <c r="J1407" s="142"/>
    </row>
    <row r="1408" spans="3:12">
      <c r="C1408" s="164"/>
      <c r="D1408" s="142"/>
      <c r="E1408" s="142"/>
      <c r="J1408" s="142"/>
    </row>
    <row r="1409" spans="3:10">
      <c r="C1409" s="164"/>
      <c r="D1409" s="142"/>
      <c r="E1409" s="142"/>
      <c r="J1409" s="142"/>
    </row>
    <row r="1410" spans="3:10">
      <c r="C1410" s="164"/>
      <c r="D1410" s="142"/>
      <c r="E1410" s="142"/>
      <c r="J1410" s="142"/>
    </row>
    <row r="1411" spans="3:10">
      <c r="C1411" s="164"/>
      <c r="D1411" s="142"/>
      <c r="E1411" s="142"/>
      <c r="J1411" s="142"/>
    </row>
    <row r="1412" spans="3:10">
      <c r="C1412" s="164"/>
      <c r="D1412" s="142"/>
      <c r="E1412" s="142"/>
      <c r="J1412" s="142"/>
    </row>
    <row r="1413" spans="3:10">
      <c r="C1413" s="164"/>
      <c r="D1413" s="142"/>
      <c r="E1413" s="142"/>
      <c r="J1413" s="142"/>
    </row>
    <row r="1414" spans="3:10">
      <c r="C1414" s="164"/>
      <c r="D1414" s="142"/>
      <c r="E1414" s="142"/>
      <c r="J1414" s="142"/>
    </row>
    <row r="1415" spans="3:10">
      <c r="C1415" s="164"/>
      <c r="D1415" s="142"/>
      <c r="E1415" s="142"/>
      <c r="J1415" s="142"/>
    </row>
    <row r="1416" spans="3:10">
      <c r="C1416" s="164"/>
      <c r="D1416" s="142"/>
      <c r="E1416" s="142"/>
      <c r="J1416" s="142"/>
    </row>
    <row r="1417" spans="3:10">
      <c r="C1417" s="164"/>
      <c r="D1417" s="142"/>
      <c r="E1417" s="142"/>
      <c r="J1417" s="142"/>
    </row>
    <row r="1418" spans="3:10">
      <c r="C1418" s="164"/>
      <c r="D1418" s="142"/>
      <c r="E1418" s="142"/>
      <c r="J1418" s="142"/>
    </row>
    <row r="1419" spans="3:10">
      <c r="C1419" s="164"/>
      <c r="D1419" s="142"/>
      <c r="E1419" s="142"/>
      <c r="J1419" s="142"/>
    </row>
    <row r="1420" spans="3:10">
      <c r="C1420" s="164"/>
      <c r="D1420" s="142"/>
      <c r="E1420" s="142"/>
    </row>
    <row r="1421" spans="3:10">
      <c r="C1421" s="164"/>
      <c r="D1421" s="142"/>
      <c r="E1421" s="142"/>
      <c r="J1421" s="142"/>
    </row>
    <row r="1422" spans="3:10">
      <c r="C1422" s="164"/>
      <c r="D1422" s="142"/>
      <c r="E1422" s="142"/>
      <c r="J1422" s="142"/>
    </row>
    <row r="1423" spans="3:10">
      <c r="C1423" s="164"/>
      <c r="D1423" s="142"/>
      <c r="E1423" s="142"/>
      <c r="J1423" s="142"/>
    </row>
    <row r="1424" spans="3:10">
      <c r="C1424" s="164"/>
      <c r="D1424" s="142"/>
      <c r="E1424" s="142"/>
      <c r="J1424" s="142"/>
    </row>
    <row r="1425" spans="3:10">
      <c r="C1425" s="164"/>
      <c r="D1425" s="142"/>
      <c r="E1425" s="142"/>
      <c r="J1425" s="142"/>
    </row>
    <row r="1426" spans="3:10">
      <c r="C1426" s="164"/>
      <c r="D1426" s="142"/>
      <c r="E1426" s="142"/>
      <c r="J1426" s="142"/>
    </row>
    <row r="1427" spans="3:10">
      <c r="C1427" s="164"/>
      <c r="D1427" s="142"/>
      <c r="E1427" s="142"/>
      <c r="J1427" s="142"/>
    </row>
    <row r="1428" spans="3:10">
      <c r="C1428" s="164"/>
      <c r="D1428" s="142"/>
      <c r="E1428" s="142"/>
      <c r="J1428" s="142"/>
    </row>
    <row r="1429" spans="3:10">
      <c r="C1429" s="164"/>
      <c r="D1429" s="142"/>
      <c r="E1429" s="142"/>
      <c r="J1429" s="142"/>
    </row>
    <row r="1430" spans="3:10">
      <c r="C1430" s="164"/>
      <c r="D1430" s="142"/>
      <c r="E1430" s="142"/>
      <c r="J1430" s="142"/>
    </row>
    <row r="1431" spans="3:10">
      <c r="C1431" s="164"/>
      <c r="D1431" s="142"/>
      <c r="E1431" s="142"/>
      <c r="J1431" s="142"/>
    </row>
    <row r="1432" spans="3:10">
      <c r="C1432" s="164"/>
      <c r="D1432" s="142"/>
      <c r="E1432" s="142"/>
      <c r="J1432" s="142"/>
    </row>
    <row r="1433" spans="3:10">
      <c r="C1433" s="164"/>
      <c r="D1433" s="142"/>
      <c r="E1433" s="142"/>
      <c r="J1433" s="142"/>
    </row>
    <row r="1434" spans="3:10">
      <c r="C1434" s="164"/>
      <c r="D1434" s="142"/>
      <c r="E1434" s="142"/>
      <c r="J1434" s="142"/>
    </row>
    <row r="1435" spans="3:10">
      <c r="C1435" s="164"/>
      <c r="D1435" s="142"/>
      <c r="E1435" s="142"/>
      <c r="J1435" s="142"/>
    </row>
    <row r="1436" spans="3:10">
      <c r="C1436" s="164"/>
      <c r="D1436" s="142"/>
      <c r="E1436" s="142"/>
      <c r="J1436" s="142"/>
    </row>
    <row r="1437" spans="3:10">
      <c r="C1437" s="164"/>
      <c r="D1437" s="142"/>
      <c r="E1437" s="142"/>
      <c r="J1437" s="142"/>
    </row>
    <row r="1438" spans="3:10">
      <c r="C1438" s="164"/>
      <c r="D1438" s="142"/>
      <c r="E1438" s="142"/>
      <c r="J1438" s="142"/>
    </row>
    <row r="1439" spans="3:10">
      <c r="C1439" s="164"/>
      <c r="D1439" s="142"/>
      <c r="E1439" s="142"/>
      <c r="J1439" s="142"/>
    </row>
    <row r="1440" spans="3:10">
      <c r="C1440" s="164"/>
      <c r="D1440" s="142"/>
      <c r="E1440" s="142"/>
      <c r="J1440" s="142"/>
    </row>
    <row r="1441" spans="3:19">
      <c r="C1441" s="164"/>
      <c r="D1441" s="142"/>
      <c r="E1441" s="142"/>
      <c r="J1441" s="142"/>
    </row>
    <row r="1442" spans="3:19">
      <c r="C1442" s="164"/>
      <c r="D1442" s="142"/>
      <c r="E1442" s="142"/>
      <c r="J1442" s="142"/>
    </row>
    <row r="1443" spans="3:19">
      <c r="C1443" s="164"/>
      <c r="D1443" s="142"/>
      <c r="E1443" s="142"/>
      <c r="J1443" s="142"/>
    </row>
    <row r="1444" spans="3:19">
      <c r="C1444" s="164"/>
      <c r="D1444" s="142"/>
      <c r="E1444" s="142"/>
      <c r="J1444" s="142"/>
      <c r="S1444" s="61"/>
    </row>
    <row r="1445" spans="3:19">
      <c r="C1445" s="164"/>
      <c r="D1445" s="142"/>
      <c r="E1445" s="142"/>
      <c r="J1445" s="142"/>
      <c r="S1445" s="61"/>
    </row>
    <row r="1446" spans="3:19">
      <c r="C1446" s="164"/>
      <c r="D1446" s="142"/>
      <c r="E1446" s="142"/>
      <c r="J1446" s="142"/>
    </row>
    <row r="1447" spans="3:19">
      <c r="C1447" s="164"/>
      <c r="D1447" s="142"/>
      <c r="E1447" s="142"/>
      <c r="J1447" s="142"/>
    </row>
    <row r="1448" spans="3:19">
      <c r="C1448" s="164"/>
      <c r="D1448" s="142"/>
      <c r="E1448" s="142"/>
      <c r="J1448" s="142"/>
    </row>
    <row r="1449" spans="3:19">
      <c r="C1449" s="164"/>
      <c r="D1449" s="142"/>
      <c r="E1449" s="142"/>
      <c r="J1449" s="142"/>
    </row>
    <row r="1450" spans="3:19">
      <c r="C1450" s="164"/>
      <c r="D1450" s="142"/>
      <c r="E1450" s="142"/>
      <c r="J1450" s="142"/>
    </row>
    <row r="1451" spans="3:19">
      <c r="C1451" s="164"/>
      <c r="D1451" s="142"/>
      <c r="E1451" s="142"/>
      <c r="J1451" s="142"/>
    </row>
    <row r="1452" spans="3:19">
      <c r="C1452" s="164"/>
      <c r="D1452" s="142"/>
      <c r="E1452" s="142"/>
      <c r="J1452" s="142"/>
    </row>
    <row r="1453" spans="3:19">
      <c r="C1453" s="164"/>
      <c r="D1453" s="142"/>
      <c r="E1453" s="142"/>
      <c r="J1453" s="142"/>
    </row>
    <row r="1454" spans="3:19">
      <c r="C1454" s="164"/>
      <c r="D1454" s="142"/>
      <c r="E1454" s="142"/>
      <c r="S1454" s="94"/>
    </row>
    <row r="1455" spans="3:19">
      <c r="C1455" s="164"/>
      <c r="D1455" s="142"/>
      <c r="E1455" s="142"/>
      <c r="S1455" s="92"/>
    </row>
    <row r="1456" spans="3:19">
      <c r="C1456" s="164"/>
      <c r="D1456" s="142"/>
      <c r="E1456" s="142"/>
    </row>
    <row r="1457" spans="3:19">
      <c r="C1457" s="164"/>
      <c r="D1457" s="142"/>
      <c r="E1457" s="142"/>
      <c r="S1457" s="94"/>
    </row>
    <row r="1458" spans="3:19">
      <c r="C1458" s="164"/>
      <c r="D1458" s="142"/>
      <c r="E1458" s="142"/>
      <c r="S1458" s="92"/>
    </row>
    <row r="1459" spans="3:19">
      <c r="C1459" s="164"/>
      <c r="D1459" s="142"/>
      <c r="E1459" s="142"/>
    </row>
    <row r="1460" spans="3:19">
      <c r="C1460" s="164"/>
      <c r="D1460" s="142"/>
      <c r="E1460" s="142"/>
      <c r="S1460" s="94"/>
    </row>
    <row r="1461" spans="3:19">
      <c r="C1461" s="164"/>
      <c r="D1461" s="142"/>
      <c r="E1461" s="142"/>
      <c r="S1461" s="92"/>
    </row>
    <row r="1462" spans="3:19">
      <c r="C1462" s="164"/>
      <c r="D1462" s="142"/>
      <c r="E1462" s="142"/>
    </row>
    <row r="1463" spans="3:19">
      <c r="C1463" s="164"/>
      <c r="D1463" s="142"/>
      <c r="E1463" s="142"/>
    </row>
    <row r="1464" spans="3:19">
      <c r="C1464" s="164"/>
      <c r="D1464" s="142"/>
      <c r="E1464" s="142"/>
    </row>
    <row r="1465" spans="3:19">
      <c r="C1465" s="164"/>
      <c r="D1465" s="142"/>
      <c r="E1465" s="142"/>
    </row>
    <row r="1466" spans="3:19">
      <c r="C1466" s="164"/>
      <c r="D1466" s="142"/>
      <c r="E1466" s="142"/>
    </row>
    <row r="1467" spans="3:19">
      <c r="C1467" s="164"/>
      <c r="D1467" s="142"/>
      <c r="E1467" s="142"/>
    </row>
    <row r="1468" spans="3:19">
      <c r="C1468" s="164"/>
      <c r="D1468" s="142"/>
      <c r="E1468" s="142"/>
    </row>
    <row r="1469" spans="3:19">
      <c r="C1469" s="164"/>
      <c r="D1469" s="142"/>
      <c r="E1469" s="142"/>
    </row>
    <row r="1470" spans="3:19">
      <c r="C1470" s="164"/>
      <c r="D1470" s="142"/>
      <c r="E1470" s="142"/>
    </row>
    <row r="1471" spans="3:19">
      <c r="C1471" s="164"/>
      <c r="D1471" s="142"/>
      <c r="E1471" s="142"/>
    </row>
    <row r="1472" spans="3:19">
      <c r="C1472" s="164"/>
      <c r="D1472" s="142"/>
      <c r="E1472" s="142"/>
      <c r="K1472" s="135"/>
    </row>
    <row r="1473" spans="3:19">
      <c r="C1473" s="164"/>
      <c r="D1473" s="142"/>
      <c r="E1473" s="142"/>
    </row>
    <row r="1474" spans="3:19">
      <c r="C1474" s="164"/>
      <c r="D1474" s="142"/>
      <c r="E1474" s="142"/>
    </row>
    <row r="1475" spans="3:19">
      <c r="C1475" s="164"/>
      <c r="D1475" s="142"/>
      <c r="E1475" s="142"/>
    </row>
    <row r="1476" spans="3:19">
      <c r="C1476" s="164"/>
      <c r="D1476" s="142"/>
      <c r="E1476" s="142"/>
    </row>
    <row r="1477" spans="3:19">
      <c r="C1477" s="164"/>
      <c r="D1477" s="142"/>
      <c r="E1477" s="142"/>
    </row>
    <row r="1478" spans="3:19">
      <c r="C1478" s="164"/>
      <c r="D1478" s="142"/>
      <c r="E1478" s="142"/>
      <c r="S1478" s="94"/>
    </row>
    <row r="1479" spans="3:19">
      <c r="C1479" s="164"/>
      <c r="D1479" s="142"/>
      <c r="E1479" s="142"/>
      <c r="S1479" s="92"/>
    </row>
    <row r="1480" spans="3:19">
      <c r="C1480" s="164"/>
      <c r="D1480" s="142"/>
      <c r="E1480" s="142"/>
    </row>
    <row r="1481" spans="3:19">
      <c r="C1481" s="164"/>
      <c r="D1481" s="142"/>
      <c r="E1481" s="142"/>
    </row>
    <row r="1482" spans="3:19">
      <c r="C1482" s="164"/>
      <c r="D1482" s="142"/>
      <c r="E1482" s="142"/>
    </row>
    <row r="1483" spans="3:19">
      <c r="C1483" s="164"/>
      <c r="D1483" s="142"/>
      <c r="E1483" s="142"/>
      <c r="S1483" s="94"/>
    </row>
    <row r="1484" spans="3:19">
      <c r="C1484" s="164"/>
      <c r="D1484" s="142"/>
      <c r="E1484" s="142"/>
      <c r="S1484" s="92"/>
    </row>
    <row r="1485" spans="3:19">
      <c r="C1485" s="164"/>
      <c r="D1485" s="142"/>
      <c r="E1485" s="142"/>
    </row>
    <row r="1486" spans="3:19">
      <c r="C1486" s="164"/>
      <c r="D1486" s="142"/>
      <c r="E1486" s="142"/>
    </row>
    <row r="1487" spans="3:19">
      <c r="C1487" s="164"/>
      <c r="D1487" s="142"/>
      <c r="E1487" s="142"/>
    </row>
    <row r="1488" spans="3:19">
      <c r="C1488" s="164"/>
      <c r="D1488" s="142"/>
      <c r="E1488" s="142"/>
      <c r="S1488" s="94"/>
    </row>
    <row r="1489" spans="3:19">
      <c r="C1489" s="164"/>
      <c r="D1489" s="142"/>
      <c r="E1489" s="142"/>
      <c r="S1489" s="92"/>
    </row>
    <row r="1490" spans="3:19">
      <c r="C1490" s="164"/>
      <c r="D1490" s="142"/>
      <c r="E1490" s="142"/>
    </row>
    <row r="1491" spans="3:19">
      <c r="C1491" s="164"/>
      <c r="D1491" s="142"/>
      <c r="E1491" s="142"/>
    </row>
    <row r="1492" spans="3:19">
      <c r="C1492" s="164"/>
      <c r="D1492" s="142"/>
      <c r="E1492" s="142"/>
    </row>
    <row r="1493" spans="3:19">
      <c r="C1493" s="164"/>
      <c r="D1493" s="142"/>
      <c r="E1493" s="142"/>
      <c r="S1493" s="94"/>
    </row>
    <row r="1494" spans="3:19">
      <c r="C1494" s="164"/>
      <c r="D1494" s="142"/>
      <c r="E1494" s="142"/>
      <c r="S1494" s="92"/>
    </row>
    <row r="1495" spans="3:19">
      <c r="C1495" s="164"/>
      <c r="D1495" s="142"/>
      <c r="E1495" s="142"/>
    </row>
    <row r="1496" spans="3:19">
      <c r="C1496" s="164"/>
      <c r="D1496" s="142"/>
      <c r="E1496" s="142"/>
    </row>
    <row r="1497" spans="3:19">
      <c r="C1497" s="164"/>
      <c r="D1497" s="142"/>
      <c r="E1497" s="142"/>
    </row>
    <row r="1498" spans="3:19">
      <c r="C1498" s="164"/>
      <c r="D1498" s="142"/>
      <c r="E1498" s="142"/>
    </row>
    <row r="1499" spans="3:19">
      <c r="C1499" s="164"/>
      <c r="D1499" s="142"/>
      <c r="E1499" s="142"/>
    </row>
    <row r="1500" spans="3:19">
      <c r="C1500" s="164"/>
      <c r="D1500" s="142"/>
      <c r="E1500" s="142"/>
    </row>
    <row r="1501" spans="3:19">
      <c r="C1501" s="164"/>
      <c r="D1501" s="142"/>
      <c r="E1501" s="142"/>
    </row>
    <row r="1502" spans="3:19">
      <c r="C1502" s="164"/>
      <c r="D1502" s="142"/>
      <c r="E1502" s="142"/>
    </row>
    <row r="1503" spans="3:19">
      <c r="C1503" s="164"/>
      <c r="D1503" s="142"/>
      <c r="E1503" s="142"/>
    </row>
    <row r="1504" spans="3:19">
      <c r="C1504" s="164"/>
      <c r="D1504" s="142"/>
      <c r="E1504" s="142"/>
    </row>
    <row r="1505" spans="3:19">
      <c r="C1505" s="164"/>
      <c r="D1505" s="142"/>
      <c r="E1505" s="142"/>
    </row>
    <row r="1506" spans="3:19">
      <c r="C1506" s="164"/>
      <c r="D1506" s="142"/>
      <c r="E1506" s="142"/>
    </row>
    <row r="1507" spans="3:19">
      <c r="C1507" s="164"/>
      <c r="D1507" s="142"/>
      <c r="E1507" s="142"/>
    </row>
    <row r="1508" spans="3:19">
      <c r="C1508" s="164"/>
      <c r="D1508" s="142"/>
      <c r="E1508" s="142"/>
    </row>
    <row r="1509" spans="3:19">
      <c r="C1509" s="164"/>
      <c r="D1509" s="142"/>
      <c r="E1509" s="142"/>
    </row>
    <row r="1510" spans="3:19">
      <c r="C1510" s="164"/>
      <c r="D1510" s="142"/>
      <c r="E1510" s="142"/>
      <c r="S1510" s="94"/>
    </row>
    <row r="1511" spans="3:19">
      <c r="C1511" s="164"/>
      <c r="D1511" s="142"/>
      <c r="E1511" s="142"/>
      <c r="S1511" s="95"/>
    </row>
    <row r="1512" spans="3:19">
      <c r="C1512" s="164"/>
      <c r="D1512" s="142"/>
      <c r="E1512" s="142"/>
      <c r="S1512" s="92"/>
    </row>
    <row r="1513" spans="3:19">
      <c r="C1513" s="164"/>
      <c r="D1513" s="142"/>
      <c r="E1513" s="142"/>
    </row>
    <row r="1514" spans="3:19">
      <c r="C1514" s="164"/>
      <c r="D1514" s="142"/>
      <c r="E1514" s="142"/>
      <c r="S1514" s="94"/>
    </row>
    <row r="1515" spans="3:19">
      <c r="C1515" s="164"/>
      <c r="D1515" s="142"/>
      <c r="E1515" s="142"/>
      <c r="S1515" s="92"/>
    </row>
    <row r="1516" spans="3:19">
      <c r="C1516" s="164"/>
      <c r="D1516" s="142"/>
      <c r="E1516" s="142"/>
    </row>
    <row r="1517" spans="3:19">
      <c r="C1517" s="164"/>
      <c r="D1517" s="142"/>
      <c r="E1517" s="142"/>
    </row>
    <row r="1518" spans="3:19">
      <c r="C1518" s="164"/>
      <c r="D1518" s="142"/>
      <c r="E1518" s="142"/>
    </row>
    <row r="1519" spans="3:19">
      <c r="C1519" s="164"/>
      <c r="D1519" s="142"/>
      <c r="E1519" s="142"/>
    </row>
    <row r="1520" spans="3:19">
      <c r="C1520" s="164"/>
      <c r="D1520" s="142"/>
      <c r="E1520" s="142"/>
    </row>
    <row r="1521" spans="3:19">
      <c r="C1521" s="164"/>
      <c r="D1521" s="142"/>
      <c r="E1521" s="142"/>
    </row>
    <row r="1522" spans="3:19">
      <c r="C1522" s="164"/>
      <c r="D1522" s="142"/>
      <c r="E1522" s="142"/>
      <c r="S1522" s="94"/>
    </row>
    <row r="1523" spans="3:19">
      <c r="C1523" s="164"/>
      <c r="D1523" s="142"/>
      <c r="E1523" s="142"/>
      <c r="S1523" s="92"/>
    </row>
    <row r="1524" spans="3:19">
      <c r="C1524" s="164"/>
      <c r="D1524" s="142"/>
      <c r="E1524" s="142"/>
    </row>
    <row r="1525" spans="3:19">
      <c r="C1525" s="164"/>
      <c r="D1525" s="142"/>
      <c r="E1525" s="142"/>
    </row>
    <row r="1526" spans="3:19">
      <c r="C1526" s="164"/>
      <c r="D1526" s="142"/>
      <c r="E1526" s="142"/>
    </row>
    <row r="1527" spans="3:19">
      <c r="C1527" s="164"/>
      <c r="D1527" s="142"/>
      <c r="E1527" s="142"/>
    </row>
    <row r="1528" spans="3:19">
      <c r="C1528" s="164"/>
      <c r="D1528" s="142"/>
      <c r="E1528" s="142"/>
    </row>
    <row r="1529" spans="3:19">
      <c r="C1529" s="164"/>
      <c r="D1529" s="142"/>
      <c r="E1529" s="142"/>
      <c r="S1529" s="94"/>
    </row>
    <row r="1530" spans="3:19">
      <c r="C1530" s="164"/>
      <c r="D1530" s="142"/>
      <c r="E1530" s="142"/>
      <c r="S1530" s="92"/>
    </row>
    <row r="1531" spans="3:19">
      <c r="C1531" s="164"/>
      <c r="D1531" s="142"/>
      <c r="E1531" s="142"/>
    </row>
    <row r="1532" spans="3:19">
      <c r="C1532" s="164"/>
      <c r="D1532" s="142"/>
      <c r="E1532" s="142"/>
      <c r="S1532" s="94"/>
    </row>
    <row r="1533" spans="3:19">
      <c r="C1533" s="164"/>
      <c r="D1533" s="142"/>
      <c r="E1533" s="142"/>
      <c r="S1533" s="95"/>
    </row>
    <row r="1534" spans="3:19">
      <c r="C1534" s="164"/>
      <c r="D1534" s="142"/>
      <c r="E1534" s="142"/>
      <c r="S1534" s="95"/>
    </row>
    <row r="1535" spans="3:19">
      <c r="C1535" s="164"/>
      <c r="D1535" s="142"/>
      <c r="E1535" s="142"/>
      <c r="S1535" s="95"/>
    </row>
    <row r="1536" spans="3:19">
      <c r="C1536" s="164"/>
      <c r="D1536" s="142"/>
      <c r="E1536" s="142"/>
      <c r="S1536" s="95"/>
    </row>
    <row r="1537" spans="3:19">
      <c r="C1537" s="164"/>
      <c r="D1537" s="142"/>
      <c r="E1537" s="142"/>
      <c r="S1537" s="95"/>
    </row>
    <row r="1538" spans="3:19">
      <c r="C1538" s="164"/>
      <c r="D1538" s="142"/>
      <c r="E1538" s="142"/>
      <c r="S1538" s="95"/>
    </row>
    <row r="1539" spans="3:19">
      <c r="C1539" s="164"/>
      <c r="D1539" s="142"/>
      <c r="E1539" s="142"/>
      <c r="S1539" s="92"/>
    </row>
    <row r="1540" spans="3:19">
      <c r="C1540" s="164"/>
      <c r="D1540" s="142"/>
      <c r="E1540" s="142"/>
      <c r="I1540" s="105"/>
    </row>
    <row r="1541" spans="3:19">
      <c r="C1541" s="164"/>
      <c r="D1541" s="142"/>
      <c r="E1541" s="142"/>
    </row>
    <row r="1542" spans="3:19">
      <c r="C1542" s="164"/>
      <c r="D1542" s="142"/>
      <c r="E1542" s="142"/>
    </row>
    <row r="1543" spans="3:19">
      <c r="C1543" s="164"/>
      <c r="D1543" s="142"/>
      <c r="E1543" s="142"/>
    </row>
    <row r="1544" spans="3:19">
      <c r="C1544" s="164"/>
      <c r="D1544" s="142"/>
      <c r="E1544" s="142"/>
    </row>
    <row r="1545" spans="3:19">
      <c r="C1545" s="164"/>
      <c r="D1545" s="142"/>
      <c r="E1545" s="142"/>
    </row>
    <row r="1546" spans="3:19">
      <c r="C1546" s="164"/>
      <c r="D1546" s="142"/>
      <c r="E1546" s="142"/>
    </row>
    <row r="1547" spans="3:19">
      <c r="C1547" s="164"/>
      <c r="D1547" s="142"/>
      <c r="E1547" s="142"/>
    </row>
    <row r="1548" spans="3:19">
      <c r="C1548" s="164"/>
      <c r="D1548" s="142"/>
      <c r="E1548" s="142"/>
    </row>
    <row r="1549" spans="3:19">
      <c r="C1549" s="164"/>
      <c r="D1549" s="142"/>
      <c r="E1549" s="142"/>
    </row>
    <row r="1550" spans="3:19">
      <c r="C1550" s="164"/>
      <c r="D1550" s="142"/>
      <c r="E1550" s="142"/>
    </row>
    <row r="1551" spans="3:19">
      <c r="C1551" s="164"/>
      <c r="D1551" s="142"/>
      <c r="E1551" s="142"/>
    </row>
    <row r="1552" spans="3:19">
      <c r="C1552" s="164"/>
      <c r="D1552" s="142"/>
      <c r="E1552" s="142"/>
      <c r="S1552" s="94"/>
    </row>
    <row r="1553" spans="3:19">
      <c r="C1553" s="164"/>
      <c r="D1553" s="142"/>
      <c r="E1553" s="142"/>
      <c r="S1553" s="92"/>
    </row>
    <row r="1554" spans="3:19">
      <c r="C1554" s="164"/>
      <c r="D1554" s="142"/>
      <c r="E1554" s="142"/>
    </row>
    <row r="1555" spans="3:19">
      <c r="C1555" s="164"/>
      <c r="D1555" s="142"/>
      <c r="E1555" s="142"/>
    </row>
    <row r="1556" spans="3:19">
      <c r="C1556" s="164"/>
      <c r="D1556" s="142"/>
      <c r="E1556" s="142"/>
    </row>
    <row r="1557" spans="3:19">
      <c r="C1557" s="164"/>
      <c r="D1557" s="142"/>
      <c r="E1557" s="142"/>
    </row>
    <row r="1558" spans="3:19">
      <c r="C1558" s="164"/>
      <c r="D1558" s="142"/>
      <c r="E1558" s="142"/>
    </row>
    <row r="1559" spans="3:19">
      <c r="C1559" s="164"/>
      <c r="D1559" s="142"/>
      <c r="E1559" s="142"/>
    </row>
    <row r="1560" spans="3:19">
      <c r="C1560" s="164"/>
      <c r="D1560" s="142"/>
      <c r="E1560" s="142"/>
    </row>
    <row r="1561" spans="3:19">
      <c r="C1561" s="164"/>
      <c r="D1561" s="142"/>
      <c r="E1561" s="142"/>
    </row>
    <row r="1562" spans="3:19">
      <c r="C1562" s="164"/>
      <c r="D1562" s="142"/>
      <c r="E1562" s="142"/>
    </row>
    <row r="1563" spans="3:19">
      <c r="C1563" s="164"/>
      <c r="D1563" s="142"/>
      <c r="E1563" s="142"/>
    </row>
    <row r="1564" spans="3:19">
      <c r="C1564" s="164"/>
      <c r="D1564" s="142"/>
      <c r="E1564" s="142"/>
    </row>
    <row r="1565" spans="3:19">
      <c r="C1565" s="164"/>
      <c r="D1565" s="142"/>
      <c r="E1565" s="142"/>
    </row>
    <row r="1566" spans="3:19">
      <c r="C1566" s="164"/>
      <c r="D1566" s="142"/>
      <c r="E1566" s="142"/>
    </row>
    <row r="1567" spans="3:19">
      <c r="C1567" s="164"/>
      <c r="D1567" s="142"/>
      <c r="E1567" s="142"/>
      <c r="S1567" s="94"/>
    </row>
    <row r="1568" spans="3:19">
      <c r="C1568" s="164"/>
      <c r="D1568" s="142"/>
      <c r="E1568" s="142"/>
      <c r="S1568" s="92"/>
    </row>
    <row r="1569" spans="3:5">
      <c r="C1569" s="164"/>
      <c r="D1569" s="142"/>
      <c r="E1569" s="142"/>
    </row>
    <row r="1570" spans="3:5">
      <c r="C1570" s="164"/>
      <c r="D1570" s="142"/>
      <c r="E1570" s="142"/>
    </row>
    <row r="1571" spans="3:5">
      <c r="C1571" s="164"/>
      <c r="D1571" s="142"/>
      <c r="E1571" s="142"/>
    </row>
    <row r="1572" spans="3:5">
      <c r="C1572" s="164"/>
      <c r="D1572" s="142"/>
      <c r="E1572" s="142"/>
    </row>
    <row r="1573" spans="3:5">
      <c r="C1573" s="164"/>
      <c r="D1573" s="142"/>
      <c r="E1573" s="142"/>
    </row>
    <row r="1574" spans="3:5">
      <c r="C1574" s="164"/>
      <c r="D1574" s="142"/>
      <c r="E1574" s="142"/>
    </row>
    <row r="1575" spans="3:5">
      <c r="C1575" s="164"/>
      <c r="D1575" s="142"/>
      <c r="E1575" s="142"/>
    </row>
    <row r="1576" spans="3:5">
      <c r="C1576" s="164"/>
      <c r="D1576" s="142"/>
      <c r="E1576" s="142"/>
    </row>
    <row r="1577" spans="3:5">
      <c r="C1577" s="164"/>
      <c r="D1577" s="142"/>
      <c r="E1577" s="142"/>
    </row>
    <row r="1578" spans="3:5">
      <c r="C1578" s="164"/>
      <c r="D1578" s="142"/>
      <c r="E1578" s="142"/>
    </row>
    <row r="1579" spans="3:5">
      <c r="C1579" s="164"/>
      <c r="D1579" s="142"/>
      <c r="E1579" s="142"/>
    </row>
    <row r="1580" spans="3:5">
      <c r="C1580" s="164"/>
      <c r="D1580" s="142"/>
      <c r="E1580" s="142"/>
    </row>
    <row r="1581" spans="3:5">
      <c r="C1581" s="164"/>
      <c r="D1581" s="142"/>
      <c r="E1581" s="142"/>
    </row>
    <row r="1582" spans="3:5">
      <c r="C1582" s="164"/>
      <c r="D1582" s="142"/>
      <c r="E1582" s="142"/>
    </row>
    <row r="1583" spans="3:5">
      <c r="C1583" s="164"/>
      <c r="D1583" s="142"/>
      <c r="E1583" s="142"/>
    </row>
    <row r="1584" spans="3:5">
      <c r="C1584" s="164"/>
      <c r="D1584" s="142"/>
      <c r="E1584" s="142"/>
    </row>
    <row r="1585" spans="3:5">
      <c r="C1585" s="164"/>
      <c r="D1585" s="142"/>
      <c r="E1585" s="142"/>
    </row>
    <row r="1586" spans="3:5">
      <c r="C1586" s="164"/>
      <c r="D1586" s="142"/>
      <c r="E1586" s="142"/>
    </row>
    <row r="1587" spans="3:5">
      <c r="C1587" s="164"/>
      <c r="D1587" s="142"/>
      <c r="E1587" s="142"/>
    </row>
    <row r="1588" spans="3:5">
      <c r="C1588" s="164"/>
      <c r="D1588" s="142"/>
      <c r="E1588" s="142"/>
    </row>
    <row r="1589" spans="3:5">
      <c r="C1589" s="164"/>
      <c r="D1589" s="142"/>
      <c r="E1589" s="142"/>
    </row>
    <row r="1590" spans="3:5">
      <c r="C1590" s="164"/>
      <c r="D1590" s="142"/>
      <c r="E1590" s="142"/>
    </row>
    <row r="1591" spans="3:5">
      <c r="C1591" s="164"/>
      <c r="D1591" s="142"/>
      <c r="E1591" s="142"/>
    </row>
    <row r="1592" spans="3:5">
      <c r="C1592" s="164"/>
      <c r="D1592" s="142"/>
      <c r="E1592" s="142"/>
    </row>
    <row r="1593" spans="3:5">
      <c r="C1593" s="164"/>
      <c r="D1593" s="142"/>
      <c r="E1593" s="142"/>
    </row>
    <row r="1594" spans="3:5">
      <c r="C1594" s="164"/>
      <c r="D1594" s="142"/>
      <c r="E1594" s="142"/>
    </row>
    <row r="1595" spans="3:5">
      <c r="C1595" s="164"/>
      <c r="D1595" s="142"/>
      <c r="E1595" s="142"/>
    </row>
    <row r="1596" spans="3:5">
      <c r="C1596" s="164"/>
      <c r="D1596" s="142"/>
      <c r="E1596" s="142"/>
    </row>
    <row r="1597" spans="3:5">
      <c r="C1597" s="164"/>
      <c r="D1597" s="142"/>
      <c r="E1597" s="142"/>
    </row>
    <row r="1598" spans="3:5">
      <c r="C1598" s="164"/>
      <c r="D1598" s="142"/>
      <c r="E1598" s="142"/>
    </row>
    <row r="1599" spans="3:5">
      <c r="C1599" s="164"/>
      <c r="D1599" s="142"/>
      <c r="E1599" s="142"/>
    </row>
    <row r="1600" spans="3:5">
      <c r="C1600" s="164"/>
      <c r="D1600" s="142"/>
      <c r="E1600" s="142"/>
    </row>
    <row r="1601" spans="3:19">
      <c r="C1601" s="164"/>
      <c r="D1601" s="142"/>
      <c r="E1601" s="142"/>
    </row>
    <row r="1602" spans="3:19">
      <c r="C1602" s="164"/>
      <c r="D1602" s="142"/>
      <c r="E1602" s="142"/>
    </row>
    <row r="1603" spans="3:19">
      <c r="C1603" s="164"/>
      <c r="D1603" s="142"/>
      <c r="E1603" s="142"/>
    </row>
    <row r="1604" spans="3:19">
      <c r="C1604" s="164"/>
      <c r="D1604" s="142"/>
      <c r="E1604" s="142"/>
    </row>
    <row r="1605" spans="3:19">
      <c r="C1605" s="164"/>
      <c r="D1605" s="142"/>
      <c r="E1605" s="142"/>
    </row>
    <row r="1606" spans="3:19">
      <c r="C1606" s="164"/>
      <c r="D1606" s="142"/>
      <c r="E1606" s="142"/>
    </row>
    <row r="1607" spans="3:19">
      <c r="C1607" s="164"/>
      <c r="D1607" s="142"/>
      <c r="E1607" s="142"/>
    </row>
    <row r="1608" spans="3:19">
      <c r="C1608" s="164"/>
      <c r="D1608" s="142"/>
      <c r="E1608" s="142"/>
      <c r="S1608" s="94"/>
    </row>
    <row r="1609" spans="3:19">
      <c r="C1609" s="164"/>
      <c r="D1609" s="142"/>
      <c r="E1609" s="142"/>
      <c r="S1609" s="92"/>
    </row>
    <row r="1610" spans="3:19">
      <c r="C1610" s="164"/>
      <c r="D1610" s="142"/>
      <c r="E1610" s="142"/>
    </row>
    <row r="1611" spans="3:19">
      <c r="C1611" s="164"/>
      <c r="D1611" s="142"/>
      <c r="E1611" s="142"/>
    </row>
    <row r="1612" spans="3:19">
      <c r="C1612" s="164"/>
      <c r="D1612" s="142"/>
      <c r="E1612" s="142"/>
    </row>
    <row r="1613" spans="3:19">
      <c r="C1613" s="164"/>
      <c r="D1613" s="142"/>
      <c r="E1613" s="142"/>
      <c r="S1613" s="94"/>
    </row>
    <row r="1614" spans="3:19">
      <c r="C1614" s="164"/>
      <c r="D1614" s="142"/>
      <c r="E1614" s="142"/>
      <c r="S1614" s="92"/>
    </row>
    <row r="1615" spans="3:19">
      <c r="C1615" s="164"/>
      <c r="D1615" s="142"/>
      <c r="E1615" s="142"/>
      <c r="S1615" s="94"/>
    </row>
    <row r="1616" spans="3:19">
      <c r="C1616" s="164"/>
      <c r="D1616" s="142"/>
      <c r="E1616" s="142"/>
      <c r="S1616" s="92"/>
    </row>
    <row r="1617" spans="3:19">
      <c r="C1617" s="164"/>
      <c r="D1617" s="142"/>
      <c r="E1617" s="142"/>
      <c r="S1617" s="94"/>
    </row>
    <row r="1618" spans="3:19">
      <c r="C1618" s="164"/>
      <c r="D1618" s="142"/>
      <c r="E1618" s="142"/>
      <c r="S1618" s="92"/>
    </row>
    <row r="1619" spans="3:19">
      <c r="C1619" s="164"/>
      <c r="D1619" s="142"/>
      <c r="E1619" s="142"/>
    </row>
    <row r="1620" spans="3:19">
      <c r="C1620" s="164"/>
      <c r="D1620" s="142"/>
      <c r="E1620" s="142"/>
    </row>
    <row r="1621" spans="3:19">
      <c r="C1621" s="164"/>
      <c r="D1621" s="142"/>
      <c r="E1621" s="142"/>
      <c r="S1621" s="94"/>
    </row>
    <row r="1622" spans="3:19">
      <c r="C1622" s="164"/>
      <c r="D1622" s="142"/>
      <c r="E1622" s="142"/>
      <c r="S1622" s="92"/>
    </row>
    <row r="1623" spans="3:19">
      <c r="C1623" s="164"/>
      <c r="D1623" s="142"/>
      <c r="E1623" s="142"/>
    </row>
    <row r="1624" spans="3:19">
      <c r="C1624" s="164"/>
      <c r="D1624" s="142"/>
      <c r="E1624" s="142"/>
    </row>
    <row r="1625" spans="3:19">
      <c r="C1625" s="164"/>
      <c r="D1625" s="142"/>
      <c r="E1625" s="142"/>
    </row>
    <row r="1626" spans="3:19">
      <c r="C1626" s="164"/>
      <c r="D1626" s="142"/>
      <c r="E1626" s="142"/>
    </row>
    <row r="1627" spans="3:19">
      <c r="C1627" s="164"/>
      <c r="D1627" s="142"/>
      <c r="E1627" s="142"/>
    </row>
    <row r="1628" spans="3:19">
      <c r="C1628" s="164"/>
      <c r="D1628" s="142"/>
      <c r="E1628" s="142"/>
      <c r="S1628" s="94"/>
    </row>
    <row r="1629" spans="3:19">
      <c r="C1629" s="164"/>
      <c r="D1629" s="142"/>
      <c r="E1629" s="142"/>
      <c r="S1629" s="95"/>
    </row>
    <row r="1630" spans="3:19">
      <c r="C1630" s="164"/>
      <c r="D1630" s="142"/>
      <c r="E1630" s="142"/>
      <c r="S1630" s="92"/>
    </row>
    <row r="1631" spans="3:19">
      <c r="C1631" s="164"/>
      <c r="D1631" s="142"/>
      <c r="E1631" s="142"/>
      <c r="S1631" s="94"/>
    </row>
    <row r="1632" spans="3:19">
      <c r="C1632" s="164"/>
      <c r="D1632" s="142"/>
      <c r="E1632" s="142"/>
      <c r="S1632" s="95"/>
    </row>
    <row r="1633" spans="3:19">
      <c r="C1633" s="164"/>
      <c r="D1633" s="142"/>
      <c r="E1633" s="142"/>
      <c r="S1633" s="92"/>
    </row>
    <row r="1634" spans="3:19">
      <c r="C1634" s="164"/>
      <c r="D1634" s="142"/>
      <c r="E1634" s="142"/>
    </row>
    <row r="1635" spans="3:19">
      <c r="C1635" s="164"/>
      <c r="D1635" s="142"/>
      <c r="E1635" s="142"/>
      <c r="K1635" s="84"/>
      <c r="S1635" s="94"/>
    </row>
    <row r="1636" spans="3:19">
      <c r="C1636" s="164"/>
      <c r="D1636" s="142"/>
      <c r="E1636" s="142"/>
      <c r="K1636" s="84"/>
      <c r="S1636" s="92"/>
    </row>
    <row r="1637" spans="3:19">
      <c r="C1637" s="164"/>
      <c r="D1637" s="142"/>
      <c r="E1637" s="142"/>
    </row>
    <row r="1638" spans="3:19">
      <c r="C1638" s="164"/>
      <c r="D1638" s="142"/>
      <c r="E1638" s="142"/>
      <c r="S1638" s="94"/>
    </row>
    <row r="1639" spans="3:19">
      <c r="C1639" s="164"/>
      <c r="D1639" s="142"/>
      <c r="E1639" s="142"/>
      <c r="S1639" s="92"/>
    </row>
    <row r="1640" spans="3:19">
      <c r="C1640" s="164"/>
      <c r="D1640" s="142"/>
      <c r="E1640" s="142"/>
      <c r="S1640" s="94"/>
    </row>
    <row r="1641" spans="3:19">
      <c r="C1641" s="164"/>
      <c r="D1641" s="142"/>
      <c r="E1641" s="142"/>
      <c r="S1641" s="95"/>
    </row>
    <row r="1642" spans="3:19">
      <c r="C1642" s="164"/>
      <c r="D1642" s="142"/>
      <c r="E1642" s="142"/>
      <c r="S1642" s="92"/>
    </row>
    <row r="1643" spans="3:19">
      <c r="C1643" s="164"/>
      <c r="D1643" s="142"/>
      <c r="E1643" s="142"/>
      <c r="S1643" s="94"/>
    </row>
    <row r="1644" spans="3:19">
      <c r="C1644" s="164"/>
      <c r="D1644" s="142"/>
      <c r="E1644" s="142"/>
      <c r="S1644" s="92"/>
    </row>
    <row r="1645" spans="3:19">
      <c r="C1645" s="164"/>
      <c r="D1645" s="142"/>
      <c r="E1645" s="142"/>
      <c r="S1645" s="94"/>
    </row>
    <row r="1646" spans="3:19">
      <c r="C1646" s="164"/>
      <c r="D1646" s="142"/>
      <c r="E1646" s="142"/>
      <c r="S1646" s="92"/>
    </row>
    <row r="1647" spans="3:19">
      <c r="C1647" s="164"/>
      <c r="D1647" s="142"/>
      <c r="E1647" s="142"/>
      <c r="S1647" s="94"/>
    </row>
    <row r="1648" spans="3:19">
      <c r="C1648" s="164"/>
      <c r="D1648" s="142"/>
      <c r="E1648" s="142"/>
      <c r="S1648" s="92"/>
    </row>
    <row r="1649" spans="3:15">
      <c r="C1649" s="164"/>
      <c r="D1649" s="142"/>
      <c r="E1649" s="142"/>
    </row>
    <row r="1650" spans="3:15">
      <c r="C1650" s="164"/>
      <c r="D1650" s="142"/>
      <c r="E1650" s="142"/>
    </row>
    <row r="1651" spans="3:15">
      <c r="C1651" s="164"/>
      <c r="D1651" s="142"/>
      <c r="E1651" s="142"/>
    </row>
    <row r="1652" spans="3:15">
      <c r="C1652" s="164"/>
      <c r="D1652" s="142"/>
      <c r="E1652" s="142"/>
      <c r="O1652" s="123"/>
    </row>
    <row r="1653" spans="3:15">
      <c r="C1653" s="164"/>
      <c r="D1653" s="142"/>
      <c r="E1653" s="142"/>
    </row>
    <row r="1654" spans="3:15">
      <c r="C1654" s="164"/>
      <c r="D1654" s="142"/>
      <c r="E1654" s="142"/>
    </row>
    <row r="1655" spans="3:15">
      <c r="C1655" s="164"/>
      <c r="D1655" s="142"/>
      <c r="E1655" s="142"/>
    </row>
    <row r="1656" spans="3:15">
      <c r="C1656" s="164"/>
      <c r="D1656" s="142"/>
      <c r="E1656" s="142"/>
    </row>
    <row r="1657" spans="3:15">
      <c r="C1657" s="164"/>
      <c r="D1657" s="142"/>
      <c r="E1657" s="142"/>
    </row>
    <row r="1658" spans="3:15">
      <c r="C1658" s="164"/>
      <c r="D1658" s="142"/>
      <c r="E1658" s="142"/>
    </row>
    <row r="1659" spans="3:15">
      <c r="C1659" s="164"/>
      <c r="D1659" s="142"/>
      <c r="E1659" s="142"/>
    </row>
    <row r="1660" spans="3:15">
      <c r="C1660" s="164"/>
      <c r="D1660" s="142"/>
      <c r="E1660" s="142"/>
    </row>
    <row r="1661" spans="3:15">
      <c r="C1661" s="164"/>
      <c r="D1661" s="142"/>
      <c r="E1661" s="142"/>
    </row>
    <row r="1662" spans="3:15">
      <c r="C1662" s="164"/>
      <c r="D1662" s="142"/>
      <c r="E1662" s="142"/>
    </row>
    <row r="1663" spans="3:15">
      <c r="C1663" s="164"/>
      <c r="D1663" s="142"/>
      <c r="E1663" s="142"/>
    </row>
    <row r="1664" spans="3:15">
      <c r="C1664" s="164"/>
      <c r="D1664" s="142"/>
      <c r="E1664" s="142"/>
    </row>
    <row r="1665" spans="3:19">
      <c r="C1665" s="164"/>
      <c r="D1665" s="142"/>
      <c r="E1665" s="142"/>
    </row>
    <row r="1666" spans="3:19">
      <c r="C1666" s="164"/>
      <c r="D1666" s="142"/>
      <c r="E1666" s="142"/>
    </row>
    <row r="1667" spans="3:19">
      <c r="C1667" s="164"/>
      <c r="D1667" s="142"/>
      <c r="E1667" s="142"/>
    </row>
    <row r="1668" spans="3:19">
      <c r="C1668" s="164"/>
      <c r="D1668" s="142"/>
      <c r="E1668" s="142"/>
    </row>
    <row r="1669" spans="3:19">
      <c r="C1669" s="164"/>
      <c r="D1669" s="142"/>
      <c r="E1669" s="142"/>
    </row>
    <row r="1670" spans="3:19">
      <c r="C1670" s="164"/>
      <c r="D1670" s="142"/>
      <c r="E1670" s="142"/>
    </row>
    <row r="1671" spans="3:19">
      <c r="C1671" s="164"/>
      <c r="D1671" s="142"/>
      <c r="E1671" s="142"/>
    </row>
    <row r="1672" spans="3:19">
      <c r="C1672" s="164"/>
      <c r="D1672" s="142"/>
      <c r="E1672" s="142"/>
    </row>
    <row r="1673" spans="3:19">
      <c r="C1673" s="164"/>
      <c r="D1673" s="142"/>
      <c r="E1673" s="142"/>
    </row>
    <row r="1674" spans="3:19">
      <c r="C1674" s="164"/>
      <c r="D1674" s="142"/>
      <c r="E1674" s="142"/>
      <c r="S1674" s="94"/>
    </row>
    <row r="1675" spans="3:19">
      <c r="C1675" s="164"/>
      <c r="D1675" s="142"/>
      <c r="E1675" s="142"/>
      <c r="S1675" s="92"/>
    </row>
    <row r="1676" spans="3:19">
      <c r="C1676" s="164"/>
      <c r="D1676" s="142"/>
      <c r="E1676" s="142"/>
      <c r="S1676" s="94"/>
    </row>
    <row r="1677" spans="3:19">
      <c r="C1677" s="164"/>
      <c r="D1677" s="142"/>
      <c r="E1677" s="142"/>
      <c r="S1677" s="92"/>
    </row>
    <row r="1678" spans="3:19">
      <c r="C1678" s="164"/>
      <c r="D1678" s="142"/>
      <c r="E1678" s="142"/>
      <c r="S1678" s="94"/>
    </row>
    <row r="1679" spans="3:19">
      <c r="C1679" s="164"/>
      <c r="D1679" s="142"/>
      <c r="E1679" s="142"/>
      <c r="S1679" s="92"/>
    </row>
    <row r="1680" spans="3:19">
      <c r="C1680" s="164"/>
      <c r="D1680" s="142"/>
      <c r="E1680" s="142"/>
    </row>
    <row r="1681" spans="3:19">
      <c r="C1681" s="164"/>
      <c r="D1681" s="142"/>
      <c r="E1681" s="142"/>
    </row>
    <row r="1682" spans="3:19">
      <c r="C1682" s="164"/>
      <c r="D1682" s="142"/>
      <c r="E1682" s="142"/>
    </row>
    <row r="1683" spans="3:19">
      <c r="C1683" s="164"/>
      <c r="D1683" s="142"/>
      <c r="E1683" s="142"/>
      <c r="S1683" s="94"/>
    </row>
    <row r="1684" spans="3:19">
      <c r="C1684" s="164"/>
      <c r="D1684" s="142"/>
      <c r="E1684" s="142"/>
      <c r="S1684" s="92"/>
    </row>
    <row r="1685" spans="3:19">
      <c r="C1685" s="164"/>
      <c r="D1685" s="142"/>
      <c r="E1685" s="142"/>
      <c r="S1685" s="94"/>
    </row>
    <row r="1686" spans="3:19">
      <c r="C1686" s="164"/>
      <c r="D1686" s="142"/>
      <c r="E1686" s="142"/>
      <c r="S1686" s="95"/>
    </row>
    <row r="1687" spans="3:19">
      <c r="C1687" s="164"/>
      <c r="D1687" s="142"/>
      <c r="E1687" s="142"/>
      <c r="S1687" s="92"/>
    </row>
    <row r="1688" spans="3:19">
      <c r="C1688" s="164"/>
      <c r="D1688" s="142"/>
      <c r="E1688" s="142"/>
    </row>
    <row r="1689" spans="3:19">
      <c r="C1689" s="164"/>
      <c r="D1689" s="142"/>
      <c r="E1689" s="142"/>
    </row>
    <row r="1690" spans="3:19">
      <c r="C1690" s="164"/>
      <c r="D1690" s="142"/>
      <c r="E1690" s="142"/>
      <c r="S1690" s="94"/>
    </row>
    <row r="1691" spans="3:19">
      <c r="C1691" s="164"/>
      <c r="D1691" s="142"/>
      <c r="E1691" s="142"/>
      <c r="S1691" s="92"/>
    </row>
    <row r="1692" spans="3:19">
      <c r="C1692" s="164"/>
      <c r="D1692" s="142"/>
      <c r="E1692" s="142"/>
    </row>
    <row r="1693" spans="3:19">
      <c r="C1693" s="164"/>
      <c r="D1693" s="142"/>
      <c r="E1693" s="142"/>
    </row>
    <row r="1694" spans="3:19">
      <c r="C1694" s="164"/>
      <c r="D1694" s="142"/>
      <c r="E1694" s="142"/>
    </row>
    <row r="1695" spans="3:19">
      <c r="C1695" s="164"/>
      <c r="D1695" s="142"/>
      <c r="E1695" s="142"/>
    </row>
    <row r="1696" spans="3:19">
      <c r="C1696" s="164"/>
      <c r="D1696" s="142"/>
      <c r="E1696" s="142"/>
    </row>
    <row r="1697" spans="3:19">
      <c r="C1697" s="164"/>
      <c r="D1697" s="142"/>
      <c r="E1697" s="142"/>
      <c r="S1697" s="94"/>
    </row>
    <row r="1698" spans="3:19">
      <c r="C1698" s="164"/>
      <c r="D1698" s="142"/>
      <c r="E1698" s="142"/>
      <c r="S1698" s="92"/>
    </row>
    <row r="1699" spans="3:19">
      <c r="C1699" s="164"/>
      <c r="D1699" s="142"/>
      <c r="E1699" s="142"/>
      <c r="S1699" s="94"/>
    </row>
    <row r="1700" spans="3:19">
      <c r="C1700" s="164"/>
      <c r="D1700" s="142"/>
      <c r="E1700" s="142"/>
      <c r="S1700" s="92"/>
    </row>
    <row r="1701" spans="3:19">
      <c r="C1701" s="164"/>
      <c r="D1701" s="142"/>
      <c r="E1701" s="142"/>
    </row>
    <row r="1702" spans="3:19">
      <c r="C1702" s="164"/>
      <c r="D1702" s="142"/>
      <c r="E1702" s="142"/>
    </row>
    <row r="1703" ht="13" customHeight="1" spans="3:19">
      <c r="C1703" s="164"/>
      <c r="D1703" s="142"/>
      <c r="E1703" s="142"/>
    </row>
    <row r="1704" spans="3:19">
      <c r="C1704" s="164"/>
      <c r="D1704" s="142"/>
      <c r="E1704" s="142"/>
    </row>
    <row r="1705" spans="3:19">
      <c r="C1705" s="164"/>
      <c r="D1705" s="142"/>
      <c r="E1705" s="142"/>
    </row>
    <row r="1706" spans="3:19">
      <c r="C1706" s="164"/>
      <c r="D1706" s="142"/>
      <c r="E1706" s="142"/>
    </row>
    <row r="1707" spans="3:19">
      <c r="C1707" s="164"/>
      <c r="D1707" s="142"/>
      <c r="E1707" s="142"/>
    </row>
    <row r="1708" spans="3:19">
      <c r="C1708" s="164"/>
      <c r="D1708" s="142"/>
      <c r="E1708" s="142"/>
    </row>
    <row r="1709" spans="3:19">
      <c r="C1709" s="164"/>
      <c r="D1709" s="142"/>
      <c r="E1709" s="142"/>
    </row>
    <row r="1710" spans="3:19">
      <c r="C1710" s="164"/>
      <c r="D1710" s="142"/>
      <c r="E1710" s="142"/>
    </row>
    <row r="1711" spans="3:19">
      <c r="C1711" s="164"/>
      <c r="D1711" s="142"/>
      <c r="E1711" s="142"/>
    </row>
    <row r="1712" spans="3:19">
      <c r="C1712" s="164"/>
      <c r="D1712" s="142"/>
      <c r="E1712" s="142"/>
    </row>
    <row r="1713" spans="3:19">
      <c r="C1713" s="164"/>
      <c r="D1713" s="142"/>
      <c r="E1713" s="142"/>
    </row>
    <row r="1714" spans="3:19">
      <c r="C1714" s="164"/>
      <c r="D1714" s="142"/>
      <c r="E1714" s="142"/>
      <c r="S1714" s="94"/>
    </row>
    <row r="1715" spans="3:19">
      <c r="C1715" s="164"/>
      <c r="D1715" s="142"/>
      <c r="E1715" s="142"/>
      <c r="S1715" s="95"/>
    </row>
    <row r="1716" spans="3:19">
      <c r="C1716" s="164"/>
      <c r="D1716" s="142"/>
      <c r="E1716" s="142"/>
      <c r="S1716" s="95"/>
    </row>
    <row r="1717" spans="3:19">
      <c r="C1717" s="164"/>
      <c r="D1717" s="142"/>
      <c r="E1717" s="142"/>
      <c r="S1717" s="92"/>
    </row>
    <row r="1718" spans="3:19">
      <c r="C1718" s="164"/>
      <c r="D1718" s="142"/>
      <c r="E1718" s="142"/>
    </row>
    <row r="1719" spans="3:19">
      <c r="C1719" s="164"/>
      <c r="D1719" s="142"/>
      <c r="E1719" s="142"/>
    </row>
    <row r="1720" spans="3:19">
      <c r="C1720" s="164"/>
      <c r="D1720" s="142"/>
      <c r="E1720" s="142"/>
      <c r="S1720" s="94"/>
    </row>
    <row r="1721" spans="3:19">
      <c r="C1721" s="164"/>
      <c r="D1721" s="142"/>
      <c r="E1721" s="142"/>
      <c r="S1721" s="92"/>
    </row>
    <row r="1722" spans="3:19">
      <c r="C1722" s="164"/>
      <c r="D1722" s="142"/>
      <c r="E1722" s="142"/>
    </row>
    <row r="1723" spans="3:19">
      <c r="C1723" s="164"/>
      <c r="D1723" s="142"/>
      <c r="E1723" s="142"/>
      <c r="S1723" s="94"/>
    </row>
    <row r="1724" spans="3:19">
      <c r="C1724" s="164"/>
      <c r="D1724" s="142"/>
      <c r="E1724" s="142"/>
      <c r="S1724" s="92"/>
    </row>
    <row r="1725" spans="3:19">
      <c r="C1725" s="164"/>
      <c r="D1725" s="142"/>
      <c r="E1725" s="142"/>
    </row>
    <row r="1726" spans="3:19">
      <c r="C1726" s="164"/>
      <c r="D1726" s="142"/>
      <c r="E1726" s="142"/>
    </row>
    <row r="1727" spans="3:19">
      <c r="C1727" s="164"/>
      <c r="D1727" s="142"/>
      <c r="E1727" s="142"/>
      <c r="S1727" s="94"/>
    </row>
    <row r="1728" spans="3:19">
      <c r="C1728" s="164"/>
      <c r="D1728" s="142"/>
      <c r="E1728" s="142"/>
      <c r="S1728" s="92"/>
    </row>
    <row r="1729" spans="3:19">
      <c r="C1729" s="166"/>
      <c r="D1729" s="142"/>
    </row>
    <row r="1730" spans="3:19">
      <c r="C1730" s="166"/>
      <c r="D1730" s="142"/>
    </row>
    <row r="1731" spans="3:19">
      <c r="C1731" s="166"/>
      <c r="D1731" s="142"/>
    </row>
    <row r="1732" spans="3:19">
      <c r="C1732" s="166"/>
      <c r="D1732" s="142"/>
    </row>
    <row r="1733" spans="3:19">
      <c r="C1733" s="166"/>
      <c r="D1733" s="142"/>
    </row>
    <row r="1734" spans="3:19">
      <c r="C1734" s="166"/>
      <c r="D1734" s="142"/>
    </row>
    <row r="1735" spans="3:19">
      <c r="C1735" s="166"/>
      <c r="D1735" s="142"/>
    </row>
    <row r="1736" spans="3:19">
      <c r="C1736" s="166"/>
      <c r="D1736" s="142"/>
    </row>
    <row r="1737" spans="3:19">
      <c r="C1737" s="166"/>
      <c r="D1737" s="142"/>
      <c r="S1737" s="94"/>
    </row>
    <row r="1738" spans="3:19">
      <c r="C1738" s="166"/>
      <c r="D1738" s="142"/>
      <c r="S1738" s="92"/>
    </row>
    <row r="1739" spans="3:19">
      <c r="C1739" s="166"/>
      <c r="D1739" s="142"/>
    </row>
    <row r="1740" spans="3:19">
      <c r="C1740" s="166"/>
      <c r="D1740" s="142"/>
    </row>
    <row r="1741" spans="3:19">
      <c r="C1741" s="166"/>
      <c r="D1741" s="142"/>
    </row>
    <row r="1742" spans="3:19">
      <c r="C1742" s="166"/>
      <c r="D1742" s="142"/>
    </row>
    <row r="1743" spans="3:19">
      <c r="C1743" s="166"/>
      <c r="D1743" s="142"/>
    </row>
    <row r="1744" spans="3:19">
      <c r="C1744" s="166"/>
      <c r="D1744" s="142"/>
    </row>
    <row r="1745" spans="3:19">
      <c r="C1745" s="166"/>
      <c r="D1745" s="142"/>
    </row>
    <row r="1746" spans="3:19">
      <c r="C1746" s="166"/>
      <c r="D1746" s="142"/>
      <c r="S1746" s="94"/>
    </row>
    <row r="1747" spans="3:19">
      <c r="C1747" s="166"/>
      <c r="D1747" s="142"/>
      <c r="S1747" s="92"/>
    </row>
    <row r="1748" spans="3:19">
      <c r="C1748" s="166"/>
      <c r="D1748" s="142"/>
    </row>
    <row r="1749" spans="3:19">
      <c r="C1749" s="166"/>
      <c r="D1749" s="142"/>
    </row>
    <row r="1750" spans="3:19">
      <c r="C1750" s="166"/>
      <c r="D1750" s="142"/>
      <c r="S1750" s="94"/>
    </row>
    <row r="1751" spans="3:19">
      <c r="C1751" s="166"/>
      <c r="D1751" s="142"/>
      <c r="S1751" s="92"/>
    </row>
    <row r="1752" spans="3:19">
      <c r="C1752" s="166"/>
      <c r="D1752" s="142"/>
      <c r="S1752" s="94"/>
    </row>
    <row r="1753" spans="3:19">
      <c r="C1753" s="166"/>
      <c r="D1753" s="142"/>
      <c r="S1753" s="92"/>
    </row>
    <row r="1754" spans="3:19">
      <c r="C1754" s="166"/>
      <c r="D1754" s="142"/>
      <c r="S1754" s="94"/>
    </row>
    <row r="1755" spans="3:19">
      <c r="C1755" s="166"/>
      <c r="D1755" s="142"/>
      <c r="S1755" s="92"/>
    </row>
    <row r="1756" spans="3:19">
      <c r="C1756" s="166"/>
      <c r="D1756" s="142"/>
    </row>
    <row r="1757" spans="3:19">
      <c r="C1757" s="166"/>
      <c r="D1757" s="142"/>
    </row>
    <row r="1758" spans="3:19">
      <c r="C1758" s="166"/>
      <c r="D1758" s="142"/>
    </row>
    <row r="1759" spans="3:19">
      <c r="C1759" s="166"/>
      <c r="D1759" s="142"/>
    </row>
    <row r="1760" spans="3:19">
      <c r="C1760" s="166"/>
      <c r="D1760" s="142"/>
    </row>
    <row r="1761" spans="3:19">
      <c r="C1761" s="166"/>
      <c r="D1761" s="142"/>
    </row>
    <row r="1762" spans="3:19">
      <c r="C1762" s="166"/>
      <c r="D1762" s="142"/>
      <c r="S1762" s="94"/>
    </row>
    <row r="1763" spans="3:19">
      <c r="C1763" s="166"/>
      <c r="D1763" s="142"/>
      <c r="S1763" s="92"/>
    </row>
    <row r="1764" spans="3:19">
      <c r="C1764" s="166"/>
      <c r="D1764" s="142"/>
      <c r="S1764" s="94"/>
    </row>
    <row r="1765" spans="3:19">
      <c r="C1765" s="166"/>
      <c r="D1765" s="142"/>
      <c r="S1765" s="92"/>
    </row>
    <row r="1766" spans="3:19">
      <c r="C1766" s="166"/>
      <c r="D1766" s="142"/>
      <c r="S1766" s="94"/>
    </row>
    <row r="1767" spans="3:19">
      <c r="C1767" s="166"/>
      <c r="D1767" s="142"/>
      <c r="S1767" s="92"/>
    </row>
    <row r="1768" spans="3:19">
      <c r="C1768" s="166"/>
      <c r="D1768" s="142"/>
      <c r="S1768" s="94"/>
    </row>
    <row r="1769" spans="3:19">
      <c r="C1769" s="166"/>
      <c r="D1769" s="142"/>
      <c r="S1769" s="92"/>
    </row>
    <row r="1770" spans="3:19">
      <c r="C1770" s="166"/>
      <c r="D1770" s="142"/>
      <c r="S1770" s="94"/>
    </row>
    <row r="1771" spans="3:19">
      <c r="C1771" s="166"/>
      <c r="D1771" s="142"/>
      <c r="S1771" s="92"/>
    </row>
    <row r="1772" spans="3:19">
      <c r="C1772" s="166"/>
      <c r="D1772" s="142"/>
      <c r="S1772" s="94"/>
    </row>
    <row r="1773" spans="3:19">
      <c r="C1773" s="166"/>
      <c r="D1773" s="142"/>
      <c r="S1773" s="92"/>
    </row>
    <row r="1774" spans="3:19">
      <c r="C1774" s="166"/>
      <c r="D1774" s="142"/>
    </row>
    <row r="1775" spans="3:19">
      <c r="C1775" s="166"/>
      <c r="D1775" s="142"/>
    </row>
    <row r="1776" spans="3:19">
      <c r="C1776" s="166"/>
      <c r="D1776" s="142"/>
    </row>
    <row r="1777" spans="3:19">
      <c r="C1777" s="166"/>
      <c r="D1777" s="142"/>
    </row>
    <row r="1778" spans="3:19">
      <c r="C1778" s="166"/>
      <c r="D1778" s="142"/>
    </row>
    <row r="1779" spans="3:19">
      <c r="C1779" s="166"/>
      <c r="D1779" s="142"/>
    </row>
    <row r="1780" spans="3:19">
      <c r="C1780" s="166"/>
      <c r="D1780" s="142"/>
    </row>
    <row r="1781" spans="3:19">
      <c r="C1781" s="166"/>
      <c r="D1781" s="142"/>
    </row>
    <row r="1782" spans="3:19">
      <c r="C1782" s="166"/>
      <c r="D1782" s="142"/>
      <c r="S1782" s="94"/>
    </row>
    <row r="1783" spans="3:19">
      <c r="C1783" s="166"/>
      <c r="D1783" s="142"/>
      <c r="S1783" s="92"/>
    </row>
    <row r="1784" spans="3:19">
      <c r="C1784" s="166"/>
      <c r="D1784" s="142"/>
    </row>
    <row r="1785" spans="3:19">
      <c r="C1785" s="166"/>
      <c r="D1785" s="142"/>
    </row>
    <row r="1786" spans="3:19">
      <c r="C1786" s="166"/>
      <c r="D1786" s="142"/>
      <c r="S1786" s="94"/>
    </row>
    <row r="1787" spans="3:19">
      <c r="C1787" s="166"/>
      <c r="D1787" s="142"/>
      <c r="S1787" s="92"/>
    </row>
    <row r="1788" spans="3:19">
      <c r="C1788" s="166"/>
      <c r="D1788" s="142"/>
    </row>
    <row r="1789" spans="3:19">
      <c r="C1789" s="166"/>
      <c r="D1789" s="142"/>
    </row>
    <row r="1790" spans="3:19">
      <c r="C1790" s="166"/>
      <c r="D1790" s="142"/>
    </row>
    <row r="1791" spans="3:19">
      <c r="C1791" s="166"/>
      <c r="D1791" s="142"/>
    </row>
    <row r="1792" spans="3:19">
      <c r="C1792" s="166"/>
      <c r="D1792" s="142"/>
    </row>
    <row r="1793" spans="3:19">
      <c r="C1793" s="166"/>
      <c r="D1793" s="142"/>
    </row>
    <row r="1794" spans="3:19">
      <c r="C1794" s="166"/>
      <c r="D1794" s="142"/>
    </row>
    <row r="1795" spans="3:19">
      <c r="C1795" s="166"/>
      <c r="D1795" s="142"/>
    </row>
    <row r="1796" spans="3:19">
      <c r="C1796" s="166"/>
      <c r="D1796" s="142"/>
    </row>
    <row r="1797" spans="3:19">
      <c r="C1797" s="166"/>
      <c r="D1797" s="142"/>
    </row>
    <row r="1798" spans="3:19">
      <c r="C1798" s="166"/>
      <c r="D1798" s="142"/>
    </row>
    <row r="1799" spans="3:19">
      <c r="C1799" s="166"/>
      <c r="D1799" s="142"/>
    </row>
    <row r="1800" spans="3:19">
      <c r="C1800" s="166"/>
      <c r="D1800" s="142"/>
    </row>
    <row r="1801" spans="3:19">
      <c r="C1801" s="166"/>
      <c r="D1801" s="142"/>
    </row>
    <row r="1802" spans="3:19">
      <c r="C1802" s="166"/>
      <c r="D1802" s="142"/>
    </row>
    <row r="1803" spans="3:19">
      <c r="C1803" s="166"/>
      <c r="D1803" s="142"/>
      <c r="S1803" s="94"/>
    </row>
    <row r="1804" spans="3:19">
      <c r="C1804" s="166"/>
      <c r="D1804" s="142"/>
      <c r="S1804" s="95"/>
    </row>
    <row r="1805" spans="3:19">
      <c r="C1805" s="166"/>
      <c r="D1805" s="142"/>
      <c r="S1805" s="95"/>
    </row>
    <row r="1806" spans="3:19">
      <c r="C1806" s="166"/>
      <c r="D1806" s="142"/>
      <c r="S1806" s="92"/>
    </row>
    <row r="1807" spans="3:19">
      <c r="C1807" s="166"/>
      <c r="D1807" s="142"/>
    </row>
    <row r="1808" spans="3:19">
      <c r="C1808" s="166"/>
      <c r="D1808" s="142"/>
    </row>
    <row r="1809" spans="3:4">
      <c r="C1809" s="166"/>
      <c r="D1809" s="142"/>
    </row>
    <row r="1810" spans="3:4">
      <c r="C1810" s="166"/>
      <c r="D1810" s="142"/>
    </row>
    <row r="1811" spans="3:4">
      <c r="C1811" s="166"/>
      <c r="D1811" s="142"/>
    </row>
    <row r="1812" spans="3:4">
      <c r="C1812" s="166"/>
      <c r="D1812" s="142"/>
    </row>
    <row r="1813" spans="3:4">
      <c r="C1813" s="166"/>
      <c r="D1813" s="142"/>
    </row>
    <row r="1814" spans="3:4">
      <c r="C1814" s="166"/>
      <c r="D1814" s="142"/>
    </row>
    <row r="1815" spans="3:4">
      <c r="C1815" s="166"/>
      <c r="D1815" s="142"/>
    </row>
    <row r="1816" spans="3:4">
      <c r="C1816" s="166"/>
      <c r="D1816" s="142"/>
    </row>
    <row r="1817" spans="3:4">
      <c r="C1817" s="166"/>
      <c r="D1817" s="142"/>
    </row>
    <row r="1818" spans="3:4">
      <c r="C1818" s="166"/>
      <c r="D1818" s="142"/>
    </row>
    <row r="1819" spans="3:4">
      <c r="C1819" s="166"/>
      <c r="D1819" s="142"/>
    </row>
    <row r="1820" spans="3:4">
      <c r="C1820" s="166"/>
      <c r="D1820" s="142"/>
    </row>
    <row r="1821" spans="3:4">
      <c r="C1821" s="166"/>
      <c r="D1821" s="142"/>
    </row>
    <row r="1822" spans="3:4">
      <c r="C1822" s="166"/>
      <c r="D1822" s="142"/>
    </row>
    <row r="1823" spans="3:4">
      <c r="C1823" s="166"/>
      <c r="D1823" s="142"/>
    </row>
    <row r="1824" spans="3:4">
      <c r="C1824" s="166"/>
      <c r="D1824" s="142"/>
    </row>
    <row r="1825" spans="3:11">
      <c r="C1825" s="166"/>
      <c r="D1825" s="142"/>
    </row>
    <row r="1826" spans="3:11">
      <c r="C1826" s="166"/>
      <c r="D1826" s="142"/>
    </row>
    <row r="1827" spans="3:11">
      <c r="C1827" s="166"/>
      <c r="D1827" s="142"/>
    </row>
    <row r="1828" spans="3:11">
      <c r="C1828" s="166"/>
      <c r="D1828" s="142"/>
    </row>
    <row r="1829" spans="3:11">
      <c r="C1829" s="166"/>
      <c r="D1829" s="142"/>
      <c r="K1829" s="62"/>
    </row>
    <row r="1830" spans="3:11">
      <c r="C1830" s="166"/>
      <c r="D1830" s="142"/>
      <c r="K1830" s="62"/>
    </row>
    <row r="1831" spans="3:11">
      <c r="C1831" s="166"/>
      <c r="D1831" s="142"/>
      <c r="K1831" s="62"/>
    </row>
    <row r="1832" spans="3:11">
      <c r="C1832" s="166"/>
      <c r="D1832" s="142"/>
      <c r="K1832" s="62"/>
    </row>
    <row r="1833" spans="3:11">
      <c r="C1833" s="166"/>
      <c r="D1833" s="142"/>
      <c r="K1833" s="62"/>
    </row>
    <row r="1834" spans="3:11">
      <c r="C1834" s="166"/>
      <c r="D1834" s="142"/>
      <c r="K1834" s="62"/>
    </row>
    <row r="1835" spans="3:11">
      <c r="C1835" s="166"/>
      <c r="D1835" s="142"/>
      <c r="K1835" s="62"/>
    </row>
    <row r="1836" spans="3:11">
      <c r="C1836" s="166"/>
      <c r="D1836" s="142"/>
      <c r="K1836" s="62"/>
    </row>
    <row r="1837" spans="3:11">
      <c r="C1837" s="166"/>
      <c r="D1837" s="142"/>
      <c r="K1837" s="62"/>
    </row>
    <row r="1838" spans="3:11">
      <c r="C1838" s="166"/>
      <c r="D1838" s="142"/>
      <c r="K1838" s="62"/>
    </row>
    <row r="1839" spans="3:11">
      <c r="C1839" s="166"/>
      <c r="D1839" s="142"/>
      <c r="K1839" s="62"/>
    </row>
    <row r="1840" spans="3:11">
      <c r="C1840" s="166"/>
      <c r="D1840" s="142"/>
      <c r="K1840" s="62"/>
    </row>
    <row r="1841" spans="3:15">
      <c r="C1841" s="166"/>
      <c r="D1841" s="142"/>
      <c r="K1841" s="62"/>
    </row>
    <row r="1842" spans="3:15">
      <c r="C1842" s="166"/>
      <c r="D1842" s="142"/>
      <c r="K1842" s="62"/>
    </row>
    <row r="1843" spans="3:15">
      <c r="C1843" s="166"/>
      <c r="D1843" s="142"/>
      <c r="K1843" s="62"/>
    </row>
    <row r="1844" spans="3:15">
      <c r="C1844" s="166"/>
      <c r="D1844" s="142"/>
      <c r="K1844" s="62"/>
    </row>
    <row r="1845" spans="3:15">
      <c r="C1845" s="166"/>
      <c r="D1845" s="142"/>
      <c r="K1845" s="62"/>
    </row>
    <row r="1846" spans="3:15">
      <c r="C1846" s="166"/>
      <c r="D1846" s="142"/>
      <c r="H1846" s="105"/>
      <c r="O1846" s="167"/>
    </row>
    <row r="1847" spans="3:15">
      <c r="C1847" s="166"/>
      <c r="D1847" s="142"/>
      <c r="O1847" s="168"/>
    </row>
    <row r="1848" spans="3:15">
      <c r="C1848" s="166"/>
      <c r="D1848" s="142"/>
      <c r="O1848" s="168"/>
    </row>
    <row r="1849" spans="3:15">
      <c r="C1849" s="166"/>
      <c r="D1849" s="142"/>
      <c r="O1849" s="168"/>
    </row>
    <row r="1850" spans="3:15">
      <c r="C1850" s="166"/>
      <c r="D1850" s="142"/>
      <c r="H1850" s="105"/>
      <c r="O1850" s="168"/>
    </row>
    <row r="1851" spans="3:15">
      <c r="C1851" s="166"/>
      <c r="D1851" s="142"/>
      <c r="O1851" s="168"/>
    </row>
    <row r="1852" spans="3:15">
      <c r="C1852" s="166"/>
      <c r="D1852" s="142"/>
      <c r="O1852" s="169"/>
    </row>
    <row r="1853" spans="3:15">
      <c r="C1853" s="166"/>
      <c r="D1853" s="142"/>
    </row>
    <row r="1854" spans="3:15">
      <c r="C1854" s="166"/>
      <c r="D1854" s="142"/>
    </row>
    <row r="1855" spans="3:15">
      <c r="C1855" s="166"/>
      <c r="D1855" s="142"/>
    </row>
    <row r="1856" spans="3:15">
      <c r="C1856" s="166"/>
      <c r="D1856" s="142"/>
    </row>
    <row r="1857" spans="3:19">
      <c r="C1857" s="166"/>
      <c r="D1857" s="142"/>
      <c r="S1857" s="94"/>
    </row>
    <row r="1858" spans="3:19">
      <c r="C1858" s="166"/>
      <c r="D1858" s="142"/>
      <c r="S1858" s="92"/>
    </row>
    <row r="1859" spans="3:19">
      <c r="C1859" s="166"/>
      <c r="D1859" s="142"/>
    </row>
    <row r="1860" spans="3:19">
      <c r="C1860" s="166"/>
      <c r="D1860" s="142"/>
      <c r="S1860" s="94"/>
    </row>
    <row r="1861" spans="3:19">
      <c r="C1861" s="166"/>
      <c r="D1861" s="142"/>
      <c r="S1861" s="92"/>
    </row>
    <row r="1862" spans="3:19">
      <c r="C1862" s="166"/>
      <c r="D1862" s="142"/>
      <c r="S1862" s="94"/>
    </row>
    <row r="1863" spans="3:19">
      <c r="C1863" s="166"/>
      <c r="D1863" s="142"/>
      <c r="S1863" s="92"/>
    </row>
    <row r="1864" spans="3:19">
      <c r="C1864" s="166"/>
      <c r="D1864" s="142"/>
    </row>
    <row r="1865" spans="3:19">
      <c r="C1865" s="166"/>
      <c r="D1865" s="142"/>
    </row>
  </sheetData>
  <autoFilter xmlns:etc="http://www.wps.cn/officeDocument/2017/etCustomData" ref="A1:W13" etc:filterBottomFollowUsedRange="0">
    <extLst/>
  </autoFilter>
  <mergeCells count="194">
    <mergeCell ref="O1846:O1852"/>
    <mergeCell ref="S3:S4"/>
    <mergeCell ref="S16:S17"/>
    <mergeCell ref="S18:S19"/>
    <mergeCell ref="S20:S21"/>
    <mergeCell ref="S22:S23"/>
    <mergeCell ref="S38:S39"/>
    <mergeCell ref="S57:S58"/>
    <mergeCell ref="S60:S61"/>
    <mergeCell ref="S62:S63"/>
    <mergeCell ref="S64:S65"/>
    <mergeCell ref="S66:S67"/>
    <mergeCell ref="S68:S69"/>
    <mergeCell ref="S70:S71"/>
    <mergeCell ref="S162:S163"/>
    <mergeCell ref="S259:S260"/>
    <mergeCell ref="S318:S319"/>
    <mergeCell ref="S345:S346"/>
    <mergeCell ref="S347:S348"/>
    <mergeCell ref="S349:S350"/>
    <mergeCell ref="S356:S357"/>
    <mergeCell ref="S388:S389"/>
    <mergeCell ref="S392:S393"/>
    <mergeCell ref="S395:S396"/>
    <mergeCell ref="S400:S401"/>
    <mergeCell ref="S405:S406"/>
    <mergeCell ref="S410:S412"/>
    <mergeCell ref="S435:S436"/>
    <mergeCell ref="S440:S441"/>
    <mergeCell ref="S442:S443"/>
    <mergeCell ref="S448:S449"/>
    <mergeCell ref="S451:S452"/>
    <mergeCell ref="S458:S459"/>
    <mergeCell ref="S460:S461"/>
    <mergeCell ref="S468:S469"/>
    <mergeCell ref="S474:S475"/>
    <mergeCell ref="S481:S482"/>
    <mergeCell ref="S483:S484"/>
    <mergeCell ref="S490:S491"/>
    <mergeCell ref="S540:S541"/>
    <mergeCell ref="S566:S567"/>
    <mergeCell ref="S580:S581"/>
    <mergeCell ref="S583:S584"/>
    <mergeCell ref="S588:S589"/>
    <mergeCell ref="S590:S591"/>
    <mergeCell ref="S592:S593"/>
    <mergeCell ref="S594:S595"/>
    <mergeCell ref="S597:S598"/>
    <mergeCell ref="S601:S602"/>
    <mergeCell ref="S604:S605"/>
    <mergeCell ref="S606:S607"/>
    <mergeCell ref="S608:S609"/>
    <mergeCell ref="S610:S611"/>
    <mergeCell ref="S613:S614"/>
    <mergeCell ref="S619:S620"/>
    <mergeCell ref="S621:S622"/>
    <mergeCell ref="S624:S625"/>
    <mergeCell ref="S629:S630"/>
    <mergeCell ref="S633:S634"/>
    <mergeCell ref="S641:S644"/>
    <mergeCell ref="S645:S646"/>
    <mergeCell ref="S647:S650"/>
    <mergeCell ref="S675:S676"/>
    <mergeCell ref="S686:S687"/>
    <mergeCell ref="S688:S689"/>
    <mergeCell ref="S690:S691"/>
    <mergeCell ref="S692:S693"/>
    <mergeCell ref="S697:S698"/>
    <mergeCell ref="S699:S700"/>
    <mergeCell ref="S701:S702"/>
    <mergeCell ref="S703:S704"/>
    <mergeCell ref="S705:S706"/>
    <mergeCell ref="S707:S708"/>
    <mergeCell ref="S709:S710"/>
    <mergeCell ref="S712:S713"/>
    <mergeCell ref="S717:S718"/>
    <mergeCell ref="S727:S728"/>
    <mergeCell ref="S729:S730"/>
    <mergeCell ref="S731:S732"/>
    <mergeCell ref="S733:S734"/>
    <mergeCell ref="S735:S736"/>
    <mergeCell ref="S737:S738"/>
    <mergeCell ref="S740:S741"/>
    <mergeCell ref="S745:S746"/>
    <mergeCell ref="S747:S748"/>
    <mergeCell ref="S794:S795"/>
    <mergeCell ref="S796:S797"/>
    <mergeCell ref="S798:S799"/>
    <mergeCell ref="S801:S802"/>
    <mergeCell ref="S804:S805"/>
    <mergeCell ref="S809:S810"/>
    <mergeCell ref="S814:S815"/>
    <mergeCell ref="S817:S818"/>
    <mergeCell ref="S821:S822"/>
    <mergeCell ref="S823:S824"/>
    <mergeCell ref="S845:S846"/>
    <mergeCell ref="S872:S873"/>
    <mergeCell ref="S874:S875"/>
    <mergeCell ref="S876:S877"/>
    <mergeCell ref="S878:S879"/>
    <mergeCell ref="S880:S881"/>
    <mergeCell ref="S903:S904"/>
    <mergeCell ref="S912:S914"/>
    <mergeCell ref="S924:S925"/>
    <mergeCell ref="S935:S936"/>
    <mergeCell ref="S944:S945"/>
    <mergeCell ref="S946:S947"/>
    <mergeCell ref="S948:S949"/>
    <mergeCell ref="S950:S951"/>
    <mergeCell ref="S952:S953"/>
    <mergeCell ref="S954:S955"/>
    <mergeCell ref="S956:S957"/>
    <mergeCell ref="S1051:S1052"/>
    <mergeCell ref="S1060:S1061"/>
    <mergeCell ref="S1112:S1113"/>
    <mergeCell ref="S1114:S1115"/>
    <mergeCell ref="S1121:S1122"/>
    <mergeCell ref="S1123:S1124"/>
    <mergeCell ref="S1134:S1135"/>
    <mergeCell ref="S1153:S1154"/>
    <mergeCell ref="S1155:S1156"/>
    <mergeCell ref="S1157:S1158"/>
    <mergeCell ref="S1183:S1184"/>
    <mergeCell ref="S1185:S1186"/>
    <mergeCell ref="S1187:S1188"/>
    <mergeCell ref="S1189:S1190"/>
    <mergeCell ref="S1191:S1192"/>
    <mergeCell ref="S1193:S1194"/>
    <mergeCell ref="S1195:S1196"/>
    <mergeCell ref="S1198:S1199"/>
    <mergeCell ref="S1212:S1213"/>
    <mergeCell ref="S1219:S1220"/>
    <mergeCell ref="S1228:S1229"/>
    <mergeCell ref="S1289:S1290"/>
    <mergeCell ref="S1351:S1352"/>
    <mergeCell ref="S1354:S1355"/>
    <mergeCell ref="S1367:S1368"/>
    <mergeCell ref="S1454:S1455"/>
    <mergeCell ref="S1457:S1458"/>
    <mergeCell ref="S1460:S1461"/>
    <mergeCell ref="S1478:S1479"/>
    <mergeCell ref="S1483:S1484"/>
    <mergeCell ref="S1488:S1489"/>
    <mergeCell ref="S1493:S1494"/>
    <mergeCell ref="S1510:S1512"/>
    <mergeCell ref="S1514:S1515"/>
    <mergeCell ref="S1522:S1523"/>
    <mergeCell ref="S1529:S1530"/>
    <mergeCell ref="S1532:S1539"/>
    <mergeCell ref="S1552:S1553"/>
    <mergeCell ref="S1567:S1568"/>
    <mergeCell ref="S1608:S1609"/>
    <mergeCell ref="S1613:S1614"/>
    <mergeCell ref="S1615:S1616"/>
    <mergeCell ref="S1617:S1618"/>
    <mergeCell ref="S1621:S1622"/>
    <mergeCell ref="S1628:S1630"/>
    <mergeCell ref="S1631:S1633"/>
    <mergeCell ref="S1635:S1636"/>
    <mergeCell ref="S1638:S1639"/>
    <mergeCell ref="S1640:S1642"/>
    <mergeCell ref="S1643:S1644"/>
    <mergeCell ref="S1645:S1646"/>
    <mergeCell ref="S1647:S1648"/>
    <mergeCell ref="S1674:S1675"/>
    <mergeCell ref="S1676:S1677"/>
    <mergeCell ref="S1678:S1679"/>
    <mergeCell ref="S1683:S1684"/>
    <mergeCell ref="S1685:S1687"/>
    <mergeCell ref="S1690:S1691"/>
    <mergeCell ref="S1697:S1698"/>
    <mergeCell ref="S1699:S1700"/>
    <mergeCell ref="S1714:S1717"/>
    <mergeCell ref="S1720:S1721"/>
    <mergeCell ref="S1723:S1724"/>
    <mergeCell ref="S1727:S1728"/>
    <mergeCell ref="S1737:S1738"/>
    <mergeCell ref="S1746:S1747"/>
    <mergeCell ref="S1750:S1751"/>
    <mergeCell ref="S1752:S1753"/>
    <mergeCell ref="S1754:S1755"/>
    <mergeCell ref="S1762:S1763"/>
    <mergeCell ref="S1764:S1765"/>
    <mergeCell ref="S1766:S1767"/>
    <mergeCell ref="S1768:S1769"/>
    <mergeCell ref="S1770:S1771"/>
    <mergeCell ref="S1772:S1773"/>
    <mergeCell ref="S1782:S1783"/>
    <mergeCell ref="S1786:S1787"/>
    <mergeCell ref="S1803:S1806"/>
    <mergeCell ref="S1857:S1858"/>
    <mergeCell ref="S1860:S1861"/>
    <mergeCell ref="S1862:S1863"/>
    <mergeCell ref="U131:U132"/>
  </mergeCell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6"/>
  <sheetViews>
    <sheetView workbookViewId="0">
      <selection activeCell="C7" sqref="C7"/>
    </sheetView>
  </sheetViews>
  <sheetFormatPr defaultColWidth="8.72727272727273" defaultRowHeight="14" outlineLevelCol="5"/>
  <cols>
    <col min="1" max="1" width="11.9090909090909"/>
    <col min="2" max="2" width="7.72727272727273"/>
    <col min="3" max="4" width="28.6363636363636"/>
    <col min="5" max="6" width="12.8181818181818"/>
  </cols>
  <sheetData>
    <row r="3" spans="1:6">
      <c r="A3" t="s">
        <v>1</v>
      </c>
      <c r="B3" t="s">
        <v>14</v>
      </c>
      <c r="C3" t="s">
        <v>126</v>
      </c>
      <c r="D3" t="s">
        <v>127</v>
      </c>
      <c r="F3" t="s">
        <v>165</v>
      </c>
    </row>
    <row r="4" spans="1:6">
      <c r="A4" t="s">
        <v>166</v>
      </c>
      <c r="D4" s="153">
        <v>0</v>
      </c>
    </row>
    <row r="5" spans="1:6">
      <c r="B5" t="s">
        <v>166</v>
      </c>
      <c r="D5" s="153"/>
      <c r="E5" s="154"/>
    </row>
    <row r="6" spans="1:6">
      <c r="A6">
        <v>5</v>
      </c>
      <c r="C6">
        <v>2667692.03</v>
      </c>
      <c r="D6" s="153">
        <v>0.0661659889324385</v>
      </c>
    </row>
    <row r="7" spans="1:6">
      <c r="B7" t="s">
        <v>27</v>
      </c>
      <c r="C7">
        <v>1640295.71</v>
      </c>
      <c r="D7" s="153">
        <v>0.614874465100831</v>
      </c>
    </row>
    <row r="8" spans="1:6">
      <c r="B8" t="s">
        <v>43</v>
      </c>
      <c r="C8">
        <v>810951.15</v>
      </c>
      <c r="D8" s="153">
        <v>0.303989793754416</v>
      </c>
    </row>
    <row r="9" spans="1:6">
      <c r="B9" t="s">
        <v>167</v>
      </c>
      <c r="C9">
        <v>216445.17</v>
      </c>
      <c r="D9" s="153">
        <v>0.0811357411447528</v>
      </c>
    </row>
    <row r="10" spans="1:6">
      <c r="A10">
        <v>4</v>
      </c>
      <c r="C10">
        <v>6080023.25</v>
      </c>
      <c r="D10" s="153">
        <v>0.150801046951611</v>
      </c>
    </row>
    <row r="11" spans="1:6">
      <c r="B11" t="s">
        <v>27</v>
      </c>
      <c r="C11">
        <v>2728259.03</v>
      </c>
      <c r="D11" s="153">
        <v>0.448725098214057</v>
      </c>
    </row>
    <row r="12" spans="1:6">
      <c r="B12" t="s">
        <v>43</v>
      </c>
      <c r="C12">
        <v>2288180.47</v>
      </c>
      <c r="D12" s="153">
        <v>0.37634403289494</v>
      </c>
    </row>
    <row r="13" spans="1:6">
      <c r="B13" t="s">
        <v>167</v>
      </c>
      <c r="C13">
        <v>1063583.75</v>
      </c>
      <c r="D13" s="153">
        <v>0.174930868891003</v>
      </c>
    </row>
    <row r="14" spans="1:6">
      <c r="A14">
        <v>3</v>
      </c>
      <c r="C14">
        <v>9090386.73</v>
      </c>
      <c r="D14" s="153">
        <v>0.225466216116695</v>
      </c>
    </row>
    <row r="15" spans="1:6">
      <c r="B15" t="s">
        <v>27</v>
      </c>
      <c r="C15">
        <v>4521633.73</v>
      </c>
      <c r="D15" s="153">
        <v>0.497408291231192</v>
      </c>
    </row>
    <row r="16" spans="1:6">
      <c r="B16" t="s">
        <v>43</v>
      </c>
      <c r="C16">
        <v>2565004.03</v>
      </c>
      <c r="D16" s="153">
        <v>0.282166656511433</v>
      </c>
    </row>
    <row r="17" spans="1:4">
      <c r="B17" t="s">
        <v>167</v>
      </c>
      <c r="C17">
        <v>2003748.97</v>
      </c>
      <c r="D17" s="153">
        <v>0.220425052257375</v>
      </c>
    </row>
    <row r="18" spans="1:4">
      <c r="A18">
        <v>2</v>
      </c>
      <c r="C18">
        <v>12976816.64</v>
      </c>
      <c r="D18" s="153">
        <v>0.321860205947582</v>
      </c>
    </row>
    <row r="19" spans="1:4">
      <c r="B19" t="s">
        <v>27</v>
      </c>
      <c r="C19">
        <v>7435012.06</v>
      </c>
      <c r="D19" s="153">
        <v>0.572945759060983</v>
      </c>
    </row>
    <row r="20" spans="1:4">
      <c r="B20" t="s">
        <v>43</v>
      </c>
      <c r="C20">
        <v>3627417.92</v>
      </c>
      <c r="D20" s="153">
        <v>0.279530644581875</v>
      </c>
    </row>
    <row r="21" spans="1:4">
      <c r="B21" t="s">
        <v>167</v>
      </c>
      <c r="C21">
        <v>1914386.66</v>
      </c>
      <c r="D21" s="153">
        <v>0.147523596357142</v>
      </c>
    </row>
    <row r="22" spans="1:4">
      <c r="A22">
        <v>1</v>
      </c>
      <c r="C22">
        <v>9503258</v>
      </c>
      <c r="D22" s="153">
        <v>0.235706542051673</v>
      </c>
    </row>
    <row r="23" spans="1:4">
      <c r="B23" t="s">
        <v>27</v>
      </c>
      <c r="C23">
        <v>5326866.81</v>
      </c>
      <c r="D23" s="153">
        <v>0.560530589614635</v>
      </c>
    </row>
    <row r="24" spans="1:4">
      <c r="B24" t="s">
        <v>43</v>
      </c>
      <c r="C24">
        <v>3824307.66</v>
      </c>
      <c r="D24" s="153">
        <v>0.402420691935334</v>
      </c>
    </row>
    <row r="25" spans="1:4">
      <c r="B25" t="s">
        <v>167</v>
      </c>
      <c r="C25">
        <v>352083.53</v>
      </c>
      <c r="D25" s="153">
        <v>0.0370487184500305</v>
      </c>
    </row>
    <row r="26" spans="1:4">
      <c r="A26" t="s">
        <v>128</v>
      </c>
      <c r="C26">
        <v>40318176.65</v>
      </c>
      <c r="D26" s="153">
        <v>1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9"/>
  </sheetPr>
  <dimension ref="A1:W2125"/>
  <sheetViews>
    <sheetView tabSelected="1" zoomScale="80" zoomScaleNormal="80" workbookViewId="0">
      <pane ySplit="1" topLeftCell="A114" activePane="bottomLeft" state="frozen"/>
      <selection/>
      <selection pane="bottomLeft" activeCell="E137" sqref="E137"/>
    </sheetView>
  </sheetViews>
  <sheetFormatPr defaultColWidth="9.81818181818182" defaultRowHeight="14"/>
  <cols>
    <col min="1" max="1" width="5.54545454545455" style="61" customWidth="1"/>
    <col min="2" max="2" width="4.88181818181818" style="62" customWidth="1"/>
    <col min="3" max="3" width="14" style="63" customWidth="1"/>
    <col min="4" max="4" width="9.72727272727273" style="63" customWidth="1"/>
    <col min="5" max="5" width="11.8181818181818" style="64" customWidth="1"/>
    <col min="6" max="6" width="14" style="64" customWidth="1"/>
    <col min="7" max="7" width="10.2272727272727" style="62" customWidth="1"/>
    <col min="8" max="8" width="12.9090909090909" style="62" customWidth="1"/>
    <col min="9" max="9" width="10.6363636363636" style="62" customWidth="1"/>
    <col min="10" max="10" width="6.36363636363636" style="62" customWidth="1"/>
    <col min="11" max="11" width="9.72727272727273" style="65" customWidth="1"/>
    <col min="12" max="12" width="13.5818181818182" style="65" customWidth="1"/>
    <col min="13" max="13" width="9.54545454545454" style="62" customWidth="1"/>
    <col min="14" max="14" width="15.1818181818182" style="62" customWidth="1"/>
    <col min="15" max="15" width="8.62727272727273" style="66" customWidth="1"/>
    <col min="16" max="16" width="9.54545454545454" style="62" customWidth="1"/>
    <col min="17" max="17" width="17.3636363636364" style="62" customWidth="1"/>
    <col min="18" max="18" width="18.5454545454545" style="65" customWidth="1"/>
    <col min="19" max="19" width="14.0909090909091" style="62" customWidth="1"/>
    <col min="20" max="20" width="8.76363636363636" style="62" customWidth="1"/>
    <col min="21" max="21" width="10.5636363636364" style="67" customWidth="1"/>
    <col min="22" max="22" width="12.8181818181818" style="58"/>
    <col min="23" max="16384" width="9.81818181818182" style="58"/>
  </cols>
  <sheetData>
    <row r="1" s="56" customFormat="1" ht="37" customHeight="1" spans="1:22">
      <c r="A1" s="68" t="s">
        <v>0</v>
      </c>
      <c r="B1" s="69" t="s">
        <v>1</v>
      </c>
      <c r="C1" s="69" t="s">
        <v>121</v>
      </c>
      <c r="D1" s="69" t="s">
        <v>2</v>
      </c>
      <c r="E1" s="70" t="s">
        <v>3</v>
      </c>
      <c r="F1" s="69" t="s">
        <v>4</v>
      </c>
      <c r="G1" s="69" t="s">
        <v>5</v>
      </c>
      <c r="H1" s="69" t="s">
        <v>6</v>
      </c>
      <c r="I1" s="69" t="s">
        <v>7</v>
      </c>
      <c r="J1" s="71" t="s">
        <v>8</v>
      </c>
      <c r="K1" s="72" t="s">
        <v>9</v>
      </c>
      <c r="L1" s="72" t="s">
        <v>10</v>
      </c>
      <c r="M1" s="19" t="s">
        <v>11</v>
      </c>
      <c r="N1" s="19" t="s">
        <v>12</v>
      </c>
      <c r="O1" s="73" t="s">
        <v>13</v>
      </c>
      <c r="P1" s="74" t="s">
        <v>14</v>
      </c>
      <c r="Q1" s="74" t="s">
        <v>129</v>
      </c>
      <c r="R1" s="75" t="s">
        <v>15</v>
      </c>
      <c r="S1" s="76" t="s">
        <v>16</v>
      </c>
      <c r="T1" s="77" t="s">
        <v>17</v>
      </c>
      <c r="U1" s="78" t="s">
        <v>18</v>
      </c>
      <c r="V1" s="74" t="s">
        <v>15</v>
      </c>
    </row>
    <row r="2" s="57" customFormat="1" hidden="1" customHeight="1" spans="1:22">
      <c r="A2" s="61">
        <f>1</f>
        <v>1</v>
      </c>
      <c r="B2" s="62">
        <v>1</v>
      </c>
      <c r="C2" s="79" t="s">
        <v>168</v>
      </c>
      <c r="D2" s="61">
        <v>20260103</v>
      </c>
      <c r="E2" s="64" t="s">
        <v>20</v>
      </c>
      <c r="F2" s="62" t="s">
        <v>21</v>
      </c>
      <c r="G2" s="62" t="s">
        <v>169</v>
      </c>
      <c r="H2" s="62" t="s">
        <v>170</v>
      </c>
      <c r="I2" s="62">
        <v>6676</v>
      </c>
      <c r="J2" s="62" t="s">
        <v>24</v>
      </c>
      <c r="K2" s="80">
        <v>42.7</v>
      </c>
      <c r="L2" s="65">
        <f t="shared" ref="L2:L65" si="0">I2*K2</f>
        <v>285065.2</v>
      </c>
      <c r="M2" s="62" t="s">
        <v>36</v>
      </c>
      <c r="N2" s="81" t="s">
        <v>171</v>
      </c>
      <c r="O2" s="61">
        <v>33</v>
      </c>
      <c r="P2" s="62" t="s">
        <v>43</v>
      </c>
      <c r="Q2" s="62"/>
      <c r="R2" s="62"/>
      <c r="S2" s="62">
        <v>5</v>
      </c>
      <c r="T2" s="62"/>
      <c r="U2" s="82"/>
    </row>
    <row r="3" s="57" customFormat="1" hidden="1" customHeight="1" spans="1:22">
      <c r="A3" s="61">
        <f t="shared" ref="A3:A66" si="1">A2+1</f>
        <v>2</v>
      </c>
      <c r="B3" s="62">
        <v>1</v>
      </c>
      <c r="C3" s="79" t="s">
        <v>168</v>
      </c>
      <c r="D3" s="61">
        <v>20260103</v>
      </c>
      <c r="E3" s="64" t="s">
        <v>20</v>
      </c>
      <c r="F3" s="62" t="s">
        <v>21</v>
      </c>
      <c r="G3" s="62" t="s">
        <v>172</v>
      </c>
      <c r="H3" s="62" t="s">
        <v>173</v>
      </c>
      <c r="I3" s="62">
        <v>7752</v>
      </c>
      <c r="J3" s="62" t="s">
        <v>24</v>
      </c>
      <c r="K3" s="80">
        <v>32.49</v>
      </c>
      <c r="L3" s="65">
        <f t="shared" si="0"/>
        <v>251862.48</v>
      </c>
      <c r="M3" s="62" t="s">
        <v>36</v>
      </c>
      <c r="N3" s="81" t="s">
        <v>174</v>
      </c>
      <c r="O3" s="61">
        <v>29.03</v>
      </c>
      <c r="P3" s="62" t="s">
        <v>43</v>
      </c>
      <c r="Q3" s="62"/>
      <c r="R3" s="62"/>
      <c r="S3" s="62">
        <v>1</v>
      </c>
      <c r="T3" s="62"/>
      <c r="U3" s="80"/>
    </row>
    <row r="4" s="57" customFormat="1" hidden="1" customHeight="1" spans="1:22">
      <c r="A4" s="61">
        <f t="shared" si="1"/>
        <v>3</v>
      </c>
      <c r="B4" s="62">
        <v>1</v>
      </c>
      <c r="C4" s="79" t="s">
        <v>168</v>
      </c>
      <c r="D4" s="61">
        <v>20260107</v>
      </c>
      <c r="E4" s="64" t="s">
        <v>20</v>
      </c>
      <c r="F4" s="62" t="s">
        <v>21</v>
      </c>
      <c r="G4" s="62" t="s">
        <v>32</v>
      </c>
      <c r="H4" s="62" t="s">
        <v>131</v>
      </c>
      <c r="I4" s="62">
        <v>47844</v>
      </c>
      <c r="J4" s="62" t="s">
        <v>24</v>
      </c>
      <c r="K4" s="80">
        <v>9.01</v>
      </c>
      <c r="L4" s="65">
        <f t="shared" si="0"/>
        <v>431074.44</v>
      </c>
      <c r="M4" s="62" t="s">
        <v>36</v>
      </c>
      <c r="N4" s="81" t="s">
        <v>175</v>
      </c>
      <c r="O4" s="66">
        <v>7.9912</v>
      </c>
      <c r="P4" s="62" t="s">
        <v>27</v>
      </c>
      <c r="Q4" s="62"/>
      <c r="R4" s="62"/>
      <c r="S4" s="62">
        <v>2</v>
      </c>
      <c r="T4" s="62"/>
      <c r="U4" s="80"/>
    </row>
    <row r="5" s="57" customFormat="1" hidden="1" customHeight="1" spans="1:22">
      <c r="A5" s="61">
        <f t="shared" si="1"/>
        <v>4</v>
      </c>
      <c r="B5" s="62">
        <v>1</v>
      </c>
      <c r="C5" s="79" t="s">
        <v>168</v>
      </c>
      <c r="D5" s="61">
        <v>20260107</v>
      </c>
      <c r="E5" s="64" t="s">
        <v>20</v>
      </c>
      <c r="F5" s="62" t="s">
        <v>21</v>
      </c>
      <c r="G5" s="62" t="s">
        <v>41</v>
      </c>
      <c r="H5" s="62" t="s">
        <v>176</v>
      </c>
      <c r="I5" s="62">
        <v>32470</v>
      </c>
      <c r="J5" s="62" t="s">
        <v>24</v>
      </c>
      <c r="K5" s="80">
        <v>32.49</v>
      </c>
      <c r="L5" s="65">
        <f t="shared" si="0"/>
        <v>1054950.3</v>
      </c>
      <c r="M5" s="62" t="s">
        <v>36</v>
      </c>
      <c r="N5" s="81" t="s">
        <v>177</v>
      </c>
      <c r="O5" s="61">
        <v>28.838</v>
      </c>
      <c r="P5" s="62" t="s">
        <v>27</v>
      </c>
      <c r="Q5" s="62"/>
      <c r="R5" s="62"/>
      <c r="S5" s="62" t="s">
        <v>178</v>
      </c>
      <c r="T5" s="62"/>
      <c r="U5" s="80"/>
    </row>
    <row r="6" s="57" customFormat="1" hidden="1" customHeight="1" spans="1:22">
      <c r="A6" s="61">
        <f t="shared" si="1"/>
        <v>5</v>
      </c>
      <c r="B6" s="62">
        <v>1</v>
      </c>
      <c r="C6" s="79" t="s">
        <v>168</v>
      </c>
      <c r="D6" s="61">
        <v>20260108</v>
      </c>
      <c r="E6" s="64" t="s">
        <v>20</v>
      </c>
      <c r="F6" s="62" t="s">
        <v>21</v>
      </c>
      <c r="G6" s="62" t="s">
        <v>172</v>
      </c>
      <c r="H6" s="62" t="s">
        <v>179</v>
      </c>
      <c r="I6" s="62">
        <v>154</v>
      </c>
      <c r="J6" s="62" t="s">
        <v>24</v>
      </c>
      <c r="K6" s="80">
        <v>32.49</v>
      </c>
      <c r="L6" s="65">
        <f t="shared" si="0"/>
        <v>5003.46</v>
      </c>
      <c r="M6" s="62" t="s">
        <v>36</v>
      </c>
      <c r="N6" s="81" t="s">
        <v>180</v>
      </c>
      <c r="O6" s="61">
        <v>28.81</v>
      </c>
      <c r="P6" s="62" t="s">
        <v>43</v>
      </c>
      <c r="Q6" s="62"/>
      <c r="R6" s="62"/>
      <c r="S6" s="62">
        <v>1</v>
      </c>
      <c r="T6" s="62"/>
      <c r="U6" s="82"/>
    </row>
    <row r="7" s="57" customFormat="1" hidden="1" customHeight="1" spans="1:22">
      <c r="A7" s="61">
        <f t="shared" si="1"/>
        <v>6</v>
      </c>
      <c r="B7" s="62">
        <v>1</v>
      </c>
      <c r="C7" s="79" t="s">
        <v>168</v>
      </c>
      <c r="D7" s="61">
        <v>20260108</v>
      </c>
      <c r="E7" s="64" t="s">
        <v>20</v>
      </c>
      <c r="F7" s="62" t="s">
        <v>21</v>
      </c>
      <c r="G7" s="62" t="s">
        <v>59</v>
      </c>
      <c r="H7" s="62" t="s">
        <v>176</v>
      </c>
      <c r="I7" s="62">
        <v>1495</v>
      </c>
      <c r="J7" s="62" t="s">
        <v>24</v>
      </c>
      <c r="K7" s="80">
        <v>32.49</v>
      </c>
      <c r="L7" s="65">
        <f t="shared" si="0"/>
        <v>48572.55</v>
      </c>
      <c r="M7" s="62" t="s">
        <v>36</v>
      </c>
      <c r="N7" s="81" t="s">
        <v>181</v>
      </c>
      <c r="O7" s="83">
        <v>27.863537</v>
      </c>
      <c r="P7" s="62" t="s">
        <v>43</v>
      </c>
      <c r="Q7" s="62"/>
      <c r="R7" s="62"/>
      <c r="S7" s="62">
        <v>2</v>
      </c>
      <c r="T7" s="62"/>
      <c r="U7" s="82"/>
    </row>
    <row r="8" s="57" customFormat="1" hidden="1" customHeight="1" spans="1:22">
      <c r="A8" s="61">
        <f t="shared" si="1"/>
        <v>7</v>
      </c>
      <c r="B8" s="62">
        <v>1</v>
      </c>
      <c r="C8" s="79" t="s">
        <v>168</v>
      </c>
      <c r="D8" s="61">
        <v>20260112</v>
      </c>
      <c r="E8" s="64" t="s">
        <v>20</v>
      </c>
      <c r="F8" s="62" t="s">
        <v>21</v>
      </c>
      <c r="G8" s="62" t="s">
        <v>134</v>
      </c>
      <c r="H8" s="62" t="s">
        <v>131</v>
      </c>
      <c r="I8" s="62">
        <v>38913</v>
      </c>
      <c r="J8" s="62" t="s">
        <v>24</v>
      </c>
      <c r="K8" s="80">
        <v>9.01</v>
      </c>
      <c r="L8" s="65">
        <f t="shared" si="0"/>
        <v>350606.13</v>
      </c>
      <c r="M8" s="62" t="s">
        <v>36</v>
      </c>
      <c r="N8" s="81" t="s">
        <v>182</v>
      </c>
      <c r="O8" s="83">
        <v>8.02</v>
      </c>
      <c r="P8" s="62" t="s">
        <v>27</v>
      </c>
      <c r="Q8" s="62"/>
      <c r="R8" s="62"/>
      <c r="S8" s="62">
        <v>9</v>
      </c>
      <c r="T8" s="62"/>
      <c r="U8" s="82"/>
    </row>
    <row r="9" s="58" customFormat="1" hidden="1" customHeight="1" spans="1:22">
      <c r="A9" s="61">
        <f t="shared" si="1"/>
        <v>8</v>
      </c>
      <c r="B9" s="62">
        <v>1</v>
      </c>
      <c r="C9" s="79" t="s">
        <v>168</v>
      </c>
      <c r="D9" s="61">
        <v>20260113</v>
      </c>
      <c r="E9" s="64" t="s">
        <v>20</v>
      </c>
      <c r="F9" s="62" t="s">
        <v>21</v>
      </c>
      <c r="G9" s="62" t="s">
        <v>59</v>
      </c>
      <c r="H9" s="62" t="s">
        <v>179</v>
      </c>
      <c r="I9" s="62">
        <v>28001</v>
      </c>
      <c r="J9" s="62" t="s">
        <v>24</v>
      </c>
      <c r="K9" s="80">
        <v>32.49</v>
      </c>
      <c r="L9" s="65">
        <f t="shared" si="0"/>
        <v>909752.49</v>
      </c>
      <c r="M9" s="62" t="s">
        <v>36</v>
      </c>
      <c r="N9" s="81" t="s">
        <v>183</v>
      </c>
      <c r="O9" s="66">
        <v>27.776964</v>
      </c>
      <c r="P9" s="62" t="s">
        <v>27</v>
      </c>
      <c r="Q9" s="62"/>
      <c r="R9" s="62"/>
      <c r="S9" s="62"/>
      <c r="T9" s="62"/>
      <c r="U9" s="67"/>
    </row>
    <row r="10" s="58" customFormat="1" hidden="1" customHeight="1" spans="1:22">
      <c r="A10" s="61">
        <f t="shared" si="1"/>
        <v>9</v>
      </c>
      <c r="B10" s="62">
        <v>1</v>
      </c>
      <c r="C10" s="79" t="s">
        <v>168</v>
      </c>
      <c r="D10" s="61">
        <v>20260114</v>
      </c>
      <c r="E10" s="64" t="s">
        <v>20</v>
      </c>
      <c r="F10" s="62" t="s">
        <v>21</v>
      </c>
      <c r="G10" s="62" t="s">
        <v>172</v>
      </c>
      <c r="H10" s="62" t="s">
        <v>179</v>
      </c>
      <c r="I10" s="62">
        <v>149</v>
      </c>
      <c r="J10" s="62" t="s">
        <v>24</v>
      </c>
      <c r="K10" s="80">
        <v>32.49</v>
      </c>
      <c r="L10" s="65">
        <f t="shared" si="0"/>
        <v>4841.01</v>
      </c>
      <c r="M10" s="62" t="s">
        <v>36</v>
      </c>
      <c r="N10" s="11" t="s">
        <v>184</v>
      </c>
      <c r="O10" s="61">
        <v>28.81</v>
      </c>
      <c r="P10" s="62" t="s">
        <v>27</v>
      </c>
      <c r="Q10" s="62"/>
      <c r="R10" s="62"/>
      <c r="S10" s="62">
        <v>1</v>
      </c>
      <c r="T10" s="62"/>
      <c r="U10" s="67"/>
    </row>
    <row r="11" s="59" customFormat="1" hidden="1" customHeight="1" spans="1:22">
      <c r="A11" s="61">
        <f t="shared" si="1"/>
        <v>10</v>
      </c>
      <c r="B11" s="62">
        <v>1</v>
      </c>
      <c r="C11" s="79" t="s">
        <v>168</v>
      </c>
      <c r="D11" s="61">
        <v>20260116</v>
      </c>
      <c r="E11" s="64" t="s">
        <v>20</v>
      </c>
      <c r="F11" s="62" t="s">
        <v>21</v>
      </c>
      <c r="G11" s="62" t="s">
        <v>32</v>
      </c>
      <c r="H11" s="62" t="s">
        <v>148</v>
      </c>
      <c r="I11" s="62">
        <v>1897</v>
      </c>
      <c r="J11" s="62" t="s">
        <v>24</v>
      </c>
      <c r="K11" s="80">
        <v>9.01</v>
      </c>
      <c r="L11" s="65">
        <f t="shared" si="0"/>
        <v>17091.97</v>
      </c>
      <c r="M11" s="62" t="s">
        <v>36</v>
      </c>
      <c r="N11" s="11" t="s">
        <v>185</v>
      </c>
      <c r="O11" s="66">
        <v>7.7284</v>
      </c>
      <c r="P11" s="62" t="s">
        <v>27</v>
      </c>
      <c r="Q11" s="62"/>
      <c r="R11" s="62"/>
      <c r="S11" s="62" t="s">
        <v>186</v>
      </c>
      <c r="T11" s="62"/>
      <c r="U11" s="67"/>
    </row>
    <row r="12" s="59" customFormat="1" hidden="1" customHeight="1" spans="1:22">
      <c r="A12" s="61">
        <f t="shared" si="1"/>
        <v>11</v>
      </c>
      <c r="B12" s="62">
        <v>1</v>
      </c>
      <c r="C12" s="79" t="s">
        <v>168</v>
      </c>
      <c r="D12" s="61">
        <v>20260116</v>
      </c>
      <c r="E12" s="64" t="s">
        <v>20</v>
      </c>
      <c r="F12" s="62" t="s">
        <v>21</v>
      </c>
      <c r="G12" s="62" t="s">
        <v>32</v>
      </c>
      <c r="H12" s="62" t="s">
        <v>131</v>
      </c>
      <c r="I12" s="62">
        <v>119191</v>
      </c>
      <c r="J12" s="62" t="s">
        <v>24</v>
      </c>
      <c r="K12" s="80">
        <v>9.01</v>
      </c>
      <c r="L12" s="65">
        <f t="shared" si="0"/>
        <v>1073910.91</v>
      </c>
      <c r="M12" s="62" t="s">
        <v>36</v>
      </c>
      <c r="N12" s="11" t="s">
        <v>185</v>
      </c>
      <c r="O12" s="66">
        <v>7.9911</v>
      </c>
      <c r="P12" s="62" t="s">
        <v>27</v>
      </c>
      <c r="Q12" s="62"/>
      <c r="R12" s="62"/>
      <c r="S12" s="62" t="s">
        <v>187</v>
      </c>
      <c r="T12" s="62"/>
      <c r="U12" s="67"/>
    </row>
    <row r="13" s="59" customFormat="1" hidden="1" customHeight="1" spans="1:22">
      <c r="A13" s="61">
        <f t="shared" si="1"/>
        <v>12</v>
      </c>
      <c r="B13" s="62">
        <v>1</v>
      </c>
      <c r="C13" s="79" t="s">
        <v>168</v>
      </c>
      <c r="D13" s="61">
        <v>20260119</v>
      </c>
      <c r="E13" s="64" t="s">
        <v>20</v>
      </c>
      <c r="F13" s="62" t="s">
        <v>21</v>
      </c>
      <c r="G13" s="62" t="s">
        <v>169</v>
      </c>
      <c r="H13" s="62" t="s">
        <v>170</v>
      </c>
      <c r="I13" s="62">
        <v>28916</v>
      </c>
      <c r="J13" s="62" t="s">
        <v>24</v>
      </c>
      <c r="K13" s="80">
        <v>42.7</v>
      </c>
      <c r="L13" s="65">
        <f t="shared" si="0"/>
        <v>1234713.2</v>
      </c>
      <c r="M13" s="62" t="s">
        <v>36</v>
      </c>
      <c r="N13" s="11" t="s">
        <v>188</v>
      </c>
      <c r="O13" s="66">
        <v>33</v>
      </c>
      <c r="P13" s="62" t="s">
        <v>43</v>
      </c>
      <c r="Q13" s="62"/>
      <c r="R13" s="62"/>
      <c r="S13" s="62">
        <v>13</v>
      </c>
      <c r="T13" s="62"/>
      <c r="U13" s="67"/>
    </row>
    <row r="14" s="59" customFormat="1" hidden="1" customHeight="1" spans="1:22">
      <c r="A14" s="61">
        <f t="shared" si="1"/>
        <v>13</v>
      </c>
      <c r="B14" s="62">
        <v>1</v>
      </c>
      <c r="C14" s="79" t="s">
        <v>168</v>
      </c>
      <c r="D14" s="61">
        <v>20260119</v>
      </c>
      <c r="E14" s="64" t="s">
        <v>20</v>
      </c>
      <c r="F14" s="62" t="s">
        <v>21</v>
      </c>
      <c r="G14" s="62" t="s">
        <v>59</v>
      </c>
      <c r="H14" s="62" t="s">
        <v>189</v>
      </c>
      <c r="I14" s="62">
        <v>944</v>
      </c>
      <c r="J14" s="62" t="s">
        <v>24</v>
      </c>
      <c r="K14" s="65">
        <v>17.82</v>
      </c>
      <c r="L14" s="65">
        <f t="shared" si="0"/>
        <v>16822.08</v>
      </c>
      <c r="M14" s="62" t="s">
        <v>36</v>
      </c>
      <c r="N14" s="11" t="s">
        <v>190</v>
      </c>
      <c r="O14" s="66">
        <v>14.055678</v>
      </c>
      <c r="P14" s="62" t="s">
        <v>43</v>
      </c>
      <c r="Q14" s="62"/>
      <c r="R14" s="62"/>
      <c r="S14" s="62">
        <v>1</v>
      </c>
      <c r="T14" s="62"/>
      <c r="U14" s="67"/>
    </row>
    <row r="15" s="59" customFormat="1" hidden="1" customHeight="1" spans="1:22">
      <c r="A15" s="61">
        <f t="shared" si="1"/>
        <v>14</v>
      </c>
      <c r="B15" s="62">
        <v>1</v>
      </c>
      <c r="C15" s="79" t="s">
        <v>168</v>
      </c>
      <c r="D15" s="61">
        <v>20260120</v>
      </c>
      <c r="E15" s="64" t="s">
        <v>20</v>
      </c>
      <c r="F15" s="62" t="s">
        <v>21</v>
      </c>
      <c r="G15" s="62" t="s">
        <v>134</v>
      </c>
      <c r="H15" s="62" t="s">
        <v>131</v>
      </c>
      <c r="I15" s="62">
        <v>7166</v>
      </c>
      <c r="J15" s="62" t="s">
        <v>24</v>
      </c>
      <c r="K15" s="65">
        <v>9.01</v>
      </c>
      <c r="L15" s="65">
        <f t="shared" si="0"/>
        <v>64565.66</v>
      </c>
      <c r="M15" s="62" t="s">
        <v>36</v>
      </c>
      <c r="N15" s="11" t="s">
        <v>191</v>
      </c>
      <c r="O15" s="66">
        <v>8.02</v>
      </c>
      <c r="P15" s="62" t="s">
        <v>27</v>
      </c>
      <c r="Q15" s="62"/>
      <c r="R15" s="62"/>
      <c r="S15" s="62">
        <v>2</v>
      </c>
      <c r="T15" s="62"/>
      <c r="U15" s="67"/>
    </row>
    <row r="16" s="59" customFormat="1" hidden="1" customHeight="1" spans="1:22">
      <c r="A16" s="61">
        <f t="shared" si="1"/>
        <v>15</v>
      </c>
      <c r="B16" s="62">
        <v>1</v>
      </c>
      <c r="C16" s="79" t="s">
        <v>168</v>
      </c>
      <c r="D16" s="61">
        <v>20260120</v>
      </c>
      <c r="E16" s="64" t="s">
        <v>20</v>
      </c>
      <c r="F16" s="62" t="s">
        <v>21</v>
      </c>
      <c r="G16" s="62" t="s">
        <v>59</v>
      </c>
      <c r="H16" s="62" t="s">
        <v>131</v>
      </c>
      <c r="I16" s="62">
        <v>3800</v>
      </c>
      <c r="J16" s="62" t="s">
        <v>24</v>
      </c>
      <c r="K16" s="65">
        <v>9.01</v>
      </c>
      <c r="L16" s="65">
        <f t="shared" si="0"/>
        <v>34238</v>
      </c>
      <c r="M16" s="62" t="s">
        <v>36</v>
      </c>
      <c r="N16" s="11" t="s">
        <v>192</v>
      </c>
      <c r="O16" s="66">
        <v>8.008001</v>
      </c>
      <c r="P16" s="62" t="s">
        <v>167</v>
      </c>
      <c r="Q16" s="62"/>
      <c r="R16" s="62"/>
      <c r="S16" s="62">
        <v>1</v>
      </c>
      <c r="T16" s="62"/>
      <c r="U16" s="67"/>
    </row>
    <row r="17" s="59" customFormat="1" hidden="1" customHeight="1" spans="1:21">
      <c r="A17" s="61">
        <f t="shared" si="1"/>
        <v>16</v>
      </c>
      <c r="B17" s="62">
        <v>1</v>
      </c>
      <c r="C17" s="79" t="s">
        <v>168</v>
      </c>
      <c r="D17" s="61">
        <v>20260121</v>
      </c>
      <c r="E17" s="64" t="s">
        <v>20</v>
      </c>
      <c r="F17" s="62" t="s">
        <v>21</v>
      </c>
      <c r="G17" s="62" t="s">
        <v>41</v>
      </c>
      <c r="H17" s="62" t="s">
        <v>148</v>
      </c>
      <c r="I17" s="62">
        <v>5790</v>
      </c>
      <c r="J17" s="62" t="s">
        <v>24</v>
      </c>
      <c r="K17" s="65">
        <v>9.01</v>
      </c>
      <c r="L17" s="65">
        <f t="shared" si="0"/>
        <v>52167.9</v>
      </c>
      <c r="M17" s="62" t="s">
        <v>36</v>
      </c>
      <c r="N17" s="11" t="s">
        <v>193</v>
      </c>
      <c r="O17" s="66">
        <v>7.788</v>
      </c>
      <c r="P17" s="62" t="s">
        <v>167</v>
      </c>
      <c r="Q17" s="62"/>
      <c r="R17" s="62"/>
      <c r="S17" s="62" t="s">
        <v>147</v>
      </c>
      <c r="T17" s="62"/>
      <c r="U17" s="67"/>
    </row>
    <row r="18" s="59" customFormat="1" hidden="1" customHeight="1" spans="1:21">
      <c r="A18" s="61">
        <f t="shared" si="1"/>
        <v>17</v>
      </c>
      <c r="B18" s="62">
        <v>1</v>
      </c>
      <c r="C18" s="79" t="s">
        <v>168</v>
      </c>
      <c r="D18" s="61">
        <v>20260121</v>
      </c>
      <c r="E18" s="64" t="s">
        <v>20</v>
      </c>
      <c r="F18" s="62" t="s">
        <v>21</v>
      </c>
      <c r="G18" s="62" t="s">
        <v>41</v>
      </c>
      <c r="H18" s="62" t="s">
        <v>131</v>
      </c>
      <c r="I18" s="62">
        <v>9584</v>
      </c>
      <c r="J18" s="62" t="s">
        <v>24</v>
      </c>
      <c r="K18" s="65">
        <v>9.01</v>
      </c>
      <c r="L18" s="65">
        <f t="shared" si="0"/>
        <v>86351.84</v>
      </c>
      <c r="M18" s="62" t="s">
        <v>36</v>
      </c>
      <c r="N18" s="11" t="s">
        <v>193</v>
      </c>
      <c r="O18" s="66">
        <v>7.788</v>
      </c>
      <c r="P18" s="62" t="s">
        <v>167</v>
      </c>
      <c r="Q18" s="62"/>
      <c r="R18" s="62"/>
      <c r="S18" s="62" t="s">
        <v>186</v>
      </c>
      <c r="T18" s="62"/>
      <c r="U18" s="67"/>
    </row>
    <row r="19" s="59" customFormat="1" hidden="1" customHeight="1" spans="1:21">
      <c r="A19" s="61">
        <f t="shared" si="1"/>
        <v>18</v>
      </c>
      <c r="B19" s="62">
        <v>1</v>
      </c>
      <c r="C19" s="79" t="s">
        <v>168</v>
      </c>
      <c r="D19" s="61">
        <v>20260121</v>
      </c>
      <c r="E19" s="64" t="s">
        <v>20</v>
      </c>
      <c r="F19" s="62" t="s">
        <v>21</v>
      </c>
      <c r="G19" s="62" t="s">
        <v>59</v>
      </c>
      <c r="H19" s="62" t="s">
        <v>179</v>
      </c>
      <c r="I19" s="62">
        <v>4000</v>
      </c>
      <c r="J19" s="62" t="s">
        <v>24</v>
      </c>
      <c r="K19" s="65">
        <v>32.49</v>
      </c>
      <c r="L19" s="65">
        <f t="shared" si="0"/>
        <v>129960</v>
      </c>
      <c r="M19" s="62" t="s">
        <v>36</v>
      </c>
      <c r="N19" s="11" t="s">
        <v>194</v>
      </c>
      <c r="O19" s="66">
        <v>27.683738</v>
      </c>
      <c r="P19" s="62" t="s">
        <v>167</v>
      </c>
      <c r="Q19" s="62"/>
      <c r="R19" s="62"/>
      <c r="S19" s="62">
        <v>1</v>
      </c>
      <c r="T19" s="62"/>
      <c r="U19" s="67"/>
    </row>
    <row r="20" s="58" customFormat="1" hidden="1" customHeight="1" spans="1:21">
      <c r="A20" s="61">
        <f t="shared" si="1"/>
        <v>19</v>
      </c>
      <c r="B20" s="62">
        <v>1</v>
      </c>
      <c r="C20" s="79" t="s">
        <v>168</v>
      </c>
      <c r="D20" s="61">
        <v>20260122</v>
      </c>
      <c r="E20" s="64" t="s">
        <v>20</v>
      </c>
      <c r="F20" s="62" t="s">
        <v>21</v>
      </c>
      <c r="G20" s="62" t="s">
        <v>169</v>
      </c>
      <c r="H20" s="62" t="s">
        <v>195</v>
      </c>
      <c r="I20" s="62">
        <v>3180</v>
      </c>
      <c r="J20" s="62" t="s">
        <v>24</v>
      </c>
      <c r="K20" s="65">
        <v>42.7</v>
      </c>
      <c r="L20" s="65">
        <f t="shared" si="0"/>
        <v>135786</v>
      </c>
      <c r="M20" s="62" t="s">
        <v>36</v>
      </c>
      <c r="N20" s="11" t="s">
        <v>196</v>
      </c>
      <c r="O20" s="66">
        <v>33</v>
      </c>
      <c r="P20" s="62" t="s">
        <v>43</v>
      </c>
      <c r="Q20" s="62"/>
      <c r="R20" s="62"/>
      <c r="S20" s="62">
        <v>4</v>
      </c>
      <c r="T20" s="62"/>
      <c r="U20" s="67"/>
    </row>
    <row r="21" s="58" customFormat="1" hidden="1" customHeight="1" spans="1:21">
      <c r="A21" s="61">
        <f t="shared" si="1"/>
        <v>20</v>
      </c>
      <c r="B21" s="62">
        <v>1</v>
      </c>
      <c r="C21" s="79" t="s">
        <v>168</v>
      </c>
      <c r="D21" s="61">
        <v>20260122</v>
      </c>
      <c r="E21" s="64" t="s">
        <v>20</v>
      </c>
      <c r="F21" s="62" t="s">
        <v>21</v>
      </c>
      <c r="G21" s="62" t="s">
        <v>32</v>
      </c>
      <c r="H21" s="62" t="s">
        <v>131</v>
      </c>
      <c r="I21" s="62">
        <v>5479</v>
      </c>
      <c r="J21" s="62" t="s">
        <v>24</v>
      </c>
      <c r="K21" s="65">
        <v>9.01</v>
      </c>
      <c r="L21" s="65">
        <f t="shared" si="0"/>
        <v>49365.79</v>
      </c>
      <c r="M21" s="62" t="s">
        <v>36</v>
      </c>
      <c r="N21" s="11" t="s">
        <v>197</v>
      </c>
      <c r="O21" s="66">
        <v>7.9913</v>
      </c>
      <c r="P21" s="62" t="s">
        <v>167</v>
      </c>
      <c r="Q21" s="62"/>
      <c r="R21" s="62"/>
      <c r="S21" s="62">
        <v>6</v>
      </c>
      <c r="T21" s="62"/>
      <c r="U21" s="67"/>
    </row>
    <row r="22" s="58" customFormat="1" hidden="1" customHeight="1" spans="1:21">
      <c r="A22" s="61">
        <f t="shared" si="1"/>
        <v>21</v>
      </c>
      <c r="B22" s="62">
        <v>1</v>
      </c>
      <c r="C22" s="79" t="s">
        <v>168</v>
      </c>
      <c r="D22" s="61">
        <v>20260126</v>
      </c>
      <c r="E22" s="64" t="s">
        <v>20</v>
      </c>
      <c r="F22" s="62" t="s">
        <v>21</v>
      </c>
      <c r="G22" s="62" t="s">
        <v>169</v>
      </c>
      <c r="H22" s="62" t="s">
        <v>195</v>
      </c>
      <c r="I22" s="62">
        <v>11862</v>
      </c>
      <c r="J22" s="62" t="s">
        <v>24</v>
      </c>
      <c r="K22" s="65">
        <v>42.7</v>
      </c>
      <c r="L22" s="65">
        <f t="shared" si="0"/>
        <v>506507.4</v>
      </c>
      <c r="M22" s="62" t="s">
        <v>36</v>
      </c>
      <c r="N22" s="11" t="s">
        <v>198</v>
      </c>
      <c r="O22" s="66">
        <v>33</v>
      </c>
      <c r="P22" s="62" t="s">
        <v>27</v>
      </c>
      <c r="Q22" s="62"/>
      <c r="R22" s="62"/>
      <c r="S22" s="62">
        <v>8</v>
      </c>
      <c r="T22" s="62"/>
      <c r="U22" s="67"/>
    </row>
    <row r="23" s="58" customFormat="1" hidden="1" customHeight="1" spans="1:21">
      <c r="A23" s="61">
        <f t="shared" si="1"/>
        <v>22</v>
      </c>
      <c r="B23" s="62">
        <v>1</v>
      </c>
      <c r="C23" s="79" t="s">
        <v>168</v>
      </c>
      <c r="D23" s="61">
        <v>20260126</v>
      </c>
      <c r="E23" s="64" t="s">
        <v>20</v>
      </c>
      <c r="F23" s="62" t="s">
        <v>21</v>
      </c>
      <c r="G23" s="62" t="s">
        <v>169</v>
      </c>
      <c r="H23" s="62" t="s">
        <v>195</v>
      </c>
      <c r="I23" s="62">
        <v>11919</v>
      </c>
      <c r="J23" s="62" t="s">
        <v>24</v>
      </c>
      <c r="K23" s="65">
        <v>42.7</v>
      </c>
      <c r="L23" s="65">
        <f t="shared" si="0"/>
        <v>508941.3</v>
      </c>
      <c r="M23" s="62" t="s">
        <v>36</v>
      </c>
      <c r="N23" s="11" t="s">
        <v>199</v>
      </c>
      <c r="O23" s="66">
        <v>33</v>
      </c>
      <c r="P23" s="62" t="s">
        <v>27</v>
      </c>
      <c r="Q23" s="62"/>
      <c r="R23" s="62"/>
      <c r="S23" s="62">
        <v>7</v>
      </c>
      <c r="T23" s="62"/>
      <c r="U23" s="67"/>
    </row>
    <row r="24" s="58" customFormat="1" hidden="1" customHeight="1" spans="1:21">
      <c r="A24" s="61">
        <f t="shared" si="1"/>
        <v>23</v>
      </c>
      <c r="B24" s="62">
        <v>1</v>
      </c>
      <c r="C24" s="79" t="s">
        <v>168</v>
      </c>
      <c r="D24" s="61">
        <v>20260127</v>
      </c>
      <c r="E24" s="64" t="s">
        <v>20</v>
      </c>
      <c r="F24" s="62" t="s">
        <v>21</v>
      </c>
      <c r="G24" s="62" t="s">
        <v>41</v>
      </c>
      <c r="H24" s="62" t="s">
        <v>50</v>
      </c>
      <c r="I24" s="62">
        <v>2685</v>
      </c>
      <c r="J24" s="62" t="s">
        <v>24</v>
      </c>
      <c r="K24" s="65">
        <v>5.16</v>
      </c>
      <c r="L24" s="65">
        <f t="shared" si="0"/>
        <v>13854.6</v>
      </c>
      <c r="M24" s="62" t="s">
        <v>36</v>
      </c>
      <c r="N24" s="11" t="s">
        <v>200</v>
      </c>
      <c r="O24" s="66">
        <v>4.3</v>
      </c>
      <c r="P24" s="62" t="s">
        <v>43</v>
      </c>
      <c r="Q24" s="62"/>
      <c r="R24" s="62"/>
      <c r="S24" s="62">
        <v>1</v>
      </c>
      <c r="T24" s="62"/>
      <c r="U24" s="67"/>
    </row>
    <row r="25" s="58" customFormat="1" hidden="1" customHeight="1" spans="1:21">
      <c r="A25" s="61">
        <f t="shared" si="1"/>
        <v>24</v>
      </c>
      <c r="B25" s="62">
        <v>1</v>
      </c>
      <c r="C25" s="79" t="s">
        <v>168</v>
      </c>
      <c r="D25" s="61">
        <v>20260127</v>
      </c>
      <c r="E25" s="64" t="s">
        <v>20</v>
      </c>
      <c r="F25" s="62" t="s">
        <v>21</v>
      </c>
      <c r="G25" s="62" t="s">
        <v>41</v>
      </c>
      <c r="H25" s="62" t="s">
        <v>42</v>
      </c>
      <c r="I25" s="62">
        <v>1096</v>
      </c>
      <c r="J25" s="62" t="s">
        <v>24</v>
      </c>
      <c r="K25" s="84">
        <v>4.39</v>
      </c>
      <c r="L25" s="65">
        <f t="shared" si="0"/>
        <v>4811.44</v>
      </c>
      <c r="M25" s="62" t="s">
        <v>36</v>
      </c>
      <c r="N25" s="11" t="s">
        <v>200</v>
      </c>
      <c r="O25" s="66">
        <v>4.3</v>
      </c>
      <c r="P25" s="62" t="s">
        <v>43</v>
      </c>
      <c r="Q25" s="62"/>
      <c r="R25" s="62"/>
      <c r="S25" s="62">
        <v>1</v>
      </c>
      <c r="T25" s="62"/>
      <c r="U25" s="67">
        <f>O25*0.02+O25</f>
        <v>4.386</v>
      </c>
    </row>
    <row r="26" s="58" customFormat="1" hidden="1" customHeight="1" spans="1:21">
      <c r="A26" s="61">
        <f t="shared" si="1"/>
        <v>25</v>
      </c>
      <c r="B26" s="62">
        <v>1</v>
      </c>
      <c r="C26" s="79" t="s">
        <v>168</v>
      </c>
      <c r="D26" s="61">
        <v>20260127</v>
      </c>
      <c r="E26" s="64" t="s">
        <v>20</v>
      </c>
      <c r="F26" s="62" t="s">
        <v>21</v>
      </c>
      <c r="G26" s="62" t="s">
        <v>169</v>
      </c>
      <c r="H26" s="62" t="s">
        <v>195</v>
      </c>
      <c r="I26" s="62">
        <v>9476</v>
      </c>
      <c r="J26" s="62" t="s">
        <v>24</v>
      </c>
      <c r="K26" s="65">
        <v>42.7</v>
      </c>
      <c r="L26" s="65">
        <f t="shared" si="0"/>
        <v>404625.2</v>
      </c>
      <c r="M26" s="62" t="s">
        <v>36</v>
      </c>
      <c r="N26" s="11" t="s">
        <v>201</v>
      </c>
      <c r="O26" s="66">
        <v>33</v>
      </c>
      <c r="P26" s="62" t="s">
        <v>27</v>
      </c>
      <c r="Q26" s="62"/>
      <c r="R26" s="62"/>
      <c r="S26" s="62">
        <v>8</v>
      </c>
      <c r="T26" s="62"/>
      <c r="U26" s="67"/>
    </row>
    <row r="27" s="58" customFormat="1" hidden="1" customHeight="1" spans="1:21">
      <c r="A27" s="61">
        <f t="shared" si="1"/>
        <v>26</v>
      </c>
      <c r="B27" s="62">
        <v>1</v>
      </c>
      <c r="C27" s="79" t="s">
        <v>168</v>
      </c>
      <c r="D27" s="61">
        <v>20260127</v>
      </c>
      <c r="E27" s="64" t="s">
        <v>20</v>
      </c>
      <c r="F27" s="62" t="s">
        <v>21</v>
      </c>
      <c r="G27" s="62" t="s">
        <v>32</v>
      </c>
      <c r="H27" s="62" t="s">
        <v>131</v>
      </c>
      <c r="I27" s="62">
        <v>8963</v>
      </c>
      <c r="J27" s="62" t="s">
        <v>24</v>
      </c>
      <c r="K27" s="65">
        <v>9.01</v>
      </c>
      <c r="L27" s="65">
        <f t="shared" si="0"/>
        <v>80756.63</v>
      </c>
      <c r="M27" s="62" t="s">
        <v>36</v>
      </c>
      <c r="N27" s="11" t="s">
        <v>202</v>
      </c>
      <c r="O27" s="66">
        <v>7.9915</v>
      </c>
      <c r="P27" s="62" t="s">
        <v>43</v>
      </c>
      <c r="Q27" s="62"/>
      <c r="R27" s="62"/>
      <c r="S27" s="62">
        <v>3</v>
      </c>
      <c r="T27" s="62"/>
      <c r="U27" s="67"/>
    </row>
    <row r="28" s="58" customFormat="1" hidden="1" customHeight="1" spans="1:21">
      <c r="A28" s="61">
        <f t="shared" si="1"/>
        <v>27</v>
      </c>
      <c r="B28" s="62">
        <v>1</v>
      </c>
      <c r="C28" s="79" t="s">
        <v>168</v>
      </c>
      <c r="D28" s="61">
        <v>20260127</v>
      </c>
      <c r="E28" s="64" t="s">
        <v>20</v>
      </c>
      <c r="F28" s="62" t="s">
        <v>21</v>
      </c>
      <c r="G28" s="62" t="s">
        <v>32</v>
      </c>
      <c r="H28" s="62" t="s">
        <v>179</v>
      </c>
      <c r="I28" s="62">
        <v>17724</v>
      </c>
      <c r="J28" s="62" t="s">
        <v>24</v>
      </c>
      <c r="K28" s="65">
        <v>32.49</v>
      </c>
      <c r="L28" s="65">
        <f t="shared" si="0"/>
        <v>575852.76</v>
      </c>
      <c r="M28" s="62" t="s">
        <v>36</v>
      </c>
      <c r="N28" s="11" t="s">
        <v>202</v>
      </c>
      <c r="O28" s="66">
        <v>29.7991</v>
      </c>
      <c r="P28" s="62" t="s">
        <v>43</v>
      </c>
      <c r="Q28" s="62"/>
      <c r="R28" s="62"/>
      <c r="S28" s="62" t="s">
        <v>203</v>
      </c>
      <c r="T28" s="62"/>
      <c r="U28" s="67"/>
    </row>
    <row r="29" s="58" customFormat="1" hidden="1" customHeight="1" spans="1:21">
      <c r="A29" s="61">
        <f t="shared" si="1"/>
        <v>28</v>
      </c>
      <c r="B29" s="62">
        <v>1</v>
      </c>
      <c r="C29" s="79" t="s">
        <v>168</v>
      </c>
      <c r="D29" s="61">
        <v>20260127</v>
      </c>
      <c r="E29" s="64" t="s">
        <v>20</v>
      </c>
      <c r="F29" s="62" t="s">
        <v>21</v>
      </c>
      <c r="G29" s="62" t="s">
        <v>32</v>
      </c>
      <c r="H29" s="62" t="s">
        <v>176</v>
      </c>
      <c r="I29" s="62">
        <v>3994</v>
      </c>
      <c r="J29" s="62" t="s">
        <v>24</v>
      </c>
      <c r="K29" s="65">
        <v>32.49</v>
      </c>
      <c r="L29" s="65">
        <f t="shared" si="0"/>
        <v>129765.06</v>
      </c>
      <c r="M29" s="62" t="s">
        <v>36</v>
      </c>
      <c r="N29" s="11" t="s">
        <v>202</v>
      </c>
      <c r="O29" s="66">
        <v>29.3231</v>
      </c>
      <c r="P29" s="62" t="s">
        <v>43</v>
      </c>
      <c r="Q29" s="62"/>
      <c r="R29" s="62"/>
      <c r="S29" s="62">
        <v>1</v>
      </c>
      <c r="T29" s="62"/>
      <c r="U29" s="67"/>
    </row>
    <row r="30" s="58" customFormat="1" hidden="1" customHeight="1" spans="1:21">
      <c r="A30" s="61">
        <f t="shared" si="1"/>
        <v>29</v>
      </c>
      <c r="B30" s="62">
        <v>1</v>
      </c>
      <c r="C30" s="79" t="s">
        <v>168</v>
      </c>
      <c r="D30" s="61">
        <v>20260128</v>
      </c>
      <c r="E30" s="64" t="s">
        <v>20</v>
      </c>
      <c r="F30" s="62" t="s">
        <v>21</v>
      </c>
      <c r="G30" s="62" t="s">
        <v>169</v>
      </c>
      <c r="H30" s="62" t="s">
        <v>195</v>
      </c>
      <c r="I30" s="62">
        <v>3212</v>
      </c>
      <c r="J30" s="62" t="s">
        <v>24</v>
      </c>
      <c r="K30" s="65">
        <v>42.7</v>
      </c>
      <c r="L30" s="65">
        <f t="shared" si="0"/>
        <v>137152.4</v>
      </c>
      <c r="M30" s="62" t="s">
        <v>36</v>
      </c>
      <c r="N30" s="11" t="s">
        <v>204</v>
      </c>
      <c r="O30" s="66">
        <v>33</v>
      </c>
      <c r="P30" s="62" t="s">
        <v>43</v>
      </c>
      <c r="Q30" s="62"/>
      <c r="R30" s="62"/>
      <c r="S30" s="62">
        <v>4</v>
      </c>
      <c r="T30" s="62"/>
      <c r="U30" s="67"/>
    </row>
    <row r="31" s="58" customFormat="1" hidden="1" customHeight="1" spans="1:21">
      <c r="A31" s="61">
        <f t="shared" si="1"/>
        <v>30</v>
      </c>
      <c r="B31" s="62">
        <v>1</v>
      </c>
      <c r="C31" s="79" t="s">
        <v>168</v>
      </c>
      <c r="D31" s="61">
        <v>20260130</v>
      </c>
      <c r="E31" s="64" t="s">
        <v>20</v>
      </c>
      <c r="F31" s="62" t="s">
        <v>21</v>
      </c>
      <c r="G31" s="62" t="s">
        <v>169</v>
      </c>
      <c r="H31" s="62" t="s">
        <v>195</v>
      </c>
      <c r="I31" s="62">
        <v>11134</v>
      </c>
      <c r="J31" s="62" t="s">
        <v>24</v>
      </c>
      <c r="K31" s="65">
        <v>42.7</v>
      </c>
      <c r="L31" s="65">
        <f t="shared" si="0"/>
        <v>475421.8</v>
      </c>
      <c r="M31" s="62" t="s">
        <v>36</v>
      </c>
      <c r="N31" s="11" t="s">
        <v>205</v>
      </c>
      <c r="O31" s="66">
        <v>33</v>
      </c>
      <c r="P31" s="62" t="s">
        <v>43</v>
      </c>
      <c r="Q31" s="62"/>
      <c r="R31" s="62"/>
      <c r="S31" s="62">
        <v>3</v>
      </c>
      <c r="T31" s="62"/>
      <c r="U31" s="67"/>
    </row>
    <row r="32" s="58" customFormat="1" hidden="1" customHeight="1" spans="1:21">
      <c r="A32" s="61">
        <f t="shared" si="1"/>
        <v>31</v>
      </c>
      <c r="B32" s="62">
        <v>1</v>
      </c>
      <c r="C32" s="79" t="s">
        <v>168</v>
      </c>
      <c r="D32" s="61">
        <v>20260131</v>
      </c>
      <c r="E32" s="64" t="s">
        <v>20</v>
      </c>
      <c r="F32" s="62" t="s">
        <v>21</v>
      </c>
      <c r="G32" s="62" t="s">
        <v>134</v>
      </c>
      <c r="H32" s="62" t="s">
        <v>176</v>
      </c>
      <c r="I32" s="62">
        <v>13200</v>
      </c>
      <c r="J32" s="62" t="s">
        <v>24</v>
      </c>
      <c r="K32" s="65">
        <v>32.49</v>
      </c>
      <c r="L32" s="65">
        <f t="shared" si="0"/>
        <v>428868</v>
      </c>
      <c r="M32" s="62" t="s">
        <v>36</v>
      </c>
      <c r="N32" s="11" t="s">
        <v>206</v>
      </c>
      <c r="O32" s="66">
        <v>28.76</v>
      </c>
      <c r="P32" s="62" t="s">
        <v>43</v>
      </c>
      <c r="Q32" s="62"/>
      <c r="R32" s="62"/>
      <c r="S32" s="62">
        <v>3</v>
      </c>
      <c r="T32" s="62"/>
      <c r="U32" s="67"/>
    </row>
    <row r="33" s="58" customFormat="1" hidden="1" customHeight="1" spans="1:21">
      <c r="A33" s="61">
        <f t="shared" si="1"/>
        <v>32</v>
      </c>
      <c r="B33" s="62">
        <v>2</v>
      </c>
      <c r="C33" s="79" t="s">
        <v>168</v>
      </c>
      <c r="D33" s="61">
        <v>20260202</v>
      </c>
      <c r="E33" s="64" t="s">
        <v>20</v>
      </c>
      <c r="F33" s="62" t="s">
        <v>21</v>
      </c>
      <c r="G33" s="62" t="s">
        <v>41</v>
      </c>
      <c r="H33" s="62" t="s">
        <v>176</v>
      </c>
      <c r="I33" s="62">
        <v>65844</v>
      </c>
      <c r="J33" s="62" t="s">
        <v>24</v>
      </c>
      <c r="K33" s="65">
        <v>32.17</v>
      </c>
      <c r="L33" s="65">
        <f t="shared" si="0"/>
        <v>2118201.48</v>
      </c>
      <c r="M33" s="62" t="s">
        <v>36</v>
      </c>
      <c r="N33" s="11" t="s">
        <v>207</v>
      </c>
      <c r="O33" s="66">
        <v>28.838</v>
      </c>
      <c r="P33" s="62" t="s">
        <v>27</v>
      </c>
      <c r="Q33" s="62"/>
      <c r="R33" s="62"/>
      <c r="S33" s="85" t="s">
        <v>208</v>
      </c>
      <c r="T33" s="62"/>
      <c r="U33" s="67"/>
    </row>
    <row r="34" s="58" customFormat="1" hidden="1" customHeight="1" spans="1:21">
      <c r="A34" s="61">
        <f t="shared" si="1"/>
        <v>33</v>
      </c>
      <c r="B34" s="62">
        <v>2</v>
      </c>
      <c r="C34" s="79" t="s">
        <v>168</v>
      </c>
      <c r="D34" s="61">
        <v>20260203</v>
      </c>
      <c r="E34" s="64" t="s">
        <v>20</v>
      </c>
      <c r="F34" s="62" t="s">
        <v>21</v>
      </c>
      <c r="G34" s="62" t="s">
        <v>32</v>
      </c>
      <c r="H34" s="62" t="s">
        <v>131</v>
      </c>
      <c r="I34" s="62">
        <v>49400</v>
      </c>
      <c r="J34" s="62" t="s">
        <v>24</v>
      </c>
      <c r="K34" s="65">
        <v>8.8</v>
      </c>
      <c r="L34" s="65">
        <f t="shared" si="0"/>
        <v>434720</v>
      </c>
      <c r="M34" s="62" t="s">
        <v>36</v>
      </c>
      <c r="N34" s="11" t="s">
        <v>209</v>
      </c>
      <c r="O34" s="66">
        <v>7.992</v>
      </c>
      <c r="P34" s="62" t="s">
        <v>167</v>
      </c>
      <c r="Q34" s="62"/>
      <c r="R34" s="62"/>
      <c r="S34" s="62">
        <v>3</v>
      </c>
      <c r="T34" s="62"/>
      <c r="U34" s="67"/>
    </row>
    <row r="35" s="58" customFormat="1" hidden="1" customHeight="1" spans="1:21">
      <c r="A35" s="61">
        <f t="shared" si="1"/>
        <v>34</v>
      </c>
      <c r="B35" s="62">
        <v>2</v>
      </c>
      <c r="C35" s="79" t="s">
        <v>168</v>
      </c>
      <c r="D35" s="61">
        <v>20260203</v>
      </c>
      <c r="E35" s="64" t="s">
        <v>20</v>
      </c>
      <c r="F35" s="62" t="s">
        <v>21</v>
      </c>
      <c r="G35" s="62" t="s">
        <v>32</v>
      </c>
      <c r="H35" s="62" t="s">
        <v>179</v>
      </c>
      <c r="I35" s="62">
        <v>5729</v>
      </c>
      <c r="J35" s="62" t="s">
        <v>24</v>
      </c>
      <c r="K35" s="65">
        <v>32.17</v>
      </c>
      <c r="L35" s="65">
        <f t="shared" si="0"/>
        <v>184301.93</v>
      </c>
      <c r="M35" s="62" t="s">
        <v>36</v>
      </c>
      <c r="N35" s="11" t="s">
        <v>209</v>
      </c>
      <c r="O35" s="86">
        <v>29.7991</v>
      </c>
      <c r="P35" s="62" t="s">
        <v>167</v>
      </c>
      <c r="Q35" s="62"/>
      <c r="R35" s="62"/>
      <c r="S35" s="62">
        <v>2</v>
      </c>
      <c r="T35" s="62"/>
      <c r="U35" s="67"/>
    </row>
    <row r="36" s="58" customFormat="1" hidden="1" customHeight="1" spans="1:21">
      <c r="A36" s="61">
        <f t="shared" si="1"/>
        <v>35</v>
      </c>
      <c r="B36" s="62">
        <v>2</v>
      </c>
      <c r="C36" s="79" t="s">
        <v>168</v>
      </c>
      <c r="D36" s="61">
        <v>20260203</v>
      </c>
      <c r="E36" s="64" t="s">
        <v>20</v>
      </c>
      <c r="F36" s="62" t="s">
        <v>21</v>
      </c>
      <c r="G36" s="62" t="s">
        <v>32</v>
      </c>
      <c r="H36" s="62" t="s">
        <v>176</v>
      </c>
      <c r="I36" s="87">
        <v>3637</v>
      </c>
      <c r="J36" s="62" t="s">
        <v>24</v>
      </c>
      <c r="K36" s="65">
        <v>32.17</v>
      </c>
      <c r="L36" s="65">
        <f t="shared" si="0"/>
        <v>117002.29</v>
      </c>
      <c r="M36" s="62" t="s">
        <v>36</v>
      </c>
      <c r="N36" s="11" t="s">
        <v>209</v>
      </c>
      <c r="O36" s="86">
        <v>29.0297</v>
      </c>
      <c r="P36" s="62" t="s">
        <v>167</v>
      </c>
      <c r="Q36" s="62"/>
      <c r="R36" s="62"/>
      <c r="S36" s="62">
        <v>2</v>
      </c>
      <c r="T36" s="62"/>
      <c r="U36" s="67"/>
    </row>
    <row r="37" s="58" customFormat="1" hidden="1" customHeight="1" spans="1:21">
      <c r="A37" s="61">
        <f t="shared" si="1"/>
        <v>36</v>
      </c>
      <c r="B37" s="62">
        <v>2</v>
      </c>
      <c r="C37" s="79" t="s">
        <v>168</v>
      </c>
      <c r="D37" s="61">
        <v>20260204</v>
      </c>
      <c r="E37" s="64" t="s">
        <v>20</v>
      </c>
      <c r="F37" s="62" t="s">
        <v>21</v>
      </c>
      <c r="G37" s="62" t="s">
        <v>172</v>
      </c>
      <c r="H37" s="88" t="s">
        <v>173</v>
      </c>
      <c r="I37" s="87">
        <v>14576</v>
      </c>
      <c r="J37" s="62" t="s">
        <v>24</v>
      </c>
      <c r="K37" s="65">
        <v>32.17</v>
      </c>
      <c r="L37" s="65">
        <f t="shared" si="0"/>
        <v>468909.92</v>
      </c>
      <c r="M37" s="62" t="s">
        <v>36</v>
      </c>
      <c r="N37" s="11" t="s">
        <v>210</v>
      </c>
      <c r="O37" s="86">
        <v>29.03</v>
      </c>
      <c r="P37" s="62" t="s">
        <v>43</v>
      </c>
      <c r="Q37" s="62"/>
      <c r="R37" s="62"/>
      <c r="S37" s="62">
        <v>2</v>
      </c>
      <c r="T37" s="62"/>
      <c r="U37" s="67"/>
    </row>
    <row r="38" s="58" customFormat="1" hidden="1" customHeight="1" spans="1:21">
      <c r="A38" s="61">
        <f t="shared" si="1"/>
        <v>37</v>
      </c>
      <c r="B38" s="62">
        <v>2</v>
      </c>
      <c r="C38" s="79" t="s">
        <v>168</v>
      </c>
      <c r="D38" s="61">
        <v>20260206</v>
      </c>
      <c r="E38" s="64" t="s">
        <v>20</v>
      </c>
      <c r="F38" s="62" t="s">
        <v>21</v>
      </c>
      <c r="G38" s="62" t="s">
        <v>32</v>
      </c>
      <c r="H38" s="88" t="s">
        <v>131</v>
      </c>
      <c r="I38" s="87">
        <v>63562</v>
      </c>
      <c r="J38" s="62" t="s">
        <v>24</v>
      </c>
      <c r="K38" s="65">
        <v>8.8</v>
      </c>
      <c r="L38" s="65">
        <f t="shared" si="0"/>
        <v>559345.6</v>
      </c>
      <c r="M38" s="62" t="s">
        <v>36</v>
      </c>
      <c r="N38" s="11" t="s">
        <v>211</v>
      </c>
      <c r="O38" s="86">
        <v>7.9922</v>
      </c>
      <c r="P38" s="62" t="s">
        <v>43</v>
      </c>
      <c r="Q38" s="62"/>
      <c r="R38" s="62"/>
      <c r="S38" s="62">
        <v>1</v>
      </c>
      <c r="T38" s="62"/>
      <c r="U38" s="67"/>
    </row>
    <row r="39" s="58" customFormat="1" hidden="1" customHeight="1" spans="1:21">
      <c r="A39" s="61">
        <f t="shared" si="1"/>
        <v>38</v>
      </c>
      <c r="B39" s="62">
        <v>2</v>
      </c>
      <c r="C39" s="79" t="s">
        <v>168</v>
      </c>
      <c r="D39" s="61">
        <v>20260206</v>
      </c>
      <c r="E39" s="64" t="s">
        <v>20</v>
      </c>
      <c r="F39" s="62" t="s">
        <v>21</v>
      </c>
      <c r="G39" s="62" t="s">
        <v>172</v>
      </c>
      <c r="H39" s="88" t="s">
        <v>179</v>
      </c>
      <c r="I39" s="87">
        <v>77</v>
      </c>
      <c r="J39" s="62" t="s">
        <v>24</v>
      </c>
      <c r="K39" s="65">
        <v>32.17</v>
      </c>
      <c r="L39" s="65">
        <f t="shared" si="0"/>
        <v>2477.09</v>
      </c>
      <c r="M39" s="62" t="s">
        <v>36</v>
      </c>
      <c r="N39" s="11" t="s">
        <v>212</v>
      </c>
      <c r="O39" s="86">
        <v>28.81</v>
      </c>
      <c r="P39" s="62" t="s">
        <v>43</v>
      </c>
      <c r="Q39" s="62"/>
      <c r="R39" s="62"/>
      <c r="S39" s="62">
        <v>1</v>
      </c>
      <c r="T39" s="62"/>
      <c r="U39" s="67"/>
    </row>
    <row r="40" s="58" customFormat="1" hidden="1" customHeight="1" spans="1:21">
      <c r="A40" s="61">
        <f t="shared" si="1"/>
        <v>39</v>
      </c>
      <c r="B40" s="62">
        <v>2</v>
      </c>
      <c r="C40" s="79" t="s">
        <v>168</v>
      </c>
      <c r="D40" s="61">
        <v>20260210</v>
      </c>
      <c r="E40" s="64" t="s">
        <v>20</v>
      </c>
      <c r="F40" s="62" t="s">
        <v>21</v>
      </c>
      <c r="G40" s="62" t="s">
        <v>172</v>
      </c>
      <c r="H40" s="88" t="s">
        <v>176</v>
      </c>
      <c r="I40" s="87">
        <v>1570</v>
      </c>
      <c r="J40" s="62" t="s">
        <v>24</v>
      </c>
      <c r="K40" s="65">
        <v>32.17</v>
      </c>
      <c r="L40" s="65">
        <f t="shared" si="0"/>
        <v>50506.9</v>
      </c>
      <c r="M40" s="62" t="s">
        <v>36</v>
      </c>
      <c r="N40" s="11" t="s">
        <v>213</v>
      </c>
      <c r="O40" s="86">
        <v>28.81</v>
      </c>
      <c r="P40" s="62" t="s">
        <v>27</v>
      </c>
      <c r="Q40" s="62"/>
      <c r="R40" s="62"/>
      <c r="S40" s="62">
        <v>1</v>
      </c>
      <c r="T40" s="62"/>
      <c r="U40" s="67"/>
    </row>
    <row r="41" s="58" customFormat="1" hidden="1" customHeight="1" spans="1:21">
      <c r="A41" s="61">
        <f t="shared" si="1"/>
        <v>40</v>
      </c>
      <c r="B41" s="62">
        <v>2</v>
      </c>
      <c r="C41" s="79" t="s">
        <v>168</v>
      </c>
      <c r="D41" s="61">
        <v>20260210</v>
      </c>
      <c r="E41" s="64" t="s">
        <v>20</v>
      </c>
      <c r="F41" s="62" t="s">
        <v>21</v>
      </c>
      <c r="G41" s="62" t="s">
        <v>169</v>
      </c>
      <c r="H41" s="62" t="s">
        <v>195</v>
      </c>
      <c r="I41" s="62">
        <v>18326</v>
      </c>
      <c r="J41" s="62" t="s">
        <v>24</v>
      </c>
      <c r="K41" s="65">
        <v>42.63</v>
      </c>
      <c r="L41" s="65">
        <f t="shared" si="0"/>
        <v>781237.38</v>
      </c>
      <c r="M41" s="62" t="s">
        <v>36</v>
      </c>
      <c r="N41" s="11" t="s">
        <v>214</v>
      </c>
      <c r="O41" s="89">
        <v>33</v>
      </c>
      <c r="P41" s="62" t="s">
        <v>27</v>
      </c>
      <c r="Q41" s="62"/>
      <c r="R41" s="62"/>
      <c r="S41" s="62">
        <v>11</v>
      </c>
      <c r="T41" s="62"/>
      <c r="U41" s="67"/>
    </row>
    <row r="42" s="58" customFormat="1" hidden="1" customHeight="1" spans="1:21">
      <c r="A42" s="61">
        <f t="shared" si="1"/>
        <v>41</v>
      </c>
      <c r="B42" s="62">
        <v>2</v>
      </c>
      <c r="C42" s="79" t="s">
        <v>168</v>
      </c>
      <c r="D42" s="61">
        <v>20260210</v>
      </c>
      <c r="E42" s="64" t="s">
        <v>20</v>
      </c>
      <c r="F42" s="62" t="s">
        <v>21</v>
      </c>
      <c r="G42" s="62" t="s">
        <v>169</v>
      </c>
      <c r="H42" s="62" t="s">
        <v>170</v>
      </c>
      <c r="I42" s="62">
        <v>3130</v>
      </c>
      <c r="J42" s="62" t="s">
        <v>24</v>
      </c>
      <c r="K42" s="65">
        <v>42.63</v>
      </c>
      <c r="L42" s="65">
        <f t="shared" si="0"/>
        <v>133431.9</v>
      </c>
      <c r="M42" s="62" t="s">
        <v>36</v>
      </c>
      <c r="N42" s="11" t="s">
        <v>214</v>
      </c>
      <c r="O42" s="89">
        <v>33</v>
      </c>
      <c r="P42" s="62" t="s">
        <v>27</v>
      </c>
      <c r="Q42" s="62"/>
      <c r="R42" s="62"/>
      <c r="S42" s="62">
        <v>2</v>
      </c>
      <c r="T42" s="62"/>
      <c r="U42" s="67"/>
    </row>
    <row r="43" s="58" customFormat="1" hidden="1" customHeight="1" spans="1:21">
      <c r="A43" s="61">
        <f t="shared" si="1"/>
        <v>42</v>
      </c>
      <c r="B43" s="62">
        <v>2</v>
      </c>
      <c r="C43" s="79" t="s">
        <v>168</v>
      </c>
      <c r="D43" s="61">
        <v>20260211</v>
      </c>
      <c r="E43" s="64" t="s">
        <v>20</v>
      </c>
      <c r="F43" s="62" t="s">
        <v>21</v>
      </c>
      <c r="G43" s="62" t="s">
        <v>169</v>
      </c>
      <c r="H43" s="62" t="s">
        <v>195</v>
      </c>
      <c r="I43" s="62">
        <v>11850</v>
      </c>
      <c r="J43" s="62" t="s">
        <v>24</v>
      </c>
      <c r="K43" s="65">
        <v>42.63</v>
      </c>
      <c r="L43" s="65">
        <f t="shared" si="0"/>
        <v>505165.5</v>
      </c>
      <c r="M43" s="62" t="s">
        <v>36</v>
      </c>
      <c r="N43" s="11" t="s">
        <v>215</v>
      </c>
      <c r="O43" s="89">
        <v>33</v>
      </c>
      <c r="P43" s="62" t="s">
        <v>43</v>
      </c>
      <c r="Q43" s="62"/>
      <c r="R43" s="62"/>
      <c r="S43" s="62">
        <v>7</v>
      </c>
      <c r="T43" s="62"/>
      <c r="U43" s="67"/>
    </row>
    <row r="44" s="58" customFormat="1" hidden="1" customHeight="1" spans="1:21">
      <c r="A44" s="61">
        <f t="shared" si="1"/>
        <v>43</v>
      </c>
      <c r="B44" s="62">
        <v>2</v>
      </c>
      <c r="C44" s="79" t="s">
        <v>168</v>
      </c>
      <c r="D44" s="61">
        <v>20260211</v>
      </c>
      <c r="E44" s="64" t="s">
        <v>20</v>
      </c>
      <c r="F44" s="62" t="s">
        <v>21</v>
      </c>
      <c r="G44" s="62" t="s">
        <v>169</v>
      </c>
      <c r="H44" s="62" t="s">
        <v>170</v>
      </c>
      <c r="I44" s="62">
        <v>11877</v>
      </c>
      <c r="J44" s="62" t="s">
        <v>24</v>
      </c>
      <c r="K44" s="65">
        <v>42.63</v>
      </c>
      <c r="L44" s="65">
        <f t="shared" si="0"/>
        <v>506316.51</v>
      </c>
      <c r="M44" s="62" t="s">
        <v>36</v>
      </c>
      <c r="N44" s="11" t="s">
        <v>215</v>
      </c>
      <c r="O44" s="89">
        <v>33</v>
      </c>
      <c r="P44" s="62" t="s">
        <v>43</v>
      </c>
      <c r="Q44" s="62"/>
      <c r="R44" s="62"/>
      <c r="S44" s="62">
        <v>7</v>
      </c>
      <c r="T44" s="62"/>
      <c r="U44" s="67"/>
    </row>
    <row r="45" s="58" customFormat="1" hidden="1" customHeight="1" spans="1:21">
      <c r="A45" s="61">
        <f t="shared" si="1"/>
        <v>44</v>
      </c>
      <c r="B45" s="62">
        <v>2</v>
      </c>
      <c r="C45" s="79" t="s">
        <v>168</v>
      </c>
      <c r="D45" s="61">
        <v>20260211</v>
      </c>
      <c r="E45" s="64" t="s">
        <v>20</v>
      </c>
      <c r="F45" s="62" t="s">
        <v>21</v>
      </c>
      <c r="G45" s="62" t="s">
        <v>32</v>
      </c>
      <c r="H45" s="62" t="s">
        <v>179</v>
      </c>
      <c r="I45" s="62">
        <v>3415</v>
      </c>
      <c r="J45" s="62" t="s">
        <v>24</v>
      </c>
      <c r="K45" s="65">
        <v>32.17</v>
      </c>
      <c r="L45" s="65">
        <f t="shared" si="0"/>
        <v>109860.55</v>
      </c>
      <c r="M45" s="62" t="s">
        <v>36</v>
      </c>
      <c r="N45" s="11" t="s">
        <v>216</v>
      </c>
      <c r="O45" s="66">
        <v>29.7991</v>
      </c>
      <c r="P45" s="62" t="s">
        <v>167</v>
      </c>
      <c r="Q45" s="62"/>
      <c r="R45" s="62"/>
      <c r="S45" s="62">
        <v>2</v>
      </c>
      <c r="T45" s="62"/>
      <c r="U45" s="67"/>
    </row>
    <row r="46" s="58" customFormat="1" hidden="1" customHeight="1" spans="1:21">
      <c r="A46" s="61">
        <f t="shared" si="1"/>
        <v>45</v>
      </c>
      <c r="B46" s="62">
        <v>2</v>
      </c>
      <c r="C46" s="79" t="s">
        <v>168</v>
      </c>
      <c r="D46" s="61">
        <v>20260211</v>
      </c>
      <c r="E46" s="64" t="s">
        <v>20</v>
      </c>
      <c r="F46" s="62" t="s">
        <v>21</v>
      </c>
      <c r="G46" s="62" t="s">
        <v>32</v>
      </c>
      <c r="H46" s="62" t="s">
        <v>176</v>
      </c>
      <c r="I46" s="62">
        <v>5638</v>
      </c>
      <c r="J46" s="62" t="s">
        <v>24</v>
      </c>
      <c r="K46" s="65">
        <v>32.17</v>
      </c>
      <c r="L46" s="65">
        <f t="shared" si="0"/>
        <v>181374.46</v>
      </c>
      <c r="M46" s="62" t="s">
        <v>36</v>
      </c>
      <c r="N46" s="11" t="s">
        <v>216</v>
      </c>
      <c r="O46" s="66">
        <v>28.9613</v>
      </c>
      <c r="P46" s="62" t="s">
        <v>167</v>
      </c>
      <c r="Q46" s="62"/>
      <c r="R46" s="62"/>
      <c r="S46" s="62">
        <v>3</v>
      </c>
      <c r="T46" s="62"/>
      <c r="U46" s="67"/>
    </row>
    <row r="47" s="58" customFormat="1" hidden="1" customHeight="1" spans="1:21">
      <c r="A47" s="61">
        <f t="shared" si="1"/>
        <v>46</v>
      </c>
      <c r="B47" s="62">
        <v>2</v>
      </c>
      <c r="C47" s="79" t="s">
        <v>168</v>
      </c>
      <c r="D47" s="61">
        <v>20260211</v>
      </c>
      <c r="E47" s="64" t="s">
        <v>20</v>
      </c>
      <c r="F47" s="62" t="s">
        <v>21</v>
      </c>
      <c r="G47" s="62" t="s">
        <v>169</v>
      </c>
      <c r="H47" s="62" t="s">
        <v>195</v>
      </c>
      <c r="I47" s="62">
        <v>9538</v>
      </c>
      <c r="J47" s="62" t="s">
        <v>24</v>
      </c>
      <c r="K47" s="65">
        <v>42.63</v>
      </c>
      <c r="L47" s="65">
        <f t="shared" si="0"/>
        <v>406604.94</v>
      </c>
      <c r="M47" s="62" t="s">
        <v>36</v>
      </c>
      <c r="N47" s="11" t="s">
        <v>217</v>
      </c>
      <c r="O47" s="89">
        <v>33</v>
      </c>
      <c r="P47" s="62" t="s">
        <v>43</v>
      </c>
      <c r="Q47" s="62"/>
      <c r="R47" s="62"/>
      <c r="S47" s="62">
        <v>10</v>
      </c>
      <c r="T47" s="62"/>
      <c r="U47" s="67"/>
    </row>
    <row r="48" s="58" customFormat="1" hidden="1" customHeight="1" spans="1:21">
      <c r="A48" s="61">
        <f t="shared" si="1"/>
        <v>47</v>
      </c>
      <c r="B48" s="62">
        <v>2</v>
      </c>
      <c r="C48" s="79" t="s">
        <v>168</v>
      </c>
      <c r="D48" s="61">
        <v>20260212</v>
      </c>
      <c r="E48" s="64" t="s">
        <v>20</v>
      </c>
      <c r="F48" s="62" t="s">
        <v>21</v>
      </c>
      <c r="G48" s="62" t="s">
        <v>59</v>
      </c>
      <c r="H48" s="62" t="s">
        <v>218</v>
      </c>
      <c r="I48" s="62">
        <v>14000</v>
      </c>
      <c r="J48" s="62" t="s">
        <v>24</v>
      </c>
      <c r="K48" s="65">
        <v>17.81</v>
      </c>
      <c r="L48" s="65">
        <f t="shared" si="0"/>
        <v>249340</v>
      </c>
      <c r="M48" s="62" t="s">
        <v>36</v>
      </c>
      <c r="N48" s="11" t="s">
        <v>219</v>
      </c>
      <c r="O48" s="66">
        <v>14.169011</v>
      </c>
      <c r="P48" s="62" t="s">
        <v>167</v>
      </c>
      <c r="Q48" s="62"/>
      <c r="R48" s="62"/>
      <c r="S48" s="62">
        <v>2</v>
      </c>
      <c r="T48" s="62"/>
      <c r="U48" s="67"/>
    </row>
    <row r="49" s="58" customFormat="1" hidden="1" customHeight="1" spans="1:21">
      <c r="A49" s="61">
        <f t="shared" si="1"/>
        <v>48</v>
      </c>
      <c r="B49" s="62">
        <v>2</v>
      </c>
      <c r="C49" s="79" t="s">
        <v>168</v>
      </c>
      <c r="D49" s="61">
        <v>20260213</v>
      </c>
      <c r="E49" s="64" t="s">
        <v>20</v>
      </c>
      <c r="F49" s="62" t="s">
        <v>21</v>
      </c>
      <c r="G49" s="62" t="s">
        <v>169</v>
      </c>
      <c r="H49" s="62" t="s">
        <v>195</v>
      </c>
      <c r="I49" s="62">
        <v>15083</v>
      </c>
      <c r="J49" s="62" t="s">
        <v>24</v>
      </c>
      <c r="K49" s="65">
        <v>42.63</v>
      </c>
      <c r="L49" s="65">
        <f t="shared" si="0"/>
        <v>642988.29</v>
      </c>
      <c r="M49" s="62" t="s">
        <v>36</v>
      </c>
      <c r="N49" s="11" t="s">
        <v>220</v>
      </c>
      <c r="O49" s="89">
        <v>33</v>
      </c>
      <c r="P49" s="62" t="s">
        <v>27</v>
      </c>
      <c r="Q49" s="62"/>
      <c r="R49" s="62"/>
      <c r="S49" s="62">
        <v>10</v>
      </c>
      <c r="T49" s="62"/>
      <c r="U49" s="67"/>
    </row>
    <row r="50" s="58" customFormat="1" hidden="1" customHeight="1" spans="1:21">
      <c r="A50" s="61">
        <f t="shared" si="1"/>
        <v>49</v>
      </c>
      <c r="B50" s="62">
        <v>2</v>
      </c>
      <c r="C50" s="79" t="s">
        <v>168</v>
      </c>
      <c r="D50" s="61">
        <v>20260214</v>
      </c>
      <c r="E50" s="64" t="s">
        <v>20</v>
      </c>
      <c r="F50" s="62" t="s">
        <v>21</v>
      </c>
      <c r="G50" s="62" t="s">
        <v>172</v>
      </c>
      <c r="H50" s="62" t="s">
        <v>179</v>
      </c>
      <c r="I50" s="90">
        <v>154</v>
      </c>
      <c r="J50" s="62" t="s">
        <v>24</v>
      </c>
      <c r="K50" s="65">
        <v>32.17</v>
      </c>
      <c r="L50" s="65">
        <f t="shared" si="0"/>
        <v>4954.18</v>
      </c>
      <c r="M50" s="62" t="s">
        <v>36</v>
      </c>
      <c r="N50" s="11" t="s">
        <v>221</v>
      </c>
      <c r="O50" s="91">
        <v>28.81</v>
      </c>
      <c r="P50" s="62" t="s">
        <v>43</v>
      </c>
      <c r="Q50" s="62"/>
      <c r="R50" s="62"/>
      <c r="S50" s="92">
        <v>1</v>
      </c>
      <c r="T50" s="62"/>
      <c r="U50" s="67"/>
    </row>
    <row r="51" s="58" customFormat="1" hidden="1" customHeight="1" spans="1:21">
      <c r="A51" s="61">
        <f t="shared" si="1"/>
        <v>50</v>
      </c>
      <c r="B51" s="62">
        <v>2</v>
      </c>
      <c r="C51" s="79" t="s">
        <v>168</v>
      </c>
      <c r="D51" s="61">
        <v>20260214</v>
      </c>
      <c r="E51" s="64" t="s">
        <v>20</v>
      </c>
      <c r="F51" s="62" t="s">
        <v>21</v>
      </c>
      <c r="G51" s="62" t="s">
        <v>172</v>
      </c>
      <c r="H51" s="90" t="s">
        <v>173</v>
      </c>
      <c r="I51" s="90">
        <v>19361</v>
      </c>
      <c r="J51" s="62" t="s">
        <v>24</v>
      </c>
      <c r="K51" s="65">
        <v>32.17</v>
      </c>
      <c r="L51" s="65">
        <f t="shared" si="0"/>
        <v>622843.37</v>
      </c>
      <c r="M51" s="62" t="s">
        <v>36</v>
      </c>
      <c r="N51" s="11" t="s">
        <v>221</v>
      </c>
      <c r="O51" s="93">
        <v>29.03</v>
      </c>
      <c r="P51" s="62" t="s">
        <v>43</v>
      </c>
      <c r="Q51" s="62"/>
      <c r="R51" s="62"/>
      <c r="S51" s="62">
        <v>3</v>
      </c>
      <c r="T51" s="62"/>
      <c r="U51" s="67"/>
    </row>
    <row r="52" s="58" customFormat="1" hidden="1" spans="1:21">
      <c r="A52" s="61">
        <f t="shared" si="1"/>
        <v>51</v>
      </c>
      <c r="B52" s="62">
        <v>2</v>
      </c>
      <c r="C52" s="79" t="s">
        <v>168</v>
      </c>
      <c r="D52" s="61">
        <v>20260214</v>
      </c>
      <c r="E52" s="64" t="s">
        <v>20</v>
      </c>
      <c r="F52" s="62" t="s">
        <v>21</v>
      </c>
      <c r="G52" s="62" t="s">
        <v>172</v>
      </c>
      <c r="H52" s="90" t="s">
        <v>173</v>
      </c>
      <c r="I52" s="62">
        <v>16296</v>
      </c>
      <c r="J52" s="62" t="s">
        <v>24</v>
      </c>
      <c r="K52" s="65">
        <v>32.17</v>
      </c>
      <c r="L52" s="65">
        <f t="shared" si="0"/>
        <v>524242.32</v>
      </c>
      <c r="M52" s="62" t="s">
        <v>36</v>
      </c>
      <c r="N52" s="11" t="s">
        <v>221</v>
      </c>
      <c r="O52" s="66">
        <v>29.03</v>
      </c>
      <c r="P52" s="62" t="s">
        <v>43</v>
      </c>
      <c r="Q52" s="62"/>
      <c r="R52" s="62"/>
      <c r="S52" s="62">
        <v>2</v>
      </c>
      <c r="T52" s="62"/>
      <c r="U52" s="67"/>
    </row>
    <row r="53" s="58" customFormat="1" hidden="1" spans="1:21">
      <c r="A53" s="61">
        <f t="shared" si="1"/>
        <v>52</v>
      </c>
      <c r="B53" s="62">
        <v>2</v>
      </c>
      <c r="C53" s="79" t="s">
        <v>168</v>
      </c>
      <c r="D53" s="61">
        <v>20260214</v>
      </c>
      <c r="E53" s="64" t="s">
        <v>20</v>
      </c>
      <c r="F53" s="62" t="s">
        <v>21</v>
      </c>
      <c r="G53" s="62" t="s">
        <v>169</v>
      </c>
      <c r="H53" s="62" t="s">
        <v>195</v>
      </c>
      <c r="I53" s="62">
        <v>15807</v>
      </c>
      <c r="J53" s="62" t="s">
        <v>24</v>
      </c>
      <c r="K53" s="65">
        <v>42.63</v>
      </c>
      <c r="L53" s="65">
        <f t="shared" si="0"/>
        <v>673852.41</v>
      </c>
      <c r="M53" s="62" t="s">
        <v>36</v>
      </c>
      <c r="N53" s="11" t="s">
        <v>222</v>
      </c>
      <c r="O53" s="66">
        <v>33</v>
      </c>
      <c r="P53" s="62" t="s">
        <v>27</v>
      </c>
      <c r="Q53" s="62"/>
      <c r="R53" s="62"/>
      <c r="S53" s="94">
        <v>10</v>
      </c>
      <c r="T53" s="62"/>
      <c r="U53" s="67"/>
    </row>
    <row r="54" s="58" customFormat="1" hidden="1" customHeight="1" spans="1:21">
      <c r="A54" s="61">
        <f t="shared" si="1"/>
        <v>53</v>
      </c>
      <c r="B54" s="62">
        <v>2</v>
      </c>
      <c r="C54" s="79" t="s">
        <v>168</v>
      </c>
      <c r="D54" s="61">
        <v>20260215</v>
      </c>
      <c r="E54" s="64" t="s">
        <v>20</v>
      </c>
      <c r="F54" s="62" t="s">
        <v>21</v>
      </c>
      <c r="G54" s="62" t="s">
        <v>169</v>
      </c>
      <c r="H54" s="62" t="s">
        <v>195</v>
      </c>
      <c r="I54" s="62">
        <v>19081</v>
      </c>
      <c r="J54" s="62" t="s">
        <v>24</v>
      </c>
      <c r="K54" s="65">
        <v>42.63</v>
      </c>
      <c r="L54" s="65">
        <f t="shared" si="0"/>
        <v>813423.03</v>
      </c>
      <c r="M54" s="62" t="s">
        <v>36</v>
      </c>
      <c r="N54" s="11" t="s">
        <v>223</v>
      </c>
      <c r="O54" s="66">
        <v>33</v>
      </c>
      <c r="P54" s="62" t="s">
        <v>27</v>
      </c>
      <c r="Q54" s="62"/>
      <c r="R54" s="62"/>
      <c r="S54" s="94">
        <v>10</v>
      </c>
      <c r="T54" s="62"/>
      <c r="U54" s="67"/>
    </row>
    <row r="55" s="58" customFormat="1" hidden="1" customHeight="1" spans="1:21">
      <c r="A55" s="61">
        <f t="shared" si="1"/>
        <v>54</v>
      </c>
      <c r="B55" s="62">
        <v>2</v>
      </c>
      <c r="C55" s="79" t="s">
        <v>168</v>
      </c>
      <c r="D55" s="61">
        <v>20260224</v>
      </c>
      <c r="E55" s="64" t="s">
        <v>20</v>
      </c>
      <c r="F55" s="62" t="s">
        <v>21</v>
      </c>
      <c r="G55" s="62" t="s">
        <v>59</v>
      </c>
      <c r="H55" s="62" t="s">
        <v>170</v>
      </c>
      <c r="I55" s="62">
        <v>14961</v>
      </c>
      <c r="J55" s="62" t="s">
        <v>24</v>
      </c>
      <c r="K55" s="65">
        <v>42.63</v>
      </c>
      <c r="L55" s="65">
        <f t="shared" si="0"/>
        <v>637787.43</v>
      </c>
      <c r="M55" s="62" t="s">
        <v>36</v>
      </c>
      <c r="N55" s="11" t="s">
        <v>224</v>
      </c>
      <c r="O55" s="66">
        <v>32.604326</v>
      </c>
      <c r="P55" s="62" t="s">
        <v>167</v>
      </c>
      <c r="Q55" s="62"/>
      <c r="R55" s="62"/>
      <c r="S55" s="62">
        <v>10</v>
      </c>
      <c r="T55" s="62"/>
      <c r="U55" s="67"/>
    </row>
    <row r="56" s="58" customFormat="1" hidden="1" customHeight="1" spans="1:21">
      <c r="A56" s="61">
        <f t="shared" si="1"/>
        <v>55</v>
      </c>
      <c r="B56" s="62">
        <v>2</v>
      </c>
      <c r="C56" s="79" t="s">
        <v>168</v>
      </c>
      <c r="D56" s="61">
        <v>20260225</v>
      </c>
      <c r="E56" s="64" t="s">
        <v>20</v>
      </c>
      <c r="F56" s="62" t="s">
        <v>21</v>
      </c>
      <c r="G56" s="62" t="s">
        <v>172</v>
      </c>
      <c r="H56" s="62" t="s">
        <v>225</v>
      </c>
      <c r="I56" s="62">
        <v>19454</v>
      </c>
      <c r="J56" s="62" t="s">
        <v>24</v>
      </c>
      <c r="K56" s="65">
        <v>32.17</v>
      </c>
      <c r="L56" s="65">
        <f t="shared" si="0"/>
        <v>625835.18</v>
      </c>
      <c r="M56" s="62" t="s">
        <v>36</v>
      </c>
      <c r="N56" s="11" t="s">
        <v>226</v>
      </c>
      <c r="O56" s="66">
        <v>29.17</v>
      </c>
      <c r="P56" s="62" t="s">
        <v>27</v>
      </c>
      <c r="Q56" s="62"/>
      <c r="R56" s="62"/>
      <c r="S56" s="62">
        <v>3</v>
      </c>
      <c r="T56" s="62"/>
      <c r="U56" s="67"/>
    </row>
    <row r="57" s="58" customFormat="1" hidden="1" customHeight="1" spans="1:21">
      <c r="A57" s="61">
        <f t="shared" si="1"/>
        <v>56</v>
      </c>
      <c r="B57" s="62">
        <v>2</v>
      </c>
      <c r="C57" s="79" t="s">
        <v>168</v>
      </c>
      <c r="D57" s="61">
        <v>20260226</v>
      </c>
      <c r="E57" s="64" t="s">
        <v>20</v>
      </c>
      <c r="F57" s="62" t="s">
        <v>21</v>
      </c>
      <c r="G57" s="62" t="s">
        <v>32</v>
      </c>
      <c r="H57" s="62" t="s">
        <v>176</v>
      </c>
      <c r="I57" s="62">
        <v>31509</v>
      </c>
      <c r="J57" s="62" t="s">
        <v>24</v>
      </c>
      <c r="K57" s="65">
        <v>32.17</v>
      </c>
      <c r="L57" s="65">
        <f t="shared" si="0"/>
        <v>1013644.53</v>
      </c>
      <c r="M57" s="62" t="s">
        <v>36</v>
      </c>
      <c r="N57" s="11" t="s">
        <v>227</v>
      </c>
      <c r="O57" s="66">
        <v>28.9283</v>
      </c>
      <c r="P57" s="62" t="s">
        <v>27</v>
      </c>
      <c r="Q57" s="62"/>
      <c r="R57" s="62"/>
      <c r="S57" s="95" t="s">
        <v>228</v>
      </c>
      <c r="T57" s="62"/>
      <c r="U57" s="67"/>
    </row>
    <row r="58" s="58" customFormat="1" hidden="1" customHeight="1" spans="1:21">
      <c r="A58" s="61">
        <f t="shared" si="1"/>
        <v>57</v>
      </c>
      <c r="B58" s="62">
        <v>2</v>
      </c>
      <c r="C58" s="79" t="s">
        <v>168</v>
      </c>
      <c r="D58" s="61">
        <v>20260226</v>
      </c>
      <c r="E58" s="64" t="s">
        <v>20</v>
      </c>
      <c r="F58" s="62" t="s">
        <v>21</v>
      </c>
      <c r="G58" s="62" t="s">
        <v>32</v>
      </c>
      <c r="H58" s="62" t="s">
        <v>179</v>
      </c>
      <c r="I58" s="62">
        <v>18018</v>
      </c>
      <c r="J58" s="62" t="s">
        <v>24</v>
      </c>
      <c r="K58" s="65">
        <v>32.17</v>
      </c>
      <c r="L58" s="65">
        <f t="shared" si="0"/>
        <v>579639.06</v>
      </c>
      <c r="M58" s="62" t="s">
        <v>36</v>
      </c>
      <c r="N58" s="11" t="s">
        <v>227</v>
      </c>
      <c r="O58" s="66">
        <v>29.7991</v>
      </c>
      <c r="P58" s="62" t="s">
        <v>27</v>
      </c>
      <c r="Q58" s="62"/>
      <c r="R58" s="62"/>
      <c r="S58" s="62" t="s">
        <v>229</v>
      </c>
      <c r="T58" s="62"/>
      <c r="U58" s="67"/>
    </row>
    <row r="59" s="58" customFormat="1" hidden="1" customHeight="1" spans="1:21">
      <c r="A59" s="61">
        <f t="shared" si="1"/>
        <v>58</v>
      </c>
      <c r="B59" s="62">
        <v>2</v>
      </c>
      <c r="C59" s="79" t="s">
        <v>168</v>
      </c>
      <c r="D59" s="61">
        <v>20260226</v>
      </c>
      <c r="E59" s="64" t="s">
        <v>20</v>
      </c>
      <c r="F59" s="62" t="s">
        <v>21</v>
      </c>
      <c r="G59" s="62" t="s">
        <v>134</v>
      </c>
      <c r="H59" s="62" t="s">
        <v>170</v>
      </c>
      <c r="I59" s="62">
        <v>623</v>
      </c>
      <c r="J59" s="62" t="s">
        <v>24</v>
      </c>
      <c r="K59" s="65">
        <v>42.63</v>
      </c>
      <c r="L59" s="65">
        <f t="shared" si="0"/>
        <v>26558.49</v>
      </c>
      <c r="M59" s="62" t="s">
        <v>36</v>
      </c>
      <c r="N59" s="11" t="s">
        <v>230</v>
      </c>
      <c r="O59" s="66">
        <v>33</v>
      </c>
      <c r="P59" s="62" t="s">
        <v>43</v>
      </c>
      <c r="Q59" s="62"/>
      <c r="R59" s="62"/>
      <c r="S59" s="62" t="s">
        <v>152</v>
      </c>
      <c r="T59" s="62"/>
      <c r="U59" s="67"/>
    </row>
    <row r="60" s="58" customFormat="1" hidden="1" customHeight="1" spans="1:21">
      <c r="A60" s="61">
        <f t="shared" si="1"/>
        <v>59</v>
      </c>
      <c r="B60" s="62">
        <v>2</v>
      </c>
      <c r="C60" s="79" t="s">
        <v>168</v>
      </c>
      <c r="D60" s="61">
        <v>20260228</v>
      </c>
      <c r="E60" s="64" t="s">
        <v>20</v>
      </c>
      <c r="F60" s="62" t="s">
        <v>21</v>
      </c>
      <c r="G60" s="62" t="s">
        <v>59</v>
      </c>
      <c r="H60" s="62" t="s">
        <v>176</v>
      </c>
      <c r="I60" s="62">
        <v>70</v>
      </c>
      <c r="J60" s="62" t="s">
        <v>24</v>
      </c>
      <c r="K60" s="65">
        <v>32.17</v>
      </c>
      <c r="L60" s="65">
        <f t="shared" si="0"/>
        <v>2251.9</v>
      </c>
      <c r="M60" s="62" t="s">
        <v>36</v>
      </c>
      <c r="N60" s="11" t="s">
        <v>231</v>
      </c>
      <c r="O60" s="66">
        <v>27.819429</v>
      </c>
      <c r="P60" s="62" t="s">
        <v>27</v>
      </c>
      <c r="Q60" s="62"/>
      <c r="R60" s="62"/>
      <c r="S60" s="62">
        <v>1</v>
      </c>
      <c r="T60" s="62"/>
      <c r="U60" s="67"/>
    </row>
    <row r="61" s="58" customFormat="1" hidden="1" customHeight="1" spans="1:21">
      <c r="A61" s="61">
        <f t="shared" si="1"/>
        <v>60</v>
      </c>
      <c r="B61" s="62">
        <v>3</v>
      </c>
      <c r="C61" s="79" t="s">
        <v>168</v>
      </c>
      <c r="D61" s="61">
        <v>20260302</v>
      </c>
      <c r="E61" s="64" t="s">
        <v>20</v>
      </c>
      <c r="F61" s="62" t="s">
        <v>21</v>
      </c>
      <c r="G61" s="62" t="s">
        <v>59</v>
      </c>
      <c r="H61" s="62" t="s">
        <v>170</v>
      </c>
      <c r="I61" s="62">
        <v>735</v>
      </c>
      <c r="J61" s="62" t="s">
        <v>24</v>
      </c>
      <c r="K61" s="65">
        <v>42.63</v>
      </c>
      <c r="L61" s="65">
        <f t="shared" si="0"/>
        <v>31333.05</v>
      </c>
      <c r="M61" s="62" t="s">
        <v>36</v>
      </c>
      <c r="N61" s="11" t="s">
        <v>232</v>
      </c>
      <c r="O61" s="66">
        <v>35.354803</v>
      </c>
      <c r="P61" s="62" t="s">
        <v>43</v>
      </c>
      <c r="Q61" s="62"/>
      <c r="R61" s="62"/>
      <c r="S61" s="62">
        <v>1</v>
      </c>
      <c r="T61" s="62"/>
      <c r="U61" s="67"/>
    </row>
    <row r="62" s="58" customFormat="1" hidden="1" customHeight="1" spans="1:21">
      <c r="A62" s="61">
        <f t="shared" si="1"/>
        <v>61</v>
      </c>
      <c r="B62" s="62">
        <v>3</v>
      </c>
      <c r="C62" s="79" t="s">
        <v>168</v>
      </c>
      <c r="D62" s="61">
        <v>20260302</v>
      </c>
      <c r="E62" s="64" t="s">
        <v>20</v>
      </c>
      <c r="F62" s="62" t="s">
        <v>21</v>
      </c>
      <c r="G62" s="62" t="s">
        <v>59</v>
      </c>
      <c r="H62" s="62" t="s">
        <v>131</v>
      </c>
      <c r="I62" s="62">
        <v>34200</v>
      </c>
      <c r="J62" s="62" t="s">
        <v>24</v>
      </c>
      <c r="K62" s="65">
        <v>8.8</v>
      </c>
      <c r="L62" s="65">
        <f t="shared" si="0"/>
        <v>300960</v>
      </c>
      <c r="M62" s="62" t="s">
        <v>36</v>
      </c>
      <c r="N62" s="11" t="s">
        <v>233</v>
      </c>
      <c r="O62" s="66">
        <v>8.008</v>
      </c>
      <c r="P62" s="62" t="s">
        <v>43</v>
      </c>
      <c r="Q62" s="62"/>
      <c r="R62" s="62"/>
      <c r="S62" s="62">
        <v>3</v>
      </c>
      <c r="T62" s="62"/>
      <c r="U62" s="67"/>
    </row>
    <row r="63" s="58" customFormat="1" hidden="1" customHeight="1" spans="1:21">
      <c r="A63" s="61">
        <f t="shared" si="1"/>
        <v>62</v>
      </c>
      <c r="B63" s="62">
        <v>3</v>
      </c>
      <c r="C63" s="79" t="s">
        <v>168</v>
      </c>
      <c r="D63" s="61">
        <v>20260305</v>
      </c>
      <c r="E63" s="64" t="s">
        <v>20</v>
      </c>
      <c r="F63" s="62" t="s">
        <v>21</v>
      </c>
      <c r="G63" s="62" t="s">
        <v>134</v>
      </c>
      <c r="H63" s="62" t="s">
        <v>179</v>
      </c>
      <c r="I63" s="62">
        <f>2400+6000+3600</f>
        <v>12000</v>
      </c>
      <c r="J63" s="62" t="s">
        <v>24</v>
      </c>
      <c r="K63" s="65">
        <v>32.17</v>
      </c>
      <c r="L63" s="65">
        <f t="shared" si="0"/>
        <v>386040</v>
      </c>
      <c r="M63" s="62" t="s">
        <v>36</v>
      </c>
      <c r="N63" s="11" t="s">
        <v>234</v>
      </c>
      <c r="O63" s="66">
        <v>28.76</v>
      </c>
      <c r="P63" s="62" t="s">
        <v>27</v>
      </c>
      <c r="Q63" s="62"/>
      <c r="R63" s="62"/>
      <c r="S63" s="62">
        <f>1+1+1</f>
        <v>3</v>
      </c>
      <c r="T63" s="62"/>
      <c r="U63" s="67"/>
    </row>
    <row r="64" s="58" customFormat="1" hidden="1" customHeight="1" spans="1:21">
      <c r="A64" s="61">
        <f t="shared" si="1"/>
        <v>63</v>
      </c>
      <c r="B64" s="62">
        <v>3</v>
      </c>
      <c r="C64" s="79" t="s">
        <v>168</v>
      </c>
      <c r="D64" s="61">
        <v>20260305</v>
      </c>
      <c r="E64" s="64" t="s">
        <v>20</v>
      </c>
      <c r="F64" s="62" t="s">
        <v>21</v>
      </c>
      <c r="G64" s="62" t="s">
        <v>134</v>
      </c>
      <c r="H64" s="62" t="s">
        <v>176</v>
      </c>
      <c r="I64" s="62">
        <v>1200</v>
      </c>
      <c r="J64" s="62" t="s">
        <v>24</v>
      </c>
      <c r="K64" s="65">
        <v>32.17</v>
      </c>
      <c r="L64" s="65">
        <f t="shared" si="0"/>
        <v>38604</v>
      </c>
      <c r="M64" s="62" t="s">
        <v>36</v>
      </c>
      <c r="N64" s="11" t="s">
        <v>234</v>
      </c>
      <c r="O64" s="66">
        <v>28.76</v>
      </c>
      <c r="P64" s="62" t="s">
        <v>27</v>
      </c>
      <c r="Q64" s="62"/>
      <c r="R64" s="62"/>
      <c r="S64" s="62">
        <v>1</v>
      </c>
      <c r="T64" s="62"/>
      <c r="U64" s="67"/>
    </row>
    <row r="65" s="58" customFormat="1" hidden="1" customHeight="1" spans="1:21">
      <c r="A65" s="61">
        <f t="shared" si="1"/>
        <v>64</v>
      </c>
      <c r="B65" s="62">
        <v>3</v>
      </c>
      <c r="C65" s="79" t="s">
        <v>168</v>
      </c>
      <c r="D65" s="61">
        <v>20260305</v>
      </c>
      <c r="E65" s="64" t="s">
        <v>20</v>
      </c>
      <c r="F65" s="62" t="s">
        <v>21</v>
      </c>
      <c r="G65" s="62" t="s">
        <v>22</v>
      </c>
      <c r="H65" s="62" t="s">
        <v>131</v>
      </c>
      <c r="I65" s="62">
        <v>34751</v>
      </c>
      <c r="J65" s="62" t="s">
        <v>24</v>
      </c>
      <c r="K65" s="65">
        <v>8.8</v>
      </c>
      <c r="L65" s="65">
        <f t="shared" si="0"/>
        <v>305808.8</v>
      </c>
      <c r="M65" s="62" t="s">
        <v>36</v>
      </c>
      <c r="N65" s="11" t="s">
        <v>235</v>
      </c>
      <c r="O65" s="66">
        <v>8.00816609593969</v>
      </c>
      <c r="P65" s="62" t="s">
        <v>167</v>
      </c>
      <c r="Q65" s="62"/>
      <c r="R65" s="62"/>
      <c r="S65" s="62">
        <v>2</v>
      </c>
      <c r="T65" s="62"/>
      <c r="U65" s="67"/>
    </row>
    <row r="66" s="58" customFormat="1" hidden="1" customHeight="1" spans="1:21">
      <c r="A66" s="61">
        <f t="shared" si="1"/>
        <v>65</v>
      </c>
      <c r="B66" s="62">
        <v>3</v>
      </c>
      <c r="C66" s="79" t="s">
        <v>168</v>
      </c>
      <c r="D66" s="61">
        <v>20260305</v>
      </c>
      <c r="E66" s="64" t="s">
        <v>20</v>
      </c>
      <c r="F66" s="62" t="s">
        <v>21</v>
      </c>
      <c r="G66" s="62" t="s">
        <v>59</v>
      </c>
      <c r="H66" s="62" t="s">
        <v>131</v>
      </c>
      <c r="I66" s="62">
        <v>12235</v>
      </c>
      <c r="J66" s="62" t="s">
        <v>24</v>
      </c>
      <c r="K66" s="65">
        <v>8.8</v>
      </c>
      <c r="L66" s="65">
        <f t="shared" ref="L66:L128" si="2">I66*K66</f>
        <v>107668</v>
      </c>
      <c r="M66" s="62" t="s">
        <v>36</v>
      </c>
      <c r="N66" s="11" t="s">
        <v>236</v>
      </c>
      <c r="O66" s="66">
        <v>8.008</v>
      </c>
      <c r="P66" s="62" t="s">
        <v>167</v>
      </c>
      <c r="Q66" s="62"/>
      <c r="R66" s="62"/>
      <c r="S66" s="62">
        <v>2</v>
      </c>
      <c r="T66" s="62"/>
      <c r="U66" s="67"/>
    </row>
    <row r="67" s="58" customFormat="1" hidden="1" customHeight="1" spans="1:21">
      <c r="A67" s="61">
        <f t="shared" ref="A67:A128" si="3">A66+1</f>
        <v>66</v>
      </c>
      <c r="B67" s="62">
        <v>3</v>
      </c>
      <c r="C67" s="79" t="s">
        <v>168</v>
      </c>
      <c r="D67" s="61">
        <v>20260306</v>
      </c>
      <c r="E67" s="64" t="s">
        <v>20</v>
      </c>
      <c r="F67" s="62" t="s">
        <v>21</v>
      </c>
      <c r="G67" s="62" t="s">
        <v>172</v>
      </c>
      <c r="H67" s="62" t="s">
        <v>179</v>
      </c>
      <c r="I67" s="62">
        <v>77</v>
      </c>
      <c r="J67" s="62" t="s">
        <v>24</v>
      </c>
      <c r="K67" s="65">
        <v>32.17</v>
      </c>
      <c r="L67" s="65">
        <f t="shared" si="2"/>
        <v>2477.09</v>
      </c>
      <c r="M67" s="62" t="s">
        <v>36</v>
      </c>
      <c r="N67" s="11" t="s">
        <v>237</v>
      </c>
      <c r="O67" s="61">
        <v>28.81</v>
      </c>
      <c r="P67" s="62" t="s">
        <v>43</v>
      </c>
      <c r="Q67" s="62"/>
      <c r="R67" s="62"/>
      <c r="S67" s="62">
        <v>1</v>
      </c>
      <c r="T67" s="62"/>
      <c r="U67" s="67"/>
    </row>
    <row r="68" s="58" customFormat="1" hidden="1" customHeight="1" spans="1:21">
      <c r="A68" s="61">
        <f t="shared" si="3"/>
        <v>67</v>
      </c>
      <c r="B68" s="62">
        <v>3</v>
      </c>
      <c r="C68" s="79" t="s">
        <v>168</v>
      </c>
      <c r="D68" s="61">
        <v>20260306</v>
      </c>
      <c r="E68" s="64" t="s">
        <v>20</v>
      </c>
      <c r="F68" s="62" t="s">
        <v>21</v>
      </c>
      <c r="G68" s="62" t="s">
        <v>134</v>
      </c>
      <c r="H68" s="62" t="s">
        <v>225</v>
      </c>
      <c r="I68" s="62">
        <v>957</v>
      </c>
      <c r="J68" s="62" t="s">
        <v>24</v>
      </c>
      <c r="K68" s="65">
        <v>32.17</v>
      </c>
      <c r="L68" s="65">
        <f t="shared" si="2"/>
        <v>30786.69</v>
      </c>
      <c r="M68" s="62" t="s">
        <v>36</v>
      </c>
      <c r="N68" s="11" t="s">
        <v>238</v>
      </c>
      <c r="O68" s="66">
        <v>28.76</v>
      </c>
      <c r="P68" s="62" t="s">
        <v>43</v>
      </c>
      <c r="Q68" s="62"/>
      <c r="R68" s="62"/>
      <c r="S68" s="62">
        <v>1</v>
      </c>
      <c r="T68" s="62"/>
      <c r="U68" s="67"/>
    </row>
    <row r="69" s="58" customFormat="1" hidden="1" customHeight="1" spans="1:21">
      <c r="A69" s="61">
        <f t="shared" si="3"/>
        <v>68</v>
      </c>
      <c r="B69" s="62">
        <v>3</v>
      </c>
      <c r="C69" s="79" t="s">
        <v>168</v>
      </c>
      <c r="D69" s="61">
        <v>20260309</v>
      </c>
      <c r="E69" s="64" t="s">
        <v>20</v>
      </c>
      <c r="F69" s="62" t="s">
        <v>21</v>
      </c>
      <c r="G69" s="62" t="s">
        <v>172</v>
      </c>
      <c r="H69" s="62" t="s">
        <v>179</v>
      </c>
      <c r="I69" s="62">
        <v>77</v>
      </c>
      <c r="J69" s="62" t="s">
        <v>24</v>
      </c>
      <c r="K69" s="65">
        <v>32.17</v>
      </c>
      <c r="L69" s="65">
        <f t="shared" si="2"/>
        <v>2477.09</v>
      </c>
      <c r="M69" s="62" t="s">
        <v>36</v>
      </c>
      <c r="N69" s="11" t="s">
        <v>239</v>
      </c>
      <c r="O69" s="66">
        <v>28.81</v>
      </c>
      <c r="P69" s="62" t="s">
        <v>27</v>
      </c>
      <c r="Q69" s="62" t="s">
        <v>240</v>
      </c>
      <c r="R69" s="176" t="s">
        <v>241</v>
      </c>
      <c r="S69" s="62">
        <v>1</v>
      </c>
      <c r="T69" s="62"/>
      <c r="U69" s="67"/>
    </row>
    <row r="70" s="58" customFormat="1" hidden="1" customHeight="1" spans="1:21">
      <c r="A70" s="61">
        <f t="shared" si="3"/>
        <v>69</v>
      </c>
      <c r="B70" s="62">
        <v>3</v>
      </c>
      <c r="C70" s="79" t="s">
        <v>168</v>
      </c>
      <c r="D70" s="61">
        <v>20260309</v>
      </c>
      <c r="E70" s="64" t="s">
        <v>20</v>
      </c>
      <c r="F70" s="62" t="s">
        <v>21</v>
      </c>
      <c r="G70" s="62" t="s">
        <v>134</v>
      </c>
      <c r="H70" s="62" t="s">
        <v>176</v>
      </c>
      <c r="I70" s="62">
        <v>3600</v>
      </c>
      <c r="J70" s="62" t="s">
        <v>24</v>
      </c>
      <c r="K70" s="65">
        <v>32.17</v>
      </c>
      <c r="L70" s="65">
        <f t="shared" si="2"/>
        <v>115812</v>
      </c>
      <c r="M70" s="62" t="s">
        <v>36</v>
      </c>
      <c r="N70" s="11" t="s">
        <v>242</v>
      </c>
      <c r="O70" s="66">
        <v>28.76</v>
      </c>
      <c r="P70" s="62" t="s">
        <v>27</v>
      </c>
      <c r="Q70" s="62" t="s">
        <v>243</v>
      </c>
      <c r="R70" s="176" t="s">
        <v>244</v>
      </c>
      <c r="S70" s="62">
        <v>1</v>
      </c>
      <c r="T70" s="62"/>
      <c r="U70" s="67"/>
    </row>
    <row r="71" s="58" customFormat="1" hidden="1" customHeight="1" spans="1:21">
      <c r="A71" s="61">
        <f t="shared" si="3"/>
        <v>70</v>
      </c>
      <c r="B71" s="62">
        <v>3</v>
      </c>
      <c r="C71" s="79" t="s">
        <v>168</v>
      </c>
      <c r="D71" s="61">
        <v>20260309</v>
      </c>
      <c r="E71" s="64" t="s">
        <v>20</v>
      </c>
      <c r="F71" s="62" t="s">
        <v>21</v>
      </c>
      <c r="G71" s="62" t="s">
        <v>134</v>
      </c>
      <c r="H71" s="62" t="s">
        <v>131</v>
      </c>
      <c r="I71" s="62">
        <v>4570</v>
      </c>
      <c r="J71" s="62" t="s">
        <v>24</v>
      </c>
      <c r="K71" s="65">
        <v>8.8</v>
      </c>
      <c r="L71" s="65">
        <f t="shared" si="2"/>
        <v>40216</v>
      </c>
      <c r="M71" s="62" t="s">
        <v>36</v>
      </c>
      <c r="N71" s="11" t="s">
        <v>242</v>
      </c>
      <c r="O71" s="66">
        <v>8.02</v>
      </c>
      <c r="P71" s="62" t="s">
        <v>27</v>
      </c>
      <c r="Q71" s="62" t="s">
        <v>245</v>
      </c>
      <c r="R71" s="176" t="s">
        <v>246</v>
      </c>
      <c r="S71" s="62">
        <v>8</v>
      </c>
      <c r="T71" s="62"/>
      <c r="U71" s="67"/>
    </row>
    <row r="72" s="58" customFormat="1" hidden="1" customHeight="1" spans="1:21">
      <c r="A72" s="61">
        <f t="shared" si="3"/>
        <v>71</v>
      </c>
      <c r="B72" s="62">
        <v>3</v>
      </c>
      <c r="C72" s="79" t="s">
        <v>168</v>
      </c>
      <c r="D72" s="61">
        <v>20260311</v>
      </c>
      <c r="E72" s="64" t="s">
        <v>20</v>
      </c>
      <c r="F72" s="62" t="s">
        <v>21</v>
      </c>
      <c r="G72" s="62" t="s">
        <v>32</v>
      </c>
      <c r="H72" s="62" t="s">
        <v>131</v>
      </c>
      <c r="I72" s="62">
        <v>120126</v>
      </c>
      <c r="J72" s="62" t="s">
        <v>24</v>
      </c>
      <c r="K72" s="65">
        <v>8.8</v>
      </c>
      <c r="L72" s="65">
        <f t="shared" si="2"/>
        <v>1057108.8</v>
      </c>
      <c r="M72" s="62" t="s">
        <v>36</v>
      </c>
      <c r="N72" s="11" t="s">
        <v>247</v>
      </c>
      <c r="O72" s="66">
        <v>7.9943</v>
      </c>
      <c r="P72" s="62" t="s">
        <v>27</v>
      </c>
      <c r="Q72" s="62" t="s">
        <v>248</v>
      </c>
      <c r="R72" s="176" t="s">
        <v>249</v>
      </c>
      <c r="S72" s="62">
        <v>25</v>
      </c>
      <c r="T72" s="62"/>
      <c r="U72" s="67"/>
    </row>
    <row r="73" s="58" customFormat="1" hidden="1" customHeight="1" spans="1:21">
      <c r="A73" s="61">
        <f t="shared" si="3"/>
        <v>72</v>
      </c>
      <c r="B73" s="62">
        <v>3</v>
      </c>
      <c r="C73" s="79" t="s">
        <v>168</v>
      </c>
      <c r="D73" s="61">
        <v>20260311</v>
      </c>
      <c r="E73" s="64" t="s">
        <v>20</v>
      </c>
      <c r="F73" s="62" t="s">
        <v>21</v>
      </c>
      <c r="G73" s="62" t="s">
        <v>32</v>
      </c>
      <c r="H73" s="62" t="s">
        <v>148</v>
      </c>
      <c r="I73" s="62">
        <v>44871</v>
      </c>
      <c r="J73" s="62" t="s">
        <v>24</v>
      </c>
      <c r="K73" s="65">
        <v>8.8</v>
      </c>
      <c r="L73" s="65">
        <f t="shared" si="2"/>
        <v>394864.8</v>
      </c>
      <c r="M73" s="62" t="s">
        <v>36</v>
      </c>
      <c r="N73" s="11" t="s">
        <v>247</v>
      </c>
      <c r="O73" s="66">
        <v>7.7034</v>
      </c>
      <c r="P73" s="62" t="s">
        <v>27</v>
      </c>
      <c r="Q73" s="62" t="s">
        <v>250</v>
      </c>
      <c r="R73" s="176" t="s">
        <v>251</v>
      </c>
      <c r="S73" s="62">
        <v>12</v>
      </c>
      <c r="T73" s="62"/>
      <c r="U73" s="67"/>
    </row>
    <row r="74" s="58" customFormat="1" hidden="1" customHeight="1" spans="1:21">
      <c r="A74" s="61">
        <f t="shared" si="3"/>
        <v>73</v>
      </c>
      <c r="B74" s="62">
        <v>3</v>
      </c>
      <c r="C74" s="79" t="s">
        <v>168</v>
      </c>
      <c r="D74" s="61">
        <v>20260311</v>
      </c>
      <c r="E74" s="64" t="s">
        <v>20</v>
      </c>
      <c r="F74" s="62" t="s">
        <v>21</v>
      </c>
      <c r="G74" s="62" t="s">
        <v>32</v>
      </c>
      <c r="H74" s="62" t="s">
        <v>135</v>
      </c>
      <c r="I74" s="62">
        <v>15057</v>
      </c>
      <c r="J74" s="62" t="s">
        <v>24</v>
      </c>
      <c r="K74" s="65">
        <v>8.8</v>
      </c>
      <c r="L74" s="65">
        <f t="shared" si="2"/>
        <v>132501.6</v>
      </c>
      <c r="M74" s="62" t="s">
        <v>36</v>
      </c>
      <c r="N74" s="11" t="s">
        <v>247</v>
      </c>
      <c r="O74" s="66">
        <v>7.1817</v>
      </c>
      <c r="P74" s="62" t="s">
        <v>27</v>
      </c>
      <c r="Q74" s="62" t="s">
        <v>252</v>
      </c>
      <c r="R74" s="176" t="s">
        <v>253</v>
      </c>
      <c r="S74" s="62">
        <v>4</v>
      </c>
      <c r="T74" s="62"/>
      <c r="U74" s="67"/>
    </row>
    <row r="75" s="58" customFormat="1" hidden="1" customHeight="1" spans="1:21">
      <c r="A75" s="61">
        <f t="shared" si="3"/>
        <v>74</v>
      </c>
      <c r="B75" s="62">
        <v>3</v>
      </c>
      <c r="C75" s="79" t="s">
        <v>168</v>
      </c>
      <c r="D75" s="61">
        <v>20260312</v>
      </c>
      <c r="E75" s="64" t="s">
        <v>20</v>
      </c>
      <c r="F75" s="62" t="s">
        <v>21</v>
      </c>
      <c r="G75" s="62" t="s">
        <v>59</v>
      </c>
      <c r="H75" s="62" t="s">
        <v>179</v>
      </c>
      <c r="I75" s="62">
        <v>23544</v>
      </c>
      <c r="J75" s="62" t="s">
        <v>24</v>
      </c>
      <c r="K75" s="65">
        <v>32.17</v>
      </c>
      <c r="L75" s="65">
        <f t="shared" si="2"/>
        <v>757410.48</v>
      </c>
      <c r="M75" s="62" t="s">
        <v>36</v>
      </c>
      <c r="N75" s="11" t="s">
        <v>254</v>
      </c>
      <c r="O75" s="66">
        <v>27.457712</v>
      </c>
      <c r="P75" s="62" t="s">
        <v>43</v>
      </c>
      <c r="Q75" s="62" t="s">
        <v>255</v>
      </c>
      <c r="R75" s="177" t="s">
        <v>256</v>
      </c>
      <c r="S75" s="62">
        <v>11</v>
      </c>
      <c r="T75" s="97"/>
      <c r="U75" s="67"/>
    </row>
    <row r="76" s="58" customFormat="1" hidden="1" customHeight="1" spans="1:21">
      <c r="A76" s="61">
        <f t="shared" si="3"/>
        <v>75</v>
      </c>
      <c r="B76" s="62">
        <v>3</v>
      </c>
      <c r="C76" s="79" t="s">
        <v>168</v>
      </c>
      <c r="D76" s="61">
        <v>20260312</v>
      </c>
      <c r="E76" s="64" t="s">
        <v>20</v>
      </c>
      <c r="F76" s="62" t="s">
        <v>21</v>
      </c>
      <c r="G76" s="62" t="s">
        <v>59</v>
      </c>
      <c r="H76" s="62" t="s">
        <v>176</v>
      </c>
      <c r="I76" s="62">
        <v>18467</v>
      </c>
      <c r="J76" s="62" t="s">
        <v>24</v>
      </c>
      <c r="K76" s="65">
        <v>32.17</v>
      </c>
      <c r="L76" s="65">
        <f t="shared" si="2"/>
        <v>594083.39</v>
      </c>
      <c r="M76" s="62" t="s">
        <v>36</v>
      </c>
      <c r="N76" s="11" t="s">
        <v>254</v>
      </c>
      <c r="O76" s="66">
        <v>27.457712</v>
      </c>
      <c r="P76" s="62" t="s">
        <v>43</v>
      </c>
      <c r="Q76" s="62" t="s">
        <v>257</v>
      </c>
      <c r="R76" s="178" t="s">
        <v>258</v>
      </c>
      <c r="S76" s="62"/>
      <c r="T76" s="97"/>
      <c r="U76" s="67"/>
    </row>
    <row r="77" s="58" customFormat="1" hidden="1" customHeight="1" spans="1:21">
      <c r="A77" s="61">
        <f t="shared" si="3"/>
        <v>76</v>
      </c>
      <c r="B77" s="62">
        <v>3</v>
      </c>
      <c r="C77" s="79" t="s">
        <v>168</v>
      </c>
      <c r="D77" s="61">
        <v>20260316</v>
      </c>
      <c r="E77" s="64" t="s">
        <v>20</v>
      </c>
      <c r="F77" s="62" t="s">
        <v>21</v>
      </c>
      <c r="G77" s="62" t="s">
        <v>134</v>
      </c>
      <c r="H77" s="62" t="s">
        <v>135</v>
      </c>
      <c r="I77" s="62">
        <v>15200</v>
      </c>
      <c r="J77" s="62" t="s">
        <v>24</v>
      </c>
      <c r="K77" s="65">
        <v>8.8</v>
      </c>
      <c r="L77" s="65">
        <f t="shared" si="2"/>
        <v>133760</v>
      </c>
      <c r="M77" s="62" t="s">
        <v>36</v>
      </c>
      <c r="N77" s="11" t="s">
        <v>259</v>
      </c>
      <c r="O77" s="66">
        <v>8.02</v>
      </c>
      <c r="P77" s="62" t="s">
        <v>27</v>
      </c>
      <c r="Q77" s="62" t="s">
        <v>260</v>
      </c>
      <c r="R77" s="98"/>
      <c r="S77" s="62">
        <v>1</v>
      </c>
      <c r="T77" s="97"/>
      <c r="U77" s="67"/>
    </row>
    <row r="78" s="58" customFormat="1" hidden="1" customHeight="1" spans="1:21">
      <c r="A78" s="61">
        <f t="shared" si="3"/>
        <v>77</v>
      </c>
      <c r="B78" s="62">
        <v>3</v>
      </c>
      <c r="C78" s="79" t="s">
        <v>168</v>
      </c>
      <c r="D78" s="61">
        <v>20260316</v>
      </c>
      <c r="E78" s="64" t="s">
        <v>20</v>
      </c>
      <c r="F78" s="62" t="s">
        <v>21</v>
      </c>
      <c r="G78" s="62" t="s">
        <v>134</v>
      </c>
      <c r="H78" s="62" t="s">
        <v>179</v>
      </c>
      <c r="I78" s="62">
        <v>10800</v>
      </c>
      <c r="J78" s="62" t="s">
        <v>24</v>
      </c>
      <c r="K78" s="65">
        <v>32.17</v>
      </c>
      <c r="L78" s="65">
        <f t="shared" si="2"/>
        <v>347436</v>
      </c>
      <c r="M78" s="62" t="s">
        <v>36</v>
      </c>
      <c r="N78" s="11" t="s">
        <v>259</v>
      </c>
      <c r="O78" s="66">
        <v>28.76</v>
      </c>
      <c r="P78" s="62" t="s">
        <v>27</v>
      </c>
      <c r="Q78" s="62" t="s">
        <v>261</v>
      </c>
      <c r="R78" s="96"/>
      <c r="S78" s="62">
        <v>3</v>
      </c>
      <c r="T78" s="97"/>
      <c r="U78" s="67"/>
    </row>
    <row r="79" s="58" customFormat="1" hidden="1" customHeight="1" spans="1:21">
      <c r="A79" s="61">
        <f t="shared" si="3"/>
        <v>78</v>
      </c>
      <c r="B79" s="62">
        <v>3</v>
      </c>
      <c r="C79" s="79" t="s">
        <v>168</v>
      </c>
      <c r="D79" s="61">
        <v>20260319</v>
      </c>
      <c r="E79" s="64" t="s">
        <v>20</v>
      </c>
      <c r="F79" s="62" t="s">
        <v>21</v>
      </c>
      <c r="G79" s="62" t="s">
        <v>59</v>
      </c>
      <c r="H79" s="62" t="s">
        <v>195</v>
      </c>
      <c r="I79" s="62">
        <v>7959</v>
      </c>
      <c r="J79" s="62" t="s">
        <v>24</v>
      </c>
      <c r="K79" s="65">
        <v>42.63</v>
      </c>
      <c r="L79" s="65">
        <f t="shared" si="2"/>
        <v>339292.17</v>
      </c>
      <c r="M79" s="62" t="s">
        <v>36</v>
      </c>
      <c r="N79" s="11" t="s">
        <v>262</v>
      </c>
      <c r="O79" s="66">
        <v>32.55733</v>
      </c>
      <c r="P79" s="62" t="s">
        <v>167</v>
      </c>
      <c r="Q79" s="62" t="s">
        <v>263</v>
      </c>
      <c r="R79" s="176" t="s">
        <v>264</v>
      </c>
      <c r="S79" s="62">
        <v>5</v>
      </c>
      <c r="T79" s="62"/>
      <c r="U79" s="67"/>
    </row>
    <row r="80" s="58" customFormat="1" hidden="1" customHeight="1" spans="1:21">
      <c r="A80" s="61">
        <f t="shared" si="3"/>
        <v>79</v>
      </c>
      <c r="B80" s="62">
        <v>3</v>
      </c>
      <c r="C80" s="79" t="s">
        <v>168</v>
      </c>
      <c r="D80" s="61">
        <v>20260320</v>
      </c>
      <c r="E80" s="64" t="s">
        <v>20</v>
      </c>
      <c r="F80" s="62" t="s">
        <v>21</v>
      </c>
      <c r="G80" s="62" t="s">
        <v>59</v>
      </c>
      <c r="H80" s="62" t="s">
        <v>170</v>
      </c>
      <c r="I80" s="62">
        <v>10</v>
      </c>
      <c r="J80" s="62" t="s">
        <v>24</v>
      </c>
      <c r="K80" s="65">
        <v>42.63</v>
      </c>
      <c r="L80" s="65">
        <f t="shared" si="2"/>
        <v>426.3</v>
      </c>
      <c r="M80" s="62" t="s">
        <v>36</v>
      </c>
      <c r="N80" s="11" t="s">
        <v>265</v>
      </c>
      <c r="O80" s="66">
        <v>35.77</v>
      </c>
      <c r="P80" s="62" t="s">
        <v>167</v>
      </c>
      <c r="Q80" s="62" t="s">
        <v>266</v>
      </c>
      <c r="R80" s="62"/>
      <c r="S80" s="62">
        <v>1</v>
      </c>
      <c r="T80" s="62"/>
      <c r="U80" s="67"/>
    </row>
    <row r="81" s="58" customFormat="1" hidden="1" customHeight="1" spans="1:21">
      <c r="A81" s="61">
        <f t="shared" si="3"/>
        <v>80</v>
      </c>
      <c r="B81" s="62">
        <v>3</v>
      </c>
      <c r="C81" s="79" t="s">
        <v>168</v>
      </c>
      <c r="D81" s="61">
        <v>20260320</v>
      </c>
      <c r="E81" s="64" t="s">
        <v>20</v>
      </c>
      <c r="F81" s="62" t="s">
        <v>21</v>
      </c>
      <c r="G81" s="62" t="s">
        <v>59</v>
      </c>
      <c r="H81" s="62" t="s">
        <v>195</v>
      </c>
      <c r="I81" s="62">
        <v>11781</v>
      </c>
      <c r="J81" s="62" t="s">
        <v>24</v>
      </c>
      <c r="K81" s="65">
        <v>42.63</v>
      </c>
      <c r="L81" s="65">
        <f t="shared" si="2"/>
        <v>502224.03</v>
      </c>
      <c r="M81" s="62" t="s">
        <v>36</v>
      </c>
      <c r="N81" s="11" t="s">
        <v>265</v>
      </c>
      <c r="O81" s="66">
        <v>32.599573</v>
      </c>
      <c r="P81" s="62" t="s">
        <v>167</v>
      </c>
      <c r="Q81" s="62" t="s">
        <v>267</v>
      </c>
      <c r="R81" s="62"/>
      <c r="S81" s="62">
        <v>7</v>
      </c>
      <c r="T81" s="62"/>
      <c r="U81" s="67"/>
    </row>
    <row r="82" s="58" customFormat="1" hidden="1" customHeight="1" spans="1:21">
      <c r="A82" s="61">
        <f t="shared" si="3"/>
        <v>81</v>
      </c>
      <c r="B82" s="62">
        <v>3</v>
      </c>
      <c r="C82" s="79" t="s">
        <v>168</v>
      </c>
      <c r="D82" s="61">
        <v>20260321</v>
      </c>
      <c r="E82" s="64" t="s">
        <v>20</v>
      </c>
      <c r="F82" s="62" t="s">
        <v>21</v>
      </c>
      <c r="G82" s="62" t="s">
        <v>32</v>
      </c>
      <c r="H82" s="62" t="s">
        <v>148</v>
      </c>
      <c r="I82" s="62">
        <v>9649</v>
      </c>
      <c r="J82" s="62" t="s">
        <v>24</v>
      </c>
      <c r="K82" s="65">
        <v>8.8</v>
      </c>
      <c r="L82" s="65">
        <f t="shared" si="2"/>
        <v>84911.2</v>
      </c>
      <c r="M82" s="62" t="s">
        <v>36</v>
      </c>
      <c r="N82" s="11" t="s">
        <v>268</v>
      </c>
      <c r="O82" s="66">
        <v>7.7034</v>
      </c>
      <c r="P82" s="62" t="s">
        <v>27</v>
      </c>
      <c r="Q82" s="62" t="s">
        <v>269</v>
      </c>
      <c r="R82" s="62"/>
      <c r="S82" s="94" t="s">
        <v>152</v>
      </c>
      <c r="T82" s="62"/>
      <c r="U82" s="67"/>
    </row>
    <row r="83" s="58" customFormat="1" hidden="1" customHeight="1" spans="1:21">
      <c r="A83" s="61">
        <f t="shared" si="3"/>
        <v>82</v>
      </c>
      <c r="B83" s="62">
        <v>3</v>
      </c>
      <c r="C83" s="79" t="s">
        <v>168</v>
      </c>
      <c r="D83" s="61">
        <v>20260321</v>
      </c>
      <c r="E83" s="64" t="s">
        <v>20</v>
      </c>
      <c r="F83" s="62" t="s">
        <v>21</v>
      </c>
      <c r="G83" s="62" t="s">
        <v>32</v>
      </c>
      <c r="H83" s="62" t="s">
        <v>135</v>
      </c>
      <c r="I83" s="62">
        <v>12434</v>
      </c>
      <c r="J83" s="62" t="s">
        <v>24</v>
      </c>
      <c r="K83" s="65">
        <v>8.8</v>
      </c>
      <c r="L83" s="65">
        <f t="shared" si="2"/>
        <v>109419.2</v>
      </c>
      <c r="M83" s="62" t="s">
        <v>36</v>
      </c>
      <c r="N83" s="11" t="s">
        <v>268</v>
      </c>
      <c r="O83" s="66">
        <v>7.1817</v>
      </c>
      <c r="P83" s="62" t="s">
        <v>27</v>
      </c>
      <c r="Q83" s="62" t="s">
        <v>270</v>
      </c>
      <c r="R83" s="62"/>
      <c r="S83" s="92" t="s">
        <v>271</v>
      </c>
      <c r="T83" s="62"/>
      <c r="U83" s="67"/>
    </row>
    <row r="84" s="58" customFormat="1" hidden="1" customHeight="1" spans="1:21">
      <c r="A84" s="61">
        <f t="shared" si="3"/>
        <v>83</v>
      </c>
      <c r="B84" s="62">
        <v>3</v>
      </c>
      <c r="C84" s="79" t="s">
        <v>168</v>
      </c>
      <c r="D84" s="61">
        <v>20260321</v>
      </c>
      <c r="E84" s="64" t="s">
        <v>20</v>
      </c>
      <c r="F84" s="62" t="s">
        <v>21</v>
      </c>
      <c r="G84" s="62" t="s">
        <v>32</v>
      </c>
      <c r="H84" s="62" t="s">
        <v>131</v>
      </c>
      <c r="I84" s="62">
        <v>92354</v>
      </c>
      <c r="J84" s="62" t="s">
        <v>24</v>
      </c>
      <c r="K84" s="65">
        <v>8.8</v>
      </c>
      <c r="L84" s="65">
        <f t="shared" si="2"/>
        <v>812715.2</v>
      </c>
      <c r="M84" s="62" t="s">
        <v>36</v>
      </c>
      <c r="N84" s="11" t="s">
        <v>268</v>
      </c>
      <c r="O84" s="66">
        <v>7.9943</v>
      </c>
      <c r="P84" s="62" t="s">
        <v>27</v>
      </c>
      <c r="Q84" s="62" t="s">
        <v>272</v>
      </c>
      <c r="R84" s="62"/>
      <c r="S84" s="62" t="s">
        <v>147</v>
      </c>
      <c r="T84" s="62"/>
      <c r="U84" s="67"/>
    </row>
    <row r="85" s="58" customFormat="1" hidden="1" customHeight="1" spans="1:21">
      <c r="A85" s="61">
        <f t="shared" si="3"/>
        <v>84</v>
      </c>
      <c r="B85" s="62">
        <v>3</v>
      </c>
      <c r="C85" s="79" t="s">
        <v>168</v>
      </c>
      <c r="D85" s="61">
        <v>20260321</v>
      </c>
      <c r="E85" s="64" t="s">
        <v>20</v>
      </c>
      <c r="F85" s="62" t="s">
        <v>21</v>
      </c>
      <c r="G85" s="62" t="s">
        <v>32</v>
      </c>
      <c r="H85" s="62" t="s">
        <v>273</v>
      </c>
      <c r="I85" s="62">
        <v>12</v>
      </c>
      <c r="J85" s="62" t="s">
        <v>24</v>
      </c>
      <c r="K85" s="65">
        <v>54.26</v>
      </c>
      <c r="L85" s="65">
        <f t="shared" si="2"/>
        <v>651.12</v>
      </c>
      <c r="M85" s="62" t="s">
        <v>36</v>
      </c>
      <c r="N85" s="11" t="s">
        <v>268</v>
      </c>
      <c r="O85" s="66">
        <v>49.8462</v>
      </c>
      <c r="P85" s="62" t="s">
        <v>27</v>
      </c>
      <c r="Q85" s="62" t="s">
        <v>274</v>
      </c>
      <c r="R85" s="62"/>
      <c r="S85" s="62" t="s">
        <v>186</v>
      </c>
      <c r="T85" s="62"/>
      <c r="U85" s="67"/>
    </row>
    <row r="86" s="58" customFormat="1" hidden="1" customHeight="1" spans="1:21">
      <c r="A86" s="61">
        <f t="shared" si="3"/>
        <v>85</v>
      </c>
      <c r="B86" s="62">
        <v>3</v>
      </c>
      <c r="C86" s="79" t="s">
        <v>168</v>
      </c>
      <c r="D86" s="61">
        <v>20260326</v>
      </c>
      <c r="E86" s="64" t="s">
        <v>20</v>
      </c>
      <c r="F86" s="62" t="s">
        <v>21</v>
      </c>
      <c r="G86" s="62" t="s">
        <v>59</v>
      </c>
      <c r="H86" s="62" t="s">
        <v>131</v>
      </c>
      <c r="I86" s="62">
        <v>15200</v>
      </c>
      <c r="J86" s="62" t="s">
        <v>24</v>
      </c>
      <c r="K86" s="65">
        <v>8.8</v>
      </c>
      <c r="L86" s="65">
        <f t="shared" si="2"/>
        <v>133760</v>
      </c>
      <c r="M86" s="62" t="s">
        <v>36</v>
      </c>
      <c r="N86" s="62" t="s">
        <v>275</v>
      </c>
      <c r="O86" s="66">
        <v>8.011</v>
      </c>
      <c r="P86" s="62" t="s">
        <v>167</v>
      </c>
      <c r="Q86" s="62" t="s">
        <v>276</v>
      </c>
      <c r="R86" s="176" t="s">
        <v>277</v>
      </c>
      <c r="S86" s="94" t="s">
        <v>278</v>
      </c>
      <c r="T86" s="62"/>
      <c r="U86" s="67"/>
    </row>
    <row r="87" s="58" customFormat="1" hidden="1" customHeight="1" spans="1:21">
      <c r="A87" s="61">
        <f t="shared" si="3"/>
        <v>86</v>
      </c>
      <c r="B87" s="62">
        <v>3</v>
      </c>
      <c r="C87" s="79" t="s">
        <v>168</v>
      </c>
      <c r="D87" s="61">
        <v>20260326</v>
      </c>
      <c r="E87" s="64" t="s">
        <v>20</v>
      </c>
      <c r="F87" s="62" t="s">
        <v>21</v>
      </c>
      <c r="G87" s="62" t="s">
        <v>59</v>
      </c>
      <c r="H87" s="62" t="s">
        <v>218</v>
      </c>
      <c r="I87" s="62">
        <v>34507</v>
      </c>
      <c r="J87" s="62" t="s">
        <v>24</v>
      </c>
      <c r="K87" s="65">
        <v>17.81</v>
      </c>
      <c r="L87" s="65">
        <f t="shared" si="2"/>
        <v>614569.67</v>
      </c>
      <c r="M87" s="62" t="s">
        <v>36</v>
      </c>
      <c r="N87" s="62" t="s">
        <v>275</v>
      </c>
      <c r="O87" s="66">
        <v>14.171499</v>
      </c>
      <c r="P87" s="62" t="s">
        <v>167</v>
      </c>
      <c r="Q87" s="62" t="s">
        <v>279</v>
      </c>
      <c r="R87" s="176" t="s">
        <v>280</v>
      </c>
      <c r="S87" s="92"/>
      <c r="T87" s="62"/>
      <c r="U87" s="67"/>
    </row>
    <row r="88" s="58" customFormat="1" hidden="1" customHeight="1" spans="1:21">
      <c r="A88" s="61">
        <f t="shared" si="3"/>
        <v>87</v>
      </c>
      <c r="B88" s="62">
        <v>3</v>
      </c>
      <c r="C88" s="79" t="s">
        <v>168</v>
      </c>
      <c r="D88" s="61">
        <v>20260327</v>
      </c>
      <c r="E88" s="64" t="s">
        <v>20</v>
      </c>
      <c r="F88" s="62" t="s">
        <v>21</v>
      </c>
      <c r="G88" s="62" t="s">
        <v>169</v>
      </c>
      <c r="H88" s="62" t="s">
        <v>195</v>
      </c>
      <c r="I88" s="62">
        <v>19891</v>
      </c>
      <c r="J88" s="62" t="s">
        <v>24</v>
      </c>
      <c r="K88" s="65">
        <v>42.63</v>
      </c>
      <c r="L88" s="65">
        <f t="shared" si="2"/>
        <v>847953.33</v>
      </c>
      <c r="M88" s="62" t="s">
        <v>36</v>
      </c>
      <c r="N88" s="11" t="s">
        <v>281</v>
      </c>
      <c r="O88" s="66">
        <v>33</v>
      </c>
      <c r="P88" s="62" t="s">
        <v>43</v>
      </c>
      <c r="Q88" s="62" t="s">
        <v>282</v>
      </c>
      <c r="R88" s="176" t="s">
        <v>283</v>
      </c>
      <c r="S88" s="62" t="s">
        <v>284</v>
      </c>
      <c r="T88" s="62"/>
      <c r="U88" s="67"/>
    </row>
    <row r="89" s="58" customFormat="1" hidden="1" customHeight="1" spans="1:21">
      <c r="A89" s="61">
        <f t="shared" si="3"/>
        <v>88</v>
      </c>
      <c r="B89" s="62">
        <v>3</v>
      </c>
      <c r="C89" s="79" t="s">
        <v>168</v>
      </c>
      <c r="D89" s="61">
        <v>20260327</v>
      </c>
      <c r="E89" s="64" t="s">
        <v>20</v>
      </c>
      <c r="F89" s="62" t="s">
        <v>21</v>
      </c>
      <c r="G89" s="62" t="s">
        <v>32</v>
      </c>
      <c r="H89" s="62" t="s">
        <v>131</v>
      </c>
      <c r="I89" s="62">
        <v>47760</v>
      </c>
      <c r="J89" s="62" t="s">
        <v>24</v>
      </c>
      <c r="K89" s="65">
        <v>8.8</v>
      </c>
      <c r="L89" s="65">
        <f t="shared" si="2"/>
        <v>420288</v>
      </c>
      <c r="M89" s="62" t="s">
        <v>36</v>
      </c>
      <c r="N89" s="11" t="s">
        <v>285</v>
      </c>
      <c r="O89" s="66">
        <v>7.9945</v>
      </c>
      <c r="P89" s="62" t="s">
        <v>27</v>
      </c>
      <c r="Q89" s="62" t="s">
        <v>286</v>
      </c>
      <c r="R89" s="176" t="s">
        <v>287</v>
      </c>
      <c r="S89" s="99" t="s">
        <v>288</v>
      </c>
      <c r="T89" s="62"/>
      <c r="U89" s="67"/>
    </row>
    <row r="90" s="58" customFormat="1" hidden="1" customHeight="1" spans="1:21">
      <c r="A90" s="61">
        <f t="shared" si="3"/>
        <v>89</v>
      </c>
      <c r="B90" s="62">
        <v>3</v>
      </c>
      <c r="C90" s="79" t="s">
        <v>168</v>
      </c>
      <c r="D90" s="61">
        <v>20260327</v>
      </c>
      <c r="E90" s="64" t="s">
        <v>20</v>
      </c>
      <c r="F90" s="62" t="s">
        <v>21</v>
      </c>
      <c r="G90" s="62" t="s">
        <v>32</v>
      </c>
      <c r="H90" s="62" t="s">
        <v>273</v>
      </c>
      <c r="I90" s="62">
        <v>372</v>
      </c>
      <c r="J90" s="62" t="s">
        <v>24</v>
      </c>
      <c r="K90" s="65">
        <v>54.26</v>
      </c>
      <c r="L90" s="65">
        <f t="shared" si="2"/>
        <v>20184.72</v>
      </c>
      <c r="M90" s="62" t="s">
        <v>36</v>
      </c>
      <c r="N90" s="11" t="s">
        <v>285</v>
      </c>
      <c r="O90" s="66">
        <v>49.8461</v>
      </c>
      <c r="P90" s="62" t="s">
        <v>27</v>
      </c>
      <c r="Q90" s="62" t="s">
        <v>289</v>
      </c>
      <c r="R90" s="176" t="s">
        <v>290</v>
      </c>
      <c r="S90" s="99" t="s">
        <v>271</v>
      </c>
      <c r="T90" s="62"/>
      <c r="U90" s="67"/>
    </row>
    <row r="91" s="58" customFormat="1" hidden="1" customHeight="1" spans="1:21">
      <c r="A91" s="61">
        <f t="shared" si="3"/>
        <v>90</v>
      </c>
      <c r="B91" s="62">
        <v>3</v>
      </c>
      <c r="C91" s="79" t="s">
        <v>168</v>
      </c>
      <c r="D91" s="61">
        <v>20260330</v>
      </c>
      <c r="E91" s="64" t="s">
        <v>20</v>
      </c>
      <c r="F91" s="62" t="s">
        <v>21</v>
      </c>
      <c r="G91" s="62" t="s">
        <v>134</v>
      </c>
      <c r="H91" s="62" t="s">
        <v>176</v>
      </c>
      <c r="I91" s="62">
        <v>13200</v>
      </c>
      <c r="J91" s="62" t="s">
        <v>24</v>
      </c>
      <c r="K91" s="65">
        <v>32.17</v>
      </c>
      <c r="L91" s="65">
        <f t="shared" si="2"/>
        <v>424644</v>
      </c>
      <c r="M91" s="62" t="s">
        <v>36</v>
      </c>
      <c r="N91" s="11" t="s">
        <v>291</v>
      </c>
      <c r="O91" s="66">
        <v>28.76</v>
      </c>
      <c r="P91" s="62" t="s">
        <v>27</v>
      </c>
      <c r="Q91" s="62" t="s">
        <v>292</v>
      </c>
      <c r="R91" s="176" t="s">
        <v>293</v>
      </c>
      <c r="S91" s="99" t="s">
        <v>294</v>
      </c>
      <c r="T91" s="62"/>
      <c r="U91" s="67"/>
    </row>
    <row r="92" s="58" customFormat="1" hidden="1" customHeight="1" spans="1:21">
      <c r="A92" s="61">
        <f t="shared" si="3"/>
        <v>91</v>
      </c>
      <c r="B92" s="62">
        <v>4</v>
      </c>
      <c r="C92" s="79" t="s">
        <v>168</v>
      </c>
      <c r="D92" s="61">
        <v>20260402</v>
      </c>
      <c r="E92" s="64" t="s">
        <v>20</v>
      </c>
      <c r="F92" s="62" t="s">
        <v>21</v>
      </c>
      <c r="G92" s="62" t="s">
        <v>32</v>
      </c>
      <c r="H92" s="62" t="s">
        <v>295</v>
      </c>
      <c r="I92" s="62">
        <v>638</v>
      </c>
      <c r="J92" s="62" t="s">
        <v>24</v>
      </c>
      <c r="K92" s="65">
        <v>21.56</v>
      </c>
      <c r="L92" s="65">
        <f t="shared" si="2"/>
        <v>13755.28</v>
      </c>
      <c r="M92" s="62" t="s">
        <v>36</v>
      </c>
      <c r="N92" s="11" t="s">
        <v>296</v>
      </c>
      <c r="O92" s="66">
        <v>18.8622</v>
      </c>
      <c r="P92" s="62" t="s">
        <v>43</v>
      </c>
      <c r="Q92" s="62" t="s">
        <v>297</v>
      </c>
      <c r="R92" s="176" t="s">
        <v>298</v>
      </c>
      <c r="S92" s="62">
        <v>12</v>
      </c>
      <c r="T92" s="62"/>
      <c r="U92" s="67"/>
    </row>
    <row r="93" s="58" customFormat="1" hidden="1" customHeight="1" spans="1:21">
      <c r="A93" s="61">
        <f t="shared" si="3"/>
        <v>92</v>
      </c>
      <c r="B93" s="62">
        <v>4</v>
      </c>
      <c r="C93" s="79" t="s">
        <v>168</v>
      </c>
      <c r="D93" s="61">
        <v>20260402</v>
      </c>
      <c r="E93" s="64" t="s">
        <v>20</v>
      </c>
      <c r="F93" s="62" t="s">
        <v>21</v>
      </c>
      <c r="G93" s="62" t="s">
        <v>32</v>
      </c>
      <c r="H93" s="62" t="s">
        <v>273</v>
      </c>
      <c r="I93" s="62">
        <v>61</v>
      </c>
      <c r="J93" s="62" t="s">
        <v>24</v>
      </c>
      <c r="K93" s="65">
        <v>58.79</v>
      </c>
      <c r="L93" s="65">
        <f t="shared" si="2"/>
        <v>3586.19</v>
      </c>
      <c r="M93" s="62" t="s">
        <v>36</v>
      </c>
      <c r="N93" s="11" t="s">
        <v>296</v>
      </c>
      <c r="O93" s="66">
        <v>49.8461</v>
      </c>
      <c r="P93" s="62" t="s">
        <v>43</v>
      </c>
      <c r="Q93" s="62" t="s">
        <v>299</v>
      </c>
      <c r="R93" s="176" t="s">
        <v>300</v>
      </c>
      <c r="S93" s="94">
        <v>3</v>
      </c>
      <c r="T93" s="62"/>
      <c r="U93" s="67"/>
    </row>
    <row r="94" s="58" customFormat="1" hidden="1" customHeight="1" spans="1:21">
      <c r="A94" s="61">
        <f t="shared" si="3"/>
        <v>93</v>
      </c>
      <c r="B94" s="62">
        <v>4</v>
      </c>
      <c r="C94" s="79" t="s">
        <v>168</v>
      </c>
      <c r="D94" s="61">
        <v>20260403</v>
      </c>
      <c r="E94" s="64" t="s">
        <v>20</v>
      </c>
      <c r="F94" s="62" t="s">
        <v>21</v>
      </c>
      <c r="G94" s="62" t="s">
        <v>59</v>
      </c>
      <c r="H94" s="62" t="s">
        <v>179</v>
      </c>
      <c r="I94" s="62">
        <v>2000</v>
      </c>
      <c r="J94" s="62" t="s">
        <v>24</v>
      </c>
      <c r="K94" s="65">
        <v>32.16</v>
      </c>
      <c r="L94" s="65">
        <f t="shared" si="2"/>
        <v>64320</v>
      </c>
      <c r="M94" s="62" t="s">
        <v>36</v>
      </c>
      <c r="N94" s="11" t="s">
        <v>301</v>
      </c>
      <c r="O94" s="66">
        <v>27.863485</v>
      </c>
      <c r="P94" s="62" t="s">
        <v>43</v>
      </c>
      <c r="Q94" s="62" t="s">
        <v>302</v>
      </c>
      <c r="R94" s="176" t="s">
        <v>303</v>
      </c>
      <c r="S94" s="94" t="s">
        <v>304</v>
      </c>
      <c r="T94" s="62"/>
      <c r="U94" s="67"/>
    </row>
    <row r="95" s="58" customFormat="1" hidden="1" customHeight="1" spans="1:21">
      <c r="A95" s="61">
        <f t="shared" si="3"/>
        <v>94</v>
      </c>
      <c r="B95" s="62">
        <v>4</v>
      </c>
      <c r="C95" s="79" t="s">
        <v>168</v>
      </c>
      <c r="D95" s="61">
        <v>20260403</v>
      </c>
      <c r="E95" s="64" t="s">
        <v>20</v>
      </c>
      <c r="F95" s="62" t="s">
        <v>21</v>
      </c>
      <c r="G95" s="62" t="s">
        <v>59</v>
      </c>
      <c r="H95" s="62" t="s">
        <v>176</v>
      </c>
      <c r="I95" s="62">
        <v>5990</v>
      </c>
      <c r="J95" s="62" t="s">
        <v>24</v>
      </c>
      <c r="K95" s="65">
        <v>32.16</v>
      </c>
      <c r="L95" s="65">
        <f t="shared" si="2"/>
        <v>192638.4</v>
      </c>
      <c r="M95" s="62" t="s">
        <v>36</v>
      </c>
      <c r="N95" s="11" t="s">
        <v>301</v>
      </c>
      <c r="O95" s="66">
        <v>27.864801</v>
      </c>
      <c r="P95" s="62" t="s">
        <v>43</v>
      </c>
      <c r="Q95" s="62" t="s">
        <v>305</v>
      </c>
      <c r="R95" s="176" t="s">
        <v>306</v>
      </c>
      <c r="S95" s="92"/>
      <c r="T95" s="62"/>
      <c r="U95" s="67"/>
    </row>
    <row r="96" s="58" customFormat="1" hidden="1" customHeight="1" spans="1:21">
      <c r="A96" s="61">
        <f t="shared" si="3"/>
        <v>95</v>
      </c>
      <c r="B96" s="62">
        <v>4</v>
      </c>
      <c r="C96" s="79" t="s">
        <v>168</v>
      </c>
      <c r="D96" s="61">
        <v>20260407</v>
      </c>
      <c r="E96" s="64" t="s">
        <v>20</v>
      </c>
      <c r="F96" s="62" t="s">
        <v>21</v>
      </c>
      <c r="G96" s="62" t="s">
        <v>59</v>
      </c>
      <c r="H96" s="62" t="s">
        <v>179</v>
      </c>
      <c r="I96" s="62">
        <v>29794</v>
      </c>
      <c r="J96" s="62" t="s">
        <v>24</v>
      </c>
      <c r="K96" s="65">
        <v>32.16</v>
      </c>
      <c r="L96" s="65">
        <f t="shared" si="2"/>
        <v>958175.04</v>
      </c>
      <c r="M96" s="62" t="s">
        <v>36</v>
      </c>
      <c r="N96" s="11" t="s">
        <v>307</v>
      </c>
      <c r="O96" s="66">
        <v>27.887898</v>
      </c>
      <c r="P96" s="62" t="s">
        <v>27</v>
      </c>
      <c r="Q96" s="62" t="s">
        <v>308</v>
      </c>
      <c r="R96" s="62"/>
      <c r="S96" s="94" t="s">
        <v>309</v>
      </c>
      <c r="T96" s="62"/>
      <c r="U96" s="67"/>
    </row>
    <row r="97" s="58" customFormat="1" hidden="1" customHeight="1" spans="1:21">
      <c r="A97" s="61">
        <f t="shared" si="3"/>
        <v>96</v>
      </c>
      <c r="B97" s="62">
        <v>4</v>
      </c>
      <c r="C97" s="79" t="s">
        <v>168</v>
      </c>
      <c r="D97" s="61">
        <v>20260407</v>
      </c>
      <c r="E97" s="64" t="s">
        <v>20</v>
      </c>
      <c r="F97" s="62" t="s">
        <v>21</v>
      </c>
      <c r="G97" s="62" t="s">
        <v>59</v>
      </c>
      <c r="H97" s="62" t="s">
        <v>176</v>
      </c>
      <c r="I97" s="62">
        <v>16985</v>
      </c>
      <c r="J97" s="62" t="s">
        <v>24</v>
      </c>
      <c r="K97" s="65">
        <v>32.16</v>
      </c>
      <c r="L97" s="65">
        <f t="shared" si="2"/>
        <v>546237.6</v>
      </c>
      <c r="M97" s="62" t="s">
        <v>36</v>
      </c>
      <c r="N97" s="11" t="s">
        <v>307</v>
      </c>
      <c r="O97" s="100">
        <v>27.845446</v>
      </c>
      <c r="P97" s="62" t="s">
        <v>27</v>
      </c>
      <c r="Q97" s="62" t="s">
        <v>310</v>
      </c>
      <c r="R97" s="62"/>
      <c r="S97" s="92"/>
      <c r="T97" s="62"/>
      <c r="U97" s="67"/>
    </row>
    <row r="98" s="58" customFormat="1" hidden="1" customHeight="1" spans="1:21">
      <c r="A98" s="61">
        <f t="shared" si="3"/>
        <v>97</v>
      </c>
      <c r="B98" s="62">
        <v>4</v>
      </c>
      <c r="C98" s="79" t="s">
        <v>168</v>
      </c>
      <c r="D98" s="61">
        <v>20260408</v>
      </c>
      <c r="E98" s="64" t="s">
        <v>20</v>
      </c>
      <c r="F98" s="62" t="s">
        <v>21</v>
      </c>
      <c r="G98" s="62" t="s">
        <v>59</v>
      </c>
      <c r="H98" s="62" t="s">
        <v>179</v>
      </c>
      <c r="I98" s="62">
        <v>3894</v>
      </c>
      <c r="J98" s="62" t="s">
        <v>24</v>
      </c>
      <c r="K98" s="65">
        <v>32.16</v>
      </c>
      <c r="L98" s="65">
        <f t="shared" si="2"/>
        <v>125231.04</v>
      </c>
      <c r="M98" s="62" t="s">
        <v>36</v>
      </c>
      <c r="N98" s="11" t="s">
        <v>311</v>
      </c>
      <c r="O98" s="66">
        <v>27.896325</v>
      </c>
      <c r="P98" s="62" t="s">
        <v>43</v>
      </c>
      <c r="Q98" s="62" t="s">
        <v>312</v>
      </c>
      <c r="R98" s="176" t="s">
        <v>313</v>
      </c>
      <c r="S98" s="62" t="s">
        <v>314</v>
      </c>
      <c r="T98" s="62"/>
      <c r="U98" s="67"/>
    </row>
    <row r="99" s="58" customFormat="1" hidden="1" customHeight="1" spans="1:21">
      <c r="A99" s="61">
        <f t="shared" si="3"/>
        <v>98</v>
      </c>
      <c r="B99" s="62">
        <v>4</v>
      </c>
      <c r="C99" s="79" t="s">
        <v>168</v>
      </c>
      <c r="D99" s="61">
        <v>20260410</v>
      </c>
      <c r="E99" s="64" t="s">
        <v>20</v>
      </c>
      <c r="F99" s="62" t="s">
        <v>21</v>
      </c>
      <c r="G99" s="62" t="s">
        <v>59</v>
      </c>
      <c r="H99" s="62" t="s">
        <v>176</v>
      </c>
      <c r="I99" s="62">
        <v>3961</v>
      </c>
      <c r="J99" s="62" t="s">
        <v>24</v>
      </c>
      <c r="K99" s="65">
        <v>32.16</v>
      </c>
      <c r="L99" s="65">
        <f t="shared" si="2"/>
        <v>127385.76</v>
      </c>
      <c r="M99" s="62" t="s">
        <v>36</v>
      </c>
      <c r="N99" s="11" t="s">
        <v>315</v>
      </c>
      <c r="O99" s="66">
        <v>27.854515</v>
      </c>
      <c r="P99" s="62" t="s">
        <v>167</v>
      </c>
      <c r="Q99" s="62" t="s">
        <v>316</v>
      </c>
      <c r="R99" s="176" t="s">
        <v>317</v>
      </c>
      <c r="S99" s="62" t="s">
        <v>314</v>
      </c>
      <c r="T99" s="62"/>
      <c r="U99" s="67"/>
    </row>
    <row r="100" s="58" customFormat="1" hidden="1" customHeight="1" spans="1:21">
      <c r="A100" s="61">
        <f t="shared" si="3"/>
        <v>99</v>
      </c>
      <c r="B100" s="62">
        <v>4</v>
      </c>
      <c r="C100" s="79" t="s">
        <v>168</v>
      </c>
      <c r="D100" s="61">
        <v>20260410</v>
      </c>
      <c r="E100" s="64" t="s">
        <v>20</v>
      </c>
      <c r="F100" s="62" t="s">
        <v>21</v>
      </c>
      <c r="G100" s="62" t="s">
        <v>32</v>
      </c>
      <c r="H100" s="62" t="s">
        <v>273</v>
      </c>
      <c r="I100" s="62">
        <v>805</v>
      </c>
      <c r="J100" s="62" t="s">
        <v>24</v>
      </c>
      <c r="K100" s="65">
        <v>58.79</v>
      </c>
      <c r="L100" s="65">
        <f t="shared" si="2"/>
        <v>47325.95</v>
      </c>
      <c r="M100" s="62" t="s">
        <v>36</v>
      </c>
      <c r="N100" s="11" t="s">
        <v>318</v>
      </c>
      <c r="O100" s="66">
        <v>49.8461</v>
      </c>
      <c r="P100" s="62" t="s">
        <v>167</v>
      </c>
      <c r="Q100" s="62" t="s">
        <v>319</v>
      </c>
      <c r="R100" s="176" t="s">
        <v>320</v>
      </c>
      <c r="S100" s="62" t="s">
        <v>321</v>
      </c>
      <c r="T100" s="62"/>
      <c r="U100" s="67"/>
    </row>
    <row r="101" s="58" customFormat="1" hidden="1" customHeight="1" spans="1:21">
      <c r="A101" s="61">
        <f t="shared" si="3"/>
        <v>100</v>
      </c>
      <c r="B101" s="62">
        <v>4</v>
      </c>
      <c r="C101" s="79" t="s">
        <v>168</v>
      </c>
      <c r="D101" s="61">
        <v>20260414</v>
      </c>
      <c r="E101" s="64" t="s">
        <v>20</v>
      </c>
      <c r="F101" s="62" t="s">
        <v>21</v>
      </c>
      <c r="G101" s="62" t="s">
        <v>59</v>
      </c>
      <c r="H101" s="62" t="s">
        <v>218</v>
      </c>
      <c r="I101" s="62">
        <v>24000</v>
      </c>
      <c r="J101" s="62" t="s">
        <v>24</v>
      </c>
      <c r="K101" s="65">
        <v>17.82</v>
      </c>
      <c r="L101" s="65">
        <f t="shared" si="2"/>
        <v>427680</v>
      </c>
      <c r="M101" s="62" t="s">
        <v>36</v>
      </c>
      <c r="N101" s="11" t="s">
        <v>322</v>
      </c>
      <c r="O101" s="66">
        <v>14.105218</v>
      </c>
      <c r="P101" s="62" t="s">
        <v>43</v>
      </c>
      <c r="Q101" s="62" t="s">
        <v>323</v>
      </c>
      <c r="R101" s="176" t="s">
        <v>324</v>
      </c>
      <c r="S101" s="62" t="s">
        <v>325</v>
      </c>
      <c r="T101" s="62"/>
      <c r="U101" s="67"/>
    </row>
    <row r="102" s="58" customFormat="1" hidden="1" customHeight="1" spans="1:21">
      <c r="A102" s="61">
        <f t="shared" si="3"/>
        <v>101</v>
      </c>
      <c r="B102" s="62">
        <v>4</v>
      </c>
      <c r="C102" s="79" t="s">
        <v>168</v>
      </c>
      <c r="D102" s="61">
        <v>20260415</v>
      </c>
      <c r="E102" s="64" t="s">
        <v>20</v>
      </c>
      <c r="F102" s="62" t="s">
        <v>21</v>
      </c>
      <c r="G102" s="62" t="s">
        <v>32</v>
      </c>
      <c r="H102" s="62" t="s">
        <v>273</v>
      </c>
      <c r="I102" s="62">
        <v>361</v>
      </c>
      <c r="J102" s="62" t="s">
        <v>24</v>
      </c>
      <c r="K102" s="65">
        <v>58.79</v>
      </c>
      <c r="L102" s="65">
        <f t="shared" si="2"/>
        <v>21223.19</v>
      </c>
      <c r="M102" s="62" t="s">
        <v>36</v>
      </c>
      <c r="N102" s="11" t="s">
        <v>326</v>
      </c>
      <c r="O102" s="66">
        <v>49.8461</v>
      </c>
      <c r="P102" s="62" t="s">
        <v>27</v>
      </c>
      <c r="Q102" s="62" t="s">
        <v>327</v>
      </c>
      <c r="R102" s="176" t="s">
        <v>328</v>
      </c>
      <c r="S102" s="62" t="s">
        <v>329</v>
      </c>
      <c r="T102" s="62"/>
      <c r="U102" s="67"/>
    </row>
    <row r="103" s="58" customFormat="1" hidden="1" customHeight="1" spans="1:21">
      <c r="A103" s="61">
        <f t="shared" si="3"/>
        <v>102</v>
      </c>
      <c r="B103" s="62">
        <v>4</v>
      </c>
      <c r="C103" s="79" t="s">
        <v>168</v>
      </c>
      <c r="D103" s="61">
        <v>20260416</v>
      </c>
      <c r="E103" s="64" t="s">
        <v>20</v>
      </c>
      <c r="F103" s="62" t="s">
        <v>21</v>
      </c>
      <c r="G103" s="62" t="s">
        <v>59</v>
      </c>
      <c r="H103" s="62" t="s">
        <v>176</v>
      </c>
      <c r="I103" s="62">
        <f>4000+8000+7939</f>
        <v>19939</v>
      </c>
      <c r="J103" s="62" t="s">
        <v>24</v>
      </c>
      <c r="K103" s="65">
        <v>32.16</v>
      </c>
      <c r="L103" s="65">
        <f t="shared" si="2"/>
        <v>641238.24</v>
      </c>
      <c r="M103" s="62" t="s">
        <v>36</v>
      </c>
      <c r="N103" s="11" t="s">
        <v>330</v>
      </c>
      <c r="O103" s="66">
        <v>27.882932</v>
      </c>
      <c r="P103" s="62" t="s">
        <v>27</v>
      </c>
      <c r="Q103" s="62" t="s">
        <v>331</v>
      </c>
      <c r="R103" s="176" t="s">
        <v>332</v>
      </c>
      <c r="S103" s="62" t="s">
        <v>333</v>
      </c>
      <c r="T103" s="62"/>
      <c r="U103" s="67"/>
    </row>
    <row r="104" s="58" customFormat="1" hidden="1" customHeight="1" spans="1:21">
      <c r="A104" s="61">
        <f t="shared" si="3"/>
        <v>103</v>
      </c>
      <c r="B104" s="62">
        <v>4</v>
      </c>
      <c r="C104" s="79" t="s">
        <v>168</v>
      </c>
      <c r="D104" s="61">
        <v>20260416</v>
      </c>
      <c r="E104" s="64" t="s">
        <v>20</v>
      </c>
      <c r="F104" s="62" t="s">
        <v>21</v>
      </c>
      <c r="G104" s="62" t="s">
        <v>59</v>
      </c>
      <c r="H104" s="62" t="s">
        <v>179</v>
      </c>
      <c r="I104" s="62">
        <f>7456+10000</f>
        <v>17456</v>
      </c>
      <c r="J104" s="62" t="s">
        <v>24</v>
      </c>
      <c r="K104" s="65">
        <v>32.16</v>
      </c>
      <c r="L104" s="65">
        <f t="shared" si="2"/>
        <v>561384.96</v>
      </c>
      <c r="M104" s="62" t="s">
        <v>36</v>
      </c>
      <c r="N104" s="11" t="s">
        <v>330</v>
      </c>
      <c r="O104" s="101">
        <v>27.539399</v>
      </c>
      <c r="P104" s="62" t="s">
        <v>27</v>
      </c>
      <c r="Q104" s="62" t="s">
        <v>334</v>
      </c>
      <c r="R104" s="176" t="s">
        <v>335</v>
      </c>
      <c r="S104" s="62"/>
      <c r="T104" s="62"/>
      <c r="U104" s="67"/>
    </row>
    <row r="105" s="58" customFormat="1" hidden="1" customHeight="1" spans="1:21">
      <c r="A105" s="61">
        <f t="shared" si="3"/>
        <v>104</v>
      </c>
      <c r="B105" s="62">
        <v>4</v>
      </c>
      <c r="C105" s="79" t="s">
        <v>168</v>
      </c>
      <c r="D105" s="61">
        <v>20260417</v>
      </c>
      <c r="E105" s="64" t="s">
        <v>20</v>
      </c>
      <c r="F105" s="62" t="s">
        <v>21</v>
      </c>
      <c r="G105" s="62" t="s">
        <v>59</v>
      </c>
      <c r="H105" s="62" t="s">
        <v>176</v>
      </c>
      <c r="I105" s="62">
        <v>24000</v>
      </c>
      <c r="J105" s="62" t="s">
        <v>24</v>
      </c>
      <c r="K105" s="65">
        <v>32.16</v>
      </c>
      <c r="L105" s="65">
        <f t="shared" si="2"/>
        <v>771840</v>
      </c>
      <c r="M105" s="62" t="s">
        <v>36</v>
      </c>
      <c r="N105" s="11" t="s">
        <v>336</v>
      </c>
      <c r="O105" s="61">
        <v>27.853113</v>
      </c>
      <c r="P105" s="62" t="s">
        <v>167</v>
      </c>
      <c r="Q105" s="62" t="s">
        <v>337</v>
      </c>
      <c r="R105" s="176" t="s">
        <v>338</v>
      </c>
      <c r="S105" s="62" t="s">
        <v>157</v>
      </c>
      <c r="T105" s="62"/>
      <c r="U105" s="67"/>
    </row>
    <row r="106" s="58" customFormat="1" hidden="1" customHeight="1" spans="1:21">
      <c r="A106" s="61">
        <f t="shared" si="3"/>
        <v>105</v>
      </c>
      <c r="B106" s="62">
        <v>4</v>
      </c>
      <c r="C106" s="79" t="s">
        <v>168</v>
      </c>
      <c r="D106" s="61">
        <v>20260417</v>
      </c>
      <c r="E106" s="64" t="s">
        <v>20</v>
      </c>
      <c r="F106" s="62" t="s">
        <v>21</v>
      </c>
      <c r="G106" s="62" t="s">
        <v>172</v>
      </c>
      <c r="H106" s="62" t="s">
        <v>176</v>
      </c>
      <c r="I106" s="62">
        <v>154</v>
      </c>
      <c r="J106" s="62" t="s">
        <v>24</v>
      </c>
      <c r="K106" s="65">
        <v>32.16</v>
      </c>
      <c r="L106" s="65">
        <f t="shared" si="2"/>
        <v>4952.64</v>
      </c>
      <c r="M106" s="62" t="s">
        <v>36</v>
      </c>
      <c r="N106" s="11" t="s">
        <v>339</v>
      </c>
      <c r="O106" s="66">
        <v>28.81</v>
      </c>
      <c r="P106" s="62" t="s">
        <v>43</v>
      </c>
      <c r="Q106" s="62" t="s">
        <v>340</v>
      </c>
      <c r="R106" s="176" t="s">
        <v>341</v>
      </c>
      <c r="S106" s="62" t="s">
        <v>342</v>
      </c>
      <c r="T106" s="62"/>
      <c r="U106" s="67"/>
    </row>
    <row r="107" s="58" customFormat="1" hidden="1" customHeight="1" spans="1:21">
      <c r="A107" s="61">
        <f t="shared" si="3"/>
        <v>106</v>
      </c>
      <c r="B107" s="62">
        <v>4</v>
      </c>
      <c r="C107" s="79" t="s">
        <v>168</v>
      </c>
      <c r="D107" s="61">
        <v>20260417</v>
      </c>
      <c r="E107" s="64" t="s">
        <v>20</v>
      </c>
      <c r="F107" s="62" t="s">
        <v>21</v>
      </c>
      <c r="G107" s="62" t="s">
        <v>32</v>
      </c>
      <c r="H107" s="62" t="s">
        <v>131</v>
      </c>
      <c r="I107" s="62">
        <v>13284</v>
      </c>
      <c r="J107" s="62" t="s">
        <v>24</v>
      </c>
      <c r="K107" s="65">
        <v>8.81</v>
      </c>
      <c r="L107" s="65">
        <f t="shared" si="2"/>
        <v>117032.04</v>
      </c>
      <c r="M107" s="62" t="s">
        <v>36</v>
      </c>
      <c r="N107" s="11" t="s">
        <v>343</v>
      </c>
      <c r="O107" s="66">
        <v>7.9809</v>
      </c>
      <c r="P107" s="62" t="s">
        <v>167</v>
      </c>
      <c r="Q107" s="62" t="s">
        <v>344</v>
      </c>
      <c r="R107" s="176" t="s">
        <v>345</v>
      </c>
      <c r="S107" s="62" t="s">
        <v>346</v>
      </c>
      <c r="T107" s="62"/>
      <c r="U107" s="67"/>
    </row>
    <row r="108" s="58" customFormat="1" hidden="1" customHeight="1" spans="1:21">
      <c r="A108" s="61">
        <f t="shared" si="3"/>
        <v>107</v>
      </c>
      <c r="B108" s="62">
        <v>4</v>
      </c>
      <c r="C108" s="79" t="s">
        <v>168</v>
      </c>
      <c r="D108" s="61">
        <v>20260423</v>
      </c>
      <c r="E108" s="64" t="s">
        <v>20</v>
      </c>
      <c r="F108" s="62" t="s">
        <v>21</v>
      </c>
      <c r="G108" s="62" t="s">
        <v>59</v>
      </c>
      <c r="H108" s="62" t="s">
        <v>179</v>
      </c>
      <c r="I108" s="62">
        <v>8000</v>
      </c>
      <c r="J108" s="62" t="s">
        <v>24</v>
      </c>
      <c r="K108" s="65">
        <v>32.16</v>
      </c>
      <c r="L108" s="65">
        <f t="shared" si="2"/>
        <v>257280</v>
      </c>
      <c r="M108" s="62" t="s">
        <v>36</v>
      </c>
      <c r="N108" s="11" t="s">
        <v>347</v>
      </c>
      <c r="O108" s="66">
        <v>27.445223</v>
      </c>
      <c r="P108" s="62" t="s">
        <v>43</v>
      </c>
      <c r="Q108" s="62" t="s">
        <v>348</v>
      </c>
      <c r="R108" s="176" t="s">
        <v>349</v>
      </c>
      <c r="S108" s="62" t="s">
        <v>314</v>
      </c>
      <c r="T108" s="62"/>
      <c r="U108" s="67"/>
    </row>
    <row r="109" s="58" customFormat="1" hidden="1" customHeight="1" spans="1:21">
      <c r="A109" s="61">
        <f t="shared" si="3"/>
        <v>108</v>
      </c>
      <c r="B109" s="62">
        <v>4</v>
      </c>
      <c r="C109" s="79" t="s">
        <v>168</v>
      </c>
      <c r="D109" s="61">
        <v>20260423</v>
      </c>
      <c r="E109" s="64" t="s">
        <v>20</v>
      </c>
      <c r="F109" s="62" t="s">
        <v>21</v>
      </c>
      <c r="G109" s="62" t="s">
        <v>32</v>
      </c>
      <c r="H109" s="62" t="s">
        <v>135</v>
      </c>
      <c r="I109" s="62">
        <v>29332</v>
      </c>
      <c r="J109" s="62" t="s">
        <v>24</v>
      </c>
      <c r="K109" s="65">
        <v>8.81</v>
      </c>
      <c r="L109" s="65">
        <f t="shared" si="2"/>
        <v>258414.92</v>
      </c>
      <c r="M109" s="62" t="s">
        <v>36</v>
      </c>
      <c r="N109" s="11" t="s">
        <v>350</v>
      </c>
      <c r="O109" s="66">
        <v>7.1817</v>
      </c>
      <c r="P109" s="62" t="s">
        <v>43</v>
      </c>
      <c r="Q109" s="62" t="s">
        <v>351</v>
      </c>
      <c r="R109" s="176" t="s">
        <v>352</v>
      </c>
      <c r="S109" s="102" t="s">
        <v>353</v>
      </c>
      <c r="T109" s="62"/>
      <c r="U109" s="67"/>
    </row>
    <row r="110" s="58" customFormat="1" hidden="1" customHeight="1" spans="1:21">
      <c r="A110" s="61">
        <f t="shared" si="3"/>
        <v>109</v>
      </c>
      <c r="B110" s="62">
        <v>4</v>
      </c>
      <c r="C110" s="79" t="s">
        <v>168</v>
      </c>
      <c r="D110" s="61">
        <v>20260423</v>
      </c>
      <c r="E110" s="64" t="s">
        <v>20</v>
      </c>
      <c r="F110" s="62" t="s">
        <v>21</v>
      </c>
      <c r="G110" s="62" t="s">
        <v>32</v>
      </c>
      <c r="H110" s="62" t="s">
        <v>131</v>
      </c>
      <c r="I110" s="62">
        <v>12260</v>
      </c>
      <c r="J110" s="62" t="s">
        <v>24</v>
      </c>
      <c r="K110" s="65">
        <v>8.81</v>
      </c>
      <c r="L110" s="65">
        <f t="shared" si="2"/>
        <v>108010.6</v>
      </c>
      <c r="M110" s="62" t="s">
        <v>36</v>
      </c>
      <c r="N110" s="11" t="s">
        <v>350</v>
      </c>
      <c r="O110" s="66">
        <v>7.9809</v>
      </c>
      <c r="P110" s="62" t="s">
        <v>43</v>
      </c>
      <c r="Q110" s="62" t="s">
        <v>354</v>
      </c>
      <c r="R110" s="176" t="s">
        <v>355</v>
      </c>
      <c r="S110" s="103"/>
      <c r="T110" s="62"/>
      <c r="U110" s="67"/>
    </row>
    <row r="111" s="58" customFormat="1" hidden="1" customHeight="1" spans="1:21">
      <c r="A111" s="61">
        <f t="shared" si="3"/>
        <v>110</v>
      </c>
      <c r="B111" s="62">
        <v>4</v>
      </c>
      <c r="C111" s="79" t="s">
        <v>168</v>
      </c>
      <c r="D111" s="61">
        <v>20260423</v>
      </c>
      <c r="E111" s="64" t="s">
        <v>20</v>
      </c>
      <c r="F111" s="62" t="s">
        <v>21</v>
      </c>
      <c r="G111" s="62" t="s">
        <v>32</v>
      </c>
      <c r="H111" s="62" t="s">
        <v>148</v>
      </c>
      <c r="I111" s="62">
        <v>61076</v>
      </c>
      <c r="J111" s="62" t="s">
        <v>24</v>
      </c>
      <c r="K111" s="65">
        <v>8.81</v>
      </c>
      <c r="L111" s="65">
        <f t="shared" si="2"/>
        <v>538079.56</v>
      </c>
      <c r="M111" s="62" t="s">
        <v>36</v>
      </c>
      <c r="N111" s="11" t="s">
        <v>350</v>
      </c>
      <c r="O111" s="66">
        <v>7.7037</v>
      </c>
      <c r="P111" s="62" t="s">
        <v>43</v>
      </c>
      <c r="Q111" s="62" t="s">
        <v>356</v>
      </c>
      <c r="R111" s="176" t="s">
        <v>357</v>
      </c>
      <c r="S111" s="103"/>
      <c r="T111" s="62"/>
      <c r="U111" s="67"/>
    </row>
    <row r="112" s="58" customFormat="1" ht="13" hidden="1" customHeight="1" spans="1:21">
      <c r="A112" s="61">
        <f t="shared" si="3"/>
        <v>111</v>
      </c>
      <c r="B112" s="62">
        <v>4</v>
      </c>
      <c r="C112" s="79" t="s">
        <v>168</v>
      </c>
      <c r="D112" s="61">
        <v>20260423</v>
      </c>
      <c r="E112" s="64" t="s">
        <v>20</v>
      </c>
      <c r="F112" s="62" t="s">
        <v>21</v>
      </c>
      <c r="G112" s="62" t="s">
        <v>32</v>
      </c>
      <c r="H112" s="62" t="s">
        <v>176</v>
      </c>
      <c r="I112" s="62">
        <v>8996</v>
      </c>
      <c r="J112" s="62" t="s">
        <v>24</v>
      </c>
      <c r="K112" s="65">
        <v>32.16</v>
      </c>
      <c r="L112" s="65">
        <f t="shared" si="2"/>
        <v>289311.36</v>
      </c>
      <c r="M112" s="62" t="s">
        <v>36</v>
      </c>
      <c r="N112" s="11" t="s">
        <v>350</v>
      </c>
      <c r="O112" s="66">
        <v>28.9</v>
      </c>
      <c r="P112" s="62" t="s">
        <v>43</v>
      </c>
      <c r="Q112" s="62" t="s">
        <v>358</v>
      </c>
      <c r="R112" s="176" t="s">
        <v>359</v>
      </c>
      <c r="S112" s="92" t="s">
        <v>346</v>
      </c>
      <c r="T112" s="62"/>
      <c r="U112" s="67"/>
    </row>
    <row r="113" s="58" customFormat="1" hidden="1" customHeight="1" spans="1:22">
      <c r="A113" s="61">
        <f t="shared" si="3"/>
        <v>112</v>
      </c>
      <c r="B113" s="62">
        <v>4</v>
      </c>
      <c r="C113" s="79" t="s">
        <v>168</v>
      </c>
      <c r="D113" s="61">
        <v>20260425</v>
      </c>
      <c r="E113" s="64" t="s">
        <v>20</v>
      </c>
      <c r="F113" s="62" t="s">
        <v>21</v>
      </c>
      <c r="G113" s="62" t="s">
        <v>172</v>
      </c>
      <c r="H113" s="62" t="s">
        <v>179</v>
      </c>
      <c r="I113" s="62">
        <v>153</v>
      </c>
      <c r="J113" s="62" t="s">
        <v>24</v>
      </c>
      <c r="K113" s="65">
        <v>32.16</v>
      </c>
      <c r="L113" s="65">
        <f t="shared" si="2"/>
        <v>4920.48</v>
      </c>
      <c r="M113" s="62" t="s">
        <v>36</v>
      </c>
      <c r="N113" s="11" t="s">
        <v>360</v>
      </c>
      <c r="O113" s="61">
        <v>33.2</v>
      </c>
      <c r="P113" s="62" t="s">
        <v>43</v>
      </c>
      <c r="Q113" s="62"/>
      <c r="R113" s="62"/>
      <c r="S113" s="62">
        <v>1</v>
      </c>
      <c r="T113" s="62"/>
      <c r="U113" s="67"/>
    </row>
    <row r="114" s="58" customFormat="1" hidden="1" customHeight="1" spans="1:22">
      <c r="A114" s="61">
        <f t="shared" si="3"/>
        <v>113</v>
      </c>
      <c r="B114" s="62">
        <v>5</v>
      </c>
      <c r="C114" s="79" t="s">
        <v>168</v>
      </c>
      <c r="D114" s="61">
        <v>20260502</v>
      </c>
      <c r="E114" s="64" t="s">
        <v>20</v>
      </c>
      <c r="F114" s="62" t="s">
        <v>21</v>
      </c>
      <c r="G114" s="62" t="s">
        <v>169</v>
      </c>
      <c r="H114" s="62" t="s">
        <v>361</v>
      </c>
      <c r="I114" s="62">
        <v>3192</v>
      </c>
      <c r="J114" s="62" t="s">
        <v>24</v>
      </c>
      <c r="K114" s="65">
        <v>38.37</v>
      </c>
      <c r="L114" s="65">
        <f t="shared" si="2"/>
        <v>122477.04</v>
      </c>
      <c r="M114" s="62" t="s">
        <v>36</v>
      </c>
      <c r="N114" s="11" t="s">
        <v>362</v>
      </c>
      <c r="O114" s="66">
        <v>28.728</v>
      </c>
      <c r="P114" s="62" t="s">
        <v>43</v>
      </c>
      <c r="Q114" s="62" t="s">
        <v>363</v>
      </c>
      <c r="R114" s="62"/>
      <c r="S114" s="62">
        <v>4</v>
      </c>
      <c r="T114" s="62"/>
      <c r="U114" s="67"/>
      <c r="V114" s="104"/>
    </row>
    <row r="115" s="58" customFormat="1" hidden="1" customHeight="1" spans="1:22">
      <c r="A115" s="61">
        <f t="shared" si="3"/>
        <v>114</v>
      </c>
      <c r="B115" s="62">
        <v>5</v>
      </c>
      <c r="C115" s="79" t="s">
        <v>168</v>
      </c>
      <c r="D115" s="61">
        <v>20260502</v>
      </c>
      <c r="E115" s="64" t="s">
        <v>20</v>
      </c>
      <c r="F115" s="62" t="s">
        <v>21</v>
      </c>
      <c r="G115" s="62" t="s">
        <v>169</v>
      </c>
      <c r="H115" s="62" t="s">
        <v>361</v>
      </c>
      <c r="I115" s="62">
        <v>16711</v>
      </c>
      <c r="J115" s="62" t="s">
        <v>24</v>
      </c>
      <c r="K115" s="65">
        <v>38.37</v>
      </c>
      <c r="L115" s="65">
        <f t="shared" si="2"/>
        <v>641201.07</v>
      </c>
      <c r="M115" s="62" t="s">
        <v>36</v>
      </c>
      <c r="N115" s="11" t="s">
        <v>362</v>
      </c>
      <c r="O115" s="66">
        <v>28.728</v>
      </c>
      <c r="P115" s="62" t="s">
        <v>43</v>
      </c>
      <c r="Q115" s="62" t="s">
        <v>363</v>
      </c>
      <c r="R115" s="62"/>
      <c r="S115" s="62">
        <v>10</v>
      </c>
      <c r="T115" s="62"/>
      <c r="U115" s="67"/>
      <c r="V115" s="104"/>
    </row>
    <row r="116" s="58" customFormat="1" hidden="1" customHeight="1" spans="1:22">
      <c r="A116" s="61">
        <f t="shared" si="3"/>
        <v>115</v>
      </c>
      <c r="B116" s="62">
        <v>5</v>
      </c>
      <c r="C116" s="79" t="s">
        <v>168</v>
      </c>
      <c r="D116" s="61">
        <v>20260505</v>
      </c>
      <c r="E116" s="64" t="s">
        <v>20</v>
      </c>
      <c r="F116" s="62" t="s">
        <v>21</v>
      </c>
      <c r="G116" s="62" t="s">
        <v>59</v>
      </c>
      <c r="H116" s="62" t="s">
        <v>195</v>
      </c>
      <c r="I116" s="62">
        <v>792</v>
      </c>
      <c r="J116" s="62" t="s">
        <v>24</v>
      </c>
      <c r="K116" s="65">
        <v>38.37</v>
      </c>
      <c r="L116" s="65">
        <f t="shared" si="2"/>
        <v>30389.04</v>
      </c>
      <c r="M116" s="62" t="s">
        <v>36</v>
      </c>
      <c r="N116" s="11" t="s">
        <v>364</v>
      </c>
      <c r="O116" s="66">
        <v>29.525152</v>
      </c>
      <c r="P116" s="62" t="s">
        <v>43</v>
      </c>
      <c r="Q116" s="62" t="s">
        <v>365</v>
      </c>
      <c r="R116" s="176" t="s">
        <v>366</v>
      </c>
      <c r="S116" s="62" t="s">
        <v>314</v>
      </c>
      <c r="T116" s="62"/>
      <c r="U116" s="67"/>
      <c r="V116" s="104"/>
    </row>
    <row r="117" s="58" customFormat="1" hidden="1" customHeight="1" spans="1:22">
      <c r="A117" s="61">
        <f t="shared" si="3"/>
        <v>116</v>
      </c>
      <c r="B117" s="62">
        <v>5</v>
      </c>
      <c r="C117" s="79" t="s">
        <v>168</v>
      </c>
      <c r="D117" s="61">
        <v>20260506</v>
      </c>
      <c r="E117" s="64" t="s">
        <v>20</v>
      </c>
      <c r="F117" s="62" t="s">
        <v>21</v>
      </c>
      <c r="G117" s="62" t="s">
        <v>32</v>
      </c>
      <c r="H117" s="62" t="s">
        <v>148</v>
      </c>
      <c r="I117" s="62">
        <v>11830</v>
      </c>
      <c r="J117" s="62" t="s">
        <v>24</v>
      </c>
      <c r="K117" s="65">
        <v>8.61</v>
      </c>
      <c r="L117" s="65">
        <f t="shared" si="2"/>
        <v>101856.3</v>
      </c>
      <c r="M117" s="62" t="s">
        <v>36</v>
      </c>
      <c r="N117" s="11" t="s">
        <v>367</v>
      </c>
      <c r="O117" s="66">
        <v>7.7037</v>
      </c>
      <c r="P117" s="62" t="s">
        <v>27</v>
      </c>
      <c r="Q117" s="62" t="s">
        <v>368</v>
      </c>
      <c r="R117" s="176" t="s">
        <v>369</v>
      </c>
      <c r="S117" s="62" t="s">
        <v>186</v>
      </c>
      <c r="T117" s="62"/>
      <c r="U117" s="67"/>
    </row>
    <row r="118" s="58" customFormat="1" hidden="1" customHeight="1" spans="1:22">
      <c r="A118" s="61">
        <f t="shared" si="3"/>
        <v>117</v>
      </c>
      <c r="B118" s="62">
        <v>5</v>
      </c>
      <c r="C118" s="79" t="s">
        <v>168</v>
      </c>
      <c r="D118" s="61">
        <v>20260506</v>
      </c>
      <c r="E118" s="64" t="s">
        <v>20</v>
      </c>
      <c r="F118" s="62" t="s">
        <v>21</v>
      </c>
      <c r="G118" s="62" t="s">
        <v>59</v>
      </c>
      <c r="H118" s="62" t="s">
        <v>189</v>
      </c>
      <c r="I118" s="62">
        <v>3905</v>
      </c>
      <c r="J118" s="62" t="s">
        <v>24</v>
      </c>
      <c r="K118" s="65">
        <v>17.82</v>
      </c>
      <c r="L118" s="65">
        <f t="shared" si="2"/>
        <v>69587.1</v>
      </c>
      <c r="M118" s="62" t="s">
        <v>36</v>
      </c>
      <c r="N118" s="11" t="s">
        <v>370</v>
      </c>
      <c r="O118" s="66">
        <v>14.201915</v>
      </c>
      <c r="P118" s="62" t="s">
        <v>27</v>
      </c>
      <c r="Q118" s="62" t="s">
        <v>371</v>
      </c>
      <c r="R118" s="176" t="s">
        <v>372</v>
      </c>
      <c r="S118" s="62" t="s">
        <v>373</v>
      </c>
      <c r="T118" s="62"/>
      <c r="U118" s="67"/>
    </row>
    <row r="119" s="58" customFormat="1" hidden="1" customHeight="1" spans="1:22">
      <c r="A119" s="61">
        <f t="shared" si="3"/>
        <v>118</v>
      </c>
      <c r="B119" s="62">
        <v>5</v>
      </c>
      <c r="C119" s="79" t="s">
        <v>168</v>
      </c>
      <c r="D119" s="61">
        <v>20260508</v>
      </c>
      <c r="E119" s="64" t="s">
        <v>20</v>
      </c>
      <c r="F119" s="62" t="s">
        <v>21</v>
      </c>
      <c r="G119" s="62" t="s">
        <v>172</v>
      </c>
      <c r="H119" s="62" t="s">
        <v>225</v>
      </c>
      <c r="I119" s="62">
        <v>77</v>
      </c>
      <c r="J119" s="62" t="s">
        <v>24</v>
      </c>
      <c r="K119" s="65">
        <v>32.16</v>
      </c>
      <c r="L119" s="65">
        <f t="shared" si="2"/>
        <v>2476.32</v>
      </c>
      <c r="M119" s="62" t="s">
        <v>36</v>
      </c>
      <c r="N119" s="11" t="s">
        <v>374</v>
      </c>
      <c r="O119" s="61">
        <v>29.03</v>
      </c>
      <c r="P119" s="62" t="s">
        <v>43</v>
      </c>
      <c r="Q119" s="62"/>
      <c r="R119" s="62"/>
      <c r="S119" s="62">
        <v>1</v>
      </c>
      <c r="T119" s="62"/>
      <c r="U119" s="67"/>
    </row>
    <row r="120" s="58" customFormat="1" hidden="1" customHeight="1" spans="1:22">
      <c r="A120" s="61">
        <f t="shared" si="3"/>
        <v>119</v>
      </c>
      <c r="B120" s="62">
        <v>5</v>
      </c>
      <c r="C120" s="79" t="s">
        <v>168</v>
      </c>
      <c r="D120" s="61">
        <v>20260509</v>
      </c>
      <c r="E120" s="64" t="s">
        <v>20</v>
      </c>
      <c r="F120" s="62" t="s">
        <v>21</v>
      </c>
      <c r="G120" s="62" t="s">
        <v>59</v>
      </c>
      <c r="H120" s="62" t="s">
        <v>195</v>
      </c>
      <c r="I120" s="62">
        <v>752</v>
      </c>
      <c r="J120" s="62" t="s">
        <v>24</v>
      </c>
      <c r="K120" s="65">
        <v>38.37</v>
      </c>
      <c r="L120" s="65">
        <f t="shared" si="2"/>
        <v>28854.24</v>
      </c>
      <c r="M120" s="62" t="s">
        <v>36</v>
      </c>
      <c r="N120" s="58" t="s">
        <v>375</v>
      </c>
      <c r="O120" s="66">
        <v>29.310279</v>
      </c>
      <c r="P120" s="62" t="s">
        <v>27</v>
      </c>
      <c r="Q120" s="11" t="s">
        <v>376</v>
      </c>
      <c r="R120" s="176" t="s">
        <v>377</v>
      </c>
      <c r="S120" s="62" t="s">
        <v>314</v>
      </c>
      <c r="T120" s="62"/>
      <c r="U120" s="67"/>
    </row>
    <row r="121" s="58" customFormat="1" hidden="1" customHeight="1" spans="1:22">
      <c r="A121" s="61">
        <f t="shared" si="3"/>
        <v>120</v>
      </c>
      <c r="B121" s="62">
        <v>5</v>
      </c>
      <c r="C121" s="79" t="s">
        <v>168</v>
      </c>
      <c r="D121" s="61">
        <v>20260511</v>
      </c>
      <c r="E121" s="64" t="s">
        <v>20</v>
      </c>
      <c r="F121" s="62" t="s">
        <v>21</v>
      </c>
      <c r="G121" s="62" t="s">
        <v>32</v>
      </c>
      <c r="H121" s="62" t="s">
        <v>131</v>
      </c>
      <c r="I121" s="62">
        <v>5157</v>
      </c>
      <c r="J121" s="62" t="s">
        <v>24</v>
      </c>
      <c r="K121" s="65">
        <v>8.61</v>
      </c>
      <c r="L121" s="65">
        <f t="shared" si="2"/>
        <v>44401.77</v>
      </c>
      <c r="M121" s="62" t="s">
        <v>36</v>
      </c>
      <c r="N121" s="11" t="s">
        <v>378</v>
      </c>
      <c r="O121" s="66">
        <v>7.9809</v>
      </c>
      <c r="P121" s="62" t="s">
        <v>27</v>
      </c>
      <c r="Q121" s="62" t="s">
        <v>379</v>
      </c>
      <c r="R121" s="176" t="s">
        <v>380</v>
      </c>
      <c r="S121" s="62" t="s">
        <v>152</v>
      </c>
      <c r="T121" s="62"/>
      <c r="U121" s="67"/>
    </row>
    <row r="122" s="58" customFormat="1" hidden="1" customHeight="1" spans="1:22">
      <c r="A122" s="61">
        <f t="shared" si="3"/>
        <v>121</v>
      </c>
      <c r="B122" s="62">
        <v>5</v>
      </c>
      <c r="C122" s="79" t="s">
        <v>168</v>
      </c>
      <c r="D122" s="61">
        <v>20260511</v>
      </c>
      <c r="E122" s="64" t="s">
        <v>20</v>
      </c>
      <c r="F122" s="62" t="s">
        <v>21</v>
      </c>
      <c r="G122" s="62" t="s">
        <v>32</v>
      </c>
      <c r="H122" s="62" t="s">
        <v>273</v>
      </c>
      <c r="I122" s="62">
        <v>2912</v>
      </c>
      <c r="J122" s="62" t="s">
        <v>24</v>
      </c>
      <c r="K122" s="65">
        <v>58.79</v>
      </c>
      <c r="L122" s="65">
        <f t="shared" si="2"/>
        <v>171196.48</v>
      </c>
      <c r="M122" s="62" t="s">
        <v>36</v>
      </c>
      <c r="N122" s="11" t="s">
        <v>378</v>
      </c>
      <c r="O122" s="66">
        <v>49.8461</v>
      </c>
      <c r="P122" s="62" t="s">
        <v>27</v>
      </c>
      <c r="Q122" s="62" t="s">
        <v>381</v>
      </c>
      <c r="R122" s="176" t="s">
        <v>382</v>
      </c>
      <c r="S122" s="62" t="s">
        <v>383</v>
      </c>
      <c r="T122" s="62"/>
      <c r="U122" s="67"/>
    </row>
    <row r="123" s="58" customFormat="1" hidden="1" customHeight="1" spans="1:22">
      <c r="A123" s="61">
        <f t="shared" si="3"/>
        <v>122</v>
      </c>
      <c r="B123" s="62">
        <v>5</v>
      </c>
      <c r="C123" s="79" t="s">
        <v>168</v>
      </c>
      <c r="D123" s="61">
        <v>20260513</v>
      </c>
      <c r="E123" s="64" t="s">
        <v>20</v>
      </c>
      <c r="F123" s="62" t="s">
        <v>21</v>
      </c>
      <c r="G123" s="62" t="s">
        <v>384</v>
      </c>
      <c r="H123" s="62" t="s">
        <v>179</v>
      </c>
      <c r="I123" s="62">
        <v>448</v>
      </c>
      <c r="J123" s="62" t="s">
        <v>24</v>
      </c>
      <c r="K123" s="65">
        <v>32.16</v>
      </c>
      <c r="L123" s="65">
        <f t="shared" si="2"/>
        <v>14407.68</v>
      </c>
      <c r="M123" s="62" t="s">
        <v>36</v>
      </c>
      <c r="N123" s="11" t="s">
        <v>385</v>
      </c>
      <c r="O123" s="66">
        <v>27.1205</v>
      </c>
      <c r="P123" s="62" t="s">
        <v>43</v>
      </c>
      <c r="Q123" s="62" t="s">
        <v>386</v>
      </c>
      <c r="R123" s="176" t="s">
        <v>387</v>
      </c>
      <c r="S123" s="62" t="s">
        <v>186</v>
      </c>
      <c r="T123" s="62"/>
      <c r="U123" s="67"/>
    </row>
    <row r="124" s="58" customFormat="1" hidden="1" customHeight="1" spans="1:22">
      <c r="A124" s="61">
        <f t="shared" si="3"/>
        <v>123</v>
      </c>
      <c r="B124" s="62">
        <v>5</v>
      </c>
      <c r="C124" s="79" t="s">
        <v>168</v>
      </c>
      <c r="D124" s="61">
        <v>20260515</v>
      </c>
      <c r="E124" s="64" t="s">
        <v>20</v>
      </c>
      <c r="F124" s="62" t="s">
        <v>21</v>
      </c>
      <c r="G124" s="62" t="s">
        <v>59</v>
      </c>
      <c r="H124" s="62" t="s">
        <v>176</v>
      </c>
      <c r="I124" s="62">
        <v>4000</v>
      </c>
      <c r="J124" s="62" t="s">
        <v>24</v>
      </c>
      <c r="K124" s="65">
        <v>29.02</v>
      </c>
      <c r="L124" s="65">
        <f t="shared" si="2"/>
        <v>116080</v>
      </c>
      <c r="M124" s="62" t="s">
        <v>36</v>
      </c>
      <c r="N124" s="11"/>
      <c r="O124" s="66">
        <v>28.3759</v>
      </c>
      <c r="P124" s="62" t="s">
        <v>27</v>
      </c>
      <c r="Q124" s="62"/>
      <c r="R124" s="62"/>
      <c r="S124" s="62" t="s">
        <v>304</v>
      </c>
      <c r="T124" s="62"/>
      <c r="U124" s="67"/>
    </row>
    <row r="125" s="58" customFormat="1" hidden="1" customHeight="1" spans="1:22">
      <c r="A125" s="61">
        <f t="shared" si="3"/>
        <v>124</v>
      </c>
      <c r="B125" s="62">
        <v>5</v>
      </c>
      <c r="C125" s="79" t="s">
        <v>168</v>
      </c>
      <c r="D125" s="61">
        <v>20260515</v>
      </c>
      <c r="E125" s="64" t="s">
        <v>20</v>
      </c>
      <c r="F125" s="62" t="s">
        <v>21</v>
      </c>
      <c r="G125" s="62" t="s">
        <v>32</v>
      </c>
      <c r="H125" s="62" t="s">
        <v>131</v>
      </c>
      <c r="I125" s="62">
        <v>63518</v>
      </c>
      <c r="J125" s="62" t="s">
        <v>24</v>
      </c>
      <c r="K125" s="65">
        <v>8.61</v>
      </c>
      <c r="L125" s="65">
        <f t="shared" si="2"/>
        <v>546889.98</v>
      </c>
      <c r="M125" s="62" t="s">
        <v>36</v>
      </c>
      <c r="N125" s="11"/>
      <c r="O125" s="66">
        <v>7.9928</v>
      </c>
      <c r="P125" s="62" t="s">
        <v>27</v>
      </c>
      <c r="Q125" s="62"/>
      <c r="R125" s="62"/>
      <c r="S125" s="62" t="s">
        <v>388</v>
      </c>
      <c r="T125" s="62"/>
      <c r="U125" s="67"/>
    </row>
    <row r="126" s="58" customFormat="1" hidden="1" customHeight="1" spans="1:22">
      <c r="A126" s="61">
        <f t="shared" si="3"/>
        <v>125</v>
      </c>
      <c r="B126" s="62">
        <v>5</v>
      </c>
      <c r="C126" s="79" t="s">
        <v>168</v>
      </c>
      <c r="D126" s="61">
        <v>20260517</v>
      </c>
      <c r="E126" s="64" t="s">
        <v>20</v>
      </c>
      <c r="F126" s="62" t="s">
        <v>21</v>
      </c>
      <c r="G126" s="62" t="s">
        <v>32</v>
      </c>
      <c r="H126" s="62" t="s">
        <v>195</v>
      </c>
      <c r="I126" s="62">
        <v>9310</v>
      </c>
      <c r="J126" s="62" t="s">
        <v>24</v>
      </c>
      <c r="K126" s="65">
        <v>38.37</v>
      </c>
      <c r="L126" s="65">
        <f t="shared" si="2"/>
        <v>357224.7</v>
      </c>
      <c r="M126" s="62" t="s">
        <v>36</v>
      </c>
      <c r="N126" s="11" t="s">
        <v>389</v>
      </c>
      <c r="O126" s="66">
        <v>29.3896</v>
      </c>
      <c r="P126" s="62" t="s">
        <v>27</v>
      </c>
      <c r="Q126" s="62"/>
      <c r="R126" s="62"/>
      <c r="S126" s="62" t="s">
        <v>390</v>
      </c>
      <c r="T126" s="62"/>
      <c r="U126" s="67"/>
    </row>
    <row r="127" s="58" customFormat="1" hidden="1" customHeight="1" spans="1:22">
      <c r="A127" s="61">
        <f t="shared" si="3"/>
        <v>126</v>
      </c>
      <c r="B127" s="62">
        <v>5</v>
      </c>
      <c r="C127" s="79" t="s">
        <v>168</v>
      </c>
      <c r="D127" s="61">
        <v>20260520</v>
      </c>
      <c r="E127" s="64" t="s">
        <v>20</v>
      </c>
      <c r="F127" s="62" t="s">
        <v>21</v>
      </c>
      <c r="G127" s="62" t="s">
        <v>32</v>
      </c>
      <c r="H127" s="62" t="s">
        <v>361</v>
      </c>
      <c r="I127" s="62">
        <v>4542</v>
      </c>
      <c r="J127" s="62" t="s">
        <v>24</v>
      </c>
      <c r="K127" s="65">
        <v>38.37</v>
      </c>
      <c r="L127" s="65">
        <f t="shared" si="2"/>
        <v>174276.54</v>
      </c>
      <c r="M127" s="62" t="s">
        <v>36</v>
      </c>
      <c r="N127" s="11"/>
      <c r="O127" s="66">
        <v>29.1187</v>
      </c>
      <c r="P127" s="62" t="s">
        <v>27</v>
      </c>
      <c r="Q127" s="62"/>
      <c r="R127" s="62"/>
      <c r="S127" s="62" t="s">
        <v>342</v>
      </c>
      <c r="T127" s="62"/>
      <c r="U127" s="67"/>
    </row>
    <row r="128" s="58" customFormat="1" hidden="1" customHeight="1" spans="1:22">
      <c r="A128" s="61">
        <f t="shared" si="3"/>
        <v>127</v>
      </c>
      <c r="B128" s="62">
        <v>5</v>
      </c>
      <c r="C128" s="79" t="s">
        <v>168</v>
      </c>
      <c r="D128" s="61">
        <v>20260521</v>
      </c>
      <c r="E128" s="64" t="s">
        <v>20</v>
      </c>
      <c r="F128" s="62" t="s">
        <v>21</v>
      </c>
      <c r="G128" s="62" t="s">
        <v>32</v>
      </c>
      <c r="H128" s="62" t="s">
        <v>361</v>
      </c>
      <c r="I128" s="62">
        <v>5641</v>
      </c>
      <c r="J128" s="62" t="s">
        <v>24</v>
      </c>
      <c r="K128" s="65">
        <v>38.37</v>
      </c>
      <c r="L128" s="65">
        <f t="shared" si="2"/>
        <v>216445.17</v>
      </c>
      <c r="M128" s="62" t="s">
        <v>36</v>
      </c>
      <c r="N128" s="11" t="s">
        <v>391</v>
      </c>
      <c r="O128" s="66">
        <v>29.1187</v>
      </c>
      <c r="P128" s="62" t="s">
        <v>167</v>
      </c>
      <c r="Q128" s="62"/>
      <c r="R128" s="62"/>
      <c r="S128" s="62" t="s">
        <v>392</v>
      </c>
      <c r="T128" s="62"/>
      <c r="U128" s="67"/>
    </row>
    <row r="129" s="58" customFormat="1" customHeight="1" spans="1:21">
      <c r="A129" s="61">
        <f>A128+1</f>
        <v>128</v>
      </c>
      <c r="B129" s="62">
        <v>5</v>
      </c>
      <c r="C129" s="79" t="s">
        <v>168</v>
      </c>
      <c r="D129" s="61">
        <v>20260522</v>
      </c>
      <c r="E129" s="64" t="s">
        <v>20</v>
      </c>
      <c r="F129" s="62" t="s">
        <v>21</v>
      </c>
      <c r="G129" s="62" t="s">
        <v>59</v>
      </c>
      <c r="H129" s="62" t="s">
        <v>195</v>
      </c>
      <c r="I129" s="62">
        <v>780</v>
      </c>
      <c r="J129" s="62" t="s">
        <v>24</v>
      </c>
      <c r="K129" s="65">
        <v>38.37</v>
      </c>
      <c r="L129" s="65">
        <f>I129*K129</f>
        <v>29928.6</v>
      </c>
      <c r="M129" s="62" t="s">
        <v>36</v>
      </c>
      <c r="N129" s="11"/>
      <c r="O129" s="66">
        <v>29.419372</v>
      </c>
      <c r="P129" s="62" t="s">
        <v>27</v>
      </c>
      <c r="Q129" s="62"/>
      <c r="R129" s="62"/>
      <c r="S129" s="62" t="s">
        <v>314</v>
      </c>
      <c r="T129" s="62"/>
      <c r="U129" s="67"/>
    </row>
    <row r="130" s="58" customFormat="1" customHeight="1" spans="1:21">
      <c r="A130" s="61"/>
      <c r="B130" s="62"/>
      <c r="C130" s="79"/>
      <c r="D130" s="61"/>
      <c r="E130" s="64"/>
      <c r="F130" s="62"/>
      <c r="G130" s="62"/>
      <c r="H130" s="62"/>
      <c r="I130" s="62"/>
      <c r="J130" s="62"/>
      <c r="K130" s="65"/>
      <c r="L130" s="65"/>
      <c r="M130" s="62"/>
      <c r="N130" s="11"/>
      <c r="O130" s="66"/>
      <c r="P130" s="62"/>
      <c r="Q130" s="62"/>
      <c r="R130" s="62"/>
      <c r="S130" s="62"/>
      <c r="T130" s="62"/>
      <c r="U130" s="67"/>
    </row>
    <row r="131" s="58" customFormat="1" customHeight="1" spans="1:21">
      <c r="A131" s="61"/>
      <c r="B131" s="62"/>
      <c r="C131" s="79"/>
      <c r="D131" s="61"/>
      <c r="E131" s="64"/>
      <c r="F131" s="62"/>
      <c r="G131" s="62"/>
      <c r="H131" s="62"/>
      <c r="I131" s="62"/>
      <c r="J131" s="62"/>
      <c r="K131" s="65"/>
      <c r="L131" s="65"/>
      <c r="M131" s="62"/>
      <c r="N131" s="11"/>
      <c r="O131" s="66"/>
      <c r="P131" s="62"/>
      <c r="Q131" s="62"/>
      <c r="R131" s="62"/>
      <c r="S131" s="62"/>
      <c r="T131" s="62"/>
      <c r="U131" s="67"/>
    </row>
    <row r="132" s="58" customFormat="1" customHeight="1" spans="1:21">
      <c r="A132" s="61"/>
      <c r="B132" s="62"/>
      <c r="C132" s="79"/>
      <c r="D132" s="61"/>
      <c r="E132" s="64"/>
      <c r="F132" s="62"/>
      <c r="G132" s="62"/>
      <c r="H132" s="62"/>
      <c r="I132" s="62"/>
      <c r="J132" s="62"/>
      <c r="K132" s="65"/>
      <c r="L132" s="65"/>
      <c r="M132" s="62"/>
      <c r="N132" s="11"/>
      <c r="O132" s="66"/>
      <c r="P132" s="62"/>
      <c r="Q132" s="62"/>
      <c r="R132" s="62"/>
      <c r="S132" s="62"/>
      <c r="T132" s="62"/>
      <c r="U132" s="67"/>
    </row>
    <row r="133" s="58" customFormat="1" customHeight="1" spans="1:21">
      <c r="A133" s="61"/>
      <c r="B133" s="62"/>
      <c r="C133" s="79"/>
      <c r="D133" s="61"/>
      <c r="E133" s="64"/>
      <c r="F133" s="62"/>
      <c r="G133" s="62"/>
      <c r="H133" s="62"/>
      <c r="I133" s="62"/>
      <c r="J133" s="62"/>
      <c r="K133" s="65"/>
      <c r="L133" s="65"/>
      <c r="M133" s="62"/>
      <c r="N133" s="11"/>
      <c r="O133" s="66"/>
      <c r="P133" s="62"/>
      <c r="Q133" s="62"/>
      <c r="R133" s="62"/>
      <c r="S133" s="62"/>
      <c r="T133" s="62"/>
      <c r="U133" s="67"/>
    </row>
    <row r="134" s="58" customFormat="1" customHeight="1" spans="1:21">
      <c r="A134" s="61"/>
      <c r="B134" s="62"/>
      <c r="C134" s="79"/>
      <c r="D134" s="61"/>
      <c r="E134" s="64"/>
      <c r="F134" s="62"/>
      <c r="G134" s="62"/>
      <c r="H134" s="62"/>
      <c r="I134" s="62"/>
      <c r="J134" s="62"/>
      <c r="K134" s="65"/>
      <c r="L134" s="65"/>
      <c r="M134" s="62"/>
      <c r="N134" s="11"/>
      <c r="O134" s="66"/>
      <c r="P134" s="62"/>
      <c r="Q134" s="62"/>
      <c r="R134" s="62"/>
      <c r="S134" s="62"/>
      <c r="T134" s="62"/>
      <c r="U134" s="67"/>
    </row>
    <row r="135" s="58" customFormat="1" customHeight="1" spans="1:21">
      <c r="A135" s="61"/>
      <c r="B135" s="62"/>
      <c r="C135" s="79"/>
      <c r="D135" s="61"/>
      <c r="E135" s="64"/>
      <c r="F135" s="62"/>
      <c r="G135" s="62"/>
      <c r="H135" s="62"/>
      <c r="I135" s="62"/>
      <c r="J135" s="62"/>
      <c r="K135" s="65"/>
      <c r="L135" s="65"/>
      <c r="M135" s="62"/>
      <c r="N135" s="11"/>
      <c r="O135" s="66"/>
      <c r="P135" s="62"/>
      <c r="Q135" s="62"/>
      <c r="R135" s="62"/>
      <c r="S135" s="62"/>
      <c r="T135" s="62"/>
      <c r="U135" s="67"/>
    </row>
    <row r="136" s="58" customFormat="1" customHeight="1" spans="1:21">
      <c r="A136" s="61"/>
      <c r="B136" s="62"/>
      <c r="C136" s="79"/>
      <c r="D136" s="61"/>
      <c r="E136" s="64"/>
      <c r="F136" s="62"/>
      <c r="G136" s="62"/>
      <c r="H136" s="62"/>
      <c r="I136" s="62"/>
      <c r="J136" s="62"/>
      <c r="K136" s="65"/>
      <c r="L136" s="65"/>
      <c r="M136" s="62"/>
      <c r="N136" s="11"/>
      <c r="O136" s="66"/>
      <c r="P136" s="62"/>
      <c r="Q136" s="62"/>
      <c r="R136" s="62"/>
      <c r="S136" s="62"/>
      <c r="T136" s="62"/>
      <c r="U136" s="67"/>
    </row>
    <row r="137" s="58" customFormat="1" customHeight="1" spans="1:21">
      <c r="A137" s="61"/>
      <c r="B137" s="62"/>
      <c r="C137" s="79"/>
      <c r="D137" s="61"/>
      <c r="E137" s="64"/>
      <c r="F137" s="62"/>
      <c r="G137" s="62"/>
      <c r="H137" s="62"/>
      <c r="I137" s="62"/>
      <c r="J137" s="62"/>
      <c r="K137" s="65"/>
      <c r="L137" s="65"/>
      <c r="M137" s="62"/>
      <c r="N137" s="11"/>
      <c r="O137" s="66"/>
      <c r="P137" s="62"/>
      <c r="Q137" s="62"/>
      <c r="R137" s="62"/>
      <c r="S137" s="62"/>
      <c r="T137" s="62"/>
      <c r="U137" s="67"/>
    </row>
    <row r="138" s="58" customFormat="1" customHeight="1" spans="1:21">
      <c r="A138" s="61"/>
      <c r="B138" s="62"/>
      <c r="C138" s="79"/>
      <c r="D138" s="61"/>
      <c r="E138" s="64"/>
      <c r="F138" s="62"/>
      <c r="G138" s="62"/>
      <c r="H138" s="62"/>
      <c r="I138" s="62"/>
      <c r="J138" s="62"/>
      <c r="K138" s="65"/>
      <c r="L138" s="65"/>
      <c r="M138" s="62"/>
      <c r="N138" s="11"/>
      <c r="O138" s="66"/>
      <c r="P138" s="62"/>
      <c r="Q138" s="62"/>
      <c r="R138" s="62"/>
      <c r="S138" s="94"/>
      <c r="T138" s="62"/>
      <c r="U138" s="67"/>
    </row>
    <row r="139" s="58" customFormat="1" customHeight="1" spans="1:21">
      <c r="A139" s="61"/>
      <c r="B139" s="62"/>
      <c r="C139" s="79"/>
      <c r="D139" s="61"/>
      <c r="E139" s="64"/>
      <c r="F139" s="62"/>
      <c r="G139" s="62"/>
      <c r="H139" s="62"/>
      <c r="I139" s="62"/>
      <c r="J139" s="62"/>
      <c r="K139" s="65"/>
      <c r="L139" s="65"/>
      <c r="M139" s="62"/>
      <c r="N139" s="11"/>
      <c r="O139" s="66"/>
      <c r="P139" s="62"/>
      <c r="Q139" s="62"/>
      <c r="R139" s="62"/>
      <c r="S139" s="92"/>
      <c r="T139" s="62"/>
      <c r="U139" s="67"/>
    </row>
    <row r="140" s="58" customFormat="1" customHeight="1" spans="1:21">
      <c r="A140" s="61"/>
      <c r="B140" s="62"/>
      <c r="C140" s="79"/>
      <c r="D140" s="61"/>
      <c r="E140" s="64"/>
      <c r="F140" s="62"/>
      <c r="G140" s="62"/>
      <c r="H140" s="62"/>
      <c r="I140" s="62"/>
      <c r="J140" s="62"/>
      <c r="K140" s="65"/>
      <c r="L140" s="65"/>
      <c r="M140" s="62"/>
      <c r="N140" s="11"/>
      <c r="O140" s="66"/>
      <c r="P140" s="62"/>
      <c r="Q140" s="62"/>
      <c r="R140" s="62"/>
      <c r="S140" s="62"/>
      <c r="T140" s="62"/>
      <c r="U140" s="67"/>
    </row>
    <row r="141" s="58" customFormat="1" customHeight="1" spans="1:21">
      <c r="A141" s="61"/>
      <c r="B141" s="62"/>
      <c r="C141" s="79"/>
      <c r="D141" s="61"/>
      <c r="E141" s="64"/>
      <c r="F141" s="62"/>
      <c r="G141" s="62"/>
      <c r="H141" s="62"/>
      <c r="I141" s="62"/>
      <c r="J141" s="62"/>
      <c r="K141" s="65"/>
      <c r="L141" s="65"/>
      <c r="M141" s="62"/>
      <c r="N141" s="11"/>
      <c r="O141" s="66"/>
      <c r="P141" s="62"/>
      <c r="Q141" s="62"/>
      <c r="R141" s="62"/>
      <c r="S141" s="62"/>
      <c r="T141" s="62"/>
      <c r="U141" s="67"/>
    </row>
    <row r="142" s="58" customFormat="1" customHeight="1" spans="1:21">
      <c r="A142" s="61"/>
      <c r="B142" s="62"/>
      <c r="C142" s="79"/>
      <c r="D142" s="61"/>
      <c r="E142" s="64"/>
      <c r="F142" s="62"/>
      <c r="G142" s="62"/>
      <c r="H142" s="62"/>
      <c r="I142" s="62"/>
      <c r="J142" s="62"/>
      <c r="K142" s="65"/>
      <c r="L142" s="65"/>
      <c r="M142" s="62"/>
      <c r="N142" s="11"/>
      <c r="O142" s="66"/>
      <c r="P142" s="62"/>
      <c r="Q142" s="62"/>
      <c r="R142" s="62"/>
      <c r="S142" s="62"/>
      <c r="T142" s="62"/>
      <c r="U142" s="67"/>
    </row>
    <row r="143" s="58" customFormat="1" customHeight="1" spans="1:21">
      <c r="A143" s="61"/>
      <c r="B143" s="62"/>
      <c r="C143" s="79"/>
      <c r="D143" s="61"/>
      <c r="E143" s="64"/>
      <c r="F143" s="62"/>
      <c r="G143" s="62"/>
      <c r="H143" s="62"/>
      <c r="I143" s="62"/>
      <c r="J143" s="62"/>
      <c r="K143" s="65"/>
      <c r="L143" s="65"/>
      <c r="M143" s="62"/>
      <c r="N143" s="11"/>
      <c r="O143" s="66"/>
      <c r="P143" s="62"/>
      <c r="Q143" s="62"/>
      <c r="R143" s="62"/>
      <c r="S143" s="94"/>
      <c r="T143" s="62"/>
      <c r="U143" s="67"/>
    </row>
    <row r="144" s="58" customFormat="1" customHeight="1" spans="1:21">
      <c r="A144" s="61"/>
      <c r="B144" s="62"/>
      <c r="C144" s="79"/>
      <c r="D144" s="61"/>
      <c r="E144" s="64"/>
      <c r="F144" s="62"/>
      <c r="G144" s="62"/>
      <c r="H144" s="62"/>
      <c r="I144" s="62"/>
      <c r="J144" s="62"/>
      <c r="K144" s="65"/>
      <c r="L144" s="65"/>
      <c r="M144" s="62"/>
      <c r="N144" s="11"/>
      <c r="O144" s="66"/>
      <c r="P144" s="62"/>
      <c r="Q144" s="62"/>
      <c r="R144" s="62"/>
      <c r="S144" s="92"/>
      <c r="T144" s="62"/>
      <c r="U144" s="67"/>
    </row>
    <row r="145" s="58" customFormat="1" customHeight="1" spans="1:21">
      <c r="A145" s="61"/>
      <c r="B145" s="62"/>
      <c r="C145" s="79"/>
      <c r="D145" s="61"/>
      <c r="E145" s="64"/>
      <c r="F145" s="64"/>
      <c r="G145" s="62"/>
      <c r="H145" s="62"/>
      <c r="I145" s="62"/>
      <c r="J145" s="62"/>
      <c r="K145" s="65"/>
      <c r="L145" s="65"/>
      <c r="M145" s="62"/>
      <c r="N145" s="11"/>
      <c r="O145" s="66"/>
      <c r="P145" s="62"/>
      <c r="Q145" s="62"/>
      <c r="R145" s="62"/>
      <c r="S145" s="62"/>
      <c r="T145" s="62"/>
      <c r="U145" s="67"/>
    </row>
    <row r="146" s="58" customFormat="1" customHeight="1" spans="1:21">
      <c r="A146" s="61"/>
      <c r="B146" s="62"/>
      <c r="C146" s="79"/>
      <c r="D146" s="61"/>
      <c r="E146" s="64"/>
      <c r="F146" s="64"/>
      <c r="G146" s="62"/>
      <c r="H146" s="62"/>
      <c r="I146" s="62"/>
      <c r="J146" s="62"/>
      <c r="K146" s="65"/>
      <c r="L146" s="65"/>
      <c r="M146" s="62"/>
      <c r="N146" s="11"/>
      <c r="O146" s="66"/>
      <c r="P146" s="62"/>
      <c r="Q146" s="62"/>
      <c r="R146" s="62"/>
      <c r="S146" s="62"/>
      <c r="T146" s="62"/>
      <c r="U146" s="67"/>
    </row>
    <row r="147" s="58" customFormat="1" customHeight="1" spans="1:21">
      <c r="A147" s="61"/>
      <c r="B147" s="62"/>
      <c r="C147" s="79"/>
      <c r="D147" s="61"/>
      <c r="E147" s="64"/>
      <c r="F147" s="64"/>
      <c r="G147" s="62"/>
      <c r="H147" s="62"/>
      <c r="I147" s="62"/>
      <c r="J147" s="62"/>
      <c r="K147" s="65"/>
      <c r="L147" s="65"/>
      <c r="M147" s="62"/>
      <c r="N147" s="11"/>
      <c r="O147" s="66"/>
      <c r="P147" s="62"/>
      <c r="Q147" s="62"/>
      <c r="R147" s="62"/>
      <c r="S147" s="62"/>
      <c r="T147" s="62"/>
      <c r="U147" s="67"/>
    </row>
    <row r="148" s="58" customFormat="1" customHeight="1" spans="1:21">
      <c r="A148" s="61"/>
      <c r="B148" s="62"/>
      <c r="C148" s="79"/>
      <c r="D148" s="61"/>
      <c r="E148" s="64"/>
      <c r="F148" s="64"/>
      <c r="G148" s="62"/>
      <c r="H148" s="62"/>
      <c r="I148" s="62"/>
      <c r="J148" s="62"/>
      <c r="K148" s="65"/>
      <c r="L148" s="65"/>
      <c r="M148" s="62"/>
      <c r="N148" s="11"/>
      <c r="O148" s="66"/>
      <c r="P148" s="62"/>
      <c r="Q148" s="62"/>
      <c r="R148" s="62"/>
      <c r="S148" s="62"/>
      <c r="T148" s="62"/>
      <c r="U148" s="67"/>
    </row>
    <row r="149" s="58" customFormat="1" customHeight="1" spans="1:21">
      <c r="A149" s="61"/>
      <c r="B149" s="62"/>
      <c r="C149" s="79"/>
      <c r="D149" s="61"/>
      <c r="E149" s="64"/>
      <c r="F149" s="64"/>
      <c r="G149" s="62"/>
      <c r="H149" s="62"/>
      <c r="I149" s="62"/>
      <c r="J149" s="62"/>
      <c r="K149" s="65"/>
      <c r="L149" s="65"/>
      <c r="M149" s="62"/>
      <c r="N149" s="11"/>
      <c r="O149" s="66"/>
      <c r="P149" s="62"/>
      <c r="Q149" s="62"/>
      <c r="R149" s="62"/>
      <c r="S149" s="62"/>
      <c r="T149" s="62"/>
      <c r="U149" s="67"/>
    </row>
    <row r="150" s="58" customFormat="1" customHeight="1" spans="1:21">
      <c r="A150" s="61"/>
      <c r="B150" s="62"/>
      <c r="C150" s="79"/>
      <c r="D150" s="61"/>
      <c r="E150" s="64"/>
      <c r="F150" s="64"/>
      <c r="G150" s="62"/>
      <c r="H150" s="62"/>
      <c r="I150" s="62"/>
      <c r="J150" s="62"/>
      <c r="K150" s="65"/>
      <c r="L150" s="65"/>
      <c r="M150" s="62"/>
      <c r="N150" s="11"/>
      <c r="O150" s="66"/>
      <c r="P150" s="62"/>
      <c r="Q150" s="62"/>
      <c r="R150" s="62"/>
      <c r="S150" s="62"/>
      <c r="T150" s="62"/>
      <c r="U150" s="67"/>
    </row>
    <row r="151" s="58" customFormat="1" customHeight="1" spans="1:21">
      <c r="A151" s="61"/>
      <c r="B151" s="62"/>
      <c r="C151" s="79"/>
      <c r="D151" s="61"/>
      <c r="E151" s="64"/>
      <c r="F151" s="64"/>
      <c r="G151" s="62"/>
      <c r="H151" s="62"/>
      <c r="I151" s="62"/>
      <c r="J151" s="62"/>
      <c r="K151" s="65"/>
      <c r="L151" s="65"/>
      <c r="M151" s="62"/>
      <c r="N151" s="11"/>
      <c r="O151" s="66"/>
      <c r="P151" s="62"/>
      <c r="Q151" s="62"/>
      <c r="R151" s="62"/>
      <c r="S151" s="62"/>
      <c r="T151" s="62"/>
      <c r="U151" s="67"/>
    </row>
    <row r="152" s="58" customFormat="1" customHeight="1" spans="1:21">
      <c r="A152" s="61"/>
      <c r="B152" s="62"/>
      <c r="C152" s="79"/>
      <c r="D152" s="61"/>
      <c r="E152" s="64"/>
      <c r="F152" s="64"/>
      <c r="G152" s="62"/>
      <c r="H152" s="62"/>
      <c r="I152" s="62"/>
      <c r="J152" s="62"/>
      <c r="K152" s="65"/>
      <c r="L152" s="65"/>
      <c r="M152" s="62"/>
      <c r="N152" s="11"/>
      <c r="O152" s="66"/>
      <c r="P152" s="62"/>
      <c r="Q152" s="62"/>
      <c r="R152" s="62"/>
      <c r="S152" s="62"/>
      <c r="T152" s="62"/>
      <c r="U152" s="67"/>
    </row>
    <row r="153" s="58" customFormat="1" customHeight="1" spans="1:21">
      <c r="A153" s="61"/>
      <c r="B153" s="62"/>
      <c r="C153" s="79"/>
      <c r="D153" s="61"/>
      <c r="E153" s="64"/>
      <c r="F153" s="64"/>
      <c r="G153" s="62"/>
      <c r="H153" s="62"/>
      <c r="I153" s="62"/>
      <c r="J153" s="62"/>
      <c r="K153" s="65"/>
      <c r="L153" s="65"/>
      <c r="M153" s="62"/>
      <c r="N153" s="11"/>
      <c r="O153" s="66"/>
      <c r="P153" s="62"/>
      <c r="Q153" s="62"/>
      <c r="R153" s="62"/>
      <c r="S153" s="62"/>
      <c r="T153" s="62"/>
      <c r="U153" s="67"/>
    </row>
    <row r="154" s="58" customFormat="1" customHeight="1" spans="1:21">
      <c r="A154" s="61"/>
      <c r="B154" s="62"/>
      <c r="C154" s="79"/>
      <c r="D154" s="61"/>
      <c r="E154" s="64"/>
      <c r="F154" s="64"/>
      <c r="G154" s="62"/>
      <c r="H154" s="62"/>
      <c r="I154" s="62"/>
      <c r="J154" s="62"/>
      <c r="K154" s="65"/>
      <c r="L154" s="65"/>
      <c r="M154" s="62"/>
      <c r="N154" s="11"/>
      <c r="O154" s="66"/>
      <c r="P154" s="62"/>
      <c r="Q154" s="62"/>
      <c r="R154" s="62"/>
      <c r="S154" s="62"/>
      <c r="T154" s="62"/>
      <c r="U154" s="67"/>
    </row>
    <row r="155" s="58" customFormat="1" customHeight="1" spans="1:21">
      <c r="A155" s="61"/>
      <c r="B155" s="62"/>
      <c r="C155" s="79"/>
      <c r="D155" s="61"/>
      <c r="E155" s="64"/>
      <c r="F155" s="64"/>
      <c r="G155" s="62"/>
      <c r="H155" s="62"/>
      <c r="I155" s="62"/>
      <c r="J155" s="62"/>
      <c r="K155" s="65"/>
      <c r="L155" s="65"/>
      <c r="M155" s="62"/>
      <c r="N155" s="11"/>
      <c r="O155" s="66"/>
      <c r="P155" s="62"/>
      <c r="Q155" s="62"/>
      <c r="R155" s="62"/>
      <c r="S155" s="62"/>
      <c r="T155" s="62"/>
      <c r="U155" s="67"/>
    </row>
    <row r="156" s="58" customFormat="1" customHeight="1" spans="1:21">
      <c r="A156" s="61"/>
      <c r="B156" s="62"/>
      <c r="C156" s="79"/>
      <c r="D156" s="61"/>
      <c r="E156" s="64"/>
      <c r="F156" s="64"/>
      <c r="G156" s="62"/>
      <c r="H156" s="62"/>
      <c r="I156" s="62"/>
      <c r="J156" s="62"/>
      <c r="K156" s="65"/>
      <c r="L156" s="65"/>
      <c r="M156" s="62"/>
      <c r="N156" s="11"/>
      <c r="O156" s="66"/>
      <c r="P156" s="62"/>
      <c r="Q156" s="62"/>
      <c r="R156" s="62"/>
      <c r="S156" s="62"/>
      <c r="T156" s="62"/>
      <c r="U156" s="67"/>
    </row>
    <row r="157" s="58" customFormat="1" customHeight="1" spans="1:21">
      <c r="A157" s="61"/>
      <c r="B157" s="62"/>
      <c r="C157" s="79"/>
      <c r="D157" s="61"/>
      <c r="E157" s="64"/>
      <c r="F157" s="64"/>
      <c r="G157" s="62"/>
      <c r="H157" s="62"/>
      <c r="I157" s="62"/>
      <c r="J157" s="62"/>
      <c r="K157" s="65"/>
      <c r="L157" s="65"/>
      <c r="M157" s="62"/>
      <c r="N157" s="11"/>
      <c r="O157" s="66"/>
      <c r="P157" s="62"/>
      <c r="Q157" s="62"/>
      <c r="R157" s="62"/>
      <c r="S157" s="62"/>
      <c r="T157" s="62"/>
      <c r="U157" s="67"/>
    </row>
    <row r="158" s="58" customFormat="1" customHeight="1" spans="1:21">
      <c r="A158" s="61"/>
      <c r="B158" s="62"/>
      <c r="C158" s="79"/>
      <c r="D158" s="61"/>
      <c r="E158" s="64"/>
      <c r="F158" s="64"/>
      <c r="G158" s="62"/>
      <c r="H158" s="62"/>
      <c r="I158" s="62"/>
      <c r="J158" s="62"/>
      <c r="K158" s="65"/>
      <c r="L158" s="65"/>
      <c r="M158" s="62"/>
      <c r="N158" s="11"/>
      <c r="O158" s="66"/>
      <c r="P158" s="62"/>
      <c r="Q158" s="62"/>
      <c r="R158" s="62"/>
      <c r="S158" s="62"/>
      <c r="T158" s="62"/>
      <c r="U158" s="67"/>
    </row>
    <row r="159" s="58" customFormat="1" customHeight="1" spans="1:21">
      <c r="A159" s="61"/>
      <c r="B159" s="62"/>
      <c r="C159" s="79"/>
      <c r="D159" s="61"/>
      <c r="E159" s="64"/>
      <c r="F159" s="64"/>
      <c r="G159" s="62"/>
      <c r="H159" s="62"/>
      <c r="I159" s="62"/>
      <c r="J159" s="62"/>
      <c r="K159" s="65"/>
      <c r="L159" s="65"/>
      <c r="M159" s="62"/>
      <c r="N159" s="11"/>
      <c r="O159" s="66"/>
      <c r="P159" s="62"/>
      <c r="Q159" s="62"/>
      <c r="R159" s="62"/>
      <c r="S159" s="62"/>
      <c r="T159" s="62"/>
      <c r="U159" s="67"/>
    </row>
    <row r="160" s="58" customFormat="1" customHeight="1" spans="1:21">
      <c r="A160" s="61"/>
      <c r="B160" s="62"/>
      <c r="C160" s="79"/>
      <c r="D160" s="61"/>
      <c r="E160" s="64"/>
      <c r="F160" s="64"/>
      <c r="G160" s="62"/>
      <c r="H160" s="62"/>
      <c r="I160" s="62"/>
      <c r="J160" s="62"/>
      <c r="K160" s="65"/>
      <c r="L160" s="65"/>
      <c r="M160" s="62"/>
      <c r="N160" s="11"/>
      <c r="O160" s="66"/>
      <c r="P160" s="62"/>
      <c r="Q160" s="62"/>
      <c r="R160" s="62"/>
      <c r="S160" s="62"/>
      <c r="T160" s="62"/>
      <c r="U160" s="67"/>
    </row>
    <row r="161" s="58" customFormat="1" customHeight="1" spans="1:21">
      <c r="A161" s="61"/>
      <c r="B161" s="62"/>
      <c r="C161" s="79"/>
      <c r="D161" s="61"/>
      <c r="E161" s="64"/>
      <c r="F161" s="64"/>
      <c r="G161" s="62"/>
      <c r="H161" s="62"/>
      <c r="I161" s="62"/>
      <c r="J161" s="62"/>
      <c r="K161" s="65"/>
      <c r="L161" s="65"/>
      <c r="M161" s="62"/>
      <c r="N161" s="11"/>
      <c r="O161" s="66"/>
      <c r="P161" s="62"/>
      <c r="Q161" s="62"/>
      <c r="R161" s="62"/>
      <c r="S161" s="62"/>
      <c r="T161" s="62"/>
      <c r="U161" s="67"/>
    </row>
    <row r="162" s="58" customFormat="1" customHeight="1" spans="1:21">
      <c r="A162" s="61"/>
      <c r="B162" s="62"/>
      <c r="C162" s="79"/>
      <c r="D162" s="61"/>
      <c r="E162" s="64"/>
      <c r="F162" s="64"/>
      <c r="G162" s="62"/>
      <c r="H162" s="62"/>
      <c r="I162" s="62"/>
      <c r="J162" s="62"/>
      <c r="K162" s="65"/>
      <c r="L162" s="65"/>
      <c r="M162" s="62"/>
      <c r="N162" s="11"/>
      <c r="O162" s="66"/>
      <c r="P162" s="62"/>
      <c r="Q162" s="62"/>
      <c r="R162" s="62"/>
      <c r="S162" s="62"/>
      <c r="T162" s="62"/>
      <c r="U162" s="67"/>
    </row>
    <row r="163" s="58" customFormat="1" customHeight="1" spans="1:21">
      <c r="A163" s="61"/>
      <c r="B163" s="62"/>
      <c r="C163" s="79"/>
      <c r="D163" s="61"/>
      <c r="E163" s="64"/>
      <c r="F163" s="64"/>
      <c r="G163" s="62"/>
      <c r="H163" s="62"/>
      <c r="I163" s="62"/>
      <c r="J163" s="62"/>
      <c r="K163" s="65"/>
      <c r="L163" s="65"/>
      <c r="M163" s="62"/>
      <c r="N163" s="11"/>
      <c r="O163" s="66"/>
      <c r="P163" s="62"/>
      <c r="Q163" s="62"/>
      <c r="R163" s="62"/>
      <c r="S163" s="94"/>
      <c r="T163" s="62"/>
      <c r="U163" s="67"/>
    </row>
    <row r="164" s="58" customFormat="1" customHeight="1" spans="1:21">
      <c r="A164" s="61"/>
      <c r="B164" s="62"/>
      <c r="C164" s="79"/>
      <c r="D164" s="61"/>
      <c r="E164" s="64"/>
      <c r="F164" s="64"/>
      <c r="G164" s="62"/>
      <c r="H164" s="62"/>
      <c r="I164" s="62"/>
      <c r="J164" s="62"/>
      <c r="K164" s="65"/>
      <c r="L164" s="65"/>
      <c r="M164" s="62"/>
      <c r="N164" s="11"/>
      <c r="O164" s="66"/>
      <c r="P164" s="62"/>
      <c r="Q164" s="62"/>
      <c r="R164" s="62"/>
      <c r="S164" s="92"/>
      <c r="T164" s="62"/>
      <c r="U164" s="67"/>
    </row>
    <row r="165" s="58" customFormat="1" customHeight="1" spans="1:21">
      <c r="A165" s="61"/>
      <c r="B165" s="62"/>
      <c r="C165" s="79"/>
      <c r="D165" s="61"/>
      <c r="E165" s="64"/>
      <c r="F165" s="64"/>
      <c r="G165" s="62"/>
      <c r="H165" s="62"/>
      <c r="I165" s="62"/>
      <c r="J165" s="62"/>
      <c r="K165" s="65"/>
      <c r="L165" s="65"/>
      <c r="M165" s="62"/>
      <c r="N165" s="11"/>
      <c r="O165" s="66"/>
      <c r="P165" s="62"/>
      <c r="Q165" s="62"/>
      <c r="R165" s="62"/>
      <c r="S165" s="62"/>
      <c r="T165" s="62"/>
      <c r="U165" s="67"/>
    </row>
    <row r="166" s="58" customFormat="1" customHeight="1" spans="1:21">
      <c r="A166" s="61"/>
      <c r="B166" s="62"/>
      <c r="C166" s="79"/>
      <c r="D166" s="61"/>
      <c r="E166" s="64"/>
      <c r="F166" s="64"/>
      <c r="G166" s="62"/>
      <c r="H166" s="62"/>
      <c r="I166" s="62"/>
      <c r="J166" s="62"/>
      <c r="K166" s="65"/>
      <c r="L166" s="65"/>
      <c r="M166" s="62"/>
      <c r="N166" s="11"/>
      <c r="O166" s="66"/>
      <c r="P166" s="62"/>
      <c r="Q166" s="62"/>
      <c r="R166" s="62"/>
      <c r="S166" s="62"/>
      <c r="T166" s="62"/>
      <c r="U166" s="67"/>
    </row>
    <row r="167" s="58" customFormat="1" customHeight="1" spans="1:21">
      <c r="A167" s="61"/>
      <c r="B167" s="62"/>
      <c r="C167" s="79"/>
      <c r="D167" s="61"/>
      <c r="E167" s="64"/>
      <c r="F167" s="64"/>
      <c r="G167" s="62"/>
      <c r="H167" s="62"/>
      <c r="I167" s="62"/>
      <c r="J167" s="62"/>
      <c r="K167" s="65"/>
      <c r="L167" s="65"/>
      <c r="M167" s="62"/>
      <c r="N167" s="11"/>
      <c r="O167" s="66"/>
      <c r="P167" s="62"/>
      <c r="Q167" s="62"/>
      <c r="R167" s="62"/>
      <c r="S167" s="62"/>
      <c r="T167" s="62"/>
      <c r="U167" s="67"/>
    </row>
    <row r="168" s="58" customFormat="1" customHeight="1" spans="1:21">
      <c r="A168" s="61"/>
      <c r="B168" s="62"/>
      <c r="C168" s="79"/>
      <c r="D168" s="61"/>
      <c r="E168" s="64"/>
      <c r="F168" s="64"/>
      <c r="G168" s="62"/>
      <c r="H168" s="62"/>
      <c r="I168" s="62"/>
      <c r="J168" s="62"/>
      <c r="K168" s="65"/>
      <c r="L168" s="65"/>
      <c r="M168" s="62"/>
      <c r="N168" s="11"/>
      <c r="O168" s="66"/>
      <c r="P168" s="62"/>
      <c r="Q168" s="62"/>
      <c r="R168" s="62"/>
      <c r="S168" s="62"/>
      <c r="T168" s="62"/>
      <c r="U168" s="67"/>
    </row>
    <row r="169" s="58" customFormat="1" customHeight="1" spans="1:21">
      <c r="A169" s="61"/>
      <c r="B169" s="62"/>
      <c r="C169" s="79"/>
      <c r="D169" s="61"/>
      <c r="E169" s="64"/>
      <c r="F169" s="64"/>
      <c r="G169" s="62"/>
      <c r="H169" s="62"/>
      <c r="I169" s="105"/>
      <c r="J169" s="62"/>
      <c r="K169" s="65"/>
      <c r="L169" s="65"/>
      <c r="M169" s="62"/>
      <c r="N169" s="11"/>
      <c r="O169" s="66"/>
      <c r="P169" s="62"/>
      <c r="Q169" s="62"/>
      <c r="R169" s="62"/>
      <c r="S169" s="62"/>
      <c r="T169" s="62"/>
      <c r="U169" s="67"/>
    </row>
    <row r="170" s="58" customFormat="1" customHeight="1" spans="1:21">
      <c r="A170" s="61"/>
      <c r="B170" s="62"/>
      <c r="C170" s="79"/>
      <c r="D170" s="61"/>
      <c r="E170" s="64"/>
      <c r="F170" s="64"/>
      <c r="G170" s="62"/>
      <c r="H170" s="62"/>
      <c r="I170" s="62"/>
      <c r="J170" s="62"/>
      <c r="K170" s="65"/>
      <c r="L170" s="65"/>
      <c r="M170" s="62"/>
      <c r="N170" s="11"/>
      <c r="O170" s="66"/>
      <c r="P170" s="62"/>
      <c r="Q170" s="62"/>
      <c r="R170" s="62"/>
      <c r="S170" s="62"/>
      <c r="T170" s="62"/>
      <c r="U170" s="67"/>
    </row>
    <row r="171" s="58" customFormat="1" customHeight="1" spans="1:21">
      <c r="A171" s="61"/>
      <c r="B171" s="62"/>
      <c r="C171" s="79"/>
      <c r="D171" s="61"/>
      <c r="E171" s="64"/>
      <c r="F171" s="64"/>
      <c r="G171" s="62"/>
      <c r="H171" s="62"/>
      <c r="I171" s="62"/>
      <c r="J171" s="62"/>
      <c r="K171" s="65"/>
      <c r="L171" s="65"/>
      <c r="M171" s="62"/>
      <c r="N171" s="11"/>
      <c r="O171" s="66"/>
      <c r="P171" s="62"/>
      <c r="Q171" s="62"/>
      <c r="R171" s="62"/>
      <c r="S171" s="62"/>
      <c r="T171" s="62"/>
      <c r="U171" s="67"/>
    </row>
    <row r="172" s="58" customFormat="1" customHeight="1" spans="1:21">
      <c r="A172" s="61"/>
      <c r="B172" s="62"/>
      <c r="C172" s="79"/>
      <c r="D172" s="61"/>
      <c r="E172" s="64"/>
      <c r="F172" s="64"/>
      <c r="G172" s="62"/>
      <c r="H172" s="62"/>
      <c r="I172" s="62"/>
      <c r="J172" s="62"/>
      <c r="K172" s="65"/>
      <c r="L172" s="65"/>
      <c r="M172" s="62"/>
      <c r="N172" s="11"/>
      <c r="O172" s="66"/>
      <c r="P172" s="62"/>
      <c r="Q172" s="62"/>
      <c r="R172" s="62"/>
      <c r="S172" s="62"/>
      <c r="T172" s="62"/>
      <c r="U172" s="67"/>
    </row>
    <row r="173" s="58" customFormat="1" customHeight="1" spans="1:21">
      <c r="A173" s="61"/>
      <c r="B173" s="62"/>
      <c r="C173" s="79"/>
      <c r="D173" s="61"/>
      <c r="E173" s="64"/>
      <c r="F173" s="64"/>
      <c r="G173" s="62"/>
      <c r="H173" s="62"/>
      <c r="I173" s="62"/>
      <c r="J173" s="62"/>
      <c r="K173" s="65"/>
      <c r="L173" s="65"/>
      <c r="M173" s="62"/>
      <c r="N173" s="11"/>
      <c r="O173" s="66"/>
      <c r="P173" s="62"/>
      <c r="Q173" s="62"/>
      <c r="R173" s="62"/>
      <c r="S173" s="62"/>
      <c r="T173" s="62"/>
      <c r="U173" s="67"/>
    </row>
    <row r="174" s="58" customFormat="1" customHeight="1" spans="1:21">
      <c r="A174" s="61"/>
      <c r="B174" s="62"/>
      <c r="C174" s="79"/>
      <c r="D174" s="61"/>
      <c r="E174" s="64"/>
      <c r="F174" s="64"/>
      <c r="G174" s="62"/>
      <c r="H174" s="62"/>
      <c r="I174" s="62"/>
      <c r="J174" s="62"/>
      <c r="K174" s="65"/>
      <c r="L174" s="65"/>
      <c r="M174" s="62"/>
      <c r="N174" s="11"/>
      <c r="O174" s="66"/>
      <c r="P174" s="62"/>
      <c r="Q174" s="62"/>
      <c r="R174" s="62"/>
      <c r="S174" s="62"/>
      <c r="T174" s="62"/>
      <c r="U174" s="67"/>
    </row>
    <row r="175" s="58" customFormat="1" customHeight="1" spans="1:21">
      <c r="A175" s="61"/>
      <c r="B175" s="62"/>
      <c r="C175" s="79"/>
      <c r="D175" s="61"/>
      <c r="E175" s="64"/>
      <c r="F175" s="64"/>
      <c r="G175" s="62"/>
      <c r="H175" s="62"/>
      <c r="I175" s="62"/>
      <c r="J175" s="62"/>
      <c r="K175" s="65"/>
      <c r="L175" s="65"/>
      <c r="M175" s="62"/>
      <c r="N175" s="11"/>
      <c r="O175" s="66"/>
      <c r="P175" s="62"/>
      <c r="Q175" s="62"/>
      <c r="R175" s="62"/>
      <c r="S175" s="62"/>
      <c r="T175" s="62"/>
      <c r="U175" s="67"/>
    </row>
    <row r="176" s="58" customFormat="1" customHeight="1" spans="1:21">
      <c r="A176" s="61"/>
      <c r="B176" s="62"/>
      <c r="C176" s="79"/>
      <c r="D176" s="61"/>
      <c r="E176" s="64"/>
      <c r="F176" s="64"/>
      <c r="G176" s="62"/>
      <c r="H176" s="62"/>
      <c r="I176" s="62"/>
      <c r="J176" s="62"/>
      <c r="K176" s="65"/>
      <c r="L176" s="65"/>
      <c r="M176" s="62"/>
      <c r="N176" s="11"/>
      <c r="O176" s="66"/>
      <c r="P176" s="62"/>
      <c r="Q176" s="62"/>
      <c r="R176" s="62"/>
      <c r="S176" s="62"/>
      <c r="T176" s="62"/>
      <c r="U176" s="67"/>
    </row>
    <row r="177" s="58" customFormat="1" customHeight="1" spans="1:21">
      <c r="A177" s="61"/>
      <c r="B177" s="62"/>
      <c r="C177" s="79"/>
      <c r="D177" s="61"/>
      <c r="E177" s="64"/>
      <c r="F177" s="64"/>
      <c r="G177" s="62"/>
      <c r="H177" s="62"/>
      <c r="I177" s="62"/>
      <c r="J177" s="62"/>
      <c r="K177" s="65"/>
      <c r="L177" s="65"/>
      <c r="M177" s="62"/>
      <c r="N177" s="11"/>
      <c r="O177" s="66"/>
      <c r="P177" s="62"/>
      <c r="Q177" s="62"/>
      <c r="R177" s="62"/>
      <c r="S177" s="62"/>
      <c r="T177" s="62"/>
      <c r="U177" s="67"/>
    </row>
    <row r="178" s="58" customFormat="1" customHeight="1" spans="1:21">
      <c r="A178" s="61"/>
      <c r="B178" s="62"/>
      <c r="C178" s="79"/>
      <c r="D178" s="61"/>
      <c r="E178" s="64"/>
      <c r="F178" s="64"/>
      <c r="G178" s="62"/>
      <c r="H178" s="62"/>
      <c r="I178" s="62"/>
      <c r="J178" s="62"/>
      <c r="K178" s="65"/>
      <c r="L178" s="65"/>
      <c r="M178" s="62"/>
      <c r="N178" s="11"/>
      <c r="O178" s="66"/>
      <c r="P178" s="62"/>
      <c r="Q178" s="62"/>
      <c r="R178" s="62"/>
      <c r="S178" s="62"/>
      <c r="T178" s="62"/>
      <c r="U178" s="67"/>
    </row>
    <row r="179" s="58" customFormat="1" customHeight="1" spans="1:21">
      <c r="A179" s="61"/>
      <c r="B179" s="62"/>
      <c r="C179" s="79"/>
      <c r="D179" s="61"/>
      <c r="E179" s="64"/>
      <c r="F179" s="64"/>
      <c r="G179" s="62"/>
      <c r="H179" s="62"/>
      <c r="I179" s="62"/>
      <c r="J179" s="62"/>
      <c r="K179" s="65"/>
      <c r="L179" s="65"/>
      <c r="M179" s="62"/>
      <c r="N179" s="11"/>
      <c r="O179" s="66"/>
      <c r="P179" s="62"/>
      <c r="Q179" s="62"/>
      <c r="R179" s="62"/>
      <c r="S179" s="62"/>
      <c r="T179" s="62"/>
      <c r="U179" s="67"/>
    </row>
    <row r="180" s="58" customFormat="1" customHeight="1" spans="1:21">
      <c r="A180" s="61"/>
      <c r="B180" s="62"/>
      <c r="C180" s="79"/>
      <c r="D180" s="61"/>
      <c r="E180" s="64"/>
      <c r="F180" s="64"/>
      <c r="G180" s="62"/>
      <c r="H180" s="62"/>
      <c r="I180" s="62"/>
      <c r="J180" s="62"/>
      <c r="K180" s="65"/>
      <c r="L180" s="65"/>
      <c r="M180" s="62"/>
      <c r="N180" s="11"/>
      <c r="O180" s="66"/>
      <c r="P180" s="62"/>
      <c r="Q180" s="62"/>
      <c r="R180" s="62"/>
      <c r="S180" s="62"/>
      <c r="T180" s="62"/>
      <c r="U180" s="67"/>
    </row>
    <row r="181" s="58" customFormat="1" customHeight="1" spans="1:21">
      <c r="A181" s="61"/>
      <c r="B181" s="62"/>
      <c r="C181" s="79"/>
      <c r="D181" s="61"/>
      <c r="E181" s="64"/>
      <c r="F181" s="64"/>
      <c r="G181" s="62"/>
      <c r="H181" s="62"/>
      <c r="I181" s="62"/>
      <c r="J181" s="62"/>
      <c r="K181" s="65"/>
      <c r="L181" s="65"/>
      <c r="M181" s="62"/>
      <c r="N181" s="11"/>
      <c r="O181" s="66"/>
      <c r="P181" s="62"/>
      <c r="Q181" s="62"/>
      <c r="R181" s="62"/>
      <c r="S181" s="62"/>
      <c r="T181" s="62"/>
      <c r="U181" s="67"/>
    </row>
    <row r="182" s="58" customFormat="1" customHeight="1" spans="1:21">
      <c r="A182" s="61"/>
      <c r="B182" s="62"/>
      <c r="C182" s="79"/>
      <c r="D182" s="61"/>
      <c r="E182" s="64"/>
      <c r="F182" s="64"/>
      <c r="G182" s="62"/>
      <c r="H182" s="62"/>
      <c r="I182" s="62"/>
      <c r="J182" s="62"/>
      <c r="K182" s="106"/>
      <c r="L182" s="65"/>
      <c r="M182" s="62"/>
      <c r="N182" s="11"/>
      <c r="O182" s="66"/>
      <c r="P182" s="62"/>
      <c r="Q182" s="62"/>
      <c r="R182" s="62"/>
      <c r="S182" s="62"/>
      <c r="T182" s="62"/>
      <c r="U182" s="67"/>
    </row>
    <row r="183" s="58" customFormat="1" customHeight="1" spans="1:21">
      <c r="A183" s="61"/>
      <c r="B183" s="62"/>
      <c r="C183" s="79"/>
      <c r="D183" s="61"/>
      <c r="E183" s="64"/>
      <c r="F183" s="64"/>
      <c r="G183" s="62"/>
      <c r="H183" s="62"/>
      <c r="I183" s="62"/>
      <c r="J183" s="62"/>
      <c r="K183" s="106"/>
      <c r="L183" s="65"/>
      <c r="M183" s="62"/>
      <c r="N183" s="11"/>
      <c r="O183" s="66"/>
      <c r="P183" s="62"/>
      <c r="Q183" s="62"/>
      <c r="R183" s="62"/>
      <c r="S183" s="62"/>
      <c r="T183" s="62"/>
      <c r="U183" s="67"/>
    </row>
    <row r="184" s="58" customFormat="1" customHeight="1" spans="1:21">
      <c r="A184" s="61"/>
      <c r="B184" s="62"/>
      <c r="C184" s="79"/>
      <c r="D184" s="61"/>
      <c r="E184" s="64"/>
      <c r="F184" s="64"/>
      <c r="G184" s="62"/>
      <c r="H184" s="62"/>
      <c r="I184" s="62"/>
      <c r="J184" s="62"/>
      <c r="K184" s="106"/>
      <c r="L184" s="65"/>
      <c r="M184" s="62"/>
      <c r="N184" s="11"/>
      <c r="O184" s="66"/>
      <c r="P184" s="62"/>
      <c r="Q184" s="62"/>
      <c r="R184" s="62"/>
      <c r="S184" s="62"/>
      <c r="T184" s="62"/>
      <c r="U184" s="67"/>
    </row>
    <row r="185" s="58" customFormat="1" customHeight="1" spans="1:21">
      <c r="A185" s="61"/>
      <c r="B185" s="62"/>
      <c r="C185" s="79"/>
      <c r="D185" s="61"/>
      <c r="E185" s="64"/>
      <c r="F185" s="64"/>
      <c r="G185" s="62"/>
      <c r="H185" s="62"/>
      <c r="I185" s="62"/>
      <c r="J185" s="62"/>
      <c r="K185" s="106"/>
      <c r="L185" s="65"/>
      <c r="M185" s="62"/>
      <c r="N185" s="11"/>
      <c r="O185" s="66"/>
      <c r="P185" s="62"/>
      <c r="Q185" s="62"/>
      <c r="R185" s="62"/>
      <c r="S185" s="62"/>
      <c r="T185" s="62"/>
      <c r="U185" s="67"/>
    </row>
    <row r="186" s="58" customFormat="1" customHeight="1" spans="1:21">
      <c r="A186" s="61"/>
      <c r="B186" s="62"/>
      <c r="C186" s="79"/>
      <c r="D186" s="61"/>
      <c r="E186" s="64"/>
      <c r="F186" s="64"/>
      <c r="G186" s="62"/>
      <c r="H186" s="62"/>
      <c r="I186" s="62"/>
      <c r="J186" s="62"/>
      <c r="K186" s="106"/>
      <c r="L186" s="65"/>
      <c r="M186" s="62"/>
      <c r="N186" s="11"/>
      <c r="O186" s="66"/>
      <c r="P186" s="62"/>
      <c r="Q186" s="62"/>
      <c r="R186" s="62"/>
      <c r="S186" s="105"/>
      <c r="T186" s="62"/>
      <c r="U186" s="67"/>
    </row>
    <row r="187" s="58" customFormat="1" customHeight="1" spans="1:21">
      <c r="A187" s="61"/>
      <c r="B187" s="62"/>
      <c r="C187" s="79"/>
      <c r="D187" s="61"/>
      <c r="E187" s="64"/>
      <c r="F187" s="64"/>
      <c r="G187" s="62"/>
      <c r="H187" s="62"/>
      <c r="I187" s="62"/>
      <c r="J187" s="62"/>
      <c r="K187" s="106"/>
      <c r="L187" s="65"/>
      <c r="M187" s="62"/>
      <c r="N187" s="11"/>
      <c r="O187" s="66"/>
      <c r="P187" s="62"/>
      <c r="Q187" s="62"/>
      <c r="R187" s="62"/>
      <c r="S187" s="62"/>
      <c r="T187" s="62"/>
      <c r="U187" s="67"/>
    </row>
    <row r="188" s="58" customFormat="1" customHeight="1" spans="1:21">
      <c r="A188" s="61"/>
      <c r="B188" s="62"/>
      <c r="C188" s="79"/>
      <c r="D188" s="61"/>
      <c r="E188" s="64"/>
      <c r="F188" s="64"/>
      <c r="G188" s="62"/>
      <c r="H188" s="62"/>
      <c r="I188" s="62"/>
      <c r="J188" s="62"/>
      <c r="K188" s="65"/>
      <c r="L188" s="65"/>
      <c r="M188" s="62"/>
      <c r="N188" s="11"/>
      <c r="O188" s="66"/>
      <c r="P188" s="62"/>
      <c r="Q188" s="62"/>
      <c r="R188" s="62"/>
      <c r="S188" s="62"/>
      <c r="T188" s="62"/>
      <c r="U188" s="67"/>
    </row>
    <row r="189" s="58" customFormat="1" customHeight="1" spans="1:21">
      <c r="A189" s="61"/>
      <c r="B189" s="62"/>
      <c r="C189" s="79"/>
      <c r="D189" s="61"/>
      <c r="E189" s="64"/>
      <c r="F189" s="64"/>
      <c r="G189" s="62"/>
      <c r="H189" s="62"/>
      <c r="I189" s="62"/>
      <c r="J189" s="62"/>
      <c r="K189" s="65"/>
      <c r="L189" s="65"/>
      <c r="M189" s="62"/>
      <c r="N189" s="11"/>
      <c r="O189" s="66"/>
      <c r="P189" s="62"/>
      <c r="Q189" s="62"/>
      <c r="R189" s="62"/>
      <c r="S189" s="62"/>
      <c r="T189" s="62"/>
      <c r="U189" s="67"/>
    </row>
    <row r="190" s="58" customFormat="1" customHeight="1" spans="1:21">
      <c r="A190" s="61"/>
      <c r="B190" s="62"/>
      <c r="C190" s="79"/>
      <c r="D190" s="61"/>
      <c r="E190" s="64"/>
      <c r="F190" s="64"/>
      <c r="G190" s="62"/>
      <c r="H190" s="62"/>
      <c r="I190" s="62"/>
      <c r="J190" s="62"/>
      <c r="K190" s="65"/>
      <c r="L190" s="65"/>
      <c r="M190" s="62"/>
      <c r="N190" s="11"/>
      <c r="O190" s="66"/>
      <c r="P190" s="62"/>
      <c r="Q190" s="62"/>
      <c r="R190" s="62"/>
      <c r="S190" s="62"/>
      <c r="T190" s="62"/>
      <c r="U190" s="67"/>
    </row>
    <row r="191" s="58" customFormat="1" customHeight="1" spans="1:21">
      <c r="A191" s="61"/>
      <c r="B191" s="62"/>
      <c r="C191" s="79"/>
      <c r="D191" s="61"/>
      <c r="E191" s="64"/>
      <c r="F191" s="64"/>
      <c r="G191" s="62"/>
      <c r="H191" s="62"/>
      <c r="I191" s="62"/>
      <c r="J191" s="62"/>
      <c r="K191" s="65"/>
      <c r="L191" s="65"/>
      <c r="M191" s="62"/>
      <c r="N191" s="11"/>
      <c r="O191" s="66"/>
      <c r="P191" s="62"/>
      <c r="Q191" s="62"/>
      <c r="R191" s="62"/>
      <c r="S191" s="62"/>
      <c r="T191" s="62"/>
      <c r="U191" s="67"/>
    </row>
    <row r="192" s="58" customFormat="1" customHeight="1" spans="1:21">
      <c r="A192" s="61"/>
      <c r="B192" s="62"/>
      <c r="C192" s="79"/>
      <c r="D192" s="61"/>
      <c r="E192" s="64"/>
      <c r="F192" s="64"/>
      <c r="G192" s="62"/>
      <c r="H192" s="62"/>
      <c r="I192" s="62"/>
      <c r="J192" s="62"/>
      <c r="K192" s="106"/>
      <c r="L192" s="65"/>
      <c r="M192" s="62"/>
      <c r="N192" s="11"/>
      <c r="O192" s="66"/>
      <c r="P192" s="62"/>
      <c r="Q192" s="62"/>
      <c r="R192" s="62"/>
      <c r="S192" s="62"/>
      <c r="T192" s="62"/>
      <c r="U192" s="67"/>
    </row>
    <row r="193" s="58" customFormat="1" customHeight="1" spans="1:21">
      <c r="A193" s="61"/>
      <c r="B193" s="62"/>
      <c r="C193" s="79"/>
      <c r="D193" s="61"/>
      <c r="E193" s="64"/>
      <c r="F193" s="64"/>
      <c r="G193" s="62"/>
      <c r="H193" s="62"/>
      <c r="I193" s="62"/>
      <c r="J193" s="62"/>
      <c r="K193" s="65"/>
      <c r="L193" s="65"/>
      <c r="M193" s="62"/>
      <c r="N193" s="11"/>
      <c r="O193" s="66"/>
      <c r="P193" s="62"/>
      <c r="Q193" s="62"/>
      <c r="R193" s="62"/>
      <c r="S193" s="62"/>
      <c r="T193" s="62"/>
      <c r="U193" s="67"/>
    </row>
    <row r="194" s="58" customFormat="1" customHeight="1" spans="1:21">
      <c r="A194" s="61"/>
      <c r="B194" s="62"/>
      <c r="C194" s="79"/>
      <c r="D194" s="61"/>
      <c r="E194" s="64"/>
      <c r="F194" s="64"/>
      <c r="G194" s="62"/>
      <c r="H194" s="62"/>
      <c r="I194" s="62"/>
      <c r="J194" s="62"/>
      <c r="K194" s="65"/>
      <c r="L194" s="65"/>
      <c r="M194" s="62"/>
      <c r="N194" s="11"/>
      <c r="O194" s="66"/>
      <c r="P194" s="62"/>
      <c r="Q194" s="62"/>
      <c r="R194" s="62"/>
      <c r="S194" s="62"/>
      <c r="T194" s="62"/>
      <c r="U194" s="67"/>
    </row>
    <row r="195" s="58" customFormat="1" customHeight="1" spans="1:21">
      <c r="A195" s="61"/>
      <c r="B195" s="62"/>
      <c r="C195" s="79"/>
      <c r="D195" s="61"/>
      <c r="E195" s="64"/>
      <c r="F195" s="64"/>
      <c r="G195" s="62"/>
      <c r="H195" s="62"/>
      <c r="I195" s="62"/>
      <c r="J195" s="62"/>
      <c r="K195" s="65"/>
      <c r="L195" s="65"/>
      <c r="M195" s="62"/>
      <c r="N195" s="11"/>
      <c r="O195" s="66"/>
      <c r="P195" s="62"/>
      <c r="Q195" s="62"/>
      <c r="R195" s="62"/>
      <c r="S195" s="62"/>
      <c r="T195" s="62"/>
      <c r="U195" s="67"/>
    </row>
    <row r="196" s="58" customFormat="1" customHeight="1" spans="1:21">
      <c r="A196" s="61"/>
      <c r="B196" s="62"/>
      <c r="C196" s="79"/>
      <c r="D196" s="61"/>
      <c r="E196" s="64"/>
      <c r="F196" s="64"/>
      <c r="G196" s="62"/>
      <c r="H196" s="62"/>
      <c r="I196" s="62"/>
      <c r="J196" s="62"/>
      <c r="K196" s="106"/>
      <c r="L196" s="65"/>
      <c r="M196" s="62"/>
      <c r="N196" s="11"/>
      <c r="O196" s="107"/>
      <c r="P196" s="62"/>
      <c r="Q196" s="62"/>
      <c r="R196" s="62"/>
      <c r="S196" s="62"/>
      <c r="T196" s="62"/>
      <c r="U196" s="67"/>
    </row>
    <row r="197" s="58" customFormat="1" customHeight="1" spans="1:21">
      <c r="A197" s="61"/>
      <c r="B197" s="62"/>
      <c r="C197" s="79"/>
      <c r="D197" s="61"/>
      <c r="E197" s="64"/>
      <c r="F197" s="64"/>
      <c r="G197" s="62"/>
      <c r="H197" s="62"/>
      <c r="I197" s="62"/>
      <c r="J197" s="62"/>
      <c r="K197" s="65"/>
      <c r="L197" s="65"/>
      <c r="M197" s="62"/>
      <c r="N197" s="11"/>
      <c r="O197" s="66"/>
      <c r="P197" s="62"/>
      <c r="Q197" s="62"/>
      <c r="R197" s="62"/>
      <c r="S197" s="62"/>
      <c r="T197" s="62"/>
      <c r="U197" s="67"/>
    </row>
    <row r="198" s="58" customFormat="1" customHeight="1" spans="1:21">
      <c r="A198" s="61"/>
      <c r="B198" s="62"/>
      <c r="C198" s="79"/>
      <c r="D198" s="61"/>
      <c r="E198" s="64"/>
      <c r="F198" s="64"/>
      <c r="G198" s="62"/>
      <c r="H198" s="62"/>
      <c r="I198" s="62"/>
      <c r="J198" s="62"/>
      <c r="K198" s="106"/>
      <c r="L198" s="65"/>
      <c r="M198" s="62"/>
      <c r="N198" s="11"/>
      <c r="O198" s="107"/>
      <c r="P198" s="62"/>
      <c r="Q198" s="62"/>
      <c r="R198" s="62"/>
      <c r="S198" s="62"/>
      <c r="T198" s="62"/>
      <c r="U198" s="67"/>
    </row>
    <row r="199" s="58" customFormat="1" customHeight="1" spans="1:21">
      <c r="A199" s="61"/>
      <c r="B199" s="62"/>
      <c r="C199" s="79"/>
      <c r="D199" s="61"/>
      <c r="E199" s="64"/>
      <c r="F199" s="64"/>
      <c r="G199" s="62"/>
      <c r="H199" s="62"/>
      <c r="I199" s="62"/>
      <c r="J199" s="62"/>
      <c r="K199" s="65"/>
      <c r="L199" s="65"/>
      <c r="M199" s="62"/>
      <c r="N199" s="11"/>
      <c r="O199" s="66"/>
      <c r="P199" s="62"/>
      <c r="Q199" s="62"/>
      <c r="R199" s="62"/>
      <c r="S199" s="62"/>
      <c r="T199" s="62"/>
      <c r="U199" s="67"/>
    </row>
    <row r="200" s="58" customFormat="1" customHeight="1" spans="1:21">
      <c r="A200" s="61"/>
      <c r="B200" s="62"/>
      <c r="C200" s="79"/>
      <c r="D200" s="61"/>
      <c r="E200" s="64"/>
      <c r="F200" s="64"/>
      <c r="G200" s="62"/>
      <c r="H200" s="62"/>
      <c r="I200" s="62"/>
      <c r="J200" s="62"/>
      <c r="K200" s="106"/>
      <c r="L200" s="65"/>
      <c r="M200" s="62"/>
      <c r="N200" s="11"/>
      <c r="O200" s="107"/>
      <c r="P200" s="62"/>
      <c r="Q200" s="62"/>
      <c r="R200" s="62"/>
      <c r="S200" s="62"/>
      <c r="T200" s="62"/>
      <c r="U200" s="67"/>
    </row>
    <row r="201" s="58" customFormat="1" customHeight="1" spans="1:21">
      <c r="A201" s="61"/>
      <c r="B201" s="62"/>
      <c r="C201" s="79"/>
      <c r="D201" s="61"/>
      <c r="E201" s="64"/>
      <c r="F201" s="64"/>
      <c r="G201" s="62"/>
      <c r="H201" s="62"/>
      <c r="I201" s="62"/>
      <c r="J201" s="62"/>
      <c r="K201" s="65"/>
      <c r="L201" s="65"/>
      <c r="M201" s="62"/>
      <c r="N201" s="11"/>
      <c r="O201" s="66"/>
      <c r="P201" s="62"/>
      <c r="Q201" s="62"/>
      <c r="R201" s="62"/>
      <c r="S201" s="62"/>
      <c r="T201" s="62"/>
      <c r="U201" s="67"/>
    </row>
    <row r="202" s="58" customFormat="1" customHeight="1" spans="1:21">
      <c r="A202" s="61"/>
      <c r="B202" s="62"/>
      <c r="C202" s="79"/>
      <c r="D202" s="61"/>
      <c r="E202" s="64"/>
      <c r="F202" s="64"/>
      <c r="G202" s="62"/>
      <c r="H202" s="62"/>
      <c r="I202" s="62"/>
      <c r="J202" s="62"/>
      <c r="K202" s="65"/>
      <c r="L202" s="65"/>
      <c r="M202" s="62"/>
      <c r="N202" s="11"/>
      <c r="O202" s="66"/>
      <c r="P202" s="62"/>
      <c r="Q202" s="62"/>
      <c r="R202" s="62"/>
      <c r="S202" s="62"/>
      <c r="T202" s="62"/>
      <c r="U202" s="67"/>
    </row>
    <row r="203" s="58" customFormat="1" customHeight="1" spans="1:21">
      <c r="A203" s="61"/>
      <c r="B203" s="62"/>
      <c r="C203" s="79"/>
      <c r="D203" s="61"/>
      <c r="E203" s="64"/>
      <c r="F203" s="64"/>
      <c r="G203" s="62"/>
      <c r="H203" s="62"/>
      <c r="I203" s="62"/>
      <c r="J203" s="62"/>
      <c r="K203" s="65"/>
      <c r="L203" s="65"/>
      <c r="M203" s="62"/>
      <c r="N203" s="11"/>
      <c r="O203" s="66"/>
      <c r="P203" s="62"/>
      <c r="Q203" s="62"/>
      <c r="R203" s="62"/>
      <c r="S203" s="62"/>
      <c r="T203" s="62"/>
      <c r="U203" s="67"/>
    </row>
    <row r="204" s="58" customFormat="1" customHeight="1" spans="1:21">
      <c r="A204" s="61"/>
      <c r="B204" s="62"/>
      <c r="C204" s="79"/>
      <c r="D204" s="61"/>
      <c r="E204" s="64"/>
      <c r="F204" s="64"/>
      <c r="G204" s="62"/>
      <c r="H204" s="62"/>
      <c r="I204" s="62"/>
      <c r="J204" s="62"/>
      <c r="K204" s="65"/>
      <c r="L204" s="65"/>
      <c r="M204" s="62"/>
      <c r="N204" s="11"/>
      <c r="O204" s="66"/>
      <c r="P204" s="62"/>
      <c r="Q204" s="62"/>
      <c r="R204" s="62"/>
      <c r="S204" s="94"/>
      <c r="T204" s="62"/>
      <c r="U204" s="67"/>
    </row>
    <row r="205" s="58" customFormat="1" customHeight="1" spans="1:21">
      <c r="A205" s="61"/>
      <c r="B205" s="62"/>
      <c r="C205" s="79"/>
      <c r="D205" s="61"/>
      <c r="E205" s="64"/>
      <c r="F205" s="64"/>
      <c r="G205" s="62"/>
      <c r="H205" s="62"/>
      <c r="I205" s="62"/>
      <c r="J205" s="62"/>
      <c r="K205" s="65"/>
      <c r="L205" s="65"/>
      <c r="M205" s="62"/>
      <c r="N205" s="11"/>
      <c r="O205" s="66"/>
      <c r="P205" s="62"/>
      <c r="Q205" s="62"/>
      <c r="R205" s="62"/>
      <c r="S205" s="92"/>
      <c r="T205" s="62"/>
      <c r="U205" s="67"/>
    </row>
    <row r="206" s="58" customFormat="1" customHeight="1" spans="1:21">
      <c r="A206" s="61"/>
      <c r="B206" s="62"/>
      <c r="C206" s="79"/>
      <c r="D206" s="61"/>
      <c r="E206" s="64"/>
      <c r="F206" s="64"/>
      <c r="G206" s="62"/>
      <c r="H206" s="62"/>
      <c r="I206" s="62"/>
      <c r="J206" s="62"/>
      <c r="K206" s="65"/>
      <c r="L206" s="65"/>
      <c r="M206" s="62"/>
      <c r="N206" s="11"/>
      <c r="O206" s="66"/>
      <c r="P206" s="62"/>
      <c r="Q206" s="62"/>
      <c r="R206" s="62"/>
      <c r="S206" s="94"/>
      <c r="T206" s="62"/>
      <c r="U206" s="67"/>
    </row>
    <row r="207" s="58" customFormat="1" customHeight="1" spans="1:21">
      <c r="A207" s="61"/>
      <c r="B207" s="62"/>
      <c r="C207" s="79"/>
      <c r="D207" s="61"/>
      <c r="E207" s="64"/>
      <c r="F207" s="64"/>
      <c r="G207" s="62"/>
      <c r="H207" s="62"/>
      <c r="I207" s="62"/>
      <c r="J207" s="62"/>
      <c r="K207" s="65"/>
      <c r="L207" s="65"/>
      <c r="M207" s="62"/>
      <c r="N207" s="11"/>
      <c r="O207" s="66"/>
      <c r="P207" s="62"/>
      <c r="Q207" s="62"/>
      <c r="R207" s="62"/>
      <c r="S207" s="92"/>
      <c r="T207" s="62"/>
      <c r="U207" s="67"/>
    </row>
    <row r="208" s="58" customFormat="1" customHeight="1" spans="1:21">
      <c r="A208" s="61"/>
      <c r="B208" s="62"/>
      <c r="C208" s="79"/>
      <c r="D208" s="61"/>
      <c r="E208" s="64"/>
      <c r="F208" s="64"/>
      <c r="G208" s="62"/>
      <c r="H208" s="62"/>
      <c r="I208" s="62"/>
      <c r="J208" s="62"/>
      <c r="K208" s="65"/>
      <c r="L208" s="65"/>
      <c r="M208" s="62"/>
      <c r="N208" s="11"/>
      <c r="O208" s="66"/>
      <c r="P208" s="62"/>
      <c r="Q208" s="62"/>
      <c r="R208" s="62"/>
      <c r="S208" s="62"/>
      <c r="T208" s="62"/>
      <c r="U208" s="67"/>
    </row>
    <row r="209" s="58" customFormat="1" customHeight="1" spans="1:21">
      <c r="A209" s="61"/>
      <c r="B209" s="62"/>
      <c r="C209" s="79"/>
      <c r="D209" s="61"/>
      <c r="E209" s="64"/>
      <c r="F209" s="64"/>
      <c r="G209" s="62"/>
      <c r="H209" s="62"/>
      <c r="I209" s="62"/>
      <c r="J209" s="62"/>
      <c r="K209" s="65"/>
      <c r="L209" s="65"/>
      <c r="M209" s="62"/>
      <c r="N209" s="11"/>
      <c r="O209" s="66"/>
      <c r="P209" s="62"/>
      <c r="Q209" s="62"/>
      <c r="R209" s="62"/>
      <c r="S209" s="62"/>
      <c r="T209" s="62"/>
      <c r="U209" s="67"/>
    </row>
    <row r="210" s="58" customFormat="1" customHeight="1" spans="1:21">
      <c r="A210" s="61"/>
      <c r="B210" s="62"/>
      <c r="C210" s="79"/>
      <c r="D210" s="61"/>
      <c r="E210" s="64"/>
      <c r="F210" s="64"/>
      <c r="G210" s="62"/>
      <c r="H210" s="62"/>
      <c r="I210" s="62"/>
      <c r="J210" s="62"/>
      <c r="K210" s="65"/>
      <c r="L210" s="65"/>
      <c r="M210" s="62"/>
      <c r="N210" s="11"/>
      <c r="O210" s="66"/>
      <c r="P210" s="62"/>
      <c r="Q210" s="62"/>
      <c r="R210" s="62"/>
      <c r="S210" s="94"/>
      <c r="T210" s="62"/>
      <c r="U210" s="67"/>
    </row>
    <row r="211" s="58" customFormat="1" customHeight="1" spans="1:21">
      <c r="A211" s="61"/>
      <c r="B211" s="62"/>
      <c r="C211" s="79"/>
      <c r="D211" s="61"/>
      <c r="E211" s="64"/>
      <c r="F211" s="64"/>
      <c r="G211" s="62"/>
      <c r="H211" s="62"/>
      <c r="I211" s="62"/>
      <c r="J211" s="62"/>
      <c r="K211" s="65"/>
      <c r="L211" s="65"/>
      <c r="M211" s="62"/>
      <c r="N211" s="11"/>
      <c r="O211" s="66"/>
      <c r="P211" s="62"/>
      <c r="Q211" s="62"/>
      <c r="R211" s="62"/>
      <c r="S211" s="92"/>
      <c r="T211" s="62"/>
      <c r="U211" s="67"/>
    </row>
    <row r="212" s="58" customFormat="1" customHeight="1" spans="1:21">
      <c r="A212" s="61"/>
      <c r="B212" s="62"/>
      <c r="C212" s="79"/>
      <c r="D212" s="61"/>
      <c r="E212" s="64"/>
      <c r="F212" s="64"/>
      <c r="G212" s="62"/>
      <c r="H212" s="62"/>
      <c r="I212" s="62"/>
      <c r="J212" s="62"/>
      <c r="K212" s="65"/>
      <c r="L212" s="65"/>
      <c r="M212" s="62"/>
      <c r="N212" s="11"/>
      <c r="O212" s="66"/>
      <c r="P212" s="62"/>
      <c r="Q212" s="62"/>
      <c r="R212" s="62"/>
      <c r="S212" s="62"/>
      <c r="T212" s="62"/>
      <c r="U212" s="67"/>
    </row>
    <row r="213" s="58" customFormat="1" customHeight="1" spans="1:21">
      <c r="A213" s="61"/>
      <c r="B213" s="62"/>
      <c r="C213" s="79"/>
      <c r="D213" s="61"/>
      <c r="E213" s="64"/>
      <c r="F213" s="64"/>
      <c r="G213" s="62"/>
      <c r="H213" s="62"/>
      <c r="I213" s="62"/>
      <c r="J213" s="62"/>
      <c r="K213" s="65"/>
      <c r="L213" s="65"/>
      <c r="M213" s="62"/>
      <c r="N213" s="11"/>
      <c r="O213" s="66"/>
      <c r="P213" s="62"/>
      <c r="Q213" s="62"/>
      <c r="R213" s="62"/>
      <c r="S213" s="62"/>
      <c r="T213" s="62"/>
      <c r="U213" s="67"/>
    </row>
    <row r="214" s="58" customFormat="1" customHeight="1" spans="1:21">
      <c r="A214" s="61"/>
      <c r="B214" s="62"/>
      <c r="C214" s="79"/>
      <c r="D214" s="61"/>
      <c r="E214" s="64"/>
      <c r="F214" s="64"/>
      <c r="G214" s="62"/>
      <c r="H214" s="62"/>
      <c r="I214" s="62"/>
      <c r="J214" s="62"/>
      <c r="K214" s="65"/>
      <c r="L214" s="65"/>
      <c r="M214" s="62"/>
      <c r="N214" s="11"/>
      <c r="O214" s="66"/>
      <c r="P214" s="62"/>
      <c r="Q214" s="62"/>
      <c r="R214" s="62"/>
      <c r="S214" s="62"/>
      <c r="T214" s="62"/>
      <c r="U214" s="67"/>
    </row>
    <row r="215" s="58" customFormat="1" customHeight="1" spans="1:21">
      <c r="A215" s="61"/>
      <c r="B215" s="62"/>
      <c r="C215" s="79"/>
      <c r="D215" s="61"/>
      <c r="E215" s="64"/>
      <c r="F215" s="64"/>
      <c r="G215" s="62"/>
      <c r="H215" s="62"/>
      <c r="I215" s="62"/>
      <c r="J215" s="62"/>
      <c r="K215" s="65"/>
      <c r="L215" s="65"/>
      <c r="M215" s="62"/>
      <c r="N215" s="11"/>
      <c r="O215" s="66"/>
      <c r="P215" s="62"/>
      <c r="Q215" s="62"/>
      <c r="R215" s="62"/>
      <c r="S215" s="62"/>
      <c r="T215" s="62"/>
      <c r="U215" s="67"/>
    </row>
    <row r="216" s="58" customFormat="1" customHeight="1" spans="1:21">
      <c r="A216" s="61"/>
      <c r="B216" s="62"/>
      <c r="C216" s="79"/>
      <c r="D216" s="61"/>
      <c r="E216" s="64"/>
      <c r="F216" s="64"/>
      <c r="G216" s="62"/>
      <c r="H216" s="62"/>
      <c r="I216" s="62"/>
      <c r="J216" s="62"/>
      <c r="K216" s="65"/>
      <c r="L216" s="65"/>
      <c r="M216" s="62"/>
      <c r="N216" s="11"/>
      <c r="O216" s="66"/>
      <c r="P216" s="62"/>
      <c r="Q216" s="62"/>
      <c r="R216" s="62"/>
      <c r="S216" s="62"/>
      <c r="T216" s="62"/>
      <c r="U216" s="67"/>
    </row>
    <row r="217" s="58" customFormat="1" customHeight="1" spans="1:21">
      <c r="A217" s="61"/>
      <c r="B217" s="62"/>
      <c r="C217" s="79"/>
      <c r="D217" s="61"/>
      <c r="E217" s="64"/>
      <c r="F217" s="64"/>
      <c r="G217" s="62"/>
      <c r="H217" s="62"/>
      <c r="I217" s="62"/>
      <c r="J217" s="62"/>
      <c r="K217" s="65"/>
      <c r="L217" s="65"/>
      <c r="M217" s="62"/>
      <c r="N217" s="11"/>
      <c r="O217" s="66"/>
      <c r="P217" s="62"/>
      <c r="Q217" s="62"/>
      <c r="R217" s="62"/>
      <c r="S217" s="62"/>
      <c r="T217" s="62"/>
      <c r="U217" s="67"/>
    </row>
    <row r="218" s="58" customFormat="1" customHeight="1" spans="1:21">
      <c r="A218" s="61"/>
      <c r="B218" s="62"/>
      <c r="C218" s="79"/>
      <c r="D218" s="61"/>
      <c r="E218" s="64"/>
      <c r="F218" s="64"/>
      <c r="G218" s="62"/>
      <c r="H218" s="62"/>
      <c r="I218" s="62"/>
      <c r="J218" s="62"/>
      <c r="K218" s="65"/>
      <c r="L218" s="65"/>
      <c r="M218" s="62"/>
      <c r="N218" s="11"/>
      <c r="O218" s="66"/>
      <c r="P218" s="62"/>
      <c r="Q218" s="62"/>
      <c r="R218" s="62"/>
      <c r="S218" s="62"/>
      <c r="T218" s="62"/>
      <c r="U218" s="67"/>
    </row>
    <row r="219" s="58" customFormat="1" customHeight="1" spans="1:21">
      <c r="A219" s="61"/>
      <c r="B219" s="62"/>
      <c r="C219" s="79"/>
      <c r="D219" s="61"/>
      <c r="E219" s="64"/>
      <c r="F219" s="64"/>
      <c r="G219" s="62"/>
      <c r="H219" s="61"/>
      <c r="I219" s="61"/>
      <c r="J219" s="62"/>
      <c r="K219" s="65"/>
      <c r="L219" s="65"/>
      <c r="M219" s="62"/>
      <c r="N219" s="11"/>
      <c r="O219" s="66"/>
      <c r="P219" s="62"/>
      <c r="Q219" s="62"/>
      <c r="R219" s="62"/>
      <c r="S219" s="62"/>
      <c r="T219" s="62"/>
      <c r="U219" s="67"/>
    </row>
    <row r="220" s="58" customFormat="1" customHeight="1" spans="1:21">
      <c r="A220" s="61"/>
      <c r="B220" s="62"/>
      <c r="C220" s="79"/>
      <c r="D220" s="61"/>
      <c r="E220" s="64"/>
      <c r="F220" s="64"/>
      <c r="G220" s="62"/>
      <c r="H220" s="61"/>
      <c r="I220" s="61"/>
      <c r="J220" s="62"/>
      <c r="K220" s="65"/>
      <c r="L220" s="65"/>
      <c r="M220" s="62"/>
      <c r="N220" s="11"/>
      <c r="O220" s="66"/>
      <c r="P220" s="62"/>
      <c r="Q220" s="62"/>
      <c r="R220" s="62"/>
      <c r="S220" s="62"/>
      <c r="T220" s="62"/>
      <c r="U220" s="67"/>
    </row>
    <row r="221" s="58" customFormat="1" customHeight="1" spans="1:21">
      <c r="A221" s="61"/>
      <c r="B221" s="62"/>
      <c r="C221" s="79"/>
      <c r="D221" s="61"/>
      <c r="E221" s="64"/>
      <c r="F221" s="64"/>
      <c r="G221" s="62"/>
      <c r="H221" s="62"/>
      <c r="I221" s="62"/>
      <c r="J221" s="62"/>
      <c r="K221" s="65"/>
      <c r="L221" s="65"/>
      <c r="M221" s="62"/>
      <c r="N221" s="11"/>
      <c r="O221" s="66"/>
      <c r="P221" s="62"/>
      <c r="Q221" s="62"/>
      <c r="R221" s="62"/>
      <c r="S221" s="62"/>
      <c r="T221" s="62"/>
      <c r="U221" s="67"/>
    </row>
    <row r="222" s="58" customFormat="1" customHeight="1" spans="1:21">
      <c r="A222" s="61"/>
      <c r="B222" s="62"/>
      <c r="C222" s="79"/>
      <c r="D222" s="61"/>
      <c r="E222" s="64"/>
      <c r="F222" s="64"/>
      <c r="G222" s="62"/>
      <c r="H222" s="62"/>
      <c r="I222" s="62"/>
      <c r="J222" s="62"/>
      <c r="K222" s="65"/>
      <c r="L222" s="65"/>
      <c r="M222" s="62"/>
      <c r="N222" s="11"/>
      <c r="O222" s="66"/>
      <c r="P222" s="62"/>
      <c r="Q222" s="62"/>
      <c r="R222" s="62"/>
      <c r="S222" s="62"/>
      <c r="T222" s="62"/>
      <c r="U222" s="67"/>
    </row>
    <row r="223" s="58" customFormat="1" customHeight="1" spans="1:21">
      <c r="A223" s="61"/>
      <c r="B223" s="62"/>
      <c r="C223" s="79"/>
      <c r="D223" s="61"/>
      <c r="E223" s="64"/>
      <c r="F223" s="64"/>
      <c r="G223" s="62"/>
      <c r="H223" s="62"/>
      <c r="I223" s="62"/>
      <c r="J223" s="62"/>
      <c r="K223" s="65"/>
      <c r="L223" s="65"/>
      <c r="M223" s="62"/>
      <c r="N223" s="11"/>
      <c r="O223" s="66"/>
      <c r="P223" s="62"/>
      <c r="Q223" s="62"/>
      <c r="R223" s="62"/>
      <c r="S223" s="62"/>
      <c r="T223" s="62"/>
      <c r="U223" s="67"/>
    </row>
    <row r="224" s="58" customFormat="1" customHeight="1" spans="1:21">
      <c r="A224" s="61"/>
      <c r="B224" s="62"/>
      <c r="C224" s="79"/>
      <c r="D224" s="61"/>
      <c r="E224" s="64"/>
      <c r="F224" s="64"/>
      <c r="G224" s="62"/>
      <c r="H224" s="62"/>
      <c r="I224" s="62"/>
      <c r="J224" s="62"/>
      <c r="K224" s="65"/>
      <c r="L224" s="65"/>
      <c r="M224" s="62"/>
      <c r="N224" s="11"/>
      <c r="O224" s="66"/>
      <c r="P224" s="62"/>
      <c r="Q224" s="62"/>
      <c r="R224" s="62"/>
      <c r="S224" s="62"/>
      <c r="T224" s="62"/>
      <c r="U224" s="67"/>
    </row>
    <row r="225" s="58" customFormat="1" customHeight="1" spans="1:21">
      <c r="A225" s="61"/>
      <c r="B225" s="62"/>
      <c r="C225" s="79"/>
      <c r="D225" s="61"/>
      <c r="E225" s="64"/>
      <c r="F225" s="64"/>
      <c r="G225" s="62"/>
      <c r="H225" s="62"/>
      <c r="I225" s="62"/>
      <c r="J225" s="62"/>
      <c r="K225" s="65"/>
      <c r="L225" s="65"/>
      <c r="M225" s="62"/>
      <c r="N225" s="11"/>
      <c r="O225" s="66"/>
      <c r="P225" s="62"/>
      <c r="Q225" s="62"/>
      <c r="R225" s="62"/>
      <c r="S225" s="62"/>
      <c r="T225" s="62"/>
      <c r="U225" s="67"/>
    </row>
    <row r="226" s="58" customFormat="1" customHeight="1" spans="1:21">
      <c r="A226" s="61"/>
      <c r="B226" s="62"/>
      <c r="C226" s="79"/>
      <c r="D226" s="61"/>
      <c r="E226" s="64"/>
      <c r="F226" s="64"/>
      <c r="G226" s="62"/>
      <c r="H226" s="62"/>
      <c r="I226" s="62"/>
      <c r="J226" s="62"/>
      <c r="K226" s="65"/>
      <c r="L226" s="65"/>
      <c r="M226" s="62"/>
      <c r="N226" s="11"/>
      <c r="O226" s="66"/>
      <c r="P226" s="62"/>
      <c r="Q226" s="62"/>
      <c r="R226" s="62"/>
      <c r="S226" s="62"/>
      <c r="T226" s="62"/>
      <c r="U226" s="67"/>
    </row>
    <row r="227" s="58" customFormat="1" customHeight="1" spans="1:21">
      <c r="A227" s="61"/>
      <c r="B227" s="62"/>
      <c r="C227" s="79"/>
      <c r="D227" s="61"/>
      <c r="E227" s="64"/>
      <c r="F227" s="64"/>
      <c r="G227" s="62"/>
      <c r="H227" s="62"/>
      <c r="I227" s="62"/>
      <c r="J227" s="62"/>
      <c r="K227" s="65"/>
      <c r="L227" s="65"/>
      <c r="M227" s="62"/>
      <c r="N227" s="11"/>
      <c r="O227" s="66"/>
      <c r="P227" s="62"/>
      <c r="Q227" s="62"/>
      <c r="R227" s="62"/>
      <c r="S227" s="62"/>
      <c r="T227" s="62"/>
      <c r="U227" s="67"/>
    </row>
    <row r="228" s="58" customFormat="1" customHeight="1" spans="1:21">
      <c r="A228" s="61"/>
      <c r="B228" s="62"/>
      <c r="C228" s="79"/>
      <c r="D228" s="61"/>
      <c r="E228" s="64"/>
      <c r="F228" s="64"/>
      <c r="G228" s="62"/>
      <c r="H228" s="62"/>
      <c r="I228" s="62"/>
      <c r="J228" s="62"/>
      <c r="K228" s="106"/>
      <c r="L228" s="65"/>
      <c r="M228" s="62"/>
      <c r="N228" s="11"/>
      <c r="O228" s="107"/>
      <c r="P228" s="62"/>
      <c r="Q228" s="62"/>
      <c r="R228" s="62"/>
      <c r="S228" s="62"/>
      <c r="T228" s="62"/>
      <c r="U228" s="67"/>
    </row>
    <row r="229" s="58" customFormat="1" customHeight="1" spans="1:21">
      <c r="A229" s="61"/>
      <c r="B229" s="62"/>
      <c r="C229" s="79"/>
      <c r="D229" s="61"/>
      <c r="E229" s="64"/>
      <c r="F229" s="64"/>
      <c r="G229" s="62"/>
      <c r="H229" s="62"/>
      <c r="I229" s="62"/>
      <c r="J229" s="62"/>
      <c r="K229" s="106"/>
      <c r="L229" s="65"/>
      <c r="M229" s="62"/>
      <c r="N229" s="11"/>
      <c r="O229" s="107"/>
      <c r="P229" s="62"/>
      <c r="Q229" s="62"/>
      <c r="R229" s="62"/>
      <c r="S229" s="62"/>
      <c r="T229" s="62"/>
      <c r="U229" s="67"/>
    </row>
    <row r="230" s="58" customFormat="1" customHeight="1" spans="1:21">
      <c r="A230" s="61"/>
      <c r="B230" s="62"/>
      <c r="C230" s="79"/>
      <c r="D230" s="61"/>
      <c r="E230" s="64"/>
      <c r="F230" s="64"/>
      <c r="G230" s="62"/>
      <c r="H230" s="62"/>
      <c r="I230" s="62"/>
      <c r="J230" s="62"/>
      <c r="K230" s="106"/>
      <c r="L230" s="65"/>
      <c r="M230" s="62"/>
      <c r="N230" s="11"/>
      <c r="O230" s="107"/>
      <c r="P230" s="62"/>
      <c r="Q230" s="62"/>
      <c r="R230" s="62"/>
      <c r="S230" s="62"/>
      <c r="T230" s="62"/>
      <c r="U230" s="67"/>
    </row>
    <row r="231" s="58" customFormat="1" customHeight="1" spans="1:21">
      <c r="A231" s="61"/>
      <c r="B231" s="62"/>
      <c r="C231" s="79"/>
      <c r="D231" s="61"/>
      <c r="E231" s="64"/>
      <c r="F231" s="64"/>
      <c r="G231" s="62"/>
      <c r="H231" s="62"/>
      <c r="I231" s="62"/>
      <c r="J231" s="62"/>
      <c r="K231" s="106"/>
      <c r="L231" s="65"/>
      <c r="M231" s="62"/>
      <c r="N231" s="11"/>
      <c r="O231" s="66"/>
      <c r="P231" s="62"/>
      <c r="Q231" s="62"/>
      <c r="R231" s="62"/>
      <c r="S231" s="62"/>
      <c r="T231" s="62"/>
      <c r="U231" s="67"/>
    </row>
    <row r="232" s="58" customFormat="1" customHeight="1" spans="1:21">
      <c r="A232" s="61"/>
      <c r="B232" s="62"/>
      <c r="C232" s="79"/>
      <c r="D232" s="61"/>
      <c r="E232" s="64"/>
      <c r="F232" s="64"/>
      <c r="G232" s="62"/>
      <c r="H232" s="62"/>
      <c r="I232" s="62"/>
      <c r="J232" s="62"/>
      <c r="K232" s="65"/>
      <c r="L232" s="65"/>
      <c r="M232" s="62"/>
      <c r="N232" s="11"/>
      <c r="O232" s="66"/>
      <c r="P232" s="62"/>
      <c r="Q232" s="62"/>
      <c r="R232" s="62"/>
      <c r="S232" s="62"/>
      <c r="T232" s="62"/>
      <c r="U232" s="67"/>
    </row>
    <row r="233" s="58" customFormat="1" customHeight="1" spans="1:21">
      <c r="A233" s="61"/>
      <c r="B233" s="62"/>
      <c r="C233" s="79"/>
      <c r="D233" s="61"/>
      <c r="E233" s="64"/>
      <c r="F233" s="64"/>
      <c r="G233" s="62"/>
      <c r="H233" s="62"/>
      <c r="I233" s="62"/>
      <c r="J233" s="62"/>
      <c r="K233" s="65"/>
      <c r="L233" s="65"/>
      <c r="M233" s="62"/>
      <c r="N233" s="11"/>
      <c r="O233" s="66"/>
      <c r="P233" s="62"/>
      <c r="Q233" s="62"/>
      <c r="R233" s="62"/>
      <c r="S233" s="62"/>
      <c r="T233" s="62"/>
      <c r="U233" s="67"/>
    </row>
    <row r="234" s="58" customFormat="1" customHeight="1" spans="1:21">
      <c r="A234" s="61"/>
      <c r="B234" s="62"/>
      <c r="C234" s="79"/>
      <c r="D234" s="61"/>
      <c r="E234" s="64"/>
      <c r="F234" s="64"/>
      <c r="G234" s="62"/>
      <c r="H234" s="62"/>
      <c r="I234" s="62"/>
      <c r="J234" s="62"/>
      <c r="K234" s="65"/>
      <c r="L234" s="65"/>
      <c r="M234" s="62"/>
      <c r="N234" s="11"/>
      <c r="O234" s="66"/>
      <c r="P234" s="62"/>
      <c r="Q234" s="62"/>
      <c r="R234" s="62"/>
      <c r="S234" s="62"/>
      <c r="T234" s="62"/>
      <c r="U234" s="67"/>
    </row>
    <row r="235" s="58" customFormat="1" customHeight="1" spans="1:21">
      <c r="A235" s="61"/>
      <c r="B235" s="62"/>
      <c r="C235" s="79"/>
      <c r="D235" s="61"/>
      <c r="E235" s="64"/>
      <c r="F235" s="64"/>
      <c r="G235" s="62"/>
      <c r="H235" s="62"/>
      <c r="I235" s="62"/>
      <c r="J235" s="62"/>
      <c r="K235" s="65"/>
      <c r="L235" s="65"/>
      <c r="M235" s="62"/>
      <c r="N235" s="11"/>
      <c r="O235" s="66"/>
      <c r="P235" s="62"/>
      <c r="Q235" s="62"/>
      <c r="R235" s="62"/>
      <c r="S235" s="62"/>
      <c r="T235" s="62"/>
      <c r="U235" s="67"/>
    </row>
    <row r="236" s="58" customFormat="1" customHeight="1" spans="1:21">
      <c r="A236" s="61"/>
      <c r="B236" s="62"/>
      <c r="C236" s="79"/>
      <c r="D236" s="61"/>
      <c r="E236" s="64"/>
      <c r="F236" s="64"/>
      <c r="G236" s="62"/>
      <c r="H236" s="62"/>
      <c r="I236" s="62"/>
      <c r="J236" s="62"/>
      <c r="K236" s="65"/>
      <c r="L236" s="65"/>
      <c r="M236" s="62"/>
      <c r="N236" s="11"/>
      <c r="O236" s="66"/>
      <c r="P236" s="62"/>
      <c r="Q236" s="62"/>
      <c r="R236" s="62"/>
      <c r="S236" s="62"/>
      <c r="T236" s="62"/>
      <c r="U236" s="67"/>
    </row>
    <row r="237" s="58" customFormat="1" customHeight="1" spans="1:21">
      <c r="A237" s="61"/>
      <c r="B237" s="62"/>
      <c r="C237" s="79"/>
      <c r="D237" s="61"/>
      <c r="E237" s="64"/>
      <c r="F237" s="64"/>
      <c r="G237" s="62"/>
      <c r="H237" s="62"/>
      <c r="I237" s="62"/>
      <c r="J237" s="62"/>
      <c r="K237" s="65"/>
      <c r="L237" s="65"/>
      <c r="M237" s="62"/>
      <c r="N237" s="11"/>
      <c r="O237" s="66"/>
      <c r="P237" s="62"/>
      <c r="Q237" s="62"/>
      <c r="R237" s="62"/>
      <c r="S237" s="62"/>
      <c r="T237" s="62"/>
      <c r="U237" s="67"/>
    </row>
    <row r="238" s="58" customFormat="1" customHeight="1" spans="1:21">
      <c r="A238" s="61"/>
      <c r="B238" s="62"/>
      <c r="C238" s="79"/>
      <c r="D238" s="61"/>
      <c r="E238" s="64"/>
      <c r="F238" s="64"/>
      <c r="G238" s="62"/>
      <c r="H238" s="62"/>
      <c r="I238" s="62"/>
      <c r="J238" s="62"/>
      <c r="K238" s="65"/>
      <c r="L238" s="65"/>
      <c r="M238" s="62"/>
      <c r="N238" s="11"/>
      <c r="O238" s="66"/>
      <c r="P238" s="62"/>
      <c r="Q238" s="62"/>
      <c r="R238" s="62"/>
      <c r="S238" s="62"/>
      <c r="T238" s="62"/>
      <c r="U238" s="67"/>
    </row>
    <row r="239" s="58" customFormat="1" customHeight="1" spans="1:21">
      <c r="A239" s="61"/>
      <c r="B239" s="62"/>
      <c r="C239" s="79"/>
      <c r="D239" s="61"/>
      <c r="E239" s="64"/>
      <c r="F239" s="64"/>
      <c r="G239" s="62"/>
      <c r="H239" s="62"/>
      <c r="I239" s="62"/>
      <c r="J239" s="62"/>
      <c r="K239" s="65"/>
      <c r="L239" s="65"/>
      <c r="M239" s="62"/>
      <c r="N239" s="11"/>
      <c r="O239" s="66"/>
      <c r="P239" s="62"/>
      <c r="Q239" s="62"/>
      <c r="R239" s="62"/>
      <c r="S239" s="62"/>
      <c r="T239" s="62"/>
      <c r="U239" s="67"/>
    </row>
    <row r="240" s="58" customFormat="1" spans="1:21">
      <c r="A240" s="61"/>
      <c r="B240" s="62"/>
      <c r="C240" s="79"/>
      <c r="D240" s="61"/>
      <c r="E240" s="64"/>
      <c r="F240" s="64"/>
      <c r="G240" s="62"/>
      <c r="H240" s="62"/>
      <c r="I240" s="62"/>
      <c r="J240" s="62"/>
      <c r="K240" s="65"/>
      <c r="L240" s="65"/>
      <c r="M240" s="62"/>
      <c r="N240" s="11"/>
      <c r="O240" s="66"/>
      <c r="P240" s="62"/>
      <c r="Q240" s="62"/>
      <c r="R240" s="62"/>
      <c r="S240" s="62"/>
      <c r="T240" s="62"/>
      <c r="U240" s="67"/>
    </row>
    <row r="241" s="58" customFormat="1" spans="1:21">
      <c r="A241" s="61"/>
      <c r="B241" s="62"/>
      <c r="C241" s="79"/>
      <c r="D241" s="61"/>
      <c r="E241" s="64"/>
      <c r="F241" s="64"/>
      <c r="G241" s="62"/>
      <c r="H241" s="62"/>
      <c r="I241" s="62"/>
      <c r="J241" s="62"/>
      <c r="K241" s="65"/>
      <c r="L241" s="65"/>
      <c r="M241" s="62"/>
      <c r="N241" s="11"/>
      <c r="O241" s="66"/>
      <c r="P241" s="62"/>
      <c r="Q241" s="62"/>
      <c r="R241" s="62"/>
      <c r="S241" s="62"/>
      <c r="T241" s="62"/>
      <c r="U241" s="67"/>
    </row>
    <row r="242" s="58" customFormat="1" spans="1:21">
      <c r="A242" s="61"/>
      <c r="B242" s="62"/>
      <c r="C242" s="79"/>
      <c r="D242" s="61"/>
      <c r="E242" s="64"/>
      <c r="F242" s="64"/>
      <c r="G242" s="62"/>
      <c r="H242" s="62"/>
      <c r="I242" s="62"/>
      <c r="J242" s="62"/>
      <c r="K242" s="65"/>
      <c r="L242" s="65"/>
      <c r="M242" s="62"/>
      <c r="N242" s="11"/>
      <c r="O242" s="66"/>
      <c r="P242" s="62"/>
      <c r="Q242" s="62"/>
      <c r="R242" s="62"/>
      <c r="S242" s="62"/>
      <c r="T242" s="62"/>
      <c r="U242" s="67"/>
    </row>
    <row r="243" spans="1:21">
      <c r="C243" s="79"/>
      <c r="D243" s="61"/>
      <c r="R243" s="62"/>
    </row>
    <row r="244" spans="1:21">
      <c r="C244" s="79"/>
      <c r="D244" s="61"/>
      <c r="R244" s="62"/>
    </row>
    <row r="245" s="58" customFormat="1" spans="1:21">
      <c r="A245" s="61"/>
      <c r="B245" s="62"/>
      <c r="C245" s="79"/>
      <c r="D245" s="61"/>
      <c r="E245" s="64"/>
      <c r="F245" s="64"/>
      <c r="G245" s="62"/>
      <c r="H245" s="62"/>
      <c r="I245" s="62"/>
      <c r="J245" s="62"/>
      <c r="K245" s="65"/>
      <c r="L245" s="65"/>
      <c r="M245" s="62"/>
      <c r="N245" s="62"/>
      <c r="O245" s="66"/>
      <c r="P245" s="62"/>
      <c r="Q245" s="62"/>
      <c r="R245" s="62"/>
      <c r="S245" s="94"/>
      <c r="T245" s="62"/>
      <c r="U245" s="67"/>
    </row>
    <row r="246" s="58" customFormat="1" spans="1:21">
      <c r="A246" s="61"/>
      <c r="B246" s="62"/>
      <c r="C246" s="79"/>
      <c r="D246" s="61"/>
      <c r="E246" s="64"/>
      <c r="F246" s="64"/>
      <c r="G246" s="62"/>
      <c r="H246" s="62"/>
      <c r="I246" s="62"/>
      <c r="J246" s="62"/>
      <c r="K246" s="65"/>
      <c r="L246" s="65"/>
      <c r="M246" s="62"/>
      <c r="N246" s="11"/>
      <c r="O246" s="66"/>
      <c r="P246" s="62"/>
      <c r="Q246" s="62"/>
      <c r="R246" s="62"/>
      <c r="S246" s="62"/>
      <c r="T246" s="62"/>
      <c r="U246" s="67"/>
    </row>
    <row r="247" s="58" customFormat="1" spans="1:21">
      <c r="A247" s="61"/>
      <c r="B247" s="62"/>
      <c r="C247" s="79"/>
      <c r="D247" s="61"/>
      <c r="E247" s="64"/>
      <c r="F247" s="64"/>
      <c r="G247" s="62"/>
      <c r="H247" s="62"/>
      <c r="I247" s="62"/>
      <c r="J247" s="62"/>
      <c r="K247" s="65"/>
      <c r="L247" s="65"/>
      <c r="M247" s="62"/>
      <c r="N247" s="11"/>
      <c r="O247" s="66"/>
      <c r="P247" s="62"/>
      <c r="Q247" s="62"/>
      <c r="R247" s="62"/>
      <c r="S247" s="62"/>
      <c r="T247" s="62"/>
      <c r="U247" s="67"/>
    </row>
    <row r="248" s="58" customFormat="1" spans="1:21">
      <c r="A248" s="61"/>
      <c r="B248" s="62"/>
      <c r="C248" s="79"/>
      <c r="D248" s="61"/>
      <c r="E248" s="64"/>
      <c r="F248" s="64"/>
      <c r="G248" s="62"/>
      <c r="H248" s="62"/>
      <c r="I248" s="62"/>
      <c r="J248" s="62"/>
      <c r="K248" s="65"/>
      <c r="L248" s="65"/>
      <c r="M248" s="62"/>
      <c r="N248" s="11"/>
      <c r="O248" s="66"/>
      <c r="P248" s="62"/>
      <c r="Q248" s="62"/>
      <c r="R248" s="62"/>
      <c r="S248" s="62"/>
      <c r="T248" s="62"/>
      <c r="U248" s="67"/>
    </row>
    <row r="249" s="58" customFormat="1" spans="1:21">
      <c r="A249" s="61"/>
      <c r="B249" s="62"/>
      <c r="C249" s="79"/>
      <c r="D249" s="61"/>
      <c r="E249" s="64"/>
      <c r="F249" s="64"/>
      <c r="G249" s="62"/>
      <c r="H249" s="62"/>
      <c r="I249" s="62"/>
      <c r="J249" s="62"/>
      <c r="K249" s="106"/>
      <c r="L249" s="65"/>
      <c r="M249" s="62"/>
      <c r="N249" s="11"/>
      <c r="O249" s="66"/>
      <c r="P249" s="62"/>
      <c r="Q249" s="62"/>
      <c r="R249" s="62"/>
      <c r="S249" s="62"/>
      <c r="T249" s="62"/>
      <c r="U249" s="67"/>
    </row>
    <row r="250" s="58" customFormat="1" spans="1:21">
      <c r="A250" s="61"/>
      <c r="B250" s="62"/>
      <c r="C250" s="79"/>
      <c r="D250" s="61"/>
      <c r="E250" s="64"/>
      <c r="F250" s="64"/>
      <c r="G250" s="62"/>
      <c r="H250" s="62"/>
      <c r="I250" s="62"/>
      <c r="J250" s="62"/>
      <c r="K250" s="106"/>
      <c r="L250" s="65"/>
      <c r="M250" s="62"/>
      <c r="N250" s="11"/>
      <c r="O250" s="66"/>
      <c r="P250" s="62"/>
      <c r="Q250" s="62"/>
      <c r="R250" s="62"/>
      <c r="S250" s="62"/>
      <c r="T250" s="62"/>
      <c r="U250" s="67"/>
    </row>
    <row r="251" s="58" customFormat="1" spans="1:21">
      <c r="A251" s="61"/>
      <c r="B251" s="62"/>
      <c r="C251" s="79"/>
      <c r="D251" s="61"/>
      <c r="E251" s="64"/>
      <c r="F251" s="64"/>
      <c r="G251" s="62"/>
      <c r="H251" s="62"/>
      <c r="I251" s="62"/>
      <c r="J251" s="62"/>
      <c r="K251" s="61"/>
      <c r="L251" s="65"/>
      <c r="M251" s="62"/>
      <c r="N251" s="11"/>
      <c r="O251" s="66"/>
      <c r="P251" s="62"/>
      <c r="Q251" s="62"/>
      <c r="R251" s="62"/>
      <c r="S251" s="62"/>
      <c r="T251" s="62"/>
      <c r="U251" s="67"/>
    </row>
    <row r="252" s="58" customFormat="1" spans="1:21">
      <c r="A252" s="61"/>
      <c r="B252" s="62"/>
      <c r="C252" s="79"/>
      <c r="D252" s="61"/>
      <c r="E252" s="64"/>
      <c r="F252" s="64"/>
      <c r="G252" s="62"/>
      <c r="H252" s="62"/>
      <c r="I252" s="62"/>
      <c r="J252" s="62"/>
      <c r="K252" s="61"/>
      <c r="L252" s="65"/>
      <c r="M252" s="62"/>
      <c r="N252" s="11"/>
      <c r="O252" s="66"/>
      <c r="P252" s="62"/>
      <c r="Q252" s="62"/>
      <c r="R252" s="62"/>
      <c r="S252" s="62"/>
      <c r="T252" s="62"/>
      <c r="U252" s="67"/>
    </row>
    <row r="253" s="58" customFormat="1" spans="1:21">
      <c r="A253" s="61"/>
      <c r="B253" s="62"/>
      <c r="C253" s="79"/>
      <c r="D253" s="61"/>
      <c r="E253" s="64"/>
      <c r="F253" s="64"/>
      <c r="G253" s="62"/>
      <c r="H253" s="62"/>
      <c r="I253" s="62"/>
      <c r="J253" s="62"/>
      <c r="K253" s="61"/>
      <c r="L253" s="65"/>
      <c r="M253" s="62"/>
      <c r="N253" s="11"/>
      <c r="O253" s="66"/>
      <c r="P253" s="62"/>
      <c r="Q253" s="62"/>
      <c r="R253" s="62"/>
      <c r="S253" s="94"/>
      <c r="T253" s="62"/>
      <c r="U253" s="67"/>
    </row>
    <row r="254" s="58" customFormat="1" spans="1:21">
      <c r="A254" s="61"/>
      <c r="B254" s="62"/>
      <c r="C254" s="79"/>
      <c r="D254" s="61"/>
      <c r="E254" s="64"/>
      <c r="F254" s="64"/>
      <c r="G254" s="62"/>
      <c r="H254" s="62"/>
      <c r="I254" s="62"/>
      <c r="J254" s="62"/>
      <c r="K254" s="61"/>
      <c r="L254" s="65"/>
      <c r="M254" s="62"/>
      <c r="N254" s="11"/>
      <c r="O254" s="66"/>
      <c r="P254" s="62"/>
      <c r="Q254" s="62"/>
      <c r="R254" s="62"/>
      <c r="S254" s="92"/>
      <c r="T254" s="62"/>
      <c r="U254" s="67"/>
    </row>
    <row r="255" s="58" customFormat="1" spans="1:21">
      <c r="A255" s="61"/>
      <c r="B255" s="62"/>
      <c r="C255" s="79"/>
      <c r="D255" s="61"/>
      <c r="E255" s="64"/>
      <c r="F255" s="64"/>
      <c r="G255" s="62"/>
      <c r="H255" s="62"/>
      <c r="I255" s="62"/>
      <c r="J255" s="62"/>
      <c r="K255" s="61"/>
      <c r="L255" s="65"/>
      <c r="M255" s="62"/>
      <c r="N255" s="11"/>
      <c r="O255" s="66"/>
      <c r="P255" s="62"/>
      <c r="Q255" s="62"/>
      <c r="R255" s="62"/>
      <c r="S255" s="62"/>
      <c r="T255" s="62"/>
      <c r="U255" s="67"/>
    </row>
    <row r="256" s="58" customFormat="1" spans="1:21">
      <c r="A256" s="61"/>
      <c r="B256" s="62"/>
      <c r="C256" s="79"/>
      <c r="D256" s="61"/>
      <c r="E256" s="64"/>
      <c r="F256" s="64"/>
      <c r="G256" s="62"/>
      <c r="H256" s="62"/>
      <c r="I256" s="62"/>
      <c r="J256" s="62"/>
      <c r="K256" s="61"/>
      <c r="L256" s="65"/>
      <c r="M256" s="62"/>
      <c r="N256" s="11"/>
      <c r="O256" s="66"/>
      <c r="P256" s="62"/>
      <c r="Q256" s="62"/>
      <c r="R256" s="62"/>
      <c r="S256" s="94"/>
      <c r="T256" s="62"/>
      <c r="U256" s="67"/>
    </row>
    <row r="257" s="58" customFormat="1" spans="1:21">
      <c r="A257" s="61"/>
      <c r="B257" s="62"/>
      <c r="C257" s="79"/>
      <c r="D257" s="61"/>
      <c r="E257" s="64"/>
      <c r="F257" s="64"/>
      <c r="G257" s="62"/>
      <c r="H257" s="62"/>
      <c r="I257" s="62"/>
      <c r="J257" s="62"/>
      <c r="K257" s="61"/>
      <c r="L257" s="65"/>
      <c r="M257" s="62"/>
      <c r="N257" s="11"/>
      <c r="O257" s="66"/>
      <c r="P257" s="62"/>
      <c r="Q257" s="62"/>
      <c r="R257" s="62"/>
      <c r="S257" s="95"/>
      <c r="T257" s="62"/>
      <c r="U257" s="67"/>
    </row>
    <row r="258" s="58" customFormat="1" spans="1:21">
      <c r="A258" s="61"/>
      <c r="B258" s="62"/>
      <c r="C258" s="79"/>
      <c r="D258" s="61"/>
      <c r="E258" s="64"/>
      <c r="F258" s="64"/>
      <c r="G258" s="62"/>
      <c r="H258" s="62"/>
      <c r="I258" s="62"/>
      <c r="J258" s="62"/>
      <c r="K258" s="61"/>
      <c r="L258" s="65"/>
      <c r="M258" s="62"/>
      <c r="N258" s="11"/>
      <c r="O258" s="66"/>
      <c r="P258" s="62"/>
      <c r="Q258" s="62"/>
      <c r="R258" s="62"/>
      <c r="S258" s="92"/>
      <c r="T258" s="62"/>
      <c r="U258" s="67"/>
    </row>
    <row r="259" s="58" customFormat="1" spans="1:21">
      <c r="A259" s="61"/>
      <c r="B259" s="62"/>
      <c r="C259" s="79"/>
      <c r="D259" s="61"/>
      <c r="E259" s="64"/>
      <c r="F259" s="64"/>
      <c r="G259" s="62"/>
      <c r="H259" s="62"/>
      <c r="I259" s="62"/>
      <c r="J259" s="62"/>
      <c r="K259" s="61"/>
      <c r="L259" s="65"/>
      <c r="M259" s="62"/>
      <c r="N259" s="11"/>
      <c r="O259" s="66"/>
      <c r="P259" s="62"/>
      <c r="Q259" s="62"/>
      <c r="R259" s="62"/>
      <c r="S259" s="94"/>
      <c r="T259" s="62"/>
      <c r="U259" s="67"/>
    </row>
    <row r="260" s="58" customFormat="1" spans="1:21">
      <c r="A260" s="61"/>
      <c r="B260" s="62"/>
      <c r="C260" s="79"/>
      <c r="D260" s="61"/>
      <c r="E260" s="64"/>
      <c r="F260" s="64"/>
      <c r="G260" s="62"/>
      <c r="H260" s="62"/>
      <c r="I260" s="62"/>
      <c r="J260" s="62"/>
      <c r="K260" s="61"/>
      <c r="L260" s="65"/>
      <c r="M260" s="62"/>
      <c r="N260" s="11"/>
      <c r="O260" s="66"/>
      <c r="P260" s="62"/>
      <c r="Q260" s="62"/>
      <c r="R260" s="62"/>
      <c r="S260" s="92"/>
      <c r="T260" s="62"/>
      <c r="U260" s="67"/>
    </row>
    <row r="261" s="58" customFormat="1" spans="1:21">
      <c r="A261" s="61"/>
      <c r="B261" s="62"/>
      <c r="C261" s="79"/>
      <c r="D261" s="61"/>
      <c r="E261" s="64"/>
      <c r="F261" s="64"/>
      <c r="G261" s="62"/>
      <c r="H261" s="62"/>
      <c r="I261" s="62"/>
      <c r="J261" s="62"/>
      <c r="K261" s="61"/>
      <c r="L261" s="65"/>
      <c r="M261" s="62"/>
      <c r="N261" s="11"/>
      <c r="O261" s="66"/>
      <c r="P261" s="62"/>
      <c r="Q261" s="62"/>
      <c r="R261" s="62"/>
      <c r="S261" s="62"/>
      <c r="T261" s="62"/>
      <c r="U261" s="67"/>
    </row>
    <row r="262" s="58" customFormat="1" spans="1:21">
      <c r="A262" s="61"/>
      <c r="B262" s="62"/>
      <c r="C262" s="79"/>
      <c r="D262" s="61"/>
      <c r="E262" s="64"/>
      <c r="F262" s="64"/>
      <c r="G262" s="62"/>
      <c r="H262" s="62"/>
      <c r="I262" s="62"/>
      <c r="J262" s="62"/>
      <c r="K262" s="61"/>
      <c r="L262" s="65"/>
      <c r="M262" s="62"/>
      <c r="N262" s="11"/>
      <c r="O262" s="66"/>
      <c r="P262" s="62"/>
      <c r="Q262" s="62"/>
      <c r="R262" s="62"/>
      <c r="S262" s="94"/>
      <c r="T262" s="62"/>
      <c r="U262" s="67"/>
    </row>
    <row r="263" s="58" customFormat="1" spans="1:21">
      <c r="A263" s="61"/>
      <c r="B263" s="62"/>
      <c r="C263" s="79"/>
      <c r="D263" s="61"/>
      <c r="E263" s="64"/>
      <c r="F263" s="64"/>
      <c r="G263" s="62"/>
      <c r="H263" s="62"/>
      <c r="I263" s="62"/>
      <c r="J263" s="62"/>
      <c r="K263" s="61"/>
      <c r="L263" s="65"/>
      <c r="M263" s="62"/>
      <c r="N263" s="11"/>
      <c r="O263" s="66"/>
      <c r="P263" s="62"/>
      <c r="Q263" s="62"/>
      <c r="R263" s="62"/>
      <c r="S263" s="92"/>
      <c r="T263" s="62"/>
      <c r="U263" s="67"/>
    </row>
    <row r="264" s="58" customFormat="1" spans="1:21">
      <c r="A264" s="61"/>
      <c r="B264" s="62"/>
      <c r="C264" s="79"/>
      <c r="D264" s="61"/>
      <c r="E264" s="64"/>
      <c r="F264" s="64"/>
      <c r="G264" s="62"/>
      <c r="H264" s="62"/>
      <c r="I264" s="62"/>
      <c r="J264" s="62"/>
      <c r="K264" s="61"/>
      <c r="L264" s="65"/>
      <c r="M264" s="62"/>
      <c r="N264" s="11"/>
      <c r="O264" s="66"/>
      <c r="P264" s="62"/>
      <c r="Q264" s="62"/>
      <c r="R264" s="62"/>
      <c r="S264" s="94"/>
      <c r="T264" s="62"/>
      <c r="U264" s="67"/>
    </row>
    <row r="265" s="58" customFormat="1" spans="1:21">
      <c r="A265" s="61"/>
      <c r="B265" s="62"/>
      <c r="C265" s="79"/>
      <c r="D265" s="61"/>
      <c r="E265" s="64"/>
      <c r="F265" s="64"/>
      <c r="G265" s="62"/>
      <c r="H265" s="62"/>
      <c r="I265" s="62"/>
      <c r="J265" s="62"/>
      <c r="K265" s="61"/>
      <c r="L265" s="65"/>
      <c r="M265" s="62"/>
      <c r="N265" s="11"/>
      <c r="O265" s="66"/>
      <c r="P265" s="62"/>
      <c r="Q265" s="62"/>
      <c r="R265" s="62"/>
      <c r="S265" s="92"/>
      <c r="T265" s="62"/>
      <c r="U265" s="67"/>
    </row>
    <row r="266" s="58" customFormat="1" spans="1:21">
      <c r="A266" s="61"/>
      <c r="B266" s="62"/>
      <c r="C266" s="79"/>
      <c r="D266" s="61"/>
      <c r="E266" s="64"/>
      <c r="F266" s="64"/>
      <c r="G266" s="62"/>
      <c r="H266" s="62"/>
      <c r="I266" s="62"/>
      <c r="J266" s="62"/>
      <c r="K266" s="61"/>
      <c r="L266" s="65"/>
      <c r="M266" s="62"/>
      <c r="N266" s="11"/>
      <c r="O266" s="66"/>
      <c r="P266" s="62"/>
      <c r="Q266" s="62"/>
      <c r="R266" s="62"/>
      <c r="S266" s="62"/>
      <c r="T266" s="62"/>
      <c r="U266" s="67"/>
    </row>
    <row r="267" s="58" customFormat="1" spans="1:21">
      <c r="A267" s="61"/>
      <c r="B267" s="62"/>
      <c r="C267" s="79"/>
      <c r="D267" s="61"/>
      <c r="E267" s="64"/>
      <c r="F267" s="64"/>
      <c r="G267" s="62"/>
      <c r="H267" s="62"/>
      <c r="I267" s="62"/>
      <c r="J267" s="62"/>
      <c r="K267" s="61"/>
      <c r="L267" s="65"/>
      <c r="M267" s="62"/>
      <c r="N267" s="11"/>
      <c r="O267" s="66"/>
      <c r="P267" s="62"/>
      <c r="Q267" s="62"/>
      <c r="R267" s="62"/>
      <c r="S267" s="94"/>
      <c r="T267" s="62"/>
      <c r="U267" s="67"/>
    </row>
    <row r="268" s="58" customFormat="1" spans="1:21">
      <c r="A268" s="61"/>
      <c r="B268" s="62"/>
      <c r="C268" s="79"/>
      <c r="D268" s="61"/>
      <c r="E268" s="64"/>
      <c r="F268" s="64"/>
      <c r="G268" s="62"/>
      <c r="H268" s="62"/>
      <c r="I268" s="62"/>
      <c r="J268" s="62"/>
      <c r="K268" s="61"/>
      <c r="L268" s="65"/>
      <c r="M268" s="62"/>
      <c r="N268" s="11"/>
      <c r="O268" s="66"/>
      <c r="P268" s="62"/>
      <c r="Q268" s="62"/>
      <c r="R268" s="62"/>
      <c r="S268" s="92"/>
      <c r="T268" s="62"/>
      <c r="U268" s="67"/>
    </row>
    <row r="269" s="58" customFormat="1" spans="1:21">
      <c r="A269" s="61"/>
      <c r="B269" s="62"/>
      <c r="C269" s="79"/>
      <c r="D269" s="61"/>
      <c r="E269" s="64"/>
      <c r="F269" s="64"/>
      <c r="G269" s="62"/>
      <c r="H269" s="62"/>
      <c r="I269" s="62"/>
      <c r="J269" s="62"/>
      <c r="K269" s="61"/>
      <c r="L269" s="65"/>
      <c r="M269" s="62"/>
      <c r="N269" s="11"/>
      <c r="O269" s="66"/>
      <c r="P269" s="62"/>
      <c r="Q269" s="62"/>
      <c r="R269" s="62"/>
      <c r="S269" s="62"/>
      <c r="T269" s="62"/>
      <c r="U269" s="67"/>
    </row>
    <row r="270" s="58" customFormat="1" spans="1:21">
      <c r="A270" s="61"/>
      <c r="B270" s="62"/>
      <c r="C270" s="79"/>
      <c r="D270" s="61"/>
      <c r="E270" s="64"/>
      <c r="F270" s="64"/>
      <c r="G270" s="62"/>
      <c r="H270" s="62"/>
      <c r="I270" s="62"/>
      <c r="J270" s="62"/>
      <c r="K270" s="61"/>
      <c r="L270" s="65"/>
      <c r="M270" s="62"/>
      <c r="N270" s="11"/>
      <c r="O270" s="66"/>
      <c r="P270" s="62"/>
      <c r="Q270" s="62"/>
      <c r="R270" s="62"/>
      <c r="S270" s="94"/>
      <c r="T270" s="62"/>
      <c r="U270" s="67"/>
    </row>
    <row r="271" s="58" customFormat="1" spans="1:21">
      <c r="A271" s="61"/>
      <c r="B271" s="62"/>
      <c r="C271" s="79"/>
      <c r="D271" s="61"/>
      <c r="E271" s="64"/>
      <c r="F271" s="64"/>
      <c r="G271" s="62"/>
      <c r="H271" s="62"/>
      <c r="I271" s="62"/>
      <c r="J271" s="62"/>
      <c r="K271" s="61"/>
      <c r="L271" s="65"/>
      <c r="M271" s="62"/>
      <c r="N271" s="11"/>
      <c r="O271" s="66"/>
      <c r="P271" s="62"/>
      <c r="Q271" s="62"/>
      <c r="R271" s="62"/>
      <c r="S271" s="92"/>
      <c r="T271" s="62"/>
      <c r="U271" s="67"/>
    </row>
    <row r="272" s="58" customFormat="1" spans="1:21">
      <c r="A272" s="61"/>
      <c r="B272" s="62"/>
      <c r="C272" s="79"/>
      <c r="D272" s="61"/>
      <c r="E272" s="64"/>
      <c r="F272" s="64"/>
      <c r="G272" s="62"/>
      <c r="H272" s="62"/>
      <c r="I272" s="62"/>
      <c r="J272" s="62"/>
      <c r="K272" s="61"/>
      <c r="L272" s="65"/>
      <c r="M272" s="62"/>
      <c r="N272" s="11"/>
      <c r="O272" s="66"/>
      <c r="P272" s="62"/>
      <c r="Q272" s="62"/>
      <c r="R272" s="62"/>
      <c r="S272" s="94"/>
      <c r="T272" s="62"/>
      <c r="U272" s="67"/>
    </row>
    <row r="273" s="58" customFormat="1" spans="1:21">
      <c r="A273" s="61"/>
      <c r="B273" s="62"/>
      <c r="C273" s="79"/>
      <c r="D273" s="61"/>
      <c r="E273" s="64"/>
      <c r="F273" s="64"/>
      <c r="G273" s="62"/>
      <c r="H273" s="62"/>
      <c r="I273" s="62"/>
      <c r="J273" s="62"/>
      <c r="K273" s="61"/>
      <c r="L273" s="65"/>
      <c r="M273" s="62"/>
      <c r="N273" s="11"/>
      <c r="O273" s="66"/>
      <c r="P273" s="62"/>
      <c r="Q273" s="62"/>
      <c r="R273" s="62"/>
      <c r="S273" s="92"/>
      <c r="T273" s="62"/>
      <c r="U273" s="67"/>
    </row>
    <row r="274" s="58" customFormat="1" spans="1:21">
      <c r="A274" s="61"/>
      <c r="B274" s="62"/>
      <c r="C274" s="79"/>
      <c r="D274" s="61"/>
      <c r="E274" s="64"/>
      <c r="F274" s="64"/>
      <c r="G274" s="62"/>
      <c r="H274" s="62"/>
      <c r="I274" s="62"/>
      <c r="J274" s="62"/>
      <c r="K274" s="61"/>
      <c r="L274" s="65"/>
      <c r="M274" s="62"/>
      <c r="N274" s="11"/>
      <c r="O274" s="66"/>
      <c r="P274" s="62"/>
      <c r="Q274" s="62"/>
      <c r="R274" s="62"/>
      <c r="S274" s="62"/>
      <c r="T274" s="62"/>
      <c r="U274" s="67"/>
    </row>
    <row r="275" s="58" customFormat="1" spans="1:21">
      <c r="A275" s="61"/>
      <c r="B275" s="62"/>
      <c r="C275" s="79"/>
      <c r="D275" s="61"/>
      <c r="E275" s="64"/>
      <c r="F275" s="64"/>
      <c r="G275" s="62"/>
      <c r="H275" s="62"/>
      <c r="I275" s="62"/>
      <c r="J275" s="62"/>
      <c r="K275" s="61"/>
      <c r="L275" s="65"/>
      <c r="M275" s="62"/>
      <c r="N275" s="11"/>
      <c r="O275" s="66"/>
      <c r="P275" s="62"/>
      <c r="Q275" s="62"/>
      <c r="R275" s="62"/>
      <c r="S275" s="62"/>
      <c r="T275" s="62"/>
      <c r="U275" s="67"/>
    </row>
    <row r="276" s="58" customFormat="1" spans="1:21">
      <c r="A276" s="61"/>
      <c r="B276" s="108"/>
      <c r="C276" s="79"/>
      <c r="D276" s="109"/>
      <c r="E276" s="110"/>
      <c r="F276" s="110"/>
      <c r="G276" s="108"/>
      <c r="H276" s="108"/>
      <c r="I276" s="108"/>
      <c r="J276" s="108"/>
      <c r="K276" s="109"/>
      <c r="L276" s="106"/>
      <c r="M276" s="108"/>
      <c r="N276" s="111"/>
      <c r="O276" s="107"/>
      <c r="P276" s="108"/>
      <c r="Q276" s="108"/>
      <c r="R276" s="62"/>
      <c r="S276" s="108"/>
      <c r="T276" s="62"/>
      <c r="U276" s="67"/>
    </row>
    <row r="277" s="58" customFormat="1" spans="1:21">
      <c r="A277" s="61"/>
      <c r="B277" s="62"/>
      <c r="C277" s="79"/>
      <c r="D277" s="61"/>
      <c r="E277" s="64"/>
      <c r="F277" s="64"/>
      <c r="G277" s="62"/>
      <c r="H277" s="62"/>
      <c r="I277" s="62"/>
      <c r="J277" s="62"/>
      <c r="K277" s="61"/>
      <c r="L277" s="65"/>
      <c r="M277" s="62"/>
      <c r="N277" s="11"/>
      <c r="O277" s="66"/>
      <c r="P277" s="62"/>
      <c r="Q277" s="62"/>
      <c r="R277" s="62"/>
      <c r="S277" s="62"/>
      <c r="T277" s="62"/>
      <c r="U277" s="67"/>
    </row>
    <row r="278" s="58" customFormat="1" spans="1:21">
      <c r="A278" s="61"/>
      <c r="B278" s="62"/>
      <c r="C278" s="79"/>
      <c r="D278" s="61"/>
      <c r="E278" s="64"/>
      <c r="F278" s="64"/>
      <c r="G278" s="62"/>
      <c r="H278" s="62"/>
      <c r="I278" s="62"/>
      <c r="J278" s="62"/>
      <c r="K278" s="65"/>
      <c r="L278" s="65"/>
      <c r="M278" s="62"/>
      <c r="N278" s="11"/>
      <c r="O278" s="66"/>
      <c r="P278" s="62"/>
      <c r="Q278" s="62"/>
      <c r="R278" s="62"/>
      <c r="S278" s="62"/>
      <c r="T278" s="62"/>
      <c r="U278" s="67"/>
    </row>
    <row r="279" s="58" customFormat="1" spans="1:21">
      <c r="A279" s="61"/>
      <c r="B279" s="62"/>
      <c r="C279" s="79"/>
      <c r="D279" s="61"/>
      <c r="E279" s="64"/>
      <c r="F279" s="64"/>
      <c r="G279" s="62"/>
      <c r="H279" s="62"/>
      <c r="I279" s="62"/>
      <c r="J279" s="62"/>
      <c r="K279" s="65"/>
      <c r="L279" s="65"/>
      <c r="M279" s="62"/>
      <c r="N279" s="11"/>
      <c r="O279" s="66"/>
      <c r="P279" s="62"/>
      <c r="Q279" s="62"/>
      <c r="R279" s="62"/>
      <c r="S279" s="62"/>
      <c r="T279" s="62"/>
      <c r="U279" s="67"/>
    </row>
    <row r="280" s="58" customFormat="1" spans="1:21">
      <c r="A280" s="61"/>
      <c r="B280" s="62"/>
      <c r="C280" s="79"/>
      <c r="D280" s="61"/>
      <c r="E280" s="64"/>
      <c r="F280" s="64"/>
      <c r="G280" s="62"/>
      <c r="H280" s="62"/>
      <c r="I280" s="62"/>
      <c r="J280" s="62"/>
      <c r="K280" s="65"/>
      <c r="L280" s="65"/>
      <c r="M280" s="62"/>
      <c r="N280" s="11"/>
      <c r="O280" s="66"/>
      <c r="P280" s="62"/>
      <c r="Q280" s="62"/>
      <c r="R280" s="62"/>
      <c r="S280" s="62"/>
      <c r="T280" s="62"/>
      <c r="U280" s="67"/>
    </row>
    <row r="281" s="58" customFormat="1" spans="1:21">
      <c r="A281" s="61"/>
      <c r="B281" s="62"/>
      <c r="C281" s="79"/>
      <c r="D281" s="61"/>
      <c r="E281" s="64"/>
      <c r="F281" s="64"/>
      <c r="G281" s="62"/>
      <c r="H281" s="62"/>
      <c r="I281" s="62"/>
      <c r="J281" s="62"/>
      <c r="K281" s="65"/>
      <c r="L281" s="65"/>
      <c r="M281" s="62"/>
      <c r="N281" s="11"/>
      <c r="O281" s="66"/>
      <c r="P281" s="62"/>
      <c r="Q281" s="62"/>
      <c r="R281" s="62"/>
      <c r="S281" s="62"/>
      <c r="T281" s="62"/>
      <c r="U281" s="67"/>
    </row>
    <row r="282" s="58" customFormat="1" spans="1:21">
      <c r="A282" s="61"/>
      <c r="B282" s="62"/>
      <c r="C282" s="79"/>
      <c r="D282" s="61"/>
      <c r="E282" s="64"/>
      <c r="F282" s="64"/>
      <c r="G282" s="62"/>
      <c r="H282" s="62"/>
      <c r="I282" s="62"/>
      <c r="J282" s="62"/>
      <c r="K282" s="65"/>
      <c r="L282" s="65"/>
      <c r="M282" s="62"/>
      <c r="N282" s="11"/>
      <c r="O282" s="66"/>
      <c r="P282" s="62"/>
      <c r="Q282" s="62"/>
      <c r="R282" s="62"/>
      <c r="S282" s="62"/>
      <c r="T282" s="62"/>
      <c r="U282" s="67"/>
    </row>
    <row r="283" s="58" customFormat="1" spans="1:21">
      <c r="A283" s="61"/>
      <c r="B283" s="62"/>
      <c r="C283" s="79"/>
      <c r="D283" s="61"/>
      <c r="E283" s="64"/>
      <c r="F283" s="64"/>
      <c r="G283" s="62"/>
      <c r="H283" s="62"/>
      <c r="I283" s="62"/>
      <c r="J283" s="62"/>
      <c r="K283" s="65"/>
      <c r="L283" s="65"/>
      <c r="M283" s="62"/>
      <c r="N283" s="11"/>
      <c r="O283" s="66"/>
      <c r="P283" s="62"/>
      <c r="Q283" s="62"/>
      <c r="R283" s="62"/>
      <c r="S283" s="62"/>
      <c r="T283" s="62"/>
      <c r="U283" s="67"/>
    </row>
    <row r="284" s="58" customFormat="1" spans="1:21">
      <c r="A284" s="61"/>
      <c r="B284" s="62"/>
      <c r="C284" s="79"/>
      <c r="D284" s="61"/>
      <c r="E284" s="64"/>
      <c r="F284" s="64"/>
      <c r="G284" s="62"/>
      <c r="H284" s="62"/>
      <c r="I284" s="62"/>
      <c r="J284" s="62"/>
      <c r="K284" s="65"/>
      <c r="L284" s="65"/>
      <c r="M284" s="62"/>
      <c r="N284" s="11"/>
      <c r="O284" s="66"/>
      <c r="P284" s="62"/>
      <c r="Q284" s="62"/>
      <c r="R284" s="62"/>
      <c r="S284" s="62"/>
      <c r="T284" s="62"/>
      <c r="U284" s="67"/>
    </row>
    <row r="285" s="58" customFormat="1" spans="1:21">
      <c r="A285" s="61"/>
      <c r="B285" s="62"/>
      <c r="C285" s="79"/>
      <c r="D285" s="61"/>
      <c r="E285" s="64"/>
      <c r="F285" s="64"/>
      <c r="G285" s="62"/>
      <c r="H285" s="62"/>
      <c r="I285" s="62"/>
      <c r="J285" s="62"/>
      <c r="K285" s="65"/>
      <c r="L285" s="65"/>
      <c r="M285" s="62"/>
      <c r="N285" s="11"/>
      <c r="O285" s="66"/>
      <c r="P285" s="62"/>
      <c r="Q285" s="62"/>
      <c r="R285" s="62"/>
      <c r="S285" s="62"/>
      <c r="T285" s="62"/>
      <c r="U285" s="67"/>
    </row>
    <row r="286" s="58" customFormat="1" spans="1:21">
      <c r="A286" s="61"/>
      <c r="B286" s="62"/>
      <c r="C286" s="79"/>
      <c r="D286" s="61"/>
      <c r="E286" s="64"/>
      <c r="F286" s="64"/>
      <c r="G286" s="62"/>
      <c r="H286" s="62"/>
      <c r="I286" s="62"/>
      <c r="J286" s="62"/>
      <c r="K286" s="65"/>
      <c r="L286" s="65"/>
      <c r="M286" s="62"/>
      <c r="N286" s="11"/>
      <c r="O286" s="66"/>
      <c r="P286" s="62"/>
      <c r="Q286" s="62"/>
      <c r="R286" s="62"/>
      <c r="S286" s="62"/>
      <c r="T286" s="62"/>
      <c r="U286" s="67"/>
    </row>
    <row r="287" s="58" customFormat="1" spans="1:21">
      <c r="A287" s="61"/>
      <c r="B287" s="62"/>
      <c r="C287" s="79"/>
      <c r="D287" s="61"/>
      <c r="E287" s="64"/>
      <c r="F287" s="64"/>
      <c r="G287" s="62"/>
      <c r="H287" s="62"/>
      <c r="I287" s="62"/>
      <c r="J287" s="62"/>
      <c r="K287" s="65"/>
      <c r="L287" s="65"/>
      <c r="M287" s="62"/>
      <c r="N287" s="11"/>
      <c r="O287" s="66"/>
      <c r="P287" s="62"/>
      <c r="Q287" s="62"/>
      <c r="R287" s="62"/>
      <c r="S287" s="62"/>
      <c r="T287" s="62"/>
      <c r="U287" s="67"/>
    </row>
    <row r="288" s="58" customFormat="1" spans="1:21">
      <c r="A288" s="61"/>
      <c r="B288" s="62"/>
      <c r="C288" s="79"/>
      <c r="D288" s="61"/>
      <c r="E288" s="64"/>
      <c r="F288" s="64"/>
      <c r="G288" s="62"/>
      <c r="H288" s="62"/>
      <c r="I288" s="62"/>
      <c r="J288" s="62"/>
      <c r="K288" s="65"/>
      <c r="L288" s="65"/>
      <c r="M288" s="62"/>
      <c r="N288" s="11"/>
      <c r="O288" s="66"/>
      <c r="P288" s="62"/>
      <c r="Q288" s="62"/>
      <c r="R288" s="62"/>
      <c r="S288" s="62"/>
      <c r="T288" s="62"/>
      <c r="U288" s="67"/>
    </row>
    <row r="289" s="58" customFormat="1" spans="1:21">
      <c r="A289" s="61"/>
      <c r="B289" s="62"/>
      <c r="C289" s="79"/>
      <c r="D289" s="61"/>
      <c r="E289" s="64"/>
      <c r="F289" s="64"/>
      <c r="G289" s="62"/>
      <c r="H289" s="62"/>
      <c r="I289" s="62"/>
      <c r="J289" s="62"/>
      <c r="K289" s="65"/>
      <c r="L289" s="65"/>
      <c r="M289" s="62"/>
      <c r="N289" s="11"/>
      <c r="O289" s="66"/>
      <c r="P289" s="62"/>
      <c r="Q289" s="62"/>
      <c r="R289" s="62"/>
      <c r="S289" s="62"/>
      <c r="T289" s="62"/>
      <c r="U289" s="67"/>
    </row>
    <row r="290" s="58" customFormat="1" spans="1:21">
      <c r="A290" s="61"/>
      <c r="B290" s="62"/>
      <c r="C290" s="79"/>
      <c r="D290" s="61"/>
      <c r="E290" s="64"/>
      <c r="F290" s="64"/>
      <c r="G290" s="62"/>
      <c r="H290" s="62"/>
      <c r="I290" s="62"/>
      <c r="J290" s="62"/>
      <c r="K290" s="65"/>
      <c r="L290" s="65"/>
      <c r="M290" s="62"/>
      <c r="N290" s="11"/>
      <c r="O290" s="66"/>
      <c r="P290" s="62"/>
      <c r="Q290" s="62"/>
      <c r="R290" s="62"/>
      <c r="S290" s="62"/>
      <c r="T290" s="62"/>
      <c r="U290" s="67"/>
    </row>
    <row r="291" s="58" customFormat="1" spans="1:21">
      <c r="A291" s="61"/>
      <c r="B291" s="62"/>
      <c r="C291" s="79"/>
      <c r="D291" s="61"/>
      <c r="E291" s="64"/>
      <c r="F291" s="64"/>
      <c r="G291" s="62"/>
      <c r="H291" s="62"/>
      <c r="I291" s="62"/>
      <c r="J291" s="62"/>
      <c r="K291" s="65"/>
      <c r="L291" s="65"/>
      <c r="M291" s="62"/>
      <c r="N291" s="11"/>
      <c r="O291" s="66"/>
      <c r="P291" s="62"/>
      <c r="Q291" s="62"/>
      <c r="R291" s="62"/>
      <c r="S291" s="62"/>
      <c r="T291" s="62"/>
      <c r="U291" s="67"/>
    </row>
    <row r="292" s="58" customFormat="1" spans="1:21">
      <c r="A292" s="61"/>
      <c r="B292" s="62"/>
      <c r="C292" s="79"/>
      <c r="D292" s="61"/>
      <c r="E292" s="64"/>
      <c r="F292" s="64"/>
      <c r="G292" s="62"/>
      <c r="H292" s="62"/>
      <c r="I292" s="62"/>
      <c r="J292" s="62"/>
      <c r="K292" s="65"/>
      <c r="L292" s="65"/>
      <c r="M292" s="62"/>
      <c r="N292" s="11"/>
      <c r="O292" s="66"/>
      <c r="P292" s="62"/>
      <c r="Q292" s="62"/>
      <c r="R292" s="62"/>
      <c r="S292" s="62"/>
      <c r="T292" s="62"/>
      <c r="U292" s="67"/>
    </row>
    <row r="293" s="58" customFormat="1" spans="1:21">
      <c r="A293" s="61"/>
      <c r="B293" s="62"/>
      <c r="C293" s="79"/>
      <c r="D293" s="61"/>
      <c r="E293" s="64"/>
      <c r="F293" s="64"/>
      <c r="G293" s="62"/>
      <c r="H293" s="62"/>
      <c r="I293" s="62"/>
      <c r="J293" s="62"/>
      <c r="K293" s="65"/>
      <c r="L293" s="65"/>
      <c r="M293" s="62"/>
      <c r="N293" s="11"/>
      <c r="O293" s="66"/>
      <c r="P293" s="62"/>
      <c r="Q293" s="62"/>
      <c r="R293" s="62"/>
      <c r="S293" s="62"/>
      <c r="T293" s="62"/>
      <c r="U293" s="67"/>
    </row>
    <row r="294" s="58" customFormat="1" spans="1:21">
      <c r="A294" s="61"/>
      <c r="B294" s="62"/>
      <c r="C294" s="79"/>
      <c r="D294" s="61"/>
      <c r="E294" s="64"/>
      <c r="F294" s="64"/>
      <c r="G294" s="62"/>
      <c r="H294" s="62"/>
      <c r="I294" s="62"/>
      <c r="J294" s="62"/>
      <c r="K294" s="65"/>
      <c r="L294" s="65"/>
      <c r="M294" s="62"/>
      <c r="N294" s="11"/>
      <c r="O294" s="66"/>
      <c r="P294" s="62"/>
      <c r="Q294" s="62"/>
      <c r="R294" s="62"/>
      <c r="S294" s="62"/>
      <c r="T294" s="62"/>
      <c r="U294" s="67"/>
    </row>
    <row r="295" s="58" customFormat="1" spans="1:21">
      <c r="A295" s="61"/>
      <c r="B295" s="62"/>
      <c r="C295" s="79"/>
      <c r="D295" s="61"/>
      <c r="E295" s="64"/>
      <c r="F295" s="64"/>
      <c r="G295" s="62"/>
      <c r="H295" s="62"/>
      <c r="I295" s="62"/>
      <c r="J295" s="62"/>
      <c r="K295" s="65"/>
      <c r="L295" s="65"/>
      <c r="M295" s="62"/>
      <c r="N295" s="11"/>
      <c r="O295" s="66"/>
      <c r="P295" s="62"/>
      <c r="Q295" s="62"/>
      <c r="R295" s="62"/>
      <c r="S295" s="62"/>
      <c r="T295" s="62"/>
      <c r="U295" s="67"/>
    </row>
    <row r="296" s="58" customFormat="1" spans="1:21">
      <c r="A296" s="61"/>
      <c r="B296" s="62"/>
      <c r="C296" s="79"/>
      <c r="D296" s="61"/>
      <c r="E296" s="64"/>
      <c r="F296" s="64"/>
      <c r="G296" s="62"/>
      <c r="H296" s="62"/>
      <c r="I296" s="62"/>
      <c r="J296" s="62"/>
      <c r="K296" s="65"/>
      <c r="L296" s="65"/>
      <c r="M296" s="62"/>
      <c r="N296" s="11"/>
      <c r="O296" s="66"/>
      <c r="P296" s="62"/>
      <c r="Q296" s="62"/>
      <c r="R296" s="62"/>
      <c r="S296" s="62"/>
      <c r="T296" s="62"/>
      <c r="U296" s="67"/>
    </row>
    <row r="297" s="58" customFormat="1" spans="1:21">
      <c r="A297" s="61"/>
      <c r="B297" s="62"/>
      <c r="C297" s="79"/>
      <c r="D297" s="61"/>
      <c r="E297" s="64"/>
      <c r="F297" s="64"/>
      <c r="G297" s="62"/>
      <c r="H297" s="62"/>
      <c r="I297" s="62"/>
      <c r="J297" s="62"/>
      <c r="K297" s="65"/>
      <c r="L297" s="65"/>
      <c r="M297" s="62"/>
      <c r="N297" s="11"/>
      <c r="O297" s="66"/>
      <c r="P297" s="62"/>
      <c r="Q297" s="62"/>
      <c r="R297" s="62"/>
      <c r="S297" s="94"/>
      <c r="T297" s="62"/>
      <c r="U297" s="67"/>
    </row>
    <row r="298" s="58" customFormat="1" spans="1:21">
      <c r="A298" s="61"/>
      <c r="B298" s="62"/>
      <c r="C298" s="79"/>
      <c r="D298" s="61"/>
      <c r="E298" s="64"/>
      <c r="F298" s="64"/>
      <c r="G298" s="62"/>
      <c r="H298" s="62"/>
      <c r="I298" s="62"/>
      <c r="J298" s="62"/>
      <c r="K298" s="65"/>
      <c r="L298" s="65"/>
      <c r="M298" s="62"/>
      <c r="N298" s="11"/>
      <c r="O298" s="66"/>
      <c r="P298" s="62"/>
      <c r="Q298" s="62"/>
      <c r="R298" s="62"/>
      <c r="S298" s="92"/>
      <c r="T298" s="62"/>
      <c r="U298" s="67"/>
    </row>
    <row r="299" s="58" customFormat="1" spans="1:21">
      <c r="A299" s="61"/>
      <c r="B299" s="62"/>
      <c r="C299" s="79"/>
      <c r="D299" s="61"/>
      <c r="E299" s="64"/>
      <c r="F299" s="64"/>
      <c r="G299" s="62"/>
      <c r="H299" s="62"/>
      <c r="I299" s="62"/>
      <c r="J299" s="62"/>
      <c r="K299" s="65"/>
      <c r="L299" s="65"/>
      <c r="M299" s="62"/>
      <c r="N299" s="11"/>
      <c r="O299" s="66"/>
      <c r="P299" s="62"/>
      <c r="Q299" s="62"/>
      <c r="R299" s="62"/>
      <c r="S299" s="62"/>
      <c r="T299" s="62"/>
      <c r="U299" s="67"/>
    </row>
    <row r="300" s="58" customFormat="1" spans="1:21">
      <c r="A300" s="61"/>
      <c r="B300" s="62"/>
      <c r="C300" s="79"/>
      <c r="D300" s="61"/>
      <c r="E300" s="64"/>
      <c r="F300" s="64"/>
      <c r="G300" s="62"/>
      <c r="H300" s="62"/>
      <c r="I300" s="62"/>
      <c r="J300" s="62"/>
      <c r="K300" s="65"/>
      <c r="L300" s="65"/>
      <c r="M300" s="62"/>
      <c r="N300" s="11"/>
      <c r="O300" s="66"/>
      <c r="P300" s="62"/>
      <c r="Q300" s="62"/>
      <c r="R300" s="62"/>
      <c r="S300" s="62"/>
      <c r="T300" s="62"/>
      <c r="U300" s="67"/>
    </row>
    <row r="301" s="58" customFormat="1" spans="1:21">
      <c r="A301" s="61"/>
      <c r="B301" s="62"/>
      <c r="C301" s="79"/>
      <c r="D301" s="61"/>
      <c r="E301" s="64"/>
      <c r="F301" s="64"/>
      <c r="G301" s="62"/>
      <c r="H301" s="62"/>
      <c r="I301" s="62"/>
      <c r="J301" s="62"/>
      <c r="K301" s="106"/>
      <c r="L301" s="65"/>
      <c r="M301" s="62"/>
      <c r="N301" s="11"/>
      <c r="O301" s="66"/>
      <c r="P301" s="62"/>
      <c r="Q301" s="62"/>
      <c r="R301" s="62"/>
      <c r="S301" s="62"/>
      <c r="T301" s="62"/>
      <c r="U301" s="67"/>
    </row>
    <row r="302" s="58" customFormat="1" spans="1:21">
      <c r="A302" s="61"/>
      <c r="B302" s="62"/>
      <c r="C302" s="79"/>
      <c r="D302" s="61"/>
      <c r="E302" s="64"/>
      <c r="F302" s="64"/>
      <c r="G302" s="62"/>
      <c r="H302" s="62"/>
      <c r="I302" s="62"/>
      <c r="J302" s="62"/>
      <c r="K302" s="65"/>
      <c r="L302" s="65"/>
      <c r="M302" s="62"/>
      <c r="N302" s="11"/>
      <c r="O302" s="66"/>
      <c r="P302" s="62"/>
      <c r="Q302" s="62"/>
      <c r="R302" s="62"/>
      <c r="S302" s="62"/>
      <c r="T302" s="62"/>
      <c r="U302" s="67"/>
    </row>
    <row r="303" s="58" customFormat="1" spans="1:21">
      <c r="A303" s="61"/>
      <c r="B303" s="62"/>
      <c r="C303" s="79"/>
      <c r="D303" s="61"/>
      <c r="E303" s="64"/>
      <c r="F303" s="64"/>
      <c r="G303" s="62"/>
      <c r="H303" s="62"/>
      <c r="I303" s="62"/>
      <c r="J303" s="62"/>
      <c r="K303" s="65"/>
      <c r="L303" s="65"/>
      <c r="M303" s="62"/>
      <c r="N303" s="11"/>
      <c r="O303" s="66"/>
      <c r="P303" s="62"/>
      <c r="Q303" s="62"/>
      <c r="R303" s="62"/>
      <c r="S303" s="62"/>
      <c r="T303" s="62"/>
      <c r="U303" s="67"/>
    </row>
    <row r="304" s="58" customFormat="1" spans="1:21">
      <c r="A304" s="61"/>
      <c r="B304" s="62"/>
      <c r="C304" s="79"/>
      <c r="D304" s="61"/>
      <c r="E304" s="64"/>
      <c r="F304" s="64"/>
      <c r="G304" s="62"/>
      <c r="H304" s="62"/>
      <c r="I304" s="62"/>
      <c r="J304" s="62"/>
      <c r="K304" s="65"/>
      <c r="L304" s="65"/>
      <c r="M304" s="62"/>
      <c r="N304" s="11"/>
      <c r="O304" s="66"/>
      <c r="P304" s="62"/>
      <c r="Q304" s="62"/>
      <c r="R304" s="62"/>
      <c r="S304" s="94"/>
      <c r="T304" s="62"/>
      <c r="U304" s="67"/>
    </row>
    <row r="305" s="58" customFormat="1" spans="1:21">
      <c r="A305" s="61"/>
      <c r="B305" s="62"/>
      <c r="C305" s="79"/>
      <c r="D305" s="61"/>
      <c r="E305" s="64"/>
      <c r="F305" s="64"/>
      <c r="G305" s="62"/>
      <c r="H305" s="62"/>
      <c r="I305" s="62"/>
      <c r="J305" s="62"/>
      <c r="K305" s="65"/>
      <c r="L305" s="65"/>
      <c r="M305" s="62"/>
      <c r="N305" s="11"/>
      <c r="O305" s="66"/>
      <c r="P305" s="62"/>
      <c r="Q305" s="62"/>
      <c r="R305" s="62"/>
      <c r="S305" s="92"/>
      <c r="T305" s="62"/>
      <c r="U305" s="67"/>
    </row>
    <row r="306" s="58" customFormat="1" spans="1:21">
      <c r="A306" s="61"/>
      <c r="B306" s="62"/>
      <c r="C306" s="79"/>
      <c r="D306" s="61"/>
      <c r="E306" s="64"/>
      <c r="F306" s="64"/>
      <c r="G306" s="62"/>
      <c r="H306" s="62"/>
      <c r="I306" s="62"/>
      <c r="J306" s="62"/>
      <c r="K306" s="65"/>
      <c r="L306" s="65"/>
      <c r="M306" s="62"/>
      <c r="N306" s="11"/>
      <c r="O306" s="66"/>
      <c r="P306" s="62"/>
      <c r="Q306" s="62"/>
      <c r="R306" s="62"/>
      <c r="S306" s="62"/>
      <c r="T306" s="62"/>
      <c r="U306" s="67"/>
    </row>
    <row r="307" s="58" customFormat="1" spans="1:21">
      <c r="A307" s="61"/>
      <c r="B307" s="62"/>
      <c r="C307" s="79"/>
      <c r="D307" s="61"/>
      <c r="E307" s="64"/>
      <c r="F307" s="64"/>
      <c r="G307" s="62"/>
      <c r="H307" s="62"/>
      <c r="I307" s="62"/>
      <c r="J307" s="62"/>
      <c r="K307" s="65"/>
      <c r="L307" s="65"/>
      <c r="M307" s="62"/>
      <c r="N307" s="11"/>
      <c r="O307" s="66"/>
      <c r="P307" s="62"/>
      <c r="Q307" s="62"/>
      <c r="R307" s="62"/>
      <c r="S307" s="62"/>
      <c r="T307" s="62"/>
      <c r="U307" s="67"/>
    </row>
    <row r="308" s="58" customFormat="1" spans="1:21">
      <c r="A308" s="61"/>
      <c r="B308" s="62"/>
      <c r="C308" s="79"/>
      <c r="D308" s="61"/>
      <c r="E308" s="64"/>
      <c r="F308" s="64"/>
      <c r="G308" s="62"/>
      <c r="H308" s="62"/>
      <c r="I308" s="62"/>
      <c r="J308" s="62"/>
      <c r="K308" s="65"/>
      <c r="L308" s="65"/>
      <c r="M308" s="62"/>
      <c r="N308" s="11"/>
      <c r="O308" s="66"/>
      <c r="P308" s="62"/>
      <c r="Q308" s="62"/>
      <c r="R308" s="62"/>
      <c r="S308" s="62"/>
      <c r="T308" s="62"/>
      <c r="U308" s="67"/>
    </row>
    <row r="309" s="58" customFormat="1" spans="1:21">
      <c r="A309" s="61"/>
      <c r="B309" s="62"/>
      <c r="C309" s="79"/>
      <c r="D309" s="61"/>
      <c r="E309" s="64"/>
      <c r="F309" s="64"/>
      <c r="G309" s="62"/>
      <c r="H309" s="62"/>
      <c r="I309" s="62"/>
      <c r="J309" s="62"/>
      <c r="K309" s="65"/>
      <c r="L309" s="65"/>
      <c r="M309" s="62"/>
      <c r="N309" s="11"/>
      <c r="O309" s="66"/>
      <c r="P309" s="62"/>
      <c r="Q309" s="62"/>
      <c r="R309" s="62"/>
      <c r="S309" s="62"/>
      <c r="T309" s="62"/>
      <c r="U309" s="67"/>
    </row>
    <row r="310" s="58" customFormat="1" spans="1:21">
      <c r="A310" s="61"/>
      <c r="B310" s="62"/>
      <c r="C310" s="79"/>
      <c r="D310" s="61"/>
      <c r="E310" s="64"/>
      <c r="F310" s="64"/>
      <c r="G310" s="62"/>
      <c r="H310" s="62"/>
      <c r="I310" s="62"/>
      <c r="J310" s="62"/>
      <c r="K310" s="65"/>
      <c r="L310" s="65"/>
      <c r="M310" s="62"/>
      <c r="N310" s="11"/>
      <c r="O310" s="66"/>
      <c r="P310" s="62"/>
      <c r="Q310" s="62"/>
      <c r="R310" s="62"/>
      <c r="S310" s="62"/>
      <c r="T310" s="62"/>
      <c r="U310" s="67"/>
    </row>
    <row r="311" s="58" customFormat="1" spans="1:21">
      <c r="A311" s="61"/>
      <c r="B311" s="62"/>
      <c r="C311" s="79"/>
      <c r="D311" s="61"/>
      <c r="E311" s="64"/>
      <c r="F311" s="64"/>
      <c r="G311" s="62"/>
      <c r="H311" s="62"/>
      <c r="I311" s="62"/>
      <c r="J311" s="62"/>
      <c r="K311" s="65"/>
      <c r="L311" s="65"/>
      <c r="M311" s="62"/>
      <c r="N311" s="11"/>
      <c r="O311" s="66"/>
      <c r="P311" s="62"/>
      <c r="Q311" s="62"/>
      <c r="R311" s="62"/>
      <c r="S311" s="62"/>
      <c r="T311" s="62"/>
      <c r="U311" s="67"/>
    </row>
    <row r="312" s="58" customFormat="1" spans="1:21">
      <c r="A312" s="61"/>
      <c r="B312" s="62"/>
      <c r="C312" s="79"/>
      <c r="D312" s="61"/>
      <c r="E312" s="64"/>
      <c r="F312" s="64"/>
      <c r="G312" s="62"/>
      <c r="H312" s="62"/>
      <c r="I312" s="62"/>
      <c r="J312" s="62"/>
      <c r="K312" s="106"/>
      <c r="L312" s="65"/>
      <c r="M312" s="62"/>
      <c r="N312" s="11"/>
      <c r="O312" s="107"/>
      <c r="P312" s="62"/>
      <c r="Q312" s="62"/>
      <c r="R312" s="62"/>
      <c r="S312" s="94"/>
      <c r="T312" s="62"/>
      <c r="U312" s="67"/>
    </row>
    <row r="313" s="58" customFormat="1" spans="1:21">
      <c r="A313" s="61"/>
      <c r="B313" s="62"/>
      <c r="C313" s="79"/>
      <c r="D313" s="61"/>
      <c r="E313" s="64"/>
      <c r="F313" s="64"/>
      <c r="G313" s="62"/>
      <c r="H313" s="62"/>
      <c r="I313" s="62"/>
      <c r="J313" s="62"/>
      <c r="K313" s="65"/>
      <c r="L313" s="65"/>
      <c r="M313" s="62"/>
      <c r="N313" s="11"/>
      <c r="O313" s="66"/>
      <c r="P313" s="62"/>
      <c r="Q313" s="62"/>
      <c r="R313" s="62"/>
      <c r="S313" s="95"/>
      <c r="T313" s="62"/>
      <c r="U313" s="67"/>
    </row>
    <row r="314" s="58" customFormat="1" spans="1:21">
      <c r="A314" s="61"/>
      <c r="B314" s="62"/>
      <c r="C314" s="79"/>
      <c r="D314" s="61"/>
      <c r="E314" s="64"/>
      <c r="F314" s="64"/>
      <c r="G314" s="62"/>
      <c r="H314" s="62"/>
      <c r="I314" s="62"/>
      <c r="J314" s="62"/>
      <c r="K314" s="65"/>
      <c r="L314" s="65"/>
      <c r="M314" s="62"/>
      <c r="N314" s="11"/>
      <c r="O314" s="66"/>
      <c r="P314" s="62"/>
      <c r="Q314" s="62"/>
      <c r="R314" s="62"/>
      <c r="S314" s="92"/>
      <c r="T314" s="62"/>
      <c r="U314" s="67"/>
    </row>
    <row r="315" s="58" customFormat="1" spans="1:21">
      <c r="A315" s="61"/>
      <c r="B315" s="62"/>
      <c r="C315" s="79"/>
      <c r="D315" s="61"/>
      <c r="E315" s="64"/>
      <c r="F315" s="64"/>
      <c r="G315" s="62"/>
      <c r="H315" s="62"/>
      <c r="I315" s="62"/>
      <c r="J315" s="62"/>
      <c r="K315" s="65"/>
      <c r="L315" s="65"/>
      <c r="M315" s="62"/>
      <c r="N315" s="11"/>
      <c r="O315" s="66"/>
      <c r="P315" s="62"/>
      <c r="Q315" s="62"/>
      <c r="R315" s="62"/>
      <c r="S315" s="62"/>
      <c r="T315" s="62"/>
      <c r="U315" s="67"/>
    </row>
    <row r="316" s="58" customFormat="1" spans="1:21">
      <c r="A316" s="61"/>
      <c r="B316" s="62"/>
      <c r="C316" s="79"/>
      <c r="D316" s="61"/>
      <c r="E316" s="64"/>
      <c r="F316" s="64"/>
      <c r="G316" s="62"/>
      <c r="H316" s="62"/>
      <c r="I316" s="62"/>
      <c r="J316" s="62"/>
      <c r="K316" s="65"/>
      <c r="L316" s="65"/>
      <c r="M316" s="62"/>
      <c r="N316" s="11"/>
      <c r="O316" s="66"/>
      <c r="P316" s="62"/>
      <c r="Q316" s="62"/>
      <c r="R316" s="62"/>
      <c r="S316" s="62"/>
      <c r="T316" s="62"/>
      <c r="U316" s="67"/>
    </row>
    <row r="317" s="58" customFormat="1" spans="1:21">
      <c r="A317" s="61"/>
      <c r="B317" s="62"/>
      <c r="C317" s="79"/>
      <c r="D317" s="61"/>
      <c r="E317" s="64"/>
      <c r="F317" s="64"/>
      <c r="G317" s="62"/>
      <c r="H317" s="62"/>
      <c r="I317" s="62"/>
      <c r="J317" s="62"/>
      <c r="K317" s="65"/>
      <c r="L317" s="65"/>
      <c r="M317" s="62"/>
      <c r="N317" s="11"/>
      <c r="O317" s="66"/>
      <c r="P317" s="62"/>
      <c r="Q317" s="62"/>
      <c r="R317" s="62"/>
      <c r="S317" s="62"/>
      <c r="T317" s="62"/>
      <c r="U317" s="67"/>
    </row>
    <row r="318" s="58" customFormat="1" spans="1:21">
      <c r="A318" s="61"/>
      <c r="B318" s="62"/>
      <c r="C318" s="79"/>
      <c r="D318" s="61"/>
      <c r="E318" s="64"/>
      <c r="F318" s="64"/>
      <c r="G318" s="62"/>
      <c r="H318" s="62"/>
      <c r="I318" s="62"/>
      <c r="J318" s="62"/>
      <c r="K318" s="65"/>
      <c r="L318" s="65"/>
      <c r="M318" s="62"/>
      <c r="N318" s="11"/>
      <c r="O318" s="66"/>
      <c r="P318" s="62"/>
      <c r="Q318" s="62"/>
      <c r="R318" s="62"/>
      <c r="S318" s="62"/>
      <c r="T318" s="62"/>
      <c r="U318" s="67"/>
    </row>
    <row r="319" s="58" customFormat="1" spans="1:21">
      <c r="A319" s="61"/>
      <c r="B319" s="62"/>
      <c r="C319" s="79"/>
      <c r="D319" s="61"/>
      <c r="E319" s="64"/>
      <c r="F319" s="64"/>
      <c r="G319" s="62"/>
      <c r="H319" s="62"/>
      <c r="I319" s="62"/>
      <c r="J319" s="62"/>
      <c r="K319" s="65"/>
      <c r="L319" s="65"/>
      <c r="M319" s="62"/>
      <c r="N319" s="11"/>
      <c r="O319" s="66"/>
      <c r="P319" s="62"/>
      <c r="Q319" s="62"/>
      <c r="R319" s="62"/>
      <c r="S319" s="62"/>
      <c r="T319" s="62"/>
      <c r="U319" s="67"/>
    </row>
    <row r="320" s="58" customFormat="1" spans="1:21">
      <c r="A320" s="61"/>
      <c r="B320" s="62"/>
      <c r="C320" s="79"/>
      <c r="D320" s="61"/>
      <c r="E320" s="64"/>
      <c r="F320" s="64"/>
      <c r="G320" s="62"/>
      <c r="H320" s="62"/>
      <c r="I320" s="62"/>
      <c r="J320" s="62"/>
      <c r="K320" s="65"/>
      <c r="L320" s="65"/>
      <c r="M320" s="62"/>
      <c r="N320" s="11"/>
      <c r="O320" s="112"/>
      <c r="P320" s="62"/>
      <c r="Q320" s="62"/>
      <c r="R320" s="62"/>
      <c r="S320" s="62"/>
      <c r="T320" s="62"/>
      <c r="U320" s="67"/>
    </row>
    <row r="321" s="58" customFormat="1" spans="1:21">
      <c r="A321" s="61"/>
      <c r="B321" s="62"/>
      <c r="C321" s="79"/>
      <c r="D321" s="61"/>
      <c r="E321" s="64"/>
      <c r="F321" s="64"/>
      <c r="G321" s="62"/>
      <c r="H321" s="105"/>
      <c r="I321" s="62"/>
      <c r="J321" s="62"/>
      <c r="K321" s="65"/>
      <c r="L321" s="65"/>
      <c r="M321" s="62"/>
      <c r="N321" s="11"/>
      <c r="O321" s="66"/>
      <c r="P321" s="62"/>
      <c r="Q321" s="62"/>
      <c r="R321" s="62"/>
      <c r="S321" s="62"/>
      <c r="T321" s="62"/>
      <c r="U321" s="67"/>
    </row>
    <row r="322" s="58" customFormat="1" spans="1:21">
      <c r="A322" s="61"/>
      <c r="B322" s="62"/>
      <c r="C322" s="79"/>
      <c r="D322" s="61"/>
      <c r="E322" s="64"/>
      <c r="F322" s="64"/>
      <c r="G322" s="62"/>
      <c r="H322" s="62"/>
      <c r="I322" s="62"/>
      <c r="J322" s="62"/>
      <c r="K322" s="65"/>
      <c r="L322" s="65"/>
      <c r="M322" s="62"/>
      <c r="N322" s="11"/>
      <c r="O322" s="66"/>
      <c r="P322" s="62"/>
      <c r="Q322" s="62"/>
      <c r="R322" s="62"/>
      <c r="S322" s="94"/>
      <c r="T322" s="62"/>
      <c r="U322" s="67"/>
    </row>
    <row r="323" s="58" customFormat="1" spans="1:21">
      <c r="A323" s="61"/>
      <c r="B323" s="62"/>
      <c r="C323" s="79"/>
      <c r="D323" s="61"/>
      <c r="E323" s="64"/>
      <c r="F323" s="64"/>
      <c r="G323" s="62"/>
      <c r="H323" s="62"/>
      <c r="I323" s="62"/>
      <c r="J323" s="62"/>
      <c r="K323" s="65"/>
      <c r="L323" s="65"/>
      <c r="M323" s="62"/>
      <c r="N323" s="11"/>
      <c r="O323" s="66"/>
      <c r="P323" s="62"/>
      <c r="Q323" s="62"/>
      <c r="R323" s="62"/>
      <c r="S323" s="92"/>
      <c r="T323" s="62"/>
      <c r="U323" s="67"/>
    </row>
    <row r="324" s="58" customFormat="1" spans="1:21">
      <c r="A324" s="61"/>
      <c r="B324" s="62"/>
      <c r="C324" s="79"/>
      <c r="D324" s="61"/>
      <c r="E324" s="64"/>
      <c r="F324" s="64"/>
      <c r="G324" s="62"/>
      <c r="H324" s="62"/>
      <c r="I324" s="62"/>
      <c r="J324" s="62"/>
      <c r="K324" s="65"/>
      <c r="L324" s="65"/>
      <c r="M324" s="62"/>
      <c r="N324" s="11"/>
      <c r="O324" s="66"/>
      <c r="P324" s="62"/>
      <c r="Q324" s="62"/>
      <c r="R324" s="62"/>
      <c r="S324" s="94"/>
      <c r="T324" s="62"/>
      <c r="U324" s="67"/>
    </row>
    <row r="325" s="58" customFormat="1" spans="1:21">
      <c r="A325" s="61"/>
      <c r="B325" s="62"/>
      <c r="C325" s="79"/>
      <c r="D325" s="61"/>
      <c r="E325" s="64"/>
      <c r="F325" s="64"/>
      <c r="G325" s="62"/>
      <c r="H325" s="62"/>
      <c r="I325" s="62"/>
      <c r="J325" s="62"/>
      <c r="K325" s="65"/>
      <c r="L325" s="65"/>
      <c r="M325" s="62"/>
      <c r="N325" s="11"/>
      <c r="O325" s="66"/>
      <c r="P325" s="62"/>
      <c r="Q325" s="62"/>
      <c r="R325" s="62"/>
      <c r="S325" s="92"/>
      <c r="T325" s="62"/>
      <c r="U325" s="67"/>
    </row>
    <row r="326" s="58" customFormat="1" spans="1:21">
      <c r="A326" s="61"/>
      <c r="B326" s="62"/>
      <c r="C326" s="79"/>
      <c r="D326" s="61"/>
      <c r="E326" s="64"/>
      <c r="F326" s="64"/>
      <c r="G326" s="62"/>
      <c r="H326" s="62"/>
      <c r="I326" s="62"/>
      <c r="J326" s="62"/>
      <c r="K326" s="65"/>
      <c r="L326" s="65"/>
      <c r="M326" s="62"/>
      <c r="N326" s="11"/>
      <c r="O326" s="66"/>
      <c r="P326" s="62"/>
      <c r="Q326" s="62"/>
      <c r="R326" s="62"/>
      <c r="S326" s="94"/>
      <c r="T326" s="62"/>
      <c r="U326" s="67"/>
    </row>
    <row r="327" s="58" customFormat="1" spans="1:21">
      <c r="A327" s="61"/>
      <c r="B327" s="62"/>
      <c r="C327" s="79"/>
      <c r="D327" s="61"/>
      <c r="E327" s="64"/>
      <c r="F327" s="64"/>
      <c r="G327" s="62"/>
      <c r="H327" s="62"/>
      <c r="I327" s="62"/>
      <c r="J327" s="62"/>
      <c r="K327" s="65"/>
      <c r="L327" s="65"/>
      <c r="M327" s="62"/>
      <c r="N327" s="11"/>
      <c r="O327" s="66"/>
      <c r="P327" s="62"/>
      <c r="Q327" s="62"/>
      <c r="R327" s="62"/>
      <c r="S327" s="92"/>
      <c r="T327" s="62"/>
      <c r="U327" s="67"/>
    </row>
    <row r="328" s="58" customFormat="1" spans="1:21">
      <c r="A328" s="61"/>
      <c r="B328" s="62"/>
      <c r="C328" s="79"/>
      <c r="D328" s="61"/>
      <c r="E328" s="64"/>
      <c r="F328" s="64"/>
      <c r="G328" s="62"/>
      <c r="H328" s="62"/>
      <c r="I328" s="62"/>
      <c r="J328" s="62"/>
      <c r="K328" s="65"/>
      <c r="L328" s="65"/>
      <c r="M328" s="62"/>
      <c r="N328" s="11"/>
      <c r="O328" s="66"/>
      <c r="P328" s="62"/>
      <c r="Q328" s="62"/>
      <c r="R328" s="62"/>
      <c r="S328" s="62"/>
      <c r="T328" s="62"/>
      <c r="U328" s="67"/>
    </row>
    <row r="329" s="58" customFormat="1" spans="1:21">
      <c r="A329" s="61"/>
      <c r="B329" s="62"/>
      <c r="C329" s="79"/>
      <c r="D329" s="61"/>
      <c r="E329" s="64"/>
      <c r="F329" s="64"/>
      <c r="G329" s="62"/>
      <c r="H329" s="62"/>
      <c r="I329" s="62"/>
      <c r="J329" s="62"/>
      <c r="K329" s="65"/>
      <c r="L329" s="65"/>
      <c r="M329" s="62"/>
      <c r="N329" s="11"/>
      <c r="O329" s="66"/>
      <c r="P329" s="62"/>
      <c r="Q329" s="62"/>
      <c r="R329" s="62"/>
      <c r="S329" s="105"/>
      <c r="T329" s="62"/>
      <c r="U329" s="67"/>
    </row>
    <row r="330" s="58" customFormat="1" spans="1:21">
      <c r="A330" s="61"/>
      <c r="B330" s="62"/>
      <c r="C330" s="79"/>
      <c r="D330" s="61"/>
      <c r="E330" s="64"/>
      <c r="F330" s="64"/>
      <c r="G330" s="62"/>
      <c r="H330" s="62"/>
      <c r="I330" s="62"/>
      <c r="J330" s="62"/>
      <c r="K330" s="65"/>
      <c r="L330" s="65"/>
      <c r="M330" s="62"/>
      <c r="N330" s="11"/>
      <c r="O330" s="66"/>
      <c r="P330" s="62"/>
      <c r="Q330" s="62"/>
      <c r="R330" s="62"/>
      <c r="S330" s="62"/>
      <c r="T330" s="62"/>
      <c r="U330" s="67"/>
    </row>
    <row r="331" s="58" customFormat="1" spans="1:21">
      <c r="A331" s="61"/>
      <c r="B331" s="62"/>
      <c r="C331" s="79"/>
      <c r="D331" s="61"/>
      <c r="E331" s="64"/>
      <c r="F331" s="64"/>
      <c r="G331" s="62"/>
      <c r="H331" s="62"/>
      <c r="I331" s="62"/>
      <c r="J331" s="62"/>
      <c r="K331" s="106"/>
      <c r="L331" s="65"/>
      <c r="M331" s="62"/>
      <c r="N331" s="11"/>
      <c r="O331" s="66"/>
      <c r="P331" s="62"/>
      <c r="Q331" s="62"/>
      <c r="R331" s="62"/>
      <c r="S331" s="62"/>
      <c r="T331" s="62"/>
      <c r="U331" s="67"/>
    </row>
    <row r="332" s="58" customFormat="1" spans="1:21">
      <c r="A332" s="61"/>
      <c r="B332" s="62"/>
      <c r="C332" s="79"/>
      <c r="D332" s="61"/>
      <c r="E332" s="64"/>
      <c r="F332" s="64"/>
      <c r="G332" s="62"/>
      <c r="H332" s="62"/>
      <c r="I332" s="62"/>
      <c r="J332" s="62"/>
      <c r="K332" s="106"/>
      <c r="L332" s="65"/>
      <c r="M332" s="62"/>
      <c r="N332" s="11"/>
      <c r="O332" s="66"/>
      <c r="P332" s="62"/>
      <c r="Q332" s="62"/>
      <c r="R332" s="62"/>
      <c r="S332" s="62"/>
      <c r="T332" s="62"/>
      <c r="U332" s="67"/>
    </row>
    <row r="333" s="58" customFormat="1" spans="1:21">
      <c r="A333" s="61"/>
      <c r="B333" s="62"/>
      <c r="C333" s="79"/>
      <c r="D333" s="61"/>
      <c r="E333" s="64"/>
      <c r="F333" s="64"/>
      <c r="G333" s="62"/>
      <c r="H333" s="62"/>
      <c r="I333" s="62"/>
      <c r="J333" s="62"/>
      <c r="K333" s="106"/>
      <c r="L333" s="65"/>
      <c r="M333" s="62"/>
      <c r="N333" s="11"/>
      <c r="O333" s="66"/>
      <c r="P333" s="62"/>
      <c r="Q333" s="62"/>
      <c r="R333" s="62"/>
      <c r="S333" s="62"/>
      <c r="T333" s="62"/>
      <c r="U333" s="67"/>
    </row>
    <row r="334" s="58" customFormat="1" spans="1:21">
      <c r="A334" s="61"/>
      <c r="B334" s="62"/>
      <c r="C334" s="79"/>
      <c r="D334" s="61"/>
      <c r="E334" s="64"/>
      <c r="F334" s="64"/>
      <c r="G334" s="62"/>
      <c r="H334" s="62"/>
      <c r="I334" s="113"/>
      <c r="J334" s="62"/>
      <c r="K334" s="106"/>
      <c r="L334" s="65"/>
      <c r="M334" s="62"/>
      <c r="N334" s="11"/>
      <c r="O334" s="114"/>
      <c r="P334" s="62"/>
      <c r="Q334" s="62"/>
      <c r="R334" s="62"/>
      <c r="S334" s="62"/>
      <c r="T334" s="62"/>
      <c r="U334" s="67"/>
    </row>
    <row r="335" s="58" customFormat="1" spans="1:21">
      <c r="A335" s="61"/>
      <c r="B335" s="62"/>
      <c r="C335" s="79"/>
      <c r="D335" s="61"/>
      <c r="E335" s="64"/>
      <c r="F335" s="64"/>
      <c r="G335" s="62"/>
      <c r="H335" s="62"/>
      <c r="I335" s="113"/>
      <c r="J335" s="62"/>
      <c r="K335" s="65"/>
      <c r="L335" s="65"/>
      <c r="M335" s="62"/>
      <c r="N335" s="11"/>
      <c r="O335" s="114"/>
      <c r="P335" s="62"/>
      <c r="Q335" s="62"/>
      <c r="R335" s="62"/>
      <c r="S335" s="62"/>
      <c r="T335" s="62"/>
      <c r="U335" s="67"/>
    </row>
    <row r="336" s="58" customFormat="1" spans="1:21">
      <c r="A336" s="61"/>
      <c r="B336" s="62"/>
      <c r="C336" s="79"/>
      <c r="D336" s="61"/>
      <c r="E336" s="64"/>
      <c r="F336" s="64"/>
      <c r="G336" s="62"/>
      <c r="H336" s="62"/>
      <c r="I336" s="115"/>
      <c r="J336" s="62"/>
      <c r="K336" s="65"/>
      <c r="L336" s="65"/>
      <c r="M336" s="62"/>
      <c r="N336" s="11"/>
      <c r="O336" s="114"/>
      <c r="P336" s="62"/>
      <c r="Q336" s="62"/>
      <c r="R336" s="62"/>
      <c r="S336" s="62"/>
      <c r="T336" s="62"/>
      <c r="U336" s="67"/>
    </row>
    <row r="337" s="58" customFormat="1" spans="1:21">
      <c r="A337" s="61"/>
      <c r="B337" s="62"/>
      <c r="C337" s="79"/>
      <c r="D337" s="61"/>
      <c r="E337" s="64"/>
      <c r="F337" s="64"/>
      <c r="G337" s="62"/>
      <c r="H337" s="62"/>
      <c r="I337" s="116"/>
      <c r="J337" s="62"/>
      <c r="K337" s="65"/>
      <c r="L337" s="65"/>
      <c r="M337" s="62"/>
      <c r="N337" s="11"/>
      <c r="O337" s="114"/>
      <c r="P337" s="62"/>
      <c r="Q337" s="62"/>
      <c r="R337" s="62"/>
      <c r="S337" s="62"/>
      <c r="T337" s="62"/>
      <c r="U337" s="67"/>
    </row>
    <row r="338" s="58" customFormat="1" spans="1:21">
      <c r="A338" s="61"/>
      <c r="B338" s="62"/>
      <c r="C338" s="79"/>
      <c r="D338" s="61"/>
      <c r="E338" s="64"/>
      <c r="F338" s="64"/>
      <c r="G338" s="62"/>
      <c r="H338" s="62"/>
      <c r="I338" s="116"/>
      <c r="J338" s="62"/>
      <c r="K338" s="65"/>
      <c r="L338" s="65"/>
      <c r="M338" s="62"/>
      <c r="N338" s="11"/>
      <c r="O338" s="114"/>
      <c r="P338" s="62"/>
      <c r="Q338" s="62"/>
      <c r="R338" s="62"/>
      <c r="S338" s="62"/>
      <c r="T338" s="62"/>
      <c r="U338" s="67"/>
    </row>
    <row r="339" s="58" customFormat="1" spans="1:21">
      <c r="A339" s="61"/>
      <c r="B339" s="62"/>
      <c r="C339" s="79"/>
      <c r="D339" s="61"/>
      <c r="E339" s="64"/>
      <c r="F339" s="64"/>
      <c r="G339" s="62"/>
      <c r="H339" s="62"/>
      <c r="I339" s="116"/>
      <c r="J339" s="62"/>
      <c r="K339" s="106"/>
      <c r="L339" s="65"/>
      <c r="M339" s="62"/>
      <c r="N339" s="11"/>
      <c r="O339" s="117"/>
      <c r="P339" s="62"/>
      <c r="Q339" s="62"/>
      <c r="R339" s="62"/>
      <c r="S339" s="62"/>
      <c r="T339" s="62"/>
      <c r="U339" s="67"/>
    </row>
    <row r="340" s="58" customFormat="1" spans="1:21">
      <c r="A340" s="61"/>
      <c r="B340" s="62"/>
      <c r="C340" s="79"/>
      <c r="D340" s="61"/>
      <c r="E340" s="64"/>
      <c r="F340" s="64"/>
      <c r="G340" s="62"/>
      <c r="H340" s="62"/>
      <c r="I340" s="118"/>
      <c r="J340" s="62"/>
      <c r="K340" s="65"/>
      <c r="L340" s="65"/>
      <c r="M340" s="62"/>
      <c r="N340" s="11"/>
      <c r="O340" s="114"/>
      <c r="P340" s="62"/>
      <c r="Q340" s="62"/>
      <c r="R340" s="62"/>
      <c r="S340" s="62"/>
      <c r="T340" s="62"/>
      <c r="U340" s="67"/>
    </row>
    <row r="341" s="58" customFormat="1" spans="1:21">
      <c r="A341" s="61"/>
      <c r="B341" s="62"/>
      <c r="C341" s="79"/>
      <c r="D341" s="61"/>
      <c r="E341" s="64"/>
      <c r="F341" s="64"/>
      <c r="G341" s="62"/>
      <c r="H341" s="62"/>
      <c r="I341" s="118"/>
      <c r="J341" s="62"/>
      <c r="K341" s="65"/>
      <c r="L341" s="65"/>
      <c r="M341" s="62"/>
      <c r="N341" s="11"/>
      <c r="O341" s="114"/>
      <c r="P341" s="62"/>
      <c r="Q341" s="62"/>
      <c r="R341" s="62"/>
      <c r="S341" s="62"/>
      <c r="T341" s="62"/>
      <c r="U341" s="67"/>
    </row>
    <row r="342" s="58" customFormat="1" spans="1:21">
      <c r="A342" s="61"/>
      <c r="B342" s="62"/>
      <c r="C342" s="79"/>
      <c r="D342" s="61"/>
      <c r="E342" s="64"/>
      <c r="F342" s="64"/>
      <c r="G342" s="62"/>
      <c r="H342" s="62"/>
      <c r="I342" s="118"/>
      <c r="J342" s="62"/>
      <c r="K342" s="65"/>
      <c r="L342" s="65"/>
      <c r="M342" s="62"/>
      <c r="N342" s="11"/>
      <c r="O342" s="114"/>
      <c r="P342" s="62"/>
      <c r="Q342" s="62"/>
      <c r="R342" s="62"/>
      <c r="S342" s="62"/>
      <c r="T342" s="62"/>
      <c r="U342" s="67"/>
    </row>
    <row r="343" s="58" customFormat="1" spans="1:21">
      <c r="A343" s="61"/>
      <c r="B343" s="62"/>
      <c r="C343" s="79"/>
      <c r="D343" s="61"/>
      <c r="E343" s="64"/>
      <c r="F343" s="64"/>
      <c r="G343" s="62"/>
      <c r="H343" s="62"/>
      <c r="I343" s="62"/>
      <c r="J343" s="62"/>
      <c r="K343" s="65"/>
      <c r="L343" s="65"/>
      <c r="M343" s="62"/>
      <c r="N343" s="11"/>
      <c r="O343" s="114"/>
      <c r="P343" s="62"/>
      <c r="Q343" s="62"/>
      <c r="R343" s="62"/>
      <c r="S343" s="61"/>
      <c r="T343" s="62"/>
      <c r="U343" s="67"/>
    </row>
    <row r="344" s="58" customFormat="1" spans="1:21">
      <c r="A344" s="61"/>
      <c r="B344" s="62"/>
      <c r="C344" s="79"/>
      <c r="D344" s="61"/>
      <c r="E344" s="64"/>
      <c r="F344" s="64"/>
      <c r="G344" s="62"/>
      <c r="H344" s="62"/>
      <c r="I344" s="62"/>
      <c r="J344" s="62"/>
      <c r="K344" s="106"/>
      <c r="L344" s="65"/>
      <c r="M344" s="62"/>
      <c r="N344" s="11"/>
      <c r="O344" s="66"/>
      <c r="P344" s="62"/>
      <c r="Q344" s="62"/>
      <c r="R344" s="62"/>
      <c r="S344" s="61"/>
      <c r="T344" s="62"/>
      <c r="U344" s="67"/>
    </row>
    <row r="345" s="58" customFormat="1" spans="1:21">
      <c r="A345" s="61"/>
      <c r="B345" s="62"/>
      <c r="C345" s="79"/>
      <c r="D345" s="61"/>
      <c r="E345" s="64"/>
      <c r="F345" s="64"/>
      <c r="G345" s="62"/>
      <c r="H345" s="62"/>
      <c r="I345" s="62"/>
      <c r="J345" s="62"/>
      <c r="K345" s="65"/>
      <c r="L345" s="65"/>
      <c r="M345" s="62"/>
      <c r="N345" s="11"/>
      <c r="O345" s="66"/>
      <c r="P345" s="62"/>
      <c r="Q345" s="62"/>
      <c r="R345" s="62"/>
      <c r="S345" s="61"/>
      <c r="T345" s="62"/>
      <c r="U345" s="67"/>
    </row>
    <row r="346" s="58" customFormat="1" spans="1:21">
      <c r="A346" s="61"/>
      <c r="B346" s="62"/>
      <c r="C346" s="79"/>
      <c r="D346" s="61"/>
      <c r="E346" s="64"/>
      <c r="F346" s="64"/>
      <c r="G346" s="62"/>
      <c r="H346" s="62"/>
      <c r="I346" s="62"/>
      <c r="J346" s="62"/>
      <c r="K346" s="65"/>
      <c r="L346" s="65"/>
      <c r="M346" s="62"/>
      <c r="N346" s="11"/>
      <c r="O346" s="66"/>
      <c r="P346" s="62"/>
      <c r="Q346" s="62"/>
      <c r="R346" s="62"/>
      <c r="S346" s="61"/>
      <c r="T346" s="62"/>
      <c r="U346" s="67"/>
    </row>
    <row r="347" s="58" customFormat="1" spans="1:21">
      <c r="A347" s="61"/>
      <c r="B347" s="62"/>
      <c r="C347" s="79"/>
      <c r="D347" s="61"/>
      <c r="E347" s="64"/>
      <c r="F347" s="64"/>
      <c r="G347" s="62"/>
      <c r="H347" s="62"/>
      <c r="I347" s="62"/>
      <c r="J347" s="62"/>
      <c r="K347" s="65"/>
      <c r="L347" s="65"/>
      <c r="M347" s="62"/>
      <c r="N347" s="11"/>
      <c r="O347" s="66"/>
      <c r="P347" s="62"/>
      <c r="Q347" s="62"/>
      <c r="R347" s="62"/>
      <c r="S347" s="61"/>
      <c r="T347" s="62"/>
      <c r="U347" s="67"/>
    </row>
    <row r="348" s="58" customFormat="1" spans="1:21">
      <c r="A348" s="61"/>
      <c r="B348" s="62"/>
      <c r="C348" s="79"/>
      <c r="D348" s="61"/>
      <c r="E348" s="64"/>
      <c r="F348" s="64"/>
      <c r="G348" s="62"/>
      <c r="H348" s="62"/>
      <c r="I348" s="62"/>
      <c r="J348" s="62"/>
      <c r="K348" s="65"/>
      <c r="L348" s="65"/>
      <c r="M348" s="62"/>
      <c r="N348" s="11"/>
      <c r="O348" s="66"/>
      <c r="P348" s="62"/>
      <c r="Q348" s="62"/>
      <c r="R348" s="62"/>
      <c r="S348" s="61"/>
      <c r="T348" s="62"/>
      <c r="U348" s="67"/>
    </row>
    <row r="349" s="58" customFormat="1" spans="1:21">
      <c r="A349" s="61"/>
      <c r="B349" s="62"/>
      <c r="C349" s="79"/>
      <c r="D349" s="61"/>
      <c r="E349" s="64"/>
      <c r="F349" s="64"/>
      <c r="G349" s="62"/>
      <c r="H349" s="62"/>
      <c r="I349" s="62"/>
      <c r="J349" s="62"/>
      <c r="K349" s="65"/>
      <c r="L349" s="65"/>
      <c r="M349" s="62"/>
      <c r="N349" s="11"/>
      <c r="O349" s="66"/>
      <c r="P349" s="62"/>
      <c r="Q349" s="62"/>
      <c r="R349" s="62"/>
      <c r="S349" s="61"/>
      <c r="T349" s="62"/>
      <c r="U349" s="67"/>
    </row>
    <row r="350" s="58" customFormat="1" spans="1:21">
      <c r="A350" s="61"/>
      <c r="B350" s="62"/>
      <c r="C350" s="79"/>
      <c r="D350" s="61"/>
      <c r="E350" s="64"/>
      <c r="F350" s="64"/>
      <c r="G350" s="62"/>
      <c r="H350" s="62"/>
      <c r="I350" s="62"/>
      <c r="J350" s="62"/>
      <c r="K350" s="65"/>
      <c r="L350" s="65"/>
      <c r="M350" s="62"/>
      <c r="N350" s="11"/>
      <c r="O350" s="66"/>
      <c r="P350" s="62"/>
      <c r="Q350" s="62"/>
      <c r="R350" s="62"/>
      <c r="S350" s="61"/>
      <c r="T350" s="62"/>
      <c r="U350" s="67"/>
    </row>
    <row r="351" s="58" customFormat="1" spans="1:21">
      <c r="A351" s="61"/>
      <c r="B351" s="62"/>
      <c r="C351" s="79"/>
      <c r="D351" s="61"/>
      <c r="E351" s="64"/>
      <c r="F351" s="64"/>
      <c r="G351" s="62"/>
      <c r="H351" s="62"/>
      <c r="I351" s="116"/>
      <c r="J351" s="62"/>
      <c r="K351" s="65"/>
      <c r="L351" s="65"/>
      <c r="M351" s="62"/>
      <c r="N351" s="11"/>
      <c r="O351" s="66"/>
      <c r="P351" s="62"/>
      <c r="Q351" s="62"/>
      <c r="R351" s="62"/>
      <c r="S351" s="61"/>
      <c r="T351" s="62"/>
      <c r="U351" s="67"/>
    </row>
    <row r="352" s="58" customFormat="1" spans="1:21">
      <c r="A352" s="61"/>
      <c r="B352" s="62"/>
      <c r="C352" s="79"/>
      <c r="D352" s="61"/>
      <c r="E352" s="64"/>
      <c r="F352" s="64"/>
      <c r="G352" s="62"/>
      <c r="H352" s="62"/>
      <c r="I352" s="116"/>
      <c r="J352" s="62"/>
      <c r="K352" s="65"/>
      <c r="L352" s="65"/>
      <c r="M352" s="62"/>
      <c r="N352" s="11"/>
      <c r="O352" s="66"/>
      <c r="P352" s="62"/>
      <c r="Q352" s="62"/>
      <c r="R352" s="62"/>
      <c r="S352" s="61"/>
      <c r="T352" s="62"/>
      <c r="U352" s="67"/>
    </row>
    <row r="353" s="58" customFormat="1" spans="1:21">
      <c r="A353" s="61"/>
      <c r="B353" s="62"/>
      <c r="C353" s="79"/>
      <c r="D353" s="61"/>
      <c r="E353" s="64"/>
      <c r="F353" s="64"/>
      <c r="G353" s="62"/>
      <c r="H353" s="62"/>
      <c r="I353" s="116"/>
      <c r="J353" s="62"/>
      <c r="K353" s="65"/>
      <c r="L353" s="65"/>
      <c r="M353" s="62"/>
      <c r="N353" s="11"/>
      <c r="O353" s="66"/>
      <c r="P353" s="62"/>
      <c r="Q353" s="62"/>
      <c r="R353" s="62"/>
      <c r="S353" s="61"/>
      <c r="T353" s="62"/>
      <c r="U353" s="67"/>
    </row>
    <row r="354" s="58" customFormat="1" spans="1:21">
      <c r="A354" s="61"/>
      <c r="B354" s="62"/>
      <c r="C354" s="79"/>
      <c r="D354" s="61"/>
      <c r="E354" s="64"/>
      <c r="F354" s="64"/>
      <c r="G354" s="62"/>
      <c r="H354" s="62"/>
      <c r="I354" s="116"/>
      <c r="J354" s="62"/>
      <c r="K354" s="65"/>
      <c r="L354" s="65"/>
      <c r="M354" s="62"/>
      <c r="N354" s="11"/>
      <c r="O354" s="66"/>
      <c r="P354" s="62"/>
      <c r="Q354" s="62"/>
      <c r="R354" s="62"/>
      <c r="S354" s="61"/>
      <c r="T354" s="62"/>
      <c r="U354" s="67"/>
    </row>
    <row r="355" s="58" customFormat="1" spans="1:21">
      <c r="A355" s="61"/>
      <c r="B355" s="62"/>
      <c r="C355" s="79"/>
      <c r="D355" s="61"/>
      <c r="E355" s="64"/>
      <c r="F355" s="64"/>
      <c r="G355" s="62"/>
      <c r="H355" s="62"/>
      <c r="I355" s="62"/>
      <c r="J355" s="62"/>
      <c r="K355" s="106"/>
      <c r="L355" s="65"/>
      <c r="M355" s="62"/>
      <c r="N355" s="11"/>
      <c r="O355" s="66"/>
      <c r="P355" s="62"/>
      <c r="Q355" s="62"/>
      <c r="R355" s="62"/>
      <c r="S355" s="62"/>
      <c r="T355" s="62"/>
      <c r="U355" s="67"/>
    </row>
    <row r="356" s="58" customFormat="1" spans="1:21">
      <c r="A356" s="61"/>
      <c r="B356" s="62"/>
      <c r="C356" s="79"/>
      <c r="D356" s="61"/>
      <c r="E356" s="64"/>
      <c r="F356" s="64"/>
      <c r="G356" s="62"/>
      <c r="H356" s="62"/>
      <c r="I356" s="62"/>
      <c r="J356" s="62"/>
      <c r="K356" s="106"/>
      <c r="L356" s="65"/>
      <c r="M356" s="62"/>
      <c r="N356" s="11"/>
      <c r="O356" s="66"/>
      <c r="P356" s="62"/>
      <c r="Q356" s="62"/>
      <c r="R356" s="62"/>
      <c r="S356" s="62"/>
      <c r="T356" s="62"/>
      <c r="U356" s="67"/>
    </row>
    <row r="357" s="58" customFormat="1" spans="1:21">
      <c r="A357" s="61"/>
      <c r="B357" s="62"/>
      <c r="C357" s="79"/>
      <c r="D357" s="61"/>
      <c r="E357" s="64"/>
      <c r="F357" s="64"/>
      <c r="G357" s="62"/>
      <c r="H357" s="62"/>
      <c r="I357" s="119"/>
      <c r="J357" s="62"/>
      <c r="K357" s="106"/>
      <c r="L357" s="65"/>
      <c r="M357" s="62"/>
      <c r="N357" s="11"/>
      <c r="O357" s="66"/>
      <c r="P357" s="62"/>
      <c r="Q357" s="62"/>
      <c r="R357" s="62"/>
      <c r="S357" s="62"/>
      <c r="T357" s="62"/>
      <c r="U357" s="67"/>
    </row>
    <row r="358" s="58" customFormat="1" spans="1:21">
      <c r="A358" s="61"/>
      <c r="B358" s="62"/>
      <c r="C358" s="79"/>
      <c r="D358" s="61"/>
      <c r="E358" s="64"/>
      <c r="F358" s="64"/>
      <c r="G358" s="62"/>
      <c r="H358" s="62"/>
      <c r="I358" s="120"/>
      <c r="J358" s="62"/>
      <c r="K358" s="65"/>
      <c r="L358" s="65"/>
      <c r="M358" s="62"/>
      <c r="N358" s="11"/>
      <c r="O358" s="66"/>
      <c r="P358" s="62"/>
      <c r="Q358" s="62"/>
      <c r="R358" s="62"/>
      <c r="S358" s="62"/>
      <c r="T358" s="62"/>
      <c r="U358" s="67"/>
    </row>
    <row r="359" s="58" customFormat="1" spans="1:21">
      <c r="A359" s="61"/>
      <c r="B359" s="62"/>
      <c r="C359" s="79"/>
      <c r="D359" s="61"/>
      <c r="E359" s="64"/>
      <c r="F359" s="64"/>
      <c r="G359" s="62"/>
      <c r="H359" s="62"/>
      <c r="I359" s="62"/>
      <c r="J359" s="62"/>
      <c r="K359" s="65"/>
      <c r="L359" s="65"/>
      <c r="M359" s="62"/>
      <c r="N359" s="11"/>
      <c r="O359" s="66"/>
      <c r="P359" s="62"/>
      <c r="Q359" s="62"/>
      <c r="R359" s="62"/>
      <c r="S359" s="62"/>
      <c r="T359" s="62"/>
      <c r="U359" s="67"/>
    </row>
    <row r="360" s="58" customFormat="1" spans="1:21">
      <c r="A360" s="61"/>
      <c r="B360" s="62"/>
      <c r="C360" s="79"/>
      <c r="D360" s="61"/>
      <c r="E360" s="64"/>
      <c r="F360" s="64"/>
      <c r="G360" s="62"/>
      <c r="H360" s="105"/>
      <c r="I360" s="62"/>
      <c r="J360" s="62"/>
      <c r="K360" s="65"/>
      <c r="L360" s="65"/>
      <c r="M360" s="62"/>
      <c r="N360" s="11"/>
      <c r="O360" s="66"/>
      <c r="P360" s="62"/>
      <c r="Q360" s="62"/>
      <c r="R360" s="62"/>
      <c r="S360" s="62"/>
      <c r="T360" s="62"/>
      <c r="U360" s="67"/>
    </row>
    <row r="361" s="58" customFormat="1" spans="1:21">
      <c r="A361" s="61"/>
      <c r="B361" s="62"/>
      <c r="C361" s="79"/>
      <c r="D361" s="61"/>
      <c r="E361" s="64"/>
      <c r="F361" s="64"/>
      <c r="G361" s="62"/>
      <c r="H361" s="105"/>
      <c r="I361" s="105"/>
      <c r="J361" s="62"/>
      <c r="K361" s="65"/>
      <c r="L361" s="65"/>
      <c r="M361" s="62"/>
      <c r="N361" s="11"/>
      <c r="O361" s="66"/>
      <c r="P361" s="62"/>
      <c r="Q361" s="62"/>
      <c r="R361" s="62"/>
      <c r="S361" s="62"/>
      <c r="T361" s="62"/>
      <c r="U361" s="67"/>
    </row>
    <row r="362" s="58" customFormat="1" spans="1:21">
      <c r="A362" s="61"/>
      <c r="B362" s="62"/>
      <c r="C362" s="79"/>
      <c r="D362" s="61"/>
      <c r="E362" s="64"/>
      <c r="F362" s="64"/>
      <c r="G362" s="62"/>
      <c r="H362" s="105"/>
      <c r="I362" s="61"/>
      <c r="J362" s="62"/>
      <c r="K362" s="106"/>
      <c r="L362" s="65"/>
      <c r="M362" s="62"/>
      <c r="N362" s="11"/>
      <c r="O362" s="66"/>
      <c r="P362" s="62"/>
      <c r="Q362" s="62"/>
      <c r="R362" s="62"/>
      <c r="S362" s="94"/>
      <c r="T362" s="62"/>
      <c r="U362" s="67"/>
    </row>
    <row r="363" s="58" customFormat="1" spans="1:21">
      <c r="A363" s="61"/>
      <c r="B363" s="62"/>
      <c r="C363" s="79"/>
      <c r="D363" s="61"/>
      <c r="E363" s="64"/>
      <c r="F363" s="64"/>
      <c r="G363" s="62"/>
      <c r="H363" s="105"/>
      <c r="I363" s="61"/>
      <c r="J363" s="62"/>
      <c r="K363" s="65"/>
      <c r="L363" s="65"/>
      <c r="M363" s="62"/>
      <c r="N363" s="11"/>
      <c r="O363" s="66"/>
      <c r="P363" s="62"/>
      <c r="Q363" s="62"/>
      <c r="R363" s="62"/>
      <c r="S363" s="94"/>
      <c r="T363" s="62"/>
      <c r="U363" s="67"/>
    </row>
    <row r="364" s="58" customFormat="1" spans="1:21">
      <c r="A364" s="61"/>
      <c r="B364" s="62"/>
      <c r="C364" s="79"/>
      <c r="D364" s="61"/>
      <c r="E364" s="64"/>
      <c r="F364" s="64"/>
      <c r="G364" s="62"/>
      <c r="H364" s="62"/>
      <c r="I364" s="61"/>
      <c r="J364" s="62"/>
      <c r="K364" s="65"/>
      <c r="L364" s="65"/>
      <c r="M364" s="62"/>
      <c r="N364" s="11"/>
      <c r="O364" s="66"/>
      <c r="P364" s="62"/>
      <c r="Q364" s="62"/>
      <c r="R364" s="62"/>
      <c r="S364" s="94"/>
      <c r="T364" s="62"/>
      <c r="U364" s="67"/>
    </row>
    <row r="365" s="58" customFormat="1" spans="1:21">
      <c r="A365" s="61"/>
      <c r="B365" s="62"/>
      <c r="C365" s="79"/>
      <c r="D365" s="61"/>
      <c r="E365" s="64"/>
      <c r="F365" s="64"/>
      <c r="G365" s="62"/>
      <c r="H365" s="62"/>
      <c r="I365" s="61"/>
      <c r="J365" s="62"/>
      <c r="K365" s="65"/>
      <c r="L365" s="65"/>
      <c r="M365" s="62"/>
      <c r="N365" s="11"/>
      <c r="O365" s="66"/>
      <c r="P365" s="62"/>
      <c r="Q365" s="62"/>
      <c r="R365" s="62"/>
      <c r="S365" s="94"/>
      <c r="T365" s="62"/>
      <c r="U365" s="67"/>
    </row>
    <row r="366" s="58" customFormat="1" spans="1:21">
      <c r="A366" s="61"/>
      <c r="B366" s="62"/>
      <c r="C366" s="79"/>
      <c r="D366" s="61"/>
      <c r="E366" s="64"/>
      <c r="F366" s="64"/>
      <c r="G366" s="62"/>
      <c r="H366" s="62"/>
      <c r="I366" s="61"/>
      <c r="J366" s="62"/>
      <c r="K366" s="65"/>
      <c r="L366" s="65"/>
      <c r="M366" s="62"/>
      <c r="N366" s="11"/>
      <c r="O366" s="66"/>
      <c r="P366" s="62"/>
      <c r="Q366" s="62"/>
      <c r="R366" s="62"/>
      <c r="S366" s="95"/>
      <c r="T366" s="62"/>
      <c r="U366" s="67"/>
    </row>
    <row r="367" s="58" customFormat="1" spans="1:21">
      <c r="A367" s="61"/>
      <c r="B367" s="62"/>
      <c r="C367" s="79"/>
      <c r="D367" s="61"/>
      <c r="E367" s="64"/>
      <c r="F367" s="64"/>
      <c r="G367" s="62"/>
      <c r="H367" s="62"/>
      <c r="I367" s="62"/>
      <c r="J367" s="62"/>
      <c r="K367" s="65"/>
      <c r="L367" s="65"/>
      <c r="M367" s="62"/>
      <c r="N367" s="11"/>
      <c r="O367" s="66"/>
      <c r="P367" s="62"/>
      <c r="Q367" s="62"/>
      <c r="R367" s="62"/>
      <c r="S367" s="62"/>
      <c r="T367" s="62"/>
      <c r="U367" s="67"/>
    </row>
    <row r="368" s="58" customFormat="1" spans="1:21">
      <c r="A368" s="61"/>
      <c r="B368" s="62"/>
      <c r="C368" s="79"/>
      <c r="D368" s="61"/>
      <c r="E368" s="64"/>
      <c r="F368" s="64"/>
      <c r="G368" s="62"/>
      <c r="H368" s="62"/>
      <c r="I368" s="62"/>
      <c r="J368" s="62"/>
      <c r="K368" s="65"/>
      <c r="L368" s="65"/>
      <c r="M368" s="62"/>
      <c r="N368" s="11"/>
      <c r="O368" s="66"/>
      <c r="P368" s="62"/>
      <c r="Q368" s="62"/>
      <c r="R368" s="62"/>
      <c r="S368" s="94"/>
      <c r="T368" s="62"/>
      <c r="U368" s="67"/>
    </row>
    <row r="369" s="58" customFormat="1" spans="1:21">
      <c r="A369" s="61"/>
      <c r="B369" s="62"/>
      <c r="C369" s="79"/>
      <c r="D369" s="61"/>
      <c r="E369" s="64"/>
      <c r="F369" s="64"/>
      <c r="G369" s="62"/>
      <c r="H369" s="62"/>
      <c r="I369" s="62"/>
      <c r="J369" s="62"/>
      <c r="K369" s="65"/>
      <c r="L369" s="65"/>
      <c r="M369" s="62"/>
      <c r="N369" s="11"/>
      <c r="O369" s="66"/>
      <c r="P369" s="62"/>
      <c r="Q369" s="62"/>
      <c r="R369" s="62"/>
      <c r="S369" s="92"/>
      <c r="T369" s="62"/>
      <c r="U369" s="67"/>
    </row>
    <row r="370" s="58" customFormat="1" spans="1:21">
      <c r="A370" s="61"/>
      <c r="B370" s="62"/>
      <c r="C370" s="79"/>
      <c r="D370" s="61"/>
      <c r="E370" s="64"/>
      <c r="F370" s="64"/>
      <c r="G370" s="62"/>
      <c r="H370" s="62"/>
      <c r="I370" s="62"/>
      <c r="J370" s="62"/>
      <c r="K370" s="65"/>
      <c r="L370" s="65"/>
      <c r="M370" s="62"/>
      <c r="N370" s="11"/>
      <c r="O370" s="66"/>
      <c r="P370" s="62"/>
      <c r="Q370" s="62"/>
      <c r="R370" s="62"/>
      <c r="S370" s="62"/>
      <c r="T370" s="62"/>
      <c r="U370" s="67"/>
    </row>
    <row r="371" s="58" customFormat="1" spans="1:21">
      <c r="A371" s="61"/>
      <c r="B371" s="62"/>
      <c r="C371" s="79"/>
      <c r="D371" s="61"/>
      <c r="E371" s="64"/>
      <c r="F371" s="64"/>
      <c r="G371" s="62"/>
      <c r="H371" s="62"/>
      <c r="I371" s="62"/>
      <c r="J371" s="62"/>
      <c r="K371" s="65"/>
      <c r="L371" s="65"/>
      <c r="M371" s="62"/>
      <c r="N371" s="11"/>
      <c r="O371" s="66"/>
      <c r="P371" s="62"/>
      <c r="Q371" s="62"/>
      <c r="R371" s="62"/>
      <c r="S371" s="62"/>
      <c r="T371" s="62"/>
      <c r="U371" s="67"/>
    </row>
    <row r="372" s="58" customFormat="1" spans="1:21">
      <c r="A372" s="61"/>
      <c r="B372" s="62"/>
      <c r="C372" s="79"/>
      <c r="D372" s="61"/>
      <c r="E372" s="64"/>
      <c r="F372" s="64"/>
      <c r="G372" s="62"/>
      <c r="H372" s="62"/>
      <c r="I372" s="62"/>
      <c r="J372" s="62"/>
      <c r="K372" s="65"/>
      <c r="L372" s="65"/>
      <c r="M372" s="62"/>
      <c r="N372" s="11"/>
      <c r="O372" s="66"/>
      <c r="P372" s="62"/>
      <c r="Q372" s="62"/>
      <c r="R372" s="62"/>
      <c r="S372" s="62"/>
      <c r="T372" s="62"/>
      <c r="U372" s="67"/>
    </row>
    <row r="373" s="58" customFormat="1" spans="1:21">
      <c r="A373" s="61"/>
      <c r="B373" s="62"/>
      <c r="C373" s="79"/>
      <c r="D373" s="61"/>
      <c r="E373" s="64"/>
      <c r="F373" s="64"/>
      <c r="G373" s="62"/>
      <c r="H373" s="62"/>
      <c r="I373" s="62"/>
      <c r="J373" s="62"/>
      <c r="K373" s="65"/>
      <c r="L373" s="65"/>
      <c r="M373" s="62"/>
      <c r="N373" s="11"/>
      <c r="O373" s="66"/>
      <c r="P373" s="62"/>
      <c r="Q373" s="62"/>
      <c r="R373" s="62"/>
      <c r="S373" s="94"/>
      <c r="T373" s="62"/>
      <c r="U373" s="67"/>
    </row>
    <row r="374" s="58" customFormat="1" spans="1:21">
      <c r="A374" s="61"/>
      <c r="B374" s="62"/>
      <c r="C374" s="79"/>
      <c r="D374" s="61"/>
      <c r="E374" s="64"/>
      <c r="F374" s="64"/>
      <c r="G374" s="62"/>
      <c r="H374" s="62"/>
      <c r="I374" s="62"/>
      <c r="J374" s="62"/>
      <c r="K374" s="65"/>
      <c r="L374" s="65"/>
      <c r="M374" s="62"/>
      <c r="N374" s="11"/>
      <c r="O374" s="66"/>
      <c r="P374" s="62"/>
      <c r="Q374" s="62"/>
      <c r="R374" s="62"/>
      <c r="S374" s="92"/>
      <c r="T374" s="62"/>
      <c r="U374" s="67"/>
    </row>
    <row r="375" s="58" customFormat="1" spans="1:21">
      <c r="A375" s="61"/>
      <c r="B375" s="62"/>
      <c r="C375" s="79"/>
      <c r="D375" s="61"/>
      <c r="E375" s="64"/>
      <c r="F375" s="64"/>
      <c r="G375" s="62"/>
      <c r="H375" s="62"/>
      <c r="I375" s="62"/>
      <c r="J375" s="62"/>
      <c r="K375" s="65"/>
      <c r="L375" s="65"/>
      <c r="M375" s="62"/>
      <c r="N375" s="11"/>
      <c r="O375" s="66"/>
      <c r="P375" s="62"/>
      <c r="Q375" s="62"/>
      <c r="R375" s="62"/>
      <c r="S375" s="62"/>
      <c r="T375" s="62"/>
      <c r="U375" s="67"/>
    </row>
    <row r="376" s="58" customFormat="1" spans="1:21">
      <c r="A376" s="61"/>
      <c r="B376" s="62"/>
      <c r="C376" s="79"/>
      <c r="D376" s="61"/>
      <c r="E376" s="64"/>
      <c r="F376" s="64"/>
      <c r="G376" s="62"/>
      <c r="H376" s="62"/>
      <c r="I376" s="62"/>
      <c r="J376" s="62"/>
      <c r="K376" s="65"/>
      <c r="L376" s="65"/>
      <c r="M376" s="62"/>
      <c r="N376" s="11"/>
      <c r="O376" s="66"/>
      <c r="P376" s="62"/>
      <c r="Q376" s="62"/>
      <c r="R376" s="62"/>
      <c r="S376" s="62"/>
      <c r="T376" s="62"/>
      <c r="U376" s="67"/>
    </row>
    <row r="377" s="58" customFormat="1" spans="1:21">
      <c r="A377" s="61"/>
      <c r="B377" s="62"/>
      <c r="C377" s="79"/>
      <c r="D377" s="61"/>
      <c r="E377" s="64"/>
      <c r="F377" s="64"/>
      <c r="G377" s="62"/>
      <c r="H377" s="62"/>
      <c r="I377" s="62"/>
      <c r="J377" s="62"/>
      <c r="K377" s="65"/>
      <c r="L377" s="65"/>
      <c r="M377" s="62"/>
      <c r="N377" s="11"/>
      <c r="O377" s="66"/>
      <c r="P377" s="62"/>
      <c r="Q377" s="62"/>
      <c r="R377" s="62"/>
      <c r="S377" s="94"/>
      <c r="T377" s="62"/>
      <c r="U377" s="67"/>
    </row>
    <row r="378" s="58" customFormat="1" spans="1:21">
      <c r="A378" s="61"/>
      <c r="B378" s="62"/>
      <c r="C378" s="79"/>
      <c r="D378" s="61"/>
      <c r="E378" s="64"/>
      <c r="F378" s="64"/>
      <c r="G378" s="62"/>
      <c r="H378" s="62"/>
      <c r="I378" s="62"/>
      <c r="J378" s="62"/>
      <c r="K378" s="65"/>
      <c r="L378" s="65"/>
      <c r="M378" s="62"/>
      <c r="N378" s="11"/>
      <c r="O378" s="66"/>
      <c r="P378" s="62"/>
      <c r="Q378" s="62"/>
      <c r="R378" s="62"/>
      <c r="S378" s="92"/>
      <c r="T378" s="62"/>
      <c r="U378" s="67"/>
    </row>
    <row r="379" s="58" customFormat="1" spans="1:21">
      <c r="A379" s="61"/>
      <c r="B379" s="62"/>
      <c r="C379" s="79"/>
      <c r="D379" s="61"/>
      <c r="E379" s="64"/>
      <c r="F379" s="64"/>
      <c r="G379" s="62"/>
      <c r="H379" s="62"/>
      <c r="I379" s="62"/>
      <c r="J379" s="62"/>
      <c r="K379" s="65"/>
      <c r="L379" s="65"/>
      <c r="M379" s="62"/>
      <c r="N379" s="11"/>
      <c r="O379" s="66"/>
      <c r="P379" s="62"/>
      <c r="Q379" s="62"/>
      <c r="R379" s="62"/>
      <c r="S379" s="94"/>
      <c r="T379" s="62"/>
      <c r="U379" s="67"/>
    </row>
    <row r="380" s="58" customFormat="1" spans="1:21">
      <c r="A380" s="61"/>
      <c r="B380" s="62"/>
      <c r="C380" s="79"/>
      <c r="D380" s="61"/>
      <c r="E380" s="64"/>
      <c r="F380" s="64"/>
      <c r="G380" s="62"/>
      <c r="H380" s="62"/>
      <c r="I380" s="62"/>
      <c r="J380" s="62"/>
      <c r="K380" s="65"/>
      <c r="L380" s="65"/>
      <c r="M380" s="62"/>
      <c r="N380" s="11"/>
      <c r="O380" s="66"/>
      <c r="P380" s="62"/>
      <c r="Q380" s="62"/>
      <c r="R380" s="62"/>
      <c r="S380" s="92"/>
      <c r="T380" s="62"/>
      <c r="U380" s="67"/>
    </row>
    <row r="381" s="58" customFormat="1" spans="1:21">
      <c r="A381" s="61"/>
      <c r="B381" s="62"/>
      <c r="C381" s="79"/>
      <c r="D381" s="61"/>
      <c r="E381" s="64"/>
      <c r="F381" s="64"/>
      <c r="G381" s="62"/>
      <c r="H381" s="62"/>
      <c r="I381" s="62"/>
      <c r="J381" s="62"/>
      <c r="K381" s="65"/>
      <c r="L381" s="65"/>
      <c r="M381" s="62"/>
      <c r="N381" s="11"/>
      <c r="O381" s="66"/>
      <c r="P381" s="62"/>
      <c r="Q381" s="62"/>
      <c r="R381" s="62"/>
      <c r="S381" s="94"/>
      <c r="T381" s="62"/>
      <c r="U381" s="67"/>
    </row>
    <row r="382" s="58" customFormat="1" spans="1:21">
      <c r="A382" s="61"/>
      <c r="B382" s="62"/>
      <c r="C382" s="79"/>
      <c r="D382" s="61"/>
      <c r="E382" s="64"/>
      <c r="F382" s="64"/>
      <c r="G382" s="62"/>
      <c r="H382" s="62"/>
      <c r="I382" s="62"/>
      <c r="J382" s="62"/>
      <c r="K382" s="65"/>
      <c r="L382" s="65"/>
      <c r="M382" s="62"/>
      <c r="N382" s="11"/>
      <c r="O382" s="66"/>
      <c r="P382" s="62"/>
      <c r="Q382" s="62"/>
      <c r="R382" s="62"/>
      <c r="S382" s="92"/>
      <c r="T382" s="62"/>
      <c r="U382" s="67"/>
    </row>
    <row r="383" s="58" customFormat="1" spans="1:21">
      <c r="A383" s="61"/>
      <c r="B383" s="62"/>
      <c r="C383" s="79"/>
      <c r="D383" s="61"/>
      <c r="E383" s="64"/>
      <c r="F383" s="64"/>
      <c r="G383" s="62"/>
      <c r="H383" s="62"/>
      <c r="I383" s="62"/>
      <c r="J383" s="62"/>
      <c r="K383" s="106"/>
      <c r="L383" s="65"/>
      <c r="M383" s="62"/>
      <c r="N383" s="11"/>
      <c r="O383" s="107"/>
      <c r="P383" s="62"/>
      <c r="Q383" s="62"/>
      <c r="R383" s="62"/>
      <c r="S383" s="62"/>
      <c r="T383" s="62"/>
      <c r="U383" s="67"/>
    </row>
    <row r="384" s="58" customFormat="1" spans="1:21">
      <c r="A384" s="61"/>
      <c r="B384" s="62"/>
      <c r="C384" s="79"/>
      <c r="D384" s="61"/>
      <c r="E384" s="64"/>
      <c r="F384" s="64"/>
      <c r="G384" s="62"/>
      <c r="H384" s="62"/>
      <c r="I384" s="62"/>
      <c r="J384" s="62"/>
      <c r="K384" s="106"/>
      <c r="L384" s="65"/>
      <c r="M384" s="62"/>
      <c r="N384" s="11"/>
      <c r="O384" s="107"/>
      <c r="P384" s="62"/>
      <c r="Q384" s="62"/>
      <c r="R384" s="62"/>
      <c r="S384" s="62"/>
      <c r="T384" s="62"/>
      <c r="U384" s="67"/>
    </row>
    <row r="385" s="58" customFormat="1" spans="1:21">
      <c r="A385" s="61"/>
      <c r="B385" s="62"/>
      <c r="C385" s="79"/>
      <c r="D385" s="61"/>
      <c r="E385" s="64"/>
      <c r="F385" s="64"/>
      <c r="G385" s="62"/>
      <c r="H385" s="62"/>
      <c r="I385" s="62"/>
      <c r="J385" s="62"/>
      <c r="K385" s="65"/>
      <c r="L385" s="65"/>
      <c r="M385" s="62"/>
      <c r="N385" s="11"/>
      <c r="O385" s="66"/>
      <c r="P385" s="62"/>
      <c r="Q385" s="62"/>
      <c r="R385" s="62"/>
      <c r="S385" s="62"/>
      <c r="T385" s="62"/>
      <c r="U385" s="67"/>
    </row>
    <row r="386" s="58" customFormat="1" spans="1:21">
      <c r="A386" s="61"/>
      <c r="B386" s="62"/>
      <c r="C386" s="79"/>
      <c r="D386" s="61"/>
      <c r="E386" s="64"/>
      <c r="F386" s="64"/>
      <c r="G386" s="62"/>
      <c r="H386" s="62"/>
      <c r="I386" s="62"/>
      <c r="J386" s="62"/>
      <c r="K386" s="65"/>
      <c r="L386" s="65"/>
      <c r="M386" s="62"/>
      <c r="N386" s="11"/>
      <c r="O386" s="66"/>
      <c r="P386" s="62"/>
      <c r="Q386" s="62"/>
      <c r="R386" s="62"/>
      <c r="S386" s="62"/>
      <c r="T386" s="62"/>
      <c r="U386" s="67"/>
    </row>
    <row r="387" s="58" customFormat="1" spans="1:21">
      <c r="A387" s="61"/>
      <c r="B387" s="62"/>
      <c r="C387" s="79"/>
      <c r="D387" s="61"/>
      <c r="E387" s="64"/>
      <c r="F387" s="64"/>
      <c r="G387" s="62"/>
      <c r="H387" s="62"/>
      <c r="I387" s="62"/>
      <c r="J387" s="62"/>
      <c r="K387" s="65"/>
      <c r="L387" s="65"/>
      <c r="M387" s="62"/>
      <c r="N387" s="11"/>
      <c r="O387" s="66"/>
      <c r="P387" s="62"/>
      <c r="Q387" s="62"/>
      <c r="R387" s="62"/>
      <c r="S387" s="62"/>
      <c r="T387" s="62"/>
      <c r="U387" s="67"/>
    </row>
    <row r="388" s="58" customFormat="1" spans="1:21">
      <c r="A388" s="61"/>
      <c r="B388" s="62"/>
      <c r="C388" s="79"/>
      <c r="D388" s="61"/>
      <c r="E388" s="64"/>
      <c r="F388" s="64"/>
      <c r="G388" s="62"/>
      <c r="H388" s="62"/>
      <c r="I388" s="62"/>
      <c r="J388" s="62"/>
      <c r="K388" s="65"/>
      <c r="L388" s="65"/>
      <c r="M388" s="62"/>
      <c r="N388" s="11"/>
      <c r="O388" s="66"/>
      <c r="P388" s="62"/>
      <c r="Q388" s="62"/>
      <c r="R388" s="62"/>
      <c r="S388" s="94"/>
      <c r="T388" s="62"/>
      <c r="U388" s="67"/>
    </row>
    <row r="389" s="58" customFormat="1" spans="1:21">
      <c r="A389" s="61"/>
      <c r="B389" s="62"/>
      <c r="C389" s="79"/>
      <c r="D389" s="61"/>
      <c r="E389" s="64"/>
      <c r="F389" s="64"/>
      <c r="G389" s="62"/>
      <c r="H389" s="62"/>
      <c r="I389" s="62"/>
      <c r="J389" s="62"/>
      <c r="K389" s="65"/>
      <c r="L389" s="65"/>
      <c r="M389" s="62"/>
      <c r="N389" s="11"/>
      <c r="O389" s="66"/>
      <c r="P389" s="62"/>
      <c r="Q389" s="62"/>
      <c r="R389" s="62"/>
      <c r="S389" s="92"/>
      <c r="T389" s="62"/>
      <c r="U389" s="67"/>
    </row>
    <row r="390" s="58" customFormat="1" spans="1:21">
      <c r="A390" s="61"/>
      <c r="B390" s="62"/>
      <c r="C390" s="79"/>
      <c r="D390" s="61"/>
      <c r="E390" s="64"/>
      <c r="F390" s="64"/>
      <c r="G390" s="62"/>
      <c r="H390" s="62"/>
      <c r="I390" s="62"/>
      <c r="J390" s="62"/>
      <c r="K390" s="65"/>
      <c r="L390" s="65"/>
      <c r="M390" s="62"/>
      <c r="N390" s="11"/>
      <c r="O390" s="66"/>
      <c r="P390" s="62"/>
      <c r="Q390" s="62"/>
      <c r="R390" s="62"/>
      <c r="S390" s="62"/>
      <c r="T390" s="62"/>
      <c r="U390" s="67"/>
    </row>
    <row r="391" s="58" customFormat="1" spans="1:21">
      <c r="A391" s="61"/>
      <c r="B391" s="62"/>
      <c r="C391" s="79"/>
      <c r="D391" s="61"/>
      <c r="E391" s="64"/>
      <c r="F391" s="64"/>
      <c r="G391" s="62"/>
      <c r="H391" s="62"/>
      <c r="I391" s="62"/>
      <c r="J391" s="62"/>
      <c r="K391" s="65"/>
      <c r="L391" s="65"/>
      <c r="M391" s="62"/>
      <c r="N391" s="11"/>
      <c r="O391" s="89"/>
      <c r="P391" s="62"/>
      <c r="Q391" s="62"/>
      <c r="R391" s="62"/>
      <c r="S391" s="62"/>
      <c r="T391" s="62"/>
      <c r="U391" s="67"/>
    </row>
    <row r="392" s="58" customFormat="1" spans="1:21">
      <c r="A392" s="61"/>
      <c r="B392" s="62"/>
      <c r="C392" s="79"/>
      <c r="D392" s="61"/>
      <c r="E392" s="64"/>
      <c r="F392" s="64"/>
      <c r="G392" s="62"/>
      <c r="H392" s="62"/>
      <c r="I392" s="62"/>
      <c r="J392" s="62"/>
      <c r="K392" s="65"/>
      <c r="L392" s="65"/>
      <c r="M392" s="62"/>
      <c r="N392" s="11"/>
      <c r="O392" s="89"/>
      <c r="P392" s="62"/>
      <c r="Q392" s="62"/>
      <c r="R392" s="62"/>
      <c r="S392" s="62"/>
      <c r="T392" s="62"/>
      <c r="U392" s="67"/>
    </row>
    <row r="393" s="58" customFormat="1" spans="1:21">
      <c r="A393" s="61"/>
      <c r="B393" s="62"/>
      <c r="C393" s="79"/>
      <c r="D393" s="61"/>
      <c r="E393" s="64"/>
      <c r="F393" s="64"/>
      <c r="G393" s="62"/>
      <c r="H393" s="62"/>
      <c r="I393" s="62"/>
      <c r="J393" s="62"/>
      <c r="K393" s="65"/>
      <c r="L393" s="65"/>
      <c r="M393" s="62"/>
      <c r="N393" s="11"/>
      <c r="O393" s="66"/>
      <c r="P393" s="62"/>
      <c r="Q393" s="62"/>
      <c r="R393" s="62"/>
      <c r="S393" s="62"/>
      <c r="T393" s="62"/>
      <c r="U393" s="67"/>
    </row>
    <row r="394" s="58" customFormat="1" spans="1:21">
      <c r="A394" s="61"/>
      <c r="B394" s="62"/>
      <c r="C394" s="79"/>
      <c r="D394" s="61"/>
      <c r="E394" s="64"/>
      <c r="F394" s="64"/>
      <c r="G394" s="62"/>
      <c r="H394" s="62"/>
      <c r="I394" s="62"/>
      <c r="J394" s="62"/>
      <c r="K394" s="65"/>
      <c r="L394" s="65"/>
      <c r="M394" s="62"/>
      <c r="N394" s="11"/>
      <c r="O394" s="66"/>
      <c r="P394" s="62"/>
      <c r="Q394" s="62"/>
      <c r="R394" s="62"/>
      <c r="S394" s="62"/>
      <c r="T394" s="62"/>
      <c r="U394" s="67"/>
    </row>
    <row r="395" s="58" customFormat="1" spans="1:21">
      <c r="A395" s="61"/>
      <c r="B395" s="62"/>
      <c r="C395" s="79"/>
      <c r="D395" s="61"/>
      <c r="E395" s="64"/>
      <c r="F395" s="64"/>
      <c r="G395" s="62"/>
      <c r="H395" s="62"/>
      <c r="I395" s="62"/>
      <c r="J395" s="62"/>
      <c r="K395" s="65"/>
      <c r="L395" s="65"/>
      <c r="M395" s="62"/>
      <c r="N395" s="11"/>
      <c r="O395" s="66"/>
      <c r="P395" s="62"/>
      <c r="Q395" s="62"/>
      <c r="R395" s="62"/>
      <c r="S395" s="62"/>
      <c r="T395" s="62"/>
      <c r="U395" s="67"/>
    </row>
    <row r="396" s="58" customFormat="1" spans="1:21">
      <c r="A396" s="61"/>
      <c r="B396" s="62"/>
      <c r="C396" s="79"/>
      <c r="D396" s="61"/>
      <c r="E396" s="64"/>
      <c r="F396" s="64"/>
      <c r="G396" s="62"/>
      <c r="H396" s="62"/>
      <c r="I396" s="62"/>
      <c r="J396" s="62"/>
      <c r="K396" s="65"/>
      <c r="L396" s="65"/>
      <c r="M396" s="62"/>
      <c r="N396" s="11"/>
      <c r="O396" s="66"/>
      <c r="P396" s="62"/>
      <c r="Q396" s="62"/>
      <c r="R396" s="62"/>
      <c r="S396" s="62"/>
      <c r="T396" s="62"/>
      <c r="U396" s="67"/>
    </row>
    <row r="397" s="58" customFormat="1" spans="1:21">
      <c r="A397" s="61"/>
      <c r="B397" s="62"/>
      <c r="C397" s="79"/>
      <c r="D397" s="61"/>
      <c r="E397" s="64"/>
      <c r="F397" s="64"/>
      <c r="G397" s="62"/>
      <c r="H397" s="62"/>
      <c r="I397" s="62"/>
      <c r="J397" s="62"/>
      <c r="K397" s="65"/>
      <c r="L397" s="65"/>
      <c r="M397" s="62"/>
      <c r="N397" s="11"/>
      <c r="O397" s="66"/>
      <c r="P397" s="62"/>
      <c r="Q397" s="62"/>
      <c r="R397" s="62"/>
      <c r="S397" s="62"/>
      <c r="T397" s="62"/>
      <c r="U397" s="67"/>
    </row>
    <row r="398" s="58" customFormat="1" spans="1:21">
      <c r="A398" s="61"/>
      <c r="B398" s="62"/>
      <c r="C398" s="79"/>
      <c r="D398" s="61"/>
      <c r="E398" s="64"/>
      <c r="F398" s="64"/>
      <c r="G398" s="62"/>
      <c r="H398" s="62"/>
      <c r="I398" s="62"/>
      <c r="J398" s="62"/>
      <c r="K398" s="65"/>
      <c r="L398" s="65"/>
      <c r="M398" s="62"/>
      <c r="N398" s="11"/>
      <c r="O398" s="66"/>
      <c r="P398" s="62"/>
      <c r="Q398" s="62"/>
      <c r="R398" s="62"/>
      <c r="S398" s="62"/>
      <c r="T398" s="62"/>
      <c r="U398" s="67"/>
    </row>
    <row r="399" s="58" customFormat="1" spans="1:21">
      <c r="A399" s="61"/>
      <c r="B399" s="62"/>
      <c r="C399" s="79"/>
      <c r="D399" s="61"/>
      <c r="E399" s="64"/>
      <c r="F399" s="64"/>
      <c r="G399" s="62"/>
      <c r="H399" s="62"/>
      <c r="I399" s="62"/>
      <c r="J399" s="62"/>
      <c r="K399" s="65"/>
      <c r="L399" s="65"/>
      <c r="M399" s="62"/>
      <c r="N399" s="11"/>
      <c r="O399" s="66"/>
      <c r="P399" s="62"/>
      <c r="Q399" s="62"/>
      <c r="R399" s="62"/>
      <c r="S399" s="62"/>
      <c r="T399" s="62"/>
      <c r="U399" s="67"/>
    </row>
    <row r="400" s="58" customFormat="1" spans="1:21">
      <c r="A400" s="61"/>
      <c r="B400" s="62"/>
      <c r="C400" s="79"/>
      <c r="D400" s="61"/>
      <c r="E400" s="64"/>
      <c r="F400" s="64"/>
      <c r="G400" s="62"/>
      <c r="H400" s="62"/>
      <c r="I400" s="62"/>
      <c r="J400" s="62"/>
      <c r="K400" s="65"/>
      <c r="L400" s="65"/>
      <c r="M400" s="62"/>
      <c r="N400" s="11"/>
      <c r="O400" s="66"/>
      <c r="P400" s="62"/>
      <c r="Q400" s="62"/>
      <c r="R400" s="62"/>
      <c r="S400" s="62"/>
      <c r="T400" s="62"/>
      <c r="U400" s="67"/>
    </row>
    <row r="401" s="58" customFormat="1" spans="1:21">
      <c r="A401" s="61"/>
      <c r="B401" s="62"/>
      <c r="C401" s="79"/>
      <c r="D401" s="61"/>
      <c r="E401" s="64"/>
      <c r="F401" s="64"/>
      <c r="G401" s="62"/>
      <c r="H401" s="62"/>
      <c r="I401" s="62"/>
      <c r="J401" s="62"/>
      <c r="K401" s="65"/>
      <c r="L401" s="65"/>
      <c r="M401" s="62"/>
      <c r="N401" s="11"/>
      <c r="O401" s="66"/>
      <c r="P401" s="62"/>
      <c r="Q401" s="62"/>
      <c r="R401" s="62"/>
      <c r="S401" s="62"/>
      <c r="T401" s="62"/>
      <c r="U401" s="67"/>
    </row>
    <row r="402" s="58" customFormat="1" spans="1:21">
      <c r="A402" s="61"/>
      <c r="B402" s="62"/>
      <c r="C402" s="79"/>
      <c r="D402" s="61"/>
      <c r="E402" s="64"/>
      <c r="F402" s="64"/>
      <c r="G402" s="62"/>
      <c r="H402" s="62"/>
      <c r="I402" s="62"/>
      <c r="J402" s="62"/>
      <c r="K402" s="65"/>
      <c r="L402" s="65"/>
      <c r="M402" s="62"/>
      <c r="N402" s="11"/>
      <c r="O402" s="66"/>
      <c r="P402" s="62"/>
      <c r="Q402" s="62"/>
      <c r="R402" s="62"/>
      <c r="S402" s="62"/>
      <c r="T402" s="62"/>
      <c r="U402" s="67"/>
    </row>
    <row r="403" s="58" customFormat="1" spans="1:21">
      <c r="A403" s="61"/>
      <c r="B403" s="62"/>
      <c r="C403" s="79"/>
      <c r="D403" s="61"/>
      <c r="E403" s="64"/>
      <c r="F403" s="64"/>
      <c r="G403" s="62"/>
      <c r="H403" s="62"/>
      <c r="I403" s="62"/>
      <c r="J403" s="62"/>
      <c r="K403" s="65"/>
      <c r="L403" s="65"/>
      <c r="M403" s="62"/>
      <c r="N403" s="11"/>
      <c r="O403" s="66"/>
      <c r="P403" s="62"/>
      <c r="Q403" s="62"/>
      <c r="R403" s="62"/>
      <c r="S403" s="62"/>
      <c r="T403" s="62"/>
      <c r="U403" s="67"/>
    </row>
    <row r="404" s="58" customFormat="1" spans="1:21">
      <c r="A404" s="61"/>
      <c r="B404" s="62"/>
      <c r="C404" s="79"/>
      <c r="D404" s="61"/>
      <c r="E404" s="64"/>
      <c r="F404" s="64"/>
      <c r="G404" s="62"/>
      <c r="H404" s="62"/>
      <c r="I404" s="62"/>
      <c r="J404" s="62"/>
      <c r="K404" s="65"/>
      <c r="L404" s="65"/>
      <c r="M404" s="62"/>
      <c r="N404" s="11"/>
      <c r="O404" s="66"/>
      <c r="P404" s="62"/>
      <c r="Q404" s="62"/>
      <c r="R404" s="62"/>
      <c r="S404" s="62"/>
      <c r="T404" s="62"/>
      <c r="U404" s="67"/>
    </row>
    <row r="405" s="58" customFormat="1" spans="1:21">
      <c r="A405" s="61"/>
      <c r="B405" s="62"/>
      <c r="C405" s="79"/>
      <c r="D405" s="61"/>
      <c r="E405" s="64"/>
      <c r="F405" s="64"/>
      <c r="G405" s="62"/>
      <c r="H405" s="62"/>
      <c r="I405" s="62"/>
      <c r="J405" s="62"/>
      <c r="K405" s="65"/>
      <c r="L405" s="65"/>
      <c r="M405" s="62"/>
      <c r="N405" s="11"/>
      <c r="O405" s="66"/>
      <c r="P405" s="62"/>
      <c r="Q405" s="62"/>
      <c r="R405" s="62"/>
      <c r="S405" s="62"/>
      <c r="T405" s="62"/>
      <c r="U405" s="67"/>
    </row>
    <row r="406" s="58" customFormat="1" spans="1:21">
      <c r="A406" s="61"/>
      <c r="B406" s="62"/>
      <c r="C406" s="79"/>
      <c r="D406" s="61"/>
      <c r="E406" s="64"/>
      <c r="F406" s="64"/>
      <c r="G406" s="62"/>
      <c r="H406" s="62"/>
      <c r="I406" s="62"/>
      <c r="J406" s="62"/>
      <c r="K406" s="65"/>
      <c r="L406" s="65"/>
      <c r="M406" s="62"/>
      <c r="N406" s="11"/>
      <c r="O406" s="66"/>
      <c r="P406" s="62"/>
      <c r="Q406" s="62"/>
      <c r="R406" s="62"/>
      <c r="S406" s="62"/>
      <c r="T406" s="62"/>
      <c r="U406" s="67"/>
    </row>
    <row r="407" s="58" customFormat="1" spans="1:21">
      <c r="A407" s="61"/>
      <c r="B407" s="62"/>
      <c r="C407" s="79"/>
      <c r="D407" s="61"/>
      <c r="E407" s="64"/>
      <c r="F407" s="64"/>
      <c r="G407" s="62"/>
      <c r="H407" s="62"/>
      <c r="I407" s="62"/>
      <c r="J407" s="62"/>
      <c r="K407" s="65"/>
      <c r="L407" s="65"/>
      <c r="M407" s="62"/>
      <c r="N407" s="11"/>
      <c r="O407" s="66"/>
      <c r="P407" s="62"/>
      <c r="Q407" s="62"/>
      <c r="R407" s="62"/>
      <c r="S407" s="62"/>
      <c r="T407" s="62"/>
      <c r="U407" s="67"/>
    </row>
    <row r="408" s="58" customFormat="1" spans="1:21">
      <c r="A408" s="61"/>
      <c r="B408" s="62"/>
      <c r="C408" s="79"/>
      <c r="D408" s="61"/>
      <c r="E408" s="64"/>
      <c r="F408" s="64"/>
      <c r="G408" s="62"/>
      <c r="H408" s="62"/>
      <c r="I408" s="62"/>
      <c r="J408" s="62"/>
      <c r="K408" s="65"/>
      <c r="L408" s="65"/>
      <c r="M408" s="62"/>
      <c r="N408" s="11"/>
      <c r="O408" s="121"/>
      <c r="P408" s="62"/>
      <c r="Q408" s="62"/>
      <c r="R408" s="62"/>
      <c r="S408" s="62"/>
      <c r="T408" s="62"/>
      <c r="U408" s="67"/>
    </row>
    <row r="409" s="58" customFormat="1" spans="1:21">
      <c r="A409" s="61"/>
      <c r="B409" s="62"/>
      <c r="C409" s="79"/>
      <c r="D409" s="61"/>
      <c r="E409" s="64"/>
      <c r="F409" s="64"/>
      <c r="G409" s="62"/>
      <c r="H409" s="62"/>
      <c r="I409" s="62"/>
      <c r="J409" s="62"/>
      <c r="K409" s="65"/>
      <c r="L409" s="65"/>
      <c r="M409" s="62"/>
      <c r="N409" s="11"/>
      <c r="O409" s="66"/>
      <c r="P409" s="62"/>
      <c r="Q409" s="62"/>
      <c r="R409" s="62"/>
      <c r="S409" s="62"/>
      <c r="T409" s="62"/>
      <c r="U409" s="67"/>
    </row>
    <row r="410" s="58" customFormat="1" spans="1:21">
      <c r="A410" s="61"/>
      <c r="B410" s="62"/>
      <c r="C410" s="79"/>
      <c r="D410" s="61"/>
      <c r="E410" s="64"/>
      <c r="F410" s="64"/>
      <c r="G410" s="62"/>
      <c r="H410" s="62"/>
      <c r="I410" s="62"/>
      <c r="J410" s="62"/>
      <c r="K410" s="65"/>
      <c r="L410" s="65"/>
      <c r="M410" s="62"/>
      <c r="N410" s="11"/>
      <c r="O410" s="66"/>
      <c r="P410" s="62"/>
      <c r="Q410" s="62"/>
      <c r="R410" s="62"/>
      <c r="S410" s="62"/>
      <c r="T410" s="62"/>
      <c r="U410" s="67"/>
    </row>
    <row r="411" s="58" customFormat="1" spans="1:21">
      <c r="A411" s="61"/>
      <c r="B411" s="62"/>
      <c r="C411" s="79"/>
      <c r="D411" s="61"/>
      <c r="E411" s="64"/>
      <c r="F411" s="64"/>
      <c r="G411" s="62"/>
      <c r="H411" s="62"/>
      <c r="I411" s="62"/>
      <c r="J411" s="62"/>
      <c r="K411" s="106"/>
      <c r="L411" s="65"/>
      <c r="M411" s="62"/>
      <c r="N411" s="11"/>
      <c r="O411" s="66"/>
      <c r="P411" s="62"/>
      <c r="Q411" s="62"/>
      <c r="R411" s="62"/>
      <c r="S411" s="62"/>
      <c r="T411" s="62"/>
      <c r="U411" s="67"/>
    </row>
    <row r="412" s="58" customFormat="1" spans="1:21">
      <c r="A412" s="61"/>
      <c r="B412" s="62"/>
      <c r="C412" s="79"/>
      <c r="D412" s="61"/>
      <c r="E412" s="64"/>
      <c r="F412" s="64"/>
      <c r="G412" s="62"/>
      <c r="H412" s="62"/>
      <c r="I412" s="62"/>
      <c r="J412" s="62"/>
      <c r="K412" s="106"/>
      <c r="L412" s="65"/>
      <c r="M412" s="62"/>
      <c r="N412" s="11"/>
      <c r="O412" s="66"/>
      <c r="P412" s="62"/>
      <c r="Q412" s="62"/>
      <c r="R412" s="62"/>
      <c r="S412" s="62"/>
      <c r="T412" s="62"/>
      <c r="U412" s="67"/>
    </row>
    <row r="413" s="58" customFormat="1" spans="1:21">
      <c r="A413" s="61"/>
      <c r="B413" s="62"/>
      <c r="C413" s="79"/>
      <c r="D413" s="61"/>
      <c r="E413" s="64"/>
      <c r="F413" s="64"/>
      <c r="G413" s="62"/>
      <c r="H413" s="62"/>
      <c r="I413" s="62"/>
      <c r="J413" s="62"/>
      <c r="K413" s="106"/>
      <c r="L413" s="65"/>
      <c r="M413" s="62"/>
      <c r="N413" s="11"/>
      <c r="O413" s="66"/>
      <c r="P413" s="62"/>
      <c r="Q413" s="62"/>
      <c r="R413" s="62"/>
      <c r="S413" s="62"/>
      <c r="T413" s="62"/>
      <c r="U413" s="67"/>
    </row>
    <row r="414" s="58" customFormat="1" spans="1:21">
      <c r="A414" s="61"/>
      <c r="B414" s="62"/>
      <c r="C414" s="79"/>
      <c r="D414" s="61"/>
      <c r="E414" s="64"/>
      <c r="F414" s="64"/>
      <c r="G414" s="62"/>
      <c r="H414" s="62"/>
      <c r="I414" s="62"/>
      <c r="J414" s="62"/>
      <c r="K414" s="65"/>
      <c r="L414" s="65"/>
      <c r="M414" s="62"/>
      <c r="N414" s="11"/>
      <c r="O414" s="66"/>
      <c r="P414" s="62"/>
      <c r="Q414" s="62"/>
      <c r="R414" s="62"/>
      <c r="S414" s="62"/>
      <c r="T414" s="62"/>
      <c r="U414" s="67"/>
    </row>
    <row r="415" s="58" customFormat="1" spans="1:21">
      <c r="A415" s="61"/>
      <c r="B415" s="62"/>
      <c r="C415" s="79"/>
      <c r="D415" s="61"/>
      <c r="E415" s="64"/>
      <c r="F415" s="64"/>
      <c r="G415" s="62"/>
      <c r="H415" s="62"/>
      <c r="I415" s="62"/>
      <c r="J415" s="62"/>
      <c r="K415" s="65"/>
      <c r="L415" s="65"/>
      <c r="M415" s="62"/>
      <c r="N415" s="11"/>
      <c r="O415" s="66"/>
      <c r="P415" s="62"/>
      <c r="Q415" s="62"/>
      <c r="R415" s="62"/>
      <c r="S415" s="62"/>
      <c r="T415" s="62"/>
      <c r="U415" s="67"/>
    </row>
    <row r="416" s="58" customFormat="1" spans="1:21">
      <c r="A416" s="61"/>
      <c r="B416" s="62"/>
      <c r="C416" s="79"/>
      <c r="D416" s="61"/>
      <c r="E416" s="64"/>
      <c r="F416" s="64"/>
      <c r="G416" s="62"/>
      <c r="H416" s="62"/>
      <c r="I416" s="62"/>
      <c r="J416" s="62"/>
      <c r="K416" s="65"/>
      <c r="L416" s="65"/>
      <c r="M416" s="62"/>
      <c r="N416" s="11"/>
      <c r="O416" s="66"/>
      <c r="P416" s="62"/>
      <c r="Q416" s="62"/>
      <c r="R416" s="62"/>
      <c r="S416" s="62"/>
      <c r="T416" s="62"/>
      <c r="U416" s="67"/>
    </row>
    <row r="417" s="58" customFormat="1" spans="1:21">
      <c r="A417" s="61"/>
      <c r="B417" s="62"/>
      <c r="C417" s="79"/>
      <c r="D417" s="61"/>
      <c r="E417" s="64"/>
      <c r="F417" s="64"/>
      <c r="G417" s="62"/>
      <c r="H417" s="62"/>
      <c r="I417" s="122"/>
      <c r="J417" s="62"/>
      <c r="K417" s="65"/>
      <c r="L417" s="65"/>
      <c r="M417" s="62"/>
      <c r="N417" s="11"/>
      <c r="O417" s="66"/>
      <c r="P417" s="62"/>
      <c r="Q417" s="62"/>
      <c r="R417" s="62"/>
      <c r="S417" s="62"/>
      <c r="T417" s="62"/>
      <c r="U417" s="67"/>
    </row>
    <row r="418" s="58" customFormat="1" spans="1:21">
      <c r="A418" s="61"/>
      <c r="B418" s="62"/>
      <c r="C418" s="79"/>
      <c r="D418" s="61"/>
      <c r="E418" s="64"/>
      <c r="F418" s="64"/>
      <c r="G418" s="62"/>
      <c r="H418" s="62"/>
      <c r="I418" s="62"/>
      <c r="J418" s="62"/>
      <c r="K418" s="65"/>
      <c r="L418" s="65"/>
      <c r="M418" s="62"/>
      <c r="N418" s="11"/>
      <c r="O418" s="66"/>
      <c r="P418" s="62"/>
      <c r="Q418" s="62"/>
      <c r="R418" s="62"/>
      <c r="S418" s="62"/>
      <c r="T418" s="62"/>
      <c r="U418" s="67"/>
    </row>
    <row r="419" s="58" customFormat="1" spans="1:21">
      <c r="A419" s="61"/>
      <c r="B419" s="62"/>
      <c r="C419" s="79"/>
      <c r="D419" s="61"/>
      <c r="E419" s="64"/>
      <c r="F419" s="64"/>
      <c r="G419" s="62"/>
      <c r="H419" s="62"/>
      <c r="I419" s="62"/>
      <c r="J419" s="62"/>
      <c r="K419" s="65"/>
      <c r="L419" s="65"/>
      <c r="M419" s="62"/>
      <c r="N419" s="11"/>
      <c r="O419" s="66"/>
      <c r="P419" s="62"/>
      <c r="Q419" s="62"/>
      <c r="R419" s="62"/>
      <c r="S419" s="62"/>
      <c r="T419" s="62"/>
      <c r="U419" s="67"/>
    </row>
    <row r="420" s="58" customFormat="1" spans="1:21">
      <c r="A420" s="61"/>
      <c r="B420" s="62"/>
      <c r="C420" s="79"/>
      <c r="D420" s="61"/>
      <c r="E420" s="64"/>
      <c r="F420" s="64"/>
      <c r="G420" s="62"/>
      <c r="H420" s="62"/>
      <c r="I420" s="62"/>
      <c r="J420" s="62"/>
      <c r="K420" s="65"/>
      <c r="L420" s="65"/>
      <c r="M420" s="62"/>
      <c r="N420" s="11"/>
      <c r="O420" s="66"/>
      <c r="P420" s="62"/>
      <c r="Q420" s="62"/>
      <c r="R420" s="62"/>
      <c r="S420" s="94"/>
      <c r="T420" s="62"/>
      <c r="U420" s="67"/>
    </row>
    <row r="421" s="58" customFormat="1" spans="1:21">
      <c r="A421" s="61"/>
      <c r="B421" s="62"/>
      <c r="C421" s="79"/>
      <c r="D421" s="61"/>
      <c r="E421" s="64"/>
      <c r="F421" s="64"/>
      <c r="G421" s="62"/>
      <c r="H421" s="62"/>
      <c r="I421" s="62"/>
      <c r="J421" s="62"/>
      <c r="K421" s="65"/>
      <c r="L421" s="65"/>
      <c r="M421" s="62"/>
      <c r="N421" s="11"/>
      <c r="O421" s="66"/>
      <c r="P421" s="62"/>
      <c r="Q421" s="62"/>
      <c r="R421" s="62"/>
      <c r="S421" s="92"/>
      <c r="T421" s="62"/>
      <c r="U421" s="67"/>
    </row>
    <row r="422" s="58" customFormat="1" spans="1:21">
      <c r="A422" s="61"/>
      <c r="B422" s="62"/>
      <c r="C422" s="79"/>
      <c r="D422" s="61"/>
      <c r="E422" s="64"/>
      <c r="F422" s="64"/>
      <c r="G422" s="62"/>
      <c r="H422" s="62"/>
      <c r="I422" s="62"/>
      <c r="J422" s="62"/>
      <c r="K422" s="65"/>
      <c r="L422" s="65"/>
      <c r="M422" s="62"/>
      <c r="N422" s="11"/>
      <c r="O422" s="123"/>
      <c r="P422" s="62"/>
      <c r="Q422" s="62"/>
      <c r="R422" s="62"/>
      <c r="S422" s="62"/>
      <c r="T422" s="62"/>
      <c r="U422" s="67"/>
    </row>
    <row r="423" s="58" customFormat="1" spans="1:21">
      <c r="A423" s="61"/>
      <c r="B423" s="62"/>
      <c r="C423" s="79"/>
      <c r="D423" s="61"/>
      <c r="E423" s="64"/>
      <c r="F423" s="64"/>
      <c r="G423" s="62"/>
      <c r="H423" s="62"/>
      <c r="I423" s="62"/>
      <c r="J423" s="62"/>
      <c r="K423" s="65"/>
      <c r="L423" s="65"/>
      <c r="M423" s="62"/>
      <c r="N423" s="11"/>
      <c r="O423" s="66"/>
      <c r="P423" s="62"/>
      <c r="Q423" s="62"/>
      <c r="R423" s="62"/>
      <c r="S423" s="62"/>
      <c r="T423" s="62"/>
      <c r="U423" s="67"/>
    </row>
    <row r="424" s="58" customFormat="1" spans="1:21">
      <c r="A424" s="61"/>
      <c r="B424" s="62"/>
      <c r="C424" s="79"/>
      <c r="D424" s="61"/>
      <c r="E424" s="64"/>
      <c r="F424" s="64"/>
      <c r="G424" s="62"/>
      <c r="H424" s="62"/>
      <c r="I424" s="62"/>
      <c r="J424" s="62"/>
      <c r="K424" s="65"/>
      <c r="L424" s="65"/>
      <c r="M424" s="62"/>
      <c r="N424" s="11"/>
      <c r="O424" s="66"/>
      <c r="P424" s="62"/>
      <c r="Q424" s="62"/>
      <c r="R424" s="62"/>
      <c r="S424" s="94"/>
      <c r="T424" s="62"/>
      <c r="U424" s="67"/>
    </row>
    <row r="425" s="58" customFormat="1" spans="1:21">
      <c r="A425" s="61"/>
      <c r="B425" s="62"/>
      <c r="C425" s="79"/>
      <c r="D425" s="61"/>
      <c r="E425" s="64"/>
      <c r="F425" s="64"/>
      <c r="G425" s="62"/>
      <c r="H425" s="62"/>
      <c r="I425" s="62"/>
      <c r="J425" s="62"/>
      <c r="K425" s="65"/>
      <c r="L425" s="65"/>
      <c r="M425" s="62"/>
      <c r="N425" s="11"/>
      <c r="O425" s="66"/>
      <c r="P425" s="62"/>
      <c r="Q425" s="62"/>
      <c r="R425" s="62"/>
      <c r="S425" s="92"/>
      <c r="T425" s="62"/>
      <c r="U425" s="67"/>
    </row>
    <row r="426" s="58" customFormat="1" spans="1:21">
      <c r="A426" s="61"/>
      <c r="B426" s="62"/>
      <c r="C426" s="79"/>
      <c r="D426" s="61"/>
      <c r="E426" s="64"/>
      <c r="F426" s="64"/>
      <c r="G426" s="62"/>
      <c r="H426" s="62"/>
      <c r="I426" s="62"/>
      <c r="J426" s="62"/>
      <c r="K426" s="65"/>
      <c r="L426" s="65"/>
      <c r="M426" s="62"/>
      <c r="N426" s="11"/>
      <c r="O426" s="66"/>
      <c r="P426" s="62"/>
      <c r="Q426" s="62"/>
      <c r="R426" s="62"/>
      <c r="S426" s="62"/>
      <c r="T426" s="62"/>
      <c r="U426" s="67"/>
    </row>
    <row r="427" s="58" customFormat="1" spans="1:21">
      <c r="A427" s="61"/>
      <c r="B427" s="62"/>
      <c r="C427" s="79"/>
      <c r="D427" s="61"/>
      <c r="E427" s="64"/>
      <c r="F427" s="64"/>
      <c r="G427" s="62"/>
      <c r="H427" s="62"/>
      <c r="I427" s="62"/>
      <c r="J427" s="62"/>
      <c r="K427" s="65"/>
      <c r="L427" s="65"/>
      <c r="M427" s="62"/>
      <c r="N427" s="11"/>
      <c r="O427" s="66"/>
      <c r="P427" s="62"/>
      <c r="Q427" s="62"/>
      <c r="R427" s="62"/>
      <c r="S427" s="94"/>
      <c r="T427" s="62"/>
      <c r="U427" s="67"/>
    </row>
    <row r="428" s="58" customFormat="1" spans="1:21">
      <c r="A428" s="61"/>
      <c r="B428" s="62"/>
      <c r="C428" s="79"/>
      <c r="D428" s="61"/>
      <c r="E428" s="64"/>
      <c r="F428" s="64"/>
      <c r="G428" s="62"/>
      <c r="H428" s="62"/>
      <c r="I428" s="62"/>
      <c r="J428" s="62"/>
      <c r="K428" s="65"/>
      <c r="L428" s="65"/>
      <c r="M428" s="62"/>
      <c r="N428" s="11"/>
      <c r="O428" s="66"/>
      <c r="P428" s="62"/>
      <c r="Q428" s="62"/>
      <c r="R428" s="62"/>
      <c r="S428" s="92"/>
      <c r="T428" s="62"/>
      <c r="U428" s="67"/>
    </row>
    <row r="429" s="58" customFormat="1" spans="1:21">
      <c r="A429" s="61"/>
      <c r="B429" s="62"/>
      <c r="C429" s="79"/>
      <c r="D429" s="61"/>
      <c r="E429" s="64"/>
      <c r="F429" s="64"/>
      <c r="G429" s="62"/>
      <c r="H429" s="62"/>
      <c r="I429" s="62"/>
      <c r="J429" s="62"/>
      <c r="K429" s="65"/>
      <c r="L429" s="65"/>
      <c r="M429" s="62"/>
      <c r="N429" s="11"/>
      <c r="O429" s="66"/>
      <c r="P429" s="62"/>
      <c r="Q429" s="62"/>
      <c r="R429" s="62"/>
      <c r="S429" s="62"/>
      <c r="T429" s="62"/>
      <c r="U429" s="67"/>
    </row>
    <row r="430" s="58" customFormat="1" spans="1:21">
      <c r="A430" s="61"/>
      <c r="B430" s="62"/>
      <c r="C430" s="79"/>
      <c r="D430" s="61"/>
      <c r="E430" s="64"/>
      <c r="F430" s="64"/>
      <c r="G430" s="62"/>
      <c r="H430" s="62"/>
      <c r="I430" s="62"/>
      <c r="J430" s="62"/>
      <c r="K430" s="106"/>
      <c r="L430" s="65"/>
      <c r="M430" s="62"/>
      <c r="N430" s="11"/>
      <c r="O430" s="66"/>
      <c r="P430" s="62"/>
      <c r="Q430" s="62"/>
      <c r="R430" s="62"/>
      <c r="S430" s="62"/>
      <c r="T430" s="62"/>
      <c r="U430" s="67"/>
    </row>
    <row r="431" s="58" customFormat="1" spans="1:21">
      <c r="A431" s="61"/>
      <c r="B431" s="62"/>
      <c r="C431" s="79"/>
      <c r="D431" s="61"/>
      <c r="E431" s="64"/>
      <c r="F431" s="64"/>
      <c r="G431" s="62"/>
      <c r="H431" s="62"/>
      <c r="I431" s="62"/>
      <c r="J431" s="62"/>
      <c r="K431" s="106"/>
      <c r="L431" s="65"/>
      <c r="M431" s="62"/>
      <c r="N431" s="11"/>
      <c r="O431" s="66"/>
      <c r="P431" s="62"/>
      <c r="Q431" s="62"/>
      <c r="R431" s="62"/>
      <c r="S431" s="62"/>
      <c r="T431" s="62"/>
      <c r="U431" s="67"/>
    </row>
    <row r="432" s="58" customFormat="1" spans="1:21">
      <c r="A432" s="61"/>
      <c r="B432" s="62"/>
      <c r="C432" s="79"/>
      <c r="D432" s="61"/>
      <c r="E432" s="64"/>
      <c r="F432" s="64"/>
      <c r="G432" s="62"/>
      <c r="H432" s="62"/>
      <c r="I432" s="62"/>
      <c r="J432" s="62"/>
      <c r="K432" s="65"/>
      <c r="L432" s="65"/>
      <c r="M432" s="62"/>
      <c r="N432" s="11"/>
      <c r="O432" s="66"/>
      <c r="P432" s="62"/>
      <c r="Q432" s="62"/>
      <c r="R432" s="62"/>
      <c r="S432" s="94"/>
      <c r="T432" s="62"/>
      <c r="U432" s="67"/>
    </row>
    <row r="433" s="58" customFormat="1" spans="1:21">
      <c r="A433" s="61"/>
      <c r="B433" s="62"/>
      <c r="C433" s="79"/>
      <c r="D433" s="61"/>
      <c r="E433" s="64"/>
      <c r="F433" s="64"/>
      <c r="G433" s="62"/>
      <c r="H433" s="62"/>
      <c r="I433" s="62"/>
      <c r="J433" s="62"/>
      <c r="K433" s="65"/>
      <c r="L433" s="65"/>
      <c r="M433" s="62"/>
      <c r="N433" s="11"/>
      <c r="O433" s="66"/>
      <c r="P433" s="62"/>
      <c r="Q433" s="62"/>
      <c r="R433" s="62"/>
      <c r="S433" s="92"/>
      <c r="T433" s="62"/>
      <c r="U433" s="67"/>
    </row>
    <row r="434" s="58" customFormat="1" spans="1:21">
      <c r="A434" s="61"/>
      <c r="B434" s="62"/>
      <c r="C434" s="79"/>
      <c r="D434" s="61"/>
      <c r="E434" s="64"/>
      <c r="F434" s="64"/>
      <c r="G434" s="62"/>
      <c r="H434" s="62"/>
      <c r="I434" s="62"/>
      <c r="J434" s="62"/>
      <c r="K434" s="65"/>
      <c r="L434" s="65"/>
      <c r="M434" s="62"/>
      <c r="N434" s="11"/>
      <c r="O434" s="66"/>
      <c r="P434" s="62"/>
      <c r="Q434" s="62"/>
      <c r="R434" s="62"/>
      <c r="S434" s="62"/>
      <c r="T434" s="62"/>
      <c r="U434" s="67"/>
    </row>
    <row r="435" s="58" customFormat="1" spans="1:21">
      <c r="A435" s="61"/>
      <c r="B435" s="62"/>
      <c r="C435" s="79"/>
      <c r="D435" s="61"/>
      <c r="E435" s="64"/>
      <c r="F435" s="64"/>
      <c r="G435" s="62"/>
      <c r="H435" s="62"/>
      <c r="I435" s="62"/>
      <c r="J435" s="62"/>
      <c r="K435" s="65"/>
      <c r="L435" s="65"/>
      <c r="M435" s="62"/>
      <c r="N435" s="11"/>
      <c r="O435" s="66"/>
      <c r="P435" s="62"/>
      <c r="Q435" s="62"/>
      <c r="R435" s="62"/>
      <c r="S435" s="62"/>
      <c r="T435" s="62"/>
      <c r="U435" s="67"/>
    </row>
    <row r="436" s="58" customFormat="1" spans="1:21">
      <c r="A436" s="61"/>
      <c r="B436" s="62"/>
      <c r="C436" s="79"/>
      <c r="D436" s="61"/>
      <c r="E436" s="64"/>
      <c r="F436" s="64"/>
      <c r="G436" s="62"/>
      <c r="H436" s="62"/>
      <c r="I436" s="62"/>
      <c r="J436" s="62"/>
      <c r="K436" s="106"/>
      <c r="L436" s="65"/>
      <c r="M436" s="62"/>
      <c r="N436" s="11"/>
      <c r="O436" s="66"/>
      <c r="P436" s="62"/>
      <c r="Q436" s="62"/>
      <c r="R436" s="62"/>
      <c r="S436" s="62"/>
      <c r="T436" s="62"/>
      <c r="U436" s="67"/>
    </row>
    <row r="437" s="58" customFormat="1" spans="1:21">
      <c r="A437" s="61"/>
      <c r="B437" s="62"/>
      <c r="C437" s="79"/>
      <c r="D437" s="61"/>
      <c r="E437" s="64"/>
      <c r="F437" s="64"/>
      <c r="G437" s="62"/>
      <c r="H437" s="62"/>
      <c r="I437" s="62"/>
      <c r="J437" s="62"/>
      <c r="K437" s="65"/>
      <c r="L437" s="65"/>
      <c r="M437" s="62"/>
      <c r="N437" s="11"/>
      <c r="O437" s="66"/>
      <c r="P437" s="62"/>
      <c r="Q437" s="62"/>
      <c r="R437" s="62"/>
      <c r="S437" s="94"/>
      <c r="T437" s="62"/>
      <c r="U437" s="67"/>
    </row>
    <row r="438" s="58" customFormat="1" spans="1:21">
      <c r="A438" s="61"/>
      <c r="B438" s="62"/>
      <c r="C438" s="79"/>
      <c r="D438" s="61"/>
      <c r="E438" s="64"/>
      <c r="F438" s="64"/>
      <c r="G438" s="62"/>
      <c r="H438" s="62"/>
      <c r="I438" s="62"/>
      <c r="J438" s="62"/>
      <c r="K438" s="65"/>
      <c r="L438" s="65"/>
      <c r="M438" s="62"/>
      <c r="N438" s="11"/>
      <c r="O438" s="66"/>
      <c r="P438" s="62"/>
      <c r="Q438" s="62"/>
      <c r="R438" s="62"/>
      <c r="S438" s="92"/>
      <c r="T438" s="62"/>
      <c r="U438" s="67"/>
    </row>
    <row r="439" s="58" customFormat="1" spans="1:21">
      <c r="A439" s="61"/>
      <c r="B439" s="62"/>
      <c r="C439" s="79"/>
      <c r="D439" s="61"/>
      <c r="E439" s="64"/>
      <c r="F439" s="64"/>
      <c r="G439" s="62"/>
      <c r="H439" s="62"/>
      <c r="I439" s="62"/>
      <c r="J439" s="62"/>
      <c r="K439" s="65"/>
      <c r="L439" s="65"/>
      <c r="M439" s="62"/>
      <c r="N439" s="11"/>
      <c r="O439" s="66"/>
      <c r="P439" s="62"/>
      <c r="Q439" s="62"/>
      <c r="R439" s="62"/>
      <c r="S439" s="62"/>
      <c r="T439" s="62"/>
      <c r="U439" s="67"/>
    </row>
    <row r="440" s="58" customFormat="1" spans="1:21">
      <c r="A440" s="61"/>
      <c r="B440" s="62"/>
      <c r="C440" s="79"/>
      <c r="D440" s="61"/>
      <c r="E440" s="64"/>
      <c r="F440" s="64"/>
      <c r="G440" s="62"/>
      <c r="H440" s="62"/>
      <c r="I440" s="62"/>
      <c r="J440" s="62"/>
      <c r="K440" s="65"/>
      <c r="L440" s="65"/>
      <c r="M440" s="62"/>
      <c r="N440" s="11"/>
      <c r="O440" s="66"/>
      <c r="P440" s="62"/>
      <c r="Q440" s="62"/>
      <c r="R440" s="62"/>
      <c r="S440" s="62"/>
      <c r="T440" s="62"/>
      <c r="U440" s="67"/>
    </row>
    <row r="441" s="58" customFormat="1" spans="1:21">
      <c r="A441" s="61"/>
      <c r="B441" s="62"/>
      <c r="C441" s="79"/>
      <c r="D441" s="61"/>
      <c r="E441" s="64"/>
      <c r="F441" s="64"/>
      <c r="G441" s="62"/>
      <c r="H441" s="62"/>
      <c r="I441" s="62"/>
      <c r="J441" s="62"/>
      <c r="K441" s="65"/>
      <c r="L441" s="65"/>
      <c r="M441" s="62"/>
      <c r="N441" s="11"/>
      <c r="O441" s="66"/>
      <c r="P441" s="62"/>
      <c r="Q441" s="62"/>
      <c r="R441" s="62"/>
      <c r="S441" s="62"/>
      <c r="T441" s="62"/>
      <c r="U441" s="67"/>
    </row>
    <row r="442" s="58" customFormat="1" spans="1:21">
      <c r="A442" s="61"/>
      <c r="B442" s="62"/>
      <c r="C442" s="79"/>
      <c r="D442" s="61"/>
      <c r="E442" s="64"/>
      <c r="F442" s="64"/>
      <c r="G442" s="62"/>
      <c r="H442" s="62"/>
      <c r="I442" s="62"/>
      <c r="J442" s="62"/>
      <c r="K442" s="65"/>
      <c r="L442" s="65"/>
      <c r="M442" s="62"/>
      <c r="N442" s="11"/>
      <c r="O442" s="66"/>
      <c r="P442" s="62"/>
      <c r="Q442" s="62"/>
      <c r="R442" s="62"/>
      <c r="S442" s="94"/>
      <c r="T442" s="62"/>
      <c r="U442" s="67"/>
    </row>
    <row r="443" s="58" customFormat="1" spans="1:21">
      <c r="A443" s="61"/>
      <c r="B443" s="62"/>
      <c r="C443" s="79"/>
      <c r="D443" s="61"/>
      <c r="E443" s="64"/>
      <c r="F443" s="64"/>
      <c r="G443" s="62"/>
      <c r="H443" s="62"/>
      <c r="I443" s="62"/>
      <c r="J443" s="62"/>
      <c r="K443" s="65"/>
      <c r="L443" s="65"/>
      <c r="M443" s="62"/>
      <c r="N443" s="11"/>
      <c r="O443" s="66"/>
      <c r="P443" s="62"/>
      <c r="Q443" s="62"/>
      <c r="R443" s="62"/>
      <c r="S443" s="95"/>
      <c r="T443" s="62"/>
      <c r="U443" s="67"/>
    </row>
    <row r="444" s="58" customFormat="1" spans="1:21">
      <c r="A444" s="61"/>
      <c r="B444" s="62"/>
      <c r="C444" s="79"/>
      <c r="D444" s="61"/>
      <c r="E444" s="64"/>
      <c r="F444" s="64"/>
      <c r="G444" s="62"/>
      <c r="H444" s="62"/>
      <c r="I444" s="62"/>
      <c r="J444" s="62"/>
      <c r="K444" s="65"/>
      <c r="L444" s="65"/>
      <c r="M444" s="62"/>
      <c r="N444" s="11"/>
      <c r="O444" s="66"/>
      <c r="P444" s="62"/>
      <c r="Q444" s="62"/>
      <c r="R444" s="62"/>
      <c r="S444" s="92"/>
      <c r="T444" s="62"/>
      <c r="U444" s="67"/>
    </row>
    <row r="445" s="58" customFormat="1" spans="1:21">
      <c r="A445" s="61"/>
      <c r="B445" s="62"/>
      <c r="C445" s="79"/>
      <c r="D445" s="61"/>
      <c r="E445" s="64"/>
      <c r="F445" s="64"/>
      <c r="G445" s="62"/>
      <c r="H445" s="62"/>
      <c r="I445" s="62"/>
      <c r="J445" s="62"/>
      <c r="K445" s="65"/>
      <c r="L445" s="65"/>
      <c r="M445" s="62"/>
      <c r="N445" s="11"/>
      <c r="O445" s="66"/>
      <c r="P445" s="62"/>
      <c r="Q445" s="62"/>
      <c r="R445" s="62"/>
      <c r="S445" s="62"/>
      <c r="T445" s="62"/>
      <c r="U445" s="67"/>
    </row>
    <row r="446" s="58" customFormat="1" spans="1:21">
      <c r="A446" s="61"/>
      <c r="B446" s="62"/>
      <c r="C446" s="79"/>
      <c r="D446" s="61"/>
      <c r="E446" s="64"/>
      <c r="F446" s="64"/>
      <c r="G446" s="64"/>
      <c r="H446" s="62"/>
      <c r="I446" s="62"/>
      <c r="J446" s="62"/>
      <c r="K446" s="106"/>
      <c r="L446" s="65"/>
      <c r="M446" s="62"/>
      <c r="N446" s="11"/>
      <c r="O446" s="66"/>
      <c r="P446" s="62"/>
      <c r="Q446" s="62"/>
      <c r="R446" s="62"/>
      <c r="S446" s="94"/>
      <c r="T446" s="62"/>
      <c r="U446" s="67"/>
    </row>
    <row r="447" s="58" customFormat="1" spans="1:21">
      <c r="A447" s="61"/>
      <c r="B447" s="62"/>
      <c r="C447" s="79"/>
      <c r="D447" s="61"/>
      <c r="E447" s="64"/>
      <c r="F447" s="64"/>
      <c r="G447" s="64"/>
      <c r="H447" s="62"/>
      <c r="I447" s="62"/>
      <c r="J447" s="62"/>
      <c r="K447" s="106"/>
      <c r="L447" s="65"/>
      <c r="M447" s="62"/>
      <c r="N447" s="11"/>
      <c r="O447" s="66"/>
      <c r="P447" s="62"/>
      <c r="Q447" s="62"/>
      <c r="R447" s="62"/>
      <c r="S447" s="62"/>
      <c r="T447" s="62"/>
      <c r="U447" s="67"/>
    </row>
    <row r="448" s="58" customFormat="1" spans="1:21">
      <c r="A448" s="61"/>
      <c r="B448" s="62"/>
      <c r="C448" s="79"/>
      <c r="D448" s="61"/>
      <c r="E448" s="64"/>
      <c r="F448" s="64"/>
      <c r="G448" s="64"/>
      <c r="H448" s="62"/>
      <c r="I448" s="62"/>
      <c r="J448" s="62"/>
      <c r="K448" s="106"/>
      <c r="L448" s="65"/>
      <c r="M448" s="62"/>
      <c r="N448" s="11"/>
      <c r="O448" s="66"/>
      <c r="P448" s="62"/>
      <c r="Q448" s="62"/>
      <c r="R448" s="62"/>
      <c r="S448" s="62"/>
      <c r="T448" s="62"/>
      <c r="U448" s="67"/>
    </row>
    <row r="449" s="58" customFormat="1" spans="1:21">
      <c r="A449" s="61"/>
      <c r="B449" s="62"/>
      <c r="C449" s="79"/>
      <c r="D449" s="61"/>
      <c r="E449" s="64"/>
      <c r="F449" s="64"/>
      <c r="G449" s="62"/>
      <c r="H449" s="62"/>
      <c r="I449" s="62"/>
      <c r="J449" s="62"/>
      <c r="K449" s="106"/>
      <c r="L449" s="65"/>
      <c r="M449" s="62"/>
      <c r="N449" s="11"/>
      <c r="O449" s="66"/>
      <c r="P449" s="62"/>
      <c r="Q449" s="62"/>
      <c r="R449" s="62"/>
      <c r="S449" s="62"/>
      <c r="T449" s="62"/>
      <c r="U449" s="67"/>
    </row>
    <row r="450" s="58" customFormat="1" spans="1:21">
      <c r="A450" s="61"/>
      <c r="B450" s="62"/>
      <c r="C450" s="79"/>
      <c r="D450" s="61"/>
      <c r="E450" s="64"/>
      <c r="F450" s="64"/>
      <c r="G450" s="62"/>
      <c r="H450" s="62"/>
      <c r="I450" s="62"/>
      <c r="J450" s="62"/>
      <c r="K450" s="65"/>
      <c r="L450" s="65"/>
      <c r="M450" s="62"/>
      <c r="N450" s="11"/>
      <c r="O450" s="66"/>
      <c r="P450" s="62"/>
      <c r="Q450" s="62"/>
      <c r="R450" s="62"/>
      <c r="S450" s="62"/>
      <c r="T450" s="62"/>
      <c r="U450" s="67"/>
    </row>
    <row r="451" s="58" customFormat="1" spans="1:21">
      <c r="A451" s="61"/>
      <c r="B451" s="62"/>
      <c r="C451" s="79"/>
      <c r="D451" s="61"/>
      <c r="E451" s="64"/>
      <c r="F451" s="64"/>
      <c r="G451" s="62"/>
      <c r="H451" s="62"/>
      <c r="I451" s="62"/>
      <c r="J451" s="62"/>
      <c r="K451" s="65"/>
      <c r="L451" s="65"/>
      <c r="M451" s="62"/>
      <c r="N451" s="11"/>
      <c r="O451" s="66"/>
      <c r="P451" s="62"/>
      <c r="Q451" s="62"/>
      <c r="R451" s="62"/>
      <c r="S451" s="62"/>
      <c r="T451" s="62"/>
      <c r="U451" s="67"/>
    </row>
    <row r="452" s="58" customFormat="1" spans="1:21">
      <c r="A452" s="61"/>
      <c r="B452" s="62"/>
      <c r="C452" s="79"/>
      <c r="D452" s="61"/>
      <c r="E452" s="64"/>
      <c r="F452" s="64"/>
      <c r="G452" s="62"/>
      <c r="H452" s="62"/>
      <c r="I452" s="62"/>
      <c r="J452" s="62"/>
      <c r="K452" s="65"/>
      <c r="L452" s="65"/>
      <c r="M452" s="62"/>
      <c r="N452" s="11"/>
      <c r="O452" s="66"/>
      <c r="P452" s="62"/>
      <c r="Q452" s="62"/>
      <c r="R452" s="62"/>
      <c r="S452" s="62"/>
      <c r="T452" s="62"/>
      <c r="U452" s="67"/>
    </row>
    <row r="453" s="58" customFormat="1" spans="1:21">
      <c r="A453" s="61"/>
      <c r="B453" s="62"/>
      <c r="C453" s="79"/>
      <c r="D453" s="61"/>
      <c r="E453" s="64"/>
      <c r="F453" s="64"/>
      <c r="G453" s="62"/>
      <c r="H453" s="62"/>
      <c r="I453" s="62"/>
      <c r="J453" s="62"/>
      <c r="K453" s="106"/>
      <c r="L453" s="65"/>
      <c r="M453" s="62"/>
      <c r="N453" s="11"/>
      <c r="O453" s="66"/>
      <c r="P453" s="62"/>
      <c r="Q453" s="62"/>
      <c r="R453" s="62"/>
      <c r="S453" s="62"/>
      <c r="T453" s="62"/>
      <c r="U453" s="67"/>
    </row>
    <row r="454" s="58" customFormat="1" spans="1:21">
      <c r="A454" s="61"/>
      <c r="B454" s="62"/>
      <c r="C454" s="79"/>
      <c r="D454" s="61"/>
      <c r="E454" s="64"/>
      <c r="F454" s="64"/>
      <c r="G454" s="62"/>
      <c r="H454" s="62"/>
      <c r="I454" s="62"/>
      <c r="J454" s="62"/>
      <c r="K454" s="106"/>
      <c r="L454" s="65"/>
      <c r="M454" s="62"/>
      <c r="N454" s="11"/>
      <c r="O454" s="66"/>
      <c r="P454" s="62"/>
      <c r="Q454" s="62"/>
      <c r="R454" s="62"/>
      <c r="S454" s="62"/>
      <c r="T454" s="62"/>
      <c r="U454" s="67"/>
    </row>
    <row r="455" s="58" customFormat="1" spans="1:21">
      <c r="A455" s="61"/>
      <c r="B455" s="62"/>
      <c r="C455" s="79"/>
      <c r="D455" s="61"/>
      <c r="E455" s="64"/>
      <c r="F455" s="64"/>
      <c r="G455" s="62"/>
      <c r="H455" s="62"/>
      <c r="I455" s="62"/>
      <c r="J455" s="62"/>
      <c r="K455" s="65"/>
      <c r="L455" s="65"/>
      <c r="M455" s="62"/>
      <c r="N455" s="11"/>
      <c r="O455" s="66"/>
      <c r="P455" s="62"/>
      <c r="Q455" s="62"/>
      <c r="R455" s="62"/>
      <c r="S455" s="62"/>
      <c r="T455" s="62"/>
      <c r="U455" s="67"/>
    </row>
    <row r="456" s="58" customFormat="1" spans="1:21">
      <c r="A456" s="61"/>
      <c r="B456" s="62"/>
      <c r="C456" s="79"/>
      <c r="D456" s="61"/>
      <c r="E456" s="64"/>
      <c r="F456" s="64"/>
      <c r="G456" s="62"/>
      <c r="H456" s="62"/>
      <c r="I456" s="62"/>
      <c r="J456" s="62"/>
      <c r="K456" s="65"/>
      <c r="L456" s="65"/>
      <c r="M456" s="62"/>
      <c r="N456" s="11"/>
      <c r="O456" s="66"/>
      <c r="P456" s="62"/>
      <c r="Q456" s="62"/>
      <c r="R456" s="62"/>
      <c r="S456" s="62"/>
      <c r="T456" s="62"/>
      <c r="U456" s="67"/>
    </row>
    <row r="457" s="58" customFormat="1" spans="1:21">
      <c r="A457" s="61"/>
      <c r="B457" s="62"/>
      <c r="C457" s="79"/>
      <c r="D457" s="61"/>
      <c r="E457" s="64"/>
      <c r="F457" s="64"/>
      <c r="G457" s="62"/>
      <c r="H457" s="62"/>
      <c r="I457" s="62"/>
      <c r="J457" s="62"/>
      <c r="K457" s="65"/>
      <c r="L457" s="65"/>
      <c r="M457" s="62"/>
      <c r="N457" s="11"/>
      <c r="O457" s="66"/>
      <c r="P457" s="62"/>
      <c r="Q457" s="62"/>
      <c r="R457" s="62"/>
      <c r="S457" s="62"/>
      <c r="T457" s="62"/>
      <c r="U457" s="67"/>
    </row>
    <row r="458" s="58" customFormat="1" spans="1:21">
      <c r="A458" s="61"/>
      <c r="B458" s="62"/>
      <c r="C458" s="79"/>
      <c r="D458" s="61"/>
      <c r="E458" s="64"/>
      <c r="F458" s="64"/>
      <c r="G458" s="62"/>
      <c r="H458" s="105"/>
      <c r="I458" s="62"/>
      <c r="J458" s="62"/>
      <c r="K458" s="65"/>
      <c r="L458" s="65"/>
      <c r="M458" s="62"/>
      <c r="N458" s="11"/>
      <c r="O458" s="66"/>
      <c r="P458" s="62"/>
      <c r="Q458" s="62"/>
      <c r="R458" s="62"/>
      <c r="S458" s="62"/>
      <c r="T458" s="62"/>
      <c r="U458" s="67"/>
    </row>
    <row r="459" s="58" customFormat="1" spans="1:21">
      <c r="A459" s="61"/>
      <c r="B459" s="62"/>
      <c r="C459" s="79"/>
      <c r="D459" s="61"/>
      <c r="E459" s="64"/>
      <c r="F459" s="64"/>
      <c r="G459" s="62"/>
      <c r="H459" s="105"/>
      <c r="I459" s="62"/>
      <c r="J459" s="62"/>
      <c r="K459" s="65"/>
      <c r="L459" s="65"/>
      <c r="M459" s="62"/>
      <c r="N459" s="11"/>
      <c r="O459" s="66"/>
      <c r="P459" s="62"/>
      <c r="Q459" s="62"/>
      <c r="R459" s="62"/>
      <c r="S459" s="62"/>
      <c r="T459" s="62"/>
      <c r="U459" s="67"/>
    </row>
    <row r="460" s="58" customFormat="1" spans="1:21">
      <c r="A460" s="61"/>
      <c r="B460" s="62"/>
      <c r="C460" s="79"/>
      <c r="D460" s="61"/>
      <c r="E460" s="64"/>
      <c r="F460" s="64"/>
      <c r="G460" s="62"/>
      <c r="H460" s="105"/>
      <c r="I460" s="62"/>
      <c r="J460" s="62"/>
      <c r="K460" s="65"/>
      <c r="L460" s="65"/>
      <c r="M460" s="62"/>
      <c r="N460" s="11"/>
      <c r="O460" s="124"/>
      <c r="P460" s="62"/>
      <c r="Q460" s="62"/>
      <c r="R460" s="62"/>
      <c r="S460" s="62"/>
      <c r="T460" s="62"/>
      <c r="U460" s="67"/>
    </row>
    <row r="461" s="58" customFormat="1" spans="1:21">
      <c r="A461" s="61"/>
      <c r="B461" s="62"/>
      <c r="C461" s="79"/>
      <c r="D461" s="61"/>
      <c r="E461" s="64"/>
      <c r="F461" s="64"/>
      <c r="G461" s="62"/>
      <c r="H461" s="105"/>
      <c r="I461" s="62"/>
      <c r="J461" s="62"/>
      <c r="K461" s="65"/>
      <c r="L461" s="65"/>
      <c r="M461" s="62"/>
      <c r="N461" s="11"/>
      <c r="O461" s="62"/>
      <c r="P461" s="62"/>
      <c r="Q461" s="62"/>
      <c r="R461" s="62"/>
      <c r="S461" s="62"/>
      <c r="T461" s="62"/>
      <c r="U461" s="67"/>
    </row>
    <row r="462" s="58" customFormat="1" spans="1:21">
      <c r="A462" s="61"/>
      <c r="B462" s="62"/>
      <c r="C462" s="79"/>
      <c r="D462" s="61"/>
      <c r="E462" s="64"/>
      <c r="F462" s="64"/>
      <c r="G462" s="62"/>
      <c r="H462" s="62"/>
      <c r="I462" s="62"/>
      <c r="J462" s="62"/>
      <c r="K462" s="65"/>
      <c r="L462" s="65"/>
      <c r="M462" s="62"/>
      <c r="N462" s="11"/>
      <c r="O462" s="124"/>
      <c r="P462" s="62"/>
      <c r="Q462" s="62"/>
      <c r="R462" s="62"/>
      <c r="S462" s="62"/>
      <c r="T462" s="62"/>
      <c r="U462" s="67"/>
    </row>
    <row r="463" s="58" customFormat="1" spans="1:21">
      <c r="A463" s="61"/>
      <c r="B463" s="62"/>
      <c r="C463" s="79"/>
      <c r="D463" s="61"/>
      <c r="E463" s="64"/>
      <c r="F463" s="64"/>
      <c r="G463" s="62"/>
      <c r="H463" s="62"/>
      <c r="I463" s="62"/>
      <c r="J463" s="62"/>
      <c r="K463" s="65"/>
      <c r="L463" s="65"/>
      <c r="M463" s="62"/>
      <c r="N463" s="11"/>
      <c r="O463" s="124"/>
      <c r="P463" s="62"/>
      <c r="Q463" s="62"/>
      <c r="R463" s="62"/>
      <c r="S463" s="62"/>
      <c r="T463" s="62"/>
      <c r="U463" s="67"/>
    </row>
    <row r="464" s="58" customFormat="1" spans="1:21">
      <c r="A464" s="61"/>
      <c r="B464" s="62"/>
      <c r="C464" s="79"/>
      <c r="D464" s="61"/>
      <c r="E464" s="64"/>
      <c r="F464" s="64"/>
      <c r="G464" s="62"/>
      <c r="H464" s="62"/>
      <c r="I464" s="62"/>
      <c r="J464" s="62"/>
      <c r="K464" s="65"/>
      <c r="L464" s="65"/>
      <c r="M464" s="62"/>
      <c r="N464" s="11"/>
      <c r="O464" s="66"/>
      <c r="P464" s="62"/>
      <c r="Q464" s="62"/>
      <c r="R464" s="62"/>
      <c r="S464" s="62"/>
      <c r="T464" s="62"/>
      <c r="U464" s="67"/>
    </row>
    <row r="465" s="58" customFormat="1" spans="1:21">
      <c r="A465" s="61"/>
      <c r="B465" s="62"/>
      <c r="C465" s="79"/>
      <c r="D465" s="61"/>
      <c r="E465" s="64"/>
      <c r="F465" s="64"/>
      <c r="G465" s="62"/>
      <c r="H465" s="62"/>
      <c r="I465" s="62"/>
      <c r="J465" s="62"/>
      <c r="K465" s="65"/>
      <c r="L465" s="65"/>
      <c r="M465" s="62"/>
      <c r="N465" s="11"/>
      <c r="O465" s="66"/>
      <c r="P465" s="62"/>
      <c r="Q465" s="62"/>
      <c r="R465" s="62"/>
      <c r="S465" s="62"/>
      <c r="T465" s="62"/>
      <c r="U465" s="67"/>
    </row>
    <row r="466" s="58" customFormat="1" spans="1:21">
      <c r="A466" s="61"/>
      <c r="B466" s="62"/>
      <c r="C466" s="79"/>
      <c r="D466" s="61"/>
      <c r="E466" s="64"/>
      <c r="F466" s="64"/>
      <c r="G466" s="62"/>
      <c r="H466" s="62"/>
      <c r="I466" s="62"/>
      <c r="J466" s="62"/>
      <c r="K466" s="65"/>
      <c r="L466" s="65"/>
      <c r="M466" s="62"/>
      <c r="N466" s="11"/>
      <c r="O466" s="66"/>
      <c r="P466" s="62"/>
      <c r="Q466" s="62"/>
      <c r="R466" s="62"/>
      <c r="S466" s="62"/>
      <c r="T466" s="62"/>
      <c r="U466" s="67"/>
    </row>
    <row r="467" s="58" customFormat="1" spans="1:21">
      <c r="A467" s="61"/>
      <c r="B467" s="62"/>
      <c r="C467" s="79"/>
      <c r="D467" s="61"/>
      <c r="E467" s="64"/>
      <c r="F467" s="64"/>
      <c r="G467" s="62"/>
      <c r="H467" s="62"/>
      <c r="I467" s="62"/>
      <c r="J467" s="62"/>
      <c r="K467" s="65"/>
      <c r="L467" s="65"/>
      <c r="M467" s="62"/>
      <c r="N467" s="11"/>
      <c r="O467" s="66"/>
      <c r="P467" s="62"/>
      <c r="Q467" s="62"/>
      <c r="R467" s="62"/>
      <c r="S467" s="94"/>
      <c r="T467" s="62"/>
      <c r="U467" s="67"/>
    </row>
    <row r="468" s="58" customFormat="1" spans="1:21">
      <c r="A468" s="61"/>
      <c r="B468" s="62"/>
      <c r="C468" s="79"/>
      <c r="D468" s="61"/>
      <c r="E468" s="64"/>
      <c r="F468" s="64"/>
      <c r="G468" s="62"/>
      <c r="H468" s="62"/>
      <c r="I468" s="90"/>
      <c r="J468" s="62"/>
      <c r="K468" s="65"/>
      <c r="L468" s="65"/>
      <c r="M468" s="62"/>
      <c r="N468" s="11"/>
      <c r="O468" s="66"/>
      <c r="P468" s="62"/>
      <c r="Q468" s="62"/>
      <c r="R468" s="62"/>
      <c r="S468" s="92"/>
      <c r="T468" s="62"/>
      <c r="U468" s="67"/>
    </row>
    <row r="469" s="58" customFormat="1" spans="1:21">
      <c r="A469" s="61"/>
      <c r="B469" s="62"/>
      <c r="C469" s="79"/>
      <c r="D469" s="61"/>
      <c r="E469" s="64"/>
      <c r="F469" s="64"/>
      <c r="G469" s="62"/>
      <c r="H469" s="62"/>
      <c r="I469" s="62"/>
      <c r="J469" s="62"/>
      <c r="K469" s="65"/>
      <c r="L469" s="65"/>
      <c r="M469" s="62"/>
      <c r="N469" s="11"/>
      <c r="O469" s="66"/>
      <c r="P469" s="62"/>
      <c r="Q469" s="62"/>
      <c r="R469" s="62"/>
      <c r="S469" s="62"/>
      <c r="T469" s="62"/>
      <c r="U469" s="67"/>
    </row>
    <row r="470" s="58" customFormat="1" spans="1:21">
      <c r="A470" s="61"/>
      <c r="B470" s="62"/>
      <c r="C470" s="79"/>
      <c r="D470" s="61"/>
      <c r="E470" s="64"/>
      <c r="F470" s="64"/>
      <c r="G470" s="62"/>
      <c r="H470" s="62"/>
      <c r="I470" s="62"/>
      <c r="J470" s="62"/>
      <c r="K470" s="65"/>
      <c r="L470" s="65"/>
      <c r="M470" s="62"/>
      <c r="N470" s="11"/>
      <c r="O470" s="66"/>
      <c r="P470" s="62"/>
      <c r="Q470" s="62"/>
      <c r="R470" s="62"/>
      <c r="S470" s="62"/>
      <c r="T470" s="62"/>
      <c r="U470" s="67"/>
    </row>
    <row r="471" s="58" customFormat="1" spans="1:21">
      <c r="A471" s="61"/>
      <c r="B471" s="62"/>
      <c r="C471" s="79"/>
      <c r="D471" s="61"/>
      <c r="E471" s="64"/>
      <c r="F471" s="64"/>
      <c r="G471" s="62"/>
      <c r="H471" s="62"/>
      <c r="I471" s="62"/>
      <c r="J471" s="62"/>
      <c r="K471" s="65"/>
      <c r="L471" s="65"/>
      <c r="M471" s="62"/>
      <c r="N471" s="11"/>
      <c r="O471" s="66"/>
      <c r="P471" s="62"/>
      <c r="Q471" s="62"/>
      <c r="R471" s="62"/>
      <c r="S471" s="62"/>
      <c r="T471" s="62"/>
      <c r="U471" s="67"/>
    </row>
    <row r="472" s="58" customFormat="1" spans="1:21">
      <c r="A472" s="61"/>
      <c r="B472" s="62"/>
      <c r="C472" s="79"/>
      <c r="D472" s="61"/>
      <c r="E472" s="64"/>
      <c r="F472" s="64"/>
      <c r="G472" s="62"/>
      <c r="H472" s="62"/>
      <c r="I472" s="62"/>
      <c r="J472" s="62"/>
      <c r="K472" s="65"/>
      <c r="L472" s="65"/>
      <c r="M472" s="62"/>
      <c r="N472" s="11"/>
      <c r="O472" s="66"/>
      <c r="P472" s="62"/>
      <c r="Q472" s="62"/>
      <c r="R472" s="62"/>
      <c r="S472" s="94"/>
      <c r="T472" s="62"/>
      <c r="U472" s="67"/>
    </row>
    <row r="473" s="58" customFormat="1" spans="1:21">
      <c r="A473" s="61"/>
      <c r="B473" s="62"/>
      <c r="C473" s="79"/>
      <c r="D473" s="61"/>
      <c r="E473" s="64"/>
      <c r="F473" s="64"/>
      <c r="G473" s="62"/>
      <c r="H473" s="62"/>
      <c r="I473" s="62"/>
      <c r="J473" s="62"/>
      <c r="K473" s="65"/>
      <c r="L473" s="65"/>
      <c r="M473" s="62"/>
      <c r="N473" s="11"/>
      <c r="O473" s="66"/>
      <c r="P473" s="62"/>
      <c r="Q473" s="62"/>
      <c r="R473" s="62"/>
      <c r="S473" s="92"/>
      <c r="T473" s="62"/>
      <c r="U473" s="67"/>
    </row>
    <row r="474" s="58" customFormat="1" spans="1:21">
      <c r="A474" s="61"/>
      <c r="B474" s="62"/>
      <c r="C474" s="79"/>
      <c r="D474" s="61"/>
      <c r="E474" s="64"/>
      <c r="F474" s="64"/>
      <c r="G474" s="62"/>
      <c r="H474" s="62"/>
      <c r="I474" s="62"/>
      <c r="J474" s="62"/>
      <c r="K474" s="65"/>
      <c r="L474" s="65"/>
      <c r="M474" s="62"/>
      <c r="N474" s="11"/>
      <c r="O474" s="66"/>
      <c r="P474" s="62"/>
      <c r="Q474" s="62"/>
      <c r="R474" s="62"/>
      <c r="S474" s="94"/>
      <c r="T474" s="62"/>
      <c r="U474" s="67"/>
    </row>
    <row r="475" s="58" customFormat="1" spans="1:21">
      <c r="A475" s="61"/>
      <c r="B475" s="62"/>
      <c r="C475" s="79"/>
      <c r="D475" s="61"/>
      <c r="E475" s="64"/>
      <c r="F475" s="64"/>
      <c r="G475" s="62"/>
      <c r="H475" s="62"/>
      <c r="I475" s="62"/>
      <c r="J475" s="62"/>
      <c r="K475" s="65"/>
      <c r="L475" s="65"/>
      <c r="M475" s="62"/>
      <c r="N475" s="11"/>
      <c r="O475" s="66"/>
      <c r="P475" s="62"/>
      <c r="Q475" s="62"/>
      <c r="R475" s="62"/>
      <c r="S475" s="92"/>
      <c r="T475" s="62"/>
      <c r="U475" s="67"/>
    </row>
    <row r="476" s="58" customFormat="1" spans="1:21">
      <c r="A476" s="61"/>
      <c r="B476" s="62"/>
      <c r="C476" s="79"/>
      <c r="D476" s="61"/>
      <c r="E476" s="64"/>
      <c r="F476" s="64"/>
      <c r="G476" s="62"/>
      <c r="H476" s="62"/>
      <c r="I476" s="62"/>
      <c r="J476" s="62"/>
      <c r="K476" s="65"/>
      <c r="L476" s="65"/>
      <c r="M476" s="62"/>
      <c r="N476" s="11"/>
      <c r="O476" s="66"/>
      <c r="P476" s="62"/>
      <c r="Q476" s="62"/>
      <c r="R476" s="62"/>
      <c r="S476" s="62"/>
      <c r="T476" s="62"/>
      <c r="U476" s="67"/>
    </row>
    <row r="477" s="58" customFormat="1" spans="1:21">
      <c r="A477" s="61"/>
      <c r="B477" s="62"/>
      <c r="C477" s="79"/>
      <c r="D477" s="61"/>
      <c r="E477" s="64"/>
      <c r="F477" s="64"/>
      <c r="G477" s="62"/>
      <c r="H477" s="62"/>
      <c r="I477" s="62"/>
      <c r="J477" s="62"/>
      <c r="K477" s="65"/>
      <c r="L477" s="65"/>
      <c r="M477" s="62"/>
      <c r="N477" s="11"/>
      <c r="O477" s="66"/>
      <c r="P477" s="62"/>
      <c r="Q477" s="62"/>
      <c r="R477" s="62"/>
      <c r="S477" s="62"/>
      <c r="T477" s="62"/>
      <c r="U477" s="67"/>
    </row>
    <row r="478" s="58" customFormat="1" spans="1:21">
      <c r="A478" s="61"/>
      <c r="B478" s="62"/>
      <c r="C478" s="79"/>
      <c r="D478" s="61"/>
      <c r="E478" s="64"/>
      <c r="F478" s="64"/>
      <c r="G478" s="62"/>
      <c r="H478" s="62"/>
      <c r="I478" s="62"/>
      <c r="J478" s="62"/>
      <c r="K478" s="65"/>
      <c r="L478" s="65"/>
      <c r="M478" s="62"/>
      <c r="N478" s="11"/>
      <c r="O478" s="66"/>
      <c r="P478" s="62"/>
      <c r="Q478" s="62"/>
      <c r="R478" s="62"/>
      <c r="S478" s="62"/>
      <c r="T478" s="62"/>
      <c r="U478" s="67"/>
    </row>
    <row r="479" s="58" customFormat="1" spans="1:21">
      <c r="A479" s="61"/>
      <c r="B479" s="62"/>
      <c r="C479" s="79"/>
      <c r="D479" s="61"/>
      <c r="E479" s="64"/>
      <c r="F479" s="64"/>
      <c r="G479" s="62"/>
      <c r="H479" s="62"/>
      <c r="I479" s="62"/>
      <c r="J479" s="62"/>
      <c r="K479" s="65"/>
      <c r="L479" s="65"/>
      <c r="M479" s="62"/>
      <c r="N479" s="11"/>
      <c r="O479" s="66"/>
      <c r="P479" s="62"/>
      <c r="Q479" s="62"/>
      <c r="R479" s="62"/>
      <c r="S479" s="62"/>
      <c r="T479" s="62"/>
      <c r="U479" s="67"/>
    </row>
    <row r="480" s="58" customFormat="1" spans="1:21">
      <c r="A480" s="61"/>
      <c r="B480" s="62"/>
      <c r="C480" s="79"/>
      <c r="D480" s="61"/>
      <c r="E480" s="64"/>
      <c r="F480" s="64"/>
      <c r="G480" s="62"/>
      <c r="H480" s="62"/>
      <c r="I480" s="62"/>
      <c r="J480" s="62"/>
      <c r="K480" s="65"/>
      <c r="L480" s="65"/>
      <c r="M480" s="62"/>
      <c r="N480" s="11"/>
      <c r="O480" s="66"/>
      <c r="P480" s="62"/>
      <c r="Q480" s="62"/>
      <c r="R480" s="62"/>
      <c r="S480" s="94"/>
      <c r="T480" s="62"/>
      <c r="U480" s="67"/>
    </row>
    <row r="481" s="58" customFormat="1" spans="1:21">
      <c r="A481" s="61"/>
      <c r="B481" s="62"/>
      <c r="C481" s="79"/>
      <c r="D481" s="61"/>
      <c r="E481" s="64"/>
      <c r="F481" s="64"/>
      <c r="G481" s="62"/>
      <c r="H481" s="62"/>
      <c r="I481" s="62"/>
      <c r="J481" s="62"/>
      <c r="K481" s="65"/>
      <c r="L481" s="65"/>
      <c r="M481" s="62"/>
      <c r="N481" s="11"/>
      <c r="O481" s="66"/>
      <c r="P481" s="62"/>
      <c r="Q481" s="62"/>
      <c r="R481" s="62"/>
      <c r="S481" s="92"/>
      <c r="T481" s="62"/>
      <c r="U481" s="67"/>
    </row>
    <row r="482" s="58" customFormat="1" spans="1:21">
      <c r="A482" s="61"/>
      <c r="B482" s="62"/>
      <c r="C482" s="79"/>
      <c r="D482" s="61"/>
      <c r="E482" s="64"/>
      <c r="F482" s="64"/>
      <c r="G482" s="62"/>
      <c r="H482" s="62"/>
      <c r="I482" s="62"/>
      <c r="J482" s="62"/>
      <c r="K482" s="65"/>
      <c r="L482" s="65"/>
      <c r="M482" s="62"/>
      <c r="N482" s="11"/>
      <c r="O482" s="66"/>
      <c r="P482" s="62"/>
      <c r="Q482" s="62"/>
      <c r="R482" s="62"/>
      <c r="S482" s="62"/>
      <c r="T482" s="62"/>
      <c r="U482" s="67"/>
    </row>
    <row r="483" s="58" customFormat="1" spans="1:21">
      <c r="A483" s="61"/>
      <c r="B483" s="62"/>
      <c r="C483" s="79"/>
      <c r="D483" s="61"/>
      <c r="E483" s="64"/>
      <c r="F483" s="64"/>
      <c r="G483" s="62"/>
      <c r="H483" s="62"/>
      <c r="I483" s="62"/>
      <c r="J483" s="62"/>
      <c r="K483" s="65"/>
      <c r="L483" s="65"/>
      <c r="M483" s="62"/>
      <c r="N483" s="11"/>
      <c r="O483" s="66"/>
      <c r="P483" s="62"/>
      <c r="Q483" s="62"/>
      <c r="R483" s="62"/>
      <c r="S483" s="94"/>
      <c r="T483" s="62"/>
      <c r="U483" s="67"/>
    </row>
    <row r="484" s="58" customFormat="1" spans="1:21">
      <c r="A484" s="61"/>
      <c r="B484" s="62"/>
      <c r="C484" s="79"/>
      <c r="D484" s="61"/>
      <c r="E484" s="64"/>
      <c r="F484" s="64"/>
      <c r="G484" s="62"/>
      <c r="H484" s="62"/>
      <c r="I484" s="62"/>
      <c r="J484" s="62"/>
      <c r="K484" s="65"/>
      <c r="L484" s="65"/>
      <c r="M484" s="62"/>
      <c r="N484" s="11"/>
      <c r="O484" s="66"/>
      <c r="P484" s="62"/>
      <c r="Q484" s="62"/>
      <c r="R484" s="62"/>
      <c r="S484" s="92"/>
      <c r="T484" s="62"/>
      <c r="U484" s="67"/>
    </row>
    <row r="485" s="58" customFormat="1" spans="1:21">
      <c r="A485" s="61"/>
      <c r="B485" s="62"/>
      <c r="C485" s="79"/>
      <c r="D485" s="61"/>
      <c r="E485" s="64"/>
      <c r="F485" s="64"/>
      <c r="G485" s="62"/>
      <c r="H485" s="62"/>
      <c r="I485" s="62"/>
      <c r="J485" s="62"/>
      <c r="K485" s="65"/>
      <c r="L485" s="65"/>
      <c r="M485" s="62"/>
      <c r="N485" s="11"/>
      <c r="O485" s="66"/>
      <c r="P485" s="62"/>
      <c r="Q485" s="62"/>
      <c r="R485" s="62"/>
      <c r="S485" s="62"/>
      <c r="T485" s="62"/>
      <c r="U485" s="67"/>
    </row>
    <row r="486" s="58" customFormat="1" spans="1:21">
      <c r="A486" s="61"/>
      <c r="B486" s="62"/>
      <c r="C486" s="79"/>
      <c r="D486" s="61"/>
      <c r="E486" s="64"/>
      <c r="F486" s="64"/>
      <c r="G486" s="62"/>
      <c r="H486" s="62"/>
      <c r="I486" s="62"/>
      <c r="J486" s="62"/>
      <c r="K486" s="65"/>
      <c r="L486" s="65"/>
      <c r="M486" s="62"/>
      <c r="N486" s="11"/>
      <c r="O486" s="66"/>
      <c r="P486" s="62"/>
      <c r="Q486" s="62"/>
      <c r="R486" s="62"/>
      <c r="S486" s="62"/>
      <c r="T486" s="62"/>
      <c r="U486" s="67"/>
    </row>
    <row r="487" s="58" customFormat="1" spans="1:21">
      <c r="A487" s="61"/>
      <c r="B487" s="62"/>
      <c r="C487" s="79"/>
      <c r="D487" s="61"/>
      <c r="E487" s="64"/>
      <c r="F487" s="64"/>
      <c r="G487" s="62"/>
      <c r="H487" s="62"/>
      <c r="I487" s="62"/>
      <c r="J487" s="62"/>
      <c r="K487" s="65"/>
      <c r="L487" s="65"/>
      <c r="M487" s="62"/>
      <c r="N487" s="11"/>
      <c r="O487" s="66"/>
      <c r="P487" s="62"/>
      <c r="Q487" s="62"/>
      <c r="R487" s="62"/>
      <c r="S487" s="62"/>
      <c r="T487" s="62"/>
      <c r="U487" s="67"/>
    </row>
    <row r="488" s="58" customFormat="1" spans="1:21">
      <c r="A488" s="61"/>
      <c r="B488" s="62"/>
      <c r="C488" s="79"/>
      <c r="D488" s="61"/>
      <c r="E488" s="64"/>
      <c r="F488" s="64"/>
      <c r="G488" s="62"/>
      <c r="H488" s="62"/>
      <c r="I488" s="62"/>
      <c r="J488" s="62"/>
      <c r="K488" s="65"/>
      <c r="L488" s="65"/>
      <c r="M488" s="62"/>
      <c r="N488" s="11"/>
      <c r="O488" s="66"/>
      <c r="P488" s="62"/>
      <c r="Q488" s="62"/>
      <c r="R488" s="62"/>
      <c r="S488" s="62"/>
      <c r="T488" s="62"/>
      <c r="U488" s="67"/>
    </row>
    <row r="489" s="58" customFormat="1" spans="1:21">
      <c r="A489" s="61"/>
      <c r="B489" s="62"/>
      <c r="C489" s="79"/>
      <c r="D489" s="61"/>
      <c r="E489" s="64"/>
      <c r="F489" s="64"/>
      <c r="G489" s="62"/>
      <c r="H489" s="62"/>
      <c r="I489" s="97"/>
      <c r="J489" s="62"/>
      <c r="K489" s="65"/>
      <c r="L489" s="65"/>
      <c r="M489" s="62"/>
      <c r="N489" s="11"/>
      <c r="O489" s="66"/>
      <c r="P489" s="62"/>
      <c r="Q489" s="62"/>
      <c r="R489" s="62"/>
      <c r="S489" s="62"/>
      <c r="T489" s="62"/>
      <c r="U489" s="67"/>
    </row>
    <row r="490" s="58" customFormat="1" spans="1:21">
      <c r="A490" s="61"/>
      <c r="B490" s="62"/>
      <c r="C490" s="79"/>
      <c r="D490" s="61"/>
      <c r="E490" s="64"/>
      <c r="F490" s="64"/>
      <c r="G490" s="62"/>
      <c r="H490" s="62"/>
      <c r="I490" s="122"/>
      <c r="J490" s="62"/>
      <c r="K490" s="65"/>
      <c r="L490" s="65"/>
      <c r="M490" s="62"/>
      <c r="N490" s="11"/>
      <c r="O490" s="66"/>
      <c r="P490" s="62"/>
      <c r="Q490" s="62"/>
      <c r="R490" s="62"/>
      <c r="S490" s="94"/>
      <c r="T490" s="62"/>
      <c r="U490" s="67"/>
    </row>
    <row r="491" s="58" customFormat="1" spans="1:21">
      <c r="A491" s="61"/>
      <c r="B491" s="62"/>
      <c r="C491" s="79"/>
      <c r="D491" s="61"/>
      <c r="E491" s="64"/>
      <c r="F491" s="64"/>
      <c r="G491" s="62"/>
      <c r="H491" s="62"/>
      <c r="I491" s="62"/>
      <c r="J491" s="62"/>
      <c r="K491" s="65"/>
      <c r="L491" s="65"/>
      <c r="M491" s="62"/>
      <c r="N491" s="11"/>
      <c r="O491" s="66"/>
      <c r="P491" s="62"/>
      <c r="Q491" s="62"/>
      <c r="R491" s="62"/>
      <c r="S491" s="92"/>
      <c r="T491" s="62"/>
      <c r="U491" s="67"/>
    </row>
    <row r="492" s="58" customFormat="1" spans="1:21">
      <c r="A492" s="61"/>
      <c r="B492" s="62"/>
      <c r="C492" s="79"/>
      <c r="D492" s="61"/>
      <c r="E492" s="64"/>
      <c r="F492" s="64"/>
      <c r="G492" s="62"/>
      <c r="H492" s="62"/>
      <c r="I492" s="62"/>
      <c r="J492" s="62"/>
      <c r="K492" s="65"/>
      <c r="L492" s="65"/>
      <c r="M492" s="62"/>
      <c r="N492" s="11"/>
      <c r="O492" s="66"/>
      <c r="P492" s="62"/>
      <c r="Q492" s="62"/>
      <c r="R492" s="62"/>
      <c r="S492" s="94"/>
      <c r="T492" s="62"/>
      <c r="U492" s="67"/>
    </row>
    <row r="493" s="58" customFormat="1" spans="1:21">
      <c r="A493" s="61"/>
      <c r="B493" s="62"/>
      <c r="C493" s="79"/>
      <c r="D493" s="61"/>
      <c r="E493" s="64"/>
      <c r="F493" s="64"/>
      <c r="G493" s="62"/>
      <c r="H493" s="62"/>
      <c r="I493" s="62"/>
      <c r="J493" s="62"/>
      <c r="K493" s="65"/>
      <c r="L493" s="65"/>
      <c r="M493" s="62"/>
      <c r="N493" s="11"/>
      <c r="O493" s="66"/>
      <c r="P493" s="62"/>
      <c r="Q493" s="62"/>
      <c r="R493" s="62"/>
      <c r="S493" s="92"/>
      <c r="T493" s="62"/>
      <c r="U493" s="67"/>
    </row>
    <row r="494" s="58" customFormat="1" spans="1:21">
      <c r="A494" s="61"/>
      <c r="B494" s="62"/>
      <c r="C494" s="79"/>
      <c r="D494" s="61"/>
      <c r="E494" s="64"/>
      <c r="F494" s="64"/>
      <c r="G494" s="62"/>
      <c r="H494" s="62"/>
      <c r="I494" s="62"/>
      <c r="J494" s="62"/>
      <c r="K494" s="65"/>
      <c r="L494" s="65"/>
      <c r="M494" s="62"/>
      <c r="N494" s="11"/>
      <c r="O494" s="66"/>
      <c r="P494" s="62"/>
      <c r="Q494" s="62"/>
      <c r="R494" s="62"/>
      <c r="S494" s="62"/>
      <c r="T494" s="62"/>
      <c r="U494" s="67"/>
    </row>
    <row r="495" s="58" customFormat="1" spans="1:21">
      <c r="A495" s="61"/>
      <c r="B495" s="62"/>
      <c r="C495" s="79"/>
      <c r="D495" s="61"/>
      <c r="E495" s="64"/>
      <c r="F495" s="64"/>
      <c r="G495" s="62"/>
      <c r="H495" s="62"/>
      <c r="I495" s="62"/>
      <c r="J495" s="62"/>
      <c r="K495" s="65"/>
      <c r="L495" s="65"/>
      <c r="M495" s="62"/>
      <c r="N495" s="11"/>
      <c r="O495" s="66"/>
      <c r="P495" s="62"/>
      <c r="Q495" s="62"/>
      <c r="R495" s="62"/>
      <c r="S495" s="62"/>
      <c r="T495" s="62"/>
      <c r="U495" s="67"/>
    </row>
    <row r="496" s="58" customFormat="1" spans="1:21">
      <c r="A496" s="61"/>
      <c r="B496" s="62"/>
      <c r="C496" s="79"/>
      <c r="D496" s="61"/>
      <c r="E496" s="64"/>
      <c r="F496" s="64"/>
      <c r="G496" s="62"/>
      <c r="H496" s="62"/>
      <c r="I496" s="62"/>
      <c r="J496" s="62"/>
      <c r="K496" s="65"/>
      <c r="L496" s="65"/>
      <c r="M496" s="62"/>
      <c r="N496" s="11"/>
      <c r="O496" s="66"/>
      <c r="P496" s="62"/>
      <c r="Q496" s="62"/>
      <c r="R496" s="62"/>
      <c r="S496" s="62"/>
      <c r="T496" s="62"/>
      <c r="U496" s="67"/>
    </row>
    <row r="497" s="58" customFormat="1" spans="1:21">
      <c r="A497" s="61"/>
      <c r="B497" s="62"/>
      <c r="C497" s="79"/>
      <c r="D497" s="61"/>
      <c r="E497" s="64"/>
      <c r="F497" s="64"/>
      <c r="G497" s="62"/>
      <c r="H497" s="62"/>
      <c r="I497" s="62"/>
      <c r="J497" s="62"/>
      <c r="K497" s="65"/>
      <c r="L497" s="65"/>
      <c r="M497" s="62"/>
      <c r="N497" s="11"/>
      <c r="O497" s="66"/>
      <c r="P497" s="62"/>
      <c r="Q497" s="62"/>
      <c r="R497" s="62"/>
      <c r="S497" s="62"/>
      <c r="T497" s="62"/>
      <c r="U497" s="67"/>
    </row>
    <row r="498" s="58" customFormat="1" spans="1:21">
      <c r="A498" s="61"/>
      <c r="B498" s="62"/>
      <c r="C498" s="79"/>
      <c r="D498" s="61"/>
      <c r="E498" s="64"/>
      <c r="F498" s="64"/>
      <c r="G498" s="62"/>
      <c r="H498" s="62"/>
      <c r="I498" s="62"/>
      <c r="J498" s="62"/>
      <c r="K498" s="62"/>
      <c r="L498" s="65"/>
      <c r="M498" s="62"/>
      <c r="N498" s="11"/>
      <c r="O498" s="66"/>
      <c r="P498" s="62"/>
      <c r="Q498" s="62"/>
      <c r="R498" s="62"/>
      <c r="S498" s="62"/>
      <c r="T498" s="62"/>
      <c r="U498" s="67"/>
    </row>
    <row r="499" s="58" customFormat="1" spans="1:21">
      <c r="A499" s="61"/>
      <c r="B499" s="62"/>
      <c r="C499" s="79"/>
      <c r="D499" s="61"/>
      <c r="E499" s="64"/>
      <c r="F499" s="64"/>
      <c r="G499" s="62"/>
      <c r="H499" s="62"/>
      <c r="I499" s="62"/>
      <c r="J499" s="62"/>
      <c r="K499" s="62"/>
      <c r="L499" s="65"/>
      <c r="M499" s="62"/>
      <c r="N499" s="11"/>
      <c r="O499" s="66"/>
      <c r="P499" s="62"/>
      <c r="Q499" s="62"/>
      <c r="R499" s="62"/>
      <c r="S499" s="62"/>
      <c r="T499" s="62"/>
      <c r="U499" s="67"/>
    </row>
    <row r="500" s="58" customFormat="1" spans="1:21">
      <c r="A500" s="61"/>
      <c r="B500" s="62"/>
      <c r="C500" s="79"/>
      <c r="D500" s="61"/>
      <c r="E500" s="64"/>
      <c r="F500" s="64"/>
      <c r="G500" s="62"/>
      <c r="H500" s="62"/>
      <c r="I500" s="62"/>
      <c r="J500" s="62"/>
      <c r="K500" s="62"/>
      <c r="L500" s="65"/>
      <c r="M500" s="62"/>
      <c r="N500" s="11"/>
      <c r="O500" s="66"/>
      <c r="P500" s="62"/>
      <c r="Q500" s="62"/>
      <c r="R500" s="62"/>
      <c r="S500" s="94"/>
      <c r="T500" s="62"/>
      <c r="U500" s="67"/>
    </row>
    <row r="501" s="58" customFormat="1" spans="1:21">
      <c r="A501" s="61"/>
      <c r="B501" s="62"/>
      <c r="C501" s="79"/>
      <c r="D501" s="61"/>
      <c r="E501" s="64"/>
      <c r="F501" s="64"/>
      <c r="G501" s="62"/>
      <c r="H501" s="62"/>
      <c r="I501" s="62"/>
      <c r="J501" s="62"/>
      <c r="K501" s="62"/>
      <c r="L501" s="65"/>
      <c r="M501" s="62"/>
      <c r="N501" s="11"/>
      <c r="O501" s="66"/>
      <c r="P501" s="62"/>
      <c r="Q501" s="62"/>
      <c r="R501" s="62"/>
      <c r="S501" s="92"/>
      <c r="T501" s="62"/>
      <c r="U501" s="67"/>
    </row>
    <row r="502" s="58" customFormat="1" spans="1:21">
      <c r="A502" s="61"/>
      <c r="B502" s="62"/>
      <c r="C502" s="79"/>
      <c r="D502" s="61"/>
      <c r="E502" s="64"/>
      <c r="F502" s="64"/>
      <c r="G502" s="62"/>
      <c r="H502" s="62"/>
      <c r="I502" s="62"/>
      <c r="J502" s="62"/>
      <c r="K502" s="62"/>
      <c r="L502" s="65"/>
      <c r="M502" s="62"/>
      <c r="N502" s="11"/>
      <c r="O502" s="66"/>
      <c r="P502" s="62"/>
      <c r="Q502" s="62"/>
      <c r="R502" s="62"/>
      <c r="S502" s="62"/>
      <c r="T502" s="62"/>
      <c r="U502" s="67"/>
    </row>
    <row r="503" s="58" customFormat="1" spans="1:21">
      <c r="A503" s="61"/>
      <c r="B503" s="62"/>
      <c r="C503" s="79"/>
      <c r="D503" s="61"/>
      <c r="E503" s="64"/>
      <c r="F503" s="64"/>
      <c r="G503" s="62"/>
      <c r="H503" s="62"/>
      <c r="I503" s="62"/>
      <c r="J503" s="62"/>
      <c r="K503" s="62"/>
      <c r="L503" s="65"/>
      <c r="M503" s="62"/>
      <c r="N503" s="11"/>
      <c r="O503" s="89"/>
      <c r="P503" s="62"/>
      <c r="Q503" s="62"/>
      <c r="R503" s="62"/>
      <c r="S503" s="62"/>
      <c r="T503" s="62"/>
      <c r="U503" s="67"/>
    </row>
    <row r="504" s="58" customFormat="1" spans="1:21">
      <c r="A504" s="61"/>
      <c r="B504" s="62"/>
      <c r="C504" s="79"/>
      <c r="D504" s="61"/>
      <c r="E504" s="64"/>
      <c r="F504" s="64"/>
      <c r="G504" s="62"/>
      <c r="H504" s="62"/>
      <c r="I504" s="62"/>
      <c r="J504" s="62"/>
      <c r="K504" s="62"/>
      <c r="L504" s="65"/>
      <c r="M504" s="62"/>
      <c r="N504" s="11"/>
      <c r="O504" s="61"/>
      <c r="P504" s="62"/>
      <c r="Q504" s="62"/>
      <c r="R504" s="62"/>
      <c r="S504" s="62"/>
      <c r="T504" s="62"/>
      <c r="U504" s="67"/>
    </row>
    <row r="505" s="58" customFormat="1" spans="1:21">
      <c r="A505" s="61"/>
      <c r="B505" s="62"/>
      <c r="C505" s="79"/>
      <c r="D505" s="61"/>
      <c r="E505" s="64"/>
      <c r="F505" s="64"/>
      <c r="G505" s="62"/>
      <c r="H505" s="62"/>
      <c r="I505" s="62"/>
      <c r="J505" s="62"/>
      <c r="K505" s="65"/>
      <c r="L505" s="65"/>
      <c r="M505" s="62"/>
      <c r="N505" s="11"/>
      <c r="O505" s="66"/>
      <c r="P505" s="62"/>
      <c r="Q505" s="62"/>
      <c r="R505" s="62"/>
      <c r="S505" s="62"/>
      <c r="T505" s="62"/>
      <c r="U505" s="67"/>
    </row>
    <row r="506" s="58" customFormat="1" spans="1:21">
      <c r="A506" s="61"/>
      <c r="B506" s="62"/>
      <c r="C506" s="79"/>
      <c r="D506" s="61"/>
      <c r="E506" s="64"/>
      <c r="F506" s="64"/>
      <c r="G506" s="62"/>
      <c r="H506" s="62"/>
      <c r="I506" s="62"/>
      <c r="J506" s="62"/>
      <c r="K506" s="65"/>
      <c r="L506" s="65"/>
      <c r="M506" s="62"/>
      <c r="N506" s="11"/>
      <c r="O506" s="66"/>
      <c r="P506" s="62"/>
      <c r="Q506" s="62"/>
      <c r="R506" s="62"/>
      <c r="S506" s="94"/>
      <c r="T506" s="62"/>
      <c r="U506" s="67"/>
    </row>
    <row r="507" s="58" customFormat="1" spans="1:21">
      <c r="A507" s="61"/>
      <c r="B507" s="62"/>
      <c r="C507" s="79"/>
      <c r="D507" s="61"/>
      <c r="E507" s="64"/>
      <c r="F507" s="64"/>
      <c r="G507" s="62"/>
      <c r="H507" s="62"/>
      <c r="I507" s="62"/>
      <c r="J507" s="62"/>
      <c r="K507" s="65"/>
      <c r="L507" s="65"/>
      <c r="M507" s="62"/>
      <c r="N507" s="11"/>
      <c r="O507" s="66"/>
      <c r="P507" s="62"/>
      <c r="Q507" s="62"/>
      <c r="R507" s="62"/>
      <c r="S507" s="92"/>
      <c r="T507" s="62"/>
      <c r="U507" s="67"/>
    </row>
    <row r="508" s="58" customFormat="1" spans="1:21">
      <c r="A508" s="61"/>
      <c r="B508" s="62"/>
      <c r="C508" s="79"/>
      <c r="D508" s="61"/>
      <c r="E508" s="64"/>
      <c r="F508" s="64"/>
      <c r="G508" s="62"/>
      <c r="H508" s="62"/>
      <c r="I508" s="62"/>
      <c r="J508" s="62"/>
      <c r="K508" s="65"/>
      <c r="L508" s="65"/>
      <c r="M508" s="62"/>
      <c r="N508" s="11"/>
      <c r="O508" s="66"/>
      <c r="P508" s="62"/>
      <c r="Q508" s="62"/>
      <c r="R508" s="62"/>
      <c r="S508" s="62"/>
      <c r="T508" s="62"/>
      <c r="U508" s="67"/>
    </row>
    <row r="509" s="58" customFormat="1" spans="1:21">
      <c r="A509" s="61"/>
      <c r="B509" s="62"/>
      <c r="C509" s="79"/>
      <c r="D509" s="61"/>
      <c r="E509" s="64"/>
      <c r="F509" s="64"/>
      <c r="G509" s="62"/>
      <c r="H509" s="62"/>
      <c r="I509" s="62"/>
      <c r="J509" s="62"/>
      <c r="K509" s="65"/>
      <c r="L509" s="65"/>
      <c r="M509" s="62"/>
      <c r="N509" s="11"/>
      <c r="O509" s="66"/>
      <c r="P509" s="62"/>
      <c r="Q509" s="62"/>
      <c r="R509" s="62"/>
      <c r="S509" s="62"/>
      <c r="T509" s="62"/>
      <c r="U509" s="67"/>
    </row>
    <row r="510" s="58" customFormat="1" spans="1:21">
      <c r="A510" s="61"/>
      <c r="B510" s="62"/>
      <c r="C510" s="79"/>
      <c r="D510" s="61"/>
      <c r="E510" s="64"/>
      <c r="F510" s="64"/>
      <c r="G510" s="62"/>
      <c r="H510" s="62"/>
      <c r="I510" s="62"/>
      <c r="J510" s="62"/>
      <c r="K510" s="65"/>
      <c r="L510" s="65"/>
      <c r="M510" s="62"/>
      <c r="N510" s="11"/>
      <c r="O510" s="66"/>
      <c r="P510" s="62"/>
      <c r="Q510" s="62"/>
      <c r="R510" s="62"/>
      <c r="S510" s="62"/>
      <c r="T510" s="62"/>
      <c r="U510" s="67"/>
    </row>
    <row r="511" s="58" customFormat="1" spans="1:21">
      <c r="A511" s="61"/>
      <c r="B511" s="62"/>
      <c r="C511" s="79"/>
      <c r="D511" s="61"/>
      <c r="E511" s="64"/>
      <c r="F511" s="64"/>
      <c r="G511" s="62"/>
      <c r="H511" s="62"/>
      <c r="I511" s="62"/>
      <c r="J511" s="62"/>
      <c r="K511" s="65"/>
      <c r="L511" s="65"/>
      <c r="M511" s="62"/>
      <c r="N511" s="11"/>
      <c r="O511" s="66"/>
      <c r="P511" s="62"/>
      <c r="Q511" s="62"/>
      <c r="R511" s="62"/>
      <c r="S511" s="62"/>
      <c r="T511" s="62"/>
      <c r="U511" s="67"/>
    </row>
    <row r="512" s="58" customFormat="1" spans="1:21">
      <c r="A512" s="61"/>
      <c r="B512" s="62"/>
      <c r="C512" s="79"/>
      <c r="D512" s="61"/>
      <c r="E512" s="64"/>
      <c r="F512" s="64"/>
      <c r="G512" s="62"/>
      <c r="H512" s="62"/>
      <c r="I512" s="62"/>
      <c r="J512" s="62"/>
      <c r="K512" s="65"/>
      <c r="L512" s="65"/>
      <c r="M512" s="62"/>
      <c r="N512" s="11"/>
      <c r="O512" s="66"/>
      <c r="P512" s="62"/>
      <c r="Q512" s="62"/>
      <c r="R512" s="62"/>
      <c r="S512" s="62"/>
      <c r="T512" s="62"/>
      <c r="U512" s="67"/>
    </row>
    <row r="513" s="58" customFormat="1" spans="1:21">
      <c r="A513" s="61"/>
      <c r="B513" s="62"/>
      <c r="C513" s="79"/>
      <c r="D513" s="61"/>
      <c r="E513" s="64"/>
      <c r="F513" s="64"/>
      <c r="G513" s="62"/>
      <c r="H513" s="62"/>
      <c r="I513" s="62"/>
      <c r="J513" s="62"/>
      <c r="K513" s="65"/>
      <c r="L513" s="65"/>
      <c r="M513" s="62"/>
      <c r="N513" s="11"/>
      <c r="O513" s="66"/>
      <c r="P513" s="62"/>
      <c r="Q513" s="62"/>
      <c r="R513" s="62"/>
      <c r="S513" s="94"/>
      <c r="T513" s="62"/>
      <c r="U513" s="67"/>
    </row>
    <row r="514" s="58" customFormat="1" spans="1:21">
      <c r="A514" s="61"/>
      <c r="B514" s="62"/>
      <c r="C514" s="79"/>
      <c r="D514" s="61"/>
      <c r="E514" s="64"/>
      <c r="F514" s="64"/>
      <c r="G514" s="62"/>
      <c r="H514" s="62"/>
      <c r="I514" s="62"/>
      <c r="J514" s="62"/>
      <c r="K514" s="65"/>
      <c r="L514" s="65"/>
      <c r="M514" s="62"/>
      <c r="N514" s="11"/>
      <c r="O514" s="66"/>
      <c r="P514" s="62"/>
      <c r="Q514" s="62"/>
      <c r="R514" s="62"/>
      <c r="S514" s="92"/>
      <c r="T514" s="62"/>
      <c r="U514" s="67"/>
    </row>
    <row r="515" s="58" customFormat="1" spans="1:21">
      <c r="A515" s="61"/>
      <c r="B515" s="62"/>
      <c r="C515" s="79"/>
      <c r="D515" s="61"/>
      <c r="E515" s="64"/>
      <c r="F515" s="64"/>
      <c r="G515" s="62"/>
      <c r="H515" s="62"/>
      <c r="I515" s="62"/>
      <c r="J515" s="62"/>
      <c r="K515" s="65"/>
      <c r="L515" s="65"/>
      <c r="M515" s="62"/>
      <c r="N515" s="11"/>
      <c r="O515" s="66"/>
      <c r="P515" s="62"/>
      <c r="Q515" s="62"/>
      <c r="R515" s="62"/>
      <c r="S515" s="94"/>
      <c r="T515" s="62"/>
      <c r="U515" s="67"/>
    </row>
    <row r="516" s="58" customFormat="1" spans="1:21">
      <c r="A516" s="61"/>
      <c r="B516" s="62"/>
      <c r="C516" s="79"/>
      <c r="D516" s="61"/>
      <c r="E516" s="64"/>
      <c r="F516" s="64"/>
      <c r="G516" s="62"/>
      <c r="H516" s="62"/>
      <c r="I516" s="62"/>
      <c r="J516" s="62"/>
      <c r="K516" s="65"/>
      <c r="L516" s="65"/>
      <c r="M516" s="62"/>
      <c r="N516" s="11"/>
      <c r="O516" s="66"/>
      <c r="P516" s="62"/>
      <c r="Q516" s="62"/>
      <c r="R516" s="62"/>
      <c r="S516" s="92"/>
      <c r="T516" s="62"/>
      <c r="U516" s="67"/>
    </row>
    <row r="517" s="58" customFormat="1" spans="1:21">
      <c r="A517" s="61"/>
      <c r="B517" s="62"/>
      <c r="C517" s="79"/>
      <c r="D517" s="61"/>
      <c r="E517" s="64"/>
      <c r="F517" s="64"/>
      <c r="G517" s="62"/>
      <c r="H517" s="62"/>
      <c r="I517" s="62"/>
      <c r="J517" s="62"/>
      <c r="K517" s="65"/>
      <c r="L517" s="65"/>
      <c r="M517" s="62"/>
      <c r="N517" s="11"/>
      <c r="O517" s="66"/>
      <c r="P517" s="62"/>
      <c r="Q517" s="62"/>
      <c r="R517" s="62"/>
      <c r="S517" s="62"/>
      <c r="T517" s="62"/>
      <c r="U517" s="67"/>
    </row>
    <row r="518" s="58" customFormat="1" spans="1:21">
      <c r="A518" s="61"/>
      <c r="B518" s="62"/>
      <c r="C518" s="79"/>
      <c r="D518" s="61"/>
      <c r="E518" s="64"/>
      <c r="F518" s="64"/>
      <c r="G518" s="62"/>
      <c r="H518" s="62"/>
      <c r="I518" s="62"/>
      <c r="J518" s="62"/>
      <c r="K518" s="65"/>
      <c r="L518" s="65"/>
      <c r="M518" s="62"/>
      <c r="N518" s="11"/>
      <c r="O518" s="66"/>
      <c r="P518" s="62"/>
      <c r="Q518" s="62"/>
      <c r="R518" s="62"/>
      <c r="S518" s="62"/>
      <c r="T518" s="62"/>
      <c r="U518" s="67"/>
    </row>
    <row r="519" s="58" customFormat="1" spans="1:21">
      <c r="A519" s="61"/>
      <c r="B519" s="62"/>
      <c r="C519" s="79"/>
      <c r="D519" s="61"/>
      <c r="E519" s="64"/>
      <c r="F519" s="64"/>
      <c r="G519" s="62"/>
      <c r="H519" s="62"/>
      <c r="I519" s="62"/>
      <c r="J519" s="62"/>
      <c r="K519" s="65"/>
      <c r="L519" s="65"/>
      <c r="M519" s="62"/>
      <c r="N519" s="11"/>
      <c r="O519" s="66"/>
      <c r="P519" s="62"/>
      <c r="Q519" s="62"/>
      <c r="R519" s="62"/>
      <c r="S519" s="62"/>
      <c r="T519" s="62"/>
      <c r="U519" s="67"/>
    </row>
    <row r="520" s="58" customFormat="1" spans="1:21">
      <c r="A520" s="61"/>
      <c r="B520" s="62"/>
      <c r="C520" s="79"/>
      <c r="D520" s="61"/>
      <c r="E520" s="64"/>
      <c r="F520" s="64"/>
      <c r="G520" s="62"/>
      <c r="H520" s="62"/>
      <c r="I520" s="62"/>
      <c r="J520" s="62"/>
      <c r="K520" s="65"/>
      <c r="L520" s="65"/>
      <c r="M520" s="62"/>
      <c r="N520" s="11"/>
      <c r="O520" s="66"/>
      <c r="P520" s="62"/>
      <c r="Q520" s="62"/>
      <c r="R520" s="62"/>
      <c r="S520" s="62"/>
      <c r="T520" s="62"/>
      <c r="U520" s="67"/>
    </row>
    <row r="521" s="58" customFormat="1" spans="1:21">
      <c r="A521" s="61"/>
      <c r="B521" s="62"/>
      <c r="C521" s="79"/>
      <c r="D521" s="61"/>
      <c r="E521" s="64"/>
      <c r="F521" s="64"/>
      <c r="G521" s="62"/>
      <c r="H521" s="62"/>
      <c r="I521" s="62"/>
      <c r="J521" s="62"/>
      <c r="K521" s="65"/>
      <c r="L521" s="65"/>
      <c r="M521" s="62"/>
      <c r="N521" s="11"/>
      <c r="O521" s="66"/>
      <c r="P521" s="62"/>
      <c r="Q521" s="62"/>
      <c r="R521" s="62"/>
      <c r="S521" s="62"/>
      <c r="T521" s="62"/>
      <c r="U521" s="67"/>
    </row>
    <row r="522" s="58" customFormat="1" spans="1:21">
      <c r="A522" s="61"/>
      <c r="B522" s="62"/>
      <c r="C522" s="79"/>
      <c r="D522" s="61"/>
      <c r="E522" s="64"/>
      <c r="F522" s="64"/>
      <c r="G522" s="62"/>
      <c r="H522" s="62"/>
      <c r="I522" s="62"/>
      <c r="J522" s="62"/>
      <c r="K522" s="65"/>
      <c r="L522" s="65"/>
      <c r="M522" s="62"/>
      <c r="N522" s="11"/>
      <c r="O522" s="66"/>
      <c r="P522" s="62"/>
      <c r="Q522" s="62"/>
      <c r="R522" s="62"/>
      <c r="S522" s="94"/>
      <c r="T522" s="62"/>
      <c r="U522" s="67"/>
    </row>
    <row r="523" s="58" customFormat="1" spans="1:21">
      <c r="A523" s="61"/>
      <c r="B523" s="62"/>
      <c r="C523" s="79"/>
      <c r="D523" s="61"/>
      <c r="E523" s="64"/>
      <c r="F523" s="64"/>
      <c r="G523" s="62"/>
      <c r="H523" s="62"/>
      <c r="I523" s="62"/>
      <c r="J523" s="62"/>
      <c r="K523" s="65"/>
      <c r="L523" s="65"/>
      <c r="M523" s="62"/>
      <c r="N523" s="11"/>
      <c r="O523" s="66"/>
      <c r="P523" s="62"/>
      <c r="Q523" s="62"/>
      <c r="R523" s="62"/>
      <c r="S523" s="92"/>
      <c r="T523" s="62"/>
      <c r="U523" s="67"/>
    </row>
    <row r="524" s="58" customFormat="1" spans="1:21">
      <c r="A524" s="61"/>
      <c r="B524" s="62"/>
      <c r="C524" s="79"/>
      <c r="D524" s="61"/>
      <c r="E524" s="64"/>
      <c r="F524" s="64"/>
      <c r="G524" s="62"/>
      <c r="H524" s="62"/>
      <c r="I524" s="62"/>
      <c r="J524" s="62"/>
      <c r="K524" s="65"/>
      <c r="L524" s="65"/>
      <c r="M524" s="62"/>
      <c r="N524" s="11"/>
      <c r="O524" s="66"/>
      <c r="P524" s="62"/>
      <c r="Q524" s="62"/>
      <c r="R524" s="62"/>
      <c r="S524" s="62"/>
      <c r="T524" s="62"/>
      <c r="U524" s="67"/>
    </row>
    <row r="525" s="58" customFormat="1" spans="1:21">
      <c r="A525" s="61"/>
      <c r="B525" s="62"/>
      <c r="C525" s="79"/>
      <c r="D525" s="61"/>
      <c r="E525" s="64"/>
      <c r="F525" s="64"/>
      <c r="G525" s="62"/>
      <c r="H525" s="62"/>
      <c r="I525" s="62"/>
      <c r="J525" s="62"/>
      <c r="K525" s="65"/>
      <c r="L525" s="65"/>
      <c r="M525" s="62"/>
      <c r="N525" s="11"/>
      <c r="O525" s="66"/>
      <c r="P525" s="62"/>
      <c r="Q525" s="62"/>
      <c r="R525" s="62"/>
      <c r="S525" s="62"/>
      <c r="T525" s="62"/>
      <c r="U525" s="67"/>
    </row>
    <row r="526" s="58" customFormat="1" spans="1:21">
      <c r="A526" s="61"/>
      <c r="B526" s="62"/>
      <c r="C526" s="79"/>
      <c r="D526" s="61"/>
      <c r="E526" s="64"/>
      <c r="F526" s="64"/>
      <c r="G526" s="62"/>
      <c r="H526" s="62"/>
      <c r="I526" s="62"/>
      <c r="J526" s="62"/>
      <c r="K526" s="65"/>
      <c r="L526" s="65"/>
      <c r="M526" s="62"/>
      <c r="N526" s="11"/>
      <c r="O526" s="66"/>
      <c r="P526" s="62"/>
      <c r="Q526" s="62"/>
      <c r="R526" s="62"/>
      <c r="S526" s="62"/>
      <c r="T526" s="62"/>
      <c r="U526" s="67"/>
    </row>
    <row r="527" s="58" customFormat="1" spans="1:21">
      <c r="A527" s="61"/>
      <c r="B527" s="62"/>
      <c r="C527" s="79"/>
      <c r="D527" s="61"/>
      <c r="E527" s="64"/>
      <c r="F527" s="64"/>
      <c r="G527" s="62"/>
      <c r="H527" s="62"/>
      <c r="I527" s="62"/>
      <c r="J527" s="62"/>
      <c r="K527" s="65"/>
      <c r="L527" s="65"/>
      <c r="M527" s="62"/>
      <c r="N527" s="11"/>
      <c r="O527" s="66"/>
      <c r="P527" s="62"/>
      <c r="Q527" s="62"/>
      <c r="R527" s="62"/>
      <c r="S527" s="62"/>
      <c r="T527" s="62"/>
      <c r="U527" s="67"/>
    </row>
    <row r="528" s="58" customFormat="1" spans="1:21">
      <c r="A528" s="61"/>
      <c r="B528" s="62"/>
      <c r="C528" s="79"/>
      <c r="D528" s="61"/>
      <c r="E528" s="64"/>
      <c r="F528" s="64"/>
      <c r="G528" s="62"/>
      <c r="H528" s="62"/>
      <c r="I528" s="62"/>
      <c r="J528" s="62"/>
      <c r="K528" s="65"/>
      <c r="L528" s="65"/>
      <c r="M528" s="62"/>
      <c r="N528" s="11"/>
      <c r="O528" s="66"/>
      <c r="P528" s="62"/>
      <c r="Q528" s="62"/>
      <c r="R528" s="62"/>
      <c r="S528" s="62"/>
      <c r="T528" s="62"/>
      <c r="U528" s="67"/>
    </row>
    <row r="529" s="58" customFormat="1" spans="1:21">
      <c r="A529" s="61"/>
      <c r="B529" s="62"/>
      <c r="C529" s="79"/>
      <c r="D529" s="61"/>
      <c r="E529" s="64"/>
      <c r="F529" s="64"/>
      <c r="G529" s="62"/>
      <c r="H529" s="62"/>
      <c r="I529" s="62"/>
      <c r="J529" s="62"/>
      <c r="K529" s="65"/>
      <c r="L529" s="65"/>
      <c r="M529" s="62"/>
      <c r="N529" s="11"/>
      <c r="O529" s="66"/>
      <c r="P529" s="62"/>
      <c r="Q529" s="62"/>
      <c r="R529" s="62"/>
      <c r="S529" s="62"/>
      <c r="T529" s="62"/>
      <c r="U529" s="67"/>
    </row>
    <row r="530" s="58" customFormat="1" spans="1:21">
      <c r="A530" s="61"/>
      <c r="B530" s="62"/>
      <c r="C530" s="79"/>
      <c r="D530" s="61"/>
      <c r="E530" s="64"/>
      <c r="F530" s="64"/>
      <c r="G530" s="62"/>
      <c r="H530" s="62"/>
      <c r="I530" s="62"/>
      <c r="J530" s="62"/>
      <c r="K530" s="65"/>
      <c r="L530" s="65"/>
      <c r="M530" s="62"/>
      <c r="N530" s="11"/>
      <c r="O530" s="66"/>
      <c r="P530" s="62"/>
      <c r="Q530" s="62"/>
      <c r="R530" s="62"/>
      <c r="S530" s="62"/>
      <c r="T530" s="62"/>
      <c r="U530" s="67"/>
    </row>
    <row r="531" s="58" customFormat="1" spans="1:21">
      <c r="A531" s="61"/>
      <c r="B531" s="62"/>
      <c r="C531" s="79"/>
      <c r="D531" s="61"/>
      <c r="E531" s="64"/>
      <c r="F531" s="64"/>
      <c r="G531" s="62"/>
      <c r="H531" s="62"/>
      <c r="I531" s="62"/>
      <c r="J531" s="62"/>
      <c r="K531" s="65"/>
      <c r="L531" s="65"/>
      <c r="M531" s="62"/>
      <c r="N531" s="11"/>
      <c r="O531" s="66"/>
      <c r="P531" s="62"/>
      <c r="Q531" s="62"/>
      <c r="R531" s="62"/>
      <c r="S531" s="62"/>
      <c r="T531" s="62"/>
      <c r="U531" s="67"/>
    </row>
    <row r="532" s="58" customFormat="1" spans="1:21">
      <c r="A532" s="61"/>
      <c r="B532" s="62"/>
      <c r="C532" s="79"/>
      <c r="D532" s="61"/>
      <c r="E532" s="64"/>
      <c r="F532" s="64"/>
      <c r="G532" s="62"/>
      <c r="H532" s="62"/>
      <c r="I532" s="62"/>
      <c r="J532" s="62"/>
      <c r="K532" s="65"/>
      <c r="L532" s="65"/>
      <c r="M532" s="62"/>
      <c r="N532" s="11"/>
      <c r="O532" s="66"/>
      <c r="P532" s="62"/>
      <c r="Q532" s="62"/>
      <c r="R532" s="62"/>
      <c r="S532" s="62"/>
      <c r="T532" s="62"/>
      <c r="U532" s="67"/>
    </row>
    <row r="533" s="58" customFormat="1" spans="1:21">
      <c r="A533" s="61"/>
      <c r="B533" s="62"/>
      <c r="C533" s="79"/>
      <c r="D533" s="61"/>
      <c r="E533" s="64"/>
      <c r="F533" s="64"/>
      <c r="G533" s="62"/>
      <c r="H533" s="62"/>
      <c r="I533" s="62"/>
      <c r="J533" s="62"/>
      <c r="K533" s="65"/>
      <c r="L533" s="65"/>
      <c r="M533" s="62"/>
      <c r="N533" s="11"/>
      <c r="O533" s="66"/>
      <c r="P533" s="62"/>
      <c r="Q533" s="62"/>
      <c r="R533" s="62"/>
      <c r="S533" s="62"/>
      <c r="T533" s="62"/>
      <c r="U533" s="67"/>
    </row>
    <row r="534" s="58" customFormat="1" spans="1:21">
      <c r="A534" s="61"/>
      <c r="B534" s="62"/>
      <c r="C534" s="79"/>
      <c r="D534" s="61"/>
      <c r="E534" s="64"/>
      <c r="F534" s="64"/>
      <c r="G534" s="62"/>
      <c r="H534" s="62"/>
      <c r="I534" s="62"/>
      <c r="J534" s="62"/>
      <c r="K534" s="65"/>
      <c r="L534" s="65"/>
      <c r="M534" s="62"/>
      <c r="N534" s="11"/>
      <c r="O534" s="66"/>
      <c r="P534" s="62"/>
      <c r="Q534" s="62"/>
      <c r="R534" s="62"/>
      <c r="S534" s="62"/>
      <c r="T534" s="62"/>
      <c r="U534" s="67"/>
    </row>
    <row r="535" s="58" customFormat="1" spans="1:21">
      <c r="A535" s="61"/>
      <c r="B535" s="62"/>
      <c r="C535" s="79"/>
      <c r="D535" s="61"/>
      <c r="E535" s="64"/>
      <c r="F535" s="64"/>
      <c r="G535" s="62"/>
      <c r="H535" s="62"/>
      <c r="I535" s="62"/>
      <c r="J535" s="62"/>
      <c r="K535" s="65"/>
      <c r="L535" s="65"/>
      <c r="M535" s="62"/>
      <c r="N535" s="11"/>
      <c r="O535" s="66"/>
      <c r="P535" s="62"/>
      <c r="Q535" s="62"/>
      <c r="R535" s="62"/>
      <c r="S535" s="62"/>
      <c r="T535" s="62"/>
      <c r="U535" s="67"/>
    </row>
    <row r="536" s="58" customFormat="1" spans="1:21">
      <c r="A536" s="61"/>
      <c r="B536" s="62"/>
      <c r="C536" s="79"/>
      <c r="D536" s="61"/>
      <c r="E536" s="64"/>
      <c r="F536" s="64"/>
      <c r="G536" s="62"/>
      <c r="H536" s="62"/>
      <c r="I536" s="62"/>
      <c r="J536" s="62"/>
      <c r="K536" s="65"/>
      <c r="L536" s="65"/>
      <c r="M536" s="62"/>
      <c r="N536" s="11"/>
      <c r="O536" s="66"/>
      <c r="P536" s="62"/>
      <c r="Q536" s="62"/>
      <c r="R536" s="62"/>
      <c r="S536" s="62"/>
      <c r="T536" s="62"/>
      <c r="U536" s="67"/>
    </row>
    <row r="537" s="58" customFormat="1" spans="1:21">
      <c r="A537" s="61"/>
      <c r="B537" s="62"/>
      <c r="C537" s="79"/>
      <c r="D537" s="61"/>
      <c r="E537" s="64"/>
      <c r="F537" s="64"/>
      <c r="G537" s="62"/>
      <c r="H537" s="62"/>
      <c r="I537" s="62"/>
      <c r="J537" s="62"/>
      <c r="K537" s="106"/>
      <c r="L537" s="65"/>
      <c r="M537" s="62"/>
      <c r="N537" s="11"/>
      <c r="O537" s="107"/>
      <c r="P537" s="62"/>
      <c r="Q537" s="62"/>
      <c r="R537" s="62"/>
      <c r="S537" s="62"/>
      <c r="T537" s="62"/>
      <c r="U537" s="67"/>
    </row>
    <row r="538" s="58" customFormat="1" spans="1:21">
      <c r="A538" s="61"/>
      <c r="B538" s="62"/>
      <c r="C538" s="79"/>
      <c r="D538" s="61"/>
      <c r="E538" s="64"/>
      <c r="F538" s="64"/>
      <c r="G538" s="62"/>
      <c r="H538" s="62"/>
      <c r="I538" s="62"/>
      <c r="J538" s="62"/>
      <c r="K538" s="65"/>
      <c r="L538" s="65"/>
      <c r="M538" s="62"/>
      <c r="N538" s="11"/>
      <c r="O538" s="66"/>
      <c r="P538" s="62"/>
      <c r="Q538" s="62"/>
      <c r="R538" s="62"/>
      <c r="S538" s="62"/>
      <c r="T538" s="62"/>
      <c r="U538" s="67"/>
    </row>
    <row r="539" s="58" customFormat="1" spans="1:21">
      <c r="A539" s="61"/>
      <c r="B539" s="62"/>
      <c r="C539" s="79"/>
      <c r="D539" s="61"/>
      <c r="E539" s="64"/>
      <c r="F539" s="64"/>
      <c r="G539" s="62"/>
      <c r="H539" s="62"/>
      <c r="I539" s="62"/>
      <c r="J539" s="62"/>
      <c r="K539" s="65"/>
      <c r="L539" s="65"/>
      <c r="M539" s="62"/>
      <c r="N539" s="11"/>
      <c r="O539" s="66"/>
      <c r="P539" s="62"/>
      <c r="Q539" s="62"/>
      <c r="R539" s="62"/>
      <c r="S539" s="62"/>
      <c r="T539" s="62"/>
      <c r="U539" s="67"/>
    </row>
    <row r="540" s="58" customFormat="1" spans="1:21">
      <c r="A540" s="61"/>
      <c r="B540" s="62"/>
      <c r="C540" s="79"/>
      <c r="D540" s="61"/>
      <c r="E540" s="64"/>
      <c r="F540" s="64"/>
      <c r="G540" s="62"/>
      <c r="H540" s="62"/>
      <c r="I540" s="62"/>
      <c r="J540" s="62"/>
      <c r="K540" s="65"/>
      <c r="L540" s="65"/>
      <c r="M540" s="62"/>
      <c r="N540" s="11"/>
      <c r="O540" s="66"/>
      <c r="P540" s="62"/>
      <c r="Q540" s="62"/>
      <c r="R540" s="62"/>
      <c r="S540" s="62"/>
      <c r="T540" s="62"/>
      <c r="U540" s="67"/>
    </row>
    <row r="541" s="58" customFormat="1" spans="1:21">
      <c r="A541" s="61"/>
      <c r="B541" s="62"/>
      <c r="C541" s="79"/>
      <c r="D541" s="61"/>
      <c r="E541" s="64"/>
      <c r="F541" s="64"/>
      <c r="G541" s="62"/>
      <c r="H541" s="62"/>
      <c r="I541" s="62"/>
      <c r="J541" s="62"/>
      <c r="K541" s="65"/>
      <c r="L541" s="65"/>
      <c r="M541" s="62"/>
      <c r="N541" s="11"/>
      <c r="O541" s="66"/>
      <c r="P541" s="62"/>
      <c r="Q541" s="62"/>
      <c r="R541" s="62"/>
      <c r="S541" s="62"/>
      <c r="T541" s="62"/>
      <c r="U541" s="67"/>
    </row>
    <row r="542" s="58" customFormat="1" spans="1:21">
      <c r="A542" s="61"/>
      <c r="B542" s="62"/>
      <c r="C542" s="79"/>
      <c r="D542" s="61"/>
      <c r="E542" s="64"/>
      <c r="F542" s="64"/>
      <c r="G542" s="62"/>
      <c r="H542" s="62"/>
      <c r="I542" s="62"/>
      <c r="J542" s="62"/>
      <c r="K542" s="65"/>
      <c r="L542" s="65"/>
      <c r="M542" s="62"/>
      <c r="N542" s="11"/>
      <c r="O542" s="66"/>
      <c r="P542" s="62"/>
      <c r="Q542" s="62"/>
      <c r="R542" s="62"/>
      <c r="S542" s="62"/>
      <c r="T542" s="62"/>
      <c r="U542" s="67"/>
    </row>
    <row r="543" s="58" customFormat="1" spans="1:21">
      <c r="A543" s="61"/>
      <c r="B543" s="62"/>
      <c r="C543" s="79"/>
      <c r="D543" s="61"/>
      <c r="E543" s="64"/>
      <c r="F543" s="64"/>
      <c r="G543" s="62"/>
      <c r="H543" s="62"/>
      <c r="I543" s="62"/>
      <c r="J543" s="62"/>
      <c r="K543" s="65"/>
      <c r="L543" s="65"/>
      <c r="M543" s="62"/>
      <c r="N543" s="11"/>
      <c r="O543" s="66"/>
      <c r="P543" s="62"/>
      <c r="Q543" s="62"/>
      <c r="R543" s="62"/>
      <c r="S543" s="62"/>
      <c r="T543" s="62"/>
      <c r="U543" s="67"/>
    </row>
    <row r="544" s="58" customFormat="1" spans="1:21">
      <c r="A544" s="61"/>
      <c r="B544" s="62"/>
      <c r="C544" s="79"/>
      <c r="D544" s="61"/>
      <c r="E544" s="64"/>
      <c r="F544" s="64"/>
      <c r="G544" s="62"/>
      <c r="H544" s="62"/>
      <c r="I544" s="62"/>
      <c r="J544" s="62"/>
      <c r="K544" s="65"/>
      <c r="L544" s="65"/>
      <c r="M544" s="62"/>
      <c r="N544" s="11"/>
      <c r="O544" s="66"/>
      <c r="P544" s="62"/>
      <c r="Q544" s="62"/>
      <c r="R544" s="62"/>
      <c r="S544" s="62"/>
      <c r="T544" s="62"/>
      <c r="U544" s="67"/>
    </row>
    <row r="545" s="58" customFormat="1" spans="1:21">
      <c r="A545" s="61"/>
      <c r="B545" s="62"/>
      <c r="C545" s="79"/>
      <c r="D545" s="61"/>
      <c r="E545" s="64"/>
      <c r="F545" s="64"/>
      <c r="G545" s="62"/>
      <c r="H545" s="62"/>
      <c r="I545" s="62"/>
      <c r="J545" s="62"/>
      <c r="K545" s="65"/>
      <c r="L545" s="65"/>
      <c r="M545" s="62"/>
      <c r="N545" s="11"/>
      <c r="O545" s="66"/>
      <c r="P545" s="62"/>
      <c r="Q545" s="62"/>
      <c r="R545" s="62"/>
      <c r="S545" s="62"/>
      <c r="T545" s="62"/>
      <c r="U545" s="67"/>
    </row>
    <row r="546" s="58" customFormat="1" spans="1:21">
      <c r="A546" s="61"/>
      <c r="B546" s="62"/>
      <c r="C546" s="79"/>
      <c r="D546" s="61"/>
      <c r="E546" s="64"/>
      <c r="F546" s="64"/>
      <c r="G546" s="62"/>
      <c r="H546" s="62"/>
      <c r="I546" s="62"/>
      <c r="J546" s="62"/>
      <c r="K546" s="65"/>
      <c r="L546" s="65"/>
      <c r="M546" s="62"/>
      <c r="N546" s="11"/>
      <c r="O546" s="66"/>
      <c r="P546" s="62"/>
      <c r="Q546" s="62"/>
      <c r="R546" s="62"/>
      <c r="S546" s="62"/>
      <c r="T546" s="62"/>
      <c r="U546" s="67"/>
    </row>
    <row r="547" s="58" customFormat="1" spans="1:21">
      <c r="A547" s="61"/>
      <c r="B547" s="62"/>
      <c r="C547" s="79"/>
      <c r="D547" s="61"/>
      <c r="E547" s="64"/>
      <c r="F547" s="64"/>
      <c r="G547" s="62"/>
      <c r="H547" s="62"/>
      <c r="I547" s="62"/>
      <c r="J547" s="62"/>
      <c r="K547" s="65"/>
      <c r="L547" s="65"/>
      <c r="M547" s="62"/>
      <c r="N547" s="11"/>
      <c r="O547" s="66"/>
      <c r="P547" s="62"/>
      <c r="Q547" s="62"/>
      <c r="R547" s="62"/>
      <c r="S547" s="62"/>
      <c r="T547" s="62"/>
      <c r="U547" s="67"/>
    </row>
    <row r="548" s="58" customFormat="1" spans="1:21">
      <c r="A548" s="61"/>
      <c r="B548" s="62"/>
      <c r="C548" s="79"/>
      <c r="D548" s="61"/>
      <c r="E548" s="64"/>
      <c r="F548" s="64"/>
      <c r="G548" s="62"/>
      <c r="H548" s="62"/>
      <c r="I548" s="62"/>
      <c r="J548" s="62"/>
      <c r="K548" s="65"/>
      <c r="L548" s="65"/>
      <c r="M548" s="62"/>
      <c r="N548" s="11"/>
      <c r="O548" s="66"/>
      <c r="P548" s="62"/>
      <c r="Q548" s="62"/>
      <c r="R548" s="62"/>
      <c r="S548" s="62"/>
      <c r="T548" s="62"/>
      <c r="U548" s="67"/>
    </row>
    <row r="549" s="58" customFormat="1" spans="1:21">
      <c r="A549" s="61"/>
      <c r="B549" s="62"/>
      <c r="C549" s="79"/>
      <c r="D549" s="61"/>
      <c r="E549" s="64"/>
      <c r="F549" s="64"/>
      <c r="G549" s="62"/>
      <c r="H549" s="62"/>
      <c r="I549" s="62"/>
      <c r="J549" s="62"/>
      <c r="K549" s="65"/>
      <c r="L549" s="65"/>
      <c r="M549" s="62"/>
      <c r="N549" s="11"/>
      <c r="O549" s="66"/>
      <c r="P549" s="62"/>
      <c r="Q549" s="62"/>
      <c r="R549" s="62"/>
      <c r="S549" s="62"/>
      <c r="T549" s="62"/>
      <c r="U549" s="67"/>
    </row>
    <row r="550" s="58" customFormat="1" spans="1:21">
      <c r="A550" s="61"/>
      <c r="B550" s="62"/>
      <c r="C550" s="79"/>
      <c r="D550" s="61"/>
      <c r="E550" s="64"/>
      <c r="F550" s="64"/>
      <c r="G550" s="62"/>
      <c r="H550" s="62"/>
      <c r="I550" s="62"/>
      <c r="J550" s="62"/>
      <c r="K550" s="65"/>
      <c r="L550" s="65"/>
      <c r="M550" s="62"/>
      <c r="N550" s="11"/>
      <c r="O550" s="66"/>
      <c r="P550" s="62"/>
      <c r="Q550" s="62"/>
      <c r="R550" s="62"/>
      <c r="S550" s="62"/>
      <c r="T550" s="62"/>
      <c r="U550" s="67"/>
    </row>
    <row r="551" s="58" customFormat="1" spans="1:21">
      <c r="A551" s="61"/>
      <c r="B551" s="62"/>
      <c r="C551" s="79"/>
      <c r="D551" s="61"/>
      <c r="E551" s="64"/>
      <c r="F551" s="64"/>
      <c r="G551" s="62"/>
      <c r="H551" s="62"/>
      <c r="I551" s="62"/>
      <c r="J551" s="62"/>
      <c r="K551" s="65"/>
      <c r="L551" s="65"/>
      <c r="M551" s="62"/>
      <c r="N551" s="11"/>
      <c r="O551" s="66"/>
      <c r="P551" s="62"/>
      <c r="Q551" s="62"/>
      <c r="R551" s="62"/>
      <c r="S551" s="62"/>
      <c r="T551" s="62"/>
      <c r="U551" s="67"/>
    </row>
    <row r="552" s="58" customFormat="1" spans="1:21">
      <c r="A552" s="61"/>
      <c r="B552" s="62"/>
      <c r="C552" s="79"/>
      <c r="D552" s="61"/>
      <c r="E552" s="64"/>
      <c r="F552" s="64"/>
      <c r="G552" s="62"/>
      <c r="H552" s="62"/>
      <c r="I552" s="62"/>
      <c r="J552" s="62"/>
      <c r="K552" s="65"/>
      <c r="L552" s="65"/>
      <c r="M552" s="62"/>
      <c r="N552" s="11"/>
      <c r="O552" s="66"/>
      <c r="P552" s="62"/>
      <c r="Q552" s="62"/>
      <c r="R552" s="62"/>
      <c r="S552" s="62"/>
      <c r="T552" s="62"/>
      <c r="U552" s="67"/>
    </row>
    <row r="553" s="58" customFormat="1" spans="1:21">
      <c r="A553" s="61"/>
      <c r="B553" s="62"/>
      <c r="C553" s="79"/>
      <c r="D553" s="61"/>
      <c r="E553" s="64"/>
      <c r="F553" s="64"/>
      <c r="G553" s="62"/>
      <c r="H553" s="62"/>
      <c r="I553" s="62"/>
      <c r="J553" s="62"/>
      <c r="K553" s="65"/>
      <c r="L553" s="65"/>
      <c r="M553" s="62"/>
      <c r="N553" s="11"/>
      <c r="O553" s="66"/>
      <c r="P553" s="62"/>
      <c r="Q553" s="62"/>
      <c r="R553" s="62"/>
      <c r="S553" s="62"/>
      <c r="T553" s="62"/>
      <c r="U553" s="67"/>
    </row>
    <row r="554" s="58" customFormat="1" spans="1:21">
      <c r="A554" s="61"/>
      <c r="B554" s="62"/>
      <c r="C554" s="79"/>
      <c r="D554" s="61"/>
      <c r="E554" s="64"/>
      <c r="F554" s="64"/>
      <c r="G554" s="62"/>
      <c r="H554" s="62"/>
      <c r="I554" s="62"/>
      <c r="J554" s="62"/>
      <c r="K554" s="65"/>
      <c r="L554" s="65"/>
      <c r="M554" s="62"/>
      <c r="N554" s="11"/>
      <c r="O554" s="66"/>
      <c r="P554" s="62"/>
      <c r="Q554" s="62"/>
      <c r="R554" s="62"/>
      <c r="S554" s="62"/>
      <c r="T554" s="62"/>
      <c r="U554" s="67"/>
    </row>
    <row r="555" s="58" customFormat="1" spans="1:21">
      <c r="A555" s="61"/>
      <c r="B555" s="62"/>
      <c r="C555" s="79"/>
      <c r="D555" s="61"/>
      <c r="E555" s="64"/>
      <c r="F555" s="64"/>
      <c r="G555" s="62"/>
      <c r="H555" s="62"/>
      <c r="I555" s="62"/>
      <c r="J555" s="62"/>
      <c r="K555" s="65"/>
      <c r="L555" s="65"/>
      <c r="M555" s="62"/>
      <c r="N555" s="11"/>
      <c r="O555" s="66"/>
      <c r="P555" s="62"/>
      <c r="Q555" s="62"/>
      <c r="R555" s="62"/>
      <c r="S555" s="62"/>
      <c r="T555" s="62"/>
      <c r="U555" s="67"/>
    </row>
    <row r="556" s="58" customFormat="1" spans="1:21">
      <c r="A556" s="61"/>
      <c r="B556" s="62"/>
      <c r="C556" s="79"/>
      <c r="D556" s="61"/>
      <c r="E556" s="64"/>
      <c r="F556" s="64"/>
      <c r="G556" s="62"/>
      <c r="H556" s="62"/>
      <c r="I556" s="62"/>
      <c r="J556" s="62"/>
      <c r="K556" s="65"/>
      <c r="L556" s="65"/>
      <c r="M556" s="62"/>
      <c r="N556" s="11"/>
      <c r="O556" s="66"/>
      <c r="P556" s="62"/>
      <c r="Q556" s="62"/>
      <c r="R556" s="62"/>
      <c r="S556" s="62"/>
      <c r="T556" s="62"/>
      <c r="U556" s="67"/>
    </row>
    <row r="557" s="58" customFormat="1" spans="1:21">
      <c r="A557" s="61"/>
      <c r="B557" s="62"/>
      <c r="C557" s="79"/>
      <c r="D557" s="61"/>
      <c r="E557" s="64"/>
      <c r="F557" s="64"/>
      <c r="G557" s="62"/>
      <c r="H557" s="62"/>
      <c r="I557" s="62"/>
      <c r="J557" s="62"/>
      <c r="K557" s="106"/>
      <c r="L557" s="65"/>
      <c r="M557" s="62"/>
      <c r="N557" s="11"/>
      <c r="O557" s="66"/>
      <c r="P557" s="62"/>
      <c r="Q557" s="62"/>
      <c r="R557" s="62"/>
      <c r="S557" s="62"/>
      <c r="T557" s="62"/>
      <c r="U557" s="67"/>
    </row>
    <row r="558" s="58" customFormat="1" spans="1:21">
      <c r="A558" s="61"/>
      <c r="B558" s="62"/>
      <c r="C558" s="79"/>
      <c r="D558" s="61"/>
      <c r="E558" s="64"/>
      <c r="F558" s="64"/>
      <c r="G558" s="62"/>
      <c r="H558" s="62"/>
      <c r="I558" s="62"/>
      <c r="J558" s="62"/>
      <c r="K558" s="106"/>
      <c r="L558" s="65"/>
      <c r="M558" s="62"/>
      <c r="N558" s="11"/>
      <c r="O558" s="66"/>
      <c r="P558" s="62"/>
      <c r="Q558" s="62"/>
      <c r="R558" s="62"/>
      <c r="S558" s="62"/>
      <c r="T558" s="62"/>
      <c r="U558" s="67"/>
    </row>
    <row r="559" s="58" customFormat="1" spans="1:21">
      <c r="A559" s="61"/>
      <c r="B559" s="62"/>
      <c r="C559" s="79"/>
      <c r="D559" s="61"/>
      <c r="E559" s="64"/>
      <c r="F559" s="64"/>
      <c r="G559" s="62"/>
      <c r="H559" s="62"/>
      <c r="I559" s="62"/>
      <c r="J559" s="62"/>
      <c r="K559" s="106"/>
      <c r="L559" s="65"/>
      <c r="M559" s="62"/>
      <c r="N559" s="11"/>
      <c r="O559" s="66"/>
      <c r="P559" s="62"/>
      <c r="Q559" s="62"/>
      <c r="R559" s="62"/>
      <c r="S559" s="62"/>
      <c r="T559" s="62"/>
      <c r="U559" s="67"/>
    </row>
    <row r="560" s="58" customFormat="1" spans="1:21">
      <c r="A560" s="61"/>
      <c r="B560" s="62"/>
      <c r="C560" s="79"/>
      <c r="D560" s="61"/>
      <c r="E560" s="64"/>
      <c r="F560" s="64"/>
      <c r="G560" s="62"/>
      <c r="H560" s="62"/>
      <c r="I560" s="62"/>
      <c r="J560" s="62"/>
      <c r="K560" s="106"/>
      <c r="L560" s="65"/>
      <c r="M560" s="62"/>
      <c r="N560" s="11"/>
      <c r="O560" s="66"/>
      <c r="P560" s="62"/>
      <c r="Q560" s="62"/>
      <c r="R560" s="62"/>
      <c r="S560" s="62"/>
      <c r="T560" s="62"/>
      <c r="U560" s="67"/>
    </row>
    <row r="561" s="58" customFormat="1" spans="1:21">
      <c r="A561" s="61"/>
      <c r="B561" s="62"/>
      <c r="C561" s="79"/>
      <c r="D561" s="61"/>
      <c r="E561" s="64"/>
      <c r="F561" s="64"/>
      <c r="G561" s="62"/>
      <c r="H561" s="62"/>
      <c r="I561" s="62"/>
      <c r="J561" s="62"/>
      <c r="K561" s="106"/>
      <c r="L561" s="65"/>
      <c r="M561" s="62"/>
      <c r="N561" s="11"/>
      <c r="O561" s="66"/>
      <c r="P561" s="62"/>
      <c r="Q561" s="62"/>
      <c r="R561" s="62"/>
      <c r="S561" s="62"/>
      <c r="T561" s="62"/>
      <c r="U561" s="67"/>
    </row>
    <row r="562" s="58" customFormat="1" spans="1:21">
      <c r="A562" s="61"/>
      <c r="B562" s="62"/>
      <c r="C562" s="79"/>
      <c r="D562" s="61"/>
      <c r="E562" s="64"/>
      <c r="F562" s="64"/>
      <c r="G562" s="62"/>
      <c r="H562" s="62"/>
      <c r="I562" s="62"/>
      <c r="J562" s="62"/>
      <c r="K562" s="65"/>
      <c r="L562" s="65"/>
      <c r="M562" s="62"/>
      <c r="N562" s="11"/>
      <c r="O562" s="66"/>
      <c r="P562" s="62"/>
      <c r="Q562" s="62"/>
      <c r="R562" s="62"/>
      <c r="S562" s="62"/>
      <c r="T562" s="62"/>
      <c r="U562" s="67"/>
    </row>
    <row r="563" s="58" customFormat="1" spans="1:21">
      <c r="A563" s="61"/>
      <c r="B563" s="62"/>
      <c r="C563" s="79"/>
      <c r="D563" s="61"/>
      <c r="E563" s="64"/>
      <c r="F563" s="64"/>
      <c r="G563" s="62"/>
      <c r="H563" s="62"/>
      <c r="I563" s="62"/>
      <c r="J563" s="62"/>
      <c r="K563" s="65"/>
      <c r="L563" s="65"/>
      <c r="M563" s="62"/>
      <c r="N563" s="11"/>
      <c r="O563" s="66"/>
      <c r="P563" s="62"/>
      <c r="Q563" s="62"/>
      <c r="R563" s="62"/>
      <c r="S563" s="62"/>
      <c r="T563" s="62"/>
      <c r="U563" s="67"/>
    </row>
    <row r="564" s="58" customFormat="1" spans="1:21">
      <c r="A564" s="61"/>
      <c r="B564" s="62"/>
      <c r="C564" s="79"/>
      <c r="D564" s="61"/>
      <c r="E564" s="64"/>
      <c r="F564" s="64"/>
      <c r="G564" s="62"/>
      <c r="H564" s="62"/>
      <c r="I564" s="62"/>
      <c r="J564" s="62"/>
      <c r="K564" s="65"/>
      <c r="L564" s="65"/>
      <c r="M564" s="62"/>
      <c r="N564" s="11"/>
      <c r="O564" s="66"/>
      <c r="P564" s="62"/>
      <c r="Q564" s="62"/>
      <c r="R564" s="62"/>
      <c r="S564" s="62"/>
      <c r="T564" s="62"/>
      <c r="U564" s="67"/>
    </row>
    <row r="565" s="58" customFormat="1" spans="1:21">
      <c r="A565" s="61"/>
      <c r="B565" s="62"/>
      <c r="C565" s="79"/>
      <c r="D565" s="61"/>
      <c r="E565" s="64"/>
      <c r="F565" s="64"/>
      <c r="G565" s="62"/>
      <c r="H565" s="62"/>
      <c r="I565" s="62"/>
      <c r="J565" s="62"/>
      <c r="K565" s="65"/>
      <c r="L565" s="65"/>
      <c r="M565" s="62"/>
      <c r="N565" s="11"/>
      <c r="O565" s="66"/>
      <c r="P565" s="62"/>
      <c r="Q565" s="62"/>
      <c r="R565" s="62"/>
      <c r="S565" s="62"/>
      <c r="T565" s="62"/>
      <c r="U565" s="67"/>
    </row>
    <row r="566" s="58" customFormat="1" spans="1:21">
      <c r="A566" s="61"/>
      <c r="B566" s="62"/>
      <c r="C566" s="79"/>
      <c r="D566" s="61"/>
      <c r="E566" s="64"/>
      <c r="F566" s="64"/>
      <c r="G566" s="62"/>
      <c r="H566" s="62"/>
      <c r="I566" s="62"/>
      <c r="J566" s="62"/>
      <c r="K566" s="65"/>
      <c r="L566" s="65"/>
      <c r="M566" s="62"/>
      <c r="N566" s="11"/>
      <c r="O566" s="66"/>
      <c r="P566" s="62"/>
      <c r="Q566" s="62"/>
      <c r="R566" s="62"/>
      <c r="S566" s="62"/>
      <c r="T566" s="62"/>
      <c r="U566" s="67"/>
    </row>
    <row r="567" spans="1:21">
      <c r="C567" s="79"/>
      <c r="D567" s="61"/>
      <c r="N567" s="11"/>
      <c r="R567" s="62"/>
    </row>
    <row r="568" spans="1:21">
      <c r="C568" s="79"/>
      <c r="D568" s="61"/>
      <c r="N568" s="11"/>
      <c r="R568" s="62"/>
    </row>
    <row r="569" spans="1:21">
      <c r="C569" s="79"/>
      <c r="D569" s="61"/>
      <c r="N569" s="11"/>
      <c r="R569" s="62"/>
    </row>
    <row r="570" spans="1:21">
      <c r="C570" s="79"/>
      <c r="D570" s="61"/>
      <c r="N570" s="11"/>
      <c r="R570" s="62"/>
    </row>
    <row r="571" spans="1:21">
      <c r="C571" s="79"/>
      <c r="D571" s="61"/>
      <c r="R571" s="62"/>
    </row>
    <row r="572" spans="1:21">
      <c r="C572" s="79"/>
      <c r="D572" s="61"/>
      <c r="R572" s="62"/>
      <c r="S572" s="94"/>
    </row>
    <row r="573" spans="1:21">
      <c r="C573" s="79"/>
      <c r="D573" s="61"/>
      <c r="R573" s="62"/>
      <c r="S573" s="92"/>
    </row>
    <row r="574" spans="1:21">
      <c r="C574" s="79"/>
      <c r="D574" s="61"/>
      <c r="K574" s="106"/>
      <c r="O574" s="109"/>
      <c r="R574" s="62"/>
    </row>
    <row r="575" spans="1:21">
      <c r="C575" s="79"/>
      <c r="D575" s="61"/>
      <c r="R575" s="62"/>
    </row>
    <row r="576" spans="1:21">
      <c r="C576" s="79"/>
      <c r="D576" s="61"/>
      <c r="R576" s="62"/>
    </row>
    <row r="577" spans="3:18">
      <c r="C577" s="79"/>
      <c r="D577" s="61"/>
      <c r="R577" s="62"/>
    </row>
    <row r="578" spans="3:18">
      <c r="C578" s="79"/>
      <c r="D578" s="61"/>
      <c r="R578" s="62"/>
    </row>
    <row r="579" spans="3:18">
      <c r="C579" s="79"/>
      <c r="D579" s="61"/>
      <c r="R579" s="62"/>
    </row>
    <row r="580" spans="3:18">
      <c r="C580" s="79"/>
      <c r="D580" s="61"/>
      <c r="R580" s="62"/>
    </row>
    <row r="581" spans="3:18">
      <c r="C581" s="79"/>
      <c r="D581" s="61"/>
      <c r="K581" s="106"/>
      <c r="O581" s="107"/>
      <c r="R581" s="62"/>
    </row>
    <row r="582" spans="3:18">
      <c r="C582" s="79"/>
      <c r="D582" s="61"/>
      <c r="K582" s="106"/>
      <c r="O582" s="107"/>
      <c r="R582" s="62"/>
    </row>
    <row r="583" spans="3:18">
      <c r="C583" s="79"/>
      <c r="D583" s="61"/>
      <c r="K583" s="106"/>
      <c r="O583" s="107"/>
      <c r="R583" s="62"/>
    </row>
    <row r="584" spans="3:18">
      <c r="C584" s="79"/>
      <c r="D584" s="61"/>
      <c r="R584" s="62"/>
    </row>
    <row r="585" spans="3:18">
      <c r="C585" s="79"/>
      <c r="D585" s="61"/>
      <c r="K585" s="106"/>
      <c r="O585" s="107"/>
      <c r="R585" s="62"/>
    </row>
    <row r="586" spans="3:18">
      <c r="C586" s="79"/>
      <c r="D586" s="61"/>
      <c r="O586" s="125"/>
      <c r="R586" s="62"/>
    </row>
    <row r="587" spans="3:18">
      <c r="C587" s="79"/>
      <c r="D587" s="61"/>
      <c r="R587" s="62"/>
    </row>
    <row r="588" spans="3:18">
      <c r="C588" s="79"/>
      <c r="D588" s="61"/>
      <c r="R588" s="62"/>
    </row>
    <row r="589" spans="3:18">
      <c r="C589" s="79"/>
      <c r="D589" s="61"/>
      <c r="R589" s="62"/>
    </row>
    <row r="590" spans="3:18">
      <c r="C590" s="79"/>
      <c r="D590" s="61"/>
      <c r="R590" s="62"/>
    </row>
    <row r="591" spans="3:18">
      <c r="C591" s="79"/>
      <c r="D591" s="61"/>
      <c r="R591" s="62"/>
    </row>
    <row r="592" spans="3:18">
      <c r="C592" s="79"/>
      <c r="D592" s="61"/>
      <c r="R592" s="62"/>
    </row>
    <row r="593" spans="3:19">
      <c r="C593" s="79"/>
      <c r="D593" s="61"/>
      <c r="R593" s="62"/>
    </row>
    <row r="594" spans="3:19">
      <c r="C594" s="79"/>
      <c r="D594" s="61"/>
      <c r="R594" s="62"/>
    </row>
    <row r="595" spans="3:19">
      <c r="C595" s="79"/>
      <c r="D595" s="61"/>
      <c r="K595" s="106"/>
      <c r="O595" s="107"/>
      <c r="R595" s="62"/>
    </row>
    <row r="596" spans="3:19">
      <c r="C596" s="79"/>
      <c r="D596" s="61"/>
      <c r="R596" s="62"/>
    </row>
    <row r="597" spans="3:19">
      <c r="C597" s="79"/>
      <c r="D597" s="61"/>
      <c r="R597" s="62"/>
    </row>
    <row r="598" spans="3:19">
      <c r="C598" s="79"/>
      <c r="D598" s="61"/>
      <c r="R598" s="62"/>
      <c r="S598" s="94"/>
    </row>
    <row r="599" spans="3:19">
      <c r="C599" s="79"/>
      <c r="D599" s="61"/>
      <c r="R599" s="62"/>
      <c r="S599" s="92"/>
    </row>
    <row r="600" spans="3:19">
      <c r="C600" s="79"/>
      <c r="D600" s="61"/>
      <c r="K600" s="106"/>
      <c r="R600" s="62"/>
    </row>
    <row r="601" spans="3:19">
      <c r="C601" s="79"/>
      <c r="D601" s="61"/>
      <c r="K601" s="106"/>
      <c r="R601" s="62"/>
    </row>
    <row r="602" spans="3:19">
      <c r="C602" s="79"/>
      <c r="D602" s="61"/>
      <c r="R602" s="62"/>
    </row>
    <row r="603" spans="3:19">
      <c r="C603" s="79"/>
      <c r="D603" s="61"/>
      <c r="K603" s="106"/>
      <c r="R603" s="62"/>
    </row>
    <row r="604" spans="3:19">
      <c r="C604" s="79"/>
      <c r="D604" s="61"/>
      <c r="K604" s="106"/>
      <c r="R604" s="62"/>
    </row>
    <row r="605" spans="3:19">
      <c r="C605" s="79"/>
      <c r="D605" s="61"/>
      <c r="R605" s="62"/>
    </row>
    <row r="606" spans="3:19">
      <c r="C606" s="79"/>
      <c r="D606" s="61"/>
      <c r="R606" s="62"/>
    </row>
    <row r="607" spans="3:19">
      <c r="C607" s="79"/>
      <c r="D607" s="61"/>
      <c r="R607" s="62"/>
    </row>
    <row r="608" spans="3:19">
      <c r="C608" s="79"/>
      <c r="D608" s="61"/>
      <c r="O608" s="61"/>
      <c r="R608" s="62"/>
    </row>
    <row r="609" spans="3:19">
      <c r="C609" s="79"/>
      <c r="D609" s="61"/>
      <c r="R609" s="62"/>
    </row>
    <row r="610" spans="3:19">
      <c r="C610" s="79"/>
      <c r="D610" s="61"/>
      <c r="R610" s="62"/>
    </row>
    <row r="611" spans="3:19">
      <c r="C611" s="79"/>
      <c r="D611" s="61"/>
      <c r="R611" s="62"/>
    </row>
    <row r="612" spans="3:19">
      <c r="C612" s="79"/>
      <c r="D612" s="61"/>
      <c r="K612" s="106"/>
      <c r="O612" s="107"/>
      <c r="R612" s="62"/>
      <c r="S612" s="94"/>
    </row>
    <row r="613" spans="3:19">
      <c r="C613" s="79"/>
      <c r="D613" s="61"/>
      <c r="K613" s="106"/>
      <c r="O613" s="107"/>
      <c r="R613" s="62"/>
      <c r="S613" s="92"/>
    </row>
    <row r="614" spans="3:19">
      <c r="C614" s="79"/>
      <c r="D614" s="61"/>
      <c r="R614" s="62"/>
    </row>
    <row r="615" spans="3:19">
      <c r="C615" s="79"/>
      <c r="D615" s="61"/>
      <c r="K615" s="106"/>
      <c r="O615" s="107"/>
      <c r="R615" s="62"/>
      <c r="S615" s="94"/>
    </row>
    <row r="616" spans="3:19">
      <c r="C616" s="79"/>
      <c r="D616" s="61"/>
      <c r="I616" s="126"/>
      <c r="K616" s="106"/>
      <c r="O616" s="107"/>
      <c r="R616" s="62"/>
      <c r="S616" s="92"/>
    </row>
    <row r="617" spans="3:19">
      <c r="C617" s="79"/>
      <c r="D617" s="61"/>
      <c r="I617" s="126"/>
      <c r="R617" s="62"/>
    </row>
    <row r="618" spans="3:19">
      <c r="C618" s="79"/>
      <c r="D618" s="61"/>
      <c r="R618" s="62"/>
    </row>
    <row r="619" spans="3:19">
      <c r="C619" s="79"/>
      <c r="D619" s="61"/>
      <c r="R619" s="62"/>
    </row>
    <row r="620" spans="3:19">
      <c r="C620" s="79"/>
      <c r="D620" s="61"/>
      <c r="R620" s="62"/>
      <c r="S620" s="94"/>
    </row>
    <row r="621" spans="3:19">
      <c r="C621" s="79"/>
      <c r="D621" s="61"/>
      <c r="R621" s="62"/>
      <c r="S621" s="92"/>
    </row>
    <row r="622" spans="3:19">
      <c r="C622" s="79"/>
      <c r="D622" s="61"/>
      <c r="R622" s="62"/>
      <c r="S622" s="94"/>
    </row>
    <row r="623" spans="3:19">
      <c r="C623" s="79"/>
      <c r="D623" s="61"/>
      <c r="R623" s="62"/>
      <c r="S623" s="92"/>
    </row>
    <row r="624" spans="3:19">
      <c r="C624" s="79"/>
      <c r="D624" s="61"/>
      <c r="R624" s="62"/>
      <c r="S624" s="94"/>
    </row>
    <row r="625" spans="3:19">
      <c r="C625" s="79"/>
      <c r="D625" s="61"/>
      <c r="R625" s="62"/>
      <c r="S625" s="92"/>
    </row>
    <row r="626" spans="3:19">
      <c r="C626" s="79"/>
      <c r="D626" s="61"/>
      <c r="R626" s="62"/>
      <c r="S626" s="94"/>
    </row>
    <row r="627" spans="3:19">
      <c r="C627" s="79"/>
      <c r="D627" s="61"/>
      <c r="R627" s="62"/>
      <c r="S627" s="92"/>
    </row>
    <row r="628" spans="3:19">
      <c r="C628" s="79"/>
      <c r="D628" s="61"/>
      <c r="R628" s="62"/>
    </row>
    <row r="629" spans="3:19">
      <c r="C629" s="79"/>
      <c r="D629" s="61"/>
      <c r="R629" s="62"/>
      <c r="S629" s="94"/>
    </row>
    <row r="630" spans="3:19">
      <c r="C630" s="79"/>
      <c r="D630" s="61"/>
      <c r="R630" s="62"/>
      <c r="S630" s="92"/>
    </row>
    <row r="631" spans="3:19">
      <c r="C631" s="79"/>
      <c r="D631" s="61"/>
      <c r="R631" s="62"/>
    </row>
    <row r="632" spans="3:19">
      <c r="C632" s="79"/>
      <c r="D632" s="61"/>
      <c r="R632" s="62"/>
    </row>
    <row r="633" spans="3:19">
      <c r="C633" s="79"/>
      <c r="D633" s="61"/>
      <c r="R633" s="62"/>
      <c r="S633" s="94"/>
    </row>
    <row r="634" spans="3:19">
      <c r="C634" s="79"/>
      <c r="D634" s="61"/>
      <c r="R634" s="62"/>
      <c r="S634" s="92"/>
    </row>
    <row r="635" spans="3:19">
      <c r="C635" s="79"/>
      <c r="D635" s="61"/>
      <c r="K635" s="106"/>
      <c r="O635" s="107"/>
      <c r="R635" s="62"/>
    </row>
    <row r="636" spans="3:19">
      <c r="C636" s="79"/>
      <c r="D636" s="61"/>
      <c r="K636" s="106"/>
      <c r="O636" s="107"/>
      <c r="R636" s="62"/>
      <c r="S636" s="94"/>
    </row>
    <row r="637" spans="3:19">
      <c r="C637" s="79"/>
      <c r="D637" s="61"/>
      <c r="K637" s="106"/>
      <c r="O637" s="107"/>
      <c r="R637" s="62"/>
      <c r="S637" s="92"/>
    </row>
    <row r="638" spans="3:19">
      <c r="C638" s="79"/>
      <c r="D638" s="61"/>
      <c r="R638" s="62"/>
      <c r="S638" s="94"/>
    </row>
    <row r="639" spans="3:19">
      <c r="C639" s="79"/>
      <c r="D639" s="61"/>
      <c r="R639" s="62"/>
      <c r="S639" s="92"/>
    </row>
    <row r="640" spans="3:19">
      <c r="C640" s="79"/>
      <c r="D640" s="61"/>
      <c r="K640" s="106"/>
      <c r="O640" s="107"/>
      <c r="R640" s="62"/>
      <c r="S640" s="94"/>
    </row>
    <row r="641" spans="3:19">
      <c r="C641" s="79"/>
      <c r="D641" s="61"/>
      <c r="K641" s="106"/>
      <c r="O641" s="107"/>
      <c r="R641" s="62"/>
      <c r="S641" s="92"/>
    </row>
    <row r="642" ht="15" spans="3:19">
      <c r="C642" s="79"/>
      <c r="D642" s="61"/>
      <c r="K642" s="127"/>
      <c r="R642" s="62"/>
      <c r="S642" s="94"/>
    </row>
    <row r="643" ht="15" spans="3:19">
      <c r="C643" s="79"/>
      <c r="D643" s="61"/>
      <c r="K643" s="127"/>
      <c r="R643" s="62"/>
      <c r="S643" s="92"/>
    </row>
    <row r="644" ht="15" spans="3:19">
      <c r="C644" s="79"/>
      <c r="D644" s="61"/>
      <c r="K644" s="128"/>
      <c r="O644" s="107"/>
      <c r="R644" s="62"/>
    </row>
    <row r="645" ht="15" spans="3:19">
      <c r="C645" s="79"/>
      <c r="D645" s="61"/>
      <c r="K645" s="128"/>
      <c r="O645" s="107"/>
      <c r="R645" s="62"/>
      <c r="S645" s="94"/>
    </row>
    <row r="646" ht="15" spans="3:19">
      <c r="C646" s="79"/>
      <c r="D646" s="61"/>
      <c r="K646" s="128"/>
      <c r="O646" s="107"/>
      <c r="R646" s="62"/>
      <c r="S646" s="92"/>
    </row>
    <row r="647" ht="15" spans="3:19">
      <c r="C647" s="79"/>
      <c r="D647" s="61"/>
      <c r="K647" s="129"/>
      <c r="O647" s="107"/>
      <c r="R647" s="62"/>
    </row>
    <row r="648" spans="3:19">
      <c r="C648" s="79"/>
      <c r="D648" s="61"/>
      <c r="R648" s="62"/>
    </row>
    <row r="649" spans="3:19">
      <c r="C649" s="79"/>
      <c r="D649" s="61"/>
      <c r="R649" s="62"/>
    </row>
    <row r="650" spans="3:19">
      <c r="C650" s="79"/>
      <c r="D650" s="61"/>
      <c r="R650" s="62"/>
    </row>
    <row r="651" spans="3:19">
      <c r="C651" s="79"/>
      <c r="D651" s="61"/>
      <c r="R651" s="62"/>
      <c r="S651" s="94"/>
    </row>
    <row r="652" spans="3:19">
      <c r="C652" s="79"/>
      <c r="D652" s="61"/>
      <c r="R652" s="62"/>
      <c r="S652" s="92"/>
    </row>
    <row r="653" spans="3:19">
      <c r="C653" s="79"/>
      <c r="D653" s="61"/>
      <c r="R653" s="62"/>
      <c r="S653" s="94"/>
    </row>
    <row r="654" spans="3:19">
      <c r="C654" s="79"/>
      <c r="D654" s="61"/>
      <c r="R654" s="62"/>
      <c r="S654" s="92"/>
    </row>
    <row r="655" spans="3:19">
      <c r="C655" s="79"/>
      <c r="D655" s="61"/>
      <c r="R655" s="62"/>
    </row>
    <row r="656" spans="3:19">
      <c r="C656" s="79"/>
      <c r="D656" s="61"/>
      <c r="R656" s="62"/>
      <c r="S656" s="94"/>
    </row>
    <row r="657" spans="3:19">
      <c r="C657" s="79"/>
      <c r="D657" s="61"/>
      <c r="R657" s="62"/>
      <c r="S657" s="92"/>
    </row>
    <row r="658" spans="3:19">
      <c r="C658" s="79"/>
      <c r="D658" s="61"/>
      <c r="R658" s="62"/>
    </row>
    <row r="659" spans="3:19">
      <c r="C659" s="79"/>
      <c r="D659" s="61"/>
      <c r="R659" s="62"/>
    </row>
    <row r="660" spans="3:19">
      <c r="C660" s="79"/>
      <c r="D660" s="61"/>
      <c r="R660" s="62"/>
    </row>
    <row r="661" spans="3:19">
      <c r="C661" s="79"/>
      <c r="D661" s="61"/>
      <c r="R661" s="62"/>
      <c r="S661" s="94"/>
    </row>
    <row r="662" spans="3:19">
      <c r="C662" s="79"/>
      <c r="D662" s="61"/>
      <c r="R662" s="62"/>
      <c r="S662" s="92"/>
    </row>
    <row r="663" spans="3:19">
      <c r="C663" s="79"/>
      <c r="D663" s="61"/>
      <c r="R663" s="62"/>
    </row>
    <row r="664" spans="3:19">
      <c r="C664" s="79"/>
      <c r="D664" s="61"/>
      <c r="R664" s="62"/>
    </row>
    <row r="665" spans="3:19">
      <c r="C665" s="79"/>
      <c r="D665" s="61"/>
      <c r="K665" s="106"/>
      <c r="O665" s="107"/>
      <c r="R665" s="62"/>
      <c r="S665" s="94"/>
    </row>
    <row r="666" spans="3:19">
      <c r="C666" s="79"/>
      <c r="D666" s="61"/>
      <c r="R666" s="62"/>
      <c r="S666" s="92"/>
    </row>
    <row r="667" spans="3:19">
      <c r="C667" s="79"/>
      <c r="D667" s="61"/>
      <c r="K667" s="106"/>
      <c r="R667" s="62"/>
    </row>
    <row r="668" spans="3:19">
      <c r="C668" s="79"/>
      <c r="D668" s="61"/>
      <c r="K668" s="106"/>
      <c r="R668" s="62"/>
    </row>
    <row r="669" spans="3:19">
      <c r="C669" s="79"/>
      <c r="D669" s="61"/>
      <c r="R669" s="62"/>
    </row>
    <row r="670" spans="3:19">
      <c r="C670" s="79"/>
      <c r="D670" s="61"/>
      <c r="R670" s="62"/>
    </row>
    <row r="671" spans="3:19">
      <c r="C671" s="79"/>
      <c r="D671" s="61"/>
      <c r="R671" s="62"/>
    </row>
    <row r="672" spans="3:19">
      <c r="C672" s="79"/>
      <c r="D672" s="61"/>
      <c r="R672" s="62"/>
    </row>
    <row r="673" spans="3:19">
      <c r="C673" s="79"/>
      <c r="D673" s="61"/>
      <c r="R673" s="62"/>
      <c r="S673" s="94"/>
    </row>
    <row r="674" spans="3:19">
      <c r="C674" s="79"/>
      <c r="D674" s="61"/>
      <c r="K674" s="106"/>
      <c r="O674" s="107"/>
      <c r="R674" s="62"/>
      <c r="S674" s="95"/>
    </row>
    <row r="675" spans="3:19">
      <c r="C675" s="79"/>
      <c r="D675" s="61"/>
      <c r="K675" s="106"/>
      <c r="O675" s="107"/>
      <c r="R675" s="62"/>
      <c r="S675" s="95"/>
    </row>
    <row r="676" spans="3:19">
      <c r="C676" s="79"/>
      <c r="D676" s="61"/>
      <c r="K676" s="106"/>
      <c r="O676" s="107"/>
      <c r="R676" s="62"/>
      <c r="S676" s="92"/>
    </row>
    <row r="677" spans="3:19">
      <c r="C677" s="79"/>
      <c r="D677" s="61"/>
      <c r="R677" s="62"/>
      <c r="S677" s="94"/>
    </row>
    <row r="678" spans="3:19">
      <c r="C678" s="79"/>
      <c r="D678" s="61"/>
      <c r="R678" s="62"/>
      <c r="S678" s="92"/>
    </row>
    <row r="679" spans="3:19">
      <c r="C679" s="79"/>
      <c r="D679" s="61"/>
      <c r="R679" s="62"/>
      <c r="S679" s="94"/>
    </row>
    <row r="680" spans="3:19">
      <c r="C680" s="79"/>
      <c r="D680" s="61"/>
      <c r="K680" s="106"/>
      <c r="O680" s="107"/>
      <c r="R680" s="62"/>
      <c r="S680" s="95"/>
    </row>
    <row r="681" spans="3:19">
      <c r="C681" s="79"/>
      <c r="D681" s="61"/>
      <c r="R681" s="62"/>
      <c r="S681" s="95"/>
    </row>
    <row r="682" spans="3:19">
      <c r="C682" s="79"/>
      <c r="D682" s="61"/>
      <c r="R682" s="62"/>
      <c r="S682" s="92"/>
    </row>
    <row r="683" spans="3:19">
      <c r="C683" s="79"/>
      <c r="D683" s="61"/>
      <c r="K683" s="106"/>
      <c r="R683" s="62"/>
    </row>
    <row r="684" spans="3:19">
      <c r="C684" s="79"/>
      <c r="D684" s="61"/>
      <c r="K684" s="106"/>
      <c r="R684" s="62"/>
    </row>
    <row r="685" spans="3:19">
      <c r="C685" s="79"/>
      <c r="D685" s="61"/>
      <c r="K685" s="106"/>
      <c r="R685" s="62"/>
    </row>
    <row r="686" spans="3:19">
      <c r="C686" s="79"/>
      <c r="D686" s="61"/>
      <c r="R686" s="62"/>
    </row>
    <row r="687" spans="3:19">
      <c r="C687" s="79"/>
      <c r="D687" s="61"/>
      <c r="K687" s="106"/>
      <c r="O687" s="107"/>
      <c r="R687" s="62"/>
    </row>
    <row r="688" spans="3:19">
      <c r="C688" s="79"/>
      <c r="D688" s="61"/>
      <c r="K688" s="106"/>
      <c r="O688" s="107"/>
      <c r="R688" s="62"/>
    </row>
    <row r="689" spans="3:19">
      <c r="C689" s="79"/>
      <c r="D689" s="61"/>
      <c r="R689" s="62"/>
    </row>
    <row r="690" spans="3:19">
      <c r="C690" s="79"/>
      <c r="D690" s="61"/>
      <c r="R690" s="62"/>
    </row>
    <row r="691" spans="3:19">
      <c r="C691" s="79"/>
      <c r="D691" s="61"/>
      <c r="R691" s="62"/>
    </row>
    <row r="692" spans="3:19">
      <c r="C692" s="79"/>
      <c r="D692" s="61"/>
      <c r="R692" s="62"/>
    </row>
    <row r="693" spans="3:19">
      <c r="C693" s="79"/>
      <c r="D693" s="61"/>
      <c r="R693" s="62"/>
    </row>
    <row r="694" spans="3:19">
      <c r="C694" s="79"/>
      <c r="D694" s="61"/>
      <c r="R694" s="62"/>
    </row>
    <row r="695" spans="3:19">
      <c r="C695" s="79"/>
      <c r="D695" s="61"/>
      <c r="K695" s="130"/>
      <c r="O695" s="131"/>
      <c r="R695" s="62"/>
    </row>
    <row r="696" spans="3:19">
      <c r="C696" s="79"/>
      <c r="D696" s="61"/>
      <c r="R696" s="62"/>
    </row>
    <row r="697" spans="3:19">
      <c r="C697" s="79"/>
      <c r="D697" s="61"/>
      <c r="K697" s="130"/>
      <c r="O697" s="131"/>
      <c r="R697" s="62"/>
    </row>
    <row r="698" spans="3:19">
      <c r="C698" s="79"/>
      <c r="D698" s="61"/>
      <c r="R698" s="62"/>
    </row>
    <row r="699" spans="3:19">
      <c r="C699" s="79"/>
      <c r="D699" s="61"/>
      <c r="R699" s="62"/>
    </row>
    <row r="700" spans="3:19">
      <c r="C700" s="79"/>
      <c r="D700" s="61"/>
      <c r="K700" s="132"/>
      <c r="O700" s="131"/>
      <c r="R700" s="62"/>
    </row>
    <row r="701" spans="3:19">
      <c r="C701" s="79"/>
      <c r="D701" s="61"/>
      <c r="R701" s="62"/>
    </row>
    <row r="702" spans="3:19">
      <c r="C702" s="79"/>
      <c r="D702" s="61"/>
      <c r="R702" s="62"/>
    </row>
    <row r="703" spans="3:19">
      <c r="C703" s="79"/>
      <c r="D703" s="61"/>
      <c r="R703" s="62"/>
    </row>
    <row r="704" spans="3:19">
      <c r="C704" s="79"/>
      <c r="D704" s="61"/>
      <c r="R704" s="62"/>
      <c r="S704" s="94"/>
    </row>
    <row r="705" spans="3:19">
      <c r="C705" s="79"/>
      <c r="D705" s="61"/>
      <c r="R705" s="62"/>
    </row>
    <row r="706" spans="3:19">
      <c r="C706" s="79"/>
      <c r="D706" s="61"/>
      <c r="R706" s="62"/>
    </row>
    <row r="707" spans="3:19">
      <c r="C707" s="79"/>
      <c r="D707" s="61"/>
      <c r="R707" s="62"/>
      <c r="S707" s="94"/>
    </row>
    <row r="708" spans="3:19">
      <c r="C708" s="79"/>
      <c r="D708" s="61"/>
      <c r="R708" s="62"/>
      <c r="S708" s="92"/>
    </row>
    <row r="709" spans="3:19">
      <c r="C709" s="79"/>
      <c r="D709" s="61"/>
      <c r="R709" s="62"/>
    </row>
    <row r="710" spans="3:19">
      <c r="C710" s="79"/>
      <c r="D710" s="61"/>
      <c r="R710" s="62"/>
    </row>
    <row r="711" spans="3:19">
      <c r="C711" s="79"/>
      <c r="D711" s="61"/>
      <c r="R711" s="62"/>
    </row>
    <row r="712" spans="3:19">
      <c r="C712" s="79"/>
      <c r="D712" s="61"/>
      <c r="R712" s="62"/>
    </row>
    <row r="713" spans="3:19">
      <c r="C713" s="79"/>
      <c r="D713" s="61"/>
      <c r="R713" s="62"/>
    </row>
    <row r="714" spans="3:19">
      <c r="C714" s="79"/>
      <c r="D714" s="61"/>
      <c r="R714" s="62"/>
    </row>
    <row r="715" spans="3:19">
      <c r="C715" s="79"/>
      <c r="D715" s="61"/>
      <c r="R715" s="62"/>
    </row>
    <row r="716" spans="3:19">
      <c r="C716" s="79"/>
      <c r="D716" s="61"/>
      <c r="R716" s="62"/>
    </row>
    <row r="717" spans="3:19">
      <c r="C717" s="79"/>
      <c r="D717" s="61"/>
      <c r="R717" s="62"/>
    </row>
    <row r="718" spans="3:19">
      <c r="C718" s="79"/>
      <c r="D718" s="61"/>
      <c r="R718" s="62"/>
      <c r="S718" s="94"/>
    </row>
    <row r="719" spans="3:19">
      <c r="C719" s="79"/>
      <c r="D719" s="61"/>
      <c r="R719" s="62"/>
      <c r="S719" s="92"/>
    </row>
    <row r="720" spans="3:19">
      <c r="C720" s="79"/>
      <c r="D720" s="61"/>
      <c r="R720" s="62"/>
      <c r="S720" s="94"/>
    </row>
    <row r="721" spans="3:19">
      <c r="C721" s="79"/>
      <c r="D721" s="61"/>
      <c r="R721" s="62"/>
      <c r="S721" s="92"/>
    </row>
    <row r="722" spans="3:19">
      <c r="C722" s="79"/>
      <c r="D722" s="61"/>
      <c r="R722" s="62"/>
      <c r="S722" s="94"/>
    </row>
    <row r="723" spans="3:19">
      <c r="C723" s="79"/>
      <c r="D723" s="61"/>
      <c r="R723" s="62"/>
      <c r="S723" s="92"/>
    </row>
    <row r="724" spans="3:19">
      <c r="C724" s="79"/>
      <c r="D724" s="61"/>
      <c r="R724" s="62"/>
      <c r="S724" s="94"/>
    </row>
    <row r="725" spans="3:19">
      <c r="C725" s="79"/>
      <c r="D725" s="61"/>
      <c r="R725" s="62"/>
      <c r="S725" s="92"/>
    </row>
    <row r="726" spans="3:19">
      <c r="C726" s="79"/>
      <c r="D726" s="61"/>
      <c r="R726" s="62"/>
    </row>
    <row r="727" spans="3:19">
      <c r="C727" s="79"/>
      <c r="D727" s="61"/>
      <c r="R727" s="62"/>
    </row>
    <row r="728" spans="3:19">
      <c r="C728" s="79"/>
      <c r="D728" s="61"/>
      <c r="R728" s="62"/>
    </row>
    <row r="729" spans="3:19">
      <c r="C729" s="79"/>
      <c r="D729" s="61"/>
      <c r="R729" s="62"/>
      <c r="S729" s="94"/>
    </row>
    <row r="730" spans="3:19">
      <c r="C730" s="79"/>
      <c r="D730" s="61"/>
      <c r="R730" s="62"/>
      <c r="S730" s="92"/>
    </row>
    <row r="731" spans="3:19">
      <c r="C731" s="79"/>
      <c r="D731" s="61"/>
      <c r="R731" s="62"/>
      <c r="S731" s="94"/>
    </row>
    <row r="732" spans="3:19">
      <c r="C732" s="79"/>
      <c r="D732" s="61"/>
      <c r="R732" s="62"/>
      <c r="S732" s="92"/>
    </row>
    <row r="733" spans="3:19">
      <c r="C733" s="79"/>
      <c r="D733" s="61"/>
      <c r="R733" s="62"/>
      <c r="S733" s="94"/>
    </row>
    <row r="734" spans="3:19">
      <c r="C734" s="79"/>
      <c r="D734" s="61"/>
      <c r="R734" s="62"/>
      <c r="S734" s="92"/>
    </row>
    <row r="735" spans="3:19">
      <c r="C735" s="79"/>
      <c r="D735" s="61"/>
      <c r="R735" s="62"/>
      <c r="S735" s="94"/>
    </row>
    <row r="736" spans="3:19">
      <c r="C736" s="79"/>
      <c r="D736" s="61"/>
      <c r="R736" s="62"/>
      <c r="S736" s="92"/>
    </row>
    <row r="737" spans="2:19">
      <c r="C737" s="79"/>
      <c r="D737" s="61"/>
      <c r="R737" s="62"/>
      <c r="S737" s="94"/>
    </row>
    <row r="738" spans="2:19">
      <c r="C738" s="79"/>
      <c r="D738" s="61"/>
      <c r="R738" s="62"/>
      <c r="S738" s="95"/>
    </row>
    <row r="739" spans="2:19">
      <c r="C739" s="79"/>
      <c r="D739" s="61"/>
      <c r="R739" s="62"/>
      <c r="S739" s="95"/>
    </row>
    <row r="740" spans="2:19">
      <c r="C740" s="79"/>
      <c r="D740" s="61"/>
      <c r="R740" s="62"/>
      <c r="S740" s="92"/>
    </row>
    <row r="741" spans="2:19">
      <c r="C741" s="79"/>
      <c r="D741" s="61"/>
      <c r="R741" s="62"/>
      <c r="S741" s="94"/>
    </row>
    <row r="742" spans="2:19">
      <c r="C742" s="79"/>
      <c r="D742" s="61"/>
      <c r="R742" s="62"/>
      <c r="S742" s="92"/>
    </row>
    <row r="743" spans="2:19">
      <c r="C743" s="79"/>
      <c r="D743" s="61"/>
      <c r="R743" s="62"/>
    </row>
    <row r="744" spans="2:19">
      <c r="C744" s="79"/>
      <c r="D744" s="61"/>
      <c r="R744" s="62"/>
      <c r="S744" s="95"/>
    </row>
    <row r="745" spans="2:19">
      <c r="C745" s="79"/>
      <c r="D745" s="61"/>
      <c r="R745" s="62"/>
      <c r="S745" s="92"/>
    </row>
    <row r="746" spans="2:19">
      <c r="B746" s="108"/>
      <c r="C746" s="79"/>
      <c r="D746" s="109"/>
      <c r="E746" s="110"/>
      <c r="F746" s="110"/>
      <c r="G746" s="108"/>
      <c r="H746" s="108"/>
      <c r="I746" s="108"/>
      <c r="J746" s="108"/>
      <c r="K746" s="106"/>
      <c r="L746" s="106"/>
      <c r="M746" s="108"/>
      <c r="N746" s="108"/>
      <c r="O746" s="107"/>
      <c r="P746" s="108"/>
      <c r="Q746" s="108"/>
      <c r="R746" s="62"/>
      <c r="S746" s="108"/>
    </row>
    <row r="747" spans="2:19">
      <c r="C747" s="79"/>
      <c r="D747" s="61"/>
      <c r="R747" s="62"/>
    </row>
    <row r="748" spans="2:19">
      <c r="C748" s="79"/>
      <c r="D748" s="61"/>
      <c r="R748" s="62"/>
    </row>
    <row r="749" spans="2:19">
      <c r="C749" s="79"/>
      <c r="D749" s="61"/>
      <c r="R749" s="62"/>
      <c r="S749" s="94"/>
    </row>
    <row r="750" spans="2:19">
      <c r="C750" s="79"/>
      <c r="D750" s="61"/>
      <c r="R750" s="62"/>
      <c r="S750" s="92"/>
    </row>
    <row r="751" spans="2:19">
      <c r="C751" s="79"/>
      <c r="D751" s="61"/>
      <c r="K751" s="106"/>
      <c r="R751" s="62"/>
    </row>
    <row r="752" spans="2:19">
      <c r="C752" s="79"/>
      <c r="D752" s="61"/>
      <c r="K752" s="106"/>
      <c r="R752" s="62"/>
    </row>
    <row r="753" spans="3:19">
      <c r="C753" s="79"/>
      <c r="D753" s="61"/>
      <c r="R753" s="62"/>
    </row>
    <row r="754" spans="3:19">
      <c r="C754" s="79"/>
      <c r="D754" s="61"/>
      <c r="R754" s="62"/>
    </row>
    <row r="755" spans="3:19">
      <c r="C755" s="79"/>
      <c r="D755" s="61"/>
      <c r="R755" s="62"/>
    </row>
    <row r="756" spans="3:19">
      <c r="C756" s="79"/>
      <c r="D756" s="61"/>
      <c r="R756" s="62"/>
    </row>
    <row r="757" spans="3:19">
      <c r="C757" s="79"/>
      <c r="D757" s="61"/>
      <c r="R757" s="62"/>
    </row>
    <row r="758" spans="3:19">
      <c r="C758" s="79"/>
      <c r="D758" s="61"/>
      <c r="K758" s="106"/>
      <c r="O758" s="107"/>
      <c r="R758" s="62"/>
    </row>
    <row r="759" spans="3:19">
      <c r="C759" s="79"/>
      <c r="D759" s="61"/>
      <c r="R759" s="62"/>
      <c r="S759" s="94"/>
    </row>
    <row r="760" spans="3:19">
      <c r="C760" s="79"/>
      <c r="D760" s="61"/>
      <c r="R760" s="62"/>
      <c r="S760" s="92"/>
    </row>
    <row r="761" spans="3:19">
      <c r="C761" s="79"/>
      <c r="D761" s="61"/>
      <c r="R761" s="62"/>
      <c r="S761" s="94"/>
    </row>
    <row r="762" spans="3:19">
      <c r="C762" s="79"/>
      <c r="D762" s="61"/>
      <c r="R762" s="62"/>
      <c r="S762" s="92"/>
    </row>
    <row r="763" spans="3:19">
      <c r="C763" s="79"/>
      <c r="D763" s="61"/>
      <c r="R763" s="62"/>
      <c r="S763" s="94"/>
    </row>
    <row r="764" spans="3:19">
      <c r="C764" s="79"/>
      <c r="D764" s="61"/>
      <c r="R764" s="62"/>
      <c r="S764" s="92"/>
    </row>
    <row r="765" spans="3:19">
      <c r="C765" s="79"/>
      <c r="D765" s="61"/>
      <c r="K765" s="106"/>
      <c r="O765" s="107"/>
      <c r="R765" s="62"/>
      <c r="S765" s="94"/>
    </row>
    <row r="766" spans="3:19">
      <c r="C766" s="79"/>
      <c r="D766" s="61"/>
      <c r="K766" s="106"/>
      <c r="O766" s="107"/>
      <c r="R766" s="62"/>
      <c r="S766" s="92"/>
    </row>
    <row r="767" spans="3:19">
      <c r="C767" s="79"/>
      <c r="D767" s="61"/>
      <c r="R767" s="62"/>
      <c r="S767" s="94"/>
    </row>
    <row r="768" spans="3:19">
      <c r="C768" s="79"/>
      <c r="D768" s="61"/>
      <c r="R768" s="62"/>
      <c r="S768" s="92"/>
    </row>
    <row r="769" spans="3:19">
      <c r="C769" s="79"/>
      <c r="D769" s="61"/>
      <c r="K769" s="106"/>
      <c r="O769" s="107"/>
      <c r="R769" s="62"/>
      <c r="S769" s="94"/>
    </row>
    <row r="770" spans="3:19">
      <c r="C770" s="79"/>
      <c r="D770" s="61"/>
      <c r="K770" s="106"/>
      <c r="O770" s="107"/>
      <c r="R770" s="62"/>
      <c r="S770" s="92"/>
    </row>
    <row r="771" spans="3:19">
      <c r="C771" s="79"/>
      <c r="D771" s="61"/>
      <c r="R771" s="62"/>
    </row>
    <row r="772" spans="3:19">
      <c r="C772" s="79"/>
      <c r="D772" s="61"/>
      <c r="R772" s="62"/>
      <c r="S772" s="94"/>
    </row>
    <row r="773" spans="3:19">
      <c r="C773" s="79"/>
      <c r="D773" s="61"/>
      <c r="R773" s="62"/>
      <c r="S773" s="95"/>
    </row>
    <row r="774" spans="3:19">
      <c r="C774" s="79"/>
      <c r="D774" s="61"/>
      <c r="R774" s="62"/>
      <c r="S774" s="92"/>
    </row>
    <row r="775" spans="3:19">
      <c r="C775" s="79"/>
      <c r="D775" s="61"/>
      <c r="K775" s="106"/>
      <c r="O775" s="107"/>
      <c r="R775" s="62"/>
    </row>
    <row r="776" spans="3:19">
      <c r="C776" s="79"/>
      <c r="D776" s="61"/>
      <c r="R776" s="62"/>
    </row>
    <row r="777" spans="3:19">
      <c r="C777" s="79"/>
      <c r="D777" s="61"/>
      <c r="R777" s="62"/>
      <c r="S777" s="94"/>
    </row>
    <row r="778" spans="3:19">
      <c r="C778" s="79"/>
      <c r="D778" s="61"/>
      <c r="R778" s="62"/>
      <c r="S778" s="92"/>
    </row>
    <row r="779" spans="3:19">
      <c r="C779" s="79"/>
      <c r="D779" s="61"/>
      <c r="R779" s="62"/>
      <c r="S779" s="94"/>
    </row>
    <row r="780" spans="3:19">
      <c r="C780" s="79"/>
      <c r="D780" s="61"/>
      <c r="R780" s="62"/>
      <c r="S780" s="92"/>
    </row>
    <row r="781" spans="3:19">
      <c r="C781" s="79"/>
      <c r="D781" s="61"/>
      <c r="R781" s="62"/>
    </row>
    <row r="782" spans="3:19">
      <c r="C782" s="79"/>
      <c r="D782" s="61"/>
      <c r="R782" s="62"/>
    </row>
    <row r="783" spans="3:19">
      <c r="C783" s="79"/>
      <c r="D783" s="61"/>
      <c r="R783" s="62"/>
    </row>
    <row r="784" spans="3:19">
      <c r="C784" s="79"/>
      <c r="D784" s="61"/>
      <c r="R784" s="62"/>
    </row>
    <row r="785" spans="3:18">
      <c r="C785" s="79"/>
      <c r="D785" s="61"/>
      <c r="R785" s="62"/>
    </row>
    <row r="786" spans="3:18">
      <c r="C786" s="79"/>
      <c r="D786" s="61"/>
      <c r="R786" s="62"/>
    </row>
    <row r="787" spans="3:18">
      <c r="C787" s="79"/>
      <c r="D787" s="61"/>
      <c r="R787" s="62"/>
    </row>
    <row r="788" spans="3:18">
      <c r="C788" s="79"/>
      <c r="D788" s="61"/>
      <c r="R788" s="62"/>
    </row>
    <row r="789" spans="3:18">
      <c r="C789" s="79"/>
      <c r="D789" s="61"/>
      <c r="O789" s="133"/>
      <c r="R789" s="62"/>
    </row>
    <row r="790" spans="3:18">
      <c r="C790" s="79"/>
      <c r="D790" s="61"/>
      <c r="O790" s="133"/>
      <c r="R790" s="62"/>
    </row>
    <row r="791" spans="3:18">
      <c r="C791" s="79"/>
      <c r="D791" s="61"/>
      <c r="R791" s="62"/>
    </row>
    <row r="792" spans="3:18">
      <c r="C792" s="79"/>
      <c r="D792" s="61"/>
      <c r="R792" s="62"/>
    </row>
    <row r="793" spans="3:18">
      <c r="C793" s="79"/>
      <c r="D793" s="61"/>
      <c r="R793" s="62"/>
    </row>
    <row r="794" spans="3:18">
      <c r="C794" s="79"/>
      <c r="D794" s="61"/>
      <c r="R794" s="62"/>
    </row>
    <row r="795" spans="3:18">
      <c r="C795" s="79"/>
      <c r="D795" s="61"/>
      <c r="R795" s="62"/>
    </row>
    <row r="796" spans="3:18">
      <c r="C796" s="79"/>
      <c r="D796" s="61"/>
      <c r="R796" s="62"/>
    </row>
    <row r="797" spans="3:18">
      <c r="C797" s="79"/>
      <c r="D797" s="61"/>
      <c r="K797" s="106"/>
      <c r="O797" s="107"/>
      <c r="R797" s="62"/>
    </row>
    <row r="798" spans="3:18">
      <c r="C798" s="79"/>
      <c r="D798" s="61"/>
      <c r="K798" s="106"/>
      <c r="O798" s="107"/>
      <c r="R798" s="62"/>
    </row>
    <row r="799" spans="3:18">
      <c r="C799" s="79"/>
      <c r="D799" s="61"/>
      <c r="K799" s="106"/>
      <c r="O799" s="107"/>
      <c r="R799" s="62"/>
    </row>
    <row r="800" spans="3:18">
      <c r="C800" s="79"/>
      <c r="D800" s="61"/>
      <c r="K800" s="106"/>
      <c r="O800" s="107"/>
      <c r="R800" s="62"/>
    </row>
    <row r="801" spans="3:18">
      <c r="C801" s="79"/>
      <c r="D801" s="61"/>
      <c r="K801" s="106"/>
      <c r="O801" s="107"/>
      <c r="R801" s="62"/>
    </row>
    <row r="802" spans="3:18">
      <c r="C802" s="79"/>
      <c r="D802" s="61"/>
      <c r="R802" s="62"/>
    </row>
    <row r="803" spans="3:18">
      <c r="C803" s="79"/>
      <c r="D803" s="61"/>
      <c r="R803" s="62"/>
    </row>
    <row r="804" spans="3:18">
      <c r="C804" s="79"/>
      <c r="D804" s="61"/>
      <c r="R804" s="62"/>
    </row>
    <row r="805" spans="3:18">
      <c r="C805" s="79"/>
      <c r="D805" s="61"/>
      <c r="R805" s="62"/>
    </row>
    <row r="806" spans="3:18">
      <c r="C806" s="79"/>
      <c r="D806" s="61"/>
      <c r="K806" s="106"/>
      <c r="O806" s="107"/>
      <c r="R806" s="62"/>
    </row>
    <row r="807" spans="3:18">
      <c r="C807" s="79"/>
      <c r="D807" s="61"/>
      <c r="R807" s="62"/>
    </row>
    <row r="808" spans="3:18">
      <c r="C808" s="79"/>
      <c r="D808" s="61"/>
      <c r="R808" s="62"/>
    </row>
    <row r="809" spans="3:18">
      <c r="C809" s="79"/>
      <c r="D809" s="61"/>
      <c r="R809" s="62"/>
    </row>
    <row r="810" spans="3:18">
      <c r="C810" s="79"/>
      <c r="D810" s="61"/>
      <c r="K810" s="106"/>
      <c r="O810" s="107"/>
      <c r="R810" s="62"/>
    </row>
    <row r="811" spans="3:18">
      <c r="C811" s="79"/>
      <c r="D811" s="61"/>
      <c r="O811" s="107"/>
      <c r="R811" s="62"/>
    </row>
    <row r="812" spans="3:18">
      <c r="C812" s="79"/>
      <c r="D812" s="61"/>
      <c r="R812" s="62"/>
    </row>
    <row r="813" spans="3:18">
      <c r="C813" s="79"/>
      <c r="D813" s="61"/>
      <c r="R813" s="62"/>
    </row>
    <row r="814" spans="3:18">
      <c r="C814" s="79"/>
      <c r="D814" s="61"/>
      <c r="R814" s="62"/>
    </row>
    <row r="815" spans="3:18">
      <c r="C815" s="79"/>
      <c r="D815" s="61"/>
      <c r="R815" s="62"/>
    </row>
    <row r="816" spans="3:18">
      <c r="C816" s="79"/>
      <c r="D816" s="61"/>
      <c r="R816" s="62"/>
    </row>
    <row r="817" spans="3:19">
      <c r="C817" s="79"/>
      <c r="D817" s="61"/>
      <c r="K817" s="106"/>
      <c r="R817" s="62"/>
    </row>
    <row r="818" spans="3:19">
      <c r="C818" s="79"/>
      <c r="D818" s="61"/>
      <c r="K818" s="106"/>
      <c r="O818" s="107"/>
      <c r="R818" s="62"/>
    </row>
    <row r="819" spans="3:19">
      <c r="C819" s="79"/>
      <c r="D819" s="61"/>
      <c r="R819" s="62"/>
    </row>
    <row r="820" spans="3:19">
      <c r="C820" s="79"/>
      <c r="D820" s="61"/>
      <c r="R820" s="62"/>
    </row>
    <row r="821" spans="3:19">
      <c r="C821" s="79"/>
      <c r="D821" s="61"/>
      <c r="R821" s="62"/>
    </row>
    <row r="822" spans="3:19">
      <c r="C822" s="79"/>
      <c r="D822" s="61"/>
      <c r="R822" s="62"/>
    </row>
    <row r="823" spans="3:19">
      <c r="C823" s="79"/>
      <c r="D823" s="61"/>
      <c r="K823" s="106"/>
      <c r="O823" s="107"/>
      <c r="R823" s="62"/>
    </row>
    <row r="824" spans="3:19">
      <c r="C824" s="79"/>
      <c r="D824" s="61"/>
      <c r="K824" s="106"/>
      <c r="O824" s="107"/>
      <c r="R824" s="62"/>
    </row>
    <row r="825" spans="3:19">
      <c r="C825" s="79"/>
      <c r="D825" s="61"/>
      <c r="R825" s="62"/>
    </row>
    <row r="826" spans="3:19">
      <c r="C826" s="79"/>
      <c r="D826" s="61"/>
      <c r="K826" s="106"/>
      <c r="O826" s="107"/>
      <c r="R826" s="62"/>
      <c r="S826" s="94"/>
    </row>
    <row r="827" spans="3:19">
      <c r="C827" s="79"/>
      <c r="D827" s="61"/>
      <c r="K827" s="106"/>
      <c r="O827" s="107"/>
      <c r="R827" s="62"/>
      <c r="S827" s="92"/>
    </row>
    <row r="828" spans="3:19">
      <c r="C828" s="79"/>
      <c r="D828" s="61"/>
      <c r="R828" s="62"/>
      <c r="S828" s="94"/>
    </row>
    <row r="829" spans="3:19">
      <c r="C829" s="79"/>
      <c r="D829" s="61"/>
      <c r="R829" s="62"/>
      <c r="S829" s="92"/>
    </row>
    <row r="830" spans="3:19">
      <c r="C830" s="79"/>
      <c r="D830" s="61"/>
      <c r="K830" s="106"/>
      <c r="O830" s="107"/>
      <c r="R830" s="62"/>
      <c r="S830" s="94"/>
    </row>
    <row r="831" spans="3:19">
      <c r="C831" s="79"/>
      <c r="D831" s="61"/>
      <c r="K831" s="106"/>
      <c r="O831" s="107"/>
      <c r="R831" s="62"/>
      <c r="S831" s="92"/>
    </row>
    <row r="832" spans="3:19">
      <c r="C832" s="79"/>
      <c r="D832" s="61"/>
      <c r="R832" s="62"/>
    </row>
    <row r="833" spans="3:19">
      <c r="C833" s="79"/>
      <c r="D833" s="61"/>
      <c r="K833" s="106"/>
      <c r="O833" s="107"/>
      <c r="R833" s="62"/>
      <c r="S833" s="94"/>
    </row>
    <row r="834" spans="3:19">
      <c r="C834" s="79"/>
      <c r="D834" s="61"/>
      <c r="K834" s="106"/>
      <c r="O834" s="107"/>
      <c r="R834" s="62"/>
      <c r="S834" s="92"/>
    </row>
    <row r="835" spans="3:19">
      <c r="C835" s="79"/>
      <c r="D835" s="61"/>
      <c r="R835" s="62"/>
    </row>
    <row r="836" spans="3:19">
      <c r="C836" s="79"/>
      <c r="D836" s="61"/>
      <c r="K836" s="106"/>
      <c r="O836" s="107"/>
      <c r="R836" s="62"/>
      <c r="S836" s="94"/>
    </row>
    <row r="837" spans="3:19">
      <c r="C837" s="79"/>
      <c r="D837" s="61"/>
      <c r="K837" s="106"/>
      <c r="O837" s="107"/>
      <c r="R837" s="62"/>
      <c r="S837" s="92"/>
    </row>
    <row r="838" spans="3:19">
      <c r="C838" s="79"/>
      <c r="D838" s="61"/>
      <c r="K838" s="106"/>
      <c r="O838" s="107"/>
      <c r="R838" s="62"/>
    </row>
    <row r="839" spans="3:19">
      <c r="C839" s="79"/>
      <c r="D839" s="61"/>
      <c r="K839" s="106"/>
      <c r="O839" s="107"/>
      <c r="R839" s="62"/>
    </row>
    <row r="840" spans="3:19">
      <c r="C840" s="79"/>
      <c r="D840" s="61"/>
      <c r="R840" s="62"/>
    </row>
    <row r="841" spans="3:19">
      <c r="C841" s="79"/>
      <c r="D841" s="61"/>
      <c r="R841" s="62"/>
      <c r="S841" s="94"/>
    </row>
    <row r="842" spans="3:19">
      <c r="C842" s="79"/>
      <c r="D842" s="61"/>
      <c r="R842" s="62"/>
      <c r="S842" s="95"/>
    </row>
    <row r="843" spans="3:19">
      <c r="C843" s="79"/>
      <c r="D843" s="61"/>
      <c r="R843" s="62"/>
      <c r="S843" s="92"/>
    </row>
    <row r="844" spans="3:19">
      <c r="C844" s="79"/>
      <c r="D844" s="61"/>
      <c r="R844" s="62"/>
    </row>
    <row r="845" spans="3:19">
      <c r="C845" s="79"/>
      <c r="D845" s="61"/>
      <c r="K845" s="106"/>
      <c r="O845" s="107"/>
      <c r="R845" s="62"/>
    </row>
    <row r="846" spans="3:19">
      <c r="C846" s="79"/>
      <c r="D846" s="61"/>
      <c r="R846" s="62"/>
      <c r="S846" s="94"/>
    </row>
    <row r="847" spans="3:19">
      <c r="C847" s="79"/>
      <c r="D847" s="61"/>
      <c r="K847" s="106"/>
      <c r="R847" s="62"/>
      <c r="S847" s="92"/>
    </row>
    <row r="848" spans="3:19">
      <c r="C848" s="79"/>
      <c r="D848" s="61"/>
      <c r="R848" s="62"/>
    </row>
    <row r="849" spans="3:19">
      <c r="C849" s="79"/>
      <c r="D849" s="61"/>
      <c r="R849" s="62"/>
      <c r="S849" s="94"/>
    </row>
    <row r="850" spans="3:19">
      <c r="C850" s="79"/>
      <c r="D850" s="61"/>
      <c r="R850" s="62"/>
      <c r="S850" s="92"/>
    </row>
    <row r="851" spans="3:19">
      <c r="C851" s="79"/>
      <c r="D851" s="61"/>
      <c r="H851" s="134"/>
      <c r="I851" s="134"/>
      <c r="O851" s="134"/>
      <c r="R851" s="62"/>
    </row>
    <row r="852" spans="3:19">
      <c r="C852" s="79"/>
      <c r="D852" s="61"/>
      <c r="H852" s="134"/>
      <c r="I852" s="134"/>
      <c r="O852" s="134"/>
      <c r="R852" s="62"/>
    </row>
    <row r="853" spans="3:19">
      <c r="C853" s="79"/>
      <c r="D853" s="61"/>
      <c r="H853" s="134"/>
      <c r="I853" s="134"/>
      <c r="O853" s="134"/>
      <c r="R853" s="62"/>
    </row>
    <row r="854" spans="3:19">
      <c r="C854" s="79"/>
      <c r="D854" s="61"/>
      <c r="H854" s="134"/>
      <c r="I854" s="134"/>
      <c r="O854" s="134"/>
      <c r="R854" s="62"/>
    </row>
    <row r="855" spans="3:19">
      <c r="C855" s="79"/>
      <c r="D855" s="61"/>
      <c r="R855" s="62"/>
      <c r="S855" s="94"/>
    </row>
    <row r="856" spans="3:19">
      <c r="C856" s="79"/>
      <c r="D856" s="61"/>
      <c r="R856" s="62"/>
      <c r="S856" s="92"/>
    </row>
    <row r="857" spans="3:19">
      <c r="C857" s="79"/>
      <c r="D857" s="61"/>
      <c r="R857" s="62"/>
    </row>
    <row r="858" spans="3:19">
      <c r="C858" s="79"/>
      <c r="D858" s="61"/>
      <c r="R858" s="62"/>
    </row>
    <row r="859" spans="3:19">
      <c r="C859" s="79"/>
      <c r="D859" s="61"/>
      <c r="R859" s="62"/>
    </row>
    <row r="860" spans="3:19">
      <c r="C860" s="79"/>
      <c r="D860" s="61"/>
      <c r="R860" s="62"/>
    </row>
    <row r="861" spans="3:19">
      <c r="C861" s="79"/>
      <c r="D861" s="61"/>
      <c r="R861" s="62"/>
    </row>
    <row r="862" spans="3:19">
      <c r="C862" s="79"/>
      <c r="D862" s="61"/>
      <c r="R862" s="62"/>
    </row>
    <row r="863" spans="3:19">
      <c r="C863" s="79"/>
      <c r="D863" s="61"/>
      <c r="R863" s="62"/>
    </row>
    <row r="864" spans="3:19">
      <c r="C864" s="79"/>
      <c r="D864" s="61"/>
      <c r="R864" s="62"/>
    </row>
    <row r="865" spans="1:21">
      <c r="C865" s="79"/>
      <c r="D865" s="61"/>
      <c r="R865" s="62"/>
    </row>
    <row r="866" spans="1:21">
      <c r="C866" s="79"/>
      <c r="D866" s="61"/>
      <c r="R866" s="62"/>
    </row>
    <row r="867" spans="1:21">
      <c r="C867" s="79"/>
      <c r="D867" s="61"/>
      <c r="R867" s="62"/>
    </row>
    <row r="868" spans="1:21">
      <c r="C868" s="79"/>
      <c r="D868" s="61"/>
      <c r="R868" s="62"/>
    </row>
    <row r="869" spans="1:21">
      <c r="C869" s="79"/>
      <c r="D869" s="61"/>
      <c r="R869" s="62"/>
    </row>
    <row r="870" spans="1:21">
      <c r="C870" s="79"/>
      <c r="D870" s="61"/>
      <c r="K870" s="106"/>
      <c r="O870" s="133"/>
      <c r="R870" s="62"/>
    </row>
    <row r="871" spans="1:21">
      <c r="C871" s="79"/>
      <c r="D871" s="61"/>
      <c r="K871" s="106"/>
      <c r="O871" s="133"/>
      <c r="R871" s="62"/>
    </row>
    <row r="872" spans="1:21">
      <c r="C872" s="79"/>
      <c r="D872" s="61"/>
      <c r="R872" s="62"/>
    </row>
    <row r="873" spans="1:21">
      <c r="C873" s="79"/>
      <c r="D873" s="61"/>
      <c r="R873" s="62"/>
    </row>
    <row r="874" spans="1:21">
      <c r="C874" s="79"/>
      <c r="D874" s="61"/>
      <c r="R874" s="62"/>
    </row>
    <row r="875" spans="1:21">
      <c r="C875" s="79"/>
      <c r="D875" s="61"/>
      <c r="K875" s="106"/>
      <c r="O875" s="133"/>
      <c r="R875" s="62"/>
    </row>
    <row r="876" spans="1:21">
      <c r="C876" s="79"/>
      <c r="D876" s="61"/>
      <c r="R876" s="62"/>
    </row>
    <row r="877" spans="1:21">
      <c r="C877" s="79"/>
      <c r="D877" s="61"/>
      <c r="R877" s="62"/>
      <c r="S877" s="94"/>
    </row>
    <row r="878" spans="1:21">
      <c r="C878" s="79"/>
      <c r="D878" s="61"/>
      <c r="R878" s="62"/>
      <c r="S878" s="92"/>
    </row>
    <row r="879" s="58" customFormat="1" spans="1:21">
      <c r="A879" s="61"/>
      <c r="B879" s="62"/>
      <c r="C879" s="79"/>
      <c r="D879" s="61"/>
      <c r="E879" s="64"/>
      <c r="F879" s="64"/>
      <c r="G879" s="62"/>
      <c r="H879" s="62"/>
      <c r="I879" s="62"/>
      <c r="J879" s="62"/>
      <c r="K879" s="65"/>
      <c r="L879" s="65"/>
      <c r="M879" s="62"/>
      <c r="N879" s="62"/>
      <c r="O879" s="66"/>
      <c r="P879" s="62"/>
      <c r="Q879" s="62"/>
      <c r="R879" s="62"/>
      <c r="S879" s="62"/>
      <c r="T879" s="62"/>
      <c r="U879" s="67"/>
    </row>
    <row r="880" s="58" customFormat="1" spans="1:21">
      <c r="A880" s="61"/>
      <c r="B880" s="62"/>
      <c r="C880" s="79"/>
      <c r="D880" s="61"/>
      <c r="E880" s="64"/>
      <c r="F880" s="64"/>
      <c r="G880" s="62"/>
      <c r="H880" s="62"/>
      <c r="I880" s="62"/>
      <c r="J880" s="62"/>
      <c r="K880" s="65"/>
      <c r="L880" s="65"/>
      <c r="M880" s="62"/>
      <c r="N880" s="62"/>
      <c r="O880" s="66"/>
      <c r="P880" s="62"/>
      <c r="Q880" s="62"/>
      <c r="R880" s="62"/>
      <c r="S880" s="62"/>
      <c r="T880" s="62"/>
      <c r="U880" s="67"/>
    </row>
    <row r="881" s="58" customFormat="1" spans="1:21">
      <c r="A881" s="61"/>
      <c r="B881" s="62"/>
      <c r="C881" s="79"/>
      <c r="D881" s="63"/>
      <c r="E881" s="64"/>
      <c r="F881" s="64"/>
      <c r="G881" s="62"/>
      <c r="H881" s="62"/>
      <c r="I881" s="62"/>
      <c r="J881" s="62"/>
      <c r="K881" s="65"/>
      <c r="L881" s="65"/>
      <c r="M881" s="62"/>
      <c r="N881" s="62"/>
      <c r="O881" s="66"/>
      <c r="P881" s="62"/>
      <c r="Q881" s="62"/>
      <c r="R881" s="62"/>
      <c r="S881" s="62"/>
      <c r="T881" s="62"/>
      <c r="U881" s="67"/>
    </row>
    <row r="882" s="58" customFormat="1" spans="1:21">
      <c r="A882" s="61"/>
      <c r="B882" s="62"/>
      <c r="C882" s="79"/>
      <c r="D882" s="63"/>
      <c r="E882" s="64"/>
      <c r="F882" s="64"/>
      <c r="G882" s="62"/>
      <c r="H882" s="62"/>
      <c r="I882" s="62"/>
      <c r="J882" s="62"/>
      <c r="K882" s="65"/>
      <c r="L882" s="65"/>
      <c r="M882" s="62"/>
      <c r="N882" s="62"/>
      <c r="O882" s="66"/>
      <c r="P882" s="62"/>
      <c r="Q882" s="62"/>
      <c r="R882" s="62"/>
      <c r="S882" s="62"/>
      <c r="T882" s="62"/>
      <c r="U882" s="67"/>
    </row>
    <row r="883" s="58" customFormat="1" spans="1:21">
      <c r="A883" s="61"/>
      <c r="B883" s="62"/>
      <c r="C883" s="79"/>
      <c r="D883" s="63"/>
      <c r="E883" s="64"/>
      <c r="F883" s="64"/>
      <c r="G883" s="62"/>
      <c r="H883" s="62"/>
      <c r="I883" s="62"/>
      <c r="J883" s="62"/>
      <c r="K883" s="65"/>
      <c r="L883" s="65"/>
      <c r="M883" s="62"/>
      <c r="N883" s="62"/>
      <c r="O883" s="66"/>
      <c r="P883" s="62"/>
      <c r="Q883" s="62"/>
      <c r="R883" s="62"/>
      <c r="S883" s="62"/>
      <c r="T883" s="62"/>
      <c r="U883" s="67"/>
    </row>
    <row r="884" s="58" customFormat="1" spans="1:21">
      <c r="A884" s="61"/>
      <c r="B884" s="62"/>
      <c r="C884" s="79"/>
      <c r="D884" s="63"/>
      <c r="E884" s="64"/>
      <c r="F884" s="64"/>
      <c r="G884" s="62"/>
      <c r="H884" s="62"/>
      <c r="I884" s="62"/>
      <c r="J884" s="62"/>
      <c r="K884" s="65"/>
      <c r="L884" s="65"/>
      <c r="M884" s="62"/>
      <c r="N884" s="62"/>
      <c r="O884" s="66"/>
      <c r="P884" s="62"/>
      <c r="Q884" s="62"/>
      <c r="R884" s="62"/>
      <c r="S884" s="62"/>
      <c r="T884" s="62"/>
      <c r="U884" s="67"/>
    </row>
    <row r="885" s="58" customFormat="1" spans="1:21">
      <c r="A885" s="61"/>
      <c r="B885" s="62"/>
      <c r="C885" s="79"/>
      <c r="D885" s="63"/>
      <c r="E885" s="64"/>
      <c r="F885" s="64"/>
      <c r="G885" s="62"/>
      <c r="H885" s="62"/>
      <c r="I885" s="62"/>
      <c r="J885" s="62"/>
      <c r="K885" s="65"/>
      <c r="L885" s="65"/>
      <c r="M885" s="62"/>
      <c r="N885" s="62"/>
      <c r="O885" s="66"/>
      <c r="P885" s="62"/>
      <c r="Q885" s="62"/>
      <c r="R885" s="62"/>
      <c r="S885" s="62"/>
      <c r="T885" s="62"/>
      <c r="U885" s="67"/>
    </row>
    <row r="886" s="58" customFormat="1" spans="1:21">
      <c r="A886" s="61"/>
      <c r="B886" s="62"/>
      <c r="C886" s="79"/>
      <c r="D886" s="63"/>
      <c r="E886" s="64"/>
      <c r="F886" s="64"/>
      <c r="G886" s="62"/>
      <c r="H886" s="62"/>
      <c r="I886" s="62"/>
      <c r="J886" s="62"/>
      <c r="K886" s="65"/>
      <c r="L886" s="65"/>
      <c r="M886" s="62"/>
      <c r="N886" s="62"/>
      <c r="O886" s="66"/>
      <c r="P886" s="62"/>
      <c r="Q886" s="62"/>
      <c r="R886" s="62"/>
      <c r="S886" s="62"/>
      <c r="T886" s="62"/>
      <c r="U886" s="67"/>
    </row>
    <row r="887" s="58" customFormat="1" spans="1:21">
      <c r="A887" s="61"/>
      <c r="B887" s="62"/>
      <c r="C887" s="79"/>
      <c r="D887" s="63"/>
      <c r="E887" s="64"/>
      <c r="F887" s="64"/>
      <c r="G887" s="62"/>
      <c r="H887" s="62"/>
      <c r="I887" s="62"/>
      <c r="J887" s="62"/>
      <c r="K887" s="65"/>
      <c r="L887" s="65"/>
      <c r="M887" s="62"/>
      <c r="N887" s="62"/>
      <c r="O887" s="66"/>
      <c r="P887" s="62"/>
      <c r="Q887" s="62"/>
      <c r="R887" s="62"/>
      <c r="S887" s="62"/>
      <c r="T887" s="62"/>
      <c r="U887" s="67"/>
    </row>
    <row r="888" s="58" customFormat="1" spans="1:21">
      <c r="A888" s="61"/>
      <c r="B888" s="62"/>
      <c r="C888" s="79"/>
      <c r="D888" s="63"/>
      <c r="E888" s="64"/>
      <c r="F888" s="64"/>
      <c r="G888" s="62"/>
      <c r="H888" s="62"/>
      <c r="I888" s="62"/>
      <c r="J888" s="62"/>
      <c r="K888" s="65"/>
      <c r="L888" s="65"/>
      <c r="M888" s="62"/>
      <c r="N888" s="62"/>
      <c r="O888" s="66"/>
      <c r="P888" s="62"/>
      <c r="Q888" s="62"/>
      <c r="R888" s="62"/>
      <c r="S888" s="62"/>
      <c r="T888" s="62"/>
      <c r="U888" s="67"/>
    </row>
    <row r="889" s="58" customFormat="1" spans="1:21">
      <c r="A889" s="61"/>
      <c r="B889" s="62"/>
      <c r="C889" s="79"/>
      <c r="D889" s="63"/>
      <c r="E889" s="64"/>
      <c r="F889" s="64"/>
      <c r="G889" s="62"/>
      <c r="H889" s="62"/>
      <c r="I889" s="62"/>
      <c r="J889" s="62"/>
      <c r="K889" s="65"/>
      <c r="L889" s="65"/>
      <c r="M889" s="62"/>
      <c r="N889" s="62"/>
      <c r="O889" s="66"/>
      <c r="P889" s="62"/>
      <c r="Q889" s="62"/>
      <c r="R889" s="62"/>
      <c r="S889" s="62"/>
      <c r="T889" s="62"/>
      <c r="U889" s="67"/>
    </row>
    <row r="890" s="58" customFormat="1" spans="1:21">
      <c r="A890" s="61"/>
      <c r="B890" s="62"/>
      <c r="C890" s="79"/>
      <c r="D890" s="63"/>
      <c r="E890" s="64"/>
      <c r="F890" s="64"/>
      <c r="G890" s="62"/>
      <c r="H890" s="62"/>
      <c r="I890" s="62"/>
      <c r="J890" s="62"/>
      <c r="K890" s="65"/>
      <c r="L890" s="65"/>
      <c r="M890" s="62"/>
      <c r="N890" s="62"/>
      <c r="O890" s="66"/>
      <c r="P890" s="62"/>
      <c r="Q890" s="62"/>
      <c r="R890" s="62"/>
      <c r="S890" s="62"/>
      <c r="T890" s="62"/>
      <c r="U890" s="67"/>
    </row>
    <row r="891" s="58" customFormat="1" spans="1:21">
      <c r="A891" s="61"/>
      <c r="B891" s="62"/>
      <c r="C891" s="79"/>
      <c r="D891" s="63"/>
      <c r="E891" s="64"/>
      <c r="F891" s="64"/>
      <c r="G891" s="62"/>
      <c r="H891" s="62"/>
      <c r="I891" s="62"/>
      <c r="J891" s="62"/>
      <c r="K891" s="65"/>
      <c r="L891" s="65"/>
      <c r="M891" s="62"/>
      <c r="N891" s="62"/>
      <c r="O891" s="66"/>
      <c r="P891" s="62"/>
      <c r="Q891" s="62"/>
      <c r="R891" s="62"/>
      <c r="S891" s="62"/>
      <c r="T891" s="62"/>
      <c r="U891" s="67"/>
    </row>
    <row r="892" s="58" customFormat="1" spans="1:21">
      <c r="A892" s="61"/>
      <c r="B892" s="62"/>
      <c r="C892" s="79"/>
      <c r="D892" s="63"/>
      <c r="E892" s="64"/>
      <c r="F892" s="64"/>
      <c r="G892" s="62"/>
      <c r="H892" s="62"/>
      <c r="I892" s="62"/>
      <c r="J892" s="62"/>
      <c r="K892" s="65"/>
      <c r="L892" s="65"/>
      <c r="M892" s="62"/>
      <c r="N892" s="62"/>
      <c r="O892" s="66"/>
      <c r="P892" s="62"/>
      <c r="Q892" s="62"/>
      <c r="R892" s="62"/>
      <c r="S892" s="62"/>
      <c r="T892" s="62"/>
      <c r="U892" s="67"/>
    </row>
    <row r="893" s="58" customFormat="1" spans="1:21">
      <c r="A893" s="61"/>
      <c r="B893" s="62"/>
      <c r="C893" s="79"/>
      <c r="D893" s="63"/>
      <c r="E893" s="64"/>
      <c r="F893" s="64"/>
      <c r="G893" s="62"/>
      <c r="H893" s="62"/>
      <c r="I893" s="62"/>
      <c r="J893" s="62"/>
      <c r="K893" s="65"/>
      <c r="L893" s="65"/>
      <c r="M893" s="62"/>
      <c r="N893" s="62"/>
      <c r="O893" s="66"/>
      <c r="P893" s="62"/>
      <c r="Q893" s="62"/>
      <c r="R893" s="62"/>
      <c r="S893" s="62"/>
      <c r="T893" s="62"/>
      <c r="U893" s="67"/>
    </row>
    <row r="894" s="58" customFormat="1" spans="1:21">
      <c r="A894" s="61"/>
      <c r="B894" s="62"/>
      <c r="C894" s="79"/>
      <c r="D894" s="63"/>
      <c r="E894" s="64"/>
      <c r="F894" s="64"/>
      <c r="G894" s="62"/>
      <c r="H894" s="62"/>
      <c r="I894" s="62"/>
      <c r="J894" s="62"/>
      <c r="K894" s="65"/>
      <c r="L894" s="65"/>
      <c r="M894" s="62"/>
      <c r="N894" s="62"/>
      <c r="O894" s="66"/>
      <c r="P894" s="62"/>
      <c r="Q894" s="62"/>
      <c r="R894" s="62"/>
      <c r="S894" s="62"/>
      <c r="T894" s="62"/>
      <c r="U894" s="67"/>
    </row>
    <row r="895" s="58" customFormat="1" spans="1:21">
      <c r="A895" s="61"/>
      <c r="B895" s="62"/>
      <c r="C895" s="79"/>
      <c r="D895" s="63"/>
      <c r="E895" s="64"/>
      <c r="F895" s="64"/>
      <c r="G895" s="62"/>
      <c r="H895" s="62"/>
      <c r="I895" s="62"/>
      <c r="J895" s="62"/>
      <c r="K895" s="65"/>
      <c r="L895" s="65"/>
      <c r="M895" s="62"/>
      <c r="N895" s="62"/>
      <c r="O895" s="66"/>
      <c r="P895" s="62"/>
      <c r="Q895" s="62"/>
      <c r="R895" s="62"/>
      <c r="S895" s="62"/>
      <c r="T895" s="62"/>
      <c r="U895" s="67"/>
    </row>
    <row r="896" s="58" customFormat="1" spans="1:21">
      <c r="A896" s="61"/>
      <c r="B896" s="62"/>
      <c r="C896" s="79"/>
      <c r="D896" s="61"/>
      <c r="E896" s="64"/>
      <c r="F896" s="64"/>
      <c r="G896" s="62"/>
      <c r="H896" s="62"/>
      <c r="I896" s="62"/>
      <c r="J896" s="62"/>
      <c r="K896" s="65"/>
      <c r="L896" s="65"/>
      <c r="M896" s="62"/>
      <c r="N896" s="62"/>
      <c r="O896" s="66"/>
      <c r="P896" s="62"/>
      <c r="Q896" s="62"/>
      <c r="R896" s="62"/>
      <c r="S896" s="62"/>
      <c r="T896" s="62"/>
      <c r="U896" s="67"/>
    </row>
    <row r="897" s="58" customFormat="1" spans="1:23">
      <c r="A897" s="61"/>
      <c r="B897" s="62"/>
      <c r="C897" s="79"/>
      <c r="D897" s="61"/>
      <c r="E897" s="64"/>
      <c r="F897" s="64"/>
      <c r="G897" s="62"/>
      <c r="H897" s="62"/>
      <c r="I897" s="62"/>
      <c r="J897" s="62"/>
      <c r="K897" s="65"/>
      <c r="L897" s="65"/>
      <c r="M897" s="62"/>
      <c r="N897" s="62"/>
      <c r="O897" s="66"/>
      <c r="P897" s="62"/>
      <c r="Q897" s="62"/>
      <c r="R897" s="62"/>
      <c r="S897" s="62"/>
      <c r="T897" s="62"/>
      <c r="U897" s="67"/>
    </row>
    <row r="898" s="58" customFormat="1" spans="1:23">
      <c r="A898" s="61"/>
      <c r="B898" s="62"/>
      <c r="C898" s="79"/>
      <c r="D898" s="61"/>
      <c r="E898" s="64"/>
      <c r="F898" s="64"/>
      <c r="G898" s="62"/>
      <c r="H898" s="62"/>
      <c r="I898" s="62"/>
      <c r="J898" s="62"/>
      <c r="K898" s="65"/>
      <c r="L898" s="65"/>
      <c r="M898" s="62"/>
      <c r="N898" s="62"/>
      <c r="O898" s="135"/>
      <c r="P898" s="62"/>
      <c r="Q898" s="62"/>
      <c r="R898" s="62"/>
      <c r="S898" s="62"/>
      <c r="T898" s="62"/>
      <c r="U898" s="67"/>
      <c r="W898" s="104"/>
    </row>
    <row r="899" s="58" customFormat="1" spans="1:23">
      <c r="A899" s="61"/>
      <c r="B899" s="62"/>
      <c r="C899" s="79"/>
      <c r="D899" s="63"/>
      <c r="E899" s="64"/>
      <c r="F899" s="64"/>
      <c r="G899" s="62"/>
      <c r="H899" s="62"/>
      <c r="I899" s="62"/>
      <c r="J899" s="62"/>
      <c r="K899" s="106"/>
      <c r="L899" s="65"/>
      <c r="M899" s="62"/>
      <c r="N899" s="62"/>
      <c r="O899" s="107"/>
      <c r="P899" s="62"/>
      <c r="Q899" s="62"/>
      <c r="R899" s="62"/>
      <c r="S899" s="62"/>
      <c r="T899" s="62"/>
      <c r="U899" s="67"/>
      <c r="W899" s="104"/>
    </row>
    <row r="900" s="58" customFormat="1" spans="1:23">
      <c r="A900" s="61"/>
      <c r="B900" s="62"/>
      <c r="C900" s="79"/>
      <c r="D900" s="63"/>
      <c r="E900" s="64"/>
      <c r="F900" s="64"/>
      <c r="G900" s="62"/>
      <c r="H900" s="62"/>
      <c r="I900" s="62"/>
      <c r="J900" s="62"/>
      <c r="K900" s="106"/>
      <c r="L900" s="65"/>
      <c r="M900" s="62"/>
      <c r="N900" s="62"/>
      <c r="O900" s="107"/>
      <c r="P900" s="62"/>
      <c r="Q900" s="62"/>
      <c r="R900" s="62"/>
      <c r="S900" s="94"/>
      <c r="T900" s="62"/>
      <c r="U900" s="67"/>
      <c r="W900" s="104"/>
    </row>
    <row r="901" s="58" customFormat="1" spans="1:23">
      <c r="A901" s="61"/>
      <c r="B901" s="62"/>
      <c r="C901" s="79"/>
      <c r="D901" s="63"/>
      <c r="E901" s="64"/>
      <c r="F901" s="64"/>
      <c r="G901" s="62"/>
      <c r="H901" s="62"/>
      <c r="I901" s="62"/>
      <c r="J901" s="62"/>
      <c r="K901" s="65"/>
      <c r="L901" s="65"/>
      <c r="M901" s="62"/>
      <c r="N901" s="62"/>
      <c r="O901" s="66"/>
      <c r="P901" s="62"/>
      <c r="Q901" s="62"/>
      <c r="R901" s="62"/>
      <c r="S901" s="62"/>
      <c r="T901" s="62"/>
      <c r="U901" s="67"/>
      <c r="W901" s="104"/>
    </row>
    <row r="902" spans="1:23">
      <c r="C902" s="79"/>
      <c r="R902" s="62"/>
      <c r="W902" s="104"/>
    </row>
    <row r="903" spans="1:23">
      <c r="C903" s="79"/>
      <c r="R903" s="62"/>
      <c r="W903" s="104"/>
    </row>
    <row r="904" spans="1:23">
      <c r="C904" s="79"/>
      <c r="R904" s="62"/>
      <c r="S904" s="94"/>
      <c r="W904" s="104"/>
    </row>
    <row r="905" spans="1:23">
      <c r="C905" s="79"/>
      <c r="R905" s="62"/>
      <c r="S905" s="92"/>
    </row>
    <row r="906" spans="1:23">
      <c r="C906" s="79"/>
      <c r="R906" s="62"/>
      <c r="S906" s="94"/>
    </row>
    <row r="907" spans="1:23">
      <c r="C907" s="79"/>
      <c r="R907" s="62"/>
      <c r="S907" s="92"/>
      <c r="W907" s="104"/>
    </row>
    <row r="908" spans="1:23">
      <c r="C908" s="79"/>
      <c r="R908" s="62"/>
      <c r="S908" s="94"/>
      <c r="W908" s="104"/>
    </row>
    <row r="909" spans="1:23">
      <c r="C909" s="79"/>
      <c r="R909" s="62"/>
      <c r="S909" s="92"/>
    </row>
    <row r="910" spans="1:23">
      <c r="C910" s="79"/>
      <c r="R910" s="62"/>
      <c r="S910" s="94"/>
    </row>
    <row r="911" spans="1:23">
      <c r="C911" s="79"/>
      <c r="R911" s="62"/>
      <c r="S911" s="92"/>
    </row>
    <row r="912" spans="1:23">
      <c r="C912" s="79"/>
      <c r="R912" s="62"/>
      <c r="S912" s="94"/>
    </row>
    <row r="913" spans="3:19">
      <c r="C913" s="79"/>
      <c r="R913" s="62"/>
      <c r="S913" s="92"/>
    </row>
    <row r="914" spans="3:19">
      <c r="C914" s="79"/>
      <c r="R914" s="62"/>
    </row>
    <row r="915" spans="3:19">
      <c r="C915" s="79"/>
      <c r="R915" s="62"/>
    </row>
    <row r="916" spans="3:19">
      <c r="C916" s="79"/>
      <c r="R916" s="62"/>
    </row>
    <row r="917" spans="3:19">
      <c r="C917" s="79"/>
      <c r="R917" s="62"/>
    </row>
    <row r="918" spans="3:19">
      <c r="C918" s="79"/>
      <c r="R918" s="62"/>
    </row>
    <row r="919" spans="3:19">
      <c r="C919" s="79"/>
      <c r="R919" s="62"/>
    </row>
    <row r="920" spans="3:19">
      <c r="C920" s="79"/>
      <c r="R920" s="62"/>
    </row>
    <row r="921" spans="3:19">
      <c r="C921" s="79"/>
      <c r="R921" s="62"/>
    </row>
    <row r="922" spans="3:19">
      <c r="C922" s="79"/>
      <c r="R922" s="62"/>
    </row>
    <row r="923" spans="3:19">
      <c r="C923" s="79"/>
      <c r="R923" s="62"/>
    </row>
    <row r="924" spans="3:19">
      <c r="C924" s="79"/>
      <c r="R924" s="62"/>
    </row>
    <row r="925" spans="3:19">
      <c r="C925" s="79"/>
      <c r="R925" s="62"/>
    </row>
    <row r="926" spans="3:19">
      <c r="C926" s="79"/>
      <c r="K926" s="106"/>
      <c r="R926" s="62"/>
    </row>
    <row r="927" spans="3:19">
      <c r="C927" s="79"/>
      <c r="K927" s="106"/>
      <c r="R927" s="62"/>
    </row>
    <row r="928" spans="3:19">
      <c r="C928" s="79"/>
      <c r="K928" s="106"/>
      <c r="R928" s="62"/>
    </row>
    <row r="929" spans="3:19">
      <c r="C929" s="79"/>
      <c r="K929" s="106"/>
      <c r="R929" s="62"/>
    </row>
    <row r="930" spans="3:19">
      <c r="C930" s="79"/>
      <c r="R930" s="62"/>
    </row>
    <row r="931" spans="3:19">
      <c r="C931" s="79"/>
      <c r="R931" s="62"/>
    </row>
    <row r="932" spans="3:19">
      <c r="C932" s="79"/>
      <c r="R932" s="62"/>
    </row>
    <row r="933" spans="3:19">
      <c r="C933" s="79"/>
      <c r="R933" s="62"/>
    </row>
    <row r="934" spans="3:19">
      <c r="C934" s="79"/>
      <c r="R934" s="62"/>
    </row>
    <row r="935" spans="3:19">
      <c r="C935" s="79"/>
      <c r="R935" s="62"/>
      <c r="S935" s="94"/>
    </row>
    <row r="936" spans="3:19">
      <c r="C936" s="79"/>
      <c r="R936" s="62"/>
      <c r="S936" s="92"/>
    </row>
    <row r="937" spans="3:19">
      <c r="C937" s="79"/>
      <c r="R937" s="62"/>
    </row>
    <row r="938" spans="3:19">
      <c r="C938" s="79"/>
      <c r="K938" s="106"/>
      <c r="O938" s="133"/>
      <c r="R938" s="62"/>
    </row>
    <row r="939" spans="3:19">
      <c r="C939" s="79"/>
      <c r="K939" s="106"/>
      <c r="O939" s="133"/>
      <c r="R939" s="62"/>
    </row>
    <row r="940" spans="3:19">
      <c r="C940" s="79"/>
      <c r="R940" s="62"/>
    </row>
    <row r="941" spans="3:19">
      <c r="C941" s="79"/>
      <c r="R941" s="62"/>
    </row>
    <row r="942" spans="3:19">
      <c r="C942" s="79"/>
      <c r="R942" s="62"/>
    </row>
    <row r="943" spans="3:19">
      <c r="C943" s="79"/>
      <c r="R943" s="62"/>
    </row>
    <row r="944" spans="3:19">
      <c r="C944" s="79"/>
      <c r="R944" s="62"/>
      <c r="S944" s="94"/>
    </row>
    <row r="945" spans="3:19">
      <c r="C945" s="79"/>
      <c r="R945" s="62"/>
      <c r="S945" s="95"/>
    </row>
    <row r="946" spans="3:19">
      <c r="C946" s="79"/>
      <c r="R946" s="62"/>
      <c r="S946" s="92"/>
    </row>
    <row r="947" spans="3:19">
      <c r="C947" s="79"/>
      <c r="R947" s="62"/>
    </row>
    <row r="948" spans="3:19">
      <c r="C948" s="79"/>
      <c r="R948" s="62"/>
    </row>
    <row r="949" spans="3:19">
      <c r="C949" s="79"/>
      <c r="R949" s="62"/>
    </row>
    <row r="950" spans="3:19">
      <c r="C950" s="79"/>
      <c r="R950" s="62"/>
    </row>
    <row r="951" spans="3:19">
      <c r="C951" s="79"/>
      <c r="R951" s="62"/>
    </row>
    <row r="952" spans="3:19">
      <c r="C952" s="79"/>
      <c r="R952" s="62"/>
    </row>
    <row r="953" spans="3:19">
      <c r="C953" s="79"/>
      <c r="R953" s="62"/>
    </row>
    <row r="954" spans="3:19">
      <c r="C954" s="79"/>
      <c r="O954" s="90"/>
      <c r="R954" s="62"/>
    </row>
    <row r="955" spans="3:19">
      <c r="C955" s="79"/>
      <c r="O955" s="90"/>
      <c r="R955" s="62"/>
    </row>
    <row r="956" spans="3:19">
      <c r="C956" s="79"/>
      <c r="R956" s="62"/>
      <c r="S956" s="94"/>
    </row>
    <row r="957" spans="3:19">
      <c r="C957" s="79"/>
      <c r="R957" s="62"/>
      <c r="S957" s="92"/>
    </row>
    <row r="958" spans="3:19">
      <c r="C958" s="79"/>
      <c r="R958" s="62"/>
    </row>
    <row r="959" spans="3:19">
      <c r="C959" s="79"/>
      <c r="R959" s="62"/>
    </row>
    <row r="960" spans="3:19">
      <c r="C960" s="79"/>
      <c r="R960" s="62"/>
    </row>
    <row r="961" spans="3:19">
      <c r="C961" s="79"/>
      <c r="R961" s="62"/>
    </row>
    <row r="962" spans="3:19">
      <c r="C962" s="79"/>
      <c r="R962" s="62"/>
    </row>
    <row r="963" spans="3:19">
      <c r="C963" s="79"/>
      <c r="R963" s="62"/>
    </row>
    <row r="964" spans="3:19">
      <c r="C964" s="79"/>
      <c r="R964" s="62"/>
    </row>
    <row r="965" spans="3:19">
      <c r="C965" s="79"/>
      <c r="R965" s="62"/>
    </row>
    <row r="966" spans="3:19">
      <c r="C966" s="79"/>
      <c r="R966" s="62"/>
    </row>
    <row r="967" spans="3:19">
      <c r="C967" s="79"/>
      <c r="R967" s="62"/>
      <c r="S967" s="94"/>
    </row>
    <row r="968" spans="3:19">
      <c r="C968" s="79"/>
      <c r="R968" s="62"/>
      <c r="S968" s="92"/>
    </row>
    <row r="969" spans="3:19">
      <c r="C969" s="79"/>
      <c r="R969" s="62"/>
    </row>
    <row r="970" spans="3:19">
      <c r="C970" s="79"/>
      <c r="R970" s="62"/>
    </row>
    <row r="971" spans="3:19">
      <c r="C971" s="79"/>
      <c r="R971" s="62"/>
    </row>
    <row r="972" spans="3:19">
      <c r="C972" s="79"/>
      <c r="R972" s="62"/>
    </row>
    <row r="973" spans="3:19">
      <c r="C973" s="79"/>
      <c r="R973" s="62"/>
    </row>
    <row r="974" spans="3:19">
      <c r="C974" s="79"/>
      <c r="R974" s="62"/>
    </row>
    <row r="975" spans="3:19">
      <c r="C975" s="79"/>
      <c r="R975" s="62"/>
    </row>
    <row r="976" spans="3:19">
      <c r="C976" s="79"/>
      <c r="R976" s="62"/>
      <c r="S976" s="94"/>
    </row>
    <row r="977" spans="3:19">
      <c r="C977" s="79"/>
      <c r="R977" s="62"/>
      <c r="S977" s="92"/>
    </row>
    <row r="978" spans="3:19">
      <c r="C978" s="79"/>
      <c r="R978" s="62"/>
      <c r="S978" s="94"/>
    </row>
    <row r="979" spans="3:19">
      <c r="C979" s="79"/>
      <c r="R979" s="62"/>
      <c r="S979" s="92"/>
    </row>
    <row r="980" spans="3:19">
      <c r="C980" s="79"/>
      <c r="R980" s="62"/>
      <c r="S980" s="94"/>
    </row>
    <row r="981" spans="3:19">
      <c r="C981" s="79"/>
      <c r="I981" s="136"/>
      <c r="R981" s="62"/>
      <c r="S981" s="92"/>
    </row>
    <row r="982" spans="3:19">
      <c r="C982" s="79"/>
      <c r="R982" s="62"/>
      <c r="S982" s="94"/>
    </row>
    <row r="983" spans="3:19">
      <c r="C983" s="79"/>
      <c r="R983" s="62"/>
      <c r="S983" s="92"/>
    </row>
    <row r="984" spans="3:19">
      <c r="C984" s="79"/>
      <c r="R984" s="62"/>
      <c r="S984" s="94"/>
    </row>
    <row r="985" spans="3:19">
      <c r="C985" s="79"/>
      <c r="R985" s="62"/>
      <c r="S985" s="92"/>
    </row>
    <row r="986" spans="3:19">
      <c r="C986" s="79"/>
      <c r="R986" s="62"/>
      <c r="S986" s="94"/>
    </row>
    <row r="987" spans="3:19">
      <c r="C987" s="79"/>
      <c r="R987" s="62"/>
      <c r="S987" s="92"/>
    </row>
    <row r="988" spans="3:19">
      <c r="C988" s="79"/>
      <c r="R988" s="62"/>
      <c r="S988" s="94"/>
    </row>
    <row r="989" spans="3:19">
      <c r="C989" s="79"/>
      <c r="R989" s="62"/>
      <c r="S989" s="92"/>
    </row>
    <row r="990" spans="3:19">
      <c r="C990" s="79"/>
      <c r="R990" s="62"/>
    </row>
    <row r="991" spans="3:19">
      <c r="C991" s="79"/>
      <c r="R991" s="62"/>
    </row>
    <row r="992" spans="3:19">
      <c r="C992" s="79"/>
      <c r="R992" s="62"/>
    </row>
    <row r="993" spans="3:19">
      <c r="C993" s="79"/>
      <c r="R993" s="62"/>
    </row>
    <row r="994" spans="3:19">
      <c r="C994" s="79"/>
      <c r="R994" s="62"/>
    </row>
    <row r="995" spans="3:19">
      <c r="C995" s="79"/>
      <c r="R995" s="62"/>
    </row>
    <row r="996" spans="3:19">
      <c r="C996" s="79"/>
      <c r="R996" s="62"/>
    </row>
    <row r="997" spans="3:19">
      <c r="C997" s="79"/>
      <c r="R997" s="62"/>
    </row>
    <row r="998" spans="3:19">
      <c r="C998" s="79"/>
      <c r="R998" s="62"/>
    </row>
    <row r="999" spans="3:19">
      <c r="C999" s="79"/>
      <c r="R999" s="62"/>
    </row>
    <row r="1000" spans="3:19">
      <c r="C1000" s="79"/>
      <c r="R1000" s="62"/>
    </row>
    <row r="1001" spans="3:19">
      <c r="C1001" s="79"/>
      <c r="R1001" s="62"/>
      <c r="S1001" s="94"/>
    </row>
    <row r="1002" spans="3:19">
      <c r="C1002" s="79"/>
      <c r="R1002" s="62"/>
    </row>
    <row r="1003" spans="3:19">
      <c r="C1003" s="79"/>
      <c r="R1003" s="62"/>
    </row>
    <row r="1004" spans="3:19">
      <c r="C1004" s="79"/>
      <c r="R1004" s="62"/>
    </row>
    <row r="1005" spans="3:19">
      <c r="C1005" s="79"/>
      <c r="R1005" s="62"/>
    </row>
    <row r="1006" spans="3:19">
      <c r="C1006" s="79"/>
      <c r="R1006" s="62"/>
    </row>
    <row r="1007" spans="3:19">
      <c r="C1007" s="79"/>
      <c r="R1007" s="62"/>
    </row>
    <row r="1008" spans="3:19">
      <c r="C1008" s="79"/>
      <c r="R1008" s="62"/>
    </row>
    <row r="1009" spans="3:18">
      <c r="C1009" s="79"/>
      <c r="R1009" s="62"/>
    </row>
    <row r="1010" spans="3:18">
      <c r="C1010" s="79"/>
      <c r="R1010" s="62"/>
    </row>
    <row r="1011" spans="3:18">
      <c r="C1011" s="79"/>
      <c r="R1011" s="62"/>
    </row>
    <row r="1012" spans="3:18">
      <c r="C1012" s="79"/>
      <c r="R1012" s="62"/>
    </row>
    <row r="1013" spans="3:18">
      <c r="C1013" s="79"/>
      <c r="R1013" s="62"/>
    </row>
    <row r="1014" spans="3:18">
      <c r="C1014" s="79"/>
      <c r="R1014" s="62"/>
    </row>
    <row r="1015" spans="3:18">
      <c r="C1015" s="79"/>
      <c r="R1015" s="62"/>
    </row>
    <row r="1016" spans="3:18">
      <c r="C1016" s="79"/>
      <c r="R1016" s="62"/>
    </row>
    <row r="1017" spans="3:18">
      <c r="C1017" s="79"/>
      <c r="R1017" s="62"/>
    </row>
    <row r="1018" spans="3:18">
      <c r="C1018" s="79"/>
      <c r="R1018" s="62"/>
    </row>
    <row r="1019" spans="3:18">
      <c r="C1019" s="79"/>
      <c r="R1019" s="62"/>
    </row>
    <row r="1020" spans="3:18">
      <c r="C1020" s="79"/>
      <c r="R1020" s="62"/>
    </row>
    <row r="1021" spans="3:18">
      <c r="C1021" s="79"/>
      <c r="R1021" s="62"/>
    </row>
    <row r="1022" spans="3:18">
      <c r="C1022" s="79"/>
      <c r="R1022" s="62"/>
    </row>
    <row r="1023" spans="3:18">
      <c r="C1023" s="79"/>
      <c r="O1023" s="86"/>
      <c r="R1023" s="62"/>
    </row>
    <row r="1024" spans="3:18">
      <c r="C1024" s="79"/>
      <c r="O1024" s="86"/>
      <c r="R1024" s="62"/>
    </row>
    <row r="1025" spans="3:18">
      <c r="C1025" s="79"/>
      <c r="O1025" s="86"/>
      <c r="R1025" s="62"/>
    </row>
    <row r="1026" spans="3:18">
      <c r="C1026" s="79"/>
      <c r="O1026" s="86"/>
      <c r="R1026" s="62"/>
    </row>
    <row r="1027" spans="3:18">
      <c r="C1027" s="79"/>
      <c r="O1027" s="86"/>
      <c r="R1027" s="62"/>
    </row>
    <row r="1028" spans="3:18">
      <c r="C1028" s="79"/>
      <c r="R1028" s="62"/>
    </row>
    <row r="1029" spans="3:18">
      <c r="C1029" s="79"/>
      <c r="R1029" s="62"/>
    </row>
    <row r="1030" spans="3:18">
      <c r="C1030" s="79"/>
      <c r="R1030" s="62"/>
    </row>
    <row r="1031" spans="3:18">
      <c r="C1031" s="79"/>
      <c r="R1031" s="62"/>
    </row>
    <row r="1032" spans="3:18">
      <c r="C1032" s="79"/>
      <c r="R1032" s="62"/>
    </row>
    <row r="1033" spans="3:18">
      <c r="C1033" s="79"/>
      <c r="R1033" s="62"/>
    </row>
    <row r="1034" spans="3:18">
      <c r="C1034" s="79"/>
      <c r="R1034" s="62"/>
    </row>
    <row r="1035" spans="3:18">
      <c r="C1035" s="79"/>
      <c r="R1035" s="62"/>
    </row>
    <row r="1036" spans="3:18">
      <c r="C1036" s="79"/>
      <c r="R1036" s="62"/>
    </row>
    <row r="1037" spans="3:18">
      <c r="C1037" s="79"/>
      <c r="R1037" s="62"/>
    </row>
    <row r="1038" spans="3:18">
      <c r="C1038" s="79"/>
      <c r="R1038" s="62"/>
    </row>
    <row r="1039" spans="3:18">
      <c r="C1039" s="79"/>
      <c r="R1039" s="62"/>
    </row>
    <row r="1040" spans="3:18">
      <c r="C1040" s="79"/>
      <c r="R1040" s="62"/>
    </row>
    <row r="1041" spans="3:18">
      <c r="C1041" s="79"/>
      <c r="R1041" s="62"/>
    </row>
    <row r="1042" spans="3:18">
      <c r="C1042" s="79"/>
      <c r="R1042" s="62"/>
    </row>
    <row r="1043" spans="3:18">
      <c r="C1043" s="79"/>
      <c r="R1043" s="62"/>
    </row>
    <row r="1044" spans="3:18">
      <c r="C1044" s="79"/>
      <c r="K1044" s="106"/>
      <c r="O1044" s="133"/>
      <c r="R1044" s="62"/>
    </row>
    <row r="1045" spans="3:18">
      <c r="C1045" s="79"/>
      <c r="K1045" s="106"/>
      <c r="O1045" s="133"/>
      <c r="R1045" s="62"/>
    </row>
    <row r="1046" spans="3:18">
      <c r="C1046" s="79"/>
      <c r="K1046" s="106"/>
      <c r="R1046" s="62"/>
    </row>
    <row r="1047" spans="3:18">
      <c r="C1047" s="79"/>
      <c r="K1047" s="106"/>
      <c r="R1047" s="62"/>
    </row>
    <row r="1048" spans="3:18">
      <c r="C1048" s="79"/>
      <c r="K1048" s="106"/>
      <c r="R1048" s="62"/>
    </row>
    <row r="1049" spans="3:18">
      <c r="C1049" s="79"/>
      <c r="K1049" s="106"/>
      <c r="R1049" s="62"/>
    </row>
    <row r="1050" spans="3:18">
      <c r="C1050" s="79"/>
      <c r="R1050" s="62"/>
    </row>
    <row r="1051" spans="3:18">
      <c r="C1051" s="79"/>
      <c r="R1051" s="62"/>
    </row>
    <row r="1052" spans="3:18">
      <c r="C1052" s="79"/>
      <c r="R1052" s="62"/>
    </row>
    <row r="1053" spans="3:18">
      <c r="C1053" s="79"/>
      <c r="R1053" s="62"/>
    </row>
    <row r="1054" spans="3:18">
      <c r="C1054" s="79"/>
      <c r="R1054" s="62"/>
    </row>
    <row r="1055" spans="3:18">
      <c r="C1055" s="79"/>
      <c r="R1055" s="62"/>
    </row>
    <row r="1056" spans="3:18">
      <c r="C1056" s="79"/>
      <c r="R1056" s="62"/>
    </row>
    <row r="1057" spans="3:18">
      <c r="C1057" s="79"/>
      <c r="R1057" s="62"/>
    </row>
    <row r="1058" spans="3:18">
      <c r="C1058" s="79"/>
      <c r="R1058" s="62"/>
    </row>
    <row r="1059" spans="3:18">
      <c r="C1059" s="79"/>
      <c r="R1059" s="62"/>
    </row>
    <row r="1060" spans="3:18">
      <c r="C1060" s="79"/>
      <c r="K1060" s="137"/>
      <c r="R1060" s="62"/>
    </row>
    <row r="1061" spans="3:18">
      <c r="C1061" s="79"/>
      <c r="K1061" s="137"/>
      <c r="R1061" s="62"/>
    </row>
    <row r="1062" spans="3:18">
      <c r="C1062" s="79"/>
      <c r="K1062" s="137"/>
      <c r="R1062" s="62"/>
    </row>
    <row r="1063" spans="3:18">
      <c r="C1063" s="79"/>
      <c r="R1063" s="62"/>
    </row>
    <row r="1064" spans="3:18">
      <c r="C1064" s="79"/>
      <c r="R1064" s="62"/>
    </row>
    <row r="1065" spans="3:18">
      <c r="C1065" s="79"/>
      <c r="R1065" s="62"/>
    </row>
    <row r="1066" spans="3:18">
      <c r="C1066" s="79"/>
      <c r="R1066" s="62"/>
    </row>
    <row r="1067" spans="3:18">
      <c r="C1067" s="79"/>
      <c r="R1067" s="62"/>
    </row>
    <row r="1068" spans="3:18">
      <c r="C1068" s="79"/>
      <c r="R1068" s="62"/>
    </row>
    <row r="1069" spans="3:18">
      <c r="C1069" s="79"/>
      <c r="R1069" s="62"/>
    </row>
    <row r="1070" spans="3:18">
      <c r="C1070" s="79"/>
      <c r="R1070" s="62"/>
    </row>
    <row r="1071" spans="3:18">
      <c r="C1071" s="79"/>
      <c r="R1071" s="62"/>
    </row>
    <row r="1072" spans="3:18">
      <c r="C1072" s="79"/>
      <c r="R1072" s="62"/>
    </row>
    <row r="1073" spans="3:19">
      <c r="C1073" s="79"/>
      <c r="R1073" s="62"/>
    </row>
    <row r="1074" spans="3:19">
      <c r="C1074" s="79"/>
      <c r="R1074" s="62"/>
    </row>
    <row r="1075" spans="3:19">
      <c r="C1075" s="79"/>
      <c r="R1075" s="62"/>
    </row>
    <row r="1076" spans="3:19">
      <c r="C1076" s="79"/>
      <c r="R1076" s="62"/>
    </row>
    <row r="1077" spans="3:19">
      <c r="C1077" s="79"/>
      <c r="R1077" s="62"/>
    </row>
    <row r="1078" spans="3:19">
      <c r="C1078" s="79"/>
      <c r="R1078" s="62"/>
    </row>
    <row r="1079" spans="3:19">
      <c r="C1079" s="79"/>
      <c r="R1079" s="62"/>
    </row>
    <row r="1080" spans="3:19">
      <c r="C1080" s="79"/>
      <c r="K1080" s="106"/>
      <c r="R1080" s="62"/>
    </row>
    <row r="1081" spans="3:19">
      <c r="C1081" s="79"/>
      <c r="K1081" s="106"/>
      <c r="R1081" s="62"/>
    </row>
    <row r="1082" spans="3:19">
      <c r="C1082" s="79"/>
      <c r="K1082" s="106"/>
      <c r="R1082" s="62"/>
    </row>
    <row r="1083" spans="3:19">
      <c r="C1083" s="79"/>
      <c r="R1083" s="62"/>
      <c r="S1083" s="94"/>
    </row>
    <row r="1084" spans="3:19">
      <c r="C1084" s="79"/>
      <c r="R1084" s="62"/>
      <c r="S1084" s="92"/>
    </row>
    <row r="1085" spans="3:19">
      <c r="C1085" s="79"/>
      <c r="R1085" s="62"/>
    </row>
    <row r="1086" spans="3:19">
      <c r="C1086" s="79"/>
      <c r="R1086" s="62"/>
    </row>
    <row r="1087" spans="3:19">
      <c r="C1087" s="79"/>
      <c r="R1087" s="62"/>
    </row>
    <row r="1088" spans="3:19">
      <c r="C1088" s="79"/>
      <c r="R1088" s="62"/>
    </row>
    <row r="1089" spans="3:19">
      <c r="C1089" s="79"/>
      <c r="R1089" s="62"/>
    </row>
    <row r="1090" spans="3:19">
      <c r="C1090" s="79"/>
      <c r="H1090" s="105"/>
      <c r="R1090" s="62"/>
    </row>
    <row r="1091" spans="3:19">
      <c r="C1091" s="79"/>
      <c r="R1091" s="62"/>
    </row>
    <row r="1092" spans="3:19">
      <c r="C1092" s="79"/>
      <c r="R1092" s="62"/>
      <c r="S1092" s="94"/>
    </row>
    <row r="1093" spans="3:19">
      <c r="C1093" s="79"/>
      <c r="R1093" s="62"/>
      <c r="S1093" s="92"/>
    </row>
    <row r="1094" spans="3:19">
      <c r="C1094" s="79"/>
      <c r="R1094" s="62"/>
    </row>
    <row r="1095" spans="3:19">
      <c r="C1095" s="79"/>
      <c r="R1095" s="62"/>
    </row>
    <row r="1096" spans="3:19">
      <c r="C1096" s="79"/>
      <c r="R1096" s="62"/>
    </row>
    <row r="1097" spans="3:19">
      <c r="C1097" s="79"/>
      <c r="R1097" s="62"/>
    </row>
    <row r="1098" spans="3:19">
      <c r="C1098" s="79"/>
      <c r="R1098" s="62"/>
    </row>
    <row r="1099" spans="3:19">
      <c r="C1099" s="79"/>
      <c r="R1099" s="62"/>
    </row>
    <row r="1100" spans="3:19">
      <c r="C1100" s="79"/>
      <c r="R1100" s="62"/>
    </row>
    <row r="1101" spans="3:19">
      <c r="C1101" s="79"/>
      <c r="R1101" s="62"/>
    </row>
    <row r="1102" spans="3:19">
      <c r="C1102" s="79"/>
      <c r="R1102" s="62"/>
    </row>
    <row r="1103" spans="3:19">
      <c r="C1103" s="79"/>
      <c r="R1103" s="62"/>
    </row>
    <row r="1104" spans="3:19">
      <c r="C1104" s="79"/>
      <c r="R1104" s="62"/>
    </row>
    <row r="1105" spans="3:18">
      <c r="C1105" s="79"/>
      <c r="R1105" s="62"/>
    </row>
    <row r="1106" spans="3:18">
      <c r="C1106" s="79"/>
      <c r="R1106" s="62"/>
    </row>
    <row r="1107" spans="3:18">
      <c r="C1107" s="79"/>
      <c r="R1107" s="62"/>
    </row>
    <row r="1108" spans="3:18">
      <c r="C1108" s="79"/>
      <c r="R1108" s="62"/>
    </row>
    <row r="1109" spans="3:18">
      <c r="C1109" s="79"/>
      <c r="R1109" s="62"/>
    </row>
    <row r="1110" spans="3:18">
      <c r="C1110" s="79"/>
      <c r="R1110" s="62"/>
    </row>
    <row r="1111" spans="3:18">
      <c r="C1111" s="79"/>
      <c r="R1111" s="62"/>
    </row>
    <row r="1112" spans="3:18">
      <c r="C1112" s="79"/>
      <c r="R1112" s="62"/>
    </row>
    <row r="1113" spans="3:18">
      <c r="C1113" s="79"/>
      <c r="R1113" s="62"/>
    </row>
    <row r="1114" spans="3:18">
      <c r="C1114" s="79"/>
      <c r="K1114" s="130"/>
      <c r="O1114" s="138"/>
      <c r="R1114" s="62"/>
    </row>
    <row r="1115" spans="3:18">
      <c r="C1115" s="79"/>
      <c r="R1115" s="62"/>
    </row>
    <row r="1116" spans="3:18">
      <c r="C1116" s="79"/>
      <c r="K1116" s="130"/>
      <c r="O1116" s="138"/>
      <c r="R1116" s="62"/>
    </row>
    <row r="1117" spans="3:18">
      <c r="C1117" s="79"/>
      <c r="R1117" s="62"/>
    </row>
    <row r="1118" spans="3:18">
      <c r="C1118" s="79"/>
      <c r="K1118" s="130"/>
      <c r="O1118" s="138"/>
      <c r="R1118" s="62"/>
    </row>
    <row r="1119" spans="3:18">
      <c r="C1119" s="79"/>
      <c r="R1119" s="62"/>
    </row>
    <row r="1120" spans="3:18">
      <c r="C1120" s="79"/>
      <c r="R1120" s="62"/>
    </row>
    <row r="1121" spans="1:21">
      <c r="C1121" s="79"/>
      <c r="R1121" s="62"/>
    </row>
    <row r="1122" spans="1:21">
      <c r="C1122" s="79"/>
      <c r="R1122" s="62"/>
    </row>
    <row r="1123" spans="1:21">
      <c r="C1123" s="79"/>
      <c r="R1123" s="62"/>
    </row>
    <row r="1124" spans="1:21">
      <c r="C1124" s="79"/>
      <c r="R1124" s="62"/>
    </row>
    <row r="1125" s="58" customFormat="1" spans="1:21">
      <c r="A1125" s="61"/>
      <c r="B1125" s="62"/>
      <c r="C1125" s="79"/>
      <c r="D1125" s="63"/>
      <c r="E1125" s="64"/>
      <c r="F1125" s="64"/>
      <c r="G1125" s="62"/>
      <c r="H1125" s="62"/>
      <c r="I1125" s="62"/>
      <c r="J1125" s="62"/>
      <c r="K1125" s="65"/>
      <c r="L1125" s="65"/>
      <c r="M1125" s="62"/>
      <c r="N1125" s="62"/>
      <c r="O1125" s="66"/>
      <c r="P1125" s="62"/>
      <c r="Q1125" s="62"/>
      <c r="R1125" s="62"/>
      <c r="S1125" s="62"/>
      <c r="T1125" s="62"/>
      <c r="U1125" s="67"/>
    </row>
    <row r="1126" s="58" customFormat="1" spans="1:21">
      <c r="A1126" s="61"/>
      <c r="B1126" s="62"/>
      <c r="C1126" s="79"/>
      <c r="D1126" s="63"/>
      <c r="E1126" s="64"/>
      <c r="F1126" s="64"/>
      <c r="G1126" s="62"/>
      <c r="H1126" s="62"/>
      <c r="I1126" s="62"/>
      <c r="J1126" s="62"/>
      <c r="K1126" s="65"/>
      <c r="L1126" s="65"/>
      <c r="M1126" s="62"/>
      <c r="N1126" s="62"/>
      <c r="O1126" s="66"/>
      <c r="P1126" s="62"/>
      <c r="Q1126" s="62"/>
      <c r="R1126" s="62"/>
      <c r="S1126" s="62"/>
      <c r="T1126" s="62"/>
      <c r="U1126" s="67"/>
    </row>
    <row r="1127" s="58" customFormat="1" spans="1:21">
      <c r="A1127" s="61"/>
      <c r="B1127" s="62"/>
      <c r="C1127" s="79"/>
      <c r="D1127" s="63"/>
      <c r="E1127" s="64"/>
      <c r="F1127" s="64"/>
      <c r="G1127" s="62"/>
      <c r="H1127" s="62"/>
      <c r="I1127" s="62"/>
      <c r="J1127" s="62"/>
      <c r="K1127" s="65"/>
      <c r="L1127" s="65"/>
      <c r="M1127" s="62"/>
      <c r="N1127" s="62"/>
      <c r="O1127" s="66"/>
      <c r="P1127" s="62"/>
      <c r="Q1127" s="62"/>
      <c r="R1127" s="62"/>
      <c r="S1127" s="62"/>
      <c r="T1127" s="62"/>
      <c r="U1127" s="67"/>
    </row>
    <row r="1128" s="58" customFormat="1" spans="1:21">
      <c r="A1128" s="61"/>
      <c r="B1128" s="62"/>
      <c r="C1128" s="79"/>
      <c r="D1128" s="63"/>
      <c r="E1128" s="64"/>
      <c r="F1128" s="64"/>
      <c r="G1128" s="62"/>
      <c r="H1128" s="62"/>
      <c r="I1128" s="62"/>
      <c r="J1128" s="62"/>
      <c r="K1128" s="65"/>
      <c r="L1128" s="65"/>
      <c r="M1128" s="62"/>
      <c r="N1128" s="62"/>
      <c r="O1128" s="66"/>
      <c r="P1128" s="62"/>
      <c r="Q1128" s="62"/>
      <c r="R1128" s="62"/>
      <c r="S1128" s="62"/>
      <c r="T1128" s="62"/>
      <c r="U1128" s="67"/>
    </row>
    <row r="1129" s="58" customFormat="1" spans="1:21">
      <c r="A1129" s="61"/>
      <c r="B1129" s="62"/>
      <c r="C1129" s="79"/>
      <c r="D1129" s="63"/>
      <c r="E1129" s="64"/>
      <c r="F1129" s="64"/>
      <c r="G1129" s="62"/>
      <c r="H1129" s="62"/>
      <c r="I1129" s="62"/>
      <c r="J1129" s="62"/>
      <c r="K1129" s="65"/>
      <c r="L1129" s="65"/>
      <c r="M1129" s="62"/>
      <c r="N1129" s="62"/>
      <c r="O1129" s="66"/>
      <c r="P1129" s="62"/>
      <c r="Q1129" s="62"/>
      <c r="R1129" s="62"/>
      <c r="S1129" s="62"/>
      <c r="T1129" s="62"/>
      <c r="U1129" s="67"/>
    </row>
    <row r="1130" s="58" customFormat="1" spans="1:21">
      <c r="A1130" s="61"/>
      <c r="B1130" s="62"/>
      <c r="C1130" s="79"/>
      <c r="D1130" s="63"/>
      <c r="E1130" s="64"/>
      <c r="F1130" s="64"/>
      <c r="G1130" s="62"/>
      <c r="H1130" s="62"/>
      <c r="I1130" s="62"/>
      <c r="J1130" s="62"/>
      <c r="K1130" s="65"/>
      <c r="L1130" s="65"/>
      <c r="M1130" s="62"/>
      <c r="N1130" s="62"/>
      <c r="O1130" s="66"/>
      <c r="P1130" s="62"/>
      <c r="Q1130" s="62"/>
      <c r="R1130" s="62"/>
      <c r="S1130" s="62"/>
      <c r="T1130" s="62"/>
      <c r="U1130" s="67"/>
    </row>
    <row r="1131" s="58" customFormat="1" spans="1:21">
      <c r="A1131" s="61"/>
      <c r="B1131" s="62"/>
      <c r="C1131" s="79"/>
      <c r="D1131" s="63"/>
      <c r="E1131" s="64"/>
      <c r="F1131" s="64"/>
      <c r="G1131" s="62"/>
      <c r="H1131" s="62"/>
      <c r="I1131" s="62"/>
      <c r="J1131" s="62"/>
      <c r="K1131" s="65"/>
      <c r="L1131" s="65"/>
      <c r="M1131" s="62"/>
      <c r="N1131" s="62"/>
      <c r="O1131" s="66"/>
      <c r="P1131" s="62"/>
      <c r="Q1131" s="62"/>
      <c r="R1131" s="62"/>
      <c r="S1131" s="62"/>
      <c r="T1131" s="62"/>
      <c r="U1131" s="67"/>
    </row>
    <row r="1132" s="58" customFormat="1" spans="1:21">
      <c r="A1132" s="61"/>
      <c r="B1132" s="62"/>
      <c r="C1132" s="79"/>
      <c r="D1132" s="63"/>
      <c r="E1132" s="64"/>
      <c r="F1132" s="64"/>
      <c r="G1132" s="62"/>
      <c r="H1132" s="62"/>
      <c r="I1132" s="62"/>
      <c r="J1132" s="62"/>
      <c r="K1132" s="65"/>
      <c r="L1132" s="65"/>
      <c r="M1132" s="62"/>
      <c r="N1132" s="62"/>
      <c r="O1132" s="66"/>
      <c r="P1132" s="62"/>
      <c r="Q1132" s="62"/>
      <c r="R1132" s="62"/>
      <c r="S1132" s="62"/>
      <c r="T1132" s="62"/>
      <c r="U1132" s="67"/>
    </row>
    <row r="1133" s="58" customFormat="1" spans="1:21">
      <c r="A1133" s="61"/>
      <c r="B1133" s="62"/>
      <c r="C1133" s="79"/>
      <c r="D1133" s="63"/>
      <c r="E1133" s="64"/>
      <c r="F1133" s="64"/>
      <c r="G1133" s="62"/>
      <c r="H1133" s="62"/>
      <c r="I1133" s="62"/>
      <c r="J1133" s="62"/>
      <c r="K1133" s="65"/>
      <c r="L1133" s="65"/>
      <c r="M1133" s="62"/>
      <c r="N1133" s="62"/>
      <c r="O1133" s="66"/>
      <c r="P1133" s="62"/>
      <c r="Q1133" s="62"/>
      <c r="R1133" s="62"/>
      <c r="S1133" s="62"/>
      <c r="T1133" s="62"/>
      <c r="U1133" s="67"/>
    </row>
    <row r="1134" s="58" customFormat="1" spans="1:21">
      <c r="A1134" s="61"/>
      <c r="B1134" s="62"/>
      <c r="C1134" s="79"/>
      <c r="D1134" s="63"/>
      <c r="E1134" s="64"/>
      <c r="F1134" s="64"/>
      <c r="G1134" s="62"/>
      <c r="H1134" s="62"/>
      <c r="I1134" s="62"/>
      <c r="J1134" s="62"/>
      <c r="K1134" s="65"/>
      <c r="L1134" s="65"/>
      <c r="M1134" s="62"/>
      <c r="N1134" s="62"/>
      <c r="O1134" s="66"/>
      <c r="P1134" s="62"/>
      <c r="Q1134" s="62"/>
      <c r="R1134" s="62"/>
      <c r="S1134" s="62"/>
      <c r="T1134" s="62"/>
      <c r="U1134" s="67"/>
    </row>
    <row r="1135" s="58" customFormat="1" spans="1:21">
      <c r="A1135" s="61"/>
      <c r="B1135" s="62"/>
      <c r="C1135" s="79"/>
      <c r="D1135" s="63"/>
      <c r="E1135" s="64"/>
      <c r="F1135" s="64"/>
      <c r="G1135" s="62"/>
      <c r="H1135" s="62"/>
      <c r="I1135" s="62"/>
      <c r="J1135" s="62"/>
      <c r="K1135" s="65"/>
      <c r="L1135" s="65"/>
      <c r="M1135" s="62"/>
      <c r="N1135" s="62"/>
      <c r="O1135" s="66"/>
      <c r="P1135" s="62"/>
      <c r="Q1135" s="62"/>
      <c r="R1135" s="62"/>
      <c r="S1135" s="62"/>
      <c r="T1135" s="62"/>
      <c r="U1135" s="67"/>
    </row>
    <row r="1136" s="58" customFormat="1" spans="1:21">
      <c r="A1136" s="61"/>
      <c r="B1136" s="62"/>
      <c r="C1136" s="79"/>
      <c r="D1136" s="63"/>
      <c r="E1136" s="64"/>
      <c r="F1136" s="64"/>
      <c r="G1136" s="62"/>
      <c r="H1136" s="62"/>
      <c r="I1136" s="62"/>
      <c r="J1136" s="62"/>
      <c r="K1136" s="65"/>
      <c r="L1136" s="65"/>
      <c r="M1136" s="62"/>
      <c r="N1136" s="62"/>
      <c r="O1136" s="66"/>
      <c r="P1136" s="62"/>
      <c r="Q1136" s="62"/>
      <c r="R1136" s="62"/>
      <c r="S1136" s="62"/>
      <c r="T1136" s="62"/>
      <c r="U1136" s="67"/>
    </row>
    <row r="1137" spans="3:19">
      <c r="C1137" s="79"/>
      <c r="R1137" s="62"/>
      <c r="S1137" s="61"/>
    </row>
    <row r="1138" spans="3:19">
      <c r="C1138" s="79"/>
      <c r="R1138" s="62"/>
      <c r="S1138" s="61"/>
    </row>
    <row r="1139" spans="3:19">
      <c r="C1139" s="79"/>
      <c r="R1139" s="62"/>
    </row>
    <row r="1140" spans="3:19">
      <c r="C1140" s="79"/>
      <c r="R1140" s="62"/>
    </row>
    <row r="1141" spans="3:19">
      <c r="C1141" s="79"/>
      <c r="R1141" s="62"/>
    </row>
    <row r="1142" spans="3:19">
      <c r="C1142" s="79"/>
      <c r="R1142" s="62"/>
    </row>
    <row r="1143" spans="3:19">
      <c r="C1143" s="79"/>
      <c r="R1143" s="62"/>
    </row>
    <row r="1144" spans="3:19">
      <c r="C1144" s="79"/>
      <c r="R1144" s="62"/>
      <c r="S1144" s="94"/>
    </row>
    <row r="1145" spans="3:19">
      <c r="C1145" s="79"/>
      <c r="S1145" s="92"/>
    </row>
    <row r="1146" spans="3:19">
      <c r="C1146" s="79"/>
      <c r="S1146" s="94"/>
    </row>
    <row r="1147" spans="3:19">
      <c r="C1147" s="79"/>
      <c r="S1147" s="92"/>
    </row>
    <row r="1148" spans="3:19">
      <c r="C1148" s="79"/>
    </row>
    <row r="1149" spans="3:19">
      <c r="C1149" s="79"/>
    </row>
    <row r="1150" spans="3:19">
      <c r="C1150" s="79"/>
    </row>
    <row r="1151" spans="3:19">
      <c r="C1151" s="79"/>
      <c r="K1151" s="106"/>
      <c r="O1151" s="107"/>
    </row>
    <row r="1152" spans="3:19">
      <c r="C1152" s="79"/>
    </row>
    <row r="1153" spans="3:19">
      <c r="C1153" s="79"/>
      <c r="S1153" s="94"/>
    </row>
    <row r="1154" spans="3:19">
      <c r="C1154" s="79"/>
      <c r="S1154" s="92"/>
    </row>
    <row r="1155" spans="3:19">
      <c r="C1155" s="79"/>
      <c r="S1155" s="94"/>
    </row>
    <row r="1156" spans="3:19">
      <c r="C1156" s="79"/>
      <c r="S1156" s="92"/>
    </row>
    <row r="1157" spans="3:19">
      <c r="C1157" s="79"/>
    </row>
    <row r="1158" spans="3:19">
      <c r="C1158" s="79"/>
    </row>
    <row r="1159" spans="3:19">
      <c r="C1159" s="79"/>
      <c r="K1159" s="106"/>
    </row>
    <row r="1160" spans="3:19">
      <c r="C1160" s="79"/>
      <c r="K1160" s="106"/>
    </row>
    <row r="1161" spans="3:19">
      <c r="C1161" s="79"/>
    </row>
    <row r="1162" spans="3:19">
      <c r="C1162" s="79"/>
    </row>
    <row r="1163" spans="3:19">
      <c r="C1163" s="79"/>
    </row>
    <row r="1164" spans="3:19">
      <c r="C1164" s="79"/>
    </row>
    <row r="1165" spans="3:19">
      <c r="C1165" s="79"/>
      <c r="K1165" s="84"/>
      <c r="O1165" s="133"/>
    </row>
    <row r="1166" spans="3:19">
      <c r="C1166" s="79"/>
      <c r="S1166" s="94"/>
    </row>
    <row r="1167" spans="3:19">
      <c r="C1167" s="79"/>
      <c r="S1167" s="92"/>
    </row>
    <row r="1168" spans="3:19">
      <c r="C1168" s="79"/>
      <c r="K1168" s="84"/>
      <c r="O1168" s="133"/>
    </row>
    <row r="1169" spans="3:15">
      <c r="C1169" s="79"/>
    </row>
    <row r="1170" spans="3:15">
      <c r="C1170" s="79"/>
    </row>
    <row r="1171" spans="3:15">
      <c r="C1171" s="79"/>
      <c r="K1171" s="106"/>
      <c r="O1171" s="107"/>
    </row>
    <row r="1172" spans="3:15">
      <c r="C1172" s="79"/>
      <c r="K1172" s="106"/>
      <c r="O1172" s="107"/>
    </row>
    <row r="1173" spans="3:15">
      <c r="C1173" s="79"/>
    </row>
    <row r="1174" spans="3:15">
      <c r="C1174" s="79"/>
    </row>
    <row r="1175" customHeight="1" spans="3:15">
      <c r="C1175" s="79"/>
    </row>
    <row r="1176" spans="3:15">
      <c r="C1176" s="79"/>
    </row>
    <row r="1177" spans="3:15">
      <c r="C1177" s="79"/>
    </row>
    <row r="1178" spans="3:15">
      <c r="C1178" s="79"/>
    </row>
    <row r="1179" spans="3:15">
      <c r="C1179" s="79"/>
    </row>
    <row r="1180" spans="3:15">
      <c r="C1180" s="79"/>
    </row>
    <row r="1181" spans="3:15">
      <c r="C1181" s="79"/>
    </row>
    <row r="1182" spans="3:15">
      <c r="C1182" s="79"/>
    </row>
    <row r="1183" spans="3:15">
      <c r="C1183" s="79"/>
    </row>
    <row r="1184" spans="3:15">
      <c r="C1184" s="79"/>
    </row>
    <row r="1185" spans="3:19">
      <c r="C1185" s="79"/>
      <c r="S1185" s="94"/>
    </row>
    <row r="1186" spans="3:19">
      <c r="C1186" s="79"/>
      <c r="S1186" s="92"/>
    </row>
    <row r="1187" spans="3:19">
      <c r="C1187" s="79"/>
      <c r="S1187" s="94"/>
    </row>
    <row r="1188" spans="3:19">
      <c r="C1188" s="79"/>
      <c r="S1188" s="92"/>
    </row>
    <row r="1189" spans="3:19">
      <c r="C1189" s="79"/>
      <c r="S1189" s="94"/>
    </row>
    <row r="1190" spans="3:19">
      <c r="C1190" s="79"/>
      <c r="S1190" s="92"/>
    </row>
    <row r="1191" spans="3:19">
      <c r="C1191" s="79"/>
    </row>
    <row r="1192" spans="3:19">
      <c r="C1192" s="79"/>
    </row>
    <row r="1193" spans="3:19">
      <c r="C1193" s="79"/>
    </row>
    <row r="1194" spans="3:19">
      <c r="C1194" s="79"/>
    </row>
    <row r="1195" spans="3:19">
      <c r="C1195" s="79"/>
    </row>
    <row r="1196" spans="3:19">
      <c r="C1196" s="79"/>
    </row>
    <row r="1197" spans="3:19">
      <c r="C1197" s="79"/>
    </row>
    <row r="1198" spans="3:19">
      <c r="C1198" s="79"/>
    </row>
    <row r="1199" spans="3:19">
      <c r="C1199" s="79"/>
    </row>
    <row r="1200" spans="3:19">
      <c r="C1200" s="79"/>
    </row>
    <row r="1201" spans="3:19">
      <c r="C1201" s="79"/>
    </row>
    <row r="1202" spans="3:19">
      <c r="C1202" s="79"/>
    </row>
    <row r="1203" spans="3:19">
      <c r="C1203" s="79"/>
    </row>
    <row r="1204" spans="3:19">
      <c r="C1204" s="79"/>
    </row>
    <row r="1205" spans="3:19">
      <c r="C1205" s="79"/>
    </row>
    <row r="1206" spans="3:19">
      <c r="C1206" s="79"/>
    </row>
    <row r="1207" spans="3:19">
      <c r="C1207" s="79"/>
    </row>
    <row r="1208" spans="3:19">
      <c r="C1208" s="79"/>
    </row>
    <row r="1209" spans="3:19">
      <c r="C1209" s="79"/>
    </row>
    <row r="1210" spans="3:19">
      <c r="C1210" s="79"/>
    </row>
    <row r="1211" spans="3:19">
      <c r="C1211" s="79"/>
    </row>
    <row r="1212" spans="3:19">
      <c r="C1212" s="79"/>
      <c r="K1212" s="106"/>
      <c r="O1212" s="107"/>
    </row>
    <row r="1213" spans="3:19">
      <c r="C1213" s="79"/>
    </row>
    <row r="1214" spans="3:19">
      <c r="C1214" s="79"/>
    </row>
    <row r="1215" spans="3:19">
      <c r="C1215" s="79"/>
      <c r="S1215" s="94"/>
    </row>
    <row r="1216" spans="3:19">
      <c r="C1216" s="79"/>
      <c r="S1216" s="92"/>
    </row>
    <row r="1217" spans="3:19">
      <c r="C1217" s="79"/>
      <c r="S1217" s="94"/>
    </row>
    <row r="1218" spans="3:19">
      <c r="C1218" s="79"/>
      <c r="S1218" s="92"/>
    </row>
    <row r="1219" spans="3:19">
      <c r="C1219" s="79"/>
      <c r="S1219" s="94"/>
    </row>
    <row r="1220" spans="3:19">
      <c r="C1220" s="79"/>
      <c r="S1220" s="92"/>
    </row>
    <row r="1221" spans="3:19">
      <c r="C1221" s="79"/>
      <c r="S1221" s="94"/>
    </row>
    <row r="1222" spans="3:19">
      <c r="C1222" s="79"/>
      <c r="S1222" s="92"/>
    </row>
    <row r="1223" spans="3:19">
      <c r="C1223" s="79"/>
      <c r="S1223" s="94"/>
    </row>
    <row r="1224" spans="3:19">
      <c r="C1224" s="79"/>
      <c r="S1224" s="92"/>
    </row>
    <row r="1225" spans="3:19">
      <c r="C1225" s="79"/>
      <c r="S1225" s="94"/>
    </row>
    <row r="1226" spans="3:19">
      <c r="C1226" s="79"/>
      <c r="S1226" s="92"/>
    </row>
    <row r="1227" spans="3:19">
      <c r="C1227" s="79"/>
      <c r="S1227" s="94"/>
    </row>
    <row r="1228" spans="3:19">
      <c r="C1228" s="79"/>
      <c r="S1228" s="92"/>
    </row>
    <row r="1229" spans="3:19">
      <c r="C1229" s="79"/>
    </row>
    <row r="1230" spans="3:19">
      <c r="C1230" s="79"/>
      <c r="S1230" s="94"/>
    </row>
    <row r="1231" spans="3:19">
      <c r="C1231" s="79"/>
      <c r="S1231" s="92"/>
    </row>
    <row r="1232" spans="3:19">
      <c r="C1232" s="79"/>
    </row>
    <row r="1233" spans="3:19">
      <c r="C1233" s="79"/>
    </row>
    <row r="1234" spans="3:19">
      <c r="C1234" s="79"/>
      <c r="K1234" s="106"/>
      <c r="O1234" s="133"/>
    </row>
    <row r="1235" spans="3:19">
      <c r="C1235" s="79"/>
    </row>
    <row r="1236" spans="3:19">
      <c r="C1236" s="79"/>
    </row>
    <row r="1237" spans="3:19">
      <c r="C1237" s="79"/>
      <c r="K1237" s="106"/>
      <c r="O1237" s="133"/>
    </row>
    <row r="1238" spans="3:19">
      <c r="C1238" s="79"/>
    </row>
    <row r="1239" spans="3:19">
      <c r="C1239" s="79"/>
    </row>
    <row r="1240" spans="3:19">
      <c r="C1240" s="79"/>
    </row>
    <row r="1241" spans="3:19">
      <c r="C1241" s="79"/>
    </row>
    <row r="1242" spans="3:19">
      <c r="C1242" s="79"/>
    </row>
    <row r="1243" spans="3:19">
      <c r="C1243" s="79"/>
    </row>
    <row r="1244" spans="3:19">
      <c r="C1244" s="79"/>
      <c r="S1244" s="94"/>
    </row>
    <row r="1245" spans="3:19">
      <c r="C1245" s="79"/>
      <c r="S1245" s="92"/>
    </row>
    <row r="1246" spans="3:19">
      <c r="C1246" s="79"/>
    </row>
    <row r="1247" spans="3:19">
      <c r="C1247" s="79"/>
      <c r="H1247" s="61"/>
      <c r="I1247" s="61"/>
      <c r="K1247" s="106"/>
      <c r="O1247" s="107"/>
    </row>
    <row r="1248" spans="3:19">
      <c r="C1248" s="79"/>
      <c r="I1248" s="61"/>
    </row>
    <row r="1249" spans="1:21">
      <c r="C1249" s="79"/>
    </row>
    <row r="1250" spans="1:21">
      <c r="C1250" s="79"/>
    </row>
    <row r="1251" spans="1:21">
      <c r="C1251" s="79"/>
      <c r="S1251" s="94"/>
    </row>
    <row r="1252" spans="1:21">
      <c r="C1252" s="79"/>
      <c r="S1252" s="92"/>
    </row>
    <row r="1253" spans="1:21">
      <c r="C1253" s="79"/>
      <c r="K1253" s="106"/>
      <c r="O1253" s="133"/>
    </row>
    <row r="1254" spans="1:21">
      <c r="C1254" s="79"/>
      <c r="K1254" s="106"/>
      <c r="O1254" s="133"/>
    </row>
    <row r="1255" spans="1:21">
      <c r="C1255" s="79"/>
    </row>
    <row r="1256" spans="1:21">
      <c r="C1256" s="79"/>
    </row>
    <row r="1257" spans="1:21">
      <c r="C1257" s="79"/>
    </row>
    <row r="1258" spans="1:21">
      <c r="C1258" s="79"/>
    </row>
    <row r="1259" spans="1:21">
      <c r="C1259" s="79"/>
      <c r="G1259" s="105"/>
    </row>
    <row r="1260" spans="1:21">
      <c r="C1260" s="79"/>
      <c r="S1260" s="94"/>
    </row>
    <row r="1261" spans="1:21">
      <c r="C1261" s="79"/>
      <c r="S1261" s="92"/>
    </row>
    <row r="1262" spans="1:21">
      <c r="C1262" s="79"/>
    </row>
    <row r="1263" s="60" customFormat="1" spans="1:21">
      <c r="A1263" s="61"/>
      <c r="B1263" s="62"/>
      <c r="C1263" s="79"/>
      <c r="D1263" s="63"/>
      <c r="E1263" s="64"/>
      <c r="F1263" s="64"/>
      <c r="G1263" s="62"/>
      <c r="H1263" s="62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12"/>
      <c r="U1263" s="139"/>
    </row>
    <row r="1264" spans="1:21">
      <c r="C1264" s="79"/>
      <c r="K1264" s="62"/>
      <c r="L1264" s="62"/>
      <c r="O1264" s="62"/>
      <c r="R1264" s="62"/>
    </row>
    <row r="1265" spans="1:21">
      <c r="C1265" s="79"/>
      <c r="K1265" s="62"/>
      <c r="L1265" s="62"/>
    </row>
    <row r="1266" spans="1:21">
      <c r="C1266" s="79"/>
      <c r="L1266" s="62"/>
    </row>
    <row r="1267" spans="1:21">
      <c r="C1267" s="79"/>
      <c r="L1267" s="62"/>
    </row>
    <row r="1268" spans="1:21">
      <c r="C1268" s="79"/>
      <c r="L1268" s="62"/>
    </row>
    <row r="1269" spans="1:21">
      <c r="C1269" s="79"/>
      <c r="L1269" s="62"/>
    </row>
    <row r="1270" spans="1:21">
      <c r="C1270" s="79"/>
      <c r="L1270" s="62"/>
    </row>
    <row r="1271" spans="1:21">
      <c r="C1271" s="79"/>
      <c r="L1271" s="62"/>
    </row>
    <row r="1272" spans="1:21">
      <c r="C1272" s="79"/>
      <c r="L1272" s="62"/>
    </row>
    <row r="1273" spans="1:21">
      <c r="C1273" s="79"/>
      <c r="L1273" s="62"/>
    </row>
    <row r="1274" spans="1:21">
      <c r="C1274" s="79"/>
      <c r="L1274" s="62"/>
    </row>
    <row r="1275" s="60" customFormat="1" spans="1:21">
      <c r="A1275" s="61"/>
      <c r="B1275" s="62"/>
      <c r="C1275" s="79"/>
      <c r="D1275" s="63"/>
      <c r="E1275" s="64"/>
      <c r="F1275" s="64"/>
      <c r="G1275" s="62"/>
      <c r="H1275" s="62"/>
      <c r="I1275" s="62"/>
      <c r="J1275" s="62"/>
      <c r="K1275" s="65"/>
      <c r="L1275" s="62"/>
      <c r="M1275" s="62"/>
      <c r="N1275" s="62"/>
      <c r="O1275" s="66"/>
      <c r="P1275" s="62"/>
      <c r="Q1275" s="62"/>
      <c r="R1275" s="84"/>
      <c r="S1275" s="62"/>
      <c r="T1275" s="12"/>
      <c r="U1275" s="139"/>
    </row>
    <row r="1276" spans="1:21">
      <c r="C1276" s="79"/>
      <c r="L1276" s="62"/>
    </row>
    <row r="1277" spans="1:21">
      <c r="C1277" s="79"/>
      <c r="L1277" s="62"/>
    </row>
    <row r="1278" spans="1:21">
      <c r="C1278" s="79"/>
      <c r="L1278" s="62"/>
    </row>
    <row r="1279" spans="1:21">
      <c r="C1279" s="79"/>
      <c r="L1279" s="62"/>
    </row>
    <row r="1280" spans="1:21">
      <c r="C1280" s="79"/>
      <c r="L1280" s="62"/>
    </row>
    <row r="1281" spans="3:19">
      <c r="C1281" s="79"/>
      <c r="L1281" s="62"/>
    </row>
    <row r="1282" spans="3:19">
      <c r="C1282" s="79"/>
      <c r="L1282" s="62"/>
      <c r="O1282" s="61"/>
    </row>
    <row r="1283" spans="3:19">
      <c r="C1283" s="79"/>
      <c r="L1283" s="62"/>
      <c r="O1283" s="61"/>
    </row>
    <row r="1284" spans="3:19">
      <c r="C1284" s="79"/>
      <c r="L1284" s="62"/>
    </row>
    <row r="1285" spans="3:19">
      <c r="C1285" s="79"/>
      <c r="L1285" s="62"/>
    </row>
    <row r="1286" spans="3:19">
      <c r="C1286" s="79"/>
      <c r="L1286" s="62"/>
    </row>
    <row r="1287" spans="3:19">
      <c r="C1287" s="79"/>
      <c r="L1287" s="62"/>
    </row>
    <row r="1288" spans="3:19">
      <c r="C1288" s="79"/>
      <c r="L1288" s="62"/>
      <c r="S1288" s="94"/>
    </row>
    <row r="1289" spans="3:19">
      <c r="C1289" s="79"/>
      <c r="L1289" s="62"/>
      <c r="S1289" s="92"/>
    </row>
    <row r="1290" spans="3:19">
      <c r="C1290" s="79"/>
      <c r="L1290" s="62"/>
    </row>
    <row r="1291" spans="3:19">
      <c r="C1291" s="79"/>
      <c r="L1291" s="62"/>
    </row>
    <row r="1292" spans="3:19">
      <c r="C1292" s="79"/>
      <c r="L1292" s="62"/>
    </row>
    <row r="1293" spans="3:19">
      <c r="C1293" s="79"/>
      <c r="L1293" s="62"/>
    </row>
    <row r="1294" spans="3:19">
      <c r="C1294" s="79"/>
      <c r="L1294" s="62"/>
    </row>
    <row r="1295" spans="3:19">
      <c r="C1295" s="79"/>
      <c r="L1295" s="62"/>
    </row>
    <row r="1296" spans="3:19">
      <c r="C1296" s="79"/>
      <c r="L1296" s="62"/>
    </row>
    <row r="1297" spans="1:21">
      <c r="C1297" s="79"/>
      <c r="L1297" s="62"/>
    </row>
    <row r="1298" spans="1:21">
      <c r="B1298" s="12"/>
      <c r="C1298" s="79"/>
      <c r="D1298" s="140"/>
      <c r="E1298" s="141"/>
      <c r="F1298" s="141"/>
      <c r="G1298" s="12"/>
      <c r="H1298" s="12"/>
      <c r="I1298" s="12"/>
      <c r="J1298" s="12"/>
      <c r="K1298" s="130"/>
      <c r="L1298" s="12"/>
      <c r="M1298" s="12"/>
      <c r="N1298" s="12"/>
      <c r="O1298" s="133"/>
      <c r="P1298" s="12"/>
      <c r="Q1298" s="12"/>
      <c r="R1298" s="84"/>
      <c r="S1298" s="12"/>
    </row>
    <row r="1299" spans="1:21">
      <c r="C1299" s="79"/>
      <c r="L1299" s="62"/>
    </row>
    <row r="1300" spans="1:21">
      <c r="C1300" s="79"/>
      <c r="L1300" s="62"/>
    </row>
    <row r="1301" spans="1:21">
      <c r="C1301" s="79"/>
      <c r="L1301" s="62"/>
    </row>
    <row r="1302" spans="1:21">
      <c r="C1302" s="79"/>
      <c r="L1302" s="62"/>
    </row>
    <row r="1303" spans="1:21">
      <c r="C1303" s="79"/>
      <c r="L1303" s="62"/>
    </row>
    <row r="1304" spans="1:21">
      <c r="C1304" s="79"/>
      <c r="L1304" s="62"/>
    </row>
    <row r="1305" s="60" customFormat="1" spans="1:21">
      <c r="A1305" s="61"/>
      <c r="B1305" s="62"/>
      <c r="C1305" s="79"/>
      <c r="D1305" s="63"/>
      <c r="E1305" s="64"/>
      <c r="F1305" s="64"/>
      <c r="G1305" s="62"/>
      <c r="H1305" s="62"/>
      <c r="I1305" s="62"/>
      <c r="J1305" s="62"/>
      <c r="K1305" s="65"/>
      <c r="L1305" s="62"/>
      <c r="M1305" s="62"/>
      <c r="N1305" s="62"/>
      <c r="O1305" s="66"/>
      <c r="P1305" s="62"/>
      <c r="Q1305" s="62"/>
      <c r="R1305" s="65"/>
      <c r="S1305" s="62"/>
      <c r="T1305" s="12"/>
      <c r="U1305" s="139"/>
    </row>
    <row r="1306" spans="1:21">
      <c r="C1306" s="79"/>
      <c r="L1306" s="62"/>
    </row>
    <row r="1307" spans="1:21">
      <c r="C1307" s="79"/>
      <c r="L1307" s="62"/>
    </row>
    <row r="1308" spans="1:21">
      <c r="C1308" s="79"/>
      <c r="L1308" s="62"/>
    </row>
    <row r="1309" spans="1:21">
      <c r="C1309" s="79"/>
      <c r="L1309" s="62"/>
    </row>
    <row r="1310" spans="1:21">
      <c r="C1310" s="79"/>
      <c r="I1310" s="142"/>
      <c r="L1310" s="62"/>
    </row>
    <row r="1311" spans="1:21">
      <c r="C1311" s="79"/>
      <c r="L1311" s="62"/>
    </row>
    <row r="1312" spans="1:21">
      <c r="C1312" s="79"/>
      <c r="L1312" s="62"/>
    </row>
    <row r="1313" spans="3:19">
      <c r="C1313" s="79"/>
      <c r="K1313" s="106"/>
      <c r="L1313" s="62"/>
      <c r="O1313" s="133"/>
    </row>
    <row r="1314" spans="3:19">
      <c r="C1314" s="79"/>
      <c r="K1314" s="106"/>
      <c r="L1314" s="62"/>
      <c r="O1314" s="133"/>
    </row>
    <row r="1315" spans="3:19">
      <c r="C1315" s="79"/>
      <c r="K1315" s="106"/>
      <c r="L1315" s="62"/>
      <c r="O1315" s="133"/>
    </row>
    <row r="1316" spans="3:19">
      <c r="C1316" s="79"/>
      <c r="K1316" s="106"/>
      <c r="L1316" s="62"/>
      <c r="O1316" s="133"/>
    </row>
    <row r="1317" spans="3:19">
      <c r="C1317" s="79"/>
      <c r="L1317" s="62"/>
    </row>
    <row r="1318" spans="3:19">
      <c r="C1318" s="79"/>
      <c r="L1318" s="62"/>
    </row>
    <row r="1319" spans="3:19">
      <c r="C1319" s="79"/>
      <c r="L1319" s="62"/>
    </row>
    <row r="1320" spans="3:19">
      <c r="C1320" s="79"/>
      <c r="L1320" s="62"/>
    </row>
    <row r="1321" spans="3:19">
      <c r="C1321" s="79"/>
      <c r="L1321" s="62"/>
      <c r="S1321" s="94"/>
    </row>
    <row r="1322" spans="3:19">
      <c r="C1322" s="79"/>
      <c r="L1322" s="62"/>
      <c r="S1322" s="92"/>
    </row>
    <row r="1323" spans="3:19">
      <c r="C1323" s="79"/>
      <c r="L1323" s="62"/>
    </row>
    <row r="1324" spans="3:19">
      <c r="C1324" s="79"/>
      <c r="L1324" s="62"/>
    </row>
    <row r="1325" spans="3:19">
      <c r="C1325" s="79"/>
      <c r="L1325" s="62"/>
    </row>
    <row r="1326" spans="3:19">
      <c r="C1326" s="79"/>
      <c r="L1326" s="62"/>
    </row>
    <row r="1327" spans="3:19">
      <c r="C1327" s="79"/>
      <c r="L1327" s="62"/>
    </row>
    <row r="1328" spans="3:19">
      <c r="C1328" s="79"/>
      <c r="L1328" s="62"/>
    </row>
    <row r="1329" spans="3:15">
      <c r="C1329" s="79"/>
      <c r="L1329" s="62"/>
    </row>
    <row r="1330" spans="3:15">
      <c r="C1330" s="79"/>
      <c r="L1330" s="62"/>
    </row>
    <row r="1331" spans="3:15">
      <c r="C1331" s="79"/>
      <c r="L1331" s="62"/>
    </row>
    <row r="1332" spans="3:15">
      <c r="C1332" s="79"/>
      <c r="L1332" s="62"/>
    </row>
    <row r="1333" spans="3:15">
      <c r="C1333" s="79"/>
      <c r="L1333" s="62"/>
    </row>
    <row r="1334" spans="3:15">
      <c r="C1334" s="79"/>
      <c r="L1334" s="62"/>
    </row>
    <row r="1335" spans="3:15">
      <c r="C1335" s="79"/>
      <c r="H1335" s="108"/>
      <c r="L1335" s="62"/>
    </row>
    <row r="1336" spans="3:15">
      <c r="C1336" s="79"/>
      <c r="L1336" s="62"/>
    </row>
    <row r="1337" spans="3:15">
      <c r="C1337" s="79"/>
      <c r="L1337" s="62"/>
    </row>
    <row r="1338" spans="3:15">
      <c r="C1338" s="79"/>
      <c r="L1338" s="62"/>
    </row>
    <row r="1339" spans="3:15">
      <c r="C1339" s="79"/>
      <c r="L1339" s="62"/>
    </row>
    <row r="1340" spans="3:15">
      <c r="C1340" s="79"/>
      <c r="K1340" s="106"/>
      <c r="L1340" s="62"/>
      <c r="O1340" s="133"/>
    </row>
    <row r="1341" spans="3:15">
      <c r="C1341" s="79"/>
      <c r="L1341" s="62"/>
    </row>
    <row r="1342" spans="3:15">
      <c r="C1342" s="79"/>
      <c r="L1342" s="62"/>
    </row>
    <row r="1343" spans="3:15">
      <c r="C1343" s="79"/>
      <c r="L1343" s="62"/>
    </row>
    <row r="1344" spans="3:15">
      <c r="C1344" s="79"/>
      <c r="L1344" s="62"/>
    </row>
    <row r="1345" spans="2:19">
      <c r="C1345" s="79"/>
      <c r="K1345" s="106"/>
      <c r="L1345" s="62"/>
    </row>
    <row r="1346" spans="2:19">
      <c r="C1346" s="79"/>
      <c r="L1346" s="62"/>
    </row>
    <row r="1347" spans="2:19">
      <c r="C1347" s="79"/>
      <c r="H1347" s="90"/>
      <c r="I1347" s="125"/>
      <c r="L1347" s="62"/>
    </row>
    <row r="1348" spans="2:19">
      <c r="C1348" s="79"/>
      <c r="K1348" s="106"/>
      <c r="L1348" s="62"/>
    </row>
    <row r="1349" spans="2:19">
      <c r="C1349" s="79"/>
      <c r="L1349" s="62"/>
    </row>
    <row r="1350" spans="2:19">
      <c r="C1350" s="79"/>
      <c r="L1350" s="62"/>
    </row>
    <row r="1351" spans="2:19">
      <c r="C1351" s="79"/>
      <c r="L1351" s="62"/>
    </row>
    <row r="1352" spans="2:19">
      <c r="C1352" s="79"/>
      <c r="L1352" s="62"/>
    </row>
    <row r="1353" spans="2:19">
      <c r="C1353" s="79"/>
      <c r="L1353" s="62"/>
    </row>
    <row r="1354" spans="2:19">
      <c r="C1354" s="79"/>
      <c r="L1354" s="62"/>
    </row>
    <row r="1355" ht="15" spans="2:19">
      <c r="B1355" s="143"/>
      <c r="C1355" s="79"/>
      <c r="E1355" s="143"/>
      <c r="F1355" s="143"/>
      <c r="G1355" s="143"/>
      <c r="H1355" s="143"/>
      <c r="I1355" s="143"/>
      <c r="J1355" s="143"/>
      <c r="K1355" s="143"/>
      <c r="L1355" s="143"/>
      <c r="M1355" s="143"/>
      <c r="O1355" s="143"/>
      <c r="P1355" s="143"/>
      <c r="Q1355" s="143"/>
      <c r="R1355" s="143"/>
      <c r="S1355" s="144"/>
    </row>
    <row r="1356" ht="15" spans="2:19">
      <c r="B1356" s="143"/>
      <c r="C1356" s="79"/>
      <c r="E1356" s="143"/>
      <c r="F1356" s="143"/>
      <c r="G1356" s="143"/>
      <c r="H1356" s="143"/>
      <c r="I1356" s="143"/>
      <c r="J1356" s="143"/>
      <c r="K1356" s="143"/>
      <c r="L1356" s="143"/>
      <c r="M1356" s="143"/>
      <c r="O1356" s="143"/>
      <c r="P1356" s="143"/>
      <c r="Q1356" s="143"/>
      <c r="R1356" s="143"/>
      <c r="S1356" s="144"/>
    </row>
    <row r="1357" ht="15" spans="2:19">
      <c r="B1357" s="143"/>
      <c r="C1357" s="79"/>
      <c r="E1357" s="143"/>
      <c r="F1357" s="143"/>
      <c r="G1357" s="143"/>
      <c r="H1357" s="143"/>
      <c r="I1357" s="143"/>
      <c r="J1357" s="143"/>
      <c r="K1357" s="143"/>
      <c r="L1357" s="143"/>
      <c r="M1357" s="143"/>
      <c r="O1357" s="143"/>
      <c r="P1357" s="143"/>
      <c r="Q1357" s="143"/>
      <c r="R1357" s="143"/>
      <c r="S1357" s="144"/>
    </row>
    <row r="1358" ht="15" spans="2:19">
      <c r="B1358" s="143"/>
      <c r="C1358" s="79"/>
      <c r="E1358" s="143"/>
      <c r="F1358" s="143"/>
      <c r="G1358" s="143"/>
      <c r="H1358" s="143"/>
      <c r="I1358" s="143"/>
      <c r="J1358" s="143"/>
      <c r="K1358" s="143"/>
      <c r="L1358" s="143"/>
      <c r="M1358" s="143"/>
      <c r="O1358" s="143"/>
      <c r="P1358" s="143"/>
      <c r="Q1358" s="143"/>
      <c r="R1358" s="143"/>
      <c r="S1358" s="144"/>
    </row>
    <row r="1359" ht="15" spans="2:19">
      <c r="B1359" s="143"/>
      <c r="C1359" s="79"/>
      <c r="E1359" s="143"/>
      <c r="F1359" s="143"/>
      <c r="G1359" s="143"/>
      <c r="H1359" s="143"/>
      <c r="I1359" s="143"/>
      <c r="J1359" s="143"/>
      <c r="K1359" s="143"/>
      <c r="L1359" s="143"/>
      <c r="M1359" s="143"/>
      <c r="O1359" s="143"/>
      <c r="P1359" s="143"/>
      <c r="Q1359" s="143"/>
      <c r="R1359" s="143"/>
      <c r="S1359" s="144"/>
    </row>
    <row r="1360" ht="15" spans="2:19">
      <c r="B1360" s="143"/>
      <c r="C1360" s="79"/>
      <c r="E1360" s="143"/>
      <c r="F1360" s="143"/>
      <c r="G1360" s="143"/>
      <c r="H1360" s="143"/>
      <c r="I1360" s="143"/>
      <c r="J1360" s="143"/>
      <c r="K1360" s="143"/>
      <c r="L1360" s="143"/>
      <c r="M1360" s="143"/>
      <c r="O1360" s="143"/>
      <c r="P1360" s="143"/>
      <c r="Q1360" s="143"/>
      <c r="R1360" s="143"/>
      <c r="S1360" s="144"/>
    </row>
    <row r="1361" ht="15" spans="2:19">
      <c r="B1361" s="143"/>
      <c r="C1361" s="79"/>
      <c r="E1361" s="143"/>
      <c r="F1361" s="143"/>
      <c r="G1361" s="143"/>
      <c r="H1361" s="143"/>
      <c r="I1361" s="143"/>
      <c r="J1361" s="143"/>
      <c r="K1361" s="143"/>
      <c r="L1361" s="143"/>
      <c r="M1361" s="143"/>
      <c r="O1361" s="143"/>
      <c r="P1361" s="143"/>
      <c r="Q1361" s="143"/>
      <c r="R1361" s="143"/>
      <c r="S1361" s="144"/>
    </row>
    <row r="1362" ht="15" spans="2:19">
      <c r="B1362" s="143"/>
      <c r="C1362" s="79"/>
      <c r="E1362" s="143"/>
      <c r="F1362" s="143"/>
      <c r="G1362" s="143"/>
      <c r="H1362" s="143"/>
      <c r="I1362" s="143"/>
      <c r="J1362" s="143"/>
      <c r="K1362" s="143"/>
      <c r="L1362" s="143"/>
      <c r="M1362" s="143"/>
      <c r="O1362" s="143"/>
      <c r="P1362" s="143"/>
      <c r="Q1362" s="143"/>
      <c r="R1362" s="143"/>
      <c r="S1362" s="144"/>
    </row>
    <row r="1363" ht="15" spans="2:19">
      <c r="B1363" s="143"/>
      <c r="C1363" s="79"/>
      <c r="E1363" s="143"/>
      <c r="F1363" s="143"/>
      <c r="G1363" s="143"/>
      <c r="H1363" s="143"/>
      <c r="I1363" s="143"/>
      <c r="J1363" s="143"/>
      <c r="K1363" s="143"/>
      <c r="L1363" s="143"/>
      <c r="M1363" s="143"/>
      <c r="O1363" s="143"/>
      <c r="P1363" s="143"/>
      <c r="Q1363" s="143"/>
      <c r="R1363" s="143"/>
      <c r="S1363" s="144"/>
    </row>
    <row r="1364" ht="15" spans="2:19">
      <c r="B1364" s="143"/>
      <c r="C1364" s="79"/>
      <c r="E1364" s="143"/>
      <c r="F1364" s="143"/>
      <c r="G1364" s="143"/>
      <c r="H1364" s="143"/>
      <c r="I1364" s="143"/>
      <c r="J1364" s="143"/>
      <c r="K1364" s="143"/>
      <c r="L1364" s="143"/>
      <c r="M1364" s="143"/>
      <c r="O1364" s="143"/>
      <c r="P1364" s="143"/>
      <c r="Q1364" s="143"/>
      <c r="R1364" s="143"/>
      <c r="S1364" s="144"/>
    </row>
    <row r="1365" ht="15" spans="2:19">
      <c r="B1365" s="143"/>
      <c r="C1365" s="79"/>
      <c r="E1365" s="143"/>
      <c r="F1365" s="143"/>
      <c r="G1365" s="143"/>
      <c r="H1365" s="143"/>
      <c r="I1365" s="143"/>
      <c r="J1365" s="143"/>
      <c r="K1365" s="143"/>
      <c r="L1365" s="143"/>
      <c r="M1365" s="143"/>
      <c r="O1365" s="143"/>
      <c r="P1365" s="143"/>
      <c r="Q1365" s="143"/>
      <c r="R1365" s="143"/>
      <c r="S1365" s="144"/>
    </row>
    <row r="1366" ht="15" spans="2:19">
      <c r="B1366" s="143"/>
      <c r="C1366" s="79"/>
      <c r="E1366" s="143"/>
      <c r="F1366" s="143"/>
      <c r="G1366" s="143"/>
      <c r="H1366" s="143"/>
      <c r="I1366" s="143"/>
      <c r="J1366" s="143"/>
      <c r="K1366" s="143"/>
      <c r="L1366" s="143"/>
      <c r="M1366" s="143"/>
      <c r="O1366" s="143"/>
      <c r="P1366" s="143"/>
      <c r="Q1366" s="143"/>
      <c r="R1366" s="143"/>
      <c r="S1366" s="144"/>
    </row>
    <row r="1367" ht="15" spans="2:19">
      <c r="B1367" s="143"/>
      <c r="C1367" s="79"/>
      <c r="E1367" s="143"/>
      <c r="F1367" s="143"/>
      <c r="G1367" s="143"/>
      <c r="H1367" s="143"/>
      <c r="I1367" s="143"/>
      <c r="J1367" s="143"/>
      <c r="K1367" s="143"/>
      <c r="L1367" s="143"/>
      <c r="M1367" s="143"/>
      <c r="O1367" s="143"/>
      <c r="P1367" s="143"/>
      <c r="Q1367" s="143"/>
      <c r="R1367" s="143"/>
      <c r="S1367" s="144"/>
    </row>
    <row r="1368" ht="15" spans="2:19">
      <c r="B1368" s="143"/>
      <c r="C1368" s="79"/>
      <c r="E1368" s="143"/>
      <c r="F1368" s="143"/>
      <c r="G1368" s="143"/>
      <c r="H1368" s="143"/>
      <c r="I1368" s="143"/>
      <c r="J1368" s="143"/>
      <c r="K1368" s="143"/>
      <c r="L1368" s="143"/>
      <c r="M1368" s="143"/>
      <c r="O1368" s="143"/>
      <c r="P1368" s="143"/>
      <c r="Q1368" s="143"/>
      <c r="R1368" s="143"/>
      <c r="S1368" s="144"/>
    </row>
    <row r="1369" ht="15" spans="2:19">
      <c r="B1369" s="143"/>
      <c r="C1369" s="79"/>
      <c r="E1369" s="143"/>
      <c r="F1369" s="143"/>
      <c r="G1369" s="143"/>
      <c r="H1369" s="143"/>
      <c r="I1369" s="143"/>
      <c r="J1369" s="143"/>
      <c r="K1369" s="143"/>
      <c r="L1369" s="143"/>
      <c r="M1369" s="143"/>
      <c r="O1369" s="143"/>
      <c r="P1369" s="143"/>
      <c r="Q1369" s="143"/>
      <c r="R1369" s="143"/>
      <c r="S1369" s="144"/>
    </row>
    <row r="1370" ht="15" spans="2:19">
      <c r="B1370" s="143"/>
      <c r="C1370" s="79"/>
      <c r="E1370" s="143"/>
      <c r="F1370" s="143"/>
      <c r="G1370" s="143"/>
      <c r="H1370" s="143"/>
      <c r="I1370" s="143"/>
      <c r="J1370" s="143"/>
      <c r="K1370" s="143"/>
      <c r="L1370" s="143"/>
      <c r="M1370" s="143"/>
      <c r="O1370" s="143"/>
      <c r="P1370" s="143"/>
      <c r="Q1370" s="143"/>
      <c r="R1370" s="143"/>
      <c r="S1370" s="144"/>
    </row>
    <row r="1371" ht="15" spans="2:19">
      <c r="B1371" s="143"/>
      <c r="C1371" s="79"/>
      <c r="E1371" s="143"/>
      <c r="F1371" s="143"/>
      <c r="G1371" s="143"/>
      <c r="H1371" s="143"/>
      <c r="I1371" s="145"/>
      <c r="J1371" s="143"/>
      <c r="K1371" s="143"/>
      <c r="L1371" s="143"/>
      <c r="M1371" s="143"/>
      <c r="O1371" s="143"/>
      <c r="P1371" s="143"/>
      <c r="Q1371" s="143"/>
      <c r="R1371" s="145"/>
      <c r="S1371" s="144"/>
    </row>
    <row r="1372" ht="15" spans="2:19">
      <c r="B1372" s="143"/>
      <c r="C1372" s="79"/>
      <c r="E1372" s="143"/>
      <c r="F1372" s="143"/>
      <c r="G1372" s="143"/>
      <c r="H1372" s="143"/>
      <c r="J1372" s="143"/>
      <c r="K1372" s="143"/>
      <c r="L1372" s="143"/>
      <c r="M1372" s="143"/>
      <c r="P1372" s="143"/>
      <c r="Q1372" s="143"/>
      <c r="S1372" s="94"/>
    </row>
    <row r="1373" ht="15" spans="2:19">
      <c r="B1373" s="143"/>
      <c r="C1373" s="79"/>
      <c r="E1373" s="143"/>
      <c r="F1373" s="143"/>
      <c r="J1373" s="143"/>
      <c r="L1373" s="143"/>
      <c r="M1373" s="143"/>
    </row>
    <row r="1374" ht="15" spans="2:19">
      <c r="B1374" s="143"/>
      <c r="C1374" s="79"/>
      <c r="E1374" s="143"/>
      <c r="F1374" s="143"/>
      <c r="J1374" s="143"/>
      <c r="L1374" s="143"/>
    </row>
    <row r="1375" ht="15" spans="2:19">
      <c r="B1375" s="143"/>
      <c r="C1375" s="79"/>
      <c r="E1375" s="143"/>
      <c r="F1375" s="143"/>
      <c r="J1375" s="143"/>
      <c r="L1375" s="143"/>
    </row>
    <row r="1376" ht="15" spans="2:19">
      <c r="B1376" s="143"/>
      <c r="C1376" s="79"/>
      <c r="E1376" s="143"/>
      <c r="F1376" s="143"/>
      <c r="J1376" s="143"/>
      <c r="L1376" s="143"/>
    </row>
    <row r="1377" ht="15" spans="2:19">
      <c r="B1377" s="143"/>
      <c r="C1377" s="79"/>
      <c r="E1377" s="143"/>
      <c r="F1377" s="143"/>
      <c r="J1377" s="143"/>
      <c r="L1377" s="143"/>
    </row>
    <row r="1378" ht="15" spans="2:19">
      <c r="B1378" s="143"/>
      <c r="C1378" s="79"/>
      <c r="E1378" s="143"/>
      <c r="F1378" s="143"/>
      <c r="J1378" s="143"/>
      <c r="L1378" s="143"/>
    </row>
    <row r="1379" ht="15" spans="2:19">
      <c r="B1379" s="143"/>
      <c r="C1379" s="79"/>
      <c r="E1379" s="143"/>
      <c r="F1379" s="143"/>
      <c r="J1379" s="143"/>
      <c r="L1379" s="143"/>
    </row>
    <row r="1380" ht="15" spans="2:19">
      <c r="B1380" s="143"/>
      <c r="C1380" s="79"/>
      <c r="E1380" s="143"/>
      <c r="F1380" s="143"/>
      <c r="J1380" s="143"/>
      <c r="L1380" s="143"/>
    </row>
    <row r="1381" ht="15" spans="2:19">
      <c r="B1381" s="143"/>
      <c r="C1381" s="79"/>
      <c r="E1381" s="143"/>
      <c r="F1381" s="143"/>
      <c r="J1381" s="143"/>
      <c r="L1381" s="143"/>
    </row>
    <row r="1382" ht="15" spans="2:19">
      <c r="B1382" s="143"/>
      <c r="C1382" s="79"/>
      <c r="E1382" s="143"/>
      <c r="F1382" s="143"/>
      <c r="J1382" s="143"/>
      <c r="L1382" s="143"/>
    </row>
    <row r="1383" ht="15" spans="2:19">
      <c r="B1383" s="143"/>
      <c r="C1383" s="79"/>
      <c r="E1383" s="143"/>
      <c r="F1383" s="143"/>
      <c r="J1383" s="143"/>
      <c r="L1383" s="143"/>
      <c r="S1383" s="94"/>
    </row>
    <row r="1384" ht="15" spans="2:19">
      <c r="B1384" s="143"/>
      <c r="C1384" s="79"/>
      <c r="E1384" s="143"/>
      <c r="F1384" s="143"/>
      <c r="J1384" s="143"/>
      <c r="L1384" s="143"/>
      <c r="S1384" s="92"/>
    </row>
    <row r="1385" ht="15" spans="2:19">
      <c r="B1385" s="143"/>
      <c r="C1385" s="79"/>
      <c r="E1385" s="146"/>
      <c r="F1385" s="143"/>
      <c r="J1385" s="143"/>
      <c r="K1385" s="84"/>
      <c r="L1385" s="143"/>
      <c r="O1385" s="133"/>
    </row>
    <row r="1386" ht="15" spans="2:19">
      <c r="B1386" s="143"/>
      <c r="C1386" s="79"/>
      <c r="E1386" s="143"/>
      <c r="F1386" s="143"/>
      <c r="J1386" s="143"/>
      <c r="L1386" s="143"/>
      <c r="S1386" s="94"/>
    </row>
    <row r="1387" ht="15" spans="2:19">
      <c r="B1387" s="143"/>
      <c r="C1387" s="79"/>
      <c r="E1387" s="143"/>
      <c r="F1387" s="143"/>
      <c r="J1387" s="143"/>
      <c r="L1387" s="143"/>
      <c r="S1387" s="92"/>
    </row>
    <row r="1388" ht="15" spans="2:19">
      <c r="B1388" s="143"/>
      <c r="C1388" s="79"/>
      <c r="E1388" s="143"/>
      <c r="F1388" s="143"/>
      <c r="J1388" s="143"/>
      <c r="L1388" s="143"/>
    </row>
    <row r="1389" ht="15" spans="2:19">
      <c r="B1389" s="143"/>
      <c r="C1389" s="79"/>
      <c r="E1389" s="143"/>
      <c r="F1389" s="143"/>
      <c r="J1389" s="143"/>
      <c r="L1389" s="143"/>
    </row>
    <row r="1390" ht="15" spans="2:19">
      <c r="B1390" s="143"/>
      <c r="C1390" s="79"/>
      <c r="E1390" s="143"/>
      <c r="F1390" s="143"/>
      <c r="J1390" s="143"/>
      <c r="K1390" s="84"/>
      <c r="L1390" s="143"/>
      <c r="O1390" s="133"/>
    </row>
    <row r="1391" ht="15" spans="2:19">
      <c r="B1391" s="143"/>
      <c r="C1391" s="79"/>
      <c r="E1391" s="143"/>
      <c r="F1391" s="143"/>
      <c r="J1391" s="143"/>
      <c r="K1391" s="84"/>
      <c r="L1391" s="143"/>
      <c r="O1391" s="133"/>
    </row>
    <row r="1392" ht="15" spans="2:19">
      <c r="B1392" s="143"/>
      <c r="C1392" s="79"/>
      <c r="E1392" s="143"/>
      <c r="F1392" s="143"/>
      <c r="J1392" s="143"/>
      <c r="L1392" s="143"/>
    </row>
    <row r="1393" ht="15" spans="2:19">
      <c r="B1393" s="143"/>
      <c r="C1393" s="79"/>
      <c r="E1393" s="143"/>
      <c r="F1393" s="143"/>
      <c r="J1393" s="143"/>
      <c r="L1393" s="143"/>
    </row>
    <row r="1394" ht="15" spans="2:19">
      <c r="B1394" s="143"/>
      <c r="C1394" s="79"/>
      <c r="E1394" s="143"/>
      <c r="F1394" s="143"/>
      <c r="J1394" s="143"/>
      <c r="L1394" s="143"/>
    </row>
    <row r="1395" ht="15" spans="2:19">
      <c r="B1395" s="143"/>
      <c r="C1395" s="79"/>
      <c r="E1395" s="143"/>
      <c r="F1395" s="143"/>
      <c r="J1395" s="143"/>
      <c r="L1395" s="143"/>
    </row>
    <row r="1396" ht="15" spans="2:19">
      <c r="B1396" s="143"/>
      <c r="C1396" s="79"/>
      <c r="E1396" s="143"/>
      <c r="F1396" s="143"/>
      <c r="J1396" s="143"/>
      <c r="K1396" s="84"/>
      <c r="L1396" s="143"/>
      <c r="O1396" s="133"/>
    </row>
    <row r="1397" ht="15" spans="2:19">
      <c r="B1397" s="143"/>
      <c r="C1397" s="79"/>
      <c r="E1397" s="146"/>
      <c r="F1397" s="143"/>
      <c r="H1397" s="90"/>
      <c r="I1397" s="90"/>
      <c r="J1397" s="143"/>
      <c r="L1397" s="143"/>
    </row>
    <row r="1398" ht="15" spans="2:19">
      <c r="B1398" s="143"/>
      <c r="C1398" s="79"/>
      <c r="E1398" s="146"/>
      <c r="F1398" s="143"/>
      <c r="H1398" s="90"/>
      <c r="I1398" s="90"/>
      <c r="J1398" s="143"/>
      <c r="L1398" s="143"/>
    </row>
    <row r="1399" ht="15" spans="2:19">
      <c r="B1399" s="143"/>
      <c r="C1399" s="79"/>
      <c r="E1399" s="147"/>
      <c r="F1399" s="143"/>
      <c r="G1399" s="92"/>
      <c r="H1399" s="92"/>
      <c r="I1399" s="92"/>
      <c r="J1399" s="143"/>
      <c r="K1399" s="148"/>
      <c r="L1399" s="143"/>
      <c r="M1399" s="92"/>
      <c r="N1399" s="92"/>
      <c r="O1399" s="149"/>
      <c r="P1399" s="92"/>
      <c r="Q1399" s="92"/>
      <c r="R1399" s="148"/>
      <c r="S1399" s="95"/>
    </row>
    <row r="1400" ht="15" spans="2:19">
      <c r="B1400" s="143"/>
      <c r="C1400" s="79"/>
      <c r="E1400" s="147"/>
      <c r="F1400" s="143"/>
      <c r="G1400" s="92"/>
      <c r="H1400" s="92"/>
      <c r="J1400" s="143"/>
      <c r="K1400" s="148"/>
      <c r="L1400" s="143"/>
      <c r="N1400" s="92"/>
      <c r="O1400" s="149"/>
      <c r="P1400" s="92"/>
      <c r="Q1400" s="92"/>
      <c r="S1400" s="92"/>
    </row>
    <row r="1401" ht="15" spans="2:19">
      <c r="B1401" s="143"/>
      <c r="C1401" s="79"/>
      <c r="E1401" s="147"/>
      <c r="F1401" s="143"/>
      <c r="G1401" s="92"/>
      <c r="J1401" s="143"/>
      <c r="K1401" s="148"/>
      <c r="L1401" s="143"/>
      <c r="M1401" s="92"/>
      <c r="N1401" s="92"/>
      <c r="P1401" s="92"/>
      <c r="Q1401" s="92"/>
    </row>
    <row r="1402" ht="15" spans="2:19">
      <c r="B1402" s="143"/>
      <c r="C1402" s="79"/>
      <c r="E1402" s="147"/>
      <c r="F1402" s="143"/>
      <c r="J1402" s="143"/>
      <c r="L1402" s="143"/>
      <c r="N1402" s="92"/>
      <c r="P1402" s="92"/>
      <c r="Q1402" s="92"/>
    </row>
    <row r="1403" ht="15" spans="2:19">
      <c r="B1403" s="143"/>
      <c r="C1403" s="79"/>
      <c r="E1403" s="147"/>
      <c r="F1403" s="143"/>
      <c r="J1403" s="143"/>
      <c r="L1403" s="143"/>
      <c r="N1403" s="92"/>
      <c r="P1403" s="92"/>
      <c r="Q1403" s="92"/>
    </row>
    <row r="1404" ht="15" spans="2:19">
      <c r="B1404" s="143"/>
      <c r="C1404" s="79"/>
      <c r="E1404" s="147"/>
      <c r="F1404" s="143"/>
      <c r="J1404" s="143"/>
      <c r="L1404" s="143"/>
      <c r="N1404" s="92"/>
      <c r="P1404" s="92"/>
      <c r="Q1404" s="92"/>
    </row>
    <row r="1405" ht="15" spans="2:19">
      <c r="B1405" s="143"/>
      <c r="C1405" s="79"/>
      <c r="E1405" s="147"/>
      <c r="F1405" s="143"/>
      <c r="J1405" s="143"/>
      <c r="L1405" s="143"/>
      <c r="N1405" s="92"/>
      <c r="P1405" s="92"/>
      <c r="Q1405" s="92"/>
    </row>
    <row r="1406" ht="15" spans="2:19">
      <c r="B1406" s="143"/>
      <c r="C1406" s="79"/>
      <c r="E1406" s="147"/>
      <c r="F1406" s="143"/>
      <c r="J1406" s="143"/>
      <c r="L1406" s="143"/>
      <c r="N1406" s="92"/>
      <c r="P1406" s="92"/>
      <c r="Q1406" s="92"/>
    </row>
    <row r="1407" ht="15" spans="2:19">
      <c r="B1407" s="143"/>
      <c r="C1407" s="79"/>
      <c r="E1407" s="147"/>
      <c r="F1407" s="143"/>
      <c r="J1407" s="143"/>
      <c r="L1407" s="143"/>
      <c r="N1407" s="92"/>
      <c r="P1407" s="92"/>
      <c r="Q1407" s="92"/>
    </row>
    <row r="1408" ht="15" spans="2:19">
      <c r="B1408" s="143"/>
      <c r="C1408" s="79"/>
      <c r="E1408" s="150"/>
      <c r="F1408" s="143"/>
      <c r="J1408" s="143"/>
      <c r="K1408" s="84"/>
      <c r="L1408" s="143"/>
      <c r="N1408" s="92"/>
      <c r="O1408" s="133"/>
      <c r="P1408" s="92"/>
      <c r="Q1408" s="92"/>
    </row>
    <row r="1409" ht="15" spans="2:17">
      <c r="B1409" s="143"/>
      <c r="C1409" s="79"/>
      <c r="E1409" s="150"/>
      <c r="F1409" s="143"/>
      <c r="J1409" s="143"/>
      <c r="L1409" s="143"/>
      <c r="N1409" s="92"/>
      <c r="P1409" s="92"/>
      <c r="Q1409" s="92"/>
    </row>
    <row r="1410" ht="15" spans="2:17">
      <c r="B1410" s="143"/>
      <c r="C1410" s="79"/>
      <c r="E1410" s="150"/>
      <c r="F1410" s="143"/>
      <c r="H1410" s="61"/>
      <c r="I1410" s="61"/>
      <c r="J1410" s="143"/>
      <c r="L1410" s="143"/>
      <c r="N1410" s="92"/>
      <c r="P1410" s="92"/>
      <c r="Q1410" s="92"/>
    </row>
    <row r="1411" ht="15" spans="2:17">
      <c r="B1411" s="143"/>
      <c r="C1411" s="79"/>
      <c r="E1411" s="150"/>
      <c r="F1411" s="143"/>
      <c r="J1411" s="143"/>
      <c r="K1411" s="84"/>
      <c r="L1411" s="143"/>
      <c r="N1411" s="92"/>
      <c r="O1411" s="133"/>
      <c r="P1411" s="92"/>
      <c r="Q1411" s="92"/>
    </row>
    <row r="1412" ht="15" spans="2:17">
      <c r="B1412" s="143"/>
      <c r="C1412" s="79"/>
      <c r="E1412" s="150"/>
      <c r="F1412" s="143"/>
      <c r="J1412" s="143"/>
      <c r="L1412" s="143"/>
      <c r="N1412" s="92"/>
      <c r="P1412" s="92"/>
      <c r="Q1412" s="92"/>
    </row>
    <row r="1413" ht="15" spans="2:17">
      <c r="B1413" s="143"/>
      <c r="C1413" s="79"/>
      <c r="E1413" s="151"/>
      <c r="F1413" s="143"/>
      <c r="J1413" s="143"/>
      <c r="L1413" s="143"/>
      <c r="P1413" s="92"/>
      <c r="Q1413" s="92"/>
    </row>
    <row r="1414" ht="15" spans="2:17">
      <c r="B1414" s="143"/>
      <c r="C1414" s="79"/>
      <c r="E1414" s="151"/>
      <c r="F1414" s="143"/>
      <c r="J1414" s="143"/>
      <c r="L1414" s="143"/>
      <c r="P1414" s="92"/>
      <c r="Q1414" s="92"/>
    </row>
    <row r="1415" ht="15" spans="2:17">
      <c r="B1415" s="143"/>
      <c r="C1415" s="79"/>
      <c r="E1415" s="151"/>
      <c r="F1415" s="143"/>
      <c r="J1415" s="143"/>
      <c r="L1415" s="143"/>
      <c r="P1415" s="92"/>
      <c r="Q1415" s="92"/>
    </row>
    <row r="1416" ht="15" spans="2:17">
      <c r="B1416" s="143"/>
      <c r="C1416" s="79"/>
      <c r="E1416" s="151"/>
      <c r="F1416" s="143"/>
      <c r="J1416" s="143"/>
      <c r="L1416" s="143"/>
      <c r="P1416" s="92"/>
      <c r="Q1416" s="92"/>
    </row>
    <row r="1417" ht="15" spans="2:17">
      <c r="B1417" s="143"/>
      <c r="C1417" s="79"/>
      <c r="E1417" s="151"/>
      <c r="F1417" s="143"/>
      <c r="J1417" s="143"/>
      <c r="L1417" s="143"/>
      <c r="P1417" s="92"/>
      <c r="Q1417" s="92"/>
    </row>
    <row r="1418" ht="15" spans="2:17">
      <c r="B1418" s="143"/>
      <c r="C1418" s="79"/>
      <c r="E1418" s="151"/>
      <c r="F1418" s="143"/>
      <c r="J1418" s="143"/>
      <c r="L1418" s="143"/>
      <c r="P1418" s="92"/>
      <c r="Q1418" s="92"/>
    </row>
    <row r="1419" ht="15" spans="2:17">
      <c r="B1419" s="143"/>
      <c r="C1419" s="79"/>
      <c r="E1419" s="151"/>
      <c r="F1419" s="143"/>
      <c r="J1419" s="143"/>
      <c r="L1419" s="143"/>
    </row>
    <row r="1420" ht="15" spans="2:17">
      <c r="B1420" s="143"/>
      <c r="C1420" s="79"/>
      <c r="E1420" s="151"/>
      <c r="F1420" s="143"/>
      <c r="J1420" s="143"/>
      <c r="L1420" s="143"/>
    </row>
    <row r="1421" ht="15" spans="2:17">
      <c r="B1421" s="143"/>
      <c r="C1421" s="79"/>
      <c r="E1421" s="151"/>
      <c r="F1421" s="143"/>
      <c r="J1421" s="143"/>
      <c r="L1421" s="143"/>
    </row>
    <row r="1422" ht="15" spans="2:17">
      <c r="B1422" s="143"/>
      <c r="C1422" s="79"/>
      <c r="E1422" s="151"/>
      <c r="F1422" s="143"/>
      <c r="J1422" s="143"/>
      <c r="L1422" s="143"/>
    </row>
    <row r="1423" ht="15" spans="2:17">
      <c r="B1423" s="143"/>
      <c r="C1423" s="79"/>
      <c r="E1423" s="151"/>
      <c r="F1423" s="143"/>
      <c r="J1423" s="143"/>
      <c r="L1423" s="143"/>
    </row>
    <row r="1424" ht="15" spans="2:17">
      <c r="B1424" s="143"/>
      <c r="C1424" s="79"/>
      <c r="E1424" s="151"/>
      <c r="F1424" s="143"/>
      <c r="J1424" s="143"/>
      <c r="L1424" s="143"/>
    </row>
    <row r="1425" ht="15" spans="2:15">
      <c r="B1425" s="143"/>
      <c r="C1425" s="79"/>
      <c r="E1425" s="151"/>
      <c r="F1425" s="143"/>
      <c r="J1425" s="143"/>
      <c r="L1425" s="143"/>
    </row>
    <row r="1426" ht="15" spans="2:15">
      <c r="B1426" s="143"/>
      <c r="C1426" s="79"/>
      <c r="E1426" s="151"/>
      <c r="F1426" s="143"/>
      <c r="J1426" s="143"/>
      <c r="L1426" s="143"/>
    </row>
    <row r="1427" ht="15" spans="2:15">
      <c r="B1427" s="143"/>
      <c r="C1427" s="79"/>
      <c r="E1427" s="151"/>
      <c r="F1427" s="143"/>
      <c r="J1427" s="143"/>
      <c r="L1427" s="143"/>
    </row>
    <row r="1428" ht="15" spans="2:15">
      <c r="B1428" s="143"/>
      <c r="C1428" s="79"/>
      <c r="E1428" s="151"/>
      <c r="F1428" s="143"/>
      <c r="J1428" s="143"/>
      <c r="L1428" s="143"/>
    </row>
    <row r="1429" ht="15" spans="2:15">
      <c r="B1429" s="143"/>
      <c r="C1429" s="79"/>
      <c r="E1429" s="150"/>
      <c r="F1429" s="143"/>
      <c r="J1429" s="143"/>
      <c r="K1429" s="84"/>
      <c r="L1429" s="143"/>
      <c r="N1429" s="12"/>
      <c r="O1429" s="133"/>
    </row>
    <row r="1430" ht="15" spans="2:15">
      <c r="B1430" s="143"/>
      <c r="C1430" s="79"/>
      <c r="E1430" s="142"/>
      <c r="F1430" s="143"/>
      <c r="J1430" s="143"/>
      <c r="L1430" s="143"/>
    </row>
    <row r="1431" ht="15" spans="2:15">
      <c r="B1431" s="143"/>
      <c r="C1431" s="79"/>
      <c r="E1431" s="142"/>
      <c r="F1431" s="143"/>
      <c r="J1431" s="143"/>
      <c r="L1431" s="143"/>
    </row>
    <row r="1432" ht="15" spans="2:15">
      <c r="B1432" s="143"/>
      <c r="C1432" s="79"/>
      <c r="E1432" s="142"/>
      <c r="F1432" s="143"/>
      <c r="J1432" s="143"/>
      <c r="L1432" s="143"/>
    </row>
    <row r="1433" ht="15" spans="2:15">
      <c r="B1433" s="143"/>
      <c r="C1433" s="79"/>
      <c r="E1433" s="142"/>
      <c r="F1433" s="143"/>
      <c r="J1433" s="143"/>
      <c r="L1433" s="143"/>
    </row>
    <row r="1434" ht="15" spans="2:15">
      <c r="B1434" s="143"/>
      <c r="C1434" s="79"/>
      <c r="E1434" s="150"/>
      <c r="F1434" s="143"/>
      <c r="J1434" s="143"/>
      <c r="K1434" s="84"/>
      <c r="L1434" s="143"/>
      <c r="O1434" s="133"/>
    </row>
    <row r="1435" ht="15" spans="2:15">
      <c r="B1435" s="143"/>
      <c r="C1435" s="79"/>
      <c r="E1435" s="151"/>
      <c r="F1435" s="143"/>
      <c r="J1435" s="143"/>
      <c r="L1435" s="143"/>
    </row>
    <row r="1436" ht="15" spans="2:15">
      <c r="B1436" s="143"/>
      <c r="C1436" s="79"/>
      <c r="E1436" s="151"/>
      <c r="F1436" s="143"/>
      <c r="J1436" s="143"/>
      <c r="L1436" s="143"/>
    </row>
    <row r="1437" ht="15" spans="2:15">
      <c r="B1437" s="143"/>
      <c r="C1437" s="79"/>
      <c r="E1437" s="151"/>
      <c r="F1437" s="143"/>
      <c r="J1437" s="143"/>
      <c r="L1437" s="143"/>
    </row>
    <row r="1438" ht="15" spans="2:15">
      <c r="B1438" s="143"/>
      <c r="C1438" s="79"/>
      <c r="E1438" s="151"/>
      <c r="F1438" s="143"/>
      <c r="J1438" s="143"/>
      <c r="L1438" s="143"/>
      <c r="N1438" s="12"/>
    </row>
    <row r="1439" ht="15" spans="2:15">
      <c r="B1439" s="143"/>
      <c r="C1439" s="79"/>
      <c r="E1439" s="151"/>
      <c r="F1439" s="143"/>
      <c r="J1439" s="143"/>
      <c r="L1439" s="143"/>
    </row>
    <row r="1440" ht="15" spans="2:15">
      <c r="B1440" s="143"/>
      <c r="C1440" s="79"/>
      <c r="E1440" s="151"/>
      <c r="F1440" s="143"/>
      <c r="J1440" s="143"/>
      <c r="L1440" s="143"/>
    </row>
    <row r="1441" ht="15" spans="1:21">
      <c r="B1441" s="143"/>
      <c r="C1441" s="79"/>
      <c r="E1441" s="151"/>
      <c r="F1441" s="143"/>
      <c r="J1441" s="143"/>
      <c r="L1441" s="143"/>
    </row>
    <row r="1442" ht="15" spans="1:21">
      <c r="B1442" s="143"/>
      <c r="C1442" s="79"/>
      <c r="E1442" s="151"/>
      <c r="F1442" s="143"/>
      <c r="J1442" s="143"/>
      <c r="L1442" s="143"/>
    </row>
    <row r="1443" ht="15" spans="1:21">
      <c r="B1443" s="143"/>
      <c r="C1443" s="79"/>
      <c r="E1443" s="151"/>
      <c r="F1443" s="143"/>
      <c r="J1443" s="143"/>
      <c r="L1443" s="143"/>
    </row>
    <row r="1444" ht="15" spans="1:21">
      <c r="B1444" s="143"/>
      <c r="C1444" s="79"/>
      <c r="E1444" s="150"/>
      <c r="F1444" s="143"/>
      <c r="J1444" s="143"/>
      <c r="L1444" s="143"/>
    </row>
    <row r="1445" ht="15" spans="1:21">
      <c r="B1445" s="143"/>
      <c r="C1445" s="79"/>
      <c r="E1445" s="150"/>
      <c r="F1445" s="143"/>
      <c r="J1445" s="143"/>
      <c r="L1445" s="143"/>
    </row>
    <row r="1446" ht="15" spans="1:21">
      <c r="B1446" s="143"/>
      <c r="C1446" s="79"/>
      <c r="E1446" s="151"/>
      <c r="F1446" s="143"/>
      <c r="J1446" s="143"/>
      <c r="L1446" s="143"/>
    </row>
    <row r="1447" ht="15" spans="1:21">
      <c r="B1447" s="143"/>
      <c r="C1447" s="79"/>
      <c r="E1447" s="151"/>
      <c r="F1447" s="143"/>
      <c r="J1447" s="143"/>
      <c r="L1447" s="143"/>
    </row>
    <row r="1448" ht="15" spans="1:21">
      <c r="B1448" s="143"/>
      <c r="C1448" s="79"/>
      <c r="E1448" s="151"/>
      <c r="F1448" s="143"/>
      <c r="J1448" s="143"/>
      <c r="L1448" s="143"/>
    </row>
    <row r="1449" ht="15" spans="1:21">
      <c r="B1449" s="143"/>
      <c r="C1449" s="79"/>
      <c r="E1449" s="151"/>
      <c r="F1449" s="143"/>
      <c r="J1449" s="143"/>
      <c r="L1449" s="143"/>
    </row>
    <row r="1450" ht="15" spans="1:21">
      <c r="B1450" s="143"/>
      <c r="C1450" s="79"/>
      <c r="E1450" s="151"/>
      <c r="F1450" s="143"/>
      <c r="J1450" s="143"/>
      <c r="L1450" s="143"/>
    </row>
    <row r="1451" s="58" customFormat="1" customHeight="1" spans="1:21">
      <c r="A1451" s="61"/>
      <c r="B1451" s="62"/>
      <c r="C1451" s="79"/>
      <c r="D1451" s="61"/>
      <c r="E1451" s="64"/>
      <c r="F1451" s="62"/>
      <c r="G1451" s="62"/>
      <c r="H1451" s="62"/>
      <c r="I1451" s="62"/>
      <c r="J1451" s="62"/>
      <c r="K1451" s="65"/>
      <c r="L1451" s="65"/>
      <c r="M1451" s="62"/>
      <c r="N1451" s="11"/>
      <c r="O1451" s="66"/>
      <c r="P1451" s="62"/>
      <c r="Q1451" s="62"/>
      <c r="R1451" s="62"/>
      <c r="S1451" s="62"/>
      <c r="T1451" s="62"/>
      <c r="U1451" s="67"/>
    </row>
    <row r="1452" s="58" customFormat="1" customHeight="1" spans="1:21">
      <c r="A1452" s="61"/>
      <c r="B1452" s="62"/>
      <c r="C1452" s="79"/>
      <c r="D1452" s="61"/>
      <c r="E1452" s="64"/>
      <c r="F1452" s="62"/>
      <c r="G1452" s="62"/>
      <c r="H1452" s="62"/>
      <c r="I1452" s="62"/>
      <c r="J1452" s="62"/>
      <c r="K1452" s="65"/>
      <c r="L1452" s="65"/>
      <c r="M1452" s="62"/>
      <c r="N1452" s="11"/>
      <c r="O1452" s="66"/>
      <c r="P1452" s="62"/>
      <c r="Q1452" s="62"/>
      <c r="R1452" s="62"/>
      <c r="S1452" s="62"/>
      <c r="T1452" s="62"/>
      <c r="U1452" s="67"/>
    </row>
    <row r="1453" spans="1:21">
      <c r="C1453" s="79"/>
      <c r="D1453" s="61"/>
      <c r="F1453" s="62"/>
    </row>
    <row r="1454" spans="1:21">
      <c r="C1454" s="79"/>
      <c r="D1454" s="61"/>
      <c r="F1454" s="62"/>
    </row>
    <row r="1455" spans="1:21">
      <c r="C1455" s="79"/>
      <c r="D1455" s="61"/>
      <c r="F1455" s="62"/>
    </row>
    <row r="1456" spans="1:21">
      <c r="C1456" s="79"/>
      <c r="D1456" s="61"/>
      <c r="F1456" s="62"/>
    </row>
    <row r="1457" spans="3:19">
      <c r="C1457" s="79"/>
      <c r="D1457" s="61"/>
      <c r="F1457" s="62"/>
      <c r="S1457" s="94"/>
    </row>
    <row r="1458" spans="3:19">
      <c r="C1458" s="79"/>
      <c r="D1458" s="61"/>
      <c r="F1458" s="62"/>
      <c r="S1458" s="92"/>
    </row>
    <row r="1459" spans="3:19">
      <c r="C1459" s="79"/>
      <c r="D1459" s="61"/>
      <c r="F1459" s="62"/>
    </row>
    <row r="1460" spans="3:19">
      <c r="C1460" s="79"/>
      <c r="D1460" s="61"/>
      <c r="F1460" s="62"/>
      <c r="S1460" s="94"/>
    </row>
    <row r="1461" spans="3:19">
      <c r="C1461" s="79"/>
      <c r="D1461" s="61"/>
      <c r="F1461" s="62"/>
      <c r="S1461" s="92"/>
    </row>
    <row r="1462" spans="3:19">
      <c r="C1462" s="79"/>
      <c r="D1462" s="61"/>
      <c r="F1462" s="62"/>
    </row>
    <row r="1463" spans="3:19">
      <c r="C1463" s="79"/>
      <c r="D1463" s="61"/>
      <c r="F1463" s="62"/>
      <c r="S1463" s="94"/>
    </row>
    <row r="1464" spans="3:19">
      <c r="C1464" s="79"/>
      <c r="D1464" s="61"/>
      <c r="F1464" s="62"/>
      <c r="S1464" s="92"/>
    </row>
    <row r="1465" spans="3:19">
      <c r="C1465" s="79"/>
      <c r="D1465" s="61"/>
      <c r="F1465" s="62"/>
    </row>
    <row r="1466" spans="3:19">
      <c r="C1466" s="79"/>
      <c r="D1466" s="61"/>
      <c r="F1466" s="62"/>
    </row>
    <row r="1467" spans="3:19">
      <c r="C1467" s="79"/>
      <c r="D1467" s="61"/>
      <c r="F1467" s="62"/>
    </row>
    <row r="1468" spans="3:19">
      <c r="C1468" s="79"/>
      <c r="D1468" s="61"/>
      <c r="F1468" s="62"/>
    </row>
    <row r="1469" spans="3:19">
      <c r="C1469" s="79"/>
      <c r="D1469" s="61"/>
      <c r="F1469" s="62"/>
    </row>
    <row r="1470" spans="3:19">
      <c r="C1470" s="79"/>
      <c r="D1470" s="61"/>
      <c r="F1470" s="62"/>
    </row>
    <row r="1471" spans="3:19">
      <c r="C1471" s="79"/>
      <c r="D1471" s="61"/>
      <c r="F1471" s="62"/>
    </row>
    <row r="1472" spans="3:19">
      <c r="C1472" s="79"/>
      <c r="D1472" s="61"/>
      <c r="F1472" s="62"/>
    </row>
    <row r="1473" spans="1:21">
      <c r="C1473" s="79"/>
      <c r="D1473" s="61"/>
      <c r="F1473" s="62"/>
    </row>
    <row r="1474" s="58" customFormat="1" customHeight="1" spans="1:21">
      <c r="A1474" s="61"/>
      <c r="B1474" s="62"/>
      <c r="C1474" s="79"/>
      <c r="D1474" s="61"/>
      <c r="E1474" s="64"/>
      <c r="F1474" s="62"/>
      <c r="G1474" s="62"/>
      <c r="H1474" s="62"/>
      <c r="I1474" s="62"/>
      <c r="J1474" s="62"/>
      <c r="K1474" s="65"/>
      <c r="L1474" s="65"/>
      <c r="M1474" s="62"/>
      <c r="N1474" s="11"/>
      <c r="O1474" s="66"/>
      <c r="P1474" s="62"/>
      <c r="Q1474" s="62"/>
      <c r="R1474" s="62"/>
      <c r="S1474" s="62"/>
      <c r="T1474" s="62"/>
      <c r="U1474" s="67"/>
    </row>
    <row r="1475" spans="1:21">
      <c r="C1475" s="79"/>
      <c r="D1475" s="61"/>
      <c r="F1475" s="62"/>
    </row>
    <row r="1476" spans="1:21">
      <c r="C1476" s="79"/>
      <c r="D1476" s="61"/>
      <c r="E1476" s="141"/>
      <c r="F1476" s="62"/>
      <c r="K1476" s="84"/>
      <c r="S1476" s="61"/>
    </row>
    <row r="1477" spans="1:21">
      <c r="C1477" s="79"/>
      <c r="D1477" s="61"/>
      <c r="E1477" s="141"/>
      <c r="F1477" s="62"/>
      <c r="K1477" s="84"/>
      <c r="S1477" s="61"/>
    </row>
    <row r="1478" spans="1:21">
      <c r="C1478" s="79"/>
      <c r="D1478" s="61"/>
      <c r="E1478" s="141"/>
      <c r="F1478" s="62"/>
      <c r="K1478" s="84"/>
    </row>
    <row r="1479" spans="1:21">
      <c r="C1479" s="79"/>
      <c r="D1479" s="61"/>
      <c r="E1479" s="141"/>
      <c r="F1479" s="62"/>
      <c r="K1479" s="84"/>
    </row>
    <row r="1480" spans="1:21">
      <c r="C1480" s="79"/>
      <c r="D1480" s="61"/>
      <c r="E1480" s="141"/>
      <c r="F1480" s="62"/>
      <c r="K1480" s="84"/>
    </row>
    <row r="1481" spans="1:21">
      <c r="C1481" s="79"/>
      <c r="D1481" s="61"/>
      <c r="E1481" s="141"/>
      <c r="F1481" s="62"/>
      <c r="K1481" s="84"/>
    </row>
    <row r="1482" spans="1:21">
      <c r="C1482" s="79"/>
      <c r="D1482" s="61"/>
      <c r="F1482" s="62"/>
    </row>
    <row r="1483" spans="1:21">
      <c r="C1483" s="79"/>
      <c r="D1483" s="61"/>
      <c r="F1483" s="62"/>
    </row>
    <row r="1484" spans="1:21">
      <c r="C1484" s="79"/>
      <c r="D1484" s="61"/>
      <c r="F1484" s="62"/>
    </row>
    <row r="1485" spans="1:21">
      <c r="C1485" s="79"/>
      <c r="D1485" s="61"/>
      <c r="F1485" s="62"/>
    </row>
    <row r="1486" spans="1:21">
      <c r="C1486" s="79"/>
      <c r="D1486" s="61"/>
      <c r="F1486" s="62"/>
    </row>
    <row r="1487" spans="1:21">
      <c r="C1487" s="79"/>
      <c r="D1487" s="61"/>
      <c r="F1487" s="62"/>
      <c r="S1487" s="94"/>
    </row>
    <row r="1488" spans="1:21">
      <c r="C1488" s="79"/>
      <c r="D1488" s="61"/>
      <c r="F1488" s="62"/>
      <c r="S1488" s="92"/>
    </row>
    <row r="1489" spans="3:6">
      <c r="C1489" s="79"/>
      <c r="D1489" s="61"/>
      <c r="F1489" s="62"/>
    </row>
    <row r="1490" spans="3:6">
      <c r="C1490" s="79"/>
      <c r="D1490" s="61"/>
      <c r="F1490" s="62"/>
    </row>
    <row r="1491" spans="3:6">
      <c r="C1491" s="79"/>
      <c r="D1491" s="61"/>
      <c r="F1491" s="62"/>
    </row>
    <row r="1492" spans="3:6">
      <c r="C1492" s="79"/>
      <c r="D1492" s="61"/>
      <c r="F1492" s="62"/>
    </row>
    <row r="1493" spans="3:6">
      <c r="C1493" s="79"/>
      <c r="D1493" s="61"/>
      <c r="F1493" s="62"/>
    </row>
    <row r="1494" spans="3:6">
      <c r="C1494" s="79"/>
      <c r="D1494" s="61"/>
      <c r="F1494" s="62"/>
    </row>
    <row r="1495" spans="3:6">
      <c r="C1495" s="79"/>
      <c r="D1495" s="61"/>
      <c r="F1495" s="62"/>
    </row>
    <row r="1496" spans="3:6">
      <c r="C1496" s="79"/>
      <c r="D1496" s="61"/>
      <c r="F1496" s="62"/>
    </row>
    <row r="1497" spans="3:6">
      <c r="C1497" s="79"/>
      <c r="D1497" s="61"/>
      <c r="F1497" s="62"/>
    </row>
    <row r="1498" spans="3:6">
      <c r="C1498" s="79"/>
      <c r="D1498" s="61"/>
      <c r="F1498" s="62"/>
    </row>
    <row r="1499" spans="3:6">
      <c r="C1499" s="79"/>
      <c r="D1499" s="61"/>
      <c r="F1499" s="62"/>
    </row>
    <row r="1500" spans="3:6">
      <c r="C1500" s="79"/>
      <c r="D1500" s="61"/>
      <c r="E1500" s="141"/>
      <c r="F1500" s="62"/>
    </row>
    <row r="1501" spans="3:6">
      <c r="C1501" s="79"/>
      <c r="D1501" s="61"/>
      <c r="E1501" s="142"/>
      <c r="F1501" s="62"/>
    </row>
    <row r="1502" spans="3:6">
      <c r="C1502" s="79"/>
      <c r="D1502" s="61"/>
      <c r="E1502" s="142"/>
      <c r="F1502" s="62"/>
    </row>
    <row r="1503" spans="3:6">
      <c r="C1503" s="79"/>
      <c r="D1503" s="61"/>
      <c r="E1503" s="142"/>
      <c r="F1503" s="62"/>
    </row>
    <row r="1504" spans="3:6">
      <c r="C1504" s="79"/>
      <c r="D1504" s="61"/>
      <c r="E1504" s="142"/>
      <c r="F1504" s="62"/>
    </row>
    <row r="1505" spans="3:15">
      <c r="C1505" s="79"/>
      <c r="D1505" s="61"/>
      <c r="E1505" s="150"/>
      <c r="F1505" s="62"/>
      <c r="K1505" s="84"/>
      <c r="O1505" s="133"/>
    </row>
    <row r="1506" spans="3:15">
      <c r="C1506" s="79"/>
      <c r="D1506" s="61"/>
      <c r="E1506" s="150"/>
      <c r="F1506" s="62"/>
    </row>
    <row r="1507" spans="3:15">
      <c r="C1507" s="79"/>
      <c r="D1507" s="61"/>
      <c r="E1507" s="150"/>
      <c r="F1507" s="62"/>
      <c r="K1507" s="84"/>
      <c r="O1507" s="133"/>
    </row>
    <row r="1508" spans="3:15">
      <c r="C1508" s="79"/>
      <c r="D1508" s="61"/>
      <c r="E1508" s="150"/>
      <c r="F1508" s="62"/>
      <c r="K1508" s="84"/>
    </row>
    <row r="1509" spans="3:15">
      <c r="C1509" s="79"/>
      <c r="D1509" s="61"/>
      <c r="E1509" s="150"/>
      <c r="F1509" s="62"/>
    </row>
    <row r="1510" spans="3:15">
      <c r="C1510" s="79"/>
      <c r="D1510" s="61"/>
      <c r="E1510" s="150"/>
      <c r="F1510" s="62"/>
      <c r="K1510" s="84"/>
    </row>
    <row r="1511" spans="3:15">
      <c r="C1511" s="79"/>
      <c r="D1511" s="61"/>
      <c r="E1511" s="150"/>
      <c r="F1511" s="62"/>
    </row>
    <row r="1512" spans="3:15">
      <c r="C1512" s="79"/>
      <c r="D1512" s="61"/>
      <c r="E1512" s="150"/>
      <c r="F1512" s="62"/>
      <c r="K1512" s="84"/>
    </row>
    <row r="1513" spans="3:15">
      <c r="C1513" s="79"/>
      <c r="D1513" s="61"/>
      <c r="E1513" s="151"/>
      <c r="F1513" s="62"/>
    </row>
    <row r="1514" spans="3:15">
      <c r="C1514" s="79"/>
      <c r="D1514" s="61"/>
      <c r="E1514" s="151"/>
      <c r="F1514" s="62"/>
    </row>
    <row r="1515" spans="3:15">
      <c r="C1515" s="79"/>
      <c r="D1515" s="61"/>
      <c r="E1515" s="151"/>
      <c r="F1515" s="62"/>
    </row>
    <row r="1516" spans="3:15">
      <c r="C1516" s="79"/>
      <c r="D1516" s="61"/>
      <c r="E1516" s="150"/>
      <c r="F1516" s="62"/>
      <c r="K1516" s="84"/>
      <c r="O1516" s="133"/>
    </row>
    <row r="1517" spans="3:15">
      <c r="C1517" s="79"/>
      <c r="D1517" s="61"/>
      <c r="E1517" s="150"/>
      <c r="F1517" s="62"/>
      <c r="K1517" s="84"/>
      <c r="O1517" s="133"/>
    </row>
    <row r="1518" spans="3:15">
      <c r="C1518" s="79"/>
      <c r="D1518" s="61"/>
      <c r="E1518" s="151"/>
      <c r="F1518" s="62"/>
    </row>
    <row r="1519" spans="3:15">
      <c r="C1519" s="79"/>
      <c r="D1519" s="61"/>
      <c r="E1519" s="151"/>
      <c r="F1519" s="62"/>
    </row>
    <row r="1520" spans="3:15">
      <c r="C1520" s="79"/>
      <c r="D1520" s="61"/>
      <c r="E1520" s="151"/>
      <c r="F1520" s="62"/>
    </row>
    <row r="1521" spans="1:21">
      <c r="C1521" s="79"/>
      <c r="D1521" s="61"/>
      <c r="E1521" s="150"/>
      <c r="F1521" s="62"/>
    </row>
    <row r="1522" spans="1:21">
      <c r="C1522" s="79"/>
      <c r="D1522" s="61"/>
      <c r="E1522" s="150"/>
      <c r="F1522" s="62"/>
    </row>
    <row r="1523" spans="1:21">
      <c r="C1523" s="79"/>
      <c r="D1523" s="61"/>
      <c r="E1523" s="150"/>
      <c r="F1523" s="62"/>
    </row>
    <row r="1524" spans="1:21">
      <c r="C1524" s="79"/>
      <c r="D1524" s="61"/>
      <c r="E1524" s="150"/>
      <c r="F1524" s="62"/>
    </row>
    <row r="1525" spans="1:21">
      <c r="C1525" s="79"/>
      <c r="D1525" s="61"/>
      <c r="E1525" s="150"/>
      <c r="F1525" s="62"/>
      <c r="K1525" s="84"/>
      <c r="O1525" s="133"/>
    </row>
    <row r="1526" spans="1:21">
      <c r="C1526" s="79"/>
      <c r="D1526" s="61"/>
      <c r="E1526" s="150"/>
      <c r="F1526" s="62"/>
      <c r="K1526" s="84"/>
      <c r="O1526" s="133"/>
    </row>
    <row r="1527" spans="1:21">
      <c r="C1527" s="79"/>
      <c r="D1527" s="61"/>
      <c r="E1527" s="150"/>
      <c r="F1527" s="62"/>
      <c r="K1527" s="84"/>
      <c r="O1527" s="133"/>
    </row>
    <row r="1528" spans="1:21">
      <c r="C1528" s="79"/>
      <c r="D1528" s="61"/>
      <c r="E1528" s="150"/>
      <c r="F1528" s="62"/>
      <c r="K1528" s="84"/>
      <c r="O1528" s="133"/>
    </row>
    <row r="1529" spans="1:21">
      <c r="C1529" s="79"/>
      <c r="D1529" s="61"/>
      <c r="E1529" s="151"/>
      <c r="F1529" s="62"/>
    </row>
    <row r="1530" s="58" customFormat="1" customHeight="1" spans="1:21">
      <c r="A1530" s="61"/>
      <c r="B1530" s="62"/>
      <c r="C1530" s="79"/>
      <c r="D1530" s="61"/>
      <c r="E1530" s="64"/>
      <c r="F1530" s="62"/>
      <c r="G1530" s="62"/>
      <c r="H1530" s="62"/>
      <c r="I1530" s="62"/>
      <c r="J1530" s="62"/>
      <c r="K1530" s="65"/>
      <c r="L1530" s="65"/>
      <c r="M1530" s="62"/>
      <c r="N1530" s="11"/>
      <c r="O1530" s="66"/>
      <c r="P1530" s="62"/>
      <c r="Q1530" s="62"/>
      <c r="R1530" s="62"/>
      <c r="S1530" s="62"/>
      <c r="T1530" s="62"/>
      <c r="U1530" s="67"/>
    </row>
    <row r="1531" s="58" customFormat="1" customHeight="1" spans="1:21">
      <c r="A1531" s="61"/>
      <c r="B1531" s="62"/>
      <c r="C1531" s="79"/>
      <c r="D1531" s="61"/>
      <c r="E1531" s="64"/>
      <c r="F1531" s="62"/>
      <c r="G1531" s="62"/>
      <c r="H1531" s="62"/>
      <c r="I1531" s="62"/>
      <c r="J1531" s="62"/>
      <c r="K1531" s="65"/>
      <c r="L1531" s="65"/>
      <c r="M1531" s="62"/>
      <c r="N1531" s="11"/>
      <c r="O1531" s="66"/>
      <c r="P1531" s="62"/>
      <c r="Q1531" s="62"/>
      <c r="R1531" s="62"/>
      <c r="S1531" s="62"/>
      <c r="T1531" s="62"/>
      <c r="U1531" s="67"/>
    </row>
    <row r="1532" s="58" customFormat="1" customHeight="1" spans="1:21">
      <c r="A1532" s="61"/>
      <c r="B1532" s="62"/>
      <c r="C1532" s="79"/>
      <c r="D1532" s="61"/>
      <c r="E1532" s="64"/>
      <c r="F1532" s="62"/>
      <c r="G1532" s="62"/>
      <c r="H1532" s="62"/>
      <c r="I1532" s="62"/>
      <c r="J1532" s="62"/>
      <c r="K1532" s="65"/>
      <c r="L1532" s="65"/>
      <c r="M1532" s="62"/>
      <c r="N1532" s="11"/>
      <c r="O1532" s="66"/>
      <c r="P1532" s="62"/>
      <c r="Q1532" s="62"/>
      <c r="R1532" s="62"/>
      <c r="S1532" s="62"/>
      <c r="T1532" s="62"/>
      <c r="U1532" s="67"/>
    </row>
    <row r="1533" s="58" customFormat="1" customHeight="1" spans="1:21">
      <c r="A1533" s="61"/>
      <c r="B1533" s="62"/>
      <c r="C1533" s="79"/>
      <c r="D1533" s="61"/>
      <c r="E1533" s="64"/>
      <c r="F1533" s="62"/>
      <c r="G1533" s="62"/>
      <c r="H1533" s="62"/>
      <c r="I1533" s="62"/>
      <c r="J1533" s="62"/>
      <c r="K1533" s="65"/>
      <c r="L1533" s="65"/>
      <c r="M1533" s="62"/>
      <c r="N1533" s="11"/>
      <c r="O1533" s="66"/>
      <c r="P1533" s="62"/>
      <c r="Q1533" s="62"/>
      <c r="R1533" s="62"/>
      <c r="S1533" s="62"/>
      <c r="T1533" s="62"/>
      <c r="U1533" s="67"/>
    </row>
    <row r="1534" spans="1:21">
      <c r="C1534" s="79"/>
      <c r="D1534" s="61"/>
      <c r="F1534" s="62"/>
      <c r="K1534" s="84"/>
      <c r="N1534" s="11"/>
      <c r="O1534" s="133"/>
      <c r="S1534" s="94"/>
    </row>
    <row r="1535" spans="1:21">
      <c r="C1535" s="79"/>
      <c r="D1535" s="61"/>
      <c r="F1535" s="62"/>
      <c r="N1535" s="11"/>
      <c r="S1535" s="92"/>
    </row>
    <row r="1536" spans="1:21">
      <c r="C1536" s="79"/>
      <c r="D1536" s="61"/>
      <c r="F1536" s="62"/>
      <c r="N1536" s="11"/>
    </row>
    <row r="1537" spans="1:21">
      <c r="C1537" s="79"/>
      <c r="D1537" s="61"/>
      <c r="F1537" s="62"/>
    </row>
    <row r="1538" spans="1:21">
      <c r="C1538" s="79"/>
      <c r="D1538" s="61"/>
      <c r="F1538" s="62"/>
    </row>
    <row r="1539" spans="1:21">
      <c r="C1539" s="79"/>
      <c r="D1539" s="61"/>
      <c r="F1539" s="62"/>
    </row>
    <row r="1540" spans="1:21">
      <c r="C1540" s="79"/>
      <c r="D1540" s="61"/>
      <c r="E1540" s="141"/>
      <c r="F1540" s="62"/>
    </row>
    <row r="1541" spans="1:21">
      <c r="C1541" s="79"/>
      <c r="D1541" s="61"/>
      <c r="E1541" s="141"/>
      <c r="F1541" s="62"/>
    </row>
    <row r="1542" spans="1:21">
      <c r="C1542" s="79"/>
      <c r="D1542" s="61"/>
      <c r="E1542" s="141"/>
      <c r="F1542" s="62"/>
    </row>
    <row r="1543" spans="1:21">
      <c r="C1543" s="79"/>
      <c r="D1543" s="61"/>
      <c r="E1543" s="142"/>
      <c r="F1543" s="62"/>
    </row>
    <row r="1544" spans="1:21">
      <c r="C1544" s="79"/>
      <c r="D1544" s="61"/>
      <c r="E1544" s="142"/>
      <c r="F1544" s="62"/>
    </row>
    <row r="1545" spans="1:21">
      <c r="C1545" s="79"/>
      <c r="D1545" s="61"/>
      <c r="E1545" s="142"/>
      <c r="F1545" s="62"/>
    </row>
    <row r="1546" spans="1:21">
      <c r="C1546" s="79"/>
      <c r="D1546" s="61"/>
      <c r="E1546" s="142"/>
      <c r="F1546" s="62"/>
    </row>
    <row r="1547" spans="1:21">
      <c r="C1547" s="79"/>
      <c r="D1547" s="61"/>
      <c r="E1547" s="142"/>
      <c r="F1547" s="62"/>
    </row>
    <row r="1548" spans="1:21">
      <c r="C1548" s="79"/>
      <c r="D1548" s="61"/>
      <c r="E1548" s="142"/>
      <c r="F1548" s="62"/>
    </row>
    <row r="1549" spans="1:21">
      <c r="C1549" s="79"/>
      <c r="D1549" s="61"/>
      <c r="E1549" s="142"/>
      <c r="F1549" s="62"/>
    </row>
    <row r="1550" spans="1:21">
      <c r="C1550" s="79"/>
      <c r="D1550" s="61"/>
      <c r="E1550" s="142"/>
      <c r="F1550" s="62"/>
    </row>
    <row r="1551" s="58" customFormat="1" customHeight="1" spans="1:21">
      <c r="A1551" s="61"/>
      <c r="B1551" s="62"/>
      <c r="C1551" s="79"/>
      <c r="D1551" s="61"/>
      <c r="E1551" s="64"/>
      <c r="F1551" s="62"/>
      <c r="G1551" s="62"/>
      <c r="H1551" s="62"/>
      <c r="I1551" s="62"/>
      <c r="J1551" s="62"/>
      <c r="K1551" s="65"/>
      <c r="L1551" s="65"/>
      <c r="M1551" s="62"/>
      <c r="N1551" s="11"/>
      <c r="O1551" s="66"/>
      <c r="P1551" s="62"/>
      <c r="Q1551" s="62"/>
      <c r="R1551" s="62"/>
      <c r="S1551" s="94"/>
      <c r="T1551" s="62"/>
      <c r="U1551" s="67"/>
    </row>
    <row r="1552" s="58" customFormat="1" customHeight="1" spans="1:21">
      <c r="A1552" s="61"/>
      <c r="B1552" s="62"/>
      <c r="C1552" s="79"/>
      <c r="D1552" s="61"/>
      <c r="E1552" s="64"/>
      <c r="F1552" s="62"/>
      <c r="G1552" s="62"/>
      <c r="H1552" s="62"/>
      <c r="I1552" s="62"/>
      <c r="J1552" s="62"/>
      <c r="K1552" s="65"/>
      <c r="L1552" s="65"/>
      <c r="M1552" s="62"/>
      <c r="N1552" s="11"/>
      <c r="O1552" s="66"/>
      <c r="P1552" s="62"/>
      <c r="Q1552" s="62"/>
      <c r="R1552" s="62"/>
      <c r="S1552" s="92"/>
      <c r="T1552" s="62"/>
      <c r="U1552" s="67"/>
    </row>
    <row r="1553" spans="3:19">
      <c r="C1553" s="79"/>
      <c r="D1553" s="61"/>
      <c r="F1553" s="62"/>
      <c r="N1553" s="11"/>
      <c r="S1553" s="94"/>
    </row>
    <row r="1554" spans="3:19">
      <c r="C1554" s="79"/>
      <c r="D1554" s="61"/>
      <c r="F1554" s="62"/>
      <c r="N1554" s="11"/>
      <c r="S1554" s="92"/>
    </row>
    <row r="1555" spans="3:19">
      <c r="C1555" s="79"/>
      <c r="D1555" s="61"/>
      <c r="F1555" s="62"/>
      <c r="N1555" s="11"/>
    </row>
    <row r="1556" spans="3:19">
      <c r="C1556" s="79"/>
      <c r="D1556" s="61"/>
      <c r="F1556" s="62"/>
      <c r="N1556" s="11"/>
    </row>
    <row r="1557" spans="3:19">
      <c r="C1557" s="79"/>
      <c r="D1557" s="61"/>
      <c r="F1557" s="62"/>
      <c r="H1557" s="62"/>
    </row>
    <row r="1558" spans="3:19">
      <c r="C1558" s="79"/>
      <c r="D1558" s="61"/>
      <c r="F1558" s="62"/>
    </row>
    <row r="1559" spans="3:19">
      <c r="C1559" s="79"/>
      <c r="D1559" s="61"/>
      <c r="F1559" s="62"/>
    </row>
    <row r="1560" spans="3:19">
      <c r="C1560" s="79"/>
      <c r="D1560" s="61"/>
      <c r="E1560" s="141"/>
      <c r="F1560" s="62"/>
    </row>
    <row r="1561" spans="3:19">
      <c r="C1561" s="79"/>
      <c r="D1561" s="61"/>
      <c r="F1561" s="62"/>
    </row>
    <row r="1562" spans="3:19">
      <c r="C1562" s="79"/>
      <c r="D1562" s="61"/>
      <c r="F1562" s="62"/>
      <c r="S1562" s="94"/>
    </row>
    <row r="1563" spans="3:19">
      <c r="C1563" s="79"/>
      <c r="D1563" s="61"/>
      <c r="F1563" s="62"/>
      <c r="S1563" s="92"/>
    </row>
    <row r="1564" spans="3:19">
      <c r="C1564" s="79"/>
      <c r="D1564" s="61"/>
      <c r="F1564" s="62"/>
      <c r="S1564" s="95"/>
    </row>
    <row r="1565" spans="3:19">
      <c r="C1565" s="79"/>
      <c r="D1565" s="61"/>
      <c r="F1565" s="62"/>
      <c r="S1565" s="95"/>
    </row>
    <row r="1566" spans="3:19">
      <c r="C1566" s="79"/>
      <c r="D1566" s="61"/>
      <c r="F1566" s="62"/>
      <c r="S1566" s="95"/>
    </row>
    <row r="1567" spans="3:19">
      <c r="C1567" s="79"/>
      <c r="D1567" s="61"/>
      <c r="F1567" s="62"/>
      <c r="S1567" s="92"/>
    </row>
    <row r="1568" spans="3:19">
      <c r="C1568" s="79"/>
      <c r="D1568" s="61"/>
      <c r="E1568" s="150"/>
      <c r="F1568" s="62"/>
    </row>
    <row r="1569" spans="1:21">
      <c r="C1569" s="79"/>
      <c r="D1569" s="61"/>
      <c r="E1569" s="150"/>
      <c r="F1569" s="62"/>
    </row>
    <row r="1570" spans="1:21">
      <c r="C1570" s="79"/>
      <c r="D1570" s="61"/>
      <c r="E1570" s="150"/>
      <c r="F1570" s="62"/>
      <c r="K1570" s="84"/>
      <c r="O1570" s="133"/>
    </row>
    <row r="1571" spans="1:21">
      <c r="C1571" s="79"/>
      <c r="D1571" s="61"/>
      <c r="E1571" s="150"/>
      <c r="F1571" s="62"/>
    </row>
    <row r="1572" spans="1:21">
      <c r="C1572" s="79"/>
      <c r="D1572" s="61"/>
      <c r="E1572" s="150"/>
      <c r="F1572" s="62"/>
    </row>
    <row r="1573" spans="1:21">
      <c r="C1573" s="79"/>
      <c r="D1573" s="61"/>
      <c r="E1573" s="150"/>
      <c r="F1573" s="62"/>
    </row>
    <row r="1574" spans="1:21">
      <c r="C1574" s="79"/>
      <c r="D1574" s="61"/>
      <c r="E1574" s="150"/>
      <c r="F1574" s="62"/>
      <c r="K1574" s="84"/>
      <c r="O1574" s="133"/>
      <c r="R1574" s="84"/>
      <c r="S1574" s="94"/>
    </row>
    <row r="1575" spans="1:21">
      <c r="C1575" s="79"/>
      <c r="D1575" s="61"/>
      <c r="E1575" s="150"/>
      <c r="F1575" s="62"/>
      <c r="K1575" s="84"/>
      <c r="O1575" s="133"/>
      <c r="R1575" s="84"/>
      <c r="S1575" s="92"/>
    </row>
    <row r="1576" s="58" customFormat="1" spans="1:21">
      <c r="A1576" s="61"/>
      <c r="B1576" s="62"/>
      <c r="C1576" s="79"/>
      <c r="D1576" s="61"/>
      <c r="E1576" s="150"/>
      <c r="F1576" s="62"/>
      <c r="G1576" s="62"/>
      <c r="H1576" s="62"/>
      <c r="I1576" s="62"/>
      <c r="J1576" s="62"/>
      <c r="K1576" s="84"/>
      <c r="L1576" s="65"/>
      <c r="M1576" s="62"/>
      <c r="N1576" s="62"/>
      <c r="O1576" s="133"/>
      <c r="P1576" s="62"/>
      <c r="Q1576" s="62"/>
      <c r="R1576" s="84"/>
      <c r="S1576" s="92"/>
      <c r="T1576" s="62"/>
      <c r="U1576" s="67"/>
    </row>
    <row r="1577" spans="1:21">
      <c r="C1577" s="79"/>
      <c r="D1577" s="61"/>
      <c r="E1577" s="150"/>
      <c r="F1577" s="62"/>
      <c r="K1577" s="84"/>
      <c r="O1577" s="133"/>
      <c r="R1577" s="84"/>
    </row>
    <row r="1578" spans="1:21">
      <c r="C1578" s="79"/>
      <c r="D1578" s="61"/>
      <c r="E1578" s="150"/>
      <c r="F1578" s="62"/>
      <c r="K1578" s="84"/>
      <c r="O1578" s="133"/>
      <c r="R1578" s="84"/>
    </row>
    <row r="1579" spans="1:21">
      <c r="C1579" s="79"/>
      <c r="D1579" s="61"/>
      <c r="E1579" s="150"/>
      <c r="F1579" s="62"/>
      <c r="K1579" s="84"/>
      <c r="O1579" s="133"/>
      <c r="R1579" s="84"/>
    </row>
    <row r="1580" spans="1:21">
      <c r="C1580" s="79"/>
      <c r="D1580" s="61"/>
      <c r="E1580" s="150"/>
      <c r="F1580" s="62"/>
      <c r="K1580" s="84"/>
      <c r="O1580" s="133"/>
      <c r="R1580" s="84"/>
    </row>
    <row r="1581" spans="1:21">
      <c r="C1581" s="79"/>
      <c r="D1581" s="61"/>
      <c r="E1581" s="150"/>
      <c r="F1581" s="62"/>
      <c r="K1581" s="84"/>
      <c r="O1581" s="133"/>
      <c r="R1581" s="84"/>
    </row>
    <row r="1582" spans="1:21">
      <c r="C1582" s="79"/>
      <c r="D1582" s="61"/>
      <c r="E1582" s="151"/>
      <c r="F1582" s="62"/>
      <c r="K1582" s="84"/>
      <c r="O1582" s="133"/>
      <c r="R1582" s="84"/>
    </row>
    <row r="1583" spans="1:21">
      <c r="C1583" s="79"/>
      <c r="D1583" s="61"/>
      <c r="E1583" s="151"/>
      <c r="F1583" s="62"/>
      <c r="K1583" s="84"/>
      <c r="O1583" s="133"/>
      <c r="R1583" s="84"/>
    </row>
    <row r="1584" spans="1:21">
      <c r="C1584" s="79"/>
      <c r="D1584" s="61"/>
      <c r="E1584" s="151"/>
      <c r="F1584" s="62"/>
      <c r="K1584" s="84"/>
      <c r="O1584" s="133"/>
    </row>
    <row r="1585" spans="3:21">
      <c r="C1585" s="79"/>
      <c r="D1585" s="61"/>
      <c r="E1585" s="151"/>
      <c r="F1585" s="62"/>
      <c r="K1585" s="84"/>
      <c r="O1585" s="133"/>
    </row>
    <row r="1586" spans="3:21">
      <c r="C1586" s="79"/>
      <c r="D1586" s="61"/>
      <c r="E1586" s="151"/>
      <c r="F1586" s="62"/>
      <c r="K1586" s="84"/>
      <c r="O1586" s="133"/>
    </row>
    <row r="1587" spans="3:21">
      <c r="C1587" s="79"/>
      <c r="D1587" s="61"/>
      <c r="E1587" s="151"/>
      <c r="F1587" s="62"/>
      <c r="I1587" s="61"/>
    </row>
    <row r="1588" spans="3:21">
      <c r="C1588" s="79"/>
      <c r="D1588" s="61"/>
      <c r="E1588" s="151"/>
      <c r="F1588" s="62"/>
      <c r="S1588" s="94"/>
    </row>
    <row r="1589" spans="3:21">
      <c r="C1589" s="79"/>
      <c r="D1589" s="61"/>
      <c r="E1589" s="151"/>
      <c r="F1589" s="62"/>
      <c r="S1589" s="92"/>
    </row>
    <row r="1590" spans="3:21">
      <c r="C1590" s="79"/>
      <c r="D1590" s="61"/>
      <c r="E1590" s="151"/>
      <c r="F1590" s="62"/>
    </row>
    <row r="1591" spans="3:21">
      <c r="C1591" s="79"/>
      <c r="D1591" s="61"/>
      <c r="E1591" s="151"/>
      <c r="F1591" s="62"/>
    </row>
    <row r="1592" spans="3:21">
      <c r="C1592" s="79"/>
      <c r="D1592" s="61"/>
      <c r="E1592" s="151"/>
      <c r="F1592" s="62"/>
    </row>
    <row r="1593" spans="3:21">
      <c r="C1593" s="79"/>
      <c r="D1593" s="61"/>
      <c r="E1593" s="150"/>
      <c r="F1593" s="62"/>
    </row>
    <row r="1594" spans="3:21">
      <c r="C1594" s="79"/>
      <c r="D1594" s="61"/>
      <c r="E1594" s="150"/>
      <c r="F1594" s="62"/>
      <c r="K1594" s="84"/>
      <c r="O1594" s="133"/>
      <c r="U1594" s="82"/>
    </row>
    <row r="1595" spans="3:21">
      <c r="C1595" s="79"/>
      <c r="D1595" s="61"/>
      <c r="E1595" s="150"/>
      <c r="F1595" s="62"/>
      <c r="O1595" s="61"/>
    </row>
    <row r="1596" spans="3:21">
      <c r="C1596" s="79"/>
      <c r="D1596" s="61"/>
      <c r="E1596" s="150"/>
      <c r="F1596" s="62"/>
      <c r="K1596" s="84"/>
      <c r="O1596" s="61"/>
    </row>
    <row r="1597" spans="3:21">
      <c r="C1597" s="79"/>
      <c r="D1597" s="61"/>
      <c r="E1597" s="150"/>
      <c r="F1597" s="62"/>
    </row>
    <row r="1598" spans="3:21">
      <c r="C1598" s="79"/>
      <c r="D1598" s="61"/>
      <c r="E1598" s="150"/>
      <c r="F1598" s="62"/>
      <c r="K1598" s="84"/>
    </row>
    <row r="1599" spans="3:21">
      <c r="C1599" s="79"/>
      <c r="D1599" s="61"/>
      <c r="E1599" s="151"/>
      <c r="F1599" s="62"/>
    </row>
    <row r="1600" spans="3:21">
      <c r="C1600" s="79"/>
      <c r="D1600" s="61"/>
      <c r="E1600" s="151"/>
      <c r="F1600" s="62"/>
    </row>
    <row r="1601" spans="3:21">
      <c r="C1601" s="79"/>
      <c r="D1601" s="61"/>
      <c r="E1601" s="151"/>
      <c r="F1601" s="62"/>
    </row>
    <row r="1602" spans="3:21">
      <c r="C1602" s="79"/>
      <c r="D1602" s="61"/>
      <c r="E1602" s="151"/>
      <c r="F1602" s="62"/>
    </row>
    <row r="1603" spans="3:21">
      <c r="C1603" s="79"/>
      <c r="D1603" s="61"/>
      <c r="E1603" s="151"/>
      <c r="F1603" s="62"/>
    </row>
    <row r="1604" spans="3:21">
      <c r="C1604" s="79"/>
      <c r="D1604" s="61"/>
      <c r="E1604" s="151"/>
      <c r="F1604" s="62"/>
    </row>
    <row r="1605" spans="3:21">
      <c r="C1605" s="79"/>
      <c r="D1605" s="61"/>
      <c r="E1605" s="151"/>
      <c r="F1605" s="62"/>
    </row>
    <row r="1606" spans="3:21">
      <c r="C1606" s="79"/>
      <c r="D1606" s="61"/>
      <c r="E1606" s="151"/>
      <c r="F1606" s="62"/>
    </row>
    <row r="1607" spans="3:21">
      <c r="C1607" s="79"/>
      <c r="D1607" s="61"/>
      <c r="E1607" s="151"/>
      <c r="F1607" s="62"/>
    </row>
    <row r="1608" spans="3:21">
      <c r="C1608" s="79"/>
      <c r="D1608" s="61"/>
      <c r="E1608" s="151"/>
      <c r="F1608" s="62"/>
    </row>
    <row r="1609" spans="3:21">
      <c r="C1609" s="79"/>
      <c r="D1609" s="61"/>
      <c r="E1609" s="151"/>
      <c r="F1609" s="62"/>
    </row>
    <row r="1610" spans="3:21">
      <c r="C1610" s="79"/>
      <c r="D1610" s="61"/>
      <c r="E1610" s="151"/>
      <c r="F1610" s="62"/>
    </row>
    <row r="1611" spans="3:21">
      <c r="C1611" s="79"/>
      <c r="D1611" s="61"/>
      <c r="E1611" s="151"/>
      <c r="F1611" s="62"/>
    </row>
    <row r="1612" spans="3:21">
      <c r="C1612" s="79"/>
      <c r="D1612" s="61"/>
      <c r="E1612" s="151"/>
      <c r="F1612" s="62"/>
    </row>
    <row r="1613" spans="3:21">
      <c r="C1613" s="79"/>
      <c r="D1613" s="61"/>
      <c r="E1613" s="151"/>
      <c r="F1613" s="62"/>
    </row>
    <row r="1614" spans="3:21">
      <c r="C1614" s="79"/>
      <c r="D1614" s="61"/>
      <c r="E1614" s="151"/>
      <c r="F1614" s="62"/>
    </row>
    <row r="1615" spans="3:21">
      <c r="C1615" s="79"/>
      <c r="D1615" s="61"/>
      <c r="E1615" s="151"/>
      <c r="F1615" s="62"/>
    </row>
    <row r="1616" spans="3:21">
      <c r="C1616" s="79"/>
      <c r="D1616" s="61"/>
      <c r="E1616" s="150"/>
      <c r="F1616" s="62"/>
      <c r="K1616" s="84"/>
      <c r="O1616" s="133"/>
      <c r="U1616" s="139"/>
    </row>
    <row r="1617" spans="3:21">
      <c r="C1617" s="79"/>
      <c r="D1617" s="61"/>
      <c r="E1617" s="150"/>
      <c r="F1617" s="62"/>
      <c r="K1617" s="84"/>
      <c r="O1617" s="133"/>
      <c r="U1617" s="139"/>
    </row>
    <row r="1618" spans="3:21">
      <c r="C1618" s="79"/>
      <c r="D1618" s="61"/>
      <c r="E1618" s="150"/>
      <c r="F1618" s="62"/>
      <c r="K1618" s="84"/>
      <c r="O1618" s="133"/>
      <c r="U1618" s="139"/>
    </row>
    <row r="1619" spans="3:21">
      <c r="C1619" s="79"/>
      <c r="D1619" s="61"/>
      <c r="E1619" s="151"/>
      <c r="F1619" s="62"/>
      <c r="H1619" s="62"/>
      <c r="K1619" s="84"/>
      <c r="O1619" s="133"/>
    </row>
    <row r="1620" spans="3:21">
      <c r="C1620" s="79"/>
      <c r="D1620" s="61"/>
      <c r="E1620" s="151"/>
      <c r="F1620" s="62"/>
      <c r="K1620" s="84"/>
      <c r="O1620" s="133"/>
    </row>
    <row r="1621" spans="3:21">
      <c r="C1621" s="79"/>
      <c r="D1621" s="61"/>
      <c r="E1621" s="151"/>
      <c r="F1621" s="62"/>
      <c r="H1621" s="62"/>
    </row>
    <row r="1622" spans="3:21">
      <c r="C1622" s="79"/>
      <c r="D1622" s="61"/>
      <c r="E1622" s="151"/>
      <c r="F1622" s="62"/>
    </row>
    <row r="1623" spans="3:21">
      <c r="C1623" s="79"/>
      <c r="D1623" s="61"/>
      <c r="E1623" s="151"/>
      <c r="F1623" s="62"/>
    </row>
    <row r="1624" spans="3:21">
      <c r="C1624" s="79"/>
      <c r="D1624" s="61"/>
      <c r="E1624" s="151"/>
      <c r="F1624" s="62"/>
      <c r="K1624" s="84"/>
      <c r="O1624" s="133"/>
    </row>
    <row r="1625" spans="3:21">
      <c r="C1625" s="79"/>
      <c r="D1625" s="61"/>
      <c r="E1625" s="151"/>
      <c r="F1625" s="62"/>
    </row>
    <row r="1626" spans="3:21">
      <c r="C1626" s="79"/>
      <c r="D1626" s="61"/>
      <c r="E1626" s="151"/>
      <c r="F1626" s="62"/>
      <c r="K1626" s="84"/>
      <c r="O1626" s="133"/>
    </row>
    <row r="1627" spans="3:21">
      <c r="C1627" s="79"/>
      <c r="D1627" s="61"/>
      <c r="E1627" s="151"/>
      <c r="F1627" s="62"/>
    </row>
    <row r="1628" spans="3:21">
      <c r="C1628" s="79"/>
      <c r="D1628" s="61"/>
      <c r="E1628" s="151"/>
      <c r="F1628" s="62"/>
      <c r="K1628" s="84"/>
      <c r="S1628" s="94"/>
      <c r="U1628" s="139"/>
    </row>
    <row r="1629" spans="3:21">
      <c r="C1629" s="79"/>
      <c r="D1629" s="61"/>
      <c r="E1629" s="151"/>
      <c r="F1629" s="62"/>
      <c r="K1629" s="84"/>
      <c r="S1629" s="92"/>
    </row>
    <row r="1630" spans="3:21">
      <c r="C1630" s="79"/>
      <c r="D1630" s="61"/>
      <c r="E1630" s="151"/>
      <c r="F1630" s="62"/>
      <c r="S1630" s="94"/>
    </row>
    <row r="1631" spans="3:21">
      <c r="C1631" s="79"/>
      <c r="D1631" s="61"/>
      <c r="E1631" s="151"/>
      <c r="F1631" s="62"/>
      <c r="S1631" s="92"/>
    </row>
    <row r="1632" spans="3:21">
      <c r="C1632" s="79"/>
      <c r="D1632" s="61"/>
      <c r="E1632" s="151"/>
      <c r="F1632" s="62"/>
    </row>
    <row r="1633" spans="3:19">
      <c r="C1633" s="79"/>
      <c r="D1633" s="61"/>
      <c r="E1633" s="150"/>
      <c r="F1633" s="62"/>
      <c r="K1633" s="84"/>
      <c r="O1633" s="133"/>
      <c r="S1633" s="92"/>
    </row>
    <row r="1634" spans="3:19">
      <c r="C1634" s="79"/>
      <c r="D1634" s="61"/>
      <c r="E1634" s="150"/>
      <c r="F1634" s="62"/>
      <c r="K1634" s="84"/>
      <c r="O1634" s="133"/>
    </row>
    <row r="1635" spans="3:19">
      <c r="C1635" s="79"/>
      <c r="D1635" s="61"/>
      <c r="E1635" s="150"/>
      <c r="F1635" s="62"/>
      <c r="K1635" s="84"/>
      <c r="O1635" s="133"/>
    </row>
    <row r="1636" spans="3:19">
      <c r="C1636" s="79"/>
      <c r="D1636" s="61"/>
      <c r="E1636" s="142"/>
      <c r="F1636" s="62"/>
    </row>
    <row r="1637" spans="3:19">
      <c r="C1637" s="79"/>
      <c r="D1637" s="61"/>
      <c r="E1637" s="142"/>
      <c r="F1637" s="62"/>
    </row>
    <row r="1638" spans="3:19">
      <c r="C1638" s="79"/>
      <c r="D1638" s="61"/>
      <c r="E1638" s="142"/>
      <c r="F1638" s="62"/>
    </row>
    <row r="1639" spans="3:19">
      <c r="C1639" s="79"/>
      <c r="D1639" s="61"/>
      <c r="E1639" s="142"/>
      <c r="F1639" s="62"/>
    </row>
    <row r="1640" spans="3:19">
      <c r="C1640" s="79"/>
      <c r="D1640" s="61"/>
      <c r="E1640" s="142"/>
      <c r="F1640" s="62"/>
    </row>
    <row r="1641" spans="3:19">
      <c r="C1641" s="79"/>
      <c r="D1641" s="61"/>
      <c r="E1641" s="142"/>
      <c r="F1641" s="62"/>
    </row>
    <row r="1642" spans="3:19">
      <c r="C1642" s="79"/>
      <c r="D1642" s="61"/>
      <c r="E1642" s="142"/>
      <c r="F1642" s="62"/>
    </row>
    <row r="1643" spans="3:19">
      <c r="C1643" s="79"/>
      <c r="D1643" s="61"/>
      <c r="E1643" s="142"/>
      <c r="F1643" s="62"/>
    </row>
    <row r="1644" spans="3:19">
      <c r="C1644" s="79"/>
      <c r="D1644" s="61"/>
      <c r="E1644" s="142"/>
      <c r="F1644" s="62"/>
    </row>
    <row r="1645" spans="3:19">
      <c r="C1645" s="79"/>
      <c r="D1645" s="61"/>
      <c r="E1645" s="142"/>
      <c r="F1645" s="62"/>
    </row>
    <row r="1646" spans="3:19">
      <c r="C1646" s="79"/>
      <c r="D1646" s="61"/>
      <c r="E1646" s="142"/>
      <c r="F1646" s="62"/>
    </row>
    <row r="1647" spans="3:19">
      <c r="C1647" s="79"/>
      <c r="D1647" s="61"/>
      <c r="E1647" s="142"/>
      <c r="F1647" s="62"/>
    </row>
    <row r="1648" spans="3:19">
      <c r="C1648" s="79"/>
      <c r="D1648" s="61"/>
      <c r="E1648" s="142"/>
      <c r="F1648" s="62"/>
    </row>
    <row r="1649" spans="3:19">
      <c r="C1649" s="79"/>
      <c r="D1649" s="61"/>
      <c r="E1649" s="142"/>
      <c r="F1649" s="62"/>
    </row>
    <row r="1650" spans="3:19">
      <c r="C1650" s="79"/>
      <c r="D1650" s="61"/>
      <c r="E1650" s="142"/>
      <c r="F1650" s="62"/>
    </row>
    <row r="1651" spans="3:19">
      <c r="C1651" s="79"/>
      <c r="D1651" s="61"/>
      <c r="E1651" s="142"/>
      <c r="F1651" s="62"/>
    </row>
    <row r="1652" spans="3:19">
      <c r="C1652" s="79"/>
      <c r="D1652" s="61"/>
      <c r="E1652" s="142"/>
      <c r="F1652" s="62"/>
    </row>
    <row r="1653" spans="3:19">
      <c r="C1653" s="79"/>
      <c r="D1653" s="61"/>
      <c r="E1653" s="142"/>
      <c r="F1653" s="62"/>
      <c r="S1653" s="92"/>
    </row>
    <row r="1654" spans="3:19">
      <c r="C1654" s="79"/>
      <c r="D1654" s="61"/>
      <c r="E1654" s="142"/>
      <c r="F1654" s="62"/>
    </row>
    <row r="1655" spans="3:19">
      <c r="C1655" s="79"/>
      <c r="D1655" s="61"/>
      <c r="E1655" s="142"/>
      <c r="F1655" s="62"/>
    </row>
    <row r="1656" spans="3:19">
      <c r="C1656" s="79"/>
      <c r="D1656" s="61"/>
      <c r="E1656" s="142"/>
      <c r="F1656" s="62"/>
      <c r="H1656" s="12"/>
      <c r="K1656" s="84"/>
    </row>
    <row r="1657" spans="3:19">
      <c r="C1657" s="79"/>
      <c r="D1657" s="61"/>
      <c r="E1657" s="142"/>
      <c r="F1657" s="62"/>
      <c r="K1657" s="84"/>
    </row>
    <row r="1658" spans="3:19">
      <c r="C1658" s="79"/>
      <c r="D1658" s="61"/>
      <c r="E1658" s="142"/>
      <c r="F1658" s="62"/>
    </row>
    <row r="1659" spans="3:19">
      <c r="C1659" s="79"/>
      <c r="D1659" s="61"/>
      <c r="E1659" s="142"/>
      <c r="F1659" s="62"/>
    </row>
    <row r="1660" spans="3:19">
      <c r="C1660" s="79"/>
      <c r="D1660" s="61"/>
      <c r="E1660" s="142"/>
      <c r="F1660" s="62"/>
    </row>
    <row r="1661" spans="3:19">
      <c r="C1661" s="79"/>
      <c r="D1661" s="61"/>
      <c r="E1661" s="142"/>
      <c r="F1661" s="62"/>
      <c r="S1661" s="94"/>
    </row>
    <row r="1662" spans="3:19">
      <c r="C1662" s="79"/>
      <c r="D1662" s="61"/>
      <c r="E1662" s="142"/>
      <c r="F1662" s="62"/>
    </row>
    <row r="1663" spans="3:19">
      <c r="C1663" s="79"/>
      <c r="D1663" s="61"/>
      <c r="E1663" s="142"/>
      <c r="F1663" s="62"/>
    </row>
    <row r="1664" spans="3:19">
      <c r="C1664" s="79"/>
      <c r="D1664" s="61"/>
      <c r="E1664" s="142"/>
      <c r="F1664" s="62"/>
    </row>
    <row r="1665" spans="3:15">
      <c r="C1665" s="79"/>
      <c r="D1665" s="61"/>
      <c r="E1665" s="142"/>
      <c r="F1665" s="62"/>
    </row>
    <row r="1666" spans="3:15">
      <c r="C1666" s="79"/>
      <c r="D1666" s="61"/>
      <c r="E1666" s="142"/>
      <c r="F1666" s="62"/>
    </row>
    <row r="1667" spans="3:15">
      <c r="C1667" s="79"/>
      <c r="D1667" s="61"/>
      <c r="E1667" s="142"/>
      <c r="F1667" s="62"/>
      <c r="H1667" s="62"/>
    </row>
    <row r="1668" spans="3:15">
      <c r="C1668" s="79"/>
      <c r="D1668" s="61"/>
      <c r="E1668" s="142"/>
      <c r="F1668" s="62"/>
    </row>
    <row r="1669" spans="3:15">
      <c r="C1669" s="79"/>
      <c r="D1669" s="61"/>
      <c r="E1669" s="142"/>
      <c r="F1669" s="62"/>
    </row>
    <row r="1670" spans="3:15">
      <c r="C1670" s="79"/>
      <c r="D1670" s="61"/>
      <c r="E1670" s="142"/>
      <c r="F1670" s="62"/>
      <c r="O1670" s="66"/>
    </row>
    <row r="1671" spans="3:15">
      <c r="C1671" s="79"/>
      <c r="D1671" s="61"/>
      <c r="E1671" s="142"/>
      <c r="F1671" s="62"/>
    </row>
    <row r="1672" spans="3:15">
      <c r="C1672" s="79"/>
      <c r="D1672" s="61"/>
      <c r="E1672" s="150"/>
      <c r="F1672" s="62"/>
    </row>
    <row r="1673" spans="3:15">
      <c r="C1673" s="79"/>
      <c r="D1673" s="61"/>
      <c r="E1673" s="151"/>
      <c r="F1673" s="62"/>
      <c r="O1673" s="123"/>
    </row>
    <row r="1674" spans="3:15">
      <c r="C1674" s="79"/>
      <c r="D1674" s="61"/>
      <c r="E1674" s="150"/>
      <c r="F1674" s="62"/>
      <c r="K1674" s="84"/>
      <c r="O1674" s="133"/>
    </row>
    <row r="1675" spans="3:15">
      <c r="C1675" s="79"/>
      <c r="D1675" s="61"/>
      <c r="E1675" s="150"/>
      <c r="F1675" s="62"/>
    </row>
    <row r="1676" spans="3:15">
      <c r="C1676" s="79"/>
      <c r="D1676" s="61"/>
      <c r="E1676" s="150"/>
      <c r="F1676" s="62"/>
    </row>
    <row r="1677" spans="3:15">
      <c r="C1677" s="79"/>
      <c r="D1677" s="61"/>
      <c r="E1677" s="150"/>
      <c r="F1677" s="62"/>
    </row>
    <row r="1678" spans="3:15">
      <c r="C1678" s="79"/>
      <c r="D1678" s="61"/>
      <c r="E1678" s="150"/>
      <c r="F1678" s="62"/>
    </row>
    <row r="1679" spans="3:15">
      <c r="C1679" s="79"/>
      <c r="D1679" s="61"/>
      <c r="E1679" s="150"/>
      <c r="F1679" s="62"/>
    </row>
    <row r="1680" spans="3:15">
      <c r="C1680" s="79"/>
      <c r="D1680" s="61"/>
      <c r="E1680" s="150"/>
      <c r="F1680" s="62"/>
    </row>
    <row r="1681" spans="3:21">
      <c r="C1681" s="79"/>
      <c r="D1681" s="61"/>
      <c r="E1681" s="151"/>
      <c r="F1681" s="62"/>
      <c r="S1681" s="94"/>
    </row>
    <row r="1682" spans="3:21">
      <c r="C1682" s="79"/>
      <c r="D1682" s="61"/>
      <c r="E1682" s="151"/>
      <c r="F1682" s="62"/>
      <c r="H1682" s="12"/>
      <c r="I1682" s="12"/>
      <c r="S1682" s="92"/>
    </row>
    <row r="1683" spans="3:21">
      <c r="C1683" s="79"/>
      <c r="D1683" s="61"/>
      <c r="E1683" s="150"/>
      <c r="F1683" s="62"/>
    </row>
    <row r="1684" spans="3:21">
      <c r="C1684" s="79"/>
      <c r="D1684" s="61"/>
      <c r="E1684" s="150"/>
      <c r="F1684" s="62"/>
    </row>
    <row r="1685" spans="3:21">
      <c r="C1685" s="79"/>
      <c r="D1685" s="61"/>
      <c r="E1685" s="150"/>
      <c r="F1685" s="62"/>
    </row>
    <row r="1686" spans="3:21">
      <c r="C1686" s="79"/>
      <c r="D1686" s="61"/>
      <c r="E1686" s="150"/>
      <c r="F1686" s="62"/>
      <c r="K1686" s="84"/>
      <c r="O1686" s="133"/>
      <c r="U1686" s="139"/>
    </row>
    <row r="1687" spans="3:21">
      <c r="C1687" s="79"/>
      <c r="D1687" s="61"/>
      <c r="E1687" s="150"/>
      <c r="F1687" s="62"/>
      <c r="K1687" s="84"/>
      <c r="O1687" s="133"/>
      <c r="U1687" s="139"/>
    </row>
    <row r="1688" spans="3:21">
      <c r="C1688" s="79"/>
      <c r="D1688" s="61"/>
      <c r="E1688" s="150"/>
      <c r="F1688" s="62"/>
      <c r="U1688" s="139"/>
    </row>
    <row r="1689" spans="3:21">
      <c r="C1689" s="79"/>
      <c r="D1689" s="61"/>
      <c r="E1689" s="150"/>
      <c r="F1689" s="62"/>
      <c r="K1689" s="84"/>
      <c r="O1689" s="133"/>
      <c r="U1689" s="139"/>
    </row>
    <row r="1690" spans="3:21">
      <c r="C1690" s="79"/>
      <c r="D1690" s="61"/>
      <c r="E1690" s="150"/>
      <c r="F1690" s="62"/>
    </row>
    <row r="1691" spans="3:21">
      <c r="C1691" s="79"/>
      <c r="D1691" s="61"/>
      <c r="E1691" s="150"/>
      <c r="F1691" s="62"/>
    </row>
    <row r="1692" spans="3:21">
      <c r="C1692" s="79"/>
      <c r="D1692" s="61"/>
      <c r="E1692" s="151"/>
      <c r="F1692" s="62"/>
    </row>
    <row r="1693" spans="3:21">
      <c r="C1693" s="79"/>
      <c r="D1693" s="61"/>
      <c r="E1693" s="150"/>
      <c r="F1693" s="62"/>
    </row>
    <row r="1694" spans="3:21">
      <c r="C1694" s="79"/>
      <c r="D1694" s="61"/>
      <c r="E1694" s="150"/>
      <c r="F1694" s="62"/>
    </row>
    <row r="1695" spans="3:21">
      <c r="C1695" s="79"/>
      <c r="D1695" s="61"/>
      <c r="E1695" s="150"/>
      <c r="F1695" s="62"/>
    </row>
    <row r="1696" spans="3:21">
      <c r="C1696" s="79"/>
      <c r="D1696" s="61"/>
      <c r="E1696" s="150"/>
      <c r="F1696" s="62"/>
    </row>
    <row r="1697" spans="3:15">
      <c r="C1697" s="79"/>
      <c r="D1697" s="61"/>
      <c r="E1697" s="150"/>
      <c r="F1697" s="62"/>
    </row>
    <row r="1698" spans="3:15">
      <c r="C1698" s="79"/>
      <c r="D1698" s="61"/>
      <c r="E1698" s="142"/>
      <c r="F1698" s="62"/>
    </row>
    <row r="1699" spans="3:15">
      <c r="C1699" s="79"/>
      <c r="D1699" s="61"/>
      <c r="E1699" s="142"/>
      <c r="F1699" s="62"/>
    </row>
    <row r="1700" spans="3:15">
      <c r="C1700" s="79"/>
      <c r="D1700" s="61"/>
      <c r="E1700" s="142"/>
      <c r="F1700" s="62"/>
    </row>
    <row r="1701" spans="3:15">
      <c r="C1701" s="79"/>
      <c r="D1701" s="61"/>
      <c r="E1701" s="142"/>
      <c r="F1701" s="62"/>
    </row>
    <row r="1702" spans="3:15">
      <c r="C1702" s="79"/>
      <c r="D1702" s="61"/>
      <c r="E1702" s="142"/>
      <c r="F1702" s="62"/>
      <c r="K1702" s="84"/>
      <c r="O1702" s="133"/>
    </row>
    <row r="1703" spans="3:15">
      <c r="C1703" s="79"/>
      <c r="D1703" s="61"/>
      <c r="E1703" s="142"/>
      <c r="F1703" s="62"/>
    </row>
    <row r="1704" spans="3:15">
      <c r="C1704" s="79"/>
      <c r="D1704" s="61"/>
      <c r="E1704" s="150"/>
      <c r="F1704" s="62"/>
    </row>
    <row r="1705" spans="3:15">
      <c r="C1705" s="79"/>
      <c r="D1705" s="61"/>
      <c r="E1705" s="150"/>
      <c r="F1705" s="62"/>
    </row>
    <row r="1706" spans="3:15">
      <c r="C1706" s="79"/>
      <c r="D1706" s="61"/>
      <c r="E1706" s="150"/>
      <c r="F1706" s="62"/>
    </row>
    <row r="1707" spans="3:15">
      <c r="C1707" s="79"/>
      <c r="D1707" s="61"/>
      <c r="E1707" s="150"/>
      <c r="F1707" s="62"/>
    </row>
    <row r="1708" spans="3:15">
      <c r="C1708" s="79"/>
      <c r="D1708" s="61"/>
      <c r="E1708" s="150"/>
      <c r="F1708" s="62"/>
    </row>
    <row r="1709" spans="3:15">
      <c r="C1709" s="79"/>
      <c r="D1709" s="61"/>
      <c r="E1709" s="142"/>
      <c r="F1709" s="62"/>
    </row>
    <row r="1710" spans="3:15">
      <c r="C1710" s="79"/>
      <c r="D1710" s="61"/>
      <c r="E1710" s="142"/>
      <c r="F1710" s="62"/>
    </row>
    <row r="1711" spans="3:15">
      <c r="C1711" s="79"/>
      <c r="D1711" s="61"/>
      <c r="E1711" s="142"/>
      <c r="F1711" s="62"/>
    </row>
    <row r="1712" spans="3:15">
      <c r="C1712" s="79"/>
      <c r="D1712" s="61"/>
      <c r="E1712" s="150"/>
      <c r="F1712" s="62"/>
    </row>
    <row r="1713" spans="3:15">
      <c r="C1713" s="79"/>
      <c r="D1713" s="61"/>
      <c r="E1713" s="150"/>
      <c r="F1713" s="62"/>
    </row>
    <row r="1714" spans="3:15">
      <c r="C1714" s="79"/>
      <c r="D1714" s="61"/>
      <c r="E1714" s="150"/>
      <c r="F1714" s="62"/>
    </row>
    <row r="1715" spans="3:15">
      <c r="C1715" s="79"/>
      <c r="D1715" s="61"/>
      <c r="E1715" s="150"/>
      <c r="F1715" s="62"/>
    </row>
    <row r="1716" spans="3:15">
      <c r="C1716" s="79"/>
      <c r="D1716" s="61"/>
      <c r="E1716" s="151"/>
      <c r="F1716" s="62"/>
    </row>
    <row r="1717" spans="3:15">
      <c r="C1717" s="79"/>
      <c r="D1717" s="61"/>
      <c r="E1717" s="151"/>
      <c r="F1717" s="62"/>
    </row>
    <row r="1718" spans="3:15">
      <c r="C1718" s="79"/>
      <c r="D1718" s="61"/>
      <c r="E1718" s="151"/>
      <c r="F1718" s="62"/>
    </row>
    <row r="1719" spans="3:15">
      <c r="C1719" s="79"/>
      <c r="D1719" s="61"/>
      <c r="E1719" s="151"/>
      <c r="F1719" s="62"/>
    </row>
    <row r="1720" ht="13" customHeight="1" spans="3:15">
      <c r="C1720" s="79"/>
      <c r="D1720" s="61"/>
      <c r="E1720" s="151"/>
      <c r="F1720" s="62"/>
    </row>
    <row r="1721" spans="3:15">
      <c r="C1721" s="79"/>
      <c r="D1721" s="61"/>
      <c r="E1721" s="151"/>
      <c r="F1721" s="62"/>
      <c r="H1721" s="62"/>
    </row>
    <row r="1722" spans="3:15">
      <c r="C1722" s="79"/>
      <c r="D1722" s="61"/>
      <c r="E1722" s="150"/>
      <c r="F1722" s="62"/>
    </row>
    <row r="1723" spans="3:15">
      <c r="C1723" s="79"/>
      <c r="D1723" s="61"/>
      <c r="E1723" s="150"/>
      <c r="F1723" s="62"/>
    </row>
    <row r="1724" spans="3:15">
      <c r="C1724" s="79"/>
      <c r="D1724" s="61"/>
      <c r="E1724" s="150"/>
      <c r="F1724" s="62"/>
    </row>
    <row r="1725" spans="3:15">
      <c r="C1725" s="79"/>
      <c r="D1725" s="61"/>
      <c r="E1725" s="150"/>
      <c r="F1725" s="62"/>
      <c r="K1725" s="84"/>
      <c r="O1725" s="133"/>
    </row>
    <row r="1726" spans="3:15">
      <c r="C1726" s="79"/>
      <c r="D1726" s="61"/>
      <c r="E1726" s="150"/>
      <c r="F1726" s="62"/>
    </row>
    <row r="1727" spans="3:15">
      <c r="C1727" s="79"/>
      <c r="D1727" s="61"/>
      <c r="E1727" s="150"/>
      <c r="F1727" s="62"/>
    </row>
    <row r="1728" spans="3:15">
      <c r="C1728" s="79"/>
      <c r="D1728" s="61"/>
      <c r="E1728" s="150"/>
      <c r="F1728" s="62"/>
    </row>
    <row r="1729" spans="3:19">
      <c r="C1729" s="79"/>
      <c r="D1729" s="61"/>
      <c r="E1729" s="150"/>
      <c r="F1729" s="62"/>
    </row>
    <row r="1730" spans="3:19">
      <c r="C1730" s="79"/>
      <c r="D1730" s="61"/>
      <c r="E1730" s="150"/>
      <c r="F1730" s="62"/>
    </row>
    <row r="1731" spans="3:19">
      <c r="C1731" s="79"/>
      <c r="D1731" s="61"/>
      <c r="E1731" s="142"/>
      <c r="F1731" s="62"/>
      <c r="S1731" s="94"/>
    </row>
    <row r="1732" spans="3:19">
      <c r="C1732" s="79"/>
      <c r="D1732" s="61"/>
      <c r="E1732" s="142"/>
      <c r="F1732" s="62"/>
    </row>
    <row r="1733" spans="3:19">
      <c r="C1733" s="79"/>
      <c r="D1733" s="61"/>
      <c r="E1733" s="142"/>
      <c r="F1733" s="62"/>
      <c r="H1733" s="62"/>
    </row>
    <row r="1734" spans="3:19">
      <c r="C1734" s="79"/>
      <c r="D1734" s="61"/>
      <c r="E1734" s="142"/>
      <c r="F1734" s="62"/>
    </row>
    <row r="1735" spans="3:19">
      <c r="C1735" s="79"/>
      <c r="D1735" s="61"/>
      <c r="E1735" s="142"/>
      <c r="F1735" s="62"/>
      <c r="H1735" s="62"/>
    </row>
    <row r="1736" spans="3:19">
      <c r="C1736" s="79"/>
      <c r="D1736" s="61"/>
      <c r="E1736" s="142"/>
      <c r="F1736" s="62"/>
    </row>
    <row r="1737" spans="3:19">
      <c r="C1737" s="79"/>
      <c r="D1737" s="61"/>
      <c r="E1737" s="142"/>
      <c r="F1737" s="62"/>
    </row>
    <row r="1738" spans="3:19">
      <c r="C1738" s="79"/>
      <c r="D1738" s="61"/>
      <c r="E1738" s="142"/>
      <c r="F1738" s="62"/>
    </row>
    <row r="1739" spans="3:19">
      <c r="C1739" s="79"/>
      <c r="D1739" s="61"/>
      <c r="E1739" s="142"/>
      <c r="F1739" s="62"/>
    </row>
    <row r="1740" spans="3:19">
      <c r="C1740" s="79"/>
      <c r="D1740" s="61"/>
      <c r="E1740" s="142"/>
      <c r="F1740" s="62"/>
    </row>
    <row r="1741" spans="3:19">
      <c r="C1741" s="79"/>
      <c r="D1741" s="61"/>
      <c r="E1741" s="142"/>
      <c r="F1741" s="62"/>
    </row>
    <row r="1742" spans="3:19">
      <c r="C1742" s="79"/>
      <c r="D1742" s="61"/>
      <c r="E1742" s="142"/>
      <c r="F1742" s="62"/>
    </row>
    <row r="1743" spans="3:19">
      <c r="C1743" s="79"/>
      <c r="D1743" s="61"/>
      <c r="E1743" s="142"/>
      <c r="F1743" s="62"/>
    </row>
    <row r="1744" spans="3:19">
      <c r="C1744" s="79"/>
      <c r="D1744" s="61"/>
      <c r="E1744" s="142"/>
      <c r="F1744" s="62"/>
    </row>
    <row r="1745" spans="3:19">
      <c r="C1745" s="79"/>
      <c r="D1745" s="61"/>
      <c r="E1745" s="142"/>
      <c r="F1745" s="62"/>
    </row>
    <row r="1746" spans="3:19">
      <c r="C1746" s="79"/>
      <c r="D1746" s="61"/>
      <c r="E1746" s="142"/>
      <c r="F1746" s="62"/>
      <c r="O1746" s="66"/>
    </row>
    <row r="1747" spans="3:19">
      <c r="C1747" s="79"/>
      <c r="D1747" s="61"/>
      <c r="E1747" s="142"/>
      <c r="F1747" s="62"/>
      <c r="H1747" s="62"/>
    </row>
    <row r="1748" spans="3:19">
      <c r="C1748" s="79"/>
      <c r="D1748" s="61"/>
      <c r="E1748" s="142"/>
      <c r="F1748" s="62"/>
    </row>
    <row r="1749" spans="3:19">
      <c r="C1749" s="79"/>
      <c r="D1749" s="61"/>
      <c r="E1749" s="142"/>
      <c r="F1749" s="62"/>
    </row>
    <row r="1750" spans="3:19">
      <c r="C1750" s="79"/>
      <c r="D1750" s="61"/>
      <c r="E1750" s="142"/>
      <c r="F1750" s="62"/>
    </row>
    <row r="1751" spans="3:19">
      <c r="C1751" s="79"/>
      <c r="D1751" s="61"/>
      <c r="E1751" s="142"/>
      <c r="F1751" s="62"/>
      <c r="K1751" s="84"/>
      <c r="O1751" s="133"/>
    </row>
    <row r="1752" spans="3:19">
      <c r="C1752" s="79"/>
      <c r="D1752" s="61"/>
      <c r="E1752" s="142"/>
      <c r="F1752" s="62"/>
    </row>
    <row r="1753" spans="3:19">
      <c r="C1753" s="79"/>
      <c r="D1753" s="61"/>
      <c r="E1753" s="142"/>
      <c r="F1753" s="62"/>
    </row>
    <row r="1754" spans="3:19">
      <c r="C1754" s="79"/>
      <c r="D1754" s="61"/>
      <c r="E1754" s="142"/>
      <c r="F1754" s="62"/>
    </row>
    <row r="1755" spans="3:19">
      <c r="C1755" s="79"/>
      <c r="D1755" s="61"/>
      <c r="E1755" s="142"/>
      <c r="F1755" s="62"/>
      <c r="H1755" s="61"/>
      <c r="I1755" s="61"/>
    </row>
    <row r="1756" spans="3:19">
      <c r="C1756" s="79"/>
      <c r="D1756" s="61"/>
      <c r="E1756" s="142"/>
      <c r="F1756" s="62"/>
      <c r="H1756" s="62"/>
    </row>
    <row r="1757" spans="3:19">
      <c r="C1757" s="79"/>
      <c r="D1757" s="61"/>
      <c r="E1757" s="142"/>
      <c r="F1757" s="62"/>
      <c r="S1757" s="92"/>
    </row>
    <row r="1758" spans="3:19">
      <c r="C1758" s="79"/>
      <c r="D1758" s="61"/>
      <c r="E1758" s="142"/>
      <c r="F1758" s="62"/>
    </row>
    <row r="1759" spans="3:19">
      <c r="C1759" s="79"/>
      <c r="D1759" s="61"/>
      <c r="E1759" s="142"/>
      <c r="F1759" s="62"/>
    </row>
    <row r="1760" spans="3:19">
      <c r="C1760" s="79"/>
      <c r="D1760" s="61"/>
      <c r="E1760" s="142"/>
      <c r="F1760" s="62"/>
    </row>
    <row r="1761" spans="1:21">
      <c r="C1761" s="79"/>
      <c r="D1761" s="61"/>
      <c r="E1761" s="142"/>
      <c r="F1761" s="62"/>
    </row>
    <row r="1762" spans="1:21">
      <c r="C1762" s="79"/>
      <c r="D1762" s="61"/>
      <c r="E1762" s="142"/>
      <c r="F1762" s="62"/>
    </row>
    <row r="1763" spans="1:21">
      <c r="C1763" s="79"/>
      <c r="D1763" s="61"/>
      <c r="E1763" s="142"/>
      <c r="F1763" s="62"/>
    </row>
    <row r="1764" spans="1:21">
      <c r="C1764" s="79"/>
      <c r="D1764" s="61"/>
      <c r="E1764" s="142"/>
      <c r="F1764" s="62"/>
    </row>
    <row r="1765" spans="1:21">
      <c r="C1765" s="79"/>
      <c r="D1765" s="61"/>
      <c r="E1765" s="142"/>
      <c r="F1765" s="62"/>
    </row>
    <row r="1766" spans="1:21">
      <c r="C1766" s="79"/>
      <c r="D1766" s="61"/>
      <c r="E1766" s="142"/>
      <c r="F1766" s="62"/>
    </row>
    <row r="1767" spans="1:21">
      <c r="C1767" s="79"/>
      <c r="D1767" s="61"/>
      <c r="E1767" s="150"/>
      <c r="F1767" s="62"/>
      <c r="S1767" s="92"/>
    </row>
    <row r="1768" s="58" customFormat="1" customHeight="1" spans="1:21">
      <c r="A1768" s="61"/>
      <c r="B1768" s="62"/>
      <c r="C1768" s="79"/>
      <c r="D1768" s="61"/>
      <c r="E1768" s="64"/>
      <c r="F1768" s="62"/>
      <c r="G1768" s="62"/>
      <c r="H1768" s="62"/>
      <c r="I1768" s="62"/>
      <c r="J1768" s="62"/>
      <c r="K1768" s="65"/>
      <c r="L1768" s="65"/>
      <c r="M1768" s="62"/>
      <c r="N1768" s="11"/>
      <c r="O1768" s="66"/>
      <c r="P1768" s="62"/>
      <c r="Q1768" s="62"/>
      <c r="R1768" s="62"/>
      <c r="S1768" s="62"/>
      <c r="T1768" s="62"/>
      <c r="U1768" s="67"/>
    </row>
    <row r="1769" s="58" customFormat="1" customHeight="1" spans="1:21">
      <c r="A1769" s="61"/>
      <c r="B1769" s="62"/>
      <c r="C1769" s="79"/>
      <c r="D1769" s="61"/>
      <c r="E1769" s="64"/>
      <c r="F1769" s="62"/>
      <c r="G1769" s="62"/>
      <c r="H1769" s="62"/>
      <c r="I1769" s="62"/>
      <c r="J1769" s="62"/>
      <c r="K1769" s="65"/>
      <c r="L1769" s="65"/>
      <c r="M1769" s="62"/>
      <c r="N1769" s="11"/>
      <c r="O1769" s="66"/>
      <c r="P1769" s="62"/>
      <c r="Q1769" s="62"/>
      <c r="R1769" s="62"/>
      <c r="S1769" s="62"/>
      <c r="T1769" s="62"/>
      <c r="U1769" s="67"/>
    </row>
    <row r="1770" spans="1:21">
      <c r="C1770" s="79"/>
      <c r="D1770" s="61"/>
      <c r="F1770" s="62"/>
      <c r="S1770" s="94"/>
    </row>
    <row r="1771" spans="1:21">
      <c r="C1771" s="79"/>
      <c r="D1771" s="61"/>
      <c r="F1771" s="62"/>
    </row>
    <row r="1772" spans="1:21">
      <c r="C1772" s="79"/>
      <c r="D1772" s="61"/>
      <c r="F1772" s="62"/>
    </row>
    <row r="1773" spans="1:21">
      <c r="C1773" s="79"/>
      <c r="D1773" s="61"/>
      <c r="F1773" s="62"/>
    </row>
    <row r="1774" spans="1:21">
      <c r="C1774" s="79"/>
      <c r="D1774" s="61"/>
      <c r="F1774" s="62"/>
    </row>
    <row r="1775" spans="1:21">
      <c r="C1775" s="79"/>
      <c r="D1775" s="61"/>
      <c r="F1775" s="62"/>
    </row>
    <row r="1776" spans="1:21">
      <c r="C1776" s="79"/>
      <c r="D1776" s="61"/>
      <c r="F1776" s="62"/>
    </row>
    <row r="1777" spans="3:11">
      <c r="C1777" s="79"/>
      <c r="D1777" s="61"/>
      <c r="F1777" s="62"/>
    </row>
    <row r="1778" spans="3:11">
      <c r="C1778" s="79"/>
      <c r="D1778" s="61"/>
      <c r="F1778" s="62"/>
    </row>
    <row r="1779" spans="3:11">
      <c r="C1779" s="79"/>
      <c r="D1779" s="61"/>
      <c r="F1779" s="62"/>
    </row>
    <row r="1780" spans="3:11">
      <c r="C1780" s="79"/>
      <c r="D1780" s="61"/>
      <c r="F1780" s="62"/>
    </row>
    <row r="1781" spans="3:11">
      <c r="C1781" s="79"/>
      <c r="D1781" s="61"/>
      <c r="F1781" s="62"/>
    </row>
    <row r="1782" spans="3:11">
      <c r="C1782" s="79"/>
      <c r="D1782" s="61"/>
      <c r="F1782" s="62"/>
    </row>
    <row r="1783" spans="3:11">
      <c r="C1783" s="79"/>
      <c r="D1783" s="61"/>
      <c r="F1783" s="62"/>
    </row>
    <row r="1784" spans="3:11">
      <c r="C1784" s="79"/>
      <c r="D1784" s="61"/>
      <c r="F1784" s="62"/>
    </row>
    <row r="1785" spans="3:11">
      <c r="C1785" s="79"/>
      <c r="D1785" s="61"/>
      <c r="E1785" s="141"/>
      <c r="F1785" s="62"/>
    </row>
    <row r="1786" spans="3:11">
      <c r="C1786" s="79"/>
      <c r="D1786" s="61"/>
      <c r="E1786" s="141"/>
      <c r="F1786" s="62"/>
    </row>
    <row r="1787" spans="3:11">
      <c r="C1787" s="79"/>
      <c r="D1787" s="61"/>
      <c r="E1787" s="141"/>
      <c r="F1787" s="62"/>
      <c r="K1787" s="84"/>
    </row>
    <row r="1788" spans="3:11">
      <c r="C1788" s="79"/>
      <c r="D1788" s="61"/>
      <c r="E1788" s="141"/>
      <c r="F1788" s="62"/>
    </row>
    <row r="1789" spans="3:11">
      <c r="C1789" s="79"/>
      <c r="D1789" s="61"/>
      <c r="F1789" s="62"/>
    </row>
    <row r="1790" spans="3:11">
      <c r="C1790" s="79"/>
      <c r="D1790" s="61"/>
      <c r="F1790" s="62"/>
    </row>
    <row r="1791" spans="3:11">
      <c r="C1791" s="79"/>
      <c r="D1791" s="61"/>
      <c r="F1791" s="62"/>
    </row>
    <row r="1792" spans="3:11">
      <c r="C1792" s="79"/>
      <c r="D1792" s="61"/>
      <c r="F1792" s="62"/>
    </row>
    <row r="1793" spans="3:15">
      <c r="C1793" s="79"/>
      <c r="D1793" s="61"/>
      <c r="F1793" s="62"/>
    </row>
    <row r="1794" spans="3:15">
      <c r="C1794" s="79"/>
      <c r="D1794" s="61"/>
      <c r="F1794" s="62"/>
    </row>
    <row r="1795" spans="3:15">
      <c r="C1795" s="79"/>
      <c r="D1795" s="61"/>
      <c r="F1795" s="62"/>
    </row>
    <row r="1796" spans="3:15">
      <c r="C1796" s="79"/>
      <c r="D1796" s="61"/>
      <c r="F1796" s="62"/>
    </row>
    <row r="1797" spans="3:15">
      <c r="C1797" s="79"/>
      <c r="D1797" s="61"/>
      <c r="F1797" s="62"/>
      <c r="H1797" s="62"/>
    </row>
    <row r="1798" spans="3:15">
      <c r="C1798" s="79"/>
      <c r="D1798" s="61"/>
      <c r="F1798" s="62"/>
    </row>
    <row r="1799" spans="3:15">
      <c r="C1799" s="79"/>
      <c r="D1799" s="61"/>
      <c r="F1799" s="62"/>
    </row>
    <row r="1800" spans="3:15">
      <c r="C1800" s="79"/>
      <c r="D1800" s="61"/>
      <c r="F1800" s="62"/>
    </row>
    <row r="1801" spans="3:15">
      <c r="C1801" s="79"/>
      <c r="D1801" s="61"/>
      <c r="F1801" s="62"/>
    </row>
    <row r="1802" spans="3:15">
      <c r="C1802" s="79"/>
      <c r="D1802" s="61"/>
      <c r="F1802" s="62"/>
      <c r="K1802" s="84"/>
      <c r="O1802" s="133"/>
    </row>
    <row r="1803" spans="3:15">
      <c r="C1803" s="79"/>
      <c r="D1803" s="61"/>
      <c r="F1803" s="62"/>
      <c r="K1803" s="84"/>
      <c r="O1803" s="133"/>
    </row>
    <row r="1804" spans="3:15">
      <c r="C1804" s="79"/>
      <c r="D1804" s="61"/>
      <c r="F1804" s="62"/>
    </row>
    <row r="1805" spans="3:15">
      <c r="C1805" s="79"/>
      <c r="D1805" s="61"/>
      <c r="F1805" s="62"/>
    </row>
    <row r="1806" spans="3:15">
      <c r="C1806" s="79"/>
      <c r="D1806" s="61"/>
      <c r="F1806" s="62"/>
    </row>
    <row r="1807" spans="3:15">
      <c r="C1807" s="79"/>
      <c r="D1807" s="61"/>
      <c r="F1807" s="62"/>
    </row>
    <row r="1808" spans="3:15">
      <c r="C1808" s="79"/>
      <c r="D1808" s="61"/>
      <c r="F1808" s="62"/>
    </row>
    <row r="1809" spans="3:15">
      <c r="C1809" s="79"/>
      <c r="D1809" s="61"/>
      <c r="E1809" s="141"/>
      <c r="F1809" s="62"/>
    </row>
    <row r="1810" spans="3:15">
      <c r="C1810" s="79"/>
      <c r="D1810" s="61"/>
      <c r="E1810" s="141"/>
      <c r="F1810" s="62"/>
    </row>
    <row r="1811" spans="3:15">
      <c r="C1811" s="79"/>
      <c r="D1811" s="61"/>
      <c r="E1811" s="141"/>
      <c r="F1811" s="62"/>
    </row>
    <row r="1812" spans="3:15">
      <c r="C1812" s="79"/>
      <c r="D1812" s="61"/>
      <c r="E1812" s="141"/>
      <c r="F1812" s="62"/>
    </row>
    <row r="1813" spans="3:15">
      <c r="C1813" s="79"/>
      <c r="D1813" s="61"/>
      <c r="E1813" s="141"/>
      <c r="F1813" s="62"/>
    </row>
    <row r="1814" spans="3:15">
      <c r="C1814" s="79"/>
      <c r="D1814" s="61"/>
      <c r="F1814" s="62"/>
    </row>
    <row r="1815" spans="3:15">
      <c r="C1815" s="79"/>
      <c r="D1815" s="61"/>
      <c r="F1815" s="62"/>
    </row>
    <row r="1816" spans="3:15">
      <c r="C1816" s="79"/>
      <c r="D1816" s="61"/>
      <c r="F1816" s="62"/>
    </row>
    <row r="1817" spans="3:15">
      <c r="C1817" s="79"/>
      <c r="D1817" s="61"/>
      <c r="F1817" s="62"/>
      <c r="O1817" s="66"/>
    </row>
    <row r="1818" spans="3:15">
      <c r="C1818" s="79"/>
      <c r="D1818" s="61"/>
      <c r="F1818" s="62"/>
      <c r="H1818" s="62"/>
    </row>
    <row r="1819" spans="3:15">
      <c r="C1819" s="79"/>
      <c r="D1819" s="61"/>
      <c r="F1819" s="62"/>
      <c r="H1819" s="62"/>
    </row>
    <row r="1820" spans="3:15">
      <c r="C1820" s="79"/>
      <c r="D1820" s="61"/>
      <c r="F1820" s="62"/>
      <c r="H1820" s="62"/>
      <c r="O1820" s="61"/>
    </row>
    <row r="1821" spans="3:15">
      <c r="C1821" s="79"/>
      <c r="D1821" s="61"/>
      <c r="F1821" s="62"/>
    </row>
    <row r="1822" spans="3:15">
      <c r="C1822" s="79"/>
      <c r="D1822" s="61"/>
      <c r="F1822" s="62"/>
    </row>
    <row r="1823" spans="3:15">
      <c r="C1823" s="79"/>
      <c r="D1823" s="61"/>
      <c r="F1823" s="62"/>
    </row>
    <row r="1824" spans="3:15">
      <c r="C1824" s="79"/>
      <c r="D1824" s="61"/>
      <c r="E1824" s="141"/>
      <c r="F1824" s="62"/>
    </row>
    <row r="1825" spans="3:21">
      <c r="C1825" s="79"/>
      <c r="D1825" s="61"/>
      <c r="E1825" s="141"/>
      <c r="F1825" s="62"/>
    </row>
    <row r="1826" spans="3:21">
      <c r="C1826" s="79"/>
      <c r="D1826" s="61"/>
      <c r="E1826" s="141"/>
      <c r="F1826" s="62"/>
    </row>
    <row r="1827" spans="3:21">
      <c r="C1827" s="79"/>
      <c r="D1827" s="61"/>
      <c r="F1827" s="62"/>
      <c r="K1827" s="62"/>
    </row>
    <row r="1828" spans="3:21">
      <c r="C1828" s="79"/>
      <c r="D1828" s="61"/>
      <c r="F1828" s="62"/>
      <c r="K1828" s="62"/>
      <c r="S1828" s="95"/>
    </row>
    <row r="1829" spans="3:21">
      <c r="C1829" s="79"/>
      <c r="D1829" s="61"/>
      <c r="F1829" s="62"/>
      <c r="K1829" s="62"/>
      <c r="S1829" s="95"/>
    </row>
    <row r="1830" spans="3:21">
      <c r="C1830" s="79"/>
      <c r="D1830" s="61"/>
      <c r="F1830" s="62"/>
      <c r="K1830" s="62"/>
    </row>
    <row r="1831" spans="3:21">
      <c r="C1831" s="79"/>
      <c r="D1831" s="61"/>
      <c r="F1831" s="62"/>
      <c r="K1831" s="62"/>
    </row>
    <row r="1832" spans="3:21">
      <c r="C1832" s="79"/>
      <c r="D1832" s="61"/>
      <c r="F1832" s="62"/>
      <c r="K1832" s="12"/>
      <c r="O1832" s="133"/>
      <c r="U1832" s="139"/>
    </row>
    <row r="1833" spans="3:21">
      <c r="C1833" s="79"/>
      <c r="D1833" s="61"/>
      <c r="F1833" s="62"/>
      <c r="K1833" s="62"/>
    </row>
    <row r="1834" spans="3:21">
      <c r="C1834" s="79"/>
      <c r="D1834" s="61"/>
      <c r="F1834" s="62"/>
      <c r="K1834" s="62"/>
    </row>
    <row r="1835" spans="3:21">
      <c r="C1835" s="79"/>
      <c r="D1835" s="61"/>
      <c r="F1835" s="62"/>
      <c r="K1835" s="62"/>
    </row>
    <row r="1836" spans="3:21">
      <c r="C1836" s="79"/>
      <c r="D1836" s="61"/>
      <c r="F1836" s="62"/>
      <c r="K1836" s="62"/>
    </row>
    <row r="1837" spans="3:21">
      <c r="C1837" s="79"/>
      <c r="D1837" s="61"/>
      <c r="F1837" s="62"/>
      <c r="K1837" s="62"/>
      <c r="S1837" s="94"/>
    </row>
    <row r="1838" spans="3:21">
      <c r="C1838" s="79"/>
      <c r="D1838" s="61"/>
      <c r="F1838" s="62"/>
      <c r="K1838" s="62"/>
      <c r="S1838" s="92"/>
    </row>
    <row r="1839" spans="3:21">
      <c r="C1839" s="79"/>
      <c r="D1839" s="61"/>
      <c r="F1839" s="62"/>
      <c r="K1839" s="62"/>
    </row>
    <row r="1840" spans="3:21">
      <c r="C1840" s="79"/>
      <c r="D1840" s="61"/>
      <c r="F1840" s="62"/>
      <c r="K1840" s="62"/>
    </row>
    <row r="1841" spans="3:15">
      <c r="C1841" s="79"/>
      <c r="D1841" s="61"/>
      <c r="F1841" s="62"/>
      <c r="K1841" s="62"/>
    </row>
    <row r="1842" spans="3:15">
      <c r="C1842" s="79"/>
      <c r="D1842" s="61"/>
      <c r="F1842" s="62"/>
      <c r="K1842" s="62"/>
    </row>
    <row r="1843" spans="3:15">
      <c r="C1843" s="79"/>
      <c r="D1843" s="61"/>
      <c r="F1843" s="62"/>
      <c r="H1843" s="105"/>
      <c r="O1843" s="89"/>
    </row>
    <row r="1844" spans="3:15">
      <c r="C1844" s="79"/>
      <c r="D1844" s="61"/>
      <c r="F1844" s="62"/>
      <c r="K1844" s="84"/>
      <c r="O1844" s="152"/>
    </row>
    <row r="1845" spans="3:15">
      <c r="C1845" s="79"/>
      <c r="D1845" s="61"/>
      <c r="F1845" s="62"/>
      <c r="K1845" s="84"/>
      <c r="O1845" s="152"/>
    </row>
    <row r="1846" spans="3:15">
      <c r="C1846" s="79"/>
      <c r="D1846" s="61"/>
      <c r="F1846" s="62"/>
      <c r="O1846" s="89"/>
    </row>
    <row r="1847" spans="3:15">
      <c r="C1847" s="79"/>
      <c r="D1847" s="61"/>
      <c r="F1847" s="62"/>
      <c r="H1847" s="105"/>
      <c r="K1847" s="84"/>
      <c r="O1847" s="152"/>
    </row>
    <row r="1848" spans="3:15">
      <c r="C1848" s="79"/>
      <c r="D1848" s="61"/>
      <c r="F1848" s="62"/>
      <c r="K1848" s="84"/>
      <c r="O1848" s="152"/>
    </row>
    <row r="1849" spans="3:15">
      <c r="C1849" s="79"/>
      <c r="D1849" s="61"/>
      <c r="F1849" s="62"/>
      <c r="K1849" s="84"/>
      <c r="O1849" s="152"/>
    </row>
    <row r="1850" spans="3:15">
      <c r="C1850" s="79"/>
      <c r="D1850" s="61"/>
      <c r="F1850" s="62"/>
      <c r="K1850" s="84"/>
      <c r="O1850" s="133"/>
    </row>
    <row r="1851" spans="3:15">
      <c r="C1851" s="79"/>
      <c r="D1851" s="61"/>
      <c r="F1851" s="62"/>
      <c r="K1851" s="84"/>
      <c r="O1851" s="133"/>
    </row>
    <row r="1852" spans="3:15">
      <c r="C1852" s="79"/>
      <c r="D1852" s="61"/>
      <c r="F1852" s="62"/>
    </row>
    <row r="1853" spans="3:15">
      <c r="C1853" s="79"/>
      <c r="D1853" s="61"/>
      <c r="F1853" s="62"/>
    </row>
    <row r="1854" spans="3:15">
      <c r="C1854" s="79"/>
      <c r="D1854" s="61"/>
      <c r="F1854" s="62"/>
    </row>
    <row r="1855" spans="3:15">
      <c r="C1855" s="79"/>
      <c r="D1855" s="61"/>
      <c r="F1855" s="62"/>
    </row>
    <row r="1856" spans="3:15">
      <c r="C1856" s="79"/>
      <c r="D1856" s="61"/>
      <c r="F1856" s="62"/>
    </row>
    <row r="1857" spans="3:15">
      <c r="C1857" s="79"/>
      <c r="D1857" s="61"/>
      <c r="F1857" s="62"/>
    </row>
    <row r="1858" spans="3:15">
      <c r="C1858" s="79"/>
      <c r="D1858" s="61"/>
      <c r="F1858" s="62"/>
      <c r="K1858" s="84"/>
      <c r="O1858" s="133"/>
    </row>
    <row r="1859" spans="3:15">
      <c r="C1859" s="79"/>
      <c r="D1859" s="61"/>
      <c r="F1859" s="62"/>
    </row>
    <row r="1860" spans="3:15">
      <c r="C1860" s="79"/>
      <c r="D1860" s="61"/>
      <c r="F1860" s="62"/>
    </row>
    <row r="1861" spans="3:15">
      <c r="C1861" s="79"/>
      <c r="D1861" s="61"/>
      <c r="F1861" s="62"/>
    </row>
    <row r="1862" spans="3:15">
      <c r="C1862" s="79"/>
      <c r="D1862" s="61"/>
      <c r="F1862" s="62"/>
    </row>
    <row r="1863" spans="3:15">
      <c r="C1863" s="79"/>
      <c r="D1863" s="61"/>
      <c r="F1863" s="62"/>
    </row>
    <row r="1864" spans="3:15">
      <c r="C1864" s="79"/>
      <c r="D1864" s="61"/>
      <c r="F1864" s="62"/>
    </row>
    <row r="1865" spans="3:15">
      <c r="C1865" s="79"/>
      <c r="D1865" s="61"/>
      <c r="F1865" s="62"/>
    </row>
    <row r="1866" spans="3:15">
      <c r="C1866" s="79"/>
      <c r="D1866" s="61"/>
      <c r="F1866" s="62"/>
    </row>
    <row r="1867" spans="3:15">
      <c r="C1867" s="79"/>
      <c r="D1867" s="61"/>
      <c r="F1867" s="62"/>
    </row>
    <row r="1868" spans="3:15">
      <c r="C1868" s="79"/>
      <c r="D1868" s="61"/>
      <c r="F1868" s="62"/>
    </row>
    <row r="1869" spans="3:15">
      <c r="C1869" s="79"/>
      <c r="D1869" s="61"/>
      <c r="F1869" s="62"/>
    </row>
    <row r="1870" spans="3:15">
      <c r="C1870" s="79"/>
      <c r="D1870" s="61"/>
      <c r="F1870" s="62"/>
    </row>
    <row r="1871" spans="3:15">
      <c r="C1871" s="79"/>
      <c r="D1871" s="61"/>
      <c r="F1871" s="62"/>
    </row>
    <row r="1872" spans="3:15">
      <c r="C1872" s="79"/>
      <c r="D1872" s="61"/>
      <c r="E1872" s="141"/>
      <c r="F1872" s="62"/>
    </row>
    <row r="1873" spans="3:6">
      <c r="C1873" s="79"/>
      <c r="D1873" s="61"/>
      <c r="E1873" s="141"/>
      <c r="F1873" s="62"/>
    </row>
    <row r="1874" spans="3:6">
      <c r="C1874" s="79"/>
      <c r="D1874" s="61"/>
      <c r="E1874" s="141"/>
      <c r="F1874" s="62"/>
    </row>
    <row r="1875" spans="3:6">
      <c r="C1875" s="79"/>
      <c r="D1875" s="61"/>
      <c r="F1875" s="62"/>
    </row>
    <row r="1876" spans="3:6">
      <c r="C1876" s="79"/>
      <c r="D1876" s="61"/>
      <c r="F1876" s="62"/>
    </row>
    <row r="1877" spans="3:6">
      <c r="C1877" s="79"/>
      <c r="D1877" s="61"/>
      <c r="F1877" s="62"/>
    </row>
    <row r="1878" spans="3:6">
      <c r="C1878" s="79"/>
      <c r="D1878" s="61"/>
      <c r="F1878" s="62"/>
    </row>
    <row r="1879" spans="3:6">
      <c r="C1879" s="79"/>
      <c r="D1879" s="61"/>
      <c r="F1879" s="62"/>
    </row>
    <row r="1880" spans="3:6">
      <c r="C1880" s="79"/>
      <c r="D1880" s="61"/>
      <c r="F1880" s="62"/>
    </row>
    <row r="1881" spans="3:6">
      <c r="C1881" s="79"/>
      <c r="D1881" s="61"/>
      <c r="F1881" s="62"/>
    </row>
    <row r="1882" spans="3:6">
      <c r="C1882" s="79"/>
      <c r="D1882" s="61"/>
      <c r="F1882" s="62"/>
    </row>
    <row r="1883" spans="3:6">
      <c r="C1883" s="79"/>
      <c r="D1883" s="61"/>
      <c r="F1883" s="62"/>
    </row>
    <row r="1884" spans="3:6">
      <c r="C1884" s="79"/>
      <c r="D1884" s="61"/>
      <c r="E1884" s="141"/>
      <c r="F1884" s="62"/>
    </row>
    <row r="1885" spans="3:6">
      <c r="C1885" s="79"/>
      <c r="D1885" s="61"/>
      <c r="E1885" s="141"/>
      <c r="F1885" s="62"/>
    </row>
    <row r="1886" spans="3:6">
      <c r="C1886" s="79"/>
      <c r="D1886" s="61"/>
      <c r="E1886" s="141"/>
      <c r="F1886" s="62"/>
    </row>
    <row r="1887" spans="3:6">
      <c r="C1887" s="79"/>
      <c r="D1887" s="61"/>
      <c r="F1887" s="62"/>
    </row>
    <row r="1888" spans="3:6">
      <c r="C1888" s="79"/>
      <c r="D1888" s="61"/>
      <c r="F1888" s="62"/>
    </row>
    <row r="1889" spans="3:19">
      <c r="C1889" s="79"/>
      <c r="D1889" s="61"/>
      <c r="F1889" s="62"/>
    </row>
    <row r="1890" spans="3:19">
      <c r="C1890" s="79"/>
      <c r="D1890" s="61"/>
      <c r="F1890" s="62"/>
    </row>
    <row r="1891" spans="3:19">
      <c r="C1891" s="79"/>
      <c r="D1891" s="61"/>
      <c r="F1891" s="62"/>
      <c r="K1891" s="84"/>
    </row>
    <row r="1892" spans="3:19">
      <c r="C1892" s="79"/>
      <c r="D1892" s="61"/>
      <c r="F1892" s="62"/>
      <c r="K1892" s="84"/>
      <c r="S1892" s="94"/>
    </row>
    <row r="1893" spans="3:19">
      <c r="C1893" s="79"/>
      <c r="D1893" s="61"/>
      <c r="F1893" s="62"/>
      <c r="S1893" s="95"/>
    </row>
    <row r="1894" spans="3:19">
      <c r="C1894" s="79"/>
      <c r="D1894" s="61"/>
      <c r="F1894" s="62"/>
      <c r="S1894" s="95"/>
    </row>
    <row r="1895" spans="3:19">
      <c r="C1895" s="79"/>
      <c r="D1895" s="61"/>
      <c r="F1895" s="62"/>
      <c r="S1895" s="92"/>
    </row>
    <row r="1896" spans="3:19">
      <c r="C1896" s="79"/>
      <c r="D1896" s="61"/>
      <c r="F1896" s="62"/>
    </row>
    <row r="1897" spans="3:19">
      <c r="C1897" s="79"/>
      <c r="D1897" s="61"/>
      <c r="F1897" s="62"/>
    </row>
    <row r="1898" spans="3:19">
      <c r="C1898" s="79"/>
      <c r="D1898" s="61"/>
      <c r="F1898" s="62"/>
    </row>
    <row r="1899" spans="3:19">
      <c r="C1899" s="79"/>
      <c r="D1899" s="61"/>
      <c r="F1899" s="62"/>
    </row>
    <row r="1900" spans="3:19">
      <c r="C1900" s="79"/>
      <c r="D1900" s="61"/>
      <c r="F1900" s="62"/>
    </row>
    <row r="1901" spans="3:19">
      <c r="C1901" s="79"/>
      <c r="D1901" s="61"/>
      <c r="F1901" s="62"/>
    </row>
    <row r="1902" spans="3:19">
      <c r="C1902" s="79"/>
      <c r="D1902" s="61"/>
      <c r="F1902" s="62"/>
    </row>
    <row r="1903" spans="3:19">
      <c r="C1903" s="79"/>
      <c r="D1903" s="61"/>
      <c r="F1903" s="62"/>
    </row>
    <row r="1904" spans="3:19">
      <c r="C1904" s="79"/>
      <c r="D1904" s="61"/>
      <c r="F1904" s="62"/>
    </row>
    <row r="1905" spans="3:19">
      <c r="C1905" s="79"/>
      <c r="D1905" s="61"/>
      <c r="F1905" s="62"/>
      <c r="K1905" s="84"/>
      <c r="O1905" s="133"/>
    </row>
    <row r="1906" spans="3:19">
      <c r="C1906" s="79"/>
      <c r="D1906" s="61"/>
      <c r="E1906" s="141"/>
      <c r="F1906" s="62"/>
    </row>
    <row r="1907" spans="3:19">
      <c r="C1907" s="79"/>
      <c r="D1907" s="61"/>
      <c r="E1907" s="141"/>
      <c r="F1907" s="62"/>
    </row>
    <row r="1908" spans="3:19">
      <c r="C1908" s="79"/>
      <c r="D1908" s="61"/>
      <c r="E1908" s="141"/>
      <c r="F1908" s="62"/>
    </row>
    <row r="1909" spans="3:19">
      <c r="C1909" s="79"/>
      <c r="D1909" s="61"/>
      <c r="E1909" s="141"/>
      <c r="F1909" s="62"/>
    </row>
    <row r="1910" spans="3:19">
      <c r="C1910" s="79"/>
      <c r="D1910" s="61"/>
      <c r="F1910" s="62"/>
      <c r="S1910" s="94"/>
    </row>
    <row r="1911" spans="3:19">
      <c r="C1911" s="79"/>
      <c r="D1911" s="61"/>
      <c r="F1911" s="62"/>
      <c r="S1911" s="95"/>
    </row>
    <row r="1912" spans="3:19">
      <c r="C1912" s="79"/>
      <c r="D1912" s="61"/>
      <c r="F1912" s="62"/>
      <c r="S1912" s="95"/>
    </row>
    <row r="1913" spans="3:19">
      <c r="C1913" s="79"/>
      <c r="D1913" s="61"/>
      <c r="F1913" s="62"/>
      <c r="S1913" s="95"/>
    </row>
    <row r="1914" spans="3:19">
      <c r="C1914" s="79"/>
      <c r="D1914" s="61"/>
      <c r="F1914" s="62"/>
      <c r="S1914" s="92"/>
    </row>
    <row r="1915" spans="3:19">
      <c r="C1915" s="79"/>
      <c r="D1915" s="61"/>
      <c r="F1915" s="62"/>
      <c r="O1915" s="61"/>
    </row>
    <row r="1916" spans="3:19">
      <c r="C1916" s="79"/>
      <c r="D1916" s="61"/>
      <c r="F1916" s="62"/>
    </row>
    <row r="1917" spans="3:19">
      <c r="C1917" s="79"/>
      <c r="D1917" s="61"/>
      <c r="F1917" s="62"/>
    </row>
    <row r="1918" spans="3:19">
      <c r="C1918" s="79"/>
      <c r="D1918" s="61"/>
      <c r="F1918" s="62"/>
      <c r="H1918" s="105"/>
    </row>
    <row r="1919" spans="3:19">
      <c r="C1919" s="79"/>
      <c r="D1919" s="61"/>
      <c r="F1919" s="62"/>
      <c r="H1919" s="105"/>
    </row>
    <row r="1920" spans="3:19">
      <c r="C1920" s="79"/>
      <c r="D1920" s="61"/>
      <c r="F1920" s="62"/>
    </row>
    <row r="1921" spans="3:19">
      <c r="C1921" s="79"/>
      <c r="D1921" s="61"/>
      <c r="F1921" s="62"/>
    </row>
    <row r="1922" spans="3:19">
      <c r="C1922" s="79"/>
      <c r="D1922" s="61"/>
      <c r="F1922" s="62"/>
    </row>
    <row r="1923" spans="3:19">
      <c r="C1923" s="79"/>
      <c r="D1923" s="61"/>
      <c r="F1923" s="62"/>
    </row>
    <row r="1924" spans="3:19">
      <c r="C1924" s="79"/>
      <c r="D1924" s="61"/>
      <c r="F1924" s="62"/>
    </row>
    <row r="1925" spans="3:19">
      <c r="C1925" s="79"/>
      <c r="D1925" s="61"/>
      <c r="F1925" s="62"/>
    </row>
    <row r="1926" spans="3:19">
      <c r="C1926" s="79"/>
      <c r="D1926" s="61"/>
      <c r="F1926" s="62"/>
    </row>
    <row r="1927" spans="3:19">
      <c r="C1927" s="79"/>
      <c r="D1927" s="61"/>
      <c r="F1927" s="62"/>
    </row>
    <row r="1928" spans="3:19">
      <c r="C1928" s="79"/>
      <c r="D1928" s="61"/>
      <c r="F1928" s="62"/>
    </row>
    <row r="1929" spans="3:19">
      <c r="C1929" s="79"/>
      <c r="D1929" s="61"/>
      <c r="F1929" s="62"/>
    </row>
    <row r="1930" spans="3:19">
      <c r="C1930" s="79"/>
      <c r="D1930" s="61"/>
      <c r="F1930" s="62"/>
    </row>
    <row r="1931" spans="3:19">
      <c r="C1931" s="79"/>
      <c r="D1931" s="61"/>
      <c r="F1931" s="62"/>
    </row>
    <row r="1932" spans="3:19">
      <c r="C1932" s="79"/>
      <c r="D1932" s="61"/>
      <c r="F1932" s="62"/>
    </row>
    <row r="1933" spans="3:19">
      <c r="C1933" s="79"/>
      <c r="D1933" s="61"/>
      <c r="F1933" s="62"/>
    </row>
    <row r="1934" spans="3:19">
      <c r="C1934" s="79"/>
      <c r="D1934" s="61"/>
      <c r="F1934" s="62"/>
      <c r="H1934" s="105"/>
    </row>
    <row r="1935" spans="3:19">
      <c r="C1935" s="79"/>
      <c r="D1935" s="61"/>
      <c r="E1935" s="141"/>
      <c r="F1935" s="62"/>
      <c r="S1935" s="94"/>
    </row>
    <row r="1936" spans="3:19">
      <c r="C1936" s="79"/>
      <c r="D1936" s="61"/>
      <c r="E1936" s="141"/>
      <c r="F1936" s="62"/>
      <c r="S1936" s="92"/>
    </row>
    <row r="1937" spans="3:21">
      <c r="C1937" s="79"/>
      <c r="D1937" s="61"/>
      <c r="E1937" s="141"/>
      <c r="F1937" s="62"/>
      <c r="S1937" s="94"/>
    </row>
    <row r="1938" spans="3:21">
      <c r="C1938" s="79"/>
      <c r="D1938" s="61"/>
      <c r="E1938" s="141"/>
      <c r="F1938" s="62"/>
      <c r="S1938" s="92"/>
    </row>
    <row r="1939" spans="3:21">
      <c r="C1939" s="79"/>
      <c r="D1939" s="61"/>
      <c r="F1939" s="62"/>
      <c r="S1939" s="94"/>
    </row>
    <row r="1940" spans="3:21">
      <c r="C1940" s="79"/>
      <c r="D1940" s="61"/>
      <c r="F1940" s="62"/>
      <c r="S1940" s="92"/>
    </row>
    <row r="1941" spans="3:21">
      <c r="C1941" s="79"/>
      <c r="D1941" s="61"/>
      <c r="F1941" s="62"/>
    </row>
    <row r="1942" spans="3:21">
      <c r="C1942" s="79"/>
      <c r="D1942" s="61"/>
      <c r="F1942" s="62"/>
    </row>
    <row r="1943" spans="3:21">
      <c r="C1943" s="79"/>
      <c r="D1943" s="61"/>
      <c r="F1943" s="62"/>
    </row>
    <row r="1944" spans="3:21">
      <c r="C1944" s="79"/>
      <c r="D1944" s="61"/>
      <c r="F1944" s="62"/>
    </row>
    <row r="1945" spans="3:21">
      <c r="C1945" s="79"/>
      <c r="D1945" s="61"/>
      <c r="F1945" s="62"/>
    </row>
    <row r="1946" spans="3:21">
      <c r="C1946" s="79"/>
      <c r="D1946" s="61"/>
      <c r="F1946" s="62"/>
    </row>
    <row r="1947" spans="3:21">
      <c r="C1947" s="79"/>
      <c r="D1947" s="61"/>
      <c r="F1947" s="62"/>
      <c r="U1947" s="139"/>
    </row>
    <row r="1948" spans="3:21">
      <c r="C1948" s="79"/>
      <c r="D1948" s="61"/>
      <c r="F1948" s="62"/>
    </row>
    <row r="1949" spans="3:21">
      <c r="C1949" s="79"/>
      <c r="D1949" s="61"/>
      <c r="E1949" s="141"/>
      <c r="F1949" s="62"/>
    </row>
    <row r="1950" spans="3:21">
      <c r="C1950" s="79"/>
      <c r="D1950" s="61"/>
      <c r="E1950" s="141"/>
      <c r="F1950" s="62"/>
    </row>
    <row r="1951" spans="3:21">
      <c r="C1951" s="79"/>
      <c r="D1951" s="61"/>
      <c r="E1951" s="141"/>
      <c r="F1951" s="62"/>
    </row>
    <row r="1952" spans="3:21">
      <c r="C1952" s="79"/>
      <c r="D1952" s="61"/>
      <c r="E1952" s="141"/>
      <c r="F1952" s="62"/>
    </row>
    <row r="1953" spans="3:15">
      <c r="C1953" s="79"/>
      <c r="D1953" s="61"/>
      <c r="E1953" s="141"/>
      <c r="F1953" s="62"/>
    </row>
    <row r="1954" spans="3:15">
      <c r="C1954" s="79"/>
      <c r="D1954" s="61"/>
      <c r="E1954" s="141"/>
      <c r="F1954" s="62"/>
    </row>
    <row r="1955" spans="3:15">
      <c r="C1955" s="79"/>
      <c r="D1955" s="61"/>
      <c r="F1955" s="62"/>
    </row>
    <row r="1956" spans="3:15">
      <c r="C1956" s="79"/>
      <c r="D1956" s="61"/>
      <c r="F1956" s="62"/>
    </row>
    <row r="1957" spans="3:15">
      <c r="C1957" s="79"/>
      <c r="D1957" s="61"/>
      <c r="F1957" s="62"/>
      <c r="K1957" s="84"/>
      <c r="O1957" s="133"/>
    </row>
    <row r="1958" spans="3:15">
      <c r="C1958" s="79"/>
      <c r="D1958" s="61"/>
      <c r="F1958" s="62"/>
    </row>
    <row r="1959" spans="3:15">
      <c r="C1959" s="79"/>
      <c r="D1959" s="61"/>
      <c r="F1959" s="62"/>
    </row>
    <row r="1960" spans="3:15">
      <c r="C1960" s="79"/>
      <c r="D1960" s="61"/>
      <c r="F1960" s="62"/>
    </row>
    <row r="1961" spans="3:15">
      <c r="C1961" s="79"/>
      <c r="D1961" s="61"/>
      <c r="F1961" s="62"/>
      <c r="K1961" s="84"/>
      <c r="O1961" s="133"/>
    </row>
    <row r="1962" spans="3:15">
      <c r="C1962" s="79"/>
      <c r="D1962" s="61"/>
      <c r="F1962" s="62"/>
    </row>
    <row r="1963" spans="3:15">
      <c r="C1963" s="79"/>
      <c r="D1963" s="61"/>
      <c r="F1963" s="62"/>
    </row>
    <row r="1964" spans="3:15">
      <c r="C1964" s="79"/>
      <c r="D1964" s="61"/>
      <c r="F1964" s="62"/>
    </row>
    <row r="1965" spans="3:15">
      <c r="C1965" s="79"/>
      <c r="D1965" s="61"/>
      <c r="F1965" s="62"/>
    </row>
    <row r="1966" spans="3:15">
      <c r="C1966" s="79"/>
      <c r="D1966" s="61"/>
      <c r="F1966" s="62"/>
    </row>
    <row r="1967" spans="3:15">
      <c r="C1967" s="79"/>
      <c r="D1967" s="61"/>
      <c r="F1967" s="62"/>
    </row>
    <row r="1968" spans="3:15">
      <c r="C1968" s="79"/>
      <c r="D1968" s="61"/>
      <c r="F1968" s="62"/>
    </row>
    <row r="1969" spans="3:19">
      <c r="C1969" s="79"/>
      <c r="D1969" s="61"/>
      <c r="F1969" s="62"/>
    </row>
    <row r="1970" spans="3:19">
      <c r="C1970" s="79"/>
      <c r="D1970" s="61"/>
      <c r="F1970" s="62"/>
    </row>
    <row r="1971" spans="3:19">
      <c r="C1971" s="79"/>
      <c r="D1971" s="61"/>
      <c r="E1971" s="141"/>
      <c r="F1971" s="62"/>
    </row>
    <row r="1972" spans="3:19">
      <c r="C1972" s="79"/>
      <c r="D1972" s="61"/>
      <c r="E1972" s="141"/>
      <c r="F1972" s="62"/>
      <c r="K1972" s="84"/>
      <c r="O1972" s="133"/>
    </row>
    <row r="1973" spans="3:19">
      <c r="C1973" s="79"/>
      <c r="D1973" s="61"/>
      <c r="E1973" s="141"/>
      <c r="F1973" s="62"/>
    </row>
    <row r="1974" spans="3:19">
      <c r="C1974" s="79"/>
      <c r="D1974" s="61"/>
      <c r="E1974" s="141"/>
      <c r="F1974" s="62"/>
      <c r="K1974" s="84"/>
    </row>
    <row r="1975" spans="3:19">
      <c r="C1975" s="79"/>
      <c r="D1975" s="61"/>
      <c r="F1975" s="62"/>
      <c r="K1975" s="84"/>
      <c r="O1975" s="133"/>
    </row>
    <row r="1976" spans="3:19">
      <c r="C1976" s="79"/>
      <c r="D1976" s="61"/>
      <c r="F1976" s="62"/>
      <c r="K1976" s="84"/>
      <c r="O1976" s="133"/>
    </row>
    <row r="1977" spans="3:19">
      <c r="C1977" s="79"/>
      <c r="D1977" s="61"/>
      <c r="F1977" s="62"/>
    </row>
    <row r="1978" spans="3:19">
      <c r="C1978" s="79"/>
      <c r="D1978" s="61"/>
      <c r="E1978" s="141"/>
      <c r="F1978" s="62"/>
      <c r="S1978" s="94"/>
    </row>
    <row r="1979" spans="3:19">
      <c r="C1979" s="79"/>
      <c r="D1979" s="61"/>
      <c r="E1979" s="141"/>
      <c r="F1979" s="62"/>
      <c r="S1979" s="95"/>
    </row>
    <row r="1980" spans="3:19">
      <c r="C1980" s="79"/>
      <c r="D1980" s="61"/>
      <c r="E1980" s="141"/>
      <c r="F1980" s="62"/>
      <c r="S1980" s="95"/>
    </row>
    <row r="1981" spans="3:19">
      <c r="C1981" s="79"/>
      <c r="D1981" s="61"/>
      <c r="E1981" s="141"/>
      <c r="F1981" s="62"/>
      <c r="K1981" s="84"/>
      <c r="O1981" s="133"/>
      <c r="S1981" s="92"/>
    </row>
    <row r="1982" spans="3:19">
      <c r="C1982" s="79"/>
      <c r="D1982" s="61"/>
      <c r="E1982" s="141"/>
      <c r="F1982" s="62"/>
      <c r="S1982" s="94"/>
    </row>
    <row r="1983" spans="3:19">
      <c r="C1983" s="79"/>
      <c r="D1983" s="61"/>
      <c r="E1983" s="141"/>
      <c r="F1983" s="62"/>
      <c r="S1983" s="95"/>
    </row>
    <row r="1984" spans="3:19">
      <c r="C1984" s="79"/>
      <c r="D1984" s="61"/>
      <c r="E1984" s="141"/>
      <c r="F1984" s="62"/>
      <c r="S1984" s="95"/>
    </row>
    <row r="1985" spans="3:19">
      <c r="C1985" s="79"/>
      <c r="D1985" s="61"/>
      <c r="E1985" s="141"/>
      <c r="F1985" s="62"/>
      <c r="K1985" s="84"/>
      <c r="S1985" s="95"/>
    </row>
    <row r="1986" spans="3:19">
      <c r="C1986" s="79"/>
      <c r="D1986" s="61"/>
      <c r="E1986" s="141"/>
      <c r="F1986" s="62"/>
      <c r="K1986" s="84"/>
      <c r="S1986" s="92"/>
    </row>
    <row r="1987" spans="3:19">
      <c r="C1987" s="79"/>
      <c r="D1987" s="61"/>
      <c r="F1987" s="62"/>
      <c r="S1987" s="94"/>
    </row>
    <row r="1988" spans="3:19">
      <c r="C1988" s="79"/>
      <c r="D1988" s="61"/>
      <c r="F1988" s="62"/>
      <c r="S1988" s="92"/>
    </row>
    <row r="1989" spans="3:19">
      <c r="C1989" s="79"/>
      <c r="D1989" s="61"/>
      <c r="F1989" s="62"/>
      <c r="S1989" s="94"/>
    </row>
    <row r="1990" spans="3:19">
      <c r="C1990" s="79"/>
      <c r="D1990" s="61"/>
      <c r="F1990" s="62"/>
      <c r="S1990" s="92"/>
    </row>
    <row r="1991" spans="3:19">
      <c r="C1991" s="79"/>
      <c r="D1991" s="61"/>
      <c r="F1991" s="62"/>
      <c r="S1991" s="94"/>
    </row>
    <row r="1992" spans="3:19">
      <c r="C1992" s="79"/>
      <c r="D1992" s="61"/>
      <c r="F1992" s="62"/>
      <c r="S1992" s="95"/>
    </row>
    <row r="1993" spans="3:19">
      <c r="C1993" s="79"/>
      <c r="D1993" s="61"/>
      <c r="F1993" s="62"/>
      <c r="K1993" s="84"/>
      <c r="S1993" s="92"/>
    </row>
    <row r="1994" spans="3:19">
      <c r="C1994" s="79"/>
      <c r="D1994" s="61"/>
      <c r="F1994" s="62"/>
      <c r="S1994" s="94"/>
    </row>
    <row r="1995" spans="3:19">
      <c r="C1995" s="79"/>
      <c r="D1995" s="61"/>
      <c r="F1995" s="62"/>
      <c r="S1995" s="92"/>
    </row>
    <row r="1996" spans="3:19">
      <c r="C1996" s="79"/>
      <c r="D1996" s="61"/>
      <c r="F1996" s="62"/>
    </row>
    <row r="1997" spans="3:19">
      <c r="C1997" s="79"/>
      <c r="D1997" s="61"/>
      <c r="F1997" s="62"/>
    </row>
    <row r="1998" spans="3:19">
      <c r="C1998" s="79"/>
      <c r="D1998" s="61"/>
      <c r="F1998" s="62"/>
    </row>
    <row r="1999" spans="3:19">
      <c r="C1999" s="79"/>
      <c r="D1999" s="61"/>
      <c r="F1999" s="62"/>
    </row>
    <row r="2000" spans="3:19">
      <c r="C2000" s="79"/>
      <c r="D2000" s="61"/>
      <c r="F2000" s="62"/>
      <c r="K2000" s="84"/>
    </row>
    <row r="2001" spans="3:19">
      <c r="C2001" s="79"/>
      <c r="D2001" s="61"/>
      <c r="F2001" s="62"/>
      <c r="K2001" s="84"/>
      <c r="S2001" s="94"/>
    </row>
    <row r="2002" spans="3:19">
      <c r="C2002" s="79"/>
      <c r="D2002" s="61"/>
      <c r="F2002" s="62"/>
      <c r="K2002" s="84"/>
      <c r="S2002" s="95"/>
    </row>
    <row r="2003" spans="3:19">
      <c r="C2003" s="79"/>
      <c r="D2003" s="61"/>
      <c r="F2003" s="62"/>
      <c r="S2003" s="92"/>
    </row>
    <row r="2004" spans="3:19">
      <c r="C2004" s="79"/>
      <c r="D2004" s="61"/>
      <c r="F2004" s="62"/>
      <c r="S2004" s="94"/>
    </row>
    <row r="2005" spans="3:19">
      <c r="C2005" s="79"/>
      <c r="D2005" s="61"/>
      <c r="F2005" s="62"/>
      <c r="S2005" s="95"/>
    </row>
    <row r="2006" spans="3:19">
      <c r="C2006" s="79"/>
      <c r="D2006" s="61"/>
      <c r="F2006" s="62"/>
      <c r="K2006" s="84"/>
      <c r="S2006" s="95"/>
    </row>
    <row r="2007" spans="3:19">
      <c r="C2007" s="79"/>
      <c r="D2007" s="61"/>
      <c r="F2007" s="62"/>
      <c r="K2007" s="84"/>
      <c r="S2007" s="92"/>
    </row>
    <row r="2008" spans="3:19">
      <c r="C2008" s="79"/>
      <c r="D2008" s="61"/>
      <c r="F2008" s="62"/>
    </row>
    <row r="2009" spans="3:19">
      <c r="C2009" s="79"/>
      <c r="D2009" s="61"/>
      <c r="F2009" s="62"/>
    </row>
    <row r="2010" spans="3:19">
      <c r="C2010" s="79"/>
      <c r="D2010" s="61"/>
      <c r="F2010" s="62"/>
    </row>
    <row r="2011" spans="3:19">
      <c r="C2011" s="79"/>
      <c r="D2011" s="61"/>
      <c r="F2011" s="62"/>
      <c r="S2011" s="94"/>
    </row>
    <row r="2012" spans="3:19">
      <c r="C2012" s="79"/>
      <c r="D2012" s="61"/>
      <c r="F2012" s="62"/>
      <c r="H2012" s="105"/>
      <c r="S2012" s="92"/>
    </row>
    <row r="2013" spans="3:19">
      <c r="C2013" s="79"/>
      <c r="D2013" s="61"/>
      <c r="E2013" s="141"/>
      <c r="F2013" s="62"/>
    </row>
    <row r="2014" spans="3:19">
      <c r="C2014" s="79"/>
      <c r="D2014" s="61"/>
      <c r="E2014" s="141"/>
      <c r="F2014" s="62"/>
    </row>
    <row r="2015" spans="3:19">
      <c r="C2015" s="79"/>
      <c r="D2015" s="61"/>
      <c r="E2015" s="141"/>
      <c r="F2015" s="62"/>
    </row>
    <row r="2016" spans="3:19">
      <c r="C2016" s="79"/>
      <c r="D2016" s="61"/>
      <c r="E2016" s="141"/>
      <c r="F2016" s="62"/>
    </row>
    <row r="2017" spans="3:19">
      <c r="C2017" s="79"/>
      <c r="D2017" s="61"/>
      <c r="F2017" s="62"/>
    </row>
    <row r="2018" spans="3:19">
      <c r="C2018" s="79"/>
      <c r="D2018" s="61"/>
      <c r="F2018" s="62"/>
    </row>
    <row r="2019" spans="3:19">
      <c r="C2019" s="79"/>
      <c r="D2019" s="61"/>
      <c r="F2019" s="62"/>
    </row>
    <row r="2020" spans="3:19">
      <c r="C2020" s="79"/>
      <c r="D2020" s="61"/>
      <c r="F2020" s="62"/>
    </row>
    <row r="2021" spans="3:19">
      <c r="C2021" s="79"/>
      <c r="D2021" s="61"/>
      <c r="F2021" s="62"/>
    </row>
    <row r="2022" spans="3:19">
      <c r="C2022" s="79"/>
      <c r="D2022" s="61"/>
      <c r="F2022" s="62"/>
    </row>
    <row r="2023" spans="3:19">
      <c r="C2023" s="79"/>
      <c r="D2023" s="61"/>
      <c r="F2023" s="62"/>
    </row>
    <row r="2024" spans="3:19">
      <c r="C2024" s="79"/>
      <c r="D2024" s="61"/>
      <c r="F2024" s="62"/>
    </row>
    <row r="2025" spans="3:19">
      <c r="C2025" s="79"/>
      <c r="D2025" s="61"/>
      <c r="F2025" s="62"/>
    </row>
    <row r="2026" spans="3:19">
      <c r="C2026" s="79"/>
      <c r="D2026" s="61"/>
      <c r="F2026" s="62"/>
      <c r="S2026" s="94"/>
    </row>
    <row r="2027" spans="3:19">
      <c r="C2027" s="79"/>
      <c r="D2027" s="61"/>
      <c r="F2027" s="62"/>
      <c r="S2027" s="92"/>
    </row>
    <row r="2028" spans="3:19">
      <c r="C2028" s="79"/>
      <c r="D2028" s="61"/>
      <c r="F2028" s="62"/>
    </row>
    <row r="2029" spans="3:19">
      <c r="C2029" s="79"/>
      <c r="D2029" s="61"/>
      <c r="F2029" s="62"/>
    </row>
    <row r="2030" spans="3:19">
      <c r="C2030" s="79"/>
      <c r="D2030" s="61"/>
      <c r="F2030" s="62"/>
    </row>
    <row r="2031" spans="3:19">
      <c r="C2031" s="79"/>
      <c r="D2031" s="61"/>
      <c r="F2031" s="62"/>
    </row>
    <row r="2032" spans="3:19">
      <c r="C2032" s="79"/>
      <c r="D2032" s="61"/>
      <c r="F2032" s="62"/>
    </row>
    <row r="2033" spans="3:11">
      <c r="C2033" s="79"/>
      <c r="D2033" s="61"/>
      <c r="E2033" s="141"/>
      <c r="F2033" s="62"/>
      <c r="K2033" s="84"/>
    </row>
    <row r="2034" spans="3:11">
      <c r="C2034" s="79"/>
      <c r="D2034" s="61"/>
      <c r="E2034" s="141"/>
      <c r="F2034" s="62"/>
      <c r="K2034" s="84"/>
    </row>
    <row r="2035" spans="3:11">
      <c r="C2035" s="79"/>
      <c r="D2035" s="61"/>
      <c r="F2035" s="62"/>
      <c r="K2035" s="84"/>
    </row>
    <row r="2036" spans="3:11">
      <c r="C2036" s="79"/>
      <c r="D2036" s="61"/>
      <c r="F2036" s="62"/>
      <c r="K2036" s="84"/>
    </row>
    <row r="2037" spans="3:11">
      <c r="C2037" s="79"/>
      <c r="D2037" s="61"/>
      <c r="F2037" s="62"/>
    </row>
    <row r="2038" spans="3:11">
      <c r="C2038" s="79"/>
      <c r="D2038" s="61"/>
      <c r="F2038" s="62"/>
      <c r="K2038" s="84"/>
    </row>
    <row r="2039" spans="3:11">
      <c r="C2039" s="79"/>
      <c r="D2039" s="61"/>
      <c r="F2039" s="62"/>
      <c r="K2039" s="84"/>
    </row>
    <row r="2040" spans="3:11">
      <c r="C2040" s="79"/>
      <c r="D2040" s="61"/>
      <c r="F2040" s="62"/>
      <c r="K2040" s="84"/>
    </row>
    <row r="2041" spans="3:11">
      <c r="C2041" s="79"/>
      <c r="D2041" s="61"/>
      <c r="F2041" s="62"/>
    </row>
    <row r="2042" spans="3:11">
      <c r="C2042" s="79"/>
      <c r="D2042" s="61"/>
      <c r="F2042" s="62"/>
      <c r="K2042" s="84"/>
    </row>
    <row r="2043" spans="3:11">
      <c r="C2043" s="79"/>
      <c r="D2043" s="61"/>
      <c r="F2043" s="62"/>
    </row>
    <row r="2044" spans="3:11">
      <c r="C2044" s="79"/>
      <c r="D2044" s="61"/>
      <c r="F2044" s="62"/>
      <c r="K2044" s="84"/>
    </row>
    <row r="2045" spans="3:11">
      <c r="C2045" s="79"/>
      <c r="D2045" s="61"/>
      <c r="F2045" s="62"/>
      <c r="K2045" s="84"/>
    </row>
    <row r="2046" spans="3:11">
      <c r="C2046" s="79"/>
      <c r="D2046" s="61"/>
      <c r="F2046" s="62"/>
    </row>
    <row r="2047" spans="3:11">
      <c r="C2047" s="79"/>
    </row>
    <row r="2048" spans="3:11">
      <c r="C2048" s="79"/>
    </row>
    <row r="2049" spans="3:15">
      <c r="C2049" s="79"/>
    </row>
    <row r="2050" spans="3:15">
      <c r="C2050" s="79"/>
      <c r="K2050" s="84"/>
    </row>
    <row r="2051" spans="3:15">
      <c r="C2051" s="79"/>
      <c r="K2051" s="84"/>
    </row>
    <row r="2052" spans="3:15">
      <c r="C2052" s="79"/>
    </row>
    <row r="2053" spans="3:15">
      <c r="C2053" s="79"/>
    </row>
    <row r="2054" spans="3:15">
      <c r="C2054" s="79"/>
    </row>
    <row r="2055" spans="3:15">
      <c r="C2055" s="79"/>
    </row>
    <row r="2056" spans="3:15">
      <c r="C2056" s="79"/>
    </row>
    <row r="2057" spans="3:15">
      <c r="C2057" s="79"/>
    </row>
    <row r="2058" spans="3:15">
      <c r="C2058" s="79"/>
    </row>
    <row r="2059" spans="3:15">
      <c r="C2059" s="79"/>
      <c r="E2059" s="141"/>
    </row>
    <row r="2060" spans="3:15">
      <c r="C2060" s="79"/>
      <c r="E2060" s="141"/>
    </row>
    <row r="2061" spans="3:15">
      <c r="C2061" s="79"/>
      <c r="E2061" s="141"/>
      <c r="K2061" s="84"/>
    </row>
    <row r="2062" spans="3:15">
      <c r="C2062" s="79"/>
      <c r="E2062" s="141"/>
    </row>
    <row r="2063" spans="3:15">
      <c r="C2063" s="79"/>
      <c r="K2063" s="84"/>
      <c r="O2063" s="133"/>
    </row>
    <row r="2064" spans="3:15">
      <c r="C2064" s="79"/>
      <c r="K2064" s="84"/>
    </row>
    <row r="2065" spans="3:19">
      <c r="C2065" s="79"/>
    </row>
    <row r="2066" spans="3:19">
      <c r="C2066" s="79"/>
      <c r="K2066" s="84"/>
      <c r="O2066" s="133"/>
    </row>
    <row r="2067" spans="3:19">
      <c r="C2067" s="79"/>
    </row>
    <row r="2068" spans="3:19">
      <c r="C2068" s="79"/>
      <c r="K2068" s="84"/>
      <c r="O2068" s="133"/>
    </row>
    <row r="2069" spans="3:19">
      <c r="C2069" s="79"/>
      <c r="K2069" s="84"/>
    </row>
    <row r="2070" spans="3:19">
      <c r="C2070" s="79"/>
    </row>
    <row r="2071" spans="3:19">
      <c r="C2071" s="79"/>
    </row>
    <row r="2072" spans="3:19">
      <c r="C2072" s="79"/>
    </row>
    <row r="2073" spans="3:19">
      <c r="C2073" s="79"/>
      <c r="S2073" s="94"/>
    </row>
    <row r="2074" spans="3:19">
      <c r="C2074" s="79"/>
      <c r="S2074" s="92"/>
    </row>
    <row r="2075" spans="3:19">
      <c r="C2075" s="79"/>
      <c r="E2075" s="141"/>
    </row>
    <row r="2076" spans="3:19">
      <c r="C2076" s="79"/>
      <c r="E2076" s="141"/>
    </row>
    <row r="2077" spans="3:19">
      <c r="C2077" s="79"/>
      <c r="E2077" s="141"/>
    </row>
    <row r="2078" spans="3:19">
      <c r="C2078" s="79"/>
      <c r="E2078" s="141"/>
    </row>
    <row r="2079" spans="3:19">
      <c r="C2079" s="79"/>
    </row>
    <row r="2080" spans="3:19">
      <c r="C2080" s="79"/>
    </row>
    <row r="2081" spans="3:19">
      <c r="C2081" s="79"/>
    </row>
    <row r="2082" spans="3:19">
      <c r="C2082" s="79"/>
    </row>
    <row r="2083" spans="3:19">
      <c r="C2083" s="79"/>
    </row>
    <row r="2084" spans="3:19">
      <c r="C2084" s="79"/>
    </row>
    <row r="2085" spans="3:19">
      <c r="C2085" s="79"/>
    </row>
    <row r="2086" spans="3:19">
      <c r="C2086" s="79"/>
    </row>
    <row r="2087" spans="3:19">
      <c r="C2087" s="79"/>
      <c r="H2087" s="62"/>
    </row>
    <row r="2088" spans="3:19">
      <c r="C2088" s="79"/>
      <c r="K2088" s="84"/>
    </row>
    <row r="2089" spans="3:19">
      <c r="C2089" s="79"/>
      <c r="K2089" s="84"/>
    </row>
    <row r="2090" spans="3:19">
      <c r="C2090" s="79"/>
      <c r="K2090" s="84"/>
      <c r="S2090" s="94"/>
    </row>
    <row r="2091" spans="3:19">
      <c r="C2091" s="79"/>
      <c r="K2091" s="84"/>
      <c r="S2091" s="95"/>
    </row>
    <row r="2092" spans="3:19">
      <c r="C2092" s="79"/>
      <c r="K2092" s="84"/>
      <c r="S2092" s="92"/>
    </row>
    <row r="2093" spans="3:19">
      <c r="C2093" s="79"/>
      <c r="S2093" s="94"/>
    </row>
    <row r="2094" spans="3:19">
      <c r="C2094" s="79"/>
      <c r="S2094" s="92"/>
    </row>
    <row r="2095" spans="3:19">
      <c r="C2095" s="79"/>
    </row>
    <row r="2096" spans="3:19">
      <c r="C2096" s="79"/>
    </row>
    <row r="2097" spans="3:11">
      <c r="C2097" s="79"/>
    </row>
    <row r="2098" spans="3:11">
      <c r="C2098" s="79"/>
      <c r="K2098" s="84"/>
    </row>
    <row r="2099" spans="3:11">
      <c r="C2099" s="79"/>
      <c r="E2099" s="141"/>
    </row>
    <row r="2100" spans="3:11">
      <c r="C2100" s="79"/>
      <c r="E2100" s="141"/>
    </row>
    <row r="2101" spans="3:11">
      <c r="C2101" s="79"/>
      <c r="E2101" s="141"/>
    </row>
    <row r="2102" spans="3:11">
      <c r="C2102" s="79"/>
      <c r="E2102" s="141"/>
    </row>
    <row r="2103" spans="3:11">
      <c r="C2103" s="79"/>
    </row>
    <row r="2104" spans="3:11">
      <c r="C2104" s="79"/>
    </row>
    <row r="2105" spans="3:11">
      <c r="C2105" s="79"/>
    </row>
    <row r="2106" spans="3:11">
      <c r="C2106" s="79"/>
    </row>
    <row r="2107" spans="3:11">
      <c r="C2107" s="79"/>
      <c r="K2107" s="84"/>
    </row>
    <row r="2108" spans="3:11">
      <c r="C2108" s="79"/>
    </row>
    <row r="2109" spans="3:11">
      <c r="C2109" s="79"/>
    </row>
    <row r="2110" spans="3:11">
      <c r="C2110" s="79"/>
    </row>
    <row r="2111" spans="3:11">
      <c r="C2111" s="79"/>
    </row>
    <row r="2112" spans="3:11">
      <c r="C2112" s="79"/>
    </row>
    <row r="2113" spans="3:19">
      <c r="C2113" s="79"/>
      <c r="S2113" s="94"/>
    </row>
    <row r="2114" spans="3:19">
      <c r="C2114" s="79"/>
      <c r="S2114" s="92"/>
    </row>
    <row r="2115" spans="3:19">
      <c r="C2115" s="79"/>
    </row>
    <row r="2116" spans="3:19">
      <c r="C2116" s="79"/>
    </row>
    <row r="2117" ht="16" customHeight="1" spans="3:19">
      <c r="C2117" s="79"/>
      <c r="O2117" s="61"/>
    </row>
    <row r="2118" ht="16" customHeight="1" spans="3:19">
      <c r="C2118" s="79"/>
      <c r="O2118" s="61"/>
    </row>
    <row r="2119" spans="3:19">
      <c r="C2119" s="79"/>
    </row>
    <row r="2120" spans="3:19">
      <c r="C2120" s="79"/>
    </row>
    <row r="2121" spans="3:19">
      <c r="C2121" s="79"/>
      <c r="K2121" s="84"/>
    </row>
    <row r="2122" spans="3:19">
      <c r="C2122" s="79"/>
    </row>
    <row r="2123" spans="3:19">
      <c r="C2123" s="79"/>
    </row>
    <row r="2124" spans="3:19">
      <c r="C2124" s="79"/>
    </row>
    <row r="2125" spans="3:19">
      <c r="C2125" s="79"/>
    </row>
  </sheetData>
  <autoFilter xmlns:etc="http://www.wps.cn/officeDocument/2017/etCustomData" ref="A1:W128" etc:filterBottomFollowUsedRange="0">
    <filterColumn colId="1">
      <customFilters>
        <customFilter operator="equal" val="5"/>
      </customFilters>
    </filterColumn>
    <extLst/>
  </autoFilter>
  <mergeCells count="184">
    <mergeCell ref="S75:S76"/>
    <mergeCell ref="S86:S87"/>
    <mergeCell ref="S94:S95"/>
    <mergeCell ref="S96:S97"/>
    <mergeCell ref="S103:S104"/>
    <mergeCell ref="S109:S111"/>
    <mergeCell ref="S138:S139"/>
    <mergeCell ref="S143:S144"/>
    <mergeCell ref="S163:S164"/>
    <mergeCell ref="S204:S205"/>
    <mergeCell ref="S206:S207"/>
    <mergeCell ref="S210:S211"/>
    <mergeCell ref="S253:S254"/>
    <mergeCell ref="S256:S258"/>
    <mergeCell ref="S259:S260"/>
    <mergeCell ref="S262:S263"/>
    <mergeCell ref="S267:S268"/>
    <mergeCell ref="S270:S271"/>
    <mergeCell ref="S272:S273"/>
    <mergeCell ref="S297:S298"/>
    <mergeCell ref="S304:S305"/>
    <mergeCell ref="S312:S314"/>
    <mergeCell ref="S322:S323"/>
    <mergeCell ref="S324:S325"/>
    <mergeCell ref="S326:S327"/>
    <mergeCell ref="S365:S366"/>
    <mergeCell ref="S368:S369"/>
    <mergeCell ref="S373:S374"/>
    <mergeCell ref="S377:S378"/>
    <mergeCell ref="S379:S380"/>
    <mergeCell ref="S381:S382"/>
    <mergeCell ref="S388:S389"/>
    <mergeCell ref="S420:S421"/>
    <mergeCell ref="S424:S425"/>
    <mergeCell ref="S427:S428"/>
    <mergeCell ref="S432:S433"/>
    <mergeCell ref="S437:S438"/>
    <mergeCell ref="S442:S444"/>
    <mergeCell ref="S467:S468"/>
    <mergeCell ref="S472:S473"/>
    <mergeCell ref="S474:S475"/>
    <mergeCell ref="S480:S481"/>
    <mergeCell ref="S483:S484"/>
    <mergeCell ref="S490:S491"/>
    <mergeCell ref="S492:S493"/>
    <mergeCell ref="S500:S501"/>
    <mergeCell ref="S506:S507"/>
    <mergeCell ref="S513:S514"/>
    <mergeCell ref="S515:S516"/>
    <mergeCell ref="S522:S523"/>
    <mergeCell ref="S572:S573"/>
    <mergeCell ref="S598:S599"/>
    <mergeCell ref="S612:S613"/>
    <mergeCell ref="S615:S616"/>
    <mergeCell ref="S620:S621"/>
    <mergeCell ref="S622:S623"/>
    <mergeCell ref="S624:S625"/>
    <mergeCell ref="S626:S627"/>
    <mergeCell ref="S629:S630"/>
    <mergeCell ref="S633:S634"/>
    <mergeCell ref="S636:S637"/>
    <mergeCell ref="S638:S639"/>
    <mergeCell ref="S640:S641"/>
    <mergeCell ref="S642:S643"/>
    <mergeCell ref="S645:S646"/>
    <mergeCell ref="S651:S652"/>
    <mergeCell ref="S653:S654"/>
    <mergeCell ref="S656:S657"/>
    <mergeCell ref="S661:S662"/>
    <mergeCell ref="S665:S666"/>
    <mergeCell ref="S673:S676"/>
    <mergeCell ref="S677:S678"/>
    <mergeCell ref="S679:S682"/>
    <mergeCell ref="S707:S708"/>
    <mergeCell ref="S718:S719"/>
    <mergeCell ref="S720:S721"/>
    <mergeCell ref="S722:S723"/>
    <mergeCell ref="S724:S725"/>
    <mergeCell ref="S729:S730"/>
    <mergeCell ref="S731:S732"/>
    <mergeCell ref="S733:S734"/>
    <mergeCell ref="S735:S736"/>
    <mergeCell ref="S737:S738"/>
    <mergeCell ref="S739:S740"/>
    <mergeCell ref="S741:S742"/>
    <mergeCell ref="S744:S745"/>
    <mergeCell ref="S749:S750"/>
    <mergeCell ref="S759:S760"/>
    <mergeCell ref="S761:S762"/>
    <mergeCell ref="S763:S764"/>
    <mergeCell ref="S765:S766"/>
    <mergeCell ref="S767:S768"/>
    <mergeCell ref="S769:S770"/>
    <mergeCell ref="S772:S773"/>
    <mergeCell ref="S777:S778"/>
    <mergeCell ref="S779:S780"/>
    <mergeCell ref="S826:S827"/>
    <mergeCell ref="S828:S829"/>
    <mergeCell ref="S830:S831"/>
    <mergeCell ref="S833:S834"/>
    <mergeCell ref="S836:S837"/>
    <mergeCell ref="S841:S842"/>
    <mergeCell ref="S846:S847"/>
    <mergeCell ref="S849:S850"/>
    <mergeCell ref="S853:S854"/>
    <mergeCell ref="S855:S856"/>
    <mergeCell ref="S877:S878"/>
    <mergeCell ref="S904:S905"/>
    <mergeCell ref="S906:S907"/>
    <mergeCell ref="S908:S909"/>
    <mergeCell ref="S910:S911"/>
    <mergeCell ref="S912:S913"/>
    <mergeCell ref="S935:S936"/>
    <mergeCell ref="S944:S946"/>
    <mergeCell ref="S956:S957"/>
    <mergeCell ref="S967:S968"/>
    <mergeCell ref="S976:S977"/>
    <mergeCell ref="S978:S979"/>
    <mergeCell ref="S980:S981"/>
    <mergeCell ref="S982:S983"/>
    <mergeCell ref="S984:S985"/>
    <mergeCell ref="S986:S987"/>
    <mergeCell ref="S988:S989"/>
    <mergeCell ref="S1083:S1084"/>
    <mergeCell ref="S1092:S1093"/>
    <mergeCell ref="S1144:S1145"/>
    <mergeCell ref="S1146:S1147"/>
    <mergeCell ref="S1153:S1154"/>
    <mergeCell ref="S1155:S1156"/>
    <mergeCell ref="S1166:S1167"/>
    <mergeCell ref="S1185:S1186"/>
    <mergeCell ref="S1187:S1188"/>
    <mergeCell ref="S1189:S1190"/>
    <mergeCell ref="S1215:S1216"/>
    <mergeCell ref="S1217:S1218"/>
    <mergeCell ref="S1219:S1220"/>
    <mergeCell ref="S1221:S1222"/>
    <mergeCell ref="S1223:S1224"/>
    <mergeCell ref="S1225:S1226"/>
    <mergeCell ref="S1227:S1228"/>
    <mergeCell ref="S1230:S1231"/>
    <mergeCell ref="S1244:S1245"/>
    <mergeCell ref="S1251:S1252"/>
    <mergeCell ref="S1260:S1261"/>
    <mergeCell ref="S1321:S1322"/>
    <mergeCell ref="S1383:S1384"/>
    <mergeCell ref="S1386:S1387"/>
    <mergeCell ref="S1399:S1400"/>
    <mergeCell ref="S1457:S1458"/>
    <mergeCell ref="S1460:S1461"/>
    <mergeCell ref="S1463:S1464"/>
    <mergeCell ref="S1487:S1488"/>
    <mergeCell ref="S1534:S1535"/>
    <mergeCell ref="S1551:S1552"/>
    <mergeCell ref="S1553:S1554"/>
    <mergeCell ref="S1562:S1563"/>
    <mergeCell ref="S1564:S1566"/>
    <mergeCell ref="S1574:S1575"/>
    <mergeCell ref="S1588:S1589"/>
    <mergeCell ref="S1628:S1629"/>
    <mergeCell ref="S1630:S1631"/>
    <mergeCell ref="S1681:S1682"/>
    <mergeCell ref="S1828:S1829"/>
    <mergeCell ref="S1837:S1838"/>
    <mergeCell ref="S1892:S1895"/>
    <mergeCell ref="S1910:S1914"/>
    <mergeCell ref="S1935:S1936"/>
    <mergeCell ref="S1937:S1938"/>
    <mergeCell ref="S1939:S1940"/>
    <mergeCell ref="S1978:S1981"/>
    <mergeCell ref="S1982:S1986"/>
    <mergeCell ref="S1987:S1988"/>
    <mergeCell ref="S1989:S1990"/>
    <mergeCell ref="S1991:S1993"/>
    <mergeCell ref="S1994:S1995"/>
    <mergeCell ref="S2001:S2003"/>
    <mergeCell ref="S2004:S2007"/>
    <mergeCell ref="S2011:S2012"/>
    <mergeCell ref="S2073:S2074"/>
    <mergeCell ref="S2090:S2092"/>
    <mergeCell ref="S2093:S2094"/>
    <mergeCell ref="S2113:S2114"/>
    <mergeCell ref="U138:U139"/>
    <mergeCell ref="U143:U144"/>
  </mergeCells>
  <pageMargins left="0.7" right="0.7" top="0.75" bottom="0.75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P1114"/>
  <sheetViews>
    <sheetView zoomScale="88" zoomScaleNormal="88" workbookViewId="0">
      <pane ySplit="1" topLeftCell="A2" activePane="bottomLeft" state="frozen"/>
      <selection/>
      <selection pane="bottomLeft" activeCell="D134" sqref="D134"/>
    </sheetView>
  </sheetViews>
  <sheetFormatPr defaultColWidth="9.81818181818182" defaultRowHeight="14"/>
  <cols>
    <col min="1" max="1" width="6.46363636363636" style="8" customWidth="1"/>
    <col min="2" max="2" width="5.27272727272727" style="8" customWidth="1"/>
    <col min="3" max="3" width="12.6363636363636" style="9" customWidth="1"/>
    <col min="4" max="4" width="15.6363636363636" style="8" customWidth="1"/>
    <col min="5" max="5" width="11.2636363636364" style="8" customWidth="1"/>
    <col min="6" max="6" width="27.3636363636364" style="8" customWidth="1"/>
    <col min="7" max="7" width="10.4272727272727" style="8"/>
    <col min="8" max="8" width="5.18181818181818" style="8" customWidth="1"/>
    <col min="9" max="9" width="10.3636363636364" style="10" customWidth="1"/>
    <col min="10" max="10" width="11.4545454545455" style="11" customWidth="1"/>
    <col min="11" max="11" width="6.36363636363636" style="8" customWidth="1"/>
    <col min="12" max="12" width="20.5454545454545" style="8" customWidth="1"/>
    <col min="13" max="13" width="9.09090909090909" style="8" customWidth="1"/>
    <col min="14" max="14" width="7.72727272727273" style="8" customWidth="1"/>
    <col min="15" max="15" width="16" style="12" customWidth="1"/>
    <col min="16" max="16" width="17.3636363636364" style="13" customWidth="1"/>
    <col min="17" max="16384" width="9.81818181818182" style="6"/>
  </cols>
  <sheetData>
    <row r="1" ht="26" customHeight="1" spans="1:16">
      <c r="A1" s="14" t="s">
        <v>0</v>
      </c>
      <c r="B1" s="15" t="s">
        <v>1</v>
      </c>
      <c r="C1" s="16" t="s">
        <v>2</v>
      </c>
      <c r="D1" s="15" t="s">
        <v>393</v>
      </c>
      <c r="E1" s="15" t="s">
        <v>5</v>
      </c>
      <c r="F1" s="15" t="s">
        <v>6</v>
      </c>
      <c r="G1" s="17" t="s">
        <v>7</v>
      </c>
      <c r="H1" s="15" t="s">
        <v>8</v>
      </c>
      <c r="I1" s="18" t="s">
        <v>394</v>
      </c>
      <c r="J1" s="19" t="s">
        <v>10</v>
      </c>
      <c r="K1" s="20" t="s">
        <v>395</v>
      </c>
      <c r="L1" s="20" t="s">
        <v>12</v>
      </c>
      <c r="M1" s="21" t="s">
        <v>14</v>
      </c>
      <c r="N1" s="21" t="s">
        <v>396</v>
      </c>
      <c r="O1" s="22" t="s">
        <v>397</v>
      </c>
      <c r="P1" s="22" t="s">
        <v>129</v>
      </c>
    </row>
    <row r="2" s="1" customFormat="1" hidden="1" spans="1:16">
      <c r="A2" s="23">
        <v>1</v>
      </c>
      <c r="B2" s="24">
        <v>1</v>
      </c>
      <c r="C2" s="25">
        <v>46027</v>
      </c>
      <c r="D2" s="26" t="s">
        <v>398</v>
      </c>
      <c r="E2" s="26" t="s">
        <v>399</v>
      </c>
      <c r="F2" s="26" t="s">
        <v>400</v>
      </c>
      <c r="G2" s="26">
        <v>8400</v>
      </c>
      <c r="H2" s="27" t="s">
        <v>24</v>
      </c>
      <c r="I2" s="26">
        <v>1.85</v>
      </c>
      <c r="J2" s="26">
        <v>15540</v>
      </c>
      <c r="K2" s="28">
        <v>0</v>
      </c>
      <c r="L2" s="26" t="s">
        <v>401</v>
      </c>
      <c r="M2" s="29" t="s">
        <v>27</v>
      </c>
      <c r="N2" s="23" t="s">
        <v>402</v>
      </c>
      <c r="O2" s="26" t="s">
        <v>403</v>
      </c>
      <c r="P2" s="8"/>
    </row>
    <row r="3" s="1" customFormat="1" hidden="1" spans="1:16">
      <c r="A3" s="23">
        <v>2</v>
      </c>
      <c r="B3" s="24">
        <v>1</v>
      </c>
      <c r="C3" s="25">
        <v>46027</v>
      </c>
      <c r="D3" s="26" t="s">
        <v>398</v>
      </c>
      <c r="E3" s="26" t="s">
        <v>399</v>
      </c>
      <c r="F3" s="26" t="s">
        <v>404</v>
      </c>
      <c r="G3" s="26">
        <v>480</v>
      </c>
      <c r="H3" s="27" t="s">
        <v>24</v>
      </c>
      <c r="I3" s="26">
        <v>1.75</v>
      </c>
      <c r="J3" s="26">
        <v>840</v>
      </c>
      <c r="K3" s="28">
        <v>0</v>
      </c>
      <c r="L3" s="26" t="s">
        <v>401</v>
      </c>
      <c r="M3" s="29" t="s">
        <v>27</v>
      </c>
      <c r="N3" s="23" t="s">
        <v>402</v>
      </c>
      <c r="O3" s="26" t="s">
        <v>405</v>
      </c>
      <c r="P3" s="8"/>
    </row>
    <row r="4" s="1" customFormat="1" hidden="1" spans="1:16">
      <c r="A4" s="23">
        <v>3</v>
      </c>
      <c r="B4" s="24">
        <v>1</v>
      </c>
      <c r="C4" s="25">
        <v>46027</v>
      </c>
      <c r="D4" s="26" t="s">
        <v>21</v>
      </c>
      <c r="E4" s="26" t="s">
        <v>406</v>
      </c>
      <c r="F4" s="26" t="s">
        <v>407</v>
      </c>
      <c r="G4" s="26">
        <v>17500</v>
      </c>
      <c r="H4" s="27" t="s">
        <v>24</v>
      </c>
      <c r="I4" s="26">
        <v>0.2772</v>
      </c>
      <c r="J4" s="26">
        <v>4851</v>
      </c>
      <c r="K4" s="28">
        <v>0</v>
      </c>
      <c r="L4" s="26" t="s">
        <v>408</v>
      </c>
      <c r="M4" s="29" t="s">
        <v>27</v>
      </c>
      <c r="N4" s="23" t="s">
        <v>402</v>
      </c>
      <c r="O4" s="26" t="s">
        <v>409</v>
      </c>
      <c r="P4" s="8"/>
    </row>
    <row r="5" s="1" customFormat="1" hidden="1" spans="1:16">
      <c r="A5" s="23">
        <v>4</v>
      </c>
      <c r="B5" s="24">
        <v>1</v>
      </c>
      <c r="C5" s="25">
        <v>46027</v>
      </c>
      <c r="D5" s="26" t="s">
        <v>21</v>
      </c>
      <c r="E5" s="26" t="s">
        <v>406</v>
      </c>
      <c r="F5" s="26" t="s">
        <v>410</v>
      </c>
      <c r="G5" s="26">
        <v>5000</v>
      </c>
      <c r="H5" s="27" t="s">
        <v>24</v>
      </c>
      <c r="I5" s="26">
        <v>0.4</v>
      </c>
      <c r="J5" s="26">
        <v>2000</v>
      </c>
      <c r="K5" s="28">
        <v>0</v>
      </c>
      <c r="L5" s="26" t="s">
        <v>411</v>
      </c>
      <c r="M5" s="29" t="s">
        <v>27</v>
      </c>
      <c r="N5" s="23" t="s">
        <v>402</v>
      </c>
      <c r="O5" s="26" t="s">
        <v>412</v>
      </c>
      <c r="P5" s="8"/>
    </row>
    <row r="6" s="1" customFormat="1" hidden="1" spans="1:16">
      <c r="A6" s="23">
        <v>5</v>
      </c>
      <c r="B6" s="24">
        <v>1</v>
      </c>
      <c r="C6" s="25">
        <v>46027</v>
      </c>
      <c r="D6" s="26" t="s">
        <v>413</v>
      </c>
      <c r="E6" s="26" t="s">
        <v>414</v>
      </c>
      <c r="F6" s="26" t="s">
        <v>415</v>
      </c>
      <c r="G6" s="26">
        <v>2500</v>
      </c>
      <c r="H6" s="27" t="s">
        <v>24</v>
      </c>
      <c r="I6" s="26">
        <v>0.1465</v>
      </c>
      <c r="J6" s="26">
        <v>366.25</v>
      </c>
      <c r="K6" s="28">
        <v>0</v>
      </c>
      <c r="L6" s="26" t="s">
        <v>416</v>
      </c>
      <c r="M6" s="29" t="s">
        <v>27</v>
      </c>
      <c r="N6" s="23" t="s">
        <v>402</v>
      </c>
      <c r="O6" s="26" t="s">
        <v>417</v>
      </c>
      <c r="P6" s="8"/>
    </row>
    <row r="7" s="1" customFormat="1" hidden="1" spans="1:16">
      <c r="A7" s="23">
        <v>6</v>
      </c>
      <c r="B7" s="24">
        <v>1</v>
      </c>
      <c r="C7" s="25">
        <v>46028</v>
      </c>
      <c r="D7" s="26" t="s">
        <v>21</v>
      </c>
      <c r="E7" s="26" t="s">
        <v>406</v>
      </c>
      <c r="F7" s="26" t="s">
        <v>418</v>
      </c>
      <c r="G7" s="26">
        <v>5000</v>
      </c>
      <c r="H7" s="27" t="s">
        <v>24</v>
      </c>
      <c r="I7" s="26">
        <v>1.35</v>
      </c>
      <c r="J7" s="26">
        <v>6750</v>
      </c>
      <c r="K7" s="28">
        <v>0</v>
      </c>
      <c r="L7" s="26" t="s">
        <v>419</v>
      </c>
      <c r="M7" s="29" t="s">
        <v>27</v>
      </c>
      <c r="N7" s="23" t="s">
        <v>402</v>
      </c>
      <c r="O7" s="26" t="s">
        <v>420</v>
      </c>
      <c r="P7" s="8"/>
    </row>
    <row r="8" s="1" customFormat="1" hidden="1" spans="1:16">
      <c r="A8" s="23">
        <v>7</v>
      </c>
      <c r="B8" s="24">
        <v>1</v>
      </c>
      <c r="C8" s="25">
        <v>46029</v>
      </c>
      <c r="D8" s="26" t="s">
        <v>21</v>
      </c>
      <c r="E8" s="26" t="s">
        <v>406</v>
      </c>
      <c r="F8" s="26" t="s">
        <v>421</v>
      </c>
      <c r="G8" s="26">
        <v>3000</v>
      </c>
      <c r="H8" s="27" t="s">
        <v>24</v>
      </c>
      <c r="I8" s="26">
        <v>0.28</v>
      </c>
      <c r="J8" s="26">
        <v>840</v>
      </c>
      <c r="K8" s="28">
        <v>0</v>
      </c>
      <c r="L8" s="26" t="s">
        <v>422</v>
      </c>
      <c r="M8" s="29" t="s">
        <v>27</v>
      </c>
      <c r="N8" s="23" t="s">
        <v>402</v>
      </c>
      <c r="O8" s="26" t="s">
        <v>423</v>
      </c>
      <c r="P8" s="8"/>
    </row>
    <row r="9" s="1" customFormat="1" hidden="1" spans="1:16">
      <c r="A9" s="23">
        <v>8</v>
      </c>
      <c r="B9" s="24">
        <v>1</v>
      </c>
      <c r="C9" s="25">
        <v>46029</v>
      </c>
      <c r="D9" s="26" t="s">
        <v>21</v>
      </c>
      <c r="E9" s="26" t="s">
        <v>406</v>
      </c>
      <c r="F9" s="26" t="s">
        <v>424</v>
      </c>
      <c r="G9" s="26">
        <v>87000</v>
      </c>
      <c r="H9" s="27" t="s">
        <v>24</v>
      </c>
      <c r="I9" s="26">
        <v>1.019</v>
      </c>
      <c r="J9" s="26">
        <v>88653</v>
      </c>
      <c r="K9" s="28">
        <v>0</v>
      </c>
      <c r="L9" s="26" t="s">
        <v>422</v>
      </c>
      <c r="M9" s="29" t="s">
        <v>27</v>
      </c>
      <c r="N9" s="23" t="s">
        <v>402</v>
      </c>
      <c r="O9" s="26" t="s">
        <v>425</v>
      </c>
      <c r="P9" s="8"/>
    </row>
    <row r="10" s="1" customFormat="1" hidden="1" spans="1:16">
      <c r="A10" s="23">
        <v>9</v>
      </c>
      <c r="B10" s="24">
        <v>1</v>
      </c>
      <c r="C10" s="25">
        <v>46031</v>
      </c>
      <c r="D10" s="26" t="s">
        <v>426</v>
      </c>
      <c r="E10" s="30" t="s">
        <v>427</v>
      </c>
      <c r="F10" s="26" t="s">
        <v>428</v>
      </c>
      <c r="G10" s="26">
        <v>2500</v>
      </c>
      <c r="H10" s="27" t="s">
        <v>24</v>
      </c>
      <c r="I10" s="26">
        <v>0.52</v>
      </c>
      <c r="J10" s="26">
        <v>1300</v>
      </c>
      <c r="K10" s="28"/>
      <c r="L10" s="26" t="s">
        <v>429</v>
      </c>
      <c r="M10" s="29" t="s">
        <v>43</v>
      </c>
      <c r="N10" s="23"/>
      <c r="O10" s="26"/>
      <c r="P10" s="8"/>
    </row>
    <row r="11" s="1" customFormat="1" hidden="1" spans="1:16">
      <c r="A11" s="23">
        <v>10</v>
      </c>
      <c r="B11" s="24">
        <v>1</v>
      </c>
      <c r="C11" s="25">
        <v>46031</v>
      </c>
      <c r="D11" s="26" t="s">
        <v>398</v>
      </c>
      <c r="E11" s="30" t="s">
        <v>427</v>
      </c>
      <c r="F11" s="26" t="s">
        <v>430</v>
      </c>
      <c r="G11" s="26">
        <v>10000</v>
      </c>
      <c r="H11" s="27" t="s">
        <v>24</v>
      </c>
      <c r="I11" s="26">
        <v>0.44</v>
      </c>
      <c r="J11" s="26">
        <v>4400</v>
      </c>
      <c r="K11" s="28"/>
      <c r="L11" s="26" t="s">
        <v>429</v>
      </c>
      <c r="M11" s="29" t="s">
        <v>43</v>
      </c>
      <c r="N11" s="23"/>
      <c r="O11" s="26"/>
      <c r="P11" s="8"/>
    </row>
    <row r="12" s="1" customFormat="1" hidden="1" spans="1:16">
      <c r="A12" s="23">
        <v>11</v>
      </c>
      <c r="B12" s="24">
        <v>1</v>
      </c>
      <c r="C12" s="25">
        <v>46031</v>
      </c>
      <c r="D12" s="26" t="s">
        <v>398</v>
      </c>
      <c r="E12" s="30" t="s">
        <v>427</v>
      </c>
      <c r="F12" s="26" t="s">
        <v>431</v>
      </c>
      <c r="G12" s="26">
        <v>20000</v>
      </c>
      <c r="H12" s="27" t="s">
        <v>24</v>
      </c>
      <c r="I12" s="26">
        <v>0.67</v>
      </c>
      <c r="J12" s="26">
        <v>13400</v>
      </c>
      <c r="K12" s="28"/>
      <c r="L12" s="26" t="s">
        <v>429</v>
      </c>
      <c r="M12" s="29" t="s">
        <v>43</v>
      </c>
      <c r="N12" s="23"/>
      <c r="O12" s="26"/>
      <c r="P12" s="8"/>
    </row>
    <row r="13" s="1" customFormat="1" hidden="1" spans="1:16">
      <c r="A13" s="23">
        <v>12</v>
      </c>
      <c r="B13" s="24">
        <v>1</v>
      </c>
      <c r="C13" s="25">
        <v>46031</v>
      </c>
      <c r="D13" s="26" t="s">
        <v>398</v>
      </c>
      <c r="E13" s="26" t="s">
        <v>406</v>
      </c>
      <c r="F13" s="26" t="s">
        <v>400</v>
      </c>
      <c r="G13" s="26">
        <v>4320</v>
      </c>
      <c r="H13" s="27" t="s">
        <v>24</v>
      </c>
      <c r="I13" s="26">
        <v>1.9</v>
      </c>
      <c r="J13" s="26">
        <v>8208</v>
      </c>
      <c r="K13" s="28">
        <v>0</v>
      </c>
      <c r="L13" s="26" t="s">
        <v>432</v>
      </c>
      <c r="M13" s="29" t="s">
        <v>27</v>
      </c>
      <c r="N13" s="23" t="s">
        <v>402</v>
      </c>
      <c r="O13" s="26" t="s">
        <v>403</v>
      </c>
      <c r="P13" s="8"/>
    </row>
    <row r="14" s="1" customFormat="1" hidden="1" spans="1:16">
      <c r="A14" s="23">
        <v>13</v>
      </c>
      <c r="B14" s="24">
        <v>1</v>
      </c>
      <c r="C14" s="25">
        <v>46031</v>
      </c>
      <c r="D14" s="26" t="s">
        <v>398</v>
      </c>
      <c r="E14" s="26" t="s">
        <v>399</v>
      </c>
      <c r="F14" s="26" t="s">
        <v>400</v>
      </c>
      <c r="G14" s="26">
        <v>5520</v>
      </c>
      <c r="H14" s="27" t="s">
        <v>24</v>
      </c>
      <c r="I14" s="26">
        <v>1.85</v>
      </c>
      <c r="J14" s="26">
        <v>10212</v>
      </c>
      <c r="K14" s="28">
        <v>0</v>
      </c>
      <c r="L14" s="26" t="s">
        <v>433</v>
      </c>
      <c r="M14" s="29" t="s">
        <v>27</v>
      </c>
      <c r="N14" s="23" t="s">
        <v>402</v>
      </c>
      <c r="O14" s="26" t="s">
        <v>403</v>
      </c>
      <c r="P14" s="8"/>
    </row>
    <row r="15" s="1" customFormat="1" hidden="1" spans="1:16">
      <c r="A15" s="23">
        <v>14</v>
      </c>
      <c r="B15" s="24">
        <v>1</v>
      </c>
      <c r="C15" s="25">
        <v>46034</v>
      </c>
      <c r="D15" s="26" t="s">
        <v>398</v>
      </c>
      <c r="E15" s="26" t="s">
        <v>406</v>
      </c>
      <c r="F15" s="26" t="s">
        <v>400</v>
      </c>
      <c r="G15" s="26">
        <v>960</v>
      </c>
      <c r="H15" s="27" t="s">
        <v>24</v>
      </c>
      <c r="I15" s="26">
        <v>1.9</v>
      </c>
      <c r="J15" s="26">
        <v>1824</v>
      </c>
      <c r="K15" s="28">
        <v>0</v>
      </c>
      <c r="L15" s="26" t="s">
        <v>434</v>
      </c>
      <c r="M15" s="29" t="s">
        <v>27</v>
      </c>
      <c r="N15" s="23" t="s">
        <v>402</v>
      </c>
      <c r="O15" s="26" t="s">
        <v>403</v>
      </c>
      <c r="P15" s="8"/>
    </row>
    <row r="16" s="1" customFormat="1" hidden="1" spans="1:16">
      <c r="A16" s="23">
        <v>15</v>
      </c>
      <c r="B16" s="24">
        <v>1</v>
      </c>
      <c r="C16" s="25">
        <v>46034</v>
      </c>
      <c r="D16" s="26" t="s">
        <v>398</v>
      </c>
      <c r="E16" s="26" t="s">
        <v>406</v>
      </c>
      <c r="F16" s="26" t="s">
        <v>400</v>
      </c>
      <c r="G16" s="26">
        <v>1200</v>
      </c>
      <c r="H16" s="27" t="s">
        <v>24</v>
      </c>
      <c r="I16" s="26">
        <v>1.9</v>
      </c>
      <c r="J16" s="26">
        <v>2280</v>
      </c>
      <c r="K16" s="28">
        <v>0</v>
      </c>
      <c r="L16" s="26" t="s">
        <v>435</v>
      </c>
      <c r="M16" s="29" t="s">
        <v>27</v>
      </c>
      <c r="N16" s="23" t="s">
        <v>402</v>
      </c>
      <c r="O16" s="26" t="s">
        <v>403</v>
      </c>
      <c r="P16" s="8"/>
    </row>
    <row r="17" s="1" customFormat="1" hidden="1" spans="1:16">
      <c r="A17" s="23">
        <v>16</v>
      </c>
      <c r="B17" s="24">
        <v>1</v>
      </c>
      <c r="C17" s="25">
        <v>46034</v>
      </c>
      <c r="D17" s="26" t="s">
        <v>398</v>
      </c>
      <c r="E17" s="26" t="s">
        <v>406</v>
      </c>
      <c r="F17" s="26" t="s">
        <v>400</v>
      </c>
      <c r="G17" s="26">
        <v>480</v>
      </c>
      <c r="H17" s="27" t="s">
        <v>24</v>
      </c>
      <c r="I17" s="26">
        <v>1.9</v>
      </c>
      <c r="J17" s="26">
        <v>912</v>
      </c>
      <c r="K17" s="28">
        <v>0</v>
      </c>
      <c r="L17" s="26" t="s">
        <v>435</v>
      </c>
      <c r="M17" s="29" t="s">
        <v>27</v>
      </c>
      <c r="N17" s="23" t="s">
        <v>402</v>
      </c>
      <c r="O17" s="26" t="s">
        <v>403</v>
      </c>
      <c r="P17" s="8"/>
    </row>
    <row r="18" s="1" customFormat="1" hidden="1" spans="1:16">
      <c r="A18" s="23">
        <v>17</v>
      </c>
      <c r="B18" s="24">
        <v>1</v>
      </c>
      <c r="C18" s="25">
        <v>46036</v>
      </c>
      <c r="D18" s="26" t="s">
        <v>398</v>
      </c>
      <c r="E18" s="26" t="s">
        <v>427</v>
      </c>
      <c r="F18" s="26" t="s">
        <v>430</v>
      </c>
      <c r="G18" s="26">
        <v>20000</v>
      </c>
      <c r="H18" s="27" t="s">
        <v>24</v>
      </c>
      <c r="I18" s="26">
        <v>0.44</v>
      </c>
      <c r="J18" s="26">
        <v>8800</v>
      </c>
      <c r="K18" s="28"/>
      <c r="L18" s="26" t="s">
        <v>436</v>
      </c>
      <c r="M18" s="29" t="s">
        <v>43</v>
      </c>
      <c r="N18" s="23"/>
      <c r="O18" s="26"/>
      <c r="P18" s="8"/>
    </row>
    <row r="19" s="1" customFormat="1" hidden="1" spans="1:16">
      <c r="A19" s="23">
        <v>18</v>
      </c>
      <c r="B19" s="24">
        <v>1</v>
      </c>
      <c r="C19" s="25">
        <v>46037</v>
      </c>
      <c r="D19" s="26" t="s">
        <v>21</v>
      </c>
      <c r="E19" s="26" t="s">
        <v>437</v>
      </c>
      <c r="F19" s="26" t="s">
        <v>438</v>
      </c>
      <c r="G19" s="26">
        <v>60</v>
      </c>
      <c r="H19" s="27" t="s">
        <v>24</v>
      </c>
      <c r="I19" s="26">
        <v>1.85</v>
      </c>
      <c r="J19" s="26">
        <v>111</v>
      </c>
      <c r="K19" s="28">
        <v>0</v>
      </c>
      <c r="L19" s="26" t="s">
        <v>439</v>
      </c>
      <c r="M19" s="29" t="s">
        <v>27</v>
      </c>
      <c r="N19" s="23" t="s">
        <v>402</v>
      </c>
      <c r="O19" s="26" t="s">
        <v>440</v>
      </c>
      <c r="P19" s="8"/>
    </row>
    <row r="20" s="1" customFormat="1" hidden="1" spans="1:16">
      <c r="A20" s="23">
        <v>19</v>
      </c>
      <c r="B20" s="24">
        <v>1</v>
      </c>
      <c r="C20" s="25">
        <v>46037</v>
      </c>
      <c r="D20" s="26" t="s">
        <v>21</v>
      </c>
      <c r="E20" s="26" t="s">
        <v>437</v>
      </c>
      <c r="F20" s="26" t="s">
        <v>441</v>
      </c>
      <c r="G20" s="26">
        <v>60</v>
      </c>
      <c r="H20" s="27" t="s">
        <v>24</v>
      </c>
      <c r="I20" s="26">
        <v>0.4</v>
      </c>
      <c r="J20" s="26">
        <v>24</v>
      </c>
      <c r="K20" s="28">
        <v>0</v>
      </c>
      <c r="L20" s="26" t="s">
        <v>439</v>
      </c>
      <c r="M20" s="29" t="s">
        <v>27</v>
      </c>
      <c r="N20" s="23" t="s">
        <v>402</v>
      </c>
      <c r="O20" s="26" t="s">
        <v>442</v>
      </c>
      <c r="P20" s="8"/>
    </row>
    <row r="21" s="1" customFormat="1" hidden="1" spans="1:16">
      <c r="A21" s="23">
        <v>20</v>
      </c>
      <c r="B21" s="24">
        <v>1</v>
      </c>
      <c r="C21" s="25">
        <v>46037</v>
      </c>
      <c r="D21" s="26" t="s">
        <v>21</v>
      </c>
      <c r="E21" s="26" t="s">
        <v>437</v>
      </c>
      <c r="F21" s="26" t="s">
        <v>443</v>
      </c>
      <c r="G21" s="26">
        <v>7500</v>
      </c>
      <c r="H21" s="27" t="s">
        <v>24</v>
      </c>
      <c r="I21" s="26">
        <v>0.2871</v>
      </c>
      <c r="J21" s="26">
        <v>2153.25</v>
      </c>
      <c r="K21" s="28">
        <v>0</v>
      </c>
      <c r="L21" s="26" t="s">
        <v>439</v>
      </c>
      <c r="M21" s="29" t="s">
        <v>27</v>
      </c>
      <c r="N21" s="23" t="s">
        <v>402</v>
      </c>
      <c r="O21" s="26" t="s">
        <v>444</v>
      </c>
      <c r="P21" s="8"/>
    </row>
    <row r="22" s="1" customFormat="1" hidden="1" spans="1:16">
      <c r="A22" s="23">
        <v>21</v>
      </c>
      <c r="B22" s="24">
        <v>1</v>
      </c>
      <c r="C22" s="25">
        <v>46037</v>
      </c>
      <c r="D22" s="26" t="s">
        <v>21</v>
      </c>
      <c r="E22" s="26" t="s">
        <v>445</v>
      </c>
      <c r="F22" s="26" t="s">
        <v>446</v>
      </c>
      <c r="G22" s="26">
        <v>1000</v>
      </c>
      <c r="H22" s="27" t="s">
        <v>24</v>
      </c>
      <c r="I22" s="26">
        <v>0.169</v>
      </c>
      <c r="J22" s="26">
        <v>169</v>
      </c>
      <c r="K22" s="28">
        <v>0</v>
      </c>
      <c r="L22" s="26" t="s">
        <v>447</v>
      </c>
      <c r="M22" s="29" t="s">
        <v>27</v>
      </c>
      <c r="N22" s="23" t="s">
        <v>402</v>
      </c>
      <c r="O22" s="26" t="s">
        <v>448</v>
      </c>
      <c r="P22" s="8"/>
    </row>
    <row r="23" s="1" customFormat="1" hidden="1" spans="1:16">
      <c r="A23" s="23">
        <v>22</v>
      </c>
      <c r="B23" s="24">
        <v>1</v>
      </c>
      <c r="C23" s="25">
        <v>46037</v>
      </c>
      <c r="D23" s="26" t="s">
        <v>21</v>
      </c>
      <c r="E23" s="26" t="s">
        <v>406</v>
      </c>
      <c r="F23" s="26" t="s">
        <v>424</v>
      </c>
      <c r="G23" s="26">
        <v>57000</v>
      </c>
      <c r="H23" s="27" t="s">
        <v>24</v>
      </c>
      <c r="I23" s="26">
        <v>1.019</v>
      </c>
      <c r="J23" s="26">
        <v>58083</v>
      </c>
      <c r="K23" s="28">
        <v>0</v>
      </c>
      <c r="L23" s="26" t="s">
        <v>449</v>
      </c>
      <c r="M23" s="29" t="s">
        <v>27</v>
      </c>
      <c r="N23" s="23" t="s">
        <v>402</v>
      </c>
      <c r="O23" s="26" t="s">
        <v>425</v>
      </c>
      <c r="P23" s="8"/>
    </row>
    <row r="24" s="1" customFormat="1" hidden="1" spans="1:16">
      <c r="A24" s="23">
        <v>23</v>
      </c>
      <c r="B24" s="24">
        <v>1</v>
      </c>
      <c r="C24" s="25">
        <v>46037</v>
      </c>
      <c r="D24" s="26" t="s">
        <v>21</v>
      </c>
      <c r="E24" s="26" t="s">
        <v>406</v>
      </c>
      <c r="F24" s="26" t="s">
        <v>424</v>
      </c>
      <c r="G24" s="26">
        <v>72000</v>
      </c>
      <c r="H24" s="27" t="s">
        <v>24</v>
      </c>
      <c r="I24" s="26">
        <v>1.019</v>
      </c>
      <c r="J24" s="26">
        <v>73368</v>
      </c>
      <c r="K24" s="28">
        <v>0</v>
      </c>
      <c r="L24" s="26" t="s">
        <v>449</v>
      </c>
      <c r="M24" s="29" t="s">
        <v>27</v>
      </c>
      <c r="N24" s="23" t="s">
        <v>402</v>
      </c>
      <c r="O24" s="26" t="s">
        <v>425</v>
      </c>
      <c r="P24" s="8"/>
    </row>
    <row r="25" s="1" customFormat="1" hidden="1" spans="1:16">
      <c r="A25" s="23">
        <v>24</v>
      </c>
      <c r="B25" s="24">
        <v>1</v>
      </c>
      <c r="C25" s="25">
        <v>46037</v>
      </c>
      <c r="D25" s="26" t="s">
        <v>21</v>
      </c>
      <c r="E25" s="26" t="s">
        <v>406</v>
      </c>
      <c r="F25" s="26" t="s">
        <v>424</v>
      </c>
      <c r="G25" s="26">
        <v>57000</v>
      </c>
      <c r="H25" s="27" t="s">
        <v>24</v>
      </c>
      <c r="I25" s="26">
        <v>1.019</v>
      </c>
      <c r="J25" s="26">
        <v>58083</v>
      </c>
      <c r="K25" s="28">
        <v>0</v>
      </c>
      <c r="L25" s="26" t="s">
        <v>449</v>
      </c>
      <c r="M25" s="29" t="s">
        <v>27</v>
      </c>
      <c r="N25" s="23" t="s">
        <v>402</v>
      </c>
      <c r="O25" s="26" t="s">
        <v>425</v>
      </c>
      <c r="P25" s="8"/>
    </row>
    <row r="26" s="1" customFormat="1" hidden="1" spans="1:16">
      <c r="A26" s="23">
        <v>25</v>
      </c>
      <c r="B26" s="24">
        <v>1</v>
      </c>
      <c r="C26" s="25">
        <v>46043</v>
      </c>
      <c r="D26" s="26" t="s">
        <v>21</v>
      </c>
      <c r="E26" s="26" t="s">
        <v>406</v>
      </c>
      <c r="F26" s="26" t="s">
        <v>450</v>
      </c>
      <c r="G26" s="26">
        <v>22939</v>
      </c>
      <c r="H26" s="27" t="s">
        <v>24</v>
      </c>
      <c r="I26" s="26">
        <v>0.87</v>
      </c>
      <c r="J26" s="26">
        <v>19956.93</v>
      </c>
      <c r="K26" s="28">
        <v>0</v>
      </c>
      <c r="L26" s="26" t="s">
        <v>451</v>
      </c>
      <c r="M26" s="29" t="s">
        <v>27</v>
      </c>
      <c r="N26" s="23" t="s">
        <v>402</v>
      </c>
      <c r="O26" s="26" t="s">
        <v>452</v>
      </c>
      <c r="P26" s="8"/>
    </row>
    <row r="27" s="1" customFormat="1" hidden="1" spans="1:16">
      <c r="A27" s="23">
        <v>26</v>
      </c>
      <c r="B27" s="24">
        <v>2</v>
      </c>
      <c r="C27" s="25">
        <v>46057</v>
      </c>
      <c r="D27" s="26" t="s">
        <v>21</v>
      </c>
      <c r="E27" s="26" t="s">
        <v>406</v>
      </c>
      <c r="F27" s="26" t="s">
        <v>453</v>
      </c>
      <c r="G27" s="26">
        <v>20000</v>
      </c>
      <c r="H27" s="27" t="s">
        <v>24</v>
      </c>
      <c r="I27" s="26">
        <v>0.1131</v>
      </c>
      <c r="J27" s="26">
        <v>2262</v>
      </c>
      <c r="K27" s="28">
        <v>0</v>
      </c>
      <c r="L27" s="26" t="s">
        <v>454</v>
      </c>
      <c r="M27" s="29" t="s">
        <v>27</v>
      </c>
      <c r="N27" s="23" t="s">
        <v>402</v>
      </c>
      <c r="O27" s="26" t="s">
        <v>455</v>
      </c>
      <c r="P27" s="8"/>
    </row>
    <row r="28" s="1" customFormat="1" hidden="1" spans="1:16">
      <c r="A28" s="23">
        <v>27</v>
      </c>
      <c r="B28" s="24">
        <v>2</v>
      </c>
      <c r="C28" s="25">
        <v>46057</v>
      </c>
      <c r="D28" s="26" t="s">
        <v>21</v>
      </c>
      <c r="E28" s="26" t="s">
        <v>406</v>
      </c>
      <c r="F28" s="26" t="s">
        <v>456</v>
      </c>
      <c r="G28" s="26">
        <v>10000</v>
      </c>
      <c r="H28" s="27" t="s">
        <v>24</v>
      </c>
      <c r="I28" s="26">
        <v>0.065</v>
      </c>
      <c r="J28" s="26">
        <v>650</v>
      </c>
      <c r="K28" s="28">
        <v>0</v>
      </c>
      <c r="L28" s="26" t="s">
        <v>454</v>
      </c>
      <c r="M28" s="29" t="s">
        <v>27</v>
      </c>
      <c r="N28" s="23" t="s">
        <v>402</v>
      </c>
      <c r="O28" s="26" t="s">
        <v>457</v>
      </c>
      <c r="P28" s="8"/>
    </row>
    <row r="29" s="1" customFormat="1" hidden="1" spans="1:16">
      <c r="A29" s="23">
        <v>28</v>
      </c>
      <c r="B29" s="24">
        <v>2</v>
      </c>
      <c r="C29" s="25">
        <v>46057</v>
      </c>
      <c r="D29" s="26" t="s">
        <v>21</v>
      </c>
      <c r="E29" s="26" t="s">
        <v>406</v>
      </c>
      <c r="F29" s="26" t="s">
        <v>458</v>
      </c>
      <c r="G29" s="26">
        <v>50000</v>
      </c>
      <c r="H29" s="27" t="s">
        <v>24</v>
      </c>
      <c r="I29" s="26">
        <v>1.27</v>
      </c>
      <c r="J29" s="26">
        <v>63500</v>
      </c>
      <c r="K29" s="28">
        <v>0</v>
      </c>
      <c r="L29" s="26" t="s">
        <v>454</v>
      </c>
      <c r="M29" s="29" t="s">
        <v>27</v>
      </c>
      <c r="N29" s="23" t="s">
        <v>402</v>
      </c>
      <c r="O29" s="26" t="s">
        <v>459</v>
      </c>
      <c r="P29" s="8"/>
    </row>
    <row r="30" s="1" customFormat="1" hidden="1" spans="1:16">
      <c r="A30" s="23">
        <v>29</v>
      </c>
      <c r="B30" s="24">
        <v>2</v>
      </c>
      <c r="C30" s="25">
        <v>46057</v>
      </c>
      <c r="D30" s="26" t="s">
        <v>21</v>
      </c>
      <c r="E30" s="26" t="s">
        <v>406</v>
      </c>
      <c r="F30" s="26" t="s">
        <v>460</v>
      </c>
      <c r="G30" s="26">
        <v>15000</v>
      </c>
      <c r="H30" s="27" t="s">
        <v>24</v>
      </c>
      <c r="I30" s="26">
        <v>1.164</v>
      </c>
      <c r="J30" s="26">
        <v>17460</v>
      </c>
      <c r="K30" s="28">
        <v>0</v>
      </c>
      <c r="L30" s="26" t="s">
        <v>454</v>
      </c>
      <c r="M30" s="29" t="s">
        <v>27</v>
      </c>
      <c r="N30" s="23" t="s">
        <v>402</v>
      </c>
      <c r="O30" s="26" t="s">
        <v>461</v>
      </c>
      <c r="P30" s="8"/>
    </row>
    <row r="31" s="1" customFormat="1" hidden="1" spans="1:16">
      <c r="A31" s="23">
        <v>30</v>
      </c>
      <c r="B31" s="24">
        <v>2</v>
      </c>
      <c r="C31" s="25">
        <v>46057</v>
      </c>
      <c r="D31" s="26" t="s">
        <v>21</v>
      </c>
      <c r="E31" s="26" t="s">
        <v>406</v>
      </c>
      <c r="F31" s="26" t="s">
        <v>453</v>
      </c>
      <c r="G31" s="26">
        <v>145000</v>
      </c>
      <c r="H31" s="27" t="s">
        <v>24</v>
      </c>
      <c r="I31" s="26">
        <v>0.1131</v>
      </c>
      <c r="J31" s="26">
        <v>16399.5</v>
      </c>
      <c r="K31" s="28">
        <v>0</v>
      </c>
      <c r="L31" s="26" t="s">
        <v>454</v>
      </c>
      <c r="M31" s="29" t="s">
        <v>27</v>
      </c>
      <c r="N31" s="23" t="s">
        <v>402</v>
      </c>
      <c r="O31" s="26" t="s">
        <v>455</v>
      </c>
      <c r="P31" s="8"/>
    </row>
    <row r="32" s="1" customFormat="1" hidden="1" spans="1:16">
      <c r="A32" s="23">
        <v>31</v>
      </c>
      <c r="B32" s="24">
        <v>2</v>
      </c>
      <c r="C32" s="25">
        <v>46057</v>
      </c>
      <c r="D32" s="26" t="s">
        <v>21</v>
      </c>
      <c r="E32" s="26" t="s">
        <v>406</v>
      </c>
      <c r="F32" s="26" t="s">
        <v>462</v>
      </c>
      <c r="G32" s="26">
        <v>2000</v>
      </c>
      <c r="H32" s="27" t="s">
        <v>24</v>
      </c>
      <c r="I32" s="26">
        <v>0.5808</v>
      </c>
      <c r="J32" s="26">
        <v>1161.6</v>
      </c>
      <c r="K32" s="28">
        <v>0</v>
      </c>
      <c r="L32" s="26" t="s">
        <v>454</v>
      </c>
      <c r="M32" s="29" t="s">
        <v>27</v>
      </c>
      <c r="N32" s="23" t="s">
        <v>402</v>
      </c>
      <c r="O32" s="26" t="s">
        <v>463</v>
      </c>
      <c r="P32" s="8"/>
    </row>
    <row r="33" s="1" customFormat="1" hidden="1" spans="1:16">
      <c r="A33" s="23">
        <v>32</v>
      </c>
      <c r="B33" s="24">
        <v>2</v>
      </c>
      <c r="C33" s="25">
        <v>46059</v>
      </c>
      <c r="D33" s="26" t="s">
        <v>464</v>
      </c>
      <c r="E33" s="26" t="s">
        <v>406</v>
      </c>
      <c r="F33" s="26" t="s">
        <v>465</v>
      </c>
      <c r="G33" s="26">
        <v>20000</v>
      </c>
      <c r="H33" s="27" t="s">
        <v>24</v>
      </c>
      <c r="I33" s="26">
        <v>0.199</v>
      </c>
      <c r="J33" s="26">
        <v>3980</v>
      </c>
      <c r="K33" s="28">
        <v>0</v>
      </c>
      <c r="L33" s="26" t="s">
        <v>466</v>
      </c>
      <c r="M33" s="29" t="s">
        <v>27</v>
      </c>
      <c r="N33" s="23" t="s">
        <v>402</v>
      </c>
      <c r="O33" s="26" t="s">
        <v>467</v>
      </c>
      <c r="P33" s="8"/>
    </row>
    <row r="34" s="1" customFormat="1" hidden="1" spans="1:16">
      <c r="A34" s="23">
        <v>33</v>
      </c>
      <c r="B34" s="24">
        <v>2</v>
      </c>
      <c r="C34" s="25">
        <v>46059</v>
      </c>
      <c r="D34" s="26" t="s">
        <v>464</v>
      </c>
      <c r="E34" s="26" t="s">
        <v>406</v>
      </c>
      <c r="F34" s="26" t="s">
        <v>465</v>
      </c>
      <c r="G34" s="26">
        <v>5000</v>
      </c>
      <c r="H34" s="27" t="s">
        <v>24</v>
      </c>
      <c r="I34" s="26">
        <v>0.199</v>
      </c>
      <c r="J34" s="26">
        <v>995</v>
      </c>
      <c r="K34" s="28">
        <v>0</v>
      </c>
      <c r="L34" s="26" t="s">
        <v>466</v>
      </c>
      <c r="M34" s="29" t="s">
        <v>27</v>
      </c>
      <c r="N34" s="23" t="s">
        <v>402</v>
      </c>
      <c r="O34" s="26" t="s">
        <v>467</v>
      </c>
      <c r="P34" s="8"/>
    </row>
    <row r="35" s="1" customFormat="1" hidden="1" spans="1:16">
      <c r="A35" s="23">
        <v>34</v>
      </c>
      <c r="B35" s="24">
        <v>2</v>
      </c>
      <c r="C35" s="25">
        <v>46059</v>
      </c>
      <c r="D35" s="26" t="s">
        <v>21</v>
      </c>
      <c r="E35" s="26" t="s">
        <v>406</v>
      </c>
      <c r="F35" s="26" t="s">
        <v>462</v>
      </c>
      <c r="G35" s="26">
        <v>4000</v>
      </c>
      <c r="H35" s="27" t="s">
        <v>24</v>
      </c>
      <c r="I35" s="26">
        <v>0.5808</v>
      </c>
      <c r="J35" s="26">
        <v>2323.2</v>
      </c>
      <c r="K35" s="28">
        <v>0</v>
      </c>
      <c r="L35" s="26" t="s">
        <v>466</v>
      </c>
      <c r="M35" s="29" t="s">
        <v>27</v>
      </c>
      <c r="N35" s="23" t="s">
        <v>402</v>
      </c>
      <c r="O35" s="26" t="s">
        <v>463</v>
      </c>
      <c r="P35" s="8"/>
    </row>
    <row r="36" s="1" customFormat="1" hidden="1" spans="1:16">
      <c r="A36" s="23">
        <v>35</v>
      </c>
      <c r="B36" s="24">
        <v>2</v>
      </c>
      <c r="C36" s="25">
        <v>46059</v>
      </c>
      <c r="D36" s="26" t="s">
        <v>21</v>
      </c>
      <c r="E36" s="26" t="s">
        <v>406</v>
      </c>
      <c r="F36" s="26" t="s">
        <v>462</v>
      </c>
      <c r="G36" s="26">
        <v>6000</v>
      </c>
      <c r="H36" s="27" t="s">
        <v>24</v>
      </c>
      <c r="I36" s="26">
        <v>0.5808</v>
      </c>
      <c r="J36" s="26">
        <v>3484.8</v>
      </c>
      <c r="K36" s="28">
        <v>0</v>
      </c>
      <c r="L36" s="26" t="s">
        <v>466</v>
      </c>
      <c r="M36" s="29" t="s">
        <v>27</v>
      </c>
      <c r="N36" s="23" t="s">
        <v>402</v>
      </c>
      <c r="O36" s="26" t="s">
        <v>463</v>
      </c>
      <c r="P36" s="8"/>
    </row>
    <row r="37" s="1" customFormat="1" hidden="1" spans="1:16">
      <c r="A37" s="23">
        <v>36</v>
      </c>
      <c r="B37" s="24">
        <v>2</v>
      </c>
      <c r="C37" s="25">
        <v>46062</v>
      </c>
      <c r="D37" s="26" t="s">
        <v>21</v>
      </c>
      <c r="E37" s="26" t="s">
        <v>406</v>
      </c>
      <c r="F37" s="26" t="s">
        <v>456</v>
      </c>
      <c r="G37" s="26">
        <v>5000</v>
      </c>
      <c r="H37" s="27" t="s">
        <v>24</v>
      </c>
      <c r="I37" s="26">
        <v>0.065</v>
      </c>
      <c r="J37" s="26">
        <v>325</v>
      </c>
      <c r="K37" s="28">
        <v>0</v>
      </c>
      <c r="L37" s="26" t="s">
        <v>468</v>
      </c>
      <c r="M37" s="29" t="s">
        <v>27</v>
      </c>
      <c r="N37" s="23" t="s">
        <v>402</v>
      </c>
      <c r="O37" s="26" t="s">
        <v>457</v>
      </c>
      <c r="P37" s="8"/>
    </row>
    <row r="38" s="1" customFormat="1" hidden="1" spans="1:16">
      <c r="A38" s="23">
        <v>37</v>
      </c>
      <c r="B38" s="24">
        <v>2</v>
      </c>
      <c r="C38" s="25">
        <v>46062</v>
      </c>
      <c r="D38" s="26" t="s">
        <v>21</v>
      </c>
      <c r="E38" s="26" t="s">
        <v>406</v>
      </c>
      <c r="F38" s="26" t="s">
        <v>456</v>
      </c>
      <c r="G38" s="26">
        <v>95000</v>
      </c>
      <c r="H38" s="27" t="s">
        <v>24</v>
      </c>
      <c r="I38" s="26">
        <v>0.065</v>
      </c>
      <c r="J38" s="26">
        <v>6175</v>
      </c>
      <c r="K38" s="28">
        <v>0</v>
      </c>
      <c r="L38" s="26" t="s">
        <v>468</v>
      </c>
      <c r="M38" s="29" t="s">
        <v>27</v>
      </c>
      <c r="N38" s="23" t="s">
        <v>402</v>
      </c>
      <c r="O38" s="26" t="s">
        <v>457</v>
      </c>
      <c r="P38" s="8"/>
    </row>
    <row r="39" s="1" customFormat="1" hidden="1" spans="1:16">
      <c r="A39" s="23">
        <v>38</v>
      </c>
      <c r="B39" s="24">
        <v>2</v>
      </c>
      <c r="C39" s="25">
        <v>46063</v>
      </c>
      <c r="D39" s="26" t="s">
        <v>21</v>
      </c>
      <c r="E39" s="26" t="s">
        <v>406</v>
      </c>
      <c r="F39" s="26" t="s">
        <v>460</v>
      </c>
      <c r="G39" s="26">
        <v>30000</v>
      </c>
      <c r="H39" s="27" t="s">
        <v>24</v>
      </c>
      <c r="I39" s="26">
        <v>1.154</v>
      </c>
      <c r="J39" s="26">
        <v>34620</v>
      </c>
      <c r="K39" s="28">
        <v>0</v>
      </c>
      <c r="L39" s="26" t="s">
        <v>469</v>
      </c>
      <c r="M39" s="29" t="s">
        <v>27</v>
      </c>
      <c r="N39" s="23" t="s">
        <v>402</v>
      </c>
      <c r="O39" s="26" t="s">
        <v>461</v>
      </c>
      <c r="P39" s="8"/>
    </row>
    <row r="40" s="1" customFormat="1" hidden="1" spans="1:16">
      <c r="A40" s="23">
        <v>39</v>
      </c>
      <c r="B40" s="24">
        <v>2</v>
      </c>
      <c r="C40" s="25">
        <v>46063</v>
      </c>
      <c r="D40" s="26" t="s">
        <v>21</v>
      </c>
      <c r="E40" s="26" t="s">
        <v>406</v>
      </c>
      <c r="F40" s="26" t="s">
        <v>424</v>
      </c>
      <c r="G40" s="26">
        <v>195000</v>
      </c>
      <c r="H40" s="27" t="s">
        <v>24</v>
      </c>
      <c r="I40" s="26">
        <v>1.019</v>
      </c>
      <c r="J40" s="26">
        <v>198705</v>
      </c>
      <c r="K40" s="28">
        <v>0</v>
      </c>
      <c r="L40" s="26" t="s">
        <v>470</v>
      </c>
      <c r="M40" s="29" t="s">
        <v>27</v>
      </c>
      <c r="N40" s="23" t="s">
        <v>402</v>
      </c>
      <c r="O40" s="26" t="s">
        <v>425</v>
      </c>
      <c r="P40" s="8"/>
    </row>
    <row r="41" s="1" customFormat="1" hidden="1" spans="1:16">
      <c r="A41" s="23">
        <v>40</v>
      </c>
      <c r="B41" s="24">
        <v>2</v>
      </c>
      <c r="C41" s="25">
        <v>46063</v>
      </c>
      <c r="D41" s="26" t="s">
        <v>21</v>
      </c>
      <c r="E41" s="26" t="s">
        <v>406</v>
      </c>
      <c r="F41" s="26" t="s">
        <v>424</v>
      </c>
      <c r="G41" s="26">
        <v>15000</v>
      </c>
      <c r="H41" s="27" t="s">
        <v>24</v>
      </c>
      <c r="I41" s="26">
        <v>1.019</v>
      </c>
      <c r="J41" s="26">
        <v>15285</v>
      </c>
      <c r="K41" s="28">
        <v>0</v>
      </c>
      <c r="L41" s="26" t="s">
        <v>470</v>
      </c>
      <c r="M41" s="29" t="s">
        <v>27</v>
      </c>
      <c r="N41" s="23" t="s">
        <v>402</v>
      </c>
      <c r="O41" s="26" t="s">
        <v>425</v>
      </c>
      <c r="P41" s="8"/>
    </row>
    <row r="42" s="1" customFormat="1" hidden="1" spans="1:16">
      <c r="A42" s="23">
        <v>41</v>
      </c>
      <c r="B42" s="24">
        <v>2</v>
      </c>
      <c r="C42" s="25">
        <v>46064</v>
      </c>
      <c r="D42" s="26" t="s">
        <v>21</v>
      </c>
      <c r="E42" s="26" t="s">
        <v>406</v>
      </c>
      <c r="F42" s="26" t="s">
        <v>460</v>
      </c>
      <c r="G42" s="26">
        <v>40000</v>
      </c>
      <c r="H42" s="27" t="s">
        <v>24</v>
      </c>
      <c r="I42" s="26">
        <v>1.154</v>
      </c>
      <c r="J42" s="26">
        <v>46160</v>
      </c>
      <c r="K42" s="28">
        <v>0</v>
      </c>
      <c r="L42" s="26" t="s">
        <v>471</v>
      </c>
      <c r="M42" s="29" t="s">
        <v>27</v>
      </c>
      <c r="N42" s="23" t="s">
        <v>402</v>
      </c>
      <c r="O42" s="26" t="s">
        <v>461</v>
      </c>
      <c r="P42" s="8"/>
    </row>
    <row r="43" s="1" customFormat="1" hidden="1" spans="1:16">
      <c r="A43" s="23">
        <v>42</v>
      </c>
      <c r="B43" s="24">
        <v>2</v>
      </c>
      <c r="C43" s="25">
        <v>46064</v>
      </c>
      <c r="D43" s="26" t="s">
        <v>21</v>
      </c>
      <c r="E43" s="26" t="s">
        <v>406</v>
      </c>
      <c r="F43" s="26" t="s">
        <v>472</v>
      </c>
      <c r="G43" s="26">
        <v>3000</v>
      </c>
      <c r="H43" s="27" t="s">
        <v>24</v>
      </c>
      <c r="I43" s="26">
        <v>2.513</v>
      </c>
      <c r="J43" s="26">
        <v>7539</v>
      </c>
      <c r="K43" s="28">
        <v>0</v>
      </c>
      <c r="L43" s="26" t="s">
        <v>473</v>
      </c>
      <c r="M43" s="29" t="s">
        <v>27</v>
      </c>
      <c r="N43" s="23" t="s">
        <v>402</v>
      </c>
      <c r="O43" s="26" t="s">
        <v>474</v>
      </c>
      <c r="P43" s="8"/>
    </row>
    <row r="44" s="1" customFormat="1" hidden="1" spans="1:16">
      <c r="A44" s="23">
        <v>43</v>
      </c>
      <c r="B44" s="24">
        <v>2</v>
      </c>
      <c r="C44" s="25">
        <v>46064</v>
      </c>
      <c r="D44" s="26" t="s">
        <v>21</v>
      </c>
      <c r="E44" s="26" t="s">
        <v>414</v>
      </c>
      <c r="F44" s="26" t="s">
        <v>475</v>
      </c>
      <c r="G44" s="26">
        <v>75840</v>
      </c>
      <c r="H44" s="27" t="s">
        <v>24</v>
      </c>
      <c r="I44" s="26">
        <v>1.75</v>
      </c>
      <c r="J44" s="26">
        <v>132720</v>
      </c>
      <c r="K44" s="28">
        <v>0</v>
      </c>
      <c r="L44" s="26" t="s">
        <v>476</v>
      </c>
      <c r="M44" s="29" t="s">
        <v>27</v>
      </c>
      <c r="N44" s="23" t="s">
        <v>402</v>
      </c>
      <c r="O44" s="26" t="s">
        <v>477</v>
      </c>
      <c r="P44" s="8"/>
    </row>
    <row r="45" s="1" customFormat="1" hidden="1" spans="1:16">
      <c r="A45" s="23">
        <v>44</v>
      </c>
      <c r="B45" s="24">
        <v>2</v>
      </c>
      <c r="C45" s="25">
        <v>46064</v>
      </c>
      <c r="D45" s="26" t="s">
        <v>21</v>
      </c>
      <c r="E45" s="26" t="s">
        <v>414</v>
      </c>
      <c r="F45" s="26" t="s">
        <v>478</v>
      </c>
      <c r="G45" s="26">
        <v>70000</v>
      </c>
      <c r="H45" s="27" t="s">
        <v>24</v>
      </c>
      <c r="I45" s="26">
        <v>1.95</v>
      </c>
      <c r="J45" s="26">
        <v>136500</v>
      </c>
      <c r="K45" s="28">
        <v>0</v>
      </c>
      <c r="L45" s="26" t="s">
        <v>476</v>
      </c>
      <c r="M45" s="29" t="s">
        <v>27</v>
      </c>
      <c r="N45" s="23" t="s">
        <v>402</v>
      </c>
      <c r="O45" s="26" t="s">
        <v>479</v>
      </c>
      <c r="P45" s="8"/>
    </row>
    <row r="46" s="1" customFormat="1" hidden="1" spans="1:16">
      <c r="A46" s="23">
        <v>45</v>
      </c>
      <c r="B46" s="24">
        <v>2</v>
      </c>
      <c r="C46" s="25">
        <v>46078</v>
      </c>
      <c r="D46" s="26" t="s">
        <v>21</v>
      </c>
      <c r="E46" s="26" t="s">
        <v>406</v>
      </c>
      <c r="F46" s="26" t="s">
        <v>480</v>
      </c>
      <c r="G46" s="26">
        <v>200</v>
      </c>
      <c r="H46" s="27" t="s">
        <v>24</v>
      </c>
      <c r="I46" s="26">
        <v>43.8</v>
      </c>
      <c r="J46" s="26">
        <v>8760</v>
      </c>
      <c r="K46" s="28">
        <v>0</v>
      </c>
      <c r="L46" s="26" t="s">
        <v>481</v>
      </c>
      <c r="M46" s="29" t="s">
        <v>27</v>
      </c>
      <c r="N46" s="23" t="s">
        <v>402</v>
      </c>
      <c r="O46" s="26" t="s">
        <v>482</v>
      </c>
      <c r="P46" s="8"/>
    </row>
    <row r="47" s="1" customFormat="1" hidden="1" spans="1:16">
      <c r="A47" s="23">
        <v>46</v>
      </c>
      <c r="B47" s="24">
        <v>2</v>
      </c>
      <c r="C47" s="25">
        <v>46079</v>
      </c>
      <c r="D47" s="26" t="s">
        <v>398</v>
      </c>
      <c r="E47" s="30" t="s">
        <v>427</v>
      </c>
      <c r="F47" s="26" t="s">
        <v>483</v>
      </c>
      <c r="G47" s="26">
        <v>5000</v>
      </c>
      <c r="H47" s="27" t="s">
        <v>24</v>
      </c>
      <c r="I47" s="26">
        <v>0.6</v>
      </c>
      <c r="J47" s="26">
        <v>3000</v>
      </c>
      <c r="K47" s="28"/>
      <c r="L47" s="26" t="s">
        <v>484</v>
      </c>
      <c r="M47" s="29" t="s">
        <v>43</v>
      </c>
      <c r="N47" s="23"/>
      <c r="O47" s="26"/>
      <c r="P47" s="8"/>
    </row>
    <row r="48" s="1" customFormat="1" hidden="1" spans="1:16">
      <c r="A48" s="23">
        <v>47</v>
      </c>
      <c r="B48" s="24">
        <v>3</v>
      </c>
      <c r="C48" s="25">
        <v>46087</v>
      </c>
      <c r="D48" s="26" t="s">
        <v>485</v>
      </c>
      <c r="E48" s="26" t="s">
        <v>486</v>
      </c>
      <c r="F48" s="26" t="s">
        <v>487</v>
      </c>
      <c r="G48" s="26">
        <v>144</v>
      </c>
      <c r="H48" s="27" t="s">
        <v>24</v>
      </c>
      <c r="I48" s="26">
        <v>1.64</v>
      </c>
      <c r="J48" s="26">
        <v>236.16</v>
      </c>
      <c r="K48" s="28">
        <v>0</v>
      </c>
      <c r="L48" s="26" t="s">
        <v>488</v>
      </c>
      <c r="M48" s="29" t="s">
        <v>27</v>
      </c>
      <c r="N48" s="23" t="s">
        <v>402</v>
      </c>
      <c r="O48" s="26" t="s">
        <v>489</v>
      </c>
      <c r="P48" s="8"/>
    </row>
    <row r="49" s="1" customFormat="1" hidden="1" spans="1:16">
      <c r="A49" s="23">
        <v>48</v>
      </c>
      <c r="B49" s="24">
        <v>3</v>
      </c>
      <c r="C49" s="25">
        <v>46087</v>
      </c>
      <c r="D49" s="26" t="s">
        <v>21</v>
      </c>
      <c r="E49" s="26" t="s">
        <v>414</v>
      </c>
      <c r="F49" s="26" t="s">
        <v>478</v>
      </c>
      <c r="G49" s="26">
        <v>54000</v>
      </c>
      <c r="H49" s="27" t="s">
        <v>24</v>
      </c>
      <c r="I49" s="26">
        <v>2.45</v>
      </c>
      <c r="J49" s="26">
        <v>132300</v>
      </c>
      <c r="K49" s="28">
        <v>0</v>
      </c>
      <c r="L49" s="26" t="s">
        <v>490</v>
      </c>
      <c r="M49" s="29" t="s">
        <v>27</v>
      </c>
      <c r="N49" s="23" t="s">
        <v>402</v>
      </c>
      <c r="O49" s="26" t="s">
        <v>479</v>
      </c>
      <c r="P49" s="8"/>
    </row>
    <row r="50" s="1" customFormat="1" hidden="1" spans="1:16">
      <c r="A50" s="23">
        <v>49</v>
      </c>
      <c r="B50" s="24">
        <v>3</v>
      </c>
      <c r="C50" s="25">
        <v>46087</v>
      </c>
      <c r="D50" s="26" t="s">
        <v>21</v>
      </c>
      <c r="E50" s="26" t="s">
        <v>414</v>
      </c>
      <c r="F50" s="26" t="s">
        <v>491</v>
      </c>
      <c r="G50" s="26">
        <v>2000</v>
      </c>
      <c r="H50" s="27" t="s">
        <v>24</v>
      </c>
      <c r="I50" s="26">
        <v>83.5</v>
      </c>
      <c r="J50" s="26">
        <v>167000</v>
      </c>
      <c r="K50" s="28">
        <v>0</v>
      </c>
      <c r="L50" s="26" t="s">
        <v>490</v>
      </c>
      <c r="M50" s="29" t="s">
        <v>27</v>
      </c>
      <c r="N50" s="23" t="s">
        <v>402</v>
      </c>
      <c r="O50" s="26" t="s">
        <v>492</v>
      </c>
      <c r="P50" s="8"/>
    </row>
    <row r="51" s="1" customFormat="1" hidden="1" spans="1:16">
      <c r="A51" s="23">
        <v>50</v>
      </c>
      <c r="B51" s="24">
        <v>3</v>
      </c>
      <c r="C51" s="25">
        <v>46087</v>
      </c>
      <c r="D51" s="26" t="s">
        <v>21</v>
      </c>
      <c r="E51" s="26" t="s">
        <v>414</v>
      </c>
      <c r="F51" s="26" t="s">
        <v>475</v>
      </c>
      <c r="G51" s="26">
        <v>150720</v>
      </c>
      <c r="H51" s="27" t="s">
        <v>24</v>
      </c>
      <c r="I51" s="26">
        <v>2</v>
      </c>
      <c r="J51" s="26">
        <v>301440</v>
      </c>
      <c r="K51" s="28">
        <v>0</v>
      </c>
      <c r="L51" s="26" t="s">
        <v>490</v>
      </c>
      <c r="M51" s="29" t="s">
        <v>27</v>
      </c>
      <c r="N51" s="23" t="s">
        <v>402</v>
      </c>
      <c r="O51" s="26" t="s">
        <v>477</v>
      </c>
      <c r="P51" s="8"/>
    </row>
    <row r="52" s="1" customFormat="1" hidden="1" spans="1:16">
      <c r="A52" s="23">
        <v>51</v>
      </c>
      <c r="B52" s="24">
        <v>3</v>
      </c>
      <c r="C52" s="25">
        <v>46091</v>
      </c>
      <c r="D52" s="26" t="s">
        <v>21</v>
      </c>
      <c r="E52" s="26" t="s">
        <v>406</v>
      </c>
      <c r="F52" s="26" t="s">
        <v>493</v>
      </c>
      <c r="G52" s="26">
        <v>5000</v>
      </c>
      <c r="H52" s="27" t="s">
        <v>24</v>
      </c>
      <c r="I52" s="26">
        <v>0.26</v>
      </c>
      <c r="J52" s="26">
        <v>1300</v>
      </c>
      <c r="K52" s="28">
        <v>0</v>
      </c>
      <c r="L52" s="26" t="s">
        <v>494</v>
      </c>
      <c r="M52" s="29" t="s">
        <v>27</v>
      </c>
      <c r="N52" s="23" t="s">
        <v>402</v>
      </c>
      <c r="O52" s="26" t="s">
        <v>495</v>
      </c>
      <c r="P52" s="8"/>
    </row>
    <row r="53" s="1" customFormat="1" hidden="1" spans="1:16">
      <c r="A53" s="23">
        <v>52</v>
      </c>
      <c r="B53" s="24">
        <v>3</v>
      </c>
      <c r="C53" s="25">
        <v>46091</v>
      </c>
      <c r="D53" s="26" t="s">
        <v>21</v>
      </c>
      <c r="E53" s="26" t="s">
        <v>406</v>
      </c>
      <c r="F53" s="26" t="s">
        <v>424</v>
      </c>
      <c r="G53" s="26">
        <v>12000</v>
      </c>
      <c r="H53" s="27" t="s">
        <v>24</v>
      </c>
      <c r="I53" s="26">
        <v>1.019</v>
      </c>
      <c r="J53" s="26">
        <v>12228</v>
      </c>
      <c r="K53" s="28">
        <v>0</v>
      </c>
      <c r="L53" s="26" t="s">
        <v>496</v>
      </c>
      <c r="M53" s="29" t="s">
        <v>27</v>
      </c>
      <c r="N53" s="23" t="s">
        <v>402</v>
      </c>
      <c r="O53" s="26" t="s">
        <v>425</v>
      </c>
      <c r="P53" s="8"/>
    </row>
    <row r="54" s="1" customFormat="1" hidden="1" spans="1:16">
      <c r="A54" s="23">
        <v>53</v>
      </c>
      <c r="B54" s="24">
        <v>3</v>
      </c>
      <c r="C54" s="25">
        <v>46097</v>
      </c>
      <c r="D54" s="26" t="s">
        <v>398</v>
      </c>
      <c r="E54" s="26" t="s">
        <v>406</v>
      </c>
      <c r="F54" s="26" t="s">
        <v>497</v>
      </c>
      <c r="G54" s="26">
        <v>120</v>
      </c>
      <c r="H54" s="27" t="s">
        <v>24</v>
      </c>
      <c r="I54" s="26">
        <v>7</v>
      </c>
      <c r="J54" s="26">
        <v>840</v>
      </c>
      <c r="K54" s="28">
        <v>0</v>
      </c>
      <c r="L54" s="26" t="s">
        <v>498</v>
      </c>
      <c r="M54" s="29" t="s">
        <v>27</v>
      </c>
      <c r="N54" s="23" t="s">
        <v>402</v>
      </c>
      <c r="O54" s="26" t="s">
        <v>499</v>
      </c>
      <c r="P54" s="8"/>
    </row>
    <row r="55" s="1" customFormat="1" hidden="1" spans="1:16">
      <c r="A55" s="23">
        <v>54</v>
      </c>
      <c r="B55" s="24">
        <v>3</v>
      </c>
      <c r="C55" s="25">
        <v>46097</v>
      </c>
      <c r="D55" s="26" t="s">
        <v>398</v>
      </c>
      <c r="E55" s="26" t="s">
        <v>406</v>
      </c>
      <c r="F55" s="26" t="s">
        <v>500</v>
      </c>
      <c r="G55" s="26">
        <v>240</v>
      </c>
      <c r="H55" s="27" t="s">
        <v>24</v>
      </c>
      <c r="I55" s="26">
        <v>4.94</v>
      </c>
      <c r="J55" s="26">
        <v>1185.6</v>
      </c>
      <c r="K55" s="28">
        <v>0</v>
      </c>
      <c r="L55" s="26" t="s">
        <v>498</v>
      </c>
      <c r="M55" s="29" t="s">
        <v>27</v>
      </c>
      <c r="N55" s="23" t="s">
        <v>402</v>
      </c>
      <c r="O55" s="26" t="s">
        <v>501</v>
      </c>
      <c r="P55" s="8"/>
    </row>
    <row r="56" s="1" customFormat="1" hidden="1" spans="1:16">
      <c r="A56" s="23">
        <v>55</v>
      </c>
      <c r="B56" s="24">
        <v>3</v>
      </c>
      <c r="C56" s="25">
        <v>46097</v>
      </c>
      <c r="D56" s="26" t="s">
        <v>21</v>
      </c>
      <c r="E56" s="26" t="s">
        <v>502</v>
      </c>
      <c r="F56" s="26" t="s">
        <v>503</v>
      </c>
      <c r="G56" s="26">
        <v>1500</v>
      </c>
      <c r="H56" s="27" t="s">
        <v>24</v>
      </c>
      <c r="I56" s="26">
        <v>1</v>
      </c>
      <c r="J56" s="26">
        <v>1500</v>
      </c>
      <c r="K56" s="28">
        <v>0</v>
      </c>
      <c r="L56" s="26" t="s">
        <v>504</v>
      </c>
      <c r="M56" s="29" t="s">
        <v>27</v>
      </c>
      <c r="N56" s="23" t="s">
        <v>402</v>
      </c>
      <c r="O56" s="26" t="s">
        <v>505</v>
      </c>
      <c r="P56" s="8"/>
    </row>
    <row r="57" s="1" customFormat="1" hidden="1" spans="1:16">
      <c r="A57" s="23">
        <v>56</v>
      </c>
      <c r="B57" s="24">
        <v>3</v>
      </c>
      <c r="C57" s="25">
        <v>46097</v>
      </c>
      <c r="D57" s="26" t="s">
        <v>21</v>
      </c>
      <c r="E57" s="26" t="s">
        <v>406</v>
      </c>
      <c r="F57" s="26" t="s">
        <v>460</v>
      </c>
      <c r="G57" s="26">
        <v>5000</v>
      </c>
      <c r="H57" s="27" t="s">
        <v>24</v>
      </c>
      <c r="I57" s="26">
        <v>1.154</v>
      </c>
      <c r="J57" s="26">
        <v>5770</v>
      </c>
      <c r="K57" s="28">
        <v>0</v>
      </c>
      <c r="L57" s="26" t="s">
        <v>506</v>
      </c>
      <c r="M57" s="29" t="s">
        <v>27</v>
      </c>
      <c r="N57" s="23" t="s">
        <v>402</v>
      </c>
      <c r="O57" s="26" t="s">
        <v>461</v>
      </c>
      <c r="P57" s="8"/>
    </row>
    <row r="58" s="1" customFormat="1" hidden="1" spans="1:16">
      <c r="A58" s="23">
        <v>57</v>
      </c>
      <c r="B58" s="24">
        <v>3</v>
      </c>
      <c r="C58" s="25">
        <v>46097</v>
      </c>
      <c r="D58" s="26" t="s">
        <v>21</v>
      </c>
      <c r="E58" s="26" t="s">
        <v>406</v>
      </c>
      <c r="F58" s="26" t="s">
        <v>507</v>
      </c>
      <c r="G58" s="26">
        <v>5000</v>
      </c>
      <c r="H58" s="27" t="s">
        <v>24</v>
      </c>
      <c r="I58" s="26">
        <v>1.35</v>
      </c>
      <c r="J58" s="26">
        <v>6750</v>
      </c>
      <c r="K58" s="28">
        <v>0</v>
      </c>
      <c r="L58" s="26" t="s">
        <v>506</v>
      </c>
      <c r="M58" s="29" t="s">
        <v>27</v>
      </c>
      <c r="N58" s="23" t="s">
        <v>402</v>
      </c>
      <c r="O58" s="26" t="s">
        <v>508</v>
      </c>
      <c r="P58" s="8"/>
    </row>
    <row r="59" s="1" customFormat="1" hidden="1" spans="1:16">
      <c r="A59" s="23">
        <v>58</v>
      </c>
      <c r="B59" s="24">
        <v>3</v>
      </c>
      <c r="C59" s="25">
        <v>46099</v>
      </c>
      <c r="D59" s="26" t="s">
        <v>21</v>
      </c>
      <c r="E59" s="26" t="s">
        <v>406</v>
      </c>
      <c r="F59" s="26" t="s">
        <v>509</v>
      </c>
      <c r="G59" s="26">
        <v>720</v>
      </c>
      <c r="H59" s="27" t="s">
        <v>24</v>
      </c>
      <c r="I59" s="26">
        <v>10</v>
      </c>
      <c r="J59" s="26">
        <v>7200</v>
      </c>
      <c r="K59" s="28">
        <v>0</v>
      </c>
      <c r="L59" s="26" t="s">
        <v>510</v>
      </c>
      <c r="M59" s="29" t="s">
        <v>27</v>
      </c>
      <c r="N59" s="23" t="s">
        <v>402</v>
      </c>
      <c r="O59" s="26"/>
      <c r="P59" s="8"/>
    </row>
    <row r="60" s="1" customFormat="1" hidden="1" spans="1:16">
      <c r="A60" s="23">
        <v>59</v>
      </c>
      <c r="B60" s="24">
        <v>3</v>
      </c>
      <c r="C60" s="25">
        <v>46101</v>
      </c>
      <c r="D60" s="26" t="s">
        <v>511</v>
      </c>
      <c r="E60" s="26" t="s">
        <v>502</v>
      </c>
      <c r="F60" s="26" t="s">
        <v>512</v>
      </c>
      <c r="G60" s="26">
        <v>3600</v>
      </c>
      <c r="H60" s="27" t="s">
        <v>24</v>
      </c>
      <c r="I60" s="26">
        <v>1.9</v>
      </c>
      <c r="J60" s="26">
        <v>6840</v>
      </c>
      <c r="K60" s="28">
        <v>0</v>
      </c>
      <c r="L60" s="26" t="s">
        <v>513</v>
      </c>
      <c r="M60" s="29" t="s">
        <v>27</v>
      </c>
      <c r="N60" s="23" t="s">
        <v>402</v>
      </c>
      <c r="O60" s="26" t="s">
        <v>514</v>
      </c>
      <c r="P60" s="8"/>
    </row>
    <row r="61" s="1" customFormat="1" hidden="1" spans="1:16">
      <c r="A61" s="23">
        <v>60</v>
      </c>
      <c r="B61" s="24">
        <v>3</v>
      </c>
      <c r="C61" s="25">
        <v>46101</v>
      </c>
      <c r="D61" s="26" t="s">
        <v>485</v>
      </c>
      <c r="E61" s="26" t="s">
        <v>486</v>
      </c>
      <c r="F61" s="26" t="s">
        <v>515</v>
      </c>
      <c r="G61" s="26">
        <v>3000</v>
      </c>
      <c r="H61" s="27" t="s">
        <v>24</v>
      </c>
      <c r="I61" s="26">
        <v>1.5059</v>
      </c>
      <c r="J61" s="26">
        <v>4517.7</v>
      </c>
      <c r="K61" s="28">
        <v>0</v>
      </c>
      <c r="L61" s="26" t="s">
        <v>516</v>
      </c>
      <c r="M61" s="29" t="s">
        <v>27</v>
      </c>
      <c r="N61" s="23" t="s">
        <v>402</v>
      </c>
      <c r="O61" s="26" t="s">
        <v>517</v>
      </c>
      <c r="P61" s="8"/>
    </row>
    <row r="62" s="1" customFormat="1" hidden="1" spans="1:16">
      <c r="A62" s="23">
        <v>61</v>
      </c>
      <c r="B62" s="24">
        <v>4</v>
      </c>
      <c r="C62" s="25">
        <v>46113</v>
      </c>
      <c r="D62" s="26" t="s">
        <v>21</v>
      </c>
      <c r="E62" s="26" t="s">
        <v>518</v>
      </c>
      <c r="F62" s="26" t="s">
        <v>519</v>
      </c>
      <c r="G62" s="26">
        <v>2000</v>
      </c>
      <c r="H62" s="27" t="s">
        <v>24</v>
      </c>
      <c r="I62" s="26">
        <v>0.158</v>
      </c>
      <c r="J62" s="26">
        <v>316</v>
      </c>
      <c r="K62" s="28">
        <v>0</v>
      </c>
      <c r="L62" s="26" t="s">
        <v>520</v>
      </c>
      <c r="M62" s="29" t="s">
        <v>27</v>
      </c>
      <c r="N62" s="23" t="s">
        <v>402</v>
      </c>
      <c r="O62" s="26" t="s">
        <v>521</v>
      </c>
      <c r="P62" s="8" t="s">
        <v>522</v>
      </c>
    </row>
    <row r="63" s="1" customFormat="1" hidden="1" spans="1:16">
      <c r="A63" s="23">
        <v>62</v>
      </c>
      <c r="B63" s="24">
        <v>4</v>
      </c>
      <c r="C63" s="25">
        <v>46113</v>
      </c>
      <c r="D63" s="26" t="s">
        <v>21</v>
      </c>
      <c r="E63" s="26" t="s">
        <v>406</v>
      </c>
      <c r="F63" s="26" t="s">
        <v>523</v>
      </c>
      <c r="G63" s="26">
        <v>6000</v>
      </c>
      <c r="H63" s="27" t="s">
        <v>24</v>
      </c>
      <c r="I63" s="26">
        <v>0.38</v>
      </c>
      <c r="J63" s="26">
        <v>2280</v>
      </c>
      <c r="K63" s="28">
        <v>0</v>
      </c>
      <c r="L63" s="26" t="s">
        <v>524</v>
      </c>
      <c r="M63" s="29" t="s">
        <v>27</v>
      </c>
      <c r="N63" s="23" t="s">
        <v>402</v>
      </c>
      <c r="O63" s="26" t="s">
        <v>525</v>
      </c>
      <c r="P63" s="8" t="s">
        <v>526</v>
      </c>
    </row>
    <row r="64" s="1" customFormat="1" hidden="1" spans="1:16">
      <c r="A64" s="23">
        <v>63</v>
      </c>
      <c r="B64" s="31">
        <v>4</v>
      </c>
      <c r="C64" s="25">
        <v>46114</v>
      </c>
      <c r="D64" s="32" t="s">
        <v>21</v>
      </c>
      <c r="E64" s="32" t="s">
        <v>414</v>
      </c>
      <c r="F64" s="32" t="s">
        <v>527</v>
      </c>
      <c r="G64" s="32">
        <v>2000</v>
      </c>
      <c r="H64" s="33" t="s">
        <v>24</v>
      </c>
      <c r="I64" s="32">
        <v>50</v>
      </c>
      <c r="J64" s="32">
        <v>100000</v>
      </c>
      <c r="K64" s="34">
        <v>0</v>
      </c>
      <c r="L64" s="32" t="s">
        <v>528</v>
      </c>
      <c r="M64" s="35" t="s">
        <v>27</v>
      </c>
      <c r="N64" s="36" t="s">
        <v>402</v>
      </c>
      <c r="O64" s="32" t="s">
        <v>529</v>
      </c>
      <c r="P64" s="8" t="s">
        <v>530</v>
      </c>
    </row>
    <row r="65" s="1" customFormat="1" hidden="1" spans="1:16">
      <c r="A65" s="23">
        <v>64</v>
      </c>
      <c r="B65" s="24">
        <v>4</v>
      </c>
      <c r="C65" s="25">
        <v>46114</v>
      </c>
      <c r="D65" s="26" t="s">
        <v>21</v>
      </c>
      <c r="E65" s="26" t="s">
        <v>414</v>
      </c>
      <c r="F65" s="26" t="s">
        <v>491</v>
      </c>
      <c r="G65" s="26">
        <v>4000</v>
      </c>
      <c r="H65" s="27" t="s">
        <v>24</v>
      </c>
      <c r="I65" s="26">
        <v>100</v>
      </c>
      <c r="J65" s="26">
        <v>400000</v>
      </c>
      <c r="K65" s="28">
        <v>0</v>
      </c>
      <c r="L65" s="26" t="s">
        <v>528</v>
      </c>
      <c r="M65" s="29" t="s">
        <v>27</v>
      </c>
      <c r="N65" s="23" t="s">
        <v>402</v>
      </c>
      <c r="O65" s="26" t="s">
        <v>492</v>
      </c>
      <c r="P65" s="8" t="s">
        <v>530</v>
      </c>
    </row>
    <row r="66" s="1" customFormat="1" hidden="1" spans="1:16">
      <c r="A66" s="23">
        <v>65</v>
      </c>
      <c r="B66" s="24">
        <v>4</v>
      </c>
      <c r="C66" s="25">
        <v>46114</v>
      </c>
      <c r="D66" s="26" t="s">
        <v>21</v>
      </c>
      <c r="E66" s="26" t="s">
        <v>414</v>
      </c>
      <c r="F66" s="26" t="s">
        <v>531</v>
      </c>
      <c r="G66" s="26">
        <v>2000</v>
      </c>
      <c r="H66" s="27" t="s">
        <v>24</v>
      </c>
      <c r="I66" s="26">
        <v>91</v>
      </c>
      <c r="J66" s="26">
        <v>182000</v>
      </c>
      <c r="K66" s="28">
        <v>0</v>
      </c>
      <c r="L66" s="26" t="s">
        <v>528</v>
      </c>
      <c r="M66" s="29" t="s">
        <v>27</v>
      </c>
      <c r="N66" s="23" t="s">
        <v>402</v>
      </c>
      <c r="O66" s="26" t="s">
        <v>532</v>
      </c>
      <c r="P66" s="8" t="s">
        <v>530</v>
      </c>
    </row>
    <row r="67" s="1" customFormat="1" hidden="1" spans="1:16">
      <c r="A67" s="23">
        <v>66</v>
      </c>
      <c r="B67" s="24">
        <v>4</v>
      </c>
      <c r="C67" s="25">
        <v>46114</v>
      </c>
      <c r="D67" s="26" t="s">
        <v>21</v>
      </c>
      <c r="E67" s="26" t="s">
        <v>414</v>
      </c>
      <c r="F67" s="26" t="s">
        <v>533</v>
      </c>
      <c r="G67" s="26">
        <v>2000</v>
      </c>
      <c r="H67" s="27" t="s">
        <v>24</v>
      </c>
      <c r="I67" s="26">
        <v>182</v>
      </c>
      <c r="J67" s="26">
        <v>364000</v>
      </c>
      <c r="K67" s="28">
        <v>0</v>
      </c>
      <c r="L67" s="26" t="s">
        <v>528</v>
      </c>
      <c r="M67" s="29" t="s">
        <v>27</v>
      </c>
      <c r="N67" s="23" t="s">
        <v>402</v>
      </c>
      <c r="O67" s="26" t="s">
        <v>534</v>
      </c>
      <c r="P67" s="8" t="s">
        <v>530</v>
      </c>
    </row>
    <row r="68" s="1" customFormat="1" hidden="1" spans="1:16">
      <c r="A68" s="23">
        <v>67</v>
      </c>
      <c r="B68" s="24">
        <v>4</v>
      </c>
      <c r="C68" s="25">
        <v>46114</v>
      </c>
      <c r="D68" s="26" t="s">
        <v>21</v>
      </c>
      <c r="E68" s="26" t="s">
        <v>414</v>
      </c>
      <c r="F68" s="26" t="s">
        <v>531</v>
      </c>
      <c r="G68" s="26">
        <v>100</v>
      </c>
      <c r="H68" s="27" t="s">
        <v>24</v>
      </c>
      <c r="I68" s="26">
        <v>91</v>
      </c>
      <c r="J68" s="26">
        <v>9100</v>
      </c>
      <c r="K68" s="28">
        <v>0</v>
      </c>
      <c r="L68" s="26" t="s">
        <v>528</v>
      </c>
      <c r="M68" s="29" t="s">
        <v>27</v>
      </c>
      <c r="N68" s="23" t="s">
        <v>402</v>
      </c>
      <c r="O68" s="26" t="s">
        <v>532</v>
      </c>
      <c r="P68" s="8" t="s">
        <v>530</v>
      </c>
    </row>
    <row r="69" s="1" customFormat="1" hidden="1" spans="1:16">
      <c r="A69" s="23">
        <v>68</v>
      </c>
      <c r="B69" s="24">
        <v>4</v>
      </c>
      <c r="C69" s="25">
        <v>46114</v>
      </c>
      <c r="D69" s="26" t="s">
        <v>21</v>
      </c>
      <c r="E69" s="26" t="s">
        <v>414</v>
      </c>
      <c r="F69" s="26" t="s">
        <v>533</v>
      </c>
      <c r="G69" s="26">
        <v>100</v>
      </c>
      <c r="H69" s="27" t="s">
        <v>24</v>
      </c>
      <c r="I69" s="26">
        <v>182</v>
      </c>
      <c r="J69" s="26">
        <v>18200</v>
      </c>
      <c r="K69" s="28">
        <v>0</v>
      </c>
      <c r="L69" s="26" t="s">
        <v>528</v>
      </c>
      <c r="M69" s="29" t="s">
        <v>27</v>
      </c>
      <c r="N69" s="23" t="s">
        <v>402</v>
      </c>
      <c r="O69" s="26" t="s">
        <v>534</v>
      </c>
      <c r="P69" s="8" t="s">
        <v>530</v>
      </c>
    </row>
    <row r="70" s="1" customFormat="1" hidden="1" spans="1:16">
      <c r="A70" s="23">
        <v>69</v>
      </c>
      <c r="B70" s="24">
        <v>4</v>
      </c>
      <c r="C70" s="25">
        <v>46114</v>
      </c>
      <c r="D70" s="26" t="s">
        <v>21</v>
      </c>
      <c r="E70" s="26" t="s">
        <v>414</v>
      </c>
      <c r="F70" s="26" t="s">
        <v>535</v>
      </c>
      <c r="G70" s="26">
        <v>2000</v>
      </c>
      <c r="H70" s="27" t="s">
        <v>24</v>
      </c>
      <c r="I70" s="26">
        <v>27.5</v>
      </c>
      <c r="J70" s="26">
        <v>55000</v>
      </c>
      <c r="K70" s="28">
        <v>0</v>
      </c>
      <c r="L70" s="26" t="s">
        <v>528</v>
      </c>
      <c r="M70" s="29" t="s">
        <v>27</v>
      </c>
      <c r="N70" s="23" t="s">
        <v>402</v>
      </c>
      <c r="O70" s="26" t="s">
        <v>536</v>
      </c>
      <c r="P70" s="8" t="s">
        <v>537</v>
      </c>
    </row>
    <row r="71" s="1" customFormat="1" hidden="1" spans="1:16">
      <c r="A71" s="23">
        <v>70</v>
      </c>
      <c r="B71" s="24">
        <v>4</v>
      </c>
      <c r="C71" s="25">
        <v>46114</v>
      </c>
      <c r="D71" s="26" t="s">
        <v>21</v>
      </c>
      <c r="E71" s="26" t="s">
        <v>406</v>
      </c>
      <c r="F71" s="26" t="s">
        <v>462</v>
      </c>
      <c r="G71" s="26">
        <v>2000</v>
      </c>
      <c r="H71" s="27" t="s">
        <v>24</v>
      </c>
      <c r="I71" s="26">
        <v>0.5808</v>
      </c>
      <c r="J71" s="26">
        <v>1161.6</v>
      </c>
      <c r="K71" s="28">
        <v>0</v>
      </c>
      <c r="L71" s="26" t="s">
        <v>538</v>
      </c>
      <c r="M71" s="29" t="s">
        <v>27</v>
      </c>
      <c r="N71" s="23" t="s">
        <v>402</v>
      </c>
      <c r="O71" s="26" t="s">
        <v>463</v>
      </c>
      <c r="P71" s="8" t="s">
        <v>539</v>
      </c>
    </row>
    <row r="72" s="1" customFormat="1" hidden="1" spans="1:16">
      <c r="A72" s="23">
        <v>71</v>
      </c>
      <c r="B72" s="24">
        <v>4</v>
      </c>
      <c r="C72" s="25">
        <v>46114</v>
      </c>
      <c r="D72" s="26" t="s">
        <v>21</v>
      </c>
      <c r="E72" s="26" t="s">
        <v>406</v>
      </c>
      <c r="F72" s="26" t="s">
        <v>458</v>
      </c>
      <c r="G72" s="26">
        <v>5000</v>
      </c>
      <c r="H72" s="27" t="s">
        <v>24</v>
      </c>
      <c r="I72" s="26">
        <v>1.27</v>
      </c>
      <c r="J72" s="26">
        <v>6350</v>
      </c>
      <c r="K72" s="28">
        <v>0</v>
      </c>
      <c r="L72" s="26" t="s">
        <v>538</v>
      </c>
      <c r="M72" s="29" t="s">
        <v>27</v>
      </c>
      <c r="N72" s="23" t="s">
        <v>402</v>
      </c>
      <c r="O72" s="26" t="s">
        <v>459</v>
      </c>
      <c r="P72" s="8" t="s">
        <v>540</v>
      </c>
    </row>
    <row r="73" s="1" customFormat="1" hidden="1" spans="1:16">
      <c r="A73" s="23">
        <v>72</v>
      </c>
      <c r="B73" s="24">
        <v>4</v>
      </c>
      <c r="C73" s="25">
        <v>46114</v>
      </c>
      <c r="D73" s="26" t="s">
        <v>21</v>
      </c>
      <c r="E73" s="26" t="s">
        <v>406</v>
      </c>
      <c r="F73" s="26" t="s">
        <v>541</v>
      </c>
      <c r="G73" s="26">
        <v>8000</v>
      </c>
      <c r="H73" s="27" t="s">
        <v>24</v>
      </c>
      <c r="I73" s="26">
        <v>1.404</v>
      </c>
      <c r="J73" s="26">
        <v>11232</v>
      </c>
      <c r="K73" s="28">
        <v>0</v>
      </c>
      <c r="L73" s="26" t="s">
        <v>538</v>
      </c>
      <c r="M73" s="29" t="s">
        <v>27</v>
      </c>
      <c r="N73" s="23" t="s">
        <v>402</v>
      </c>
      <c r="O73" s="26" t="s">
        <v>542</v>
      </c>
      <c r="P73" s="8" t="s">
        <v>543</v>
      </c>
    </row>
    <row r="74" s="1" customFormat="1" hidden="1" spans="1:16">
      <c r="A74" s="23">
        <v>73</v>
      </c>
      <c r="B74" s="24">
        <v>4</v>
      </c>
      <c r="C74" s="25">
        <v>46122</v>
      </c>
      <c r="D74" s="26" t="s">
        <v>21</v>
      </c>
      <c r="E74" s="26" t="s">
        <v>406</v>
      </c>
      <c r="F74" s="26" t="s">
        <v>460</v>
      </c>
      <c r="G74" s="26">
        <v>70000</v>
      </c>
      <c r="H74" s="27" t="s">
        <v>24</v>
      </c>
      <c r="I74" s="26">
        <v>1.154</v>
      </c>
      <c r="J74" s="26">
        <v>80780</v>
      </c>
      <c r="K74" s="28">
        <v>0</v>
      </c>
      <c r="L74" s="26" t="s">
        <v>544</v>
      </c>
      <c r="M74" s="29" t="s">
        <v>27</v>
      </c>
      <c r="N74" s="23" t="s">
        <v>402</v>
      </c>
      <c r="O74" s="26" t="s">
        <v>461</v>
      </c>
      <c r="P74" s="8" t="s">
        <v>545</v>
      </c>
    </row>
    <row r="75" s="1" customFormat="1" hidden="1" spans="1:16">
      <c r="A75" s="23">
        <v>74</v>
      </c>
      <c r="B75" s="24">
        <v>4</v>
      </c>
      <c r="C75" s="25">
        <v>46125</v>
      </c>
      <c r="D75" s="26" t="s">
        <v>21</v>
      </c>
      <c r="E75" s="26" t="s">
        <v>437</v>
      </c>
      <c r="F75" s="26" t="s">
        <v>438</v>
      </c>
      <c r="G75" s="26">
        <v>960</v>
      </c>
      <c r="H75" s="27" t="s">
        <v>24</v>
      </c>
      <c r="I75" s="26">
        <v>1.85</v>
      </c>
      <c r="J75" s="26">
        <v>1776</v>
      </c>
      <c r="K75" s="28">
        <v>0</v>
      </c>
      <c r="L75" s="26" t="s">
        <v>546</v>
      </c>
      <c r="M75" s="29" t="s">
        <v>27</v>
      </c>
      <c r="N75" s="23" t="s">
        <v>402</v>
      </c>
      <c r="O75" s="26" t="s">
        <v>440</v>
      </c>
      <c r="P75" s="8" t="s">
        <v>547</v>
      </c>
    </row>
    <row r="76" s="1" customFormat="1" hidden="1" spans="1:16">
      <c r="A76" s="23">
        <v>75</v>
      </c>
      <c r="B76" s="24">
        <v>4</v>
      </c>
      <c r="C76" s="25">
        <v>46125</v>
      </c>
      <c r="D76" s="26" t="s">
        <v>21</v>
      </c>
      <c r="E76" s="26" t="s">
        <v>437</v>
      </c>
      <c r="F76" s="26" t="s">
        <v>441</v>
      </c>
      <c r="G76" s="26">
        <v>1500</v>
      </c>
      <c r="H76" s="27" t="s">
        <v>24</v>
      </c>
      <c r="I76" s="26">
        <v>0.4</v>
      </c>
      <c r="J76" s="26">
        <v>600</v>
      </c>
      <c r="K76" s="28">
        <v>0</v>
      </c>
      <c r="L76" s="26" t="s">
        <v>546</v>
      </c>
      <c r="M76" s="29" t="s">
        <v>27</v>
      </c>
      <c r="N76" s="23" t="s">
        <v>402</v>
      </c>
      <c r="O76" s="26" t="s">
        <v>442</v>
      </c>
      <c r="P76" s="8" t="s">
        <v>547</v>
      </c>
    </row>
    <row r="77" s="1" customFormat="1" hidden="1" spans="1:16">
      <c r="A77" s="23">
        <v>76</v>
      </c>
      <c r="B77" s="24">
        <v>4</v>
      </c>
      <c r="C77" s="25">
        <v>46125</v>
      </c>
      <c r="D77" s="26" t="s">
        <v>398</v>
      </c>
      <c r="E77" s="26" t="s">
        <v>437</v>
      </c>
      <c r="F77" s="26" t="s">
        <v>548</v>
      </c>
      <c r="G77" s="26">
        <v>6000</v>
      </c>
      <c r="H77" s="27" t="s">
        <v>24</v>
      </c>
      <c r="I77" s="26">
        <v>0.346</v>
      </c>
      <c r="J77" s="26">
        <v>2076</v>
      </c>
      <c r="K77" s="28">
        <v>0</v>
      </c>
      <c r="L77" s="26" t="s">
        <v>549</v>
      </c>
      <c r="M77" s="29" t="s">
        <v>27</v>
      </c>
      <c r="N77" s="23" t="s">
        <v>402</v>
      </c>
      <c r="O77" s="26" t="s">
        <v>550</v>
      </c>
      <c r="P77" s="8" t="s">
        <v>551</v>
      </c>
    </row>
    <row r="78" s="1" customFormat="1" hidden="1" spans="1:16">
      <c r="A78" s="23">
        <v>77</v>
      </c>
      <c r="B78" s="24">
        <v>4</v>
      </c>
      <c r="C78" s="25">
        <v>46125</v>
      </c>
      <c r="D78" s="26" t="s">
        <v>21</v>
      </c>
      <c r="E78" s="26" t="s">
        <v>437</v>
      </c>
      <c r="F78" s="26" t="s">
        <v>441</v>
      </c>
      <c r="G78" s="26">
        <v>3000</v>
      </c>
      <c r="H78" s="27" t="s">
        <v>24</v>
      </c>
      <c r="I78" s="26">
        <v>0.4</v>
      </c>
      <c r="J78" s="26">
        <v>1200</v>
      </c>
      <c r="K78" s="28">
        <v>0</v>
      </c>
      <c r="L78" s="26" t="s">
        <v>549</v>
      </c>
      <c r="M78" s="29" t="s">
        <v>27</v>
      </c>
      <c r="N78" s="23" t="s">
        <v>402</v>
      </c>
      <c r="O78" s="26" t="s">
        <v>442</v>
      </c>
      <c r="P78" s="8" t="s">
        <v>552</v>
      </c>
    </row>
    <row r="79" s="1" customFormat="1" hidden="1" spans="1:16">
      <c r="A79" s="23">
        <v>78</v>
      </c>
      <c r="B79" s="24">
        <v>4</v>
      </c>
      <c r="C79" s="25">
        <v>46125</v>
      </c>
      <c r="D79" s="26" t="s">
        <v>21</v>
      </c>
      <c r="E79" s="26" t="s">
        <v>437</v>
      </c>
      <c r="F79" s="26" t="s">
        <v>438</v>
      </c>
      <c r="G79" s="26">
        <v>1920</v>
      </c>
      <c r="H79" s="27" t="s">
        <v>24</v>
      </c>
      <c r="I79" s="26">
        <v>1.85</v>
      </c>
      <c r="J79" s="26">
        <v>3552</v>
      </c>
      <c r="K79" s="28">
        <v>0</v>
      </c>
      <c r="L79" s="26" t="s">
        <v>549</v>
      </c>
      <c r="M79" s="29" t="s">
        <v>27</v>
      </c>
      <c r="N79" s="23" t="s">
        <v>402</v>
      </c>
      <c r="O79" s="26" t="s">
        <v>440</v>
      </c>
      <c r="P79" s="8" t="s">
        <v>552</v>
      </c>
    </row>
    <row r="80" s="1" customFormat="1" hidden="1" spans="1:16">
      <c r="A80" s="23">
        <v>79</v>
      </c>
      <c r="B80" s="24">
        <v>4</v>
      </c>
      <c r="C80" s="25">
        <v>46126</v>
      </c>
      <c r="D80" s="26" t="s">
        <v>21</v>
      </c>
      <c r="E80" s="26" t="s">
        <v>406</v>
      </c>
      <c r="F80" s="26" t="s">
        <v>541</v>
      </c>
      <c r="G80" s="26">
        <v>32000</v>
      </c>
      <c r="H80" s="27" t="s">
        <v>24</v>
      </c>
      <c r="I80" s="26">
        <v>1.404</v>
      </c>
      <c r="J80" s="26">
        <v>44928</v>
      </c>
      <c r="K80" s="28">
        <v>0</v>
      </c>
      <c r="L80" s="26" t="s">
        <v>553</v>
      </c>
      <c r="M80" s="29" t="s">
        <v>27</v>
      </c>
      <c r="N80" s="23" t="s">
        <v>402</v>
      </c>
      <c r="O80" s="26" t="s">
        <v>542</v>
      </c>
      <c r="P80" s="8" t="s">
        <v>554</v>
      </c>
    </row>
    <row r="81" s="1" customFormat="1" hidden="1" spans="1:16">
      <c r="A81" s="23">
        <v>80</v>
      </c>
      <c r="B81" s="24">
        <v>4</v>
      </c>
      <c r="C81" s="25">
        <v>46126</v>
      </c>
      <c r="D81" s="26" t="s">
        <v>21</v>
      </c>
      <c r="E81" s="26" t="s">
        <v>406</v>
      </c>
      <c r="F81" s="26" t="s">
        <v>541</v>
      </c>
      <c r="G81" s="26">
        <v>12000</v>
      </c>
      <c r="H81" s="27" t="s">
        <v>24</v>
      </c>
      <c r="I81" s="26">
        <v>1.404</v>
      </c>
      <c r="J81" s="26">
        <v>16848</v>
      </c>
      <c r="K81" s="28">
        <v>0</v>
      </c>
      <c r="L81" s="26" t="s">
        <v>553</v>
      </c>
      <c r="M81" s="29" t="s">
        <v>27</v>
      </c>
      <c r="N81" s="23" t="s">
        <v>402</v>
      </c>
      <c r="O81" s="26" t="s">
        <v>542</v>
      </c>
      <c r="P81" s="8" t="s">
        <v>554</v>
      </c>
    </row>
    <row r="82" s="1" customFormat="1" hidden="1" spans="1:16">
      <c r="A82" s="23">
        <v>81</v>
      </c>
      <c r="B82" s="24">
        <v>4</v>
      </c>
      <c r="C82" s="25">
        <v>46126</v>
      </c>
      <c r="D82" s="26" t="s">
        <v>21</v>
      </c>
      <c r="E82" s="26" t="s">
        <v>406</v>
      </c>
      <c r="F82" s="26" t="s">
        <v>555</v>
      </c>
      <c r="G82" s="26">
        <v>360</v>
      </c>
      <c r="H82" s="27" t="s">
        <v>24</v>
      </c>
      <c r="I82" s="26">
        <v>1.6</v>
      </c>
      <c r="J82" s="26">
        <v>576</v>
      </c>
      <c r="K82" s="28">
        <v>0</v>
      </c>
      <c r="L82" s="26" t="s">
        <v>556</v>
      </c>
      <c r="M82" s="29" t="s">
        <v>27</v>
      </c>
      <c r="N82" s="23" t="s">
        <v>402</v>
      </c>
      <c r="O82" s="26" t="s">
        <v>557</v>
      </c>
      <c r="P82" s="8" t="s">
        <v>558</v>
      </c>
    </row>
    <row r="83" s="1" customFormat="1" hidden="1" spans="1:16">
      <c r="A83" s="23">
        <v>82</v>
      </c>
      <c r="B83" s="24">
        <v>4</v>
      </c>
      <c r="C83" s="25">
        <v>46126</v>
      </c>
      <c r="D83" s="26" t="s">
        <v>21</v>
      </c>
      <c r="E83" s="26" t="s">
        <v>406</v>
      </c>
      <c r="F83" s="26" t="s">
        <v>541</v>
      </c>
      <c r="G83" s="26">
        <v>16000</v>
      </c>
      <c r="H83" s="27" t="s">
        <v>24</v>
      </c>
      <c r="I83" s="26">
        <v>1.404</v>
      </c>
      <c r="J83" s="26">
        <v>22464</v>
      </c>
      <c r="K83" s="28">
        <v>0</v>
      </c>
      <c r="L83" s="26" t="s">
        <v>556</v>
      </c>
      <c r="M83" s="29" t="s">
        <v>27</v>
      </c>
      <c r="N83" s="23" t="s">
        <v>402</v>
      </c>
      <c r="O83" s="26" t="s">
        <v>542</v>
      </c>
      <c r="P83" s="8" t="s">
        <v>554</v>
      </c>
    </row>
    <row r="84" s="1" customFormat="1" hidden="1" spans="1:16">
      <c r="A84" s="23">
        <v>83</v>
      </c>
      <c r="B84" s="24">
        <v>4</v>
      </c>
      <c r="C84" s="25">
        <v>46127</v>
      </c>
      <c r="D84" s="26" t="s">
        <v>21</v>
      </c>
      <c r="E84" s="26" t="s">
        <v>406</v>
      </c>
      <c r="F84" s="26" t="s">
        <v>559</v>
      </c>
      <c r="G84" s="26">
        <v>30000</v>
      </c>
      <c r="H84" s="27" t="s">
        <v>24</v>
      </c>
      <c r="I84" s="26">
        <v>1.9</v>
      </c>
      <c r="J84" s="26">
        <v>57000</v>
      </c>
      <c r="K84" s="28">
        <v>0</v>
      </c>
      <c r="L84" s="26" t="s">
        <v>560</v>
      </c>
      <c r="M84" s="29" t="s">
        <v>27</v>
      </c>
      <c r="N84" s="23" t="s">
        <v>402</v>
      </c>
      <c r="O84" s="26" t="s">
        <v>561</v>
      </c>
      <c r="P84" s="8" t="s">
        <v>562</v>
      </c>
    </row>
    <row r="85" s="1" customFormat="1" hidden="1" spans="1:16">
      <c r="A85" s="23">
        <v>84</v>
      </c>
      <c r="B85" s="24">
        <v>4</v>
      </c>
      <c r="C85" s="25">
        <v>46127</v>
      </c>
      <c r="D85" s="26" t="s">
        <v>21</v>
      </c>
      <c r="E85" s="26" t="s">
        <v>406</v>
      </c>
      <c r="F85" s="26" t="s">
        <v>563</v>
      </c>
      <c r="G85" s="26">
        <v>100</v>
      </c>
      <c r="H85" s="27" t="s">
        <v>24</v>
      </c>
      <c r="I85" s="26">
        <v>1.75</v>
      </c>
      <c r="J85" s="26">
        <v>175</v>
      </c>
      <c r="K85" s="28">
        <v>0</v>
      </c>
      <c r="L85" s="26" t="s">
        <v>564</v>
      </c>
      <c r="M85" s="29" t="s">
        <v>27</v>
      </c>
      <c r="N85" s="23" t="s">
        <v>402</v>
      </c>
      <c r="O85" s="26" t="s">
        <v>565</v>
      </c>
      <c r="P85" s="8" t="s">
        <v>566</v>
      </c>
    </row>
    <row r="86" s="1" customFormat="1" hidden="1" spans="1:16">
      <c r="A86" s="23">
        <v>85</v>
      </c>
      <c r="B86" s="24">
        <v>4</v>
      </c>
      <c r="C86" s="25">
        <v>46128</v>
      </c>
      <c r="D86" s="26" t="s">
        <v>21</v>
      </c>
      <c r="E86" s="26" t="s">
        <v>502</v>
      </c>
      <c r="F86" s="26" t="s">
        <v>567</v>
      </c>
      <c r="G86" s="26">
        <v>2500</v>
      </c>
      <c r="H86" s="27" t="s">
        <v>24</v>
      </c>
      <c r="I86" s="26">
        <v>0.665</v>
      </c>
      <c r="J86" s="26">
        <v>1662.5</v>
      </c>
      <c r="K86" s="28">
        <v>0</v>
      </c>
      <c r="L86" s="26" t="s">
        <v>568</v>
      </c>
      <c r="M86" s="29" t="s">
        <v>27</v>
      </c>
      <c r="N86" s="23" t="s">
        <v>402</v>
      </c>
      <c r="O86" s="26" t="s">
        <v>569</v>
      </c>
      <c r="P86" s="8" t="s">
        <v>570</v>
      </c>
    </row>
    <row r="87" s="1" customFormat="1" hidden="1" spans="1:16">
      <c r="A87" s="23">
        <v>86</v>
      </c>
      <c r="B87" s="24">
        <v>4</v>
      </c>
      <c r="C87" s="25">
        <v>46128</v>
      </c>
      <c r="D87" s="26" t="s">
        <v>511</v>
      </c>
      <c r="E87" s="26" t="s">
        <v>502</v>
      </c>
      <c r="F87" s="26" t="s">
        <v>512</v>
      </c>
      <c r="G87" s="26">
        <v>1800</v>
      </c>
      <c r="H87" s="27" t="s">
        <v>24</v>
      </c>
      <c r="I87" s="26">
        <v>1.9</v>
      </c>
      <c r="J87" s="26">
        <v>3420</v>
      </c>
      <c r="K87" s="28">
        <v>0</v>
      </c>
      <c r="L87" s="26" t="s">
        <v>571</v>
      </c>
      <c r="M87" s="29" t="s">
        <v>27</v>
      </c>
      <c r="N87" s="23" t="s">
        <v>402</v>
      </c>
      <c r="O87" s="26" t="s">
        <v>514</v>
      </c>
      <c r="P87" s="8" t="s">
        <v>572</v>
      </c>
    </row>
    <row r="88" s="1" customFormat="1" hidden="1" spans="1:16">
      <c r="A88" s="23">
        <v>87</v>
      </c>
      <c r="B88" s="24">
        <v>4</v>
      </c>
      <c r="C88" s="25">
        <v>46129</v>
      </c>
      <c r="D88" s="26" t="s">
        <v>464</v>
      </c>
      <c r="E88" s="26" t="s">
        <v>406</v>
      </c>
      <c r="F88" s="26" t="s">
        <v>465</v>
      </c>
      <c r="G88" s="26">
        <v>5000</v>
      </c>
      <c r="H88" s="27" t="s">
        <v>24</v>
      </c>
      <c r="I88" s="26">
        <v>0.199</v>
      </c>
      <c r="J88" s="26">
        <v>995</v>
      </c>
      <c r="K88" s="28">
        <v>0</v>
      </c>
      <c r="L88" s="26" t="s">
        <v>573</v>
      </c>
      <c r="M88" s="29" t="s">
        <v>27</v>
      </c>
      <c r="N88" s="23" t="s">
        <v>402</v>
      </c>
      <c r="O88" s="26" t="s">
        <v>467</v>
      </c>
      <c r="P88" s="8" t="s">
        <v>574</v>
      </c>
    </row>
    <row r="89" s="1" customFormat="1" hidden="1" spans="1:16">
      <c r="A89" s="23">
        <v>88</v>
      </c>
      <c r="B89" s="24">
        <v>4</v>
      </c>
      <c r="C89" s="25">
        <v>46134</v>
      </c>
      <c r="D89" s="26" t="s">
        <v>21</v>
      </c>
      <c r="E89" s="26" t="s">
        <v>406</v>
      </c>
      <c r="F89" s="26" t="s">
        <v>460</v>
      </c>
      <c r="G89" s="26">
        <v>75000</v>
      </c>
      <c r="H89" s="27" t="s">
        <v>24</v>
      </c>
      <c r="I89" s="26">
        <v>1.154</v>
      </c>
      <c r="J89" s="26">
        <v>86550</v>
      </c>
      <c r="K89" s="28">
        <v>0</v>
      </c>
      <c r="L89" s="26" t="s">
        <v>575</v>
      </c>
      <c r="M89" s="29" t="s">
        <v>27</v>
      </c>
      <c r="N89" s="23" t="s">
        <v>402</v>
      </c>
      <c r="O89" s="26" t="s">
        <v>461</v>
      </c>
      <c r="P89" s="8" t="s">
        <v>545</v>
      </c>
    </row>
    <row r="90" s="1" customFormat="1" hidden="1" spans="1:16">
      <c r="A90" s="23">
        <v>89</v>
      </c>
      <c r="B90" s="24">
        <v>4</v>
      </c>
      <c r="C90" s="25">
        <v>46134</v>
      </c>
      <c r="D90" s="26" t="s">
        <v>21</v>
      </c>
      <c r="E90" s="26" t="s">
        <v>406</v>
      </c>
      <c r="F90" s="26" t="s">
        <v>559</v>
      </c>
      <c r="G90" s="26">
        <v>20000</v>
      </c>
      <c r="H90" s="27" t="s">
        <v>24</v>
      </c>
      <c r="I90" s="26">
        <v>1.9</v>
      </c>
      <c r="J90" s="26">
        <v>38000</v>
      </c>
      <c r="K90" s="28">
        <v>0</v>
      </c>
      <c r="L90" s="26" t="s">
        <v>575</v>
      </c>
      <c r="M90" s="29" t="s">
        <v>27</v>
      </c>
      <c r="N90" s="23" t="s">
        <v>402</v>
      </c>
      <c r="O90" s="26" t="s">
        <v>561</v>
      </c>
      <c r="P90" s="8" t="s">
        <v>562</v>
      </c>
    </row>
    <row r="91" s="1" customFormat="1" hidden="1" spans="1:16">
      <c r="A91" s="23">
        <v>90</v>
      </c>
      <c r="B91" s="24">
        <v>4</v>
      </c>
      <c r="C91" s="25">
        <v>46134</v>
      </c>
      <c r="D91" s="26" t="s">
        <v>21</v>
      </c>
      <c r="E91" s="26" t="s">
        <v>406</v>
      </c>
      <c r="F91" s="26" t="s">
        <v>576</v>
      </c>
      <c r="G91" s="26">
        <v>5000</v>
      </c>
      <c r="H91" s="27" t="s">
        <v>24</v>
      </c>
      <c r="I91" s="26">
        <v>1.9</v>
      </c>
      <c r="J91" s="26">
        <v>9500</v>
      </c>
      <c r="K91" s="28">
        <v>0</v>
      </c>
      <c r="L91" s="26" t="s">
        <v>575</v>
      </c>
      <c r="M91" s="29" t="s">
        <v>27</v>
      </c>
      <c r="N91" s="23" t="s">
        <v>402</v>
      </c>
      <c r="O91" s="26" t="s">
        <v>577</v>
      </c>
      <c r="P91" s="8" t="s">
        <v>578</v>
      </c>
    </row>
    <row r="92" s="1" customFormat="1" hidden="1" spans="1:16">
      <c r="A92" s="23">
        <v>91</v>
      </c>
      <c r="B92" s="24">
        <v>4</v>
      </c>
      <c r="C92" s="25">
        <v>46134</v>
      </c>
      <c r="D92" s="26" t="s">
        <v>21</v>
      </c>
      <c r="E92" s="26" t="s">
        <v>406</v>
      </c>
      <c r="F92" s="26" t="s">
        <v>559</v>
      </c>
      <c r="G92" s="26">
        <v>5000</v>
      </c>
      <c r="H92" s="27" t="s">
        <v>24</v>
      </c>
      <c r="I92" s="26">
        <v>1.9</v>
      </c>
      <c r="J92" s="26">
        <v>9500</v>
      </c>
      <c r="K92" s="28">
        <v>0</v>
      </c>
      <c r="L92" s="26" t="s">
        <v>575</v>
      </c>
      <c r="M92" s="29" t="s">
        <v>27</v>
      </c>
      <c r="N92" s="23" t="s">
        <v>402</v>
      </c>
      <c r="O92" s="26" t="s">
        <v>561</v>
      </c>
      <c r="P92" s="8" t="s">
        <v>579</v>
      </c>
    </row>
    <row r="93" s="1" customFormat="1" hidden="1" spans="1:16">
      <c r="A93" s="23">
        <v>92</v>
      </c>
      <c r="B93" s="24">
        <v>4</v>
      </c>
      <c r="C93" s="25">
        <v>46134</v>
      </c>
      <c r="D93" s="26" t="s">
        <v>398</v>
      </c>
      <c r="E93" s="26" t="s">
        <v>406</v>
      </c>
      <c r="F93" s="26" t="s">
        <v>580</v>
      </c>
      <c r="G93" s="26">
        <v>9000</v>
      </c>
      <c r="H93" s="27" t="s">
        <v>24</v>
      </c>
      <c r="I93" s="26">
        <v>0.7081</v>
      </c>
      <c r="J93" s="26">
        <v>6372.9</v>
      </c>
      <c r="K93" s="28">
        <v>0</v>
      </c>
      <c r="L93" s="26" t="s">
        <v>575</v>
      </c>
      <c r="M93" s="29" t="s">
        <v>27</v>
      </c>
      <c r="N93" s="23" t="s">
        <v>402</v>
      </c>
      <c r="O93" s="26" t="s">
        <v>581</v>
      </c>
      <c r="P93" s="8" t="s">
        <v>582</v>
      </c>
    </row>
    <row r="94" s="1" customFormat="1" hidden="1" spans="1:16">
      <c r="A94" s="23">
        <v>93</v>
      </c>
      <c r="B94" s="24">
        <v>4</v>
      </c>
      <c r="C94" s="25">
        <v>46134</v>
      </c>
      <c r="D94" s="26" t="s">
        <v>398</v>
      </c>
      <c r="E94" s="26" t="s">
        <v>406</v>
      </c>
      <c r="F94" s="26" t="s">
        <v>580</v>
      </c>
      <c r="G94" s="26">
        <v>6000</v>
      </c>
      <c r="H94" s="27" t="s">
        <v>24</v>
      </c>
      <c r="I94" s="26">
        <v>0.7081</v>
      </c>
      <c r="J94" s="26">
        <v>4248.6</v>
      </c>
      <c r="K94" s="28">
        <v>0</v>
      </c>
      <c r="L94" s="26" t="s">
        <v>575</v>
      </c>
      <c r="M94" s="29" t="s">
        <v>27</v>
      </c>
      <c r="N94" s="23" t="s">
        <v>402</v>
      </c>
      <c r="O94" s="26" t="s">
        <v>581</v>
      </c>
      <c r="P94" s="8" t="s">
        <v>583</v>
      </c>
    </row>
    <row r="95" s="1" customFormat="1" hidden="1" spans="1:16">
      <c r="A95" s="23">
        <v>94</v>
      </c>
      <c r="B95" s="24">
        <v>4</v>
      </c>
      <c r="C95" s="25">
        <v>46134</v>
      </c>
      <c r="D95" s="26" t="s">
        <v>21</v>
      </c>
      <c r="E95" s="26" t="s">
        <v>406</v>
      </c>
      <c r="F95" s="26" t="s">
        <v>453</v>
      </c>
      <c r="G95" s="26">
        <v>10000</v>
      </c>
      <c r="H95" s="27" t="s">
        <v>24</v>
      </c>
      <c r="I95" s="26">
        <v>0.1131</v>
      </c>
      <c r="J95" s="26">
        <v>1131</v>
      </c>
      <c r="K95" s="28">
        <v>0</v>
      </c>
      <c r="L95" s="26" t="s">
        <v>584</v>
      </c>
      <c r="M95" s="29" t="s">
        <v>27</v>
      </c>
      <c r="N95" s="23" t="s">
        <v>402</v>
      </c>
      <c r="O95" s="26" t="s">
        <v>455</v>
      </c>
      <c r="P95" s="8" t="s">
        <v>539</v>
      </c>
    </row>
    <row r="96" s="1" customFormat="1" hidden="1" spans="1:16">
      <c r="A96" s="23">
        <v>95</v>
      </c>
      <c r="B96" s="24">
        <v>4</v>
      </c>
      <c r="C96" s="25">
        <v>46134</v>
      </c>
      <c r="D96" s="26" t="s">
        <v>485</v>
      </c>
      <c r="E96" s="26" t="s">
        <v>486</v>
      </c>
      <c r="F96" s="26" t="s">
        <v>585</v>
      </c>
      <c r="G96" s="26">
        <v>1000</v>
      </c>
      <c r="H96" s="27" t="s">
        <v>24</v>
      </c>
      <c r="I96" s="26">
        <v>1.325</v>
      </c>
      <c r="J96" s="26">
        <v>1325</v>
      </c>
      <c r="K96" s="28">
        <v>0</v>
      </c>
      <c r="L96" s="26" t="s">
        <v>586</v>
      </c>
      <c r="M96" s="29" t="s">
        <v>27</v>
      </c>
      <c r="N96" s="23" t="s">
        <v>402</v>
      </c>
      <c r="O96" s="26" t="s">
        <v>587</v>
      </c>
      <c r="P96" s="8" t="s">
        <v>588</v>
      </c>
    </row>
    <row r="97" s="1" customFormat="1" hidden="1" spans="1:16">
      <c r="A97" s="23">
        <v>96</v>
      </c>
      <c r="B97" s="24">
        <v>4</v>
      </c>
      <c r="C97" s="25">
        <v>46136</v>
      </c>
      <c r="D97" s="26" t="s">
        <v>21</v>
      </c>
      <c r="E97" s="26" t="s">
        <v>589</v>
      </c>
      <c r="F97" s="26" t="s">
        <v>590</v>
      </c>
      <c r="G97" s="26">
        <v>250</v>
      </c>
      <c r="H97" s="27" t="s">
        <v>24</v>
      </c>
      <c r="I97" s="26">
        <v>31.5</v>
      </c>
      <c r="J97" s="26">
        <v>7875</v>
      </c>
      <c r="K97" s="28">
        <v>0</v>
      </c>
      <c r="L97" s="26" t="s">
        <v>591</v>
      </c>
      <c r="M97" s="29" t="s">
        <v>27</v>
      </c>
      <c r="N97" s="23" t="s">
        <v>402</v>
      </c>
      <c r="O97" s="26" t="s">
        <v>592</v>
      </c>
      <c r="P97" s="8" t="s">
        <v>593</v>
      </c>
    </row>
    <row r="98" s="1" customFormat="1" hidden="1" spans="1:16">
      <c r="A98" s="23">
        <v>97</v>
      </c>
      <c r="B98" s="24">
        <v>4</v>
      </c>
      <c r="C98" s="25">
        <v>46136</v>
      </c>
      <c r="D98" s="26" t="s">
        <v>21</v>
      </c>
      <c r="E98" s="26" t="s">
        <v>589</v>
      </c>
      <c r="F98" s="26" t="s">
        <v>527</v>
      </c>
      <c r="G98" s="26">
        <v>2000</v>
      </c>
      <c r="H98" s="27" t="s">
        <v>24</v>
      </c>
      <c r="I98" s="26">
        <v>63</v>
      </c>
      <c r="J98" s="26">
        <v>126000</v>
      </c>
      <c r="K98" s="28">
        <v>0</v>
      </c>
      <c r="L98" s="26" t="s">
        <v>591</v>
      </c>
      <c r="M98" s="29" t="s">
        <v>27</v>
      </c>
      <c r="N98" s="23" t="s">
        <v>402</v>
      </c>
      <c r="O98" s="26" t="s">
        <v>529</v>
      </c>
      <c r="P98" s="8" t="s">
        <v>593</v>
      </c>
    </row>
    <row r="99" s="1" customFormat="1" hidden="1" spans="1:16">
      <c r="A99" s="23">
        <v>98</v>
      </c>
      <c r="B99" s="24">
        <v>4</v>
      </c>
      <c r="C99" s="25">
        <v>46136</v>
      </c>
      <c r="D99" s="26" t="s">
        <v>21</v>
      </c>
      <c r="E99" s="26" t="s">
        <v>589</v>
      </c>
      <c r="F99" s="26" t="s">
        <v>594</v>
      </c>
      <c r="G99" s="26">
        <v>2000</v>
      </c>
      <c r="H99" s="27" t="s">
        <v>24</v>
      </c>
      <c r="I99" s="26">
        <v>69</v>
      </c>
      <c r="J99" s="26">
        <v>138000</v>
      </c>
      <c r="K99" s="28">
        <v>0</v>
      </c>
      <c r="L99" s="26" t="s">
        <v>591</v>
      </c>
      <c r="M99" s="29" t="s">
        <v>27</v>
      </c>
      <c r="N99" s="23" t="s">
        <v>402</v>
      </c>
      <c r="O99" s="26" t="s">
        <v>595</v>
      </c>
      <c r="P99" s="8" t="s">
        <v>596</v>
      </c>
    </row>
    <row r="100" s="1" customFormat="1" hidden="1" spans="1:16">
      <c r="A100" s="23">
        <v>99</v>
      </c>
      <c r="B100" s="24">
        <v>4</v>
      </c>
      <c r="C100" s="25">
        <v>46136</v>
      </c>
      <c r="D100" s="26" t="s">
        <v>21</v>
      </c>
      <c r="E100" s="26" t="s">
        <v>589</v>
      </c>
      <c r="F100" s="26" t="s">
        <v>531</v>
      </c>
      <c r="G100" s="26">
        <v>2000</v>
      </c>
      <c r="H100" s="27" t="s">
        <v>24</v>
      </c>
      <c r="I100" s="26">
        <v>115</v>
      </c>
      <c r="J100" s="26">
        <v>230000</v>
      </c>
      <c r="K100" s="28">
        <v>0</v>
      </c>
      <c r="L100" s="26" t="s">
        <v>591</v>
      </c>
      <c r="M100" s="29" t="s">
        <v>27</v>
      </c>
      <c r="N100" s="23" t="s">
        <v>402</v>
      </c>
      <c r="O100" s="26" t="s">
        <v>532</v>
      </c>
      <c r="P100" s="8" t="s">
        <v>596</v>
      </c>
    </row>
    <row r="101" s="1" customFormat="1" hidden="1" spans="1:16">
      <c r="A101" s="23">
        <v>100</v>
      </c>
      <c r="B101" s="24">
        <v>4</v>
      </c>
      <c r="C101" s="25">
        <v>46136</v>
      </c>
      <c r="D101" s="26" t="s">
        <v>21</v>
      </c>
      <c r="E101" s="26" t="s">
        <v>589</v>
      </c>
      <c r="F101" s="26" t="s">
        <v>590</v>
      </c>
      <c r="G101" s="26">
        <v>4000</v>
      </c>
      <c r="H101" s="27" t="s">
        <v>24</v>
      </c>
      <c r="I101" s="26">
        <v>31.5</v>
      </c>
      <c r="J101" s="26">
        <v>126000</v>
      </c>
      <c r="K101" s="28">
        <v>0</v>
      </c>
      <c r="L101" s="26" t="s">
        <v>591</v>
      </c>
      <c r="M101" s="29" t="s">
        <v>27</v>
      </c>
      <c r="N101" s="23" t="s">
        <v>402</v>
      </c>
      <c r="O101" s="26" t="s">
        <v>592</v>
      </c>
      <c r="P101" s="8" t="s">
        <v>593</v>
      </c>
    </row>
    <row r="102" s="1" customFormat="1" hidden="1" spans="1:16">
      <c r="A102" s="23">
        <v>101</v>
      </c>
      <c r="B102" s="24">
        <v>4</v>
      </c>
      <c r="C102" s="25">
        <v>46136</v>
      </c>
      <c r="D102" s="26" t="s">
        <v>21</v>
      </c>
      <c r="E102" s="26" t="s">
        <v>406</v>
      </c>
      <c r="F102" s="26" t="s">
        <v>460</v>
      </c>
      <c r="G102" s="26">
        <v>5000</v>
      </c>
      <c r="H102" s="27" t="s">
        <v>24</v>
      </c>
      <c r="I102" s="26">
        <v>1.154</v>
      </c>
      <c r="J102" s="26">
        <v>5770</v>
      </c>
      <c r="K102" s="28">
        <v>0</v>
      </c>
      <c r="L102" s="26" t="s">
        <v>597</v>
      </c>
      <c r="M102" s="29" t="s">
        <v>27</v>
      </c>
      <c r="N102" s="23" t="s">
        <v>402</v>
      </c>
      <c r="O102" s="26" t="s">
        <v>461</v>
      </c>
      <c r="P102" s="8" t="s">
        <v>539</v>
      </c>
    </row>
    <row r="103" s="1" customFormat="1" hidden="1" spans="1:16">
      <c r="A103" s="23">
        <v>102</v>
      </c>
      <c r="B103" s="24">
        <v>4</v>
      </c>
      <c r="C103" s="25">
        <v>46136</v>
      </c>
      <c r="D103" s="26" t="s">
        <v>21</v>
      </c>
      <c r="E103" s="26" t="s">
        <v>406</v>
      </c>
      <c r="F103" s="26" t="s">
        <v>598</v>
      </c>
      <c r="G103" s="26">
        <v>10080</v>
      </c>
      <c r="H103" s="27" t="s">
        <v>24</v>
      </c>
      <c r="I103" s="26">
        <v>2.7778</v>
      </c>
      <c r="J103" s="26">
        <v>28000.22</v>
      </c>
      <c r="K103" s="28">
        <v>0</v>
      </c>
      <c r="L103" s="26" t="s">
        <v>597</v>
      </c>
      <c r="M103" s="29" t="s">
        <v>27</v>
      </c>
      <c r="N103" s="23" t="s">
        <v>402</v>
      </c>
      <c r="O103" s="26" t="s">
        <v>599</v>
      </c>
      <c r="P103" s="8" t="s">
        <v>600</v>
      </c>
    </row>
    <row r="104" s="1" customFormat="1" hidden="1" spans="1:16">
      <c r="A104" s="23">
        <v>103</v>
      </c>
      <c r="B104" s="24">
        <v>4</v>
      </c>
      <c r="C104" s="25">
        <v>46136</v>
      </c>
      <c r="D104" s="26" t="s">
        <v>21</v>
      </c>
      <c r="E104" s="26" t="s">
        <v>406</v>
      </c>
      <c r="F104" s="26" t="s">
        <v>598</v>
      </c>
      <c r="G104" s="26">
        <v>10080</v>
      </c>
      <c r="H104" s="27" t="s">
        <v>24</v>
      </c>
      <c r="I104" s="26">
        <v>2.7778</v>
      </c>
      <c r="J104" s="26">
        <v>28000.22</v>
      </c>
      <c r="K104" s="28">
        <v>0</v>
      </c>
      <c r="L104" s="26" t="s">
        <v>601</v>
      </c>
      <c r="M104" s="29" t="s">
        <v>27</v>
      </c>
      <c r="N104" s="23" t="s">
        <v>402</v>
      </c>
      <c r="O104" s="26" t="s">
        <v>599</v>
      </c>
      <c r="P104" s="8" t="s">
        <v>602</v>
      </c>
    </row>
    <row r="105" s="1" customFormat="1" hidden="1" spans="1:16">
      <c r="A105" s="23">
        <v>104</v>
      </c>
      <c r="B105" s="24">
        <v>4</v>
      </c>
      <c r="C105" s="25">
        <v>46139</v>
      </c>
      <c r="D105" s="26" t="s">
        <v>464</v>
      </c>
      <c r="E105" s="26" t="s">
        <v>406</v>
      </c>
      <c r="F105" s="26" t="s">
        <v>465</v>
      </c>
      <c r="G105" s="26">
        <v>5000</v>
      </c>
      <c r="H105" s="27" t="s">
        <v>24</v>
      </c>
      <c r="I105" s="26">
        <v>0.199</v>
      </c>
      <c r="J105" s="26">
        <v>995</v>
      </c>
      <c r="K105" s="28">
        <v>0</v>
      </c>
      <c r="L105" s="26" t="s">
        <v>603</v>
      </c>
      <c r="M105" s="29" t="s">
        <v>27</v>
      </c>
      <c r="N105" s="23" t="s">
        <v>402</v>
      </c>
      <c r="O105" s="26" t="s">
        <v>467</v>
      </c>
      <c r="P105" s="8" t="s">
        <v>604</v>
      </c>
    </row>
    <row r="106" s="1" customFormat="1" hidden="1" spans="1:16">
      <c r="A106" s="23">
        <v>105</v>
      </c>
      <c r="B106" s="24">
        <v>4</v>
      </c>
      <c r="C106" s="25">
        <v>46139</v>
      </c>
      <c r="D106" s="26" t="s">
        <v>398</v>
      </c>
      <c r="E106" s="26" t="s">
        <v>406</v>
      </c>
      <c r="F106" s="26" t="s">
        <v>605</v>
      </c>
      <c r="G106" s="26">
        <v>2500</v>
      </c>
      <c r="H106" s="27" t="s">
        <v>24</v>
      </c>
      <c r="I106" s="26">
        <v>0.348</v>
      </c>
      <c r="J106" s="26">
        <v>870</v>
      </c>
      <c r="K106" s="28">
        <v>0</v>
      </c>
      <c r="L106" s="26" t="s">
        <v>603</v>
      </c>
      <c r="M106" s="29" t="s">
        <v>27</v>
      </c>
      <c r="N106" s="23" t="s">
        <v>402</v>
      </c>
      <c r="O106" s="26" t="s">
        <v>606</v>
      </c>
      <c r="P106" s="8" t="s">
        <v>607</v>
      </c>
    </row>
    <row r="107" s="1" customFormat="1" hidden="1" spans="1:16">
      <c r="A107" s="23">
        <v>106</v>
      </c>
      <c r="B107" s="24">
        <v>4</v>
      </c>
      <c r="C107" s="25">
        <v>46140</v>
      </c>
      <c r="D107" s="26" t="s">
        <v>21</v>
      </c>
      <c r="E107" s="26" t="s">
        <v>406</v>
      </c>
      <c r="F107" s="26" t="s">
        <v>598</v>
      </c>
      <c r="G107" s="26">
        <v>720</v>
      </c>
      <c r="H107" s="27" t="s">
        <v>24</v>
      </c>
      <c r="I107" s="26">
        <v>2.7778</v>
      </c>
      <c r="J107" s="26">
        <v>2000.02</v>
      </c>
      <c r="K107" s="28">
        <v>0</v>
      </c>
      <c r="L107" s="26" t="s">
        <v>608</v>
      </c>
      <c r="M107" s="29" t="s">
        <v>27</v>
      </c>
      <c r="N107" s="23" t="s">
        <v>402</v>
      </c>
      <c r="O107" s="26" t="s">
        <v>599</v>
      </c>
      <c r="P107" s="8" t="s">
        <v>609</v>
      </c>
    </row>
    <row r="108" s="1" customFormat="1" hidden="1" spans="1:16">
      <c r="A108" s="23">
        <v>107</v>
      </c>
      <c r="B108" s="24">
        <v>5</v>
      </c>
      <c r="C108" s="25">
        <v>46148</v>
      </c>
      <c r="D108" s="26" t="s">
        <v>21</v>
      </c>
      <c r="E108" s="26" t="s">
        <v>589</v>
      </c>
      <c r="F108" s="26" t="s">
        <v>590</v>
      </c>
      <c r="G108" s="26">
        <v>2000</v>
      </c>
      <c r="H108" s="27" t="s">
        <v>24</v>
      </c>
      <c r="I108" s="26">
        <v>31.5</v>
      </c>
      <c r="J108" s="26">
        <v>63000</v>
      </c>
      <c r="K108" s="28">
        <v>0</v>
      </c>
      <c r="L108" s="26" t="s">
        <v>610</v>
      </c>
      <c r="M108" s="29" t="s">
        <v>27</v>
      </c>
      <c r="N108" s="23" t="s">
        <v>402</v>
      </c>
      <c r="O108" s="26" t="s">
        <v>592</v>
      </c>
      <c r="P108" s="8" t="s">
        <v>593</v>
      </c>
    </row>
    <row r="109" s="1" customFormat="1" hidden="1" spans="1:16">
      <c r="A109" s="23">
        <v>108</v>
      </c>
      <c r="B109" s="24">
        <v>5</v>
      </c>
      <c r="C109" s="25">
        <v>46148</v>
      </c>
      <c r="D109" s="26" t="s">
        <v>21</v>
      </c>
      <c r="E109" s="26" t="s">
        <v>589</v>
      </c>
      <c r="F109" s="26" t="s">
        <v>527</v>
      </c>
      <c r="G109" s="26">
        <v>2000</v>
      </c>
      <c r="H109" s="27" t="s">
        <v>24</v>
      </c>
      <c r="I109" s="26">
        <v>63</v>
      </c>
      <c r="J109" s="26">
        <v>126000</v>
      </c>
      <c r="K109" s="28">
        <v>0</v>
      </c>
      <c r="L109" s="26" t="s">
        <v>610</v>
      </c>
      <c r="M109" s="29" t="s">
        <v>27</v>
      </c>
      <c r="N109" s="23" t="s">
        <v>402</v>
      </c>
      <c r="O109" s="26" t="s">
        <v>529</v>
      </c>
      <c r="P109" s="8" t="s">
        <v>593</v>
      </c>
    </row>
    <row r="110" s="1" customFormat="1" hidden="1" spans="1:16">
      <c r="A110" s="23">
        <v>109</v>
      </c>
      <c r="B110" s="24">
        <v>5</v>
      </c>
      <c r="C110" s="25">
        <v>46148</v>
      </c>
      <c r="D110" s="26" t="s">
        <v>21</v>
      </c>
      <c r="E110" s="26" t="s">
        <v>502</v>
      </c>
      <c r="F110" s="26" t="s">
        <v>567</v>
      </c>
      <c r="G110" s="26">
        <v>2165</v>
      </c>
      <c r="H110" s="27" t="s">
        <v>24</v>
      </c>
      <c r="I110" s="26">
        <v>0.665</v>
      </c>
      <c r="J110" s="26">
        <v>1439.73</v>
      </c>
      <c r="K110" s="28">
        <v>0</v>
      </c>
      <c r="L110" s="26" t="s">
        <v>611</v>
      </c>
      <c r="M110" s="29" t="s">
        <v>27</v>
      </c>
      <c r="N110" s="23" t="s">
        <v>402</v>
      </c>
      <c r="O110" s="26" t="s">
        <v>569</v>
      </c>
      <c r="P110" s="8" t="s">
        <v>570</v>
      </c>
    </row>
    <row r="111" s="1" customFormat="1" hidden="1" spans="1:16">
      <c r="A111" s="23">
        <v>110</v>
      </c>
      <c r="B111" s="24">
        <v>5</v>
      </c>
      <c r="C111" s="25">
        <v>46153</v>
      </c>
      <c r="D111" s="26" t="s">
        <v>21</v>
      </c>
      <c r="E111" s="26" t="s">
        <v>612</v>
      </c>
      <c r="F111" s="26" t="s">
        <v>613</v>
      </c>
      <c r="G111" s="26">
        <v>2000</v>
      </c>
      <c r="H111" s="27" t="s">
        <v>24</v>
      </c>
      <c r="I111" s="26">
        <v>0.792</v>
      </c>
      <c r="J111" s="26">
        <v>1584</v>
      </c>
      <c r="K111" s="28">
        <v>0</v>
      </c>
      <c r="L111" s="26" t="s">
        <v>614</v>
      </c>
      <c r="M111" s="29" t="s">
        <v>27</v>
      </c>
      <c r="N111" s="23" t="s">
        <v>402</v>
      </c>
      <c r="O111" s="26" t="s">
        <v>615</v>
      </c>
      <c r="P111" s="8" t="s">
        <v>616</v>
      </c>
    </row>
    <row r="112" s="1" customFormat="1" hidden="1" spans="1:16">
      <c r="A112" s="23">
        <v>111</v>
      </c>
      <c r="B112" s="24">
        <v>5</v>
      </c>
      <c r="C112" s="25">
        <v>46153</v>
      </c>
      <c r="D112" s="26" t="s">
        <v>21</v>
      </c>
      <c r="E112" s="26" t="s">
        <v>612</v>
      </c>
      <c r="F112" s="26" t="s">
        <v>613</v>
      </c>
      <c r="G112" s="26">
        <v>10000</v>
      </c>
      <c r="H112" s="27" t="s">
        <v>24</v>
      </c>
      <c r="I112" s="26">
        <v>0.72</v>
      </c>
      <c r="J112" s="26">
        <v>7200</v>
      </c>
      <c r="K112" s="28">
        <v>0</v>
      </c>
      <c r="L112" s="26" t="s">
        <v>617</v>
      </c>
      <c r="M112" s="29" t="s">
        <v>27</v>
      </c>
      <c r="N112" s="23" t="s">
        <v>402</v>
      </c>
      <c r="O112" s="26" t="s">
        <v>615</v>
      </c>
      <c r="P112" s="8" t="s">
        <v>618</v>
      </c>
    </row>
    <row r="113" s="1" customFormat="1" hidden="1" spans="1:16">
      <c r="A113" s="23">
        <v>112</v>
      </c>
      <c r="B113" s="24">
        <v>5</v>
      </c>
      <c r="C113" s="25">
        <v>46153</v>
      </c>
      <c r="D113" s="26" t="s">
        <v>21</v>
      </c>
      <c r="E113" s="26" t="s">
        <v>406</v>
      </c>
      <c r="F113" s="26" t="s">
        <v>453</v>
      </c>
      <c r="G113" s="26">
        <v>5000</v>
      </c>
      <c r="H113" s="27" t="s">
        <v>24</v>
      </c>
      <c r="I113" s="26">
        <v>0.1131</v>
      </c>
      <c r="J113" s="26">
        <v>565.5</v>
      </c>
      <c r="K113" s="28">
        <v>0</v>
      </c>
      <c r="L113" s="26" t="s">
        <v>619</v>
      </c>
      <c r="M113" s="29" t="s">
        <v>27</v>
      </c>
      <c r="N113" s="23" t="s">
        <v>402</v>
      </c>
      <c r="O113" s="26" t="s">
        <v>455</v>
      </c>
      <c r="P113" s="8" t="s">
        <v>539</v>
      </c>
    </row>
    <row r="114" s="1" customFormat="1" hidden="1" spans="1:16">
      <c r="A114" s="23">
        <v>113</v>
      </c>
      <c r="B114" s="24">
        <v>5</v>
      </c>
      <c r="C114" s="25">
        <v>46153</v>
      </c>
      <c r="D114" s="26" t="s">
        <v>21</v>
      </c>
      <c r="E114" s="26" t="s">
        <v>502</v>
      </c>
      <c r="F114" s="26" t="s">
        <v>567</v>
      </c>
      <c r="G114" s="26">
        <v>5000</v>
      </c>
      <c r="H114" s="27" t="s">
        <v>24</v>
      </c>
      <c r="I114" s="26">
        <v>0.665</v>
      </c>
      <c r="J114" s="26">
        <v>3325</v>
      </c>
      <c r="K114" s="28">
        <v>0</v>
      </c>
      <c r="L114" s="26" t="s">
        <v>620</v>
      </c>
      <c r="M114" s="29" t="s">
        <v>27</v>
      </c>
      <c r="N114" s="23" t="s">
        <v>402</v>
      </c>
      <c r="O114" s="26" t="s">
        <v>569</v>
      </c>
      <c r="P114" s="8" t="s">
        <v>570</v>
      </c>
    </row>
    <row r="115" s="1" customFormat="1" hidden="1" spans="1:16">
      <c r="A115" s="23">
        <v>114</v>
      </c>
      <c r="B115" s="24">
        <v>5</v>
      </c>
      <c r="C115" s="25">
        <v>46153</v>
      </c>
      <c r="D115" s="26" t="s">
        <v>21</v>
      </c>
      <c r="E115" s="26" t="s">
        <v>518</v>
      </c>
      <c r="F115" s="26" t="s">
        <v>519</v>
      </c>
      <c r="G115" s="26">
        <v>5000</v>
      </c>
      <c r="H115" s="27" t="s">
        <v>24</v>
      </c>
      <c r="I115" s="26">
        <v>0.158</v>
      </c>
      <c r="J115" s="26">
        <v>790</v>
      </c>
      <c r="K115" s="28">
        <v>0</v>
      </c>
      <c r="L115" s="26" t="s">
        <v>621</v>
      </c>
      <c r="M115" s="29" t="s">
        <v>27</v>
      </c>
      <c r="N115" s="23" t="s">
        <v>402</v>
      </c>
      <c r="O115" s="26" t="s">
        <v>521</v>
      </c>
      <c r="P115" s="8" t="s">
        <v>622</v>
      </c>
    </row>
    <row r="116" s="1" customFormat="1" hidden="1" spans="1:16">
      <c r="A116" s="23">
        <v>115</v>
      </c>
      <c r="B116" s="24">
        <v>5</v>
      </c>
      <c r="C116" s="25">
        <v>46154</v>
      </c>
      <c r="D116" s="26" t="s">
        <v>21</v>
      </c>
      <c r="E116" s="26" t="s">
        <v>406</v>
      </c>
      <c r="F116" s="26" t="s">
        <v>456</v>
      </c>
      <c r="G116" s="26">
        <v>10000</v>
      </c>
      <c r="H116" s="27" t="s">
        <v>24</v>
      </c>
      <c r="I116" s="26">
        <v>0.065</v>
      </c>
      <c r="J116" s="26">
        <v>650</v>
      </c>
      <c r="K116" s="28">
        <v>0</v>
      </c>
      <c r="L116" s="26" t="s">
        <v>623</v>
      </c>
      <c r="M116" s="29" t="s">
        <v>27</v>
      </c>
      <c r="N116" s="23" t="s">
        <v>402</v>
      </c>
      <c r="O116" s="26" t="s">
        <v>457</v>
      </c>
      <c r="P116" s="8" t="s">
        <v>624</v>
      </c>
    </row>
    <row r="117" s="1" customFormat="1" hidden="1" spans="1:16">
      <c r="A117" s="23">
        <v>116</v>
      </c>
      <c r="B117" s="24">
        <v>5</v>
      </c>
      <c r="C117" s="25">
        <v>46155</v>
      </c>
      <c r="D117" s="26" t="s">
        <v>21</v>
      </c>
      <c r="E117" s="26" t="s">
        <v>406</v>
      </c>
      <c r="F117" s="26" t="s">
        <v>462</v>
      </c>
      <c r="G117" s="26">
        <v>6000</v>
      </c>
      <c r="H117" s="27" t="s">
        <v>24</v>
      </c>
      <c r="I117" s="26">
        <v>0.5808</v>
      </c>
      <c r="J117" s="26">
        <v>3484.8</v>
      </c>
      <c r="K117" s="28">
        <v>0</v>
      </c>
      <c r="L117" s="26" t="s">
        <v>625</v>
      </c>
      <c r="M117" s="29" t="s">
        <v>27</v>
      </c>
      <c r="N117" s="23" t="s">
        <v>402</v>
      </c>
      <c r="O117" s="26" t="s">
        <v>463</v>
      </c>
      <c r="P117" s="8" t="s">
        <v>626</v>
      </c>
    </row>
    <row r="118" s="1" customFormat="1" hidden="1" spans="1:16">
      <c r="A118" s="23">
        <v>117</v>
      </c>
      <c r="B118" s="24">
        <v>5</v>
      </c>
      <c r="C118" s="25">
        <v>46160</v>
      </c>
      <c r="D118" s="26" t="s">
        <v>21</v>
      </c>
      <c r="E118" s="26" t="s">
        <v>437</v>
      </c>
      <c r="F118" s="26" t="s">
        <v>438</v>
      </c>
      <c r="G118" s="26">
        <v>2880</v>
      </c>
      <c r="H118" s="27" t="s">
        <v>24</v>
      </c>
      <c r="I118" s="26">
        <v>1.85</v>
      </c>
      <c r="J118" s="26">
        <v>5328</v>
      </c>
      <c r="K118" s="28"/>
      <c r="L118" s="26" t="s">
        <v>627</v>
      </c>
      <c r="M118" s="29" t="s">
        <v>27</v>
      </c>
      <c r="N118" s="23" t="s">
        <v>402</v>
      </c>
      <c r="O118" s="26" t="s">
        <v>440</v>
      </c>
      <c r="P118" s="8" t="s">
        <v>552</v>
      </c>
    </row>
    <row r="119" s="1" customFormat="1" hidden="1" spans="1:16">
      <c r="A119" s="23">
        <v>118</v>
      </c>
      <c r="B119" s="24">
        <v>5</v>
      </c>
      <c r="C119" s="25">
        <v>46160</v>
      </c>
      <c r="D119" s="26" t="s">
        <v>21</v>
      </c>
      <c r="E119" s="26" t="s">
        <v>437</v>
      </c>
      <c r="F119" s="26" t="s">
        <v>441</v>
      </c>
      <c r="G119" s="26">
        <v>3000</v>
      </c>
      <c r="H119" s="27" t="s">
        <v>24</v>
      </c>
      <c r="I119" s="26">
        <v>0.4</v>
      </c>
      <c r="J119" s="26">
        <v>1200</v>
      </c>
      <c r="K119" s="28"/>
      <c r="L119" s="26" t="s">
        <v>627</v>
      </c>
      <c r="M119" s="29" t="s">
        <v>27</v>
      </c>
      <c r="N119" s="23" t="s">
        <v>402</v>
      </c>
      <c r="O119" s="26" t="s">
        <v>442</v>
      </c>
      <c r="P119" s="8" t="s">
        <v>552</v>
      </c>
    </row>
    <row r="120" s="1" customFormat="1" hidden="1" spans="1:16">
      <c r="A120" s="23">
        <v>119</v>
      </c>
      <c r="B120" s="24">
        <v>5</v>
      </c>
      <c r="C120" s="25">
        <v>46160</v>
      </c>
      <c r="D120" s="26" t="s">
        <v>21</v>
      </c>
      <c r="E120" s="26" t="s">
        <v>406</v>
      </c>
      <c r="F120" s="26" t="s">
        <v>424</v>
      </c>
      <c r="G120" s="26">
        <v>54000</v>
      </c>
      <c r="H120" s="27" t="s">
        <v>24</v>
      </c>
      <c r="I120" s="26">
        <v>1.019</v>
      </c>
      <c r="J120" s="26">
        <v>55026</v>
      </c>
      <c r="K120" s="28"/>
      <c r="L120" s="26" t="s">
        <v>628</v>
      </c>
      <c r="M120" s="29" t="s">
        <v>27</v>
      </c>
      <c r="N120" s="23" t="s">
        <v>402</v>
      </c>
      <c r="O120" s="26" t="s">
        <v>425</v>
      </c>
      <c r="P120" s="8" t="s">
        <v>624</v>
      </c>
    </row>
    <row r="121" s="1" customFormat="1" hidden="1" spans="1:16">
      <c r="A121" s="23">
        <v>120</v>
      </c>
      <c r="B121" s="24">
        <v>5</v>
      </c>
      <c r="C121" s="25">
        <v>46160</v>
      </c>
      <c r="D121" s="26" t="s">
        <v>21</v>
      </c>
      <c r="E121" s="26" t="s">
        <v>406</v>
      </c>
      <c r="F121" s="26" t="s">
        <v>541</v>
      </c>
      <c r="G121" s="26">
        <v>32000</v>
      </c>
      <c r="H121" s="27" t="s">
        <v>24</v>
      </c>
      <c r="I121" s="26">
        <v>1.404</v>
      </c>
      <c r="J121" s="26">
        <v>44928</v>
      </c>
      <c r="K121" s="28"/>
      <c r="L121" s="26" t="s">
        <v>628</v>
      </c>
      <c r="M121" s="29" t="s">
        <v>27</v>
      </c>
      <c r="N121" s="23" t="s">
        <v>402</v>
      </c>
      <c r="O121" s="26" t="s">
        <v>542</v>
      </c>
      <c r="P121" s="8" t="s">
        <v>629</v>
      </c>
    </row>
    <row r="122" s="1" customFormat="1" hidden="1" spans="1:16">
      <c r="A122" s="23">
        <v>121</v>
      </c>
      <c r="B122" s="24">
        <v>5</v>
      </c>
      <c r="C122" s="25">
        <v>46160</v>
      </c>
      <c r="D122" s="26" t="s">
        <v>21</v>
      </c>
      <c r="E122" s="26" t="s">
        <v>406</v>
      </c>
      <c r="F122" s="26" t="s">
        <v>424</v>
      </c>
      <c r="G122" s="26">
        <v>12000</v>
      </c>
      <c r="H122" s="27" t="s">
        <v>24</v>
      </c>
      <c r="I122" s="26">
        <v>1.019</v>
      </c>
      <c r="J122" s="26">
        <v>12228</v>
      </c>
      <c r="K122" s="28"/>
      <c r="L122" s="26" t="s">
        <v>628</v>
      </c>
      <c r="M122" s="29" t="s">
        <v>27</v>
      </c>
      <c r="N122" s="23" t="s">
        <v>402</v>
      </c>
      <c r="O122" s="26" t="s">
        <v>425</v>
      </c>
      <c r="P122" s="8" t="s">
        <v>630</v>
      </c>
    </row>
    <row r="123" s="1" customFormat="1" spans="1:16">
      <c r="A123" s="23">
        <v>122</v>
      </c>
      <c r="B123" s="24">
        <v>5</v>
      </c>
      <c r="C123" s="25">
        <v>46161</v>
      </c>
      <c r="D123" s="26" t="s">
        <v>21</v>
      </c>
      <c r="E123" s="26" t="s">
        <v>406</v>
      </c>
      <c r="F123" s="26" t="s">
        <v>541</v>
      </c>
      <c r="G123" s="26">
        <v>20000</v>
      </c>
      <c r="H123" s="27" t="s">
        <v>24</v>
      </c>
      <c r="I123" s="26">
        <v>1.404</v>
      </c>
      <c r="J123" s="26">
        <v>28080</v>
      </c>
      <c r="K123" s="28">
        <v>0</v>
      </c>
      <c r="L123" s="26" t="s">
        <v>631</v>
      </c>
      <c r="M123" s="29" t="s">
        <v>27</v>
      </c>
      <c r="N123" s="23" t="s">
        <v>402</v>
      </c>
      <c r="O123" s="26" t="s">
        <v>542</v>
      </c>
      <c r="P123" s="8" t="s">
        <v>629</v>
      </c>
    </row>
    <row r="124" s="1" customFormat="1" spans="1:16">
      <c r="A124" s="23">
        <v>123</v>
      </c>
      <c r="B124" s="24">
        <v>5</v>
      </c>
      <c r="C124" s="25">
        <v>46161</v>
      </c>
      <c r="D124" s="26" t="s">
        <v>21</v>
      </c>
      <c r="E124" s="26" t="s">
        <v>406</v>
      </c>
      <c r="F124" s="26" t="s">
        <v>424</v>
      </c>
      <c r="G124" s="26">
        <v>63000</v>
      </c>
      <c r="H124" s="27" t="s">
        <v>24</v>
      </c>
      <c r="I124" s="26">
        <v>1.019</v>
      </c>
      <c r="J124" s="26">
        <v>64197</v>
      </c>
      <c r="K124" s="28">
        <v>0</v>
      </c>
      <c r="L124" s="26" t="s">
        <v>632</v>
      </c>
      <c r="M124" s="29" t="s">
        <v>27</v>
      </c>
      <c r="N124" s="23" t="s">
        <v>402</v>
      </c>
      <c r="O124" s="26" t="s">
        <v>425</v>
      </c>
      <c r="P124" s="8" t="s">
        <v>554</v>
      </c>
    </row>
    <row r="125" s="1" customFormat="1" spans="1:16">
      <c r="A125" s="23"/>
      <c r="B125" s="24"/>
      <c r="C125" s="25"/>
      <c r="D125" s="26"/>
      <c r="E125" s="26"/>
      <c r="F125" s="26"/>
      <c r="G125" s="26"/>
      <c r="H125" s="27"/>
      <c r="I125" s="26"/>
      <c r="J125" s="26"/>
      <c r="K125" s="28"/>
      <c r="L125" s="26"/>
      <c r="M125" s="29"/>
      <c r="N125" s="23"/>
      <c r="O125" s="26"/>
      <c r="P125" s="8"/>
    </row>
    <row r="126" s="1" customFormat="1" spans="1:16">
      <c r="A126" s="23"/>
      <c r="B126" s="24"/>
      <c r="C126" s="25"/>
      <c r="D126" s="26"/>
      <c r="E126" s="26"/>
      <c r="F126" s="26"/>
      <c r="G126" s="26"/>
      <c r="H126" s="27"/>
      <c r="I126" s="26"/>
      <c r="J126" s="26"/>
      <c r="K126" s="28"/>
      <c r="L126" s="26"/>
      <c r="M126" s="29"/>
      <c r="N126" s="23"/>
      <c r="O126" s="26"/>
      <c r="P126" s="8"/>
    </row>
    <row r="127" s="1" customFormat="1" spans="1:16">
      <c r="A127" s="23"/>
      <c r="B127" s="24"/>
      <c r="C127" s="25"/>
      <c r="D127" s="26"/>
      <c r="E127" s="26"/>
      <c r="F127" s="26"/>
      <c r="G127" s="26"/>
      <c r="H127" s="27"/>
      <c r="I127" s="26"/>
      <c r="J127" s="26"/>
      <c r="K127" s="28"/>
      <c r="L127" s="26"/>
      <c r="M127" s="29"/>
      <c r="N127" s="23"/>
      <c r="O127" s="26"/>
      <c r="P127" s="8"/>
    </row>
    <row r="128" s="1" customFormat="1" spans="1:16">
      <c r="A128" s="23"/>
      <c r="B128" s="24"/>
      <c r="C128" s="25"/>
      <c r="D128" s="26"/>
      <c r="E128" s="26"/>
      <c r="F128" s="26"/>
      <c r="G128" s="26"/>
      <c r="H128" s="27"/>
      <c r="I128" s="26"/>
      <c r="J128" s="26"/>
      <c r="K128" s="28"/>
      <c r="L128" s="26"/>
      <c r="M128" s="29"/>
      <c r="N128" s="23"/>
      <c r="O128" s="26"/>
      <c r="P128" s="8"/>
    </row>
    <row r="129" s="1" customFormat="1" spans="1:16">
      <c r="A129" s="23"/>
      <c r="B129" s="24"/>
      <c r="C129" s="25"/>
      <c r="D129" s="26"/>
      <c r="E129" s="26"/>
      <c r="F129" s="26"/>
      <c r="G129" s="26"/>
      <c r="H129" s="27"/>
      <c r="I129" s="26"/>
      <c r="J129" s="26"/>
      <c r="K129" s="28"/>
      <c r="L129" s="26"/>
      <c r="M129" s="29"/>
      <c r="N129" s="23"/>
      <c r="O129" s="26"/>
      <c r="P129" s="8"/>
    </row>
    <row r="130" s="1" customFormat="1" spans="1:16">
      <c r="A130" s="23"/>
      <c r="B130" s="24"/>
      <c r="C130" s="25"/>
      <c r="D130" s="26"/>
      <c r="E130" s="26"/>
      <c r="F130" s="26"/>
      <c r="G130" s="26"/>
      <c r="H130" s="27"/>
      <c r="I130" s="26"/>
      <c r="J130" s="26"/>
      <c r="K130" s="28"/>
      <c r="L130" s="26"/>
      <c r="M130" s="29"/>
      <c r="N130" s="23"/>
      <c r="O130" s="26"/>
      <c r="P130" s="8"/>
    </row>
    <row r="131" s="1" customFormat="1" spans="1:16">
      <c r="A131" s="23"/>
      <c r="B131" s="24"/>
      <c r="C131" s="25"/>
      <c r="D131" s="26"/>
      <c r="E131" s="26"/>
      <c r="F131" s="26"/>
      <c r="G131" s="26"/>
      <c r="H131" s="27"/>
      <c r="I131" s="26"/>
      <c r="J131" s="26"/>
      <c r="K131" s="28"/>
      <c r="L131" s="26"/>
      <c r="M131" s="29"/>
      <c r="N131" s="23"/>
      <c r="O131" s="26"/>
      <c r="P131" s="8"/>
    </row>
    <row r="132" s="1" customFormat="1" spans="1:16">
      <c r="A132" s="23"/>
      <c r="B132" s="24"/>
      <c r="C132" s="25"/>
      <c r="D132" s="26"/>
      <c r="E132" s="26"/>
      <c r="F132" s="26"/>
      <c r="G132" s="26"/>
      <c r="H132" s="27"/>
      <c r="I132" s="26"/>
      <c r="J132" s="26"/>
      <c r="K132" s="28"/>
      <c r="L132" s="26"/>
      <c r="M132" s="29"/>
      <c r="N132" s="23"/>
      <c r="O132" s="26"/>
      <c r="P132" s="8"/>
    </row>
    <row r="133" s="1" customFormat="1" spans="1:16">
      <c r="A133" s="23"/>
      <c r="B133" s="24"/>
      <c r="C133" s="25"/>
      <c r="D133" s="26"/>
      <c r="E133" s="26"/>
      <c r="F133" s="26"/>
      <c r="G133" s="26"/>
      <c r="H133" s="27"/>
      <c r="I133" s="26"/>
      <c r="J133" s="26"/>
      <c r="K133" s="28"/>
      <c r="L133" s="26"/>
      <c r="M133" s="29"/>
      <c r="N133" s="23"/>
      <c r="O133" s="26"/>
      <c r="P133" s="8"/>
    </row>
    <row r="134" s="1" customFormat="1" spans="1:16">
      <c r="A134" s="23"/>
      <c r="B134" s="24"/>
      <c r="C134" s="25"/>
      <c r="D134" s="26"/>
      <c r="E134" s="26"/>
      <c r="F134" s="26"/>
      <c r="G134" s="26"/>
      <c r="H134" s="27"/>
      <c r="I134" s="26"/>
      <c r="J134" s="26"/>
      <c r="K134" s="28"/>
      <c r="L134" s="26"/>
      <c r="M134" s="29"/>
      <c r="N134" s="23"/>
      <c r="O134" s="26"/>
      <c r="P134" s="8"/>
    </row>
    <row r="135" s="2" customFormat="1" spans="1:16">
      <c r="A135" s="23"/>
      <c r="B135" s="24"/>
      <c r="C135" s="25"/>
      <c r="D135" s="37"/>
      <c r="E135" s="38"/>
      <c r="F135" s="39"/>
      <c r="G135" s="40"/>
      <c r="H135" s="27"/>
      <c r="I135" s="39"/>
      <c r="J135" s="26"/>
      <c r="K135" s="41"/>
      <c r="L135" s="37"/>
      <c r="M135" s="37"/>
      <c r="N135" s="37"/>
      <c r="O135" s="42"/>
      <c r="P135" s="37"/>
    </row>
    <row r="136" s="2" customFormat="1" spans="1:16">
      <c r="A136" s="23"/>
      <c r="B136" s="24"/>
      <c r="C136" s="25"/>
      <c r="D136" s="37"/>
      <c r="E136" s="38"/>
      <c r="F136" s="39"/>
      <c r="G136" s="40"/>
      <c r="H136" s="27"/>
      <c r="I136" s="39"/>
      <c r="J136" s="26"/>
      <c r="K136" s="41"/>
      <c r="L136" s="37"/>
      <c r="M136" s="37"/>
      <c r="N136" s="37"/>
      <c r="O136" s="42"/>
      <c r="P136" s="37"/>
    </row>
    <row r="137" s="2" customFormat="1" spans="1:16">
      <c r="A137" s="23"/>
      <c r="B137" s="24"/>
      <c r="C137" s="25"/>
      <c r="D137" s="43"/>
      <c r="E137" s="38"/>
      <c r="F137" s="39"/>
      <c r="G137" s="40"/>
      <c r="H137" s="27"/>
      <c r="I137" s="39"/>
      <c r="J137" s="26"/>
      <c r="K137" s="41"/>
      <c r="L137" s="37"/>
      <c r="M137" s="37"/>
      <c r="N137" s="37"/>
      <c r="O137" s="42"/>
      <c r="P137" s="37"/>
    </row>
    <row r="138" s="2" customFormat="1" spans="1:16">
      <c r="A138" s="23"/>
      <c r="B138" s="24"/>
      <c r="C138" s="25"/>
      <c r="D138" s="43"/>
      <c r="E138" s="38"/>
      <c r="F138" s="39"/>
      <c r="G138" s="40"/>
      <c r="H138" s="27"/>
      <c r="I138" s="39"/>
      <c r="J138" s="26"/>
      <c r="K138" s="41"/>
      <c r="L138" s="37"/>
      <c r="M138" s="37"/>
      <c r="N138" s="37"/>
      <c r="O138" s="42"/>
      <c r="P138" s="37"/>
    </row>
    <row r="139" s="3" customFormat="1" spans="1:16">
      <c r="A139" s="23"/>
      <c r="B139" s="24"/>
      <c r="C139" s="25"/>
      <c r="D139" s="43"/>
      <c r="E139" s="38"/>
      <c r="F139" s="39"/>
      <c r="G139" s="40"/>
      <c r="H139" s="27"/>
      <c r="I139" s="39"/>
      <c r="J139" s="26"/>
      <c r="K139" s="44"/>
      <c r="L139" s="42"/>
      <c r="M139" s="37"/>
      <c r="N139" s="42"/>
      <c r="O139" s="42"/>
      <c r="P139" s="42"/>
    </row>
    <row r="140" s="1" customFormat="1" spans="1:16">
      <c r="A140" s="23"/>
      <c r="B140" s="24"/>
      <c r="C140" s="25"/>
      <c r="D140" s="26"/>
      <c r="E140" s="26"/>
      <c r="F140" s="26"/>
      <c r="G140" s="26"/>
      <c r="H140" s="27"/>
      <c r="I140" s="26"/>
      <c r="J140" s="26"/>
      <c r="K140" s="28"/>
      <c r="L140" s="26"/>
      <c r="M140" s="29"/>
      <c r="N140" s="23"/>
      <c r="O140" s="26"/>
      <c r="P140" s="8"/>
    </row>
    <row r="141" s="1" customFormat="1" spans="1:16">
      <c r="A141" s="23"/>
      <c r="B141" s="24"/>
      <c r="C141" s="25"/>
      <c r="D141" s="26"/>
      <c r="E141" s="26"/>
      <c r="F141" s="26"/>
      <c r="G141" s="26"/>
      <c r="H141" s="27"/>
      <c r="I141" s="26"/>
      <c r="J141" s="26"/>
      <c r="K141" s="28"/>
      <c r="L141" s="26"/>
      <c r="M141" s="29"/>
      <c r="N141" s="23"/>
      <c r="O141" s="26"/>
      <c r="P141" s="8"/>
    </row>
    <row r="142" s="1" customFormat="1" spans="1:16">
      <c r="A142" s="23"/>
      <c r="B142" s="24"/>
      <c r="C142" s="25"/>
      <c r="D142" s="26"/>
      <c r="E142" s="26"/>
      <c r="F142" s="26"/>
      <c r="G142" s="26"/>
      <c r="H142" s="27"/>
      <c r="I142" s="26"/>
      <c r="J142" s="26"/>
      <c r="K142" s="28"/>
      <c r="L142" s="26"/>
      <c r="M142" s="29"/>
      <c r="N142" s="23"/>
      <c r="O142" s="26"/>
      <c r="P142" s="8"/>
    </row>
    <row r="143" s="1" customFormat="1" spans="1:16">
      <c r="A143" s="23"/>
      <c r="B143" s="24"/>
      <c r="C143" s="25"/>
      <c r="D143" s="26"/>
      <c r="E143" s="26"/>
      <c r="F143" s="26"/>
      <c r="G143" s="26"/>
      <c r="H143" s="27"/>
      <c r="I143" s="26"/>
      <c r="J143" s="26"/>
      <c r="K143" s="28"/>
      <c r="L143" s="26"/>
      <c r="M143" s="29"/>
      <c r="N143" s="23"/>
      <c r="O143" s="26"/>
      <c r="P143" s="8"/>
    </row>
    <row r="144" s="1" customFormat="1" spans="1:16">
      <c r="A144" s="23"/>
      <c r="B144" s="24"/>
      <c r="C144" s="25"/>
      <c r="D144" s="26"/>
      <c r="E144" s="26"/>
      <c r="F144" s="26"/>
      <c r="G144" s="26"/>
      <c r="H144" s="27"/>
      <c r="I144" s="26"/>
      <c r="J144" s="26"/>
      <c r="K144" s="28"/>
      <c r="L144" s="26"/>
      <c r="M144" s="29"/>
      <c r="N144" s="23"/>
      <c r="O144" s="26"/>
      <c r="P144" s="8"/>
    </row>
    <row r="145" s="1" customFormat="1" spans="1:16">
      <c r="A145" s="23"/>
      <c r="B145" s="24"/>
      <c r="C145" s="25"/>
      <c r="D145" s="26"/>
      <c r="E145" s="26"/>
      <c r="F145" s="26"/>
      <c r="G145" s="26"/>
      <c r="H145" s="27"/>
      <c r="I145" s="26"/>
      <c r="J145" s="26"/>
      <c r="K145" s="28"/>
      <c r="L145" s="26"/>
      <c r="M145" s="29"/>
      <c r="N145" s="23"/>
      <c r="O145" s="26"/>
      <c r="P145" s="8"/>
    </row>
    <row r="146" s="1" customFormat="1" spans="1:16">
      <c r="A146" s="23"/>
      <c r="B146" s="24"/>
      <c r="C146" s="25"/>
      <c r="D146" s="26"/>
      <c r="E146" s="26"/>
      <c r="F146" s="26"/>
      <c r="G146" s="26"/>
      <c r="H146" s="27"/>
      <c r="I146" s="26"/>
      <c r="J146" s="26"/>
      <c r="K146" s="28"/>
      <c r="L146" s="26"/>
      <c r="M146" s="29"/>
      <c r="N146" s="23"/>
      <c r="O146" s="26"/>
      <c r="P146" s="8"/>
    </row>
    <row r="147" s="1" customFormat="1" spans="1:16">
      <c r="A147" s="23"/>
      <c r="B147" s="24"/>
      <c r="C147" s="25"/>
      <c r="D147" s="26"/>
      <c r="E147" s="26"/>
      <c r="F147" s="26"/>
      <c r="G147" s="26"/>
      <c r="H147" s="27"/>
      <c r="I147" s="26"/>
      <c r="J147" s="26"/>
      <c r="K147" s="28"/>
      <c r="L147" s="26"/>
      <c r="M147" s="29"/>
      <c r="N147" s="23"/>
      <c r="O147" s="26"/>
      <c r="P147" s="8"/>
    </row>
    <row r="148" s="1" customFormat="1" spans="1:16">
      <c r="A148" s="23"/>
      <c r="B148" s="24"/>
      <c r="C148" s="25"/>
      <c r="D148" s="26"/>
      <c r="E148" s="26"/>
      <c r="F148" s="26"/>
      <c r="G148" s="26"/>
      <c r="H148" s="27"/>
      <c r="I148" s="26"/>
      <c r="J148" s="26"/>
      <c r="K148" s="28"/>
      <c r="L148" s="26"/>
      <c r="M148" s="29"/>
      <c r="N148" s="23"/>
      <c r="O148" s="26"/>
      <c r="P148" s="8"/>
    </row>
    <row r="149" s="1" customFormat="1" spans="1:16">
      <c r="A149" s="23"/>
      <c r="B149" s="24"/>
      <c r="C149" s="25"/>
      <c r="D149" s="26"/>
      <c r="E149" s="26"/>
      <c r="F149" s="26"/>
      <c r="G149" s="26"/>
      <c r="H149" s="27"/>
      <c r="I149" s="26"/>
      <c r="J149" s="26"/>
      <c r="K149" s="28"/>
      <c r="L149" s="26"/>
      <c r="M149" s="29"/>
      <c r="N149" s="23"/>
      <c r="O149" s="26"/>
      <c r="P149" s="8"/>
    </row>
    <row r="150" s="1" customFormat="1" spans="1:16">
      <c r="A150" s="23"/>
      <c r="B150" s="24"/>
      <c r="C150" s="25"/>
      <c r="D150" s="26"/>
      <c r="E150" s="26"/>
      <c r="F150" s="26"/>
      <c r="G150" s="26"/>
      <c r="H150" s="27"/>
      <c r="I150" s="26"/>
      <c r="J150" s="26"/>
      <c r="K150" s="28"/>
      <c r="L150" s="26"/>
      <c r="M150" s="29"/>
      <c r="N150" s="23"/>
      <c r="O150" s="26"/>
      <c r="P150" s="8"/>
    </row>
    <row r="151" s="2" customFormat="1" spans="1:16">
      <c r="A151" s="23"/>
      <c r="B151" s="24"/>
      <c r="C151" s="25"/>
      <c r="D151" s="37"/>
      <c r="E151" s="26"/>
      <c r="F151" s="37"/>
      <c r="G151" s="45"/>
      <c r="H151" s="27"/>
      <c r="I151" s="46"/>
      <c r="J151" s="26"/>
      <c r="K151" s="41"/>
      <c r="L151" s="37"/>
      <c r="M151" s="37"/>
      <c r="N151" s="37"/>
      <c r="O151" s="42"/>
      <c r="P151" s="37"/>
    </row>
    <row r="152" s="2" customFormat="1" spans="1:16">
      <c r="A152" s="23"/>
      <c r="B152" s="24"/>
      <c r="C152" s="25"/>
      <c r="D152" s="37"/>
      <c r="E152" s="26"/>
      <c r="F152" s="37"/>
      <c r="G152" s="45"/>
      <c r="H152" s="27"/>
      <c r="I152" s="46"/>
      <c r="J152" s="26"/>
      <c r="K152" s="41"/>
      <c r="L152" s="37"/>
      <c r="M152" s="37"/>
      <c r="N152" s="37"/>
      <c r="O152" s="42"/>
      <c r="P152" s="37"/>
    </row>
    <row r="153" s="2" customFormat="1" spans="1:16">
      <c r="A153" s="23"/>
      <c r="B153" s="24"/>
      <c r="C153" s="25"/>
      <c r="D153" s="37"/>
      <c r="E153" s="26"/>
      <c r="F153" s="37"/>
      <c r="G153" s="45"/>
      <c r="H153" s="27"/>
      <c r="I153" s="46"/>
      <c r="J153" s="26"/>
      <c r="K153" s="41"/>
      <c r="L153" s="37"/>
      <c r="M153" s="37"/>
      <c r="N153" s="37"/>
      <c r="O153" s="42"/>
      <c r="P153" s="37"/>
    </row>
    <row r="154" s="1" customFormat="1" ht="15" customHeight="1" spans="1:16">
      <c r="A154" s="23"/>
      <c r="B154" s="24"/>
      <c r="C154" s="25"/>
      <c r="D154" s="26"/>
      <c r="E154" s="26"/>
      <c r="F154" s="26"/>
      <c r="G154" s="26"/>
      <c r="H154" s="27"/>
      <c r="I154" s="26"/>
      <c r="J154" s="26"/>
      <c r="K154" s="28"/>
      <c r="L154" s="26"/>
      <c r="M154" s="29"/>
      <c r="N154" s="23"/>
      <c r="O154" s="26"/>
      <c r="P154" s="8"/>
    </row>
    <row r="155" s="1" customFormat="1" spans="1:16">
      <c r="A155" s="23"/>
      <c r="B155" s="24"/>
      <c r="C155" s="25"/>
      <c r="D155" s="26"/>
      <c r="E155" s="26"/>
      <c r="F155" s="26"/>
      <c r="G155" s="26"/>
      <c r="H155" s="27"/>
      <c r="I155" s="26"/>
      <c r="J155" s="26"/>
      <c r="K155" s="28"/>
      <c r="L155" s="26"/>
      <c r="M155" s="29"/>
      <c r="N155" s="23"/>
      <c r="O155" s="26"/>
      <c r="P155" s="8"/>
    </row>
    <row r="156" s="2" customFormat="1" spans="1:16">
      <c r="A156" s="23"/>
      <c r="B156" s="24"/>
      <c r="C156" s="25"/>
      <c r="D156" s="37"/>
      <c r="E156" s="38"/>
      <c r="F156" s="37"/>
      <c r="G156" s="45"/>
      <c r="H156" s="27"/>
      <c r="I156" s="46"/>
      <c r="J156" s="26"/>
      <c r="K156" s="41"/>
      <c r="L156" s="37"/>
      <c r="M156" s="37"/>
      <c r="N156" s="37"/>
      <c r="O156" s="42"/>
      <c r="P156" s="37"/>
    </row>
    <row r="157" s="2" customFormat="1" spans="1:16">
      <c r="A157" s="23"/>
      <c r="B157" s="24"/>
      <c r="C157" s="25"/>
      <c r="D157" s="37"/>
      <c r="E157" s="38"/>
      <c r="F157" s="37"/>
      <c r="G157" s="45"/>
      <c r="H157" s="27"/>
      <c r="I157" s="46"/>
      <c r="J157" s="26"/>
      <c r="K157" s="41"/>
      <c r="L157" s="37"/>
      <c r="M157" s="37"/>
      <c r="N157" s="37"/>
      <c r="O157" s="42"/>
      <c r="P157" s="37"/>
    </row>
    <row r="158" s="2" customFormat="1" spans="1:16">
      <c r="A158" s="23"/>
      <c r="B158" s="24"/>
      <c r="C158" s="25"/>
      <c r="D158" s="37"/>
      <c r="E158" s="38"/>
      <c r="F158" s="37"/>
      <c r="G158" s="45"/>
      <c r="H158" s="27"/>
      <c r="I158" s="46"/>
      <c r="J158" s="26"/>
      <c r="K158" s="41"/>
      <c r="L158" s="37"/>
      <c r="M158" s="37"/>
      <c r="N158" s="37"/>
      <c r="O158" s="42"/>
      <c r="P158" s="37"/>
    </row>
    <row r="159" s="2" customFormat="1" spans="1:16">
      <c r="A159" s="23"/>
      <c r="B159" s="24"/>
      <c r="C159" s="25"/>
      <c r="D159" s="37"/>
      <c r="E159" s="38"/>
      <c r="F159" s="37"/>
      <c r="G159" s="45"/>
      <c r="H159" s="27"/>
      <c r="I159" s="46"/>
      <c r="J159" s="26"/>
      <c r="K159" s="41"/>
      <c r="L159" s="37"/>
      <c r="M159" s="37"/>
      <c r="N159" s="37"/>
      <c r="O159" s="42"/>
      <c r="P159" s="37"/>
    </row>
    <row r="160" s="2" customFormat="1" spans="1:16">
      <c r="A160" s="23"/>
      <c r="B160" s="24"/>
      <c r="C160" s="25"/>
      <c r="D160" s="37"/>
      <c r="E160" s="38"/>
      <c r="F160" s="37"/>
      <c r="G160" s="45"/>
      <c r="H160" s="27"/>
      <c r="I160" s="46"/>
      <c r="J160" s="26"/>
      <c r="K160" s="41"/>
      <c r="L160" s="37"/>
      <c r="M160" s="37"/>
      <c r="N160" s="37"/>
      <c r="O160" s="42"/>
      <c r="P160" s="37"/>
    </row>
    <row r="161" s="2" customFormat="1" spans="1:16">
      <c r="A161" s="23"/>
      <c r="B161" s="24"/>
      <c r="C161" s="25"/>
      <c r="D161" s="37"/>
      <c r="E161" s="38"/>
      <c r="F161" s="37"/>
      <c r="G161" s="45"/>
      <c r="H161" s="27"/>
      <c r="I161" s="46"/>
      <c r="J161" s="26"/>
      <c r="K161" s="41"/>
      <c r="L161" s="37"/>
      <c r="M161" s="37"/>
      <c r="N161" s="37"/>
      <c r="O161" s="42"/>
      <c r="P161" s="37"/>
    </row>
    <row r="162" s="2" customFormat="1" spans="1:16">
      <c r="A162" s="23"/>
      <c r="B162" s="24"/>
      <c r="C162" s="25"/>
      <c r="D162" s="37"/>
      <c r="E162" s="38"/>
      <c r="F162" s="37"/>
      <c r="G162" s="45"/>
      <c r="H162" s="27"/>
      <c r="I162" s="46"/>
      <c r="J162" s="26"/>
      <c r="K162" s="41"/>
      <c r="L162" s="37"/>
      <c r="M162" s="37"/>
      <c r="N162" s="37"/>
      <c r="O162" s="42"/>
      <c r="P162" s="37"/>
    </row>
    <row r="163" s="2" customFormat="1" spans="1:16">
      <c r="A163" s="23"/>
      <c r="B163" s="24"/>
      <c r="C163" s="25"/>
      <c r="D163" s="37"/>
      <c r="E163" s="38"/>
      <c r="F163" s="37"/>
      <c r="G163" s="45"/>
      <c r="H163" s="27"/>
      <c r="I163" s="46"/>
      <c r="J163" s="26"/>
      <c r="K163" s="41"/>
      <c r="L163" s="37"/>
      <c r="M163" s="37"/>
      <c r="N163" s="37"/>
      <c r="O163" s="42"/>
      <c r="P163" s="37"/>
    </row>
    <row r="164" s="2" customFormat="1" spans="1:16">
      <c r="A164" s="23"/>
      <c r="B164" s="24"/>
      <c r="C164" s="25"/>
      <c r="D164" s="37"/>
      <c r="E164" s="38"/>
      <c r="F164" s="37"/>
      <c r="G164" s="45"/>
      <c r="H164" s="27"/>
      <c r="I164" s="46"/>
      <c r="J164" s="26"/>
      <c r="K164" s="41"/>
      <c r="L164" s="37"/>
      <c r="M164" s="37"/>
      <c r="N164" s="37"/>
      <c r="O164" s="42"/>
      <c r="P164" s="37"/>
    </row>
    <row r="165" s="2" customFormat="1" spans="1:16">
      <c r="A165" s="23"/>
      <c r="B165" s="24"/>
      <c r="C165" s="25"/>
      <c r="D165" s="37"/>
      <c r="E165" s="38"/>
      <c r="F165" s="37"/>
      <c r="G165" s="45"/>
      <c r="H165" s="27"/>
      <c r="I165" s="46"/>
      <c r="J165" s="26"/>
      <c r="K165" s="41"/>
      <c r="L165" s="37"/>
      <c r="M165" s="37"/>
      <c r="N165" s="37"/>
      <c r="O165" s="42"/>
      <c r="P165" s="37"/>
    </row>
    <row r="166" s="2" customFormat="1" spans="1:16">
      <c r="A166" s="23"/>
      <c r="B166" s="24"/>
      <c r="C166" s="25"/>
      <c r="D166" s="37"/>
      <c r="E166" s="38"/>
      <c r="F166" s="37"/>
      <c r="G166" s="45"/>
      <c r="H166" s="27"/>
      <c r="I166" s="46"/>
      <c r="J166" s="26"/>
      <c r="K166" s="41"/>
      <c r="L166" s="37"/>
      <c r="M166" s="37"/>
      <c r="N166" s="37"/>
      <c r="O166" s="42"/>
      <c r="P166" s="37"/>
    </row>
    <row r="167" s="2" customFormat="1" spans="1:16">
      <c r="A167" s="23"/>
      <c r="B167" s="24"/>
      <c r="C167" s="25"/>
      <c r="D167" s="37"/>
      <c r="E167" s="38"/>
      <c r="F167" s="37"/>
      <c r="G167" s="45"/>
      <c r="H167" s="27"/>
      <c r="I167" s="46"/>
      <c r="J167" s="26"/>
      <c r="K167" s="41"/>
      <c r="L167" s="37"/>
      <c r="M167" s="37"/>
      <c r="N167" s="37"/>
      <c r="O167" s="42"/>
      <c r="P167" s="37"/>
    </row>
    <row r="168" s="2" customFormat="1" spans="1:16">
      <c r="A168" s="23"/>
      <c r="B168" s="24"/>
      <c r="C168" s="25"/>
      <c r="D168" s="37"/>
      <c r="E168" s="38"/>
      <c r="F168" s="37"/>
      <c r="G168" s="45"/>
      <c r="H168" s="27"/>
      <c r="I168" s="46"/>
      <c r="J168" s="26"/>
      <c r="K168" s="41"/>
      <c r="L168" s="37"/>
      <c r="M168" s="37"/>
      <c r="N168" s="37"/>
      <c r="O168" s="42"/>
      <c r="P168" s="37"/>
    </row>
    <row r="169" s="2" customFormat="1" spans="1:16">
      <c r="A169" s="23"/>
      <c r="B169" s="24"/>
      <c r="C169" s="25"/>
      <c r="D169" s="37"/>
      <c r="E169" s="38"/>
      <c r="F169" s="37"/>
      <c r="G169" s="45"/>
      <c r="H169" s="27"/>
      <c r="I169" s="46"/>
      <c r="J169" s="26"/>
      <c r="K169" s="41"/>
      <c r="L169" s="37"/>
      <c r="M169" s="37"/>
      <c r="N169" s="37"/>
      <c r="O169" s="42"/>
      <c r="P169" s="37"/>
    </row>
    <row r="170" s="2" customFormat="1" spans="1:16">
      <c r="A170" s="23"/>
      <c r="B170" s="24"/>
      <c r="C170" s="25"/>
      <c r="D170" s="37"/>
      <c r="E170" s="38"/>
      <c r="F170" s="37"/>
      <c r="G170" s="45"/>
      <c r="H170" s="27"/>
      <c r="I170" s="46"/>
      <c r="J170" s="26"/>
      <c r="K170" s="41"/>
      <c r="L170" s="37"/>
      <c r="M170" s="37"/>
      <c r="N170" s="37"/>
      <c r="O170" s="42"/>
      <c r="P170" s="37"/>
    </row>
    <row r="171" s="2" customFormat="1" spans="1:16">
      <c r="A171" s="23"/>
      <c r="B171" s="24"/>
      <c r="C171" s="25"/>
      <c r="D171" s="37"/>
      <c r="E171" s="38"/>
      <c r="F171" s="37"/>
      <c r="G171" s="45"/>
      <c r="H171" s="27"/>
      <c r="I171" s="46"/>
      <c r="J171" s="26"/>
      <c r="K171" s="41"/>
      <c r="L171" s="37"/>
      <c r="M171" s="37"/>
      <c r="N171" s="37"/>
      <c r="O171" s="42"/>
      <c r="P171" s="37"/>
    </row>
    <row r="172" s="2" customFormat="1" spans="1:16">
      <c r="A172" s="23"/>
      <c r="B172" s="24"/>
      <c r="C172" s="25"/>
      <c r="D172" s="37"/>
      <c r="E172" s="38"/>
      <c r="F172" s="37"/>
      <c r="G172" s="45"/>
      <c r="H172" s="27"/>
      <c r="I172" s="46"/>
      <c r="J172" s="26"/>
      <c r="K172" s="41"/>
      <c r="L172" s="37"/>
      <c r="M172" s="37"/>
      <c r="N172" s="37"/>
      <c r="O172" s="42"/>
      <c r="P172" s="37"/>
    </row>
    <row r="173" s="2" customFormat="1" spans="1:16">
      <c r="A173" s="23"/>
      <c r="B173" s="24"/>
      <c r="C173" s="25"/>
      <c r="D173" s="37"/>
      <c r="E173" s="38"/>
      <c r="F173" s="37"/>
      <c r="G173" s="45"/>
      <c r="H173" s="27"/>
      <c r="I173" s="46"/>
      <c r="J173" s="26"/>
      <c r="K173" s="41"/>
      <c r="L173" s="37"/>
      <c r="M173" s="37"/>
      <c r="N173" s="37"/>
      <c r="O173" s="42"/>
      <c r="P173" s="37"/>
    </row>
    <row r="174" s="2" customFormat="1" spans="1:16">
      <c r="A174" s="23"/>
      <c r="B174" s="37"/>
      <c r="C174" s="25"/>
      <c r="D174" s="37"/>
      <c r="E174" s="38"/>
      <c r="F174" s="37"/>
      <c r="G174" s="45"/>
      <c r="H174" s="27"/>
      <c r="I174" s="46"/>
      <c r="J174" s="41"/>
      <c r="K174" s="41"/>
      <c r="L174" s="37"/>
      <c r="M174" s="37"/>
      <c r="N174" s="37"/>
      <c r="O174" s="42"/>
      <c r="P174" s="37"/>
    </row>
    <row r="175" s="2" customFormat="1" spans="1:16">
      <c r="A175" s="23"/>
      <c r="B175" s="37"/>
      <c r="C175" s="25"/>
      <c r="D175" s="37"/>
      <c r="E175" s="38"/>
      <c r="F175" s="37"/>
      <c r="G175" s="45"/>
      <c r="H175" s="27"/>
      <c r="I175" s="46"/>
      <c r="J175" s="41"/>
      <c r="K175" s="41"/>
      <c r="L175" s="37"/>
      <c r="M175" s="37"/>
      <c r="N175" s="37"/>
      <c r="O175" s="42"/>
      <c r="P175" s="37"/>
    </row>
    <row r="176" s="2" customFormat="1" spans="1:16">
      <c r="A176" s="23"/>
      <c r="B176" s="37"/>
      <c r="C176" s="25"/>
      <c r="D176" s="37"/>
      <c r="E176" s="38"/>
      <c r="F176" s="37"/>
      <c r="G176" s="45"/>
      <c r="H176" s="27"/>
      <c r="I176" s="46"/>
      <c r="J176" s="41"/>
      <c r="K176" s="41"/>
      <c r="L176" s="37"/>
      <c r="M176" s="37"/>
      <c r="N176" s="37"/>
      <c r="O176" s="42"/>
      <c r="P176" s="37"/>
    </row>
    <row r="177" s="2" customFormat="1" spans="1:16">
      <c r="A177" s="23"/>
      <c r="B177" s="37"/>
      <c r="C177" s="25"/>
      <c r="D177" s="37"/>
      <c r="E177" s="38"/>
      <c r="F177" s="37"/>
      <c r="G177" s="45"/>
      <c r="H177" s="27"/>
      <c r="I177" s="46"/>
      <c r="J177" s="41"/>
      <c r="K177" s="41"/>
      <c r="L177" s="37"/>
      <c r="M177" s="37"/>
      <c r="N177" s="37"/>
      <c r="O177" s="42"/>
      <c r="P177" s="37"/>
    </row>
    <row r="178" s="2" customFormat="1" spans="1:16">
      <c r="A178" s="23"/>
      <c r="B178" s="37"/>
      <c r="C178" s="25"/>
      <c r="D178" s="37"/>
      <c r="E178" s="38"/>
      <c r="F178" s="37"/>
      <c r="G178" s="45"/>
      <c r="H178" s="27"/>
      <c r="I178" s="46"/>
      <c r="J178" s="41"/>
      <c r="K178" s="41"/>
      <c r="L178" s="37"/>
      <c r="M178" s="37"/>
      <c r="N178" s="37"/>
      <c r="O178" s="42"/>
      <c r="P178" s="37"/>
    </row>
    <row r="179" s="2" customFormat="1" spans="1:16">
      <c r="A179" s="23"/>
      <c r="B179" s="37"/>
      <c r="C179" s="25"/>
      <c r="D179" s="37"/>
      <c r="E179" s="38"/>
      <c r="F179" s="37"/>
      <c r="G179" s="45"/>
      <c r="H179" s="27"/>
      <c r="I179" s="46"/>
      <c r="J179" s="41"/>
      <c r="K179" s="41"/>
      <c r="L179" s="37"/>
      <c r="M179" s="37"/>
      <c r="N179" s="37"/>
      <c r="O179" s="42"/>
      <c r="P179" s="37"/>
    </row>
    <row r="180" s="2" customFormat="1" spans="1:16">
      <c r="A180" s="23"/>
      <c r="B180" s="37"/>
      <c r="C180" s="25"/>
      <c r="D180" s="37"/>
      <c r="E180" s="38"/>
      <c r="F180" s="37"/>
      <c r="G180" s="45"/>
      <c r="H180" s="27"/>
      <c r="I180" s="46"/>
      <c r="J180" s="41"/>
      <c r="K180" s="41"/>
      <c r="L180" s="37"/>
      <c r="M180" s="37"/>
      <c r="N180" s="37"/>
      <c r="O180" s="42"/>
      <c r="P180" s="37"/>
    </row>
    <row r="181" s="2" customFormat="1" spans="1:16">
      <c r="A181" s="23"/>
      <c r="B181" s="37"/>
      <c r="C181" s="25"/>
      <c r="D181" s="37"/>
      <c r="E181" s="38"/>
      <c r="F181" s="37"/>
      <c r="G181" s="45"/>
      <c r="H181" s="27"/>
      <c r="I181" s="46"/>
      <c r="J181" s="41"/>
      <c r="K181" s="41"/>
      <c r="L181" s="37"/>
      <c r="M181" s="37"/>
      <c r="N181" s="37"/>
      <c r="O181" s="42"/>
      <c r="P181" s="37"/>
    </row>
    <row r="182" s="2" customFormat="1" spans="1:16">
      <c r="A182" s="23"/>
      <c r="B182" s="37"/>
      <c r="C182" s="25"/>
      <c r="D182" s="37"/>
      <c r="E182" s="38"/>
      <c r="F182" s="37"/>
      <c r="G182" s="45"/>
      <c r="H182" s="27"/>
      <c r="I182" s="46"/>
      <c r="J182" s="41"/>
      <c r="K182" s="41"/>
      <c r="L182" s="37"/>
      <c r="M182" s="37"/>
      <c r="N182" s="37"/>
      <c r="O182" s="42"/>
      <c r="P182" s="37"/>
    </row>
    <row r="183" s="2" customFormat="1" spans="1:16">
      <c r="A183" s="23"/>
      <c r="B183" s="37"/>
      <c r="C183" s="25"/>
      <c r="D183" s="37"/>
      <c r="E183" s="38"/>
      <c r="F183" s="37"/>
      <c r="G183" s="45"/>
      <c r="H183" s="27"/>
      <c r="I183" s="46"/>
      <c r="J183" s="41"/>
      <c r="K183" s="41"/>
      <c r="L183" s="37"/>
      <c r="M183" s="37"/>
      <c r="N183" s="37"/>
      <c r="O183" s="42"/>
      <c r="P183" s="37"/>
    </row>
    <row r="184" s="2" customFormat="1" spans="1:16">
      <c r="A184" s="23"/>
      <c r="B184" s="37"/>
      <c r="C184" s="25"/>
      <c r="D184" s="37"/>
      <c r="E184" s="38"/>
      <c r="F184" s="37"/>
      <c r="G184" s="45"/>
      <c r="H184" s="27"/>
      <c r="I184" s="46"/>
      <c r="J184" s="41"/>
      <c r="K184" s="41"/>
      <c r="L184" s="37"/>
      <c r="M184" s="37"/>
      <c r="N184" s="37"/>
      <c r="O184" s="42"/>
      <c r="P184" s="37"/>
    </row>
    <row r="185" s="2" customFormat="1" spans="1:16">
      <c r="A185" s="23"/>
      <c r="B185" s="37"/>
      <c r="C185" s="25"/>
      <c r="D185" s="37"/>
      <c r="E185" s="38"/>
      <c r="F185" s="37"/>
      <c r="G185" s="45"/>
      <c r="H185" s="27"/>
      <c r="I185" s="46"/>
      <c r="J185" s="41"/>
      <c r="K185" s="41"/>
      <c r="L185" s="37"/>
      <c r="M185" s="37"/>
      <c r="N185" s="37"/>
      <c r="O185" s="42"/>
      <c r="P185" s="37"/>
    </row>
    <row r="186" s="2" customFormat="1" spans="1:16">
      <c r="A186" s="23"/>
      <c r="B186" s="37"/>
      <c r="C186" s="25"/>
      <c r="D186" s="37"/>
      <c r="E186" s="38"/>
      <c r="F186" s="37"/>
      <c r="G186" s="45"/>
      <c r="H186" s="27"/>
      <c r="I186" s="46"/>
      <c r="J186" s="41"/>
      <c r="K186" s="41"/>
      <c r="L186" s="37"/>
      <c r="M186" s="37"/>
      <c r="N186" s="37"/>
      <c r="O186" s="42"/>
      <c r="P186" s="37"/>
    </row>
    <row r="187" s="2" customFormat="1" spans="1:16">
      <c r="A187" s="23"/>
      <c r="B187" s="37"/>
      <c r="C187" s="25"/>
      <c r="D187" s="37"/>
      <c r="E187" s="38"/>
      <c r="F187" s="37"/>
      <c r="G187" s="45"/>
      <c r="H187" s="27"/>
      <c r="I187" s="46"/>
      <c r="J187" s="41"/>
      <c r="K187" s="41"/>
      <c r="L187" s="37"/>
      <c r="M187" s="37"/>
      <c r="N187" s="37"/>
      <c r="O187" s="42"/>
      <c r="P187" s="37"/>
    </row>
    <row r="188" s="2" customFormat="1" spans="1:16">
      <c r="A188" s="23"/>
      <c r="B188" s="37"/>
      <c r="C188" s="25"/>
      <c r="D188" s="37"/>
      <c r="E188" s="38"/>
      <c r="F188" s="37"/>
      <c r="G188" s="45"/>
      <c r="H188" s="27"/>
      <c r="I188" s="46"/>
      <c r="J188" s="41"/>
      <c r="K188" s="41"/>
      <c r="L188" s="37"/>
      <c r="M188" s="37"/>
      <c r="N188" s="37"/>
      <c r="O188" s="42"/>
      <c r="P188" s="37"/>
    </row>
    <row r="189" s="2" customFormat="1" spans="1:16">
      <c r="A189" s="23"/>
      <c r="B189" s="37"/>
      <c r="C189" s="25"/>
      <c r="D189" s="37"/>
      <c r="E189" s="38"/>
      <c r="F189" s="37"/>
      <c r="G189" s="45"/>
      <c r="H189" s="27"/>
      <c r="I189" s="46"/>
      <c r="J189" s="41"/>
      <c r="K189" s="41"/>
      <c r="L189" s="37"/>
      <c r="M189" s="37"/>
      <c r="N189" s="37"/>
      <c r="O189" s="42"/>
      <c r="P189" s="37"/>
    </row>
    <row r="190" s="2" customFormat="1" spans="1:16">
      <c r="A190" s="23"/>
      <c r="B190" s="37"/>
      <c r="C190" s="25"/>
      <c r="D190" s="37"/>
      <c r="E190" s="38"/>
      <c r="F190" s="37"/>
      <c r="G190" s="45"/>
      <c r="H190" s="27"/>
      <c r="I190" s="46"/>
      <c r="J190" s="41"/>
      <c r="K190" s="41"/>
      <c r="L190" s="37"/>
      <c r="M190" s="37"/>
      <c r="N190" s="37"/>
      <c r="O190" s="42"/>
      <c r="P190" s="37"/>
    </row>
    <row r="191" s="2" customFormat="1" spans="1:16">
      <c r="A191" s="23"/>
      <c r="B191" s="37"/>
      <c r="C191" s="25"/>
      <c r="D191" s="37"/>
      <c r="E191" s="38"/>
      <c r="F191" s="37"/>
      <c r="G191" s="45"/>
      <c r="H191" s="27"/>
      <c r="I191" s="46"/>
      <c r="J191" s="41"/>
      <c r="K191" s="41"/>
      <c r="L191" s="37"/>
      <c r="M191" s="37"/>
      <c r="N191" s="37"/>
      <c r="O191" s="42"/>
      <c r="P191" s="37"/>
    </row>
    <row r="192" s="2" customFormat="1" spans="1:16">
      <c r="A192" s="23"/>
      <c r="B192" s="37"/>
      <c r="C192" s="25"/>
      <c r="D192" s="37"/>
      <c r="E192" s="38"/>
      <c r="F192" s="37"/>
      <c r="G192" s="45"/>
      <c r="H192" s="27"/>
      <c r="I192" s="46"/>
      <c r="J192" s="41"/>
      <c r="K192" s="41"/>
      <c r="L192" s="37"/>
      <c r="M192" s="37"/>
      <c r="N192" s="37"/>
      <c r="O192" s="42"/>
      <c r="P192" s="37"/>
    </row>
    <row r="193" s="2" customFormat="1" spans="1:16">
      <c r="A193" s="23"/>
      <c r="B193" s="37"/>
      <c r="C193" s="25"/>
      <c r="D193" s="37"/>
      <c r="E193" s="38"/>
      <c r="F193" s="37"/>
      <c r="G193" s="45"/>
      <c r="H193" s="27"/>
      <c r="I193" s="46"/>
      <c r="J193" s="41"/>
      <c r="K193" s="41"/>
      <c r="L193" s="37"/>
      <c r="M193" s="37"/>
      <c r="N193" s="37"/>
      <c r="O193" s="42"/>
      <c r="P193" s="37"/>
    </row>
    <row r="194" s="2" customFormat="1" spans="1:16">
      <c r="A194" s="23"/>
      <c r="B194" s="37"/>
      <c r="C194" s="25"/>
      <c r="D194" s="37"/>
      <c r="E194" s="38"/>
      <c r="F194" s="37"/>
      <c r="G194" s="45"/>
      <c r="H194" s="27"/>
      <c r="I194" s="46"/>
      <c r="J194" s="41"/>
      <c r="K194" s="41"/>
      <c r="L194" s="37"/>
      <c r="M194" s="37"/>
      <c r="N194" s="37"/>
      <c r="O194" s="42"/>
      <c r="P194" s="37"/>
    </row>
    <row r="195" s="2" customFormat="1" spans="1:16">
      <c r="A195" s="23"/>
      <c r="B195" s="37"/>
      <c r="C195" s="25"/>
      <c r="D195" s="37"/>
      <c r="E195" s="38"/>
      <c r="F195" s="37"/>
      <c r="G195" s="45"/>
      <c r="H195" s="27"/>
      <c r="I195" s="46"/>
      <c r="J195" s="41"/>
      <c r="K195" s="41"/>
      <c r="L195" s="37"/>
      <c r="M195" s="37"/>
      <c r="N195" s="37"/>
      <c r="O195" s="42"/>
      <c r="P195" s="37"/>
    </row>
    <row r="196" s="2" customFormat="1" spans="1:16">
      <c r="A196" s="23"/>
      <c r="B196" s="37"/>
      <c r="C196" s="25"/>
      <c r="D196" s="37"/>
      <c r="E196" s="38"/>
      <c r="F196" s="37"/>
      <c r="G196" s="45"/>
      <c r="H196" s="27"/>
      <c r="I196" s="46"/>
      <c r="J196" s="41"/>
      <c r="K196" s="41"/>
      <c r="L196" s="37"/>
      <c r="M196" s="37"/>
      <c r="N196" s="37"/>
      <c r="O196" s="42"/>
      <c r="P196" s="37"/>
    </row>
    <row r="197" s="2" customFormat="1" spans="1:16">
      <c r="A197" s="23"/>
      <c r="B197" s="37"/>
      <c r="C197" s="25"/>
      <c r="D197" s="37"/>
      <c r="E197" s="38"/>
      <c r="F197" s="37"/>
      <c r="G197" s="45"/>
      <c r="H197" s="27"/>
      <c r="I197" s="46"/>
      <c r="J197" s="41"/>
      <c r="K197" s="41"/>
      <c r="L197" s="37"/>
      <c r="M197" s="37"/>
      <c r="N197" s="37"/>
      <c r="O197" s="42"/>
      <c r="P197" s="37"/>
    </row>
    <row r="198" s="2" customFormat="1" spans="1:16">
      <c r="A198" s="23"/>
      <c r="B198" s="37"/>
      <c r="C198" s="25"/>
      <c r="D198" s="37"/>
      <c r="E198" s="38"/>
      <c r="F198" s="37"/>
      <c r="G198" s="45"/>
      <c r="H198" s="27"/>
      <c r="I198" s="46"/>
      <c r="J198" s="41"/>
      <c r="K198" s="41"/>
      <c r="L198" s="37"/>
      <c r="M198" s="37"/>
      <c r="N198" s="37"/>
      <c r="O198" s="42"/>
      <c r="P198" s="37"/>
    </row>
    <row r="199" s="2" customFormat="1" spans="1:16">
      <c r="A199" s="23"/>
      <c r="B199" s="37"/>
      <c r="C199" s="25"/>
      <c r="D199" s="37"/>
      <c r="E199" s="38"/>
      <c r="F199" s="37"/>
      <c r="G199" s="45"/>
      <c r="H199" s="27"/>
      <c r="I199" s="46"/>
      <c r="J199" s="41"/>
      <c r="K199" s="41"/>
      <c r="L199" s="37"/>
      <c r="M199" s="37"/>
      <c r="N199" s="37"/>
      <c r="O199" s="42"/>
      <c r="P199" s="37"/>
    </row>
    <row r="200" s="2" customFormat="1" spans="1:16">
      <c r="A200" s="23"/>
      <c r="B200" s="37"/>
      <c r="C200" s="25"/>
      <c r="D200" s="37"/>
      <c r="E200" s="38"/>
      <c r="F200" s="37"/>
      <c r="G200" s="45"/>
      <c r="H200" s="27"/>
      <c r="I200" s="46"/>
      <c r="J200" s="41"/>
      <c r="K200" s="41"/>
      <c r="L200" s="37"/>
      <c r="M200" s="37"/>
      <c r="N200" s="37"/>
      <c r="O200" s="42"/>
      <c r="P200" s="37"/>
    </row>
    <row r="201" s="2" customFormat="1" spans="1:16">
      <c r="A201" s="23"/>
      <c r="B201" s="37"/>
      <c r="C201" s="25"/>
      <c r="D201" s="37"/>
      <c r="E201" s="38"/>
      <c r="F201" s="37"/>
      <c r="G201" s="45"/>
      <c r="H201" s="27"/>
      <c r="I201" s="46"/>
      <c r="J201" s="41"/>
      <c r="K201" s="41"/>
      <c r="L201" s="37"/>
      <c r="M201" s="37"/>
      <c r="N201" s="37"/>
      <c r="O201" s="42"/>
      <c r="P201" s="37"/>
    </row>
    <row r="202" s="4" customFormat="1" spans="1:16">
      <c r="A202" s="23"/>
      <c r="B202" s="37"/>
      <c r="C202" s="25"/>
      <c r="D202" s="37"/>
      <c r="E202" s="38"/>
      <c r="F202" s="37"/>
      <c r="G202" s="45"/>
      <c r="H202" s="27"/>
      <c r="I202" s="46"/>
      <c r="J202" s="41"/>
      <c r="K202" s="41"/>
      <c r="L202" s="37"/>
      <c r="M202" s="37"/>
      <c r="N202" s="37"/>
      <c r="O202" s="42"/>
      <c r="P202" s="47"/>
    </row>
    <row r="203" s="4" customFormat="1" spans="1:16">
      <c r="A203" s="23"/>
      <c r="B203" s="37"/>
      <c r="C203" s="25"/>
      <c r="D203" s="37"/>
      <c r="E203" s="38"/>
      <c r="F203" s="37"/>
      <c r="G203" s="45"/>
      <c r="H203" s="27"/>
      <c r="I203" s="46"/>
      <c r="J203" s="41"/>
      <c r="K203" s="41"/>
      <c r="L203" s="37"/>
      <c r="M203" s="37"/>
      <c r="N203" s="37"/>
      <c r="O203" s="42"/>
      <c r="P203" s="47"/>
    </row>
    <row r="204" s="4" customFormat="1" spans="1:16">
      <c r="A204" s="23"/>
      <c r="B204" s="37"/>
      <c r="C204" s="25"/>
      <c r="D204" s="37"/>
      <c r="E204" s="38"/>
      <c r="F204" s="37"/>
      <c r="G204" s="45"/>
      <c r="H204" s="27"/>
      <c r="I204" s="46"/>
      <c r="J204" s="41"/>
      <c r="K204" s="41"/>
      <c r="L204" s="37"/>
      <c r="M204" s="37"/>
      <c r="N204" s="37"/>
      <c r="O204" s="42"/>
      <c r="P204" s="47"/>
    </row>
    <row r="205" s="4" customFormat="1" spans="1:16">
      <c r="A205" s="23"/>
      <c r="B205" s="47"/>
      <c r="C205" s="25"/>
      <c r="D205" s="37"/>
      <c r="E205" s="38"/>
      <c r="F205" s="37"/>
      <c r="G205" s="45"/>
      <c r="H205" s="48"/>
      <c r="I205" s="46"/>
      <c r="J205" s="41"/>
      <c r="K205" s="41"/>
      <c r="L205" s="37"/>
      <c r="M205" s="37"/>
      <c r="N205" s="37"/>
      <c r="O205" s="42"/>
      <c r="P205" s="47"/>
    </row>
    <row r="206" s="4" customFormat="1" spans="1:16">
      <c r="A206" s="23"/>
      <c r="B206" s="47"/>
      <c r="C206" s="25"/>
      <c r="D206" s="37"/>
      <c r="E206" s="38"/>
      <c r="F206" s="37"/>
      <c r="G206" s="45"/>
      <c r="H206" s="48"/>
      <c r="I206" s="46"/>
      <c r="J206" s="41"/>
      <c r="K206" s="41"/>
      <c r="L206" s="37"/>
      <c r="M206" s="37"/>
      <c r="N206" s="37"/>
      <c r="O206" s="42"/>
      <c r="P206" s="47"/>
    </row>
    <row r="207" s="4" customFormat="1" spans="1:16">
      <c r="A207" s="23"/>
      <c r="B207" s="37"/>
      <c r="C207" s="25"/>
      <c r="D207" s="37"/>
      <c r="E207" s="38"/>
      <c r="F207" s="37"/>
      <c r="G207" s="45"/>
      <c r="H207" s="27"/>
      <c r="I207" s="46"/>
      <c r="J207" s="41"/>
      <c r="K207" s="41"/>
      <c r="L207" s="37"/>
      <c r="M207" s="37"/>
      <c r="N207" s="37"/>
      <c r="O207" s="42"/>
      <c r="P207" s="47"/>
    </row>
    <row r="208" s="4" customFormat="1" spans="1:16">
      <c r="A208" s="23"/>
      <c r="B208" s="37"/>
      <c r="C208" s="25"/>
      <c r="D208" s="37"/>
      <c r="E208" s="38"/>
      <c r="F208" s="37"/>
      <c r="G208" s="45"/>
      <c r="H208" s="27"/>
      <c r="I208" s="46"/>
      <c r="J208" s="41"/>
      <c r="K208" s="41"/>
      <c r="L208" s="37"/>
      <c r="M208" s="37"/>
      <c r="N208" s="37"/>
      <c r="O208" s="42"/>
      <c r="P208" s="47"/>
    </row>
    <row r="209" s="4" customFormat="1" spans="1:16">
      <c r="A209" s="23"/>
      <c r="B209" s="37"/>
      <c r="C209" s="25"/>
      <c r="D209" s="37"/>
      <c r="E209" s="38"/>
      <c r="F209" s="37"/>
      <c r="G209" s="45"/>
      <c r="H209" s="27"/>
      <c r="I209" s="46"/>
      <c r="J209" s="41"/>
      <c r="K209" s="41"/>
      <c r="L209" s="37"/>
      <c r="M209" s="37"/>
      <c r="N209" s="37"/>
      <c r="O209" s="42"/>
      <c r="P209" s="47"/>
    </row>
    <row r="210" s="4" customFormat="1" spans="1:16">
      <c r="A210" s="23"/>
      <c r="B210" s="37"/>
      <c r="C210" s="25"/>
      <c r="D210" s="37"/>
      <c r="E210" s="38"/>
      <c r="F210" s="37"/>
      <c r="G210" s="45"/>
      <c r="H210" s="27"/>
      <c r="I210" s="46"/>
      <c r="J210" s="41"/>
      <c r="K210" s="41"/>
      <c r="L210" s="37"/>
      <c r="M210" s="37"/>
      <c r="N210" s="37"/>
      <c r="O210" s="42"/>
      <c r="P210" s="47"/>
    </row>
    <row r="211" s="4" customFormat="1" spans="1:16">
      <c r="A211" s="23"/>
      <c r="B211" s="37"/>
      <c r="C211" s="25"/>
      <c r="D211" s="37"/>
      <c r="E211" s="38"/>
      <c r="F211" s="37"/>
      <c r="G211" s="45"/>
      <c r="H211" s="27"/>
      <c r="I211" s="46"/>
      <c r="J211" s="41"/>
      <c r="K211" s="41"/>
      <c r="L211" s="37"/>
      <c r="M211" s="37"/>
      <c r="N211" s="37"/>
      <c r="O211" s="42"/>
      <c r="P211" s="47"/>
    </row>
    <row r="212" s="4" customFormat="1" spans="1:16">
      <c r="A212" s="23"/>
      <c r="B212" s="37"/>
      <c r="C212" s="25"/>
      <c r="D212" s="37"/>
      <c r="E212" s="38"/>
      <c r="F212" s="37"/>
      <c r="G212" s="45"/>
      <c r="H212" s="27"/>
      <c r="I212" s="46"/>
      <c r="J212" s="41"/>
      <c r="K212" s="41"/>
      <c r="L212" s="37"/>
      <c r="M212" s="37"/>
      <c r="N212" s="37"/>
      <c r="O212" s="42"/>
      <c r="P212" s="47"/>
    </row>
    <row r="213" s="4" customFormat="1" spans="1:16">
      <c r="A213" s="23"/>
      <c r="B213" s="37"/>
      <c r="C213" s="25"/>
      <c r="D213" s="37"/>
      <c r="E213" s="38"/>
      <c r="F213" s="37"/>
      <c r="G213" s="45"/>
      <c r="H213" s="27"/>
      <c r="I213" s="46"/>
      <c r="J213" s="41"/>
      <c r="K213" s="41"/>
      <c r="L213" s="37"/>
      <c r="M213" s="37"/>
      <c r="N213" s="37"/>
      <c r="O213" s="42"/>
      <c r="P213" s="47"/>
    </row>
    <row r="214" s="4" customFormat="1" spans="1:16">
      <c r="A214" s="23"/>
      <c r="B214" s="37"/>
      <c r="C214" s="25"/>
      <c r="D214" s="37"/>
      <c r="E214" s="38"/>
      <c r="F214" s="37"/>
      <c r="G214" s="45"/>
      <c r="H214" s="27"/>
      <c r="I214" s="46"/>
      <c r="J214" s="41"/>
      <c r="K214" s="41"/>
      <c r="L214" s="37"/>
      <c r="M214" s="37"/>
      <c r="N214" s="37"/>
      <c r="O214" s="42"/>
      <c r="P214" s="47"/>
    </row>
    <row r="215" s="4" customFormat="1" spans="1:16">
      <c r="A215" s="23"/>
      <c r="B215" s="37"/>
      <c r="C215" s="25"/>
      <c r="D215" s="37"/>
      <c r="E215" s="38"/>
      <c r="F215" s="37"/>
      <c r="G215" s="45"/>
      <c r="H215" s="27"/>
      <c r="I215" s="46"/>
      <c r="J215" s="41"/>
      <c r="K215" s="41"/>
      <c r="L215" s="37"/>
      <c r="M215" s="37"/>
      <c r="N215" s="37"/>
      <c r="O215" s="42"/>
      <c r="P215" s="47"/>
    </row>
    <row r="216" s="4" customFormat="1" spans="1:16">
      <c r="A216" s="23"/>
      <c r="B216" s="37"/>
      <c r="C216" s="25"/>
      <c r="D216" s="37"/>
      <c r="E216" s="38"/>
      <c r="F216" s="37"/>
      <c r="G216" s="45"/>
      <c r="H216" s="27"/>
      <c r="I216" s="46"/>
      <c r="J216" s="41"/>
      <c r="K216" s="41"/>
      <c r="L216" s="37"/>
      <c r="M216" s="37"/>
      <c r="N216" s="37"/>
      <c r="O216" s="42"/>
      <c r="P216" s="47"/>
    </row>
    <row r="217" s="4" customFormat="1" spans="1:16">
      <c r="A217" s="23"/>
      <c r="B217" s="37"/>
      <c r="C217" s="25"/>
      <c r="D217" s="37"/>
      <c r="E217" s="38"/>
      <c r="F217" s="37"/>
      <c r="G217" s="45"/>
      <c r="H217" s="27"/>
      <c r="I217" s="46"/>
      <c r="J217" s="41"/>
      <c r="K217" s="41"/>
      <c r="L217" s="37"/>
      <c r="M217" s="37"/>
      <c r="N217" s="37"/>
      <c r="O217" s="42"/>
      <c r="P217" s="47"/>
    </row>
    <row r="218" s="4" customFormat="1" spans="1:16">
      <c r="A218" s="23"/>
      <c r="B218" s="37"/>
      <c r="C218" s="25"/>
      <c r="D218" s="37"/>
      <c r="E218" s="38"/>
      <c r="F218" s="37"/>
      <c r="G218" s="45"/>
      <c r="H218" s="27"/>
      <c r="I218" s="46"/>
      <c r="J218" s="41"/>
      <c r="K218" s="41"/>
      <c r="L218" s="37"/>
      <c r="M218" s="37"/>
      <c r="N218" s="37"/>
      <c r="O218" s="42"/>
      <c r="P218" s="47"/>
    </row>
    <row r="219" s="4" customFormat="1" spans="1:16">
      <c r="A219" s="23"/>
      <c r="B219" s="24"/>
      <c r="C219" s="25"/>
      <c r="D219" s="37"/>
      <c r="E219" s="38"/>
      <c r="F219" s="37"/>
      <c r="G219" s="45"/>
      <c r="H219" s="27"/>
      <c r="I219" s="46"/>
      <c r="J219" s="26"/>
      <c r="K219" s="41"/>
      <c r="L219" s="37"/>
      <c r="M219" s="37"/>
      <c r="N219" s="37"/>
      <c r="O219" s="42"/>
      <c r="P219" s="47"/>
    </row>
    <row r="220" s="4" customFormat="1" spans="1:16">
      <c r="A220" s="23"/>
      <c r="B220" s="24"/>
      <c r="C220" s="25"/>
      <c r="D220" s="37"/>
      <c r="E220" s="38"/>
      <c r="F220" s="37"/>
      <c r="G220" s="45"/>
      <c r="H220" s="27"/>
      <c r="I220" s="46"/>
      <c r="J220" s="26"/>
      <c r="K220" s="41"/>
      <c r="L220" s="37"/>
      <c r="M220" s="37"/>
      <c r="N220" s="37"/>
      <c r="O220" s="42"/>
      <c r="P220" s="47"/>
    </row>
    <row r="221" s="4" customFormat="1" spans="1:16">
      <c r="A221" s="23"/>
      <c r="B221" s="24"/>
      <c r="C221" s="25"/>
      <c r="D221" s="37"/>
      <c r="E221" s="38"/>
      <c r="F221" s="37"/>
      <c r="G221" s="45"/>
      <c r="H221" s="27"/>
      <c r="I221" s="46"/>
      <c r="J221" s="26"/>
      <c r="K221" s="41"/>
      <c r="L221" s="37"/>
      <c r="M221" s="37"/>
      <c r="N221" s="37"/>
      <c r="O221" s="42"/>
      <c r="P221" s="47"/>
    </row>
    <row r="222" s="4" customFormat="1" spans="1:16">
      <c r="A222" s="23"/>
      <c r="B222" s="47"/>
      <c r="C222" s="25"/>
      <c r="D222" s="37"/>
      <c r="E222" s="38"/>
      <c r="F222" s="37"/>
      <c r="G222" s="45"/>
      <c r="H222" s="48"/>
      <c r="I222" s="46"/>
      <c r="J222" s="26"/>
      <c r="K222" s="41"/>
      <c r="L222" s="37"/>
      <c r="M222" s="37"/>
      <c r="N222" s="37"/>
      <c r="O222" s="42"/>
      <c r="P222" s="47"/>
    </row>
    <row r="223" s="4" customFormat="1" spans="1:16">
      <c r="A223" s="23"/>
      <c r="B223" s="47"/>
      <c r="C223" s="25"/>
      <c r="D223" s="37"/>
      <c r="E223" s="38"/>
      <c r="F223" s="37"/>
      <c r="G223" s="45"/>
      <c r="H223" s="48"/>
      <c r="I223" s="46"/>
      <c r="J223" s="26"/>
      <c r="K223" s="41"/>
      <c r="L223" s="37"/>
      <c r="M223" s="37"/>
      <c r="N223" s="37"/>
      <c r="O223" s="42"/>
      <c r="P223" s="47"/>
    </row>
    <row r="224" s="4" customFormat="1" spans="1:16">
      <c r="A224" s="23"/>
      <c r="B224" s="47"/>
      <c r="C224" s="25"/>
      <c r="D224" s="37"/>
      <c r="E224" s="38"/>
      <c r="F224" s="37"/>
      <c r="G224" s="45"/>
      <c r="H224" s="48"/>
      <c r="I224" s="46"/>
      <c r="J224" s="26"/>
      <c r="K224" s="41"/>
      <c r="L224" s="37"/>
      <c r="M224" s="37"/>
      <c r="N224" s="37"/>
      <c r="O224" s="42"/>
      <c r="P224" s="47"/>
    </row>
    <row r="225" s="4" customFormat="1" spans="1:16">
      <c r="A225" s="23"/>
      <c r="B225" s="47"/>
      <c r="C225" s="25"/>
      <c r="D225" s="37"/>
      <c r="E225" s="38"/>
      <c r="F225" s="37"/>
      <c r="G225" s="45"/>
      <c r="H225" s="48"/>
      <c r="I225" s="46"/>
      <c r="J225" s="26"/>
      <c r="K225" s="41"/>
      <c r="L225" s="37"/>
      <c r="M225" s="37"/>
      <c r="N225" s="37"/>
      <c r="O225" s="42"/>
      <c r="P225" s="47"/>
    </row>
    <row r="226" s="4" customFormat="1" spans="1:16">
      <c r="A226" s="23"/>
      <c r="B226" s="47"/>
      <c r="C226" s="25"/>
      <c r="D226" s="37"/>
      <c r="E226" s="38"/>
      <c r="F226" s="37"/>
      <c r="G226" s="45"/>
      <c r="H226" s="48"/>
      <c r="I226" s="46"/>
      <c r="J226" s="26"/>
      <c r="K226" s="41"/>
      <c r="L226" s="37"/>
      <c r="M226" s="37"/>
      <c r="N226" s="37"/>
      <c r="O226" s="42"/>
      <c r="P226" s="47"/>
    </row>
    <row r="227" s="4" customFormat="1" spans="1:16">
      <c r="A227" s="23"/>
      <c r="B227" s="47"/>
      <c r="C227" s="25"/>
      <c r="D227" s="37"/>
      <c r="E227" s="38"/>
      <c r="F227" s="37"/>
      <c r="G227" s="45"/>
      <c r="H227" s="48"/>
      <c r="I227" s="46"/>
      <c r="J227" s="26"/>
      <c r="K227" s="41"/>
      <c r="L227" s="37"/>
      <c r="M227" s="37"/>
      <c r="N227" s="37"/>
      <c r="O227" s="42"/>
      <c r="P227" s="47"/>
    </row>
    <row r="228" s="4" customFormat="1" spans="1:16">
      <c r="A228" s="23"/>
      <c r="B228" s="47"/>
      <c r="C228" s="25"/>
      <c r="D228" s="37"/>
      <c r="E228" s="38"/>
      <c r="F228" s="37"/>
      <c r="G228" s="45"/>
      <c r="H228" s="48"/>
      <c r="I228" s="46"/>
      <c r="J228" s="26"/>
      <c r="K228" s="41"/>
      <c r="L228" s="37"/>
      <c r="M228" s="37"/>
      <c r="N228" s="37"/>
      <c r="O228" s="42"/>
      <c r="P228" s="47"/>
    </row>
    <row r="229" s="4" customFormat="1" spans="1:16">
      <c r="A229" s="23"/>
      <c r="B229" s="47"/>
      <c r="C229" s="25"/>
      <c r="D229" s="37"/>
      <c r="E229" s="38"/>
      <c r="F229" s="37"/>
      <c r="G229" s="45"/>
      <c r="H229" s="48"/>
      <c r="I229" s="46"/>
      <c r="J229" s="26"/>
      <c r="K229" s="41"/>
      <c r="L229" s="37"/>
      <c r="M229" s="37"/>
      <c r="N229" s="37"/>
      <c r="O229" s="42"/>
      <c r="P229" s="47"/>
    </row>
    <row r="230" s="4" customFormat="1" spans="1:16">
      <c r="A230" s="23"/>
      <c r="B230" s="47"/>
      <c r="C230" s="25"/>
      <c r="D230" s="37"/>
      <c r="E230" s="38"/>
      <c r="F230" s="37"/>
      <c r="G230" s="45"/>
      <c r="H230" s="48"/>
      <c r="I230" s="46"/>
      <c r="J230" s="26"/>
      <c r="K230" s="41"/>
      <c r="L230" s="37"/>
      <c r="M230" s="37"/>
      <c r="N230" s="37"/>
      <c r="O230" s="42"/>
      <c r="P230" s="47"/>
    </row>
    <row r="231" s="4" customFormat="1" spans="1:16">
      <c r="A231" s="23"/>
      <c r="B231" s="47"/>
      <c r="C231" s="25"/>
      <c r="D231" s="37"/>
      <c r="E231" s="38"/>
      <c r="F231" s="37"/>
      <c r="G231" s="45"/>
      <c r="H231" s="48"/>
      <c r="I231" s="46"/>
      <c r="J231" s="26"/>
      <c r="K231" s="41"/>
      <c r="L231" s="37"/>
      <c r="M231" s="37"/>
      <c r="N231" s="37"/>
      <c r="O231" s="42"/>
      <c r="P231" s="47"/>
    </row>
    <row r="232" s="4" customFormat="1" spans="1:16">
      <c r="A232" s="23"/>
      <c r="B232" s="47"/>
      <c r="C232" s="25"/>
      <c r="D232" s="37"/>
      <c r="E232" s="38"/>
      <c r="F232" s="37"/>
      <c r="G232" s="45"/>
      <c r="H232" s="48"/>
      <c r="I232" s="46"/>
      <c r="J232" s="26"/>
      <c r="K232" s="41"/>
      <c r="L232" s="37"/>
      <c r="M232" s="37"/>
      <c r="N232" s="37"/>
      <c r="O232" s="42"/>
      <c r="P232" s="47"/>
    </row>
    <row r="233" s="4" customFormat="1" spans="1:16">
      <c r="A233" s="23"/>
      <c r="B233" s="47"/>
      <c r="C233" s="25"/>
      <c r="D233" s="37"/>
      <c r="E233" s="38"/>
      <c r="F233" s="37"/>
      <c r="G233" s="45"/>
      <c r="H233" s="48"/>
      <c r="I233" s="46"/>
      <c r="J233" s="26"/>
      <c r="K233" s="41"/>
      <c r="L233" s="37"/>
      <c r="M233" s="37"/>
      <c r="N233" s="37"/>
      <c r="O233" s="42"/>
      <c r="P233" s="47"/>
    </row>
    <row r="234" s="4" customFormat="1" spans="1:16">
      <c r="A234" s="23"/>
      <c r="B234" s="47"/>
      <c r="C234" s="25"/>
      <c r="D234" s="37"/>
      <c r="E234" s="38"/>
      <c r="F234" s="37"/>
      <c r="G234" s="45"/>
      <c r="H234" s="48"/>
      <c r="I234" s="46"/>
      <c r="J234" s="26"/>
      <c r="K234" s="41"/>
      <c r="L234" s="37"/>
      <c r="M234" s="37"/>
      <c r="N234" s="37"/>
      <c r="O234" s="42"/>
      <c r="P234" s="47"/>
    </row>
    <row r="235" s="4" customFormat="1" spans="1:16">
      <c r="A235" s="23"/>
      <c r="B235" s="47"/>
      <c r="C235" s="25"/>
      <c r="D235" s="37"/>
      <c r="E235" s="38"/>
      <c r="F235" s="37"/>
      <c r="G235" s="45"/>
      <c r="H235" s="48"/>
      <c r="I235" s="46"/>
      <c r="J235" s="26"/>
      <c r="K235" s="41"/>
      <c r="L235" s="37"/>
      <c r="M235" s="37"/>
      <c r="N235" s="37"/>
      <c r="O235" s="42"/>
      <c r="P235" s="47"/>
    </row>
    <row r="236" s="4" customFormat="1" spans="1:16">
      <c r="A236" s="23"/>
      <c r="B236" s="47"/>
      <c r="C236" s="25"/>
      <c r="D236" s="37"/>
      <c r="E236" s="38"/>
      <c r="F236" s="37"/>
      <c r="G236" s="45"/>
      <c r="H236" s="48"/>
      <c r="I236" s="46"/>
      <c r="J236" s="26"/>
      <c r="K236" s="41"/>
      <c r="L236" s="37"/>
      <c r="M236" s="37"/>
      <c r="N236" s="37"/>
      <c r="O236" s="42"/>
      <c r="P236" s="47"/>
    </row>
    <row r="237" s="4" customFormat="1" spans="1:16">
      <c r="A237" s="23"/>
      <c r="B237" s="47"/>
      <c r="C237" s="25"/>
      <c r="D237" s="37"/>
      <c r="E237" s="38"/>
      <c r="F237" s="37"/>
      <c r="G237" s="45"/>
      <c r="H237" s="48"/>
      <c r="I237" s="46"/>
      <c r="J237" s="26"/>
      <c r="K237" s="41"/>
      <c r="L237" s="37"/>
      <c r="M237" s="37"/>
      <c r="N237" s="37"/>
      <c r="O237" s="42"/>
      <c r="P237" s="47"/>
    </row>
    <row r="238" s="4" customFormat="1" spans="1:16">
      <c r="A238" s="23"/>
      <c r="B238" s="47"/>
      <c r="C238" s="25"/>
      <c r="D238" s="37"/>
      <c r="E238" s="38"/>
      <c r="F238" s="37"/>
      <c r="G238" s="45"/>
      <c r="H238" s="48"/>
      <c r="I238" s="46"/>
      <c r="J238" s="26"/>
      <c r="K238" s="41"/>
      <c r="L238" s="37"/>
      <c r="M238" s="37"/>
      <c r="N238" s="37"/>
      <c r="O238" s="42"/>
      <c r="P238" s="47"/>
    </row>
    <row r="239" s="4" customFormat="1" spans="1:16">
      <c r="A239" s="23"/>
      <c r="B239" s="47"/>
      <c r="C239" s="25"/>
      <c r="D239" s="37"/>
      <c r="E239" s="38"/>
      <c r="F239" s="37"/>
      <c r="G239" s="45"/>
      <c r="H239" s="48"/>
      <c r="I239" s="46"/>
      <c r="J239" s="26"/>
      <c r="K239" s="41"/>
      <c r="L239" s="37"/>
      <c r="M239" s="37"/>
      <c r="N239" s="37"/>
      <c r="O239" s="42"/>
      <c r="P239" s="47"/>
    </row>
    <row r="240" s="4" customFormat="1" spans="1:16">
      <c r="A240" s="23"/>
      <c r="B240" s="47"/>
      <c r="C240" s="25"/>
      <c r="D240" s="37"/>
      <c r="E240" s="38"/>
      <c r="F240" s="37"/>
      <c r="G240" s="45"/>
      <c r="H240" s="48"/>
      <c r="I240" s="46"/>
      <c r="J240" s="26"/>
      <c r="K240" s="41"/>
      <c r="L240" s="37"/>
      <c r="M240" s="37"/>
      <c r="N240" s="37"/>
      <c r="O240" s="42"/>
      <c r="P240" s="47"/>
    </row>
    <row r="241" s="4" customFormat="1" spans="1:16">
      <c r="A241" s="23"/>
      <c r="B241" s="47"/>
      <c r="C241" s="25"/>
      <c r="D241" s="37"/>
      <c r="E241" s="38"/>
      <c r="F241" s="37"/>
      <c r="G241" s="45"/>
      <c r="H241" s="48"/>
      <c r="I241" s="46"/>
      <c r="J241" s="26"/>
      <c r="K241" s="41"/>
      <c r="L241" s="37"/>
      <c r="M241" s="37"/>
      <c r="N241" s="37"/>
      <c r="O241" s="42"/>
      <c r="P241" s="47"/>
    </row>
    <row r="242" s="4" customFormat="1" spans="1:16">
      <c r="A242" s="23"/>
      <c r="B242" s="47"/>
      <c r="C242" s="25"/>
      <c r="D242" s="37"/>
      <c r="E242" s="38"/>
      <c r="F242" s="37"/>
      <c r="G242" s="45"/>
      <c r="H242" s="48"/>
      <c r="I242" s="46"/>
      <c r="J242" s="26"/>
      <c r="K242" s="41"/>
      <c r="L242" s="37"/>
      <c r="M242" s="37"/>
      <c r="N242" s="37"/>
      <c r="O242" s="42"/>
      <c r="P242" s="47"/>
    </row>
    <row r="243" s="4" customFormat="1" spans="1:16">
      <c r="A243" s="23"/>
      <c r="B243" s="47"/>
      <c r="C243" s="25"/>
      <c r="D243" s="37"/>
      <c r="E243" s="38"/>
      <c r="F243" s="37"/>
      <c r="G243" s="45"/>
      <c r="H243" s="48"/>
      <c r="I243" s="46"/>
      <c r="J243" s="26"/>
      <c r="K243" s="41"/>
      <c r="L243" s="37"/>
      <c r="M243" s="37"/>
      <c r="N243" s="37"/>
      <c r="O243" s="42"/>
      <c r="P243" s="47"/>
    </row>
    <row r="244" s="4" customFormat="1" spans="1:16">
      <c r="A244" s="23"/>
      <c r="B244" s="47"/>
      <c r="C244" s="25"/>
      <c r="D244" s="37"/>
      <c r="E244" s="38"/>
      <c r="F244" s="37"/>
      <c r="G244" s="45"/>
      <c r="H244" s="48"/>
      <c r="I244" s="46"/>
      <c r="J244" s="26"/>
      <c r="K244" s="41"/>
      <c r="L244" s="37"/>
      <c r="M244" s="37"/>
      <c r="N244" s="37"/>
      <c r="O244" s="42"/>
      <c r="P244" s="47"/>
    </row>
    <row r="245" s="4" customFormat="1" spans="1:16">
      <c r="A245" s="23"/>
      <c r="B245" s="47"/>
      <c r="C245" s="25"/>
      <c r="D245" s="37"/>
      <c r="E245" s="38"/>
      <c r="F245" s="37"/>
      <c r="G245" s="45"/>
      <c r="H245" s="48"/>
      <c r="I245" s="46"/>
      <c r="J245" s="26"/>
      <c r="K245" s="41"/>
      <c r="L245" s="37"/>
      <c r="M245" s="37"/>
      <c r="N245" s="37"/>
      <c r="O245" s="42"/>
      <c r="P245" s="47"/>
    </row>
    <row r="246" s="4" customFormat="1" spans="1:16">
      <c r="A246" s="23"/>
      <c r="B246" s="47"/>
      <c r="C246" s="25"/>
      <c r="D246" s="37"/>
      <c r="E246" s="38"/>
      <c r="F246" s="37"/>
      <c r="G246" s="45"/>
      <c r="H246" s="48"/>
      <c r="I246" s="46"/>
      <c r="J246" s="26"/>
      <c r="K246" s="41"/>
      <c r="L246" s="37"/>
      <c r="M246" s="37"/>
      <c r="N246" s="37"/>
      <c r="O246" s="42"/>
      <c r="P246" s="47"/>
    </row>
    <row r="247" s="4" customFormat="1" spans="1:16">
      <c r="A247" s="23"/>
      <c r="B247" s="47"/>
      <c r="C247" s="25"/>
      <c r="D247" s="37"/>
      <c r="E247" s="38"/>
      <c r="F247" s="37"/>
      <c r="G247" s="45"/>
      <c r="H247" s="48"/>
      <c r="I247" s="46"/>
      <c r="J247" s="26"/>
      <c r="K247" s="41"/>
      <c r="L247" s="37"/>
      <c r="M247" s="37"/>
      <c r="N247" s="37"/>
      <c r="O247" s="42"/>
      <c r="P247" s="47"/>
    </row>
    <row r="248" s="4" customFormat="1" spans="1:16">
      <c r="A248" s="23"/>
      <c r="B248" s="47"/>
      <c r="C248" s="25"/>
      <c r="D248" s="37"/>
      <c r="E248" s="38"/>
      <c r="F248" s="37"/>
      <c r="G248" s="45"/>
      <c r="H248" s="48"/>
      <c r="I248" s="46"/>
      <c r="J248" s="26"/>
      <c r="K248" s="41"/>
      <c r="L248" s="37"/>
      <c r="M248" s="37"/>
      <c r="N248" s="37"/>
      <c r="O248" s="42"/>
      <c r="P248" s="47"/>
    </row>
    <row r="249" s="4" customFormat="1" spans="1:16">
      <c r="A249" s="23"/>
      <c r="B249" s="47"/>
      <c r="C249" s="25"/>
      <c r="D249" s="37"/>
      <c r="E249" s="38"/>
      <c r="F249" s="37"/>
      <c r="G249" s="45"/>
      <c r="H249" s="48"/>
      <c r="I249" s="46"/>
      <c r="J249" s="26"/>
      <c r="K249" s="41"/>
      <c r="L249" s="37"/>
      <c r="M249" s="37"/>
      <c r="N249" s="37"/>
      <c r="O249" s="42"/>
      <c r="P249" s="47"/>
    </row>
    <row r="250" s="4" customFormat="1" spans="1:16">
      <c r="A250" s="23"/>
      <c r="B250" s="47"/>
      <c r="C250" s="25"/>
      <c r="D250" s="37"/>
      <c r="E250" s="38"/>
      <c r="F250" s="37"/>
      <c r="G250" s="45"/>
      <c r="H250" s="48"/>
      <c r="I250" s="46"/>
      <c r="J250" s="26"/>
      <c r="K250" s="41"/>
      <c r="L250" s="37"/>
      <c r="M250" s="37"/>
      <c r="N250" s="37"/>
      <c r="O250" s="42"/>
      <c r="P250" s="47"/>
    </row>
    <row r="251" s="4" customFormat="1" spans="1:16">
      <c r="A251" s="23"/>
      <c r="B251" s="47"/>
      <c r="C251" s="25"/>
      <c r="D251" s="37"/>
      <c r="E251" s="38"/>
      <c r="F251" s="37"/>
      <c r="G251" s="45"/>
      <c r="H251" s="48"/>
      <c r="I251" s="46"/>
      <c r="J251" s="26"/>
      <c r="K251" s="41"/>
      <c r="L251" s="37"/>
      <c r="M251" s="37"/>
      <c r="N251" s="37"/>
      <c r="O251" s="42"/>
      <c r="P251" s="47"/>
    </row>
    <row r="252" s="4" customFormat="1" spans="1:16">
      <c r="A252" s="23"/>
      <c r="B252" s="47"/>
      <c r="C252" s="25"/>
      <c r="D252" s="37"/>
      <c r="E252" s="38"/>
      <c r="F252" s="37"/>
      <c r="G252" s="45"/>
      <c r="H252" s="48"/>
      <c r="I252" s="46"/>
      <c r="J252" s="26"/>
      <c r="K252" s="41"/>
      <c r="L252" s="37"/>
      <c r="M252" s="37"/>
      <c r="N252" s="37"/>
      <c r="O252" s="42"/>
      <c r="P252" s="47"/>
    </row>
    <row r="253" s="4" customFormat="1" spans="1:16">
      <c r="A253" s="23"/>
      <c r="B253" s="47"/>
      <c r="C253" s="25"/>
      <c r="D253" s="37"/>
      <c r="E253" s="38"/>
      <c r="F253" s="37"/>
      <c r="G253" s="45"/>
      <c r="H253" s="48"/>
      <c r="I253" s="46"/>
      <c r="J253" s="26"/>
      <c r="K253" s="41"/>
      <c r="L253" s="37"/>
      <c r="M253" s="37"/>
      <c r="N253" s="37"/>
      <c r="O253" s="42"/>
      <c r="P253" s="47"/>
    </row>
    <row r="254" s="4" customFormat="1" spans="1:16">
      <c r="A254" s="23"/>
      <c r="B254" s="47"/>
      <c r="C254" s="25"/>
      <c r="D254" s="37"/>
      <c r="E254" s="38"/>
      <c r="F254" s="37"/>
      <c r="G254" s="45"/>
      <c r="H254" s="48"/>
      <c r="I254" s="46"/>
      <c r="J254" s="26"/>
      <c r="K254" s="41"/>
      <c r="L254" s="37"/>
      <c r="M254" s="37"/>
      <c r="N254" s="37"/>
      <c r="O254" s="42"/>
      <c r="P254" s="47"/>
    </row>
    <row r="255" s="4" customFormat="1" spans="1:16">
      <c r="A255" s="23"/>
      <c r="B255" s="47"/>
      <c r="C255" s="25"/>
      <c r="D255" s="37"/>
      <c r="E255" s="38"/>
      <c r="F255" s="37"/>
      <c r="G255" s="45"/>
      <c r="H255" s="48"/>
      <c r="I255" s="46"/>
      <c r="J255" s="26"/>
      <c r="K255" s="41"/>
      <c r="L255" s="37"/>
      <c r="M255" s="37"/>
      <c r="N255" s="37"/>
      <c r="O255" s="42"/>
      <c r="P255" s="47"/>
    </row>
    <row r="256" s="4" customFormat="1" spans="1:16">
      <c r="A256" s="23"/>
      <c r="B256" s="47"/>
      <c r="C256" s="25"/>
      <c r="D256" s="37"/>
      <c r="E256" s="38"/>
      <c r="F256" s="37"/>
      <c r="G256" s="45"/>
      <c r="H256" s="48"/>
      <c r="I256" s="46"/>
      <c r="J256" s="26"/>
      <c r="K256" s="41"/>
      <c r="L256" s="37"/>
      <c r="M256" s="37"/>
      <c r="N256" s="37"/>
      <c r="O256" s="42"/>
      <c r="P256" s="47"/>
    </row>
    <row r="257" s="4" customFormat="1" spans="1:16">
      <c r="A257" s="23"/>
      <c r="B257" s="47"/>
      <c r="C257" s="25"/>
      <c r="D257" s="37"/>
      <c r="E257" s="38"/>
      <c r="F257" s="37"/>
      <c r="G257" s="45"/>
      <c r="H257" s="48"/>
      <c r="I257" s="46"/>
      <c r="J257" s="26"/>
      <c r="K257" s="41"/>
      <c r="L257" s="37"/>
      <c r="M257" s="37"/>
      <c r="N257" s="37"/>
      <c r="O257" s="42"/>
      <c r="P257" s="47"/>
    </row>
    <row r="258" s="4" customFormat="1" spans="1:16">
      <c r="A258" s="23"/>
      <c r="B258" s="47"/>
      <c r="C258" s="25"/>
      <c r="D258" s="37"/>
      <c r="E258" s="38"/>
      <c r="F258" s="37"/>
      <c r="G258" s="45"/>
      <c r="H258" s="48"/>
      <c r="I258" s="46"/>
      <c r="J258" s="26"/>
      <c r="K258" s="41"/>
      <c r="L258" s="37"/>
      <c r="M258" s="37"/>
      <c r="N258" s="37"/>
      <c r="O258" s="42"/>
      <c r="P258" s="47"/>
    </row>
    <row r="259" s="4" customFormat="1" spans="1:16">
      <c r="A259" s="23"/>
      <c r="B259" s="47"/>
      <c r="C259" s="25"/>
      <c r="D259" s="37"/>
      <c r="E259" s="38"/>
      <c r="F259" s="37"/>
      <c r="G259" s="45"/>
      <c r="H259" s="48"/>
      <c r="I259" s="46"/>
      <c r="J259" s="26"/>
      <c r="K259" s="41"/>
      <c r="L259" s="37"/>
      <c r="M259" s="37"/>
      <c r="N259" s="37"/>
      <c r="O259" s="42"/>
      <c r="P259" s="47"/>
    </row>
    <row r="260" s="4" customFormat="1" spans="1:16">
      <c r="A260" s="23"/>
      <c r="B260" s="47"/>
      <c r="C260" s="25"/>
      <c r="D260" s="37"/>
      <c r="E260" s="38"/>
      <c r="F260" s="37"/>
      <c r="G260" s="45"/>
      <c r="H260" s="48"/>
      <c r="I260" s="46"/>
      <c r="J260" s="26"/>
      <c r="K260" s="41"/>
      <c r="L260" s="37"/>
      <c r="M260" s="37"/>
      <c r="N260" s="37"/>
      <c r="O260" s="42"/>
      <c r="P260" s="47"/>
    </row>
    <row r="261" s="4" customFormat="1" spans="1:16">
      <c r="A261" s="23"/>
      <c r="B261" s="47"/>
      <c r="C261" s="25"/>
      <c r="D261" s="37"/>
      <c r="E261" s="38"/>
      <c r="F261" s="37"/>
      <c r="G261" s="45"/>
      <c r="H261" s="48"/>
      <c r="I261" s="46"/>
      <c r="J261" s="26"/>
      <c r="K261" s="41"/>
      <c r="L261" s="37"/>
      <c r="M261" s="37"/>
      <c r="N261" s="37"/>
      <c r="O261" s="42"/>
      <c r="P261" s="47"/>
    </row>
    <row r="262" s="4" customFormat="1" spans="1:16">
      <c r="A262" s="23"/>
      <c r="B262" s="47"/>
      <c r="C262" s="25"/>
      <c r="D262" s="37"/>
      <c r="E262" s="38"/>
      <c r="F262" s="37"/>
      <c r="G262" s="45"/>
      <c r="H262" s="48"/>
      <c r="I262" s="46"/>
      <c r="J262" s="26"/>
      <c r="K262" s="41"/>
      <c r="L262" s="37"/>
      <c r="M262" s="37"/>
      <c r="N262" s="37"/>
      <c r="O262" s="42"/>
      <c r="P262" s="47"/>
    </row>
    <row r="263" s="4" customFormat="1" spans="1:16">
      <c r="A263" s="23"/>
      <c r="B263" s="47"/>
      <c r="C263" s="25"/>
      <c r="D263" s="37"/>
      <c r="E263" s="38"/>
      <c r="F263" s="37"/>
      <c r="G263" s="45"/>
      <c r="H263" s="48"/>
      <c r="I263" s="46"/>
      <c r="J263" s="26"/>
      <c r="K263" s="41"/>
      <c r="L263" s="37"/>
      <c r="M263" s="37"/>
      <c r="N263" s="37"/>
      <c r="O263" s="42"/>
      <c r="P263" s="47"/>
    </row>
    <row r="264" s="4" customFormat="1" spans="1:16">
      <c r="A264" s="23"/>
      <c r="B264" s="47"/>
      <c r="C264" s="25"/>
      <c r="D264" s="37"/>
      <c r="E264" s="38"/>
      <c r="F264" s="37"/>
      <c r="G264" s="45"/>
      <c r="H264" s="48"/>
      <c r="I264" s="46"/>
      <c r="J264" s="26"/>
      <c r="K264" s="41"/>
      <c r="L264" s="37"/>
      <c r="M264" s="37"/>
      <c r="N264" s="37"/>
      <c r="O264" s="42"/>
      <c r="P264" s="47"/>
    </row>
    <row r="265" s="4" customFormat="1" spans="1:16">
      <c r="A265" s="23"/>
      <c r="B265" s="47"/>
      <c r="C265" s="25"/>
      <c r="D265" s="37"/>
      <c r="E265" s="38"/>
      <c r="F265" s="37"/>
      <c r="G265" s="45"/>
      <c r="H265" s="48"/>
      <c r="I265" s="46"/>
      <c r="J265" s="26"/>
      <c r="K265" s="41"/>
      <c r="L265" s="37"/>
      <c r="M265" s="37"/>
      <c r="N265" s="37"/>
      <c r="O265" s="42"/>
      <c r="P265" s="47"/>
    </row>
    <row r="266" s="4" customFormat="1" spans="1:16">
      <c r="A266" s="23"/>
      <c r="B266" s="47"/>
      <c r="C266" s="25"/>
      <c r="D266" s="37"/>
      <c r="E266" s="38"/>
      <c r="F266" s="37"/>
      <c r="G266" s="45"/>
      <c r="H266" s="48"/>
      <c r="I266" s="46"/>
      <c r="J266" s="26"/>
      <c r="K266" s="41"/>
      <c r="L266" s="37"/>
      <c r="M266" s="37"/>
      <c r="N266" s="37"/>
      <c r="O266" s="42"/>
      <c r="P266" s="47"/>
    </row>
    <row r="267" s="4" customFormat="1" spans="1:16">
      <c r="A267" s="23"/>
      <c r="B267" s="47"/>
      <c r="C267" s="25"/>
      <c r="D267" s="37"/>
      <c r="E267" s="38"/>
      <c r="F267" s="37"/>
      <c r="G267" s="45"/>
      <c r="H267" s="48"/>
      <c r="I267" s="46"/>
      <c r="J267" s="26"/>
      <c r="K267" s="41"/>
      <c r="L267" s="37"/>
      <c r="M267" s="37"/>
      <c r="N267" s="37"/>
      <c r="O267" s="42"/>
      <c r="P267" s="47"/>
    </row>
    <row r="268" s="4" customFormat="1" spans="1:16">
      <c r="A268" s="23"/>
      <c r="B268" s="47"/>
      <c r="C268" s="25"/>
      <c r="D268" s="37"/>
      <c r="E268" s="38"/>
      <c r="F268" s="37"/>
      <c r="G268" s="45"/>
      <c r="H268" s="48"/>
      <c r="I268" s="46"/>
      <c r="J268" s="26"/>
      <c r="K268" s="41"/>
      <c r="L268" s="37"/>
      <c r="M268" s="37"/>
      <c r="N268" s="37"/>
      <c r="O268" s="42"/>
      <c r="P268" s="47"/>
    </row>
    <row r="269" s="4" customFormat="1" spans="1:16">
      <c r="A269" s="23"/>
      <c r="B269" s="47"/>
      <c r="C269" s="25"/>
      <c r="D269" s="37"/>
      <c r="E269" s="38"/>
      <c r="F269" s="37"/>
      <c r="G269" s="45"/>
      <c r="H269" s="48"/>
      <c r="I269" s="46"/>
      <c r="J269" s="26"/>
      <c r="K269" s="41"/>
      <c r="L269" s="37"/>
      <c r="M269" s="37"/>
      <c r="N269" s="37"/>
      <c r="O269" s="42"/>
      <c r="P269" s="47"/>
    </row>
    <row r="270" s="4" customFormat="1" spans="1:16">
      <c r="A270" s="23"/>
      <c r="B270" s="47"/>
      <c r="C270" s="25"/>
      <c r="D270" s="37"/>
      <c r="E270" s="38"/>
      <c r="F270" s="37"/>
      <c r="G270" s="45"/>
      <c r="H270" s="48"/>
      <c r="I270" s="46"/>
      <c r="J270" s="26"/>
      <c r="K270" s="41"/>
      <c r="L270" s="37"/>
      <c r="M270" s="37"/>
      <c r="N270" s="37"/>
      <c r="O270" s="42"/>
      <c r="P270" s="47"/>
    </row>
    <row r="271" s="4" customFormat="1" spans="1:16">
      <c r="A271" s="23"/>
      <c r="B271" s="47"/>
      <c r="C271" s="25"/>
      <c r="D271" s="37"/>
      <c r="E271" s="38"/>
      <c r="F271" s="37"/>
      <c r="G271" s="45"/>
      <c r="H271" s="48"/>
      <c r="I271" s="46"/>
      <c r="J271" s="26"/>
      <c r="K271" s="41"/>
      <c r="L271" s="37"/>
      <c r="M271" s="37"/>
      <c r="N271" s="37"/>
      <c r="O271" s="42"/>
      <c r="P271" s="47"/>
    </row>
    <row r="272" s="2" customFormat="1" spans="1:16">
      <c r="A272" s="23"/>
      <c r="B272" s="47"/>
      <c r="C272" s="25"/>
      <c r="D272" s="37"/>
      <c r="E272" s="38"/>
      <c r="F272" s="37"/>
      <c r="G272" s="45"/>
      <c r="H272" s="48"/>
      <c r="I272" s="46"/>
      <c r="J272" s="41"/>
      <c r="K272" s="41"/>
      <c r="L272" s="37"/>
      <c r="M272" s="37"/>
      <c r="N272" s="37"/>
      <c r="O272" s="42"/>
      <c r="P272" s="37"/>
    </row>
    <row r="273" s="2" customFormat="1" spans="1:16">
      <c r="A273" s="23"/>
      <c r="B273" s="47"/>
      <c r="C273" s="25"/>
      <c r="D273" s="37"/>
      <c r="E273" s="38"/>
      <c r="F273" s="37"/>
      <c r="G273" s="45"/>
      <c r="H273" s="48"/>
      <c r="I273" s="46"/>
      <c r="J273" s="41"/>
      <c r="K273" s="41"/>
      <c r="L273" s="37"/>
      <c r="M273" s="37"/>
      <c r="N273" s="37"/>
      <c r="O273" s="42"/>
      <c r="P273" s="37"/>
    </row>
    <row r="274" s="2" customFormat="1" spans="1:16">
      <c r="A274" s="23"/>
      <c r="B274" s="47"/>
      <c r="C274" s="25"/>
      <c r="D274" s="37"/>
      <c r="E274" s="38"/>
      <c r="F274" s="37"/>
      <c r="G274" s="45"/>
      <c r="H274" s="48"/>
      <c r="I274" s="46"/>
      <c r="J274" s="41"/>
      <c r="K274" s="41"/>
      <c r="L274" s="37"/>
      <c r="M274" s="37"/>
      <c r="N274" s="37"/>
      <c r="O274" s="42"/>
      <c r="P274" s="37"/>
    </row>
    <row r="275" s="2" customFormat="1" spans="1:16">
      <c r="A275" s="23"/>
      <c r="B275" s="47"/>
      <c r="C275" s="25"/>
      <c r="D275" s="37"/>
      <c r="E275" s="38"/>
      <c r="F275" s="37"/>
      <c r="G275" s="45"/>
      <c r="H275" s="48"/>
      <c r="I275" s="46"/>
      <c r="J275" s="41"/>
      <c r="K275" s="41"/>
      <c r="L275" s="37"/>
      <c r="M275" s="37"/>
      <c r="N275" s="37"/>
      <c r="O275" s="42"/>
      <c r="P275" s="37"/>
    </row>
    <row r="276" s="2" customFormat="1" spans="1:16">
      <c r="A276" s="23"/>
      <c r="B276" s="47"/>
      <c r="C276" s="25"/>
      <c r="D276" s="37"/>
      <c r="E276" s="38"/>
      <c r="F276" s="37"/>
      <c r="G276" s="45"/>
      <c r="H276" s="48"/>
      <c r="I276" s="46"/>
      <c r="J276" s="41"/>
      <c r="K276" s="41"/>
      <c r="L276" s="37"/>
      <c r="M276" s="37"/>
      <c r="N276" s="37"/>
      <c r="O276" s="42"/>
      <c r="P276" s="37"/>
    </row>
    <row r="277" s="2" customFormat="1" spans="1:16">
      <c r="A277" s="23"/>
      <c r="B277" s="47"/>
      <c r="C277" s="25"/>
      <c r="D277" s="37"/>
      <c r="E277" s="38"/>
      <c r="F277" s="37"/>
      <c r="G277" s="45"/>
      <c r="H277" s="48"/>
      <c r="I277" s="46"/>
      <c r="J277" s="41"/>
      <c r="K277" s="41"/>
      <c r="L277" s="37"/>
      <c r="M277" s="37"/>
      <c r="N277" s="37"/>
      <c r="O277" s="42"/>
      <c r="P277" s="37"/>
    </row>
    <row r="278" s="2" customFormat="1" spans="1:16">
      <c r="A278" s="23"/>
      <c r="B278" s="47"/>
      <c r="C278" s="25"/>
      <c r="D278" s="37"/>
      <c r="E278" s="38"/>
      <c r="F278" s="37"/>
      <c r="G278" s="45"/>
      <c r="H278" s="48"/>
      <c r="I278" s="46"/>
      <c r="J278" s="41"/>
      <c r="K278" s="41"/>
      <c r="L278" s="37"/>
      <c r="M278" s="37"/>
      <c r="N278" s="37"/>
      <c r="O278" s="42"/>
      <c r="P278" s="37"/>
    </row>
    <row r="279" s="2" customFormat="1" spans="1:16">
      <c r="A279" s="23"/>
      <c r="B279" s="47"/>
      <c r="C279" s="25"/>
      <c r="D279" s="37"/>
      <c r="E279" s="38"/>
      <c r="F279" s="37"/>
      <c r="G279" s="45"/>
      <c r="H279" s="48"/>
      <c r="I279" s="46"/>
      <c r="J279" s="41"/>
      <c r="K279" s="41"/>
      <c r="L279" s="37"/>
      <c r="M279" s="37"/>
      <c r="N279" s="37"/>
      <c r="O279" s="42"/>
      <c r="P279" s="37"/>
    </row>
    <row r="280" s="2" customFormat="1" spans="1:16">
      <c r="A280" s="23"/>
      <c r="B280" s="47"/>
      <c r="C280" s="25"/>
      <c r="D280" s="37"/>
      <c r="E280" s="38"/>
      <c r="F280" s="37"/>
      <c r="G280" s="45"/>
      <c r="H280" s="48"/>
      <c r="I280" s="46"/>
      <c r="J280" s="41"/>
      <c r="K280" s="41"/>
      <c r="L280" s="37"/>
      <c r="M280" s="37"/>
      <c r="N280" s="37"/>
      <c r="O280" s="42"/>
      <c r="P280" s="37"/>
    </row>
    <row r="281" s="2" customFormat="1" spans="1:16">
      <c r="A281" s="23"/>
      <c r="B281" s="47"/>
      <c r="C281" s="25"/>
      <c r="D281" s="37"/>
      <c r="E281" s="38"/>
      <c r="F281" s="37"/>
      <c r="G281" s="45"/>
      <c r="H281" s="48"/>
      <c r="I281" s="46"/>
      <c r="J281" s="41"/>
      <c r="K281" s="41"/>
      <c r="L281" s="37"/>
      <c r="M281" s="37"/>
      <c r="N281" s="37"/>
      <c r="O281" s="42"/>
      <c r="P281" s="37"/>
    </row>
    <row r="282" s="2" customFormat="1" spans="1:16">
      <c r="A282" s="23"/>
      <c r="B282" s="47"/>
      <c r="C282" s="25"/>
      <c r="D282" s="37"/>
      <c r="E282" s="38"/>
      <c r="F282" s="37"/>
      <c r="G282" s="45"/>
      <c r="H282" s="48"/>
      <c r="I282" s="46"/>
      <c r="J282" s="41"/>
      <c r="K282" s="41"/>
      <c r="L282" s="37"/>
      <c r="M282" s="37"/>
      <c r="N282" s="37"/>
      <c r="O282" s="42"/>
      <c r="P282" s="37"/>
    </row>
    <row r="283" s="2" customFormat="1" spans="1:16">
      <c r="A283" s="23"/>
      <c r="B283" s="47"/>
      <c r="C283" s="25"/>
      <c r="D283" s="37"/>
      <c r="E283" s="38"/>
      <c r="F283" s="37"/>
      <c r="G283" s="45"/>
      <c r="H283" s="48"/>
      <c r="I283" s="46"/>
      <c r="J283" s="41"/>
      <c r="K283" s="41"/>
      <c r="L283" s="37"/>
      <c r="M283" s="37"/>
      <c r="N283" s="37"/>
      <c r="O283" s="42"/>
      <c r="P283" s="37"/>
    </row>
    <row r="284" s="2" customFormat="1" spans="1:16">
      <c r="A284" s="23"/>
      <c r="B284" s="47"/>
      <c r="C284" s="25"/>
      <c r="D284" s="37"/>
      <c r="E284" s="38"/>
      <c r="F284" s="37"/>
      <c r="G284" s="45"/>
      <c r="H284" s="48"/>
      <c r="I284" s="46"/>
      <c r="J284" s="41"/>
      <c r="K284" s="41"/>
      <c r="L284" s="37"/>
      <c r="M284" s="37"/>
      <c r="N284" s="37"/>
      <c r="O284" s="42"/>
      <c r="P284" s="37"/>
    </row>
    <row r="285" s="2" customFormat="1" spans="1:16">
      <c r="A285" s="23"/>
      <c r="B285" s="47"/>
      <c r="C285" s="25"/>
      <c r="D285" s="37"/>
      <c r="E285" s="38"/>
      <c r="F285" s="37"/>
      <c r="G285" s="45"/>
      <c r="H285" s="48"/>
      <c r="I285" s="46"/>
      <c r="J285" s="41"/>
      <c r="K285" s="41"/>
      <c r="L285" s="37"/>
      <c r="M285" s="37"/>
      <c r="N285" s="37"/>
      <c r="O285" s="42"/>
      <c r="P285" s="37"/>
    </row>
    <row r="286" s="2" customFormat="1" spans="1:16">
      <c r="A286" s="23"/>
      <c r="B286" s="47"/>
      <c r="C286" s="25"/>
      <c r="D286" s="37"/>
      <c r="E286" s="38"/>
      <c r="F286" s="37"/>
      <c r="G286" s="45"/>
      <c r="H286" s="48"/>
      <c r="I286" s="46"/>
      <c r="J286" s="41"/>
      <c r="K286" s="41"/>
      <c r="L286" s="37"/>
      <c r="M286" s="37"/>
      <c r="N286" s="37"/>
      <c r="O286" s="42"/>
      <c r="P286" s="37"/>
    </row>
    <row r="287" s="2" customFormat="1" spans="1:16">
      <c r="A287" s="23"/>
      <c r="B287" s="47"/>
      <c r="C287" s="25"/>
      <c r="D287" s="37"/>
      <c r="E287" s="38"/>
      <c r="F287" s="37"/>
      <c r="G287" s="45"/>
      <c r="H287" s="48"/>
      <c r="I287" s="46"/>
      <c r="J287" s="41"/>
      <c r="K287" s="41"/>
      <c r="L287" s="37"/>
      <c r="M287" s="37"/>
      <c r="N287" s="37"/>
      <c r="O287" s="42"/>
      <c r="P287" s="37"/>
    </row>
    <row r="288" s="2" customFormat="1" spans="1:16">
      <c r="A288" s="23"/>
      <c r="B288" s="47"/>
      <c r="C288" s="25"/>
      <c r="D288" s="37"/>
      <c r="E288" s="38"/>
      <c r="F288" s="37"/>
      <c r="G288" s="45"/>
      <c r="H288" s="48"/>
      <c r="I288" s="46"/>
      <c r="J288" s="41"/>
      <c r="K288" s="41"/>
      <c r="L288" s="37"/>
      <c r="M288" s="37"/>
      <c r="N288" s="37"/>
      <c r="O288" s="42"/>
      <c r="P288" s="37"/>
    </row>
    <row r="289" s="2" customFormat="1" spans="1:16">
      <c r="A289" s="23"/>
      <c r="B289" s="47"/>
      <c r="C289" s="25"/>
      <c r="D289" s="37"/>
      <c r="E289" s="38"/>
      <c r="F289" s="37"/>
      <c r="G289" s="45"/>
      <c r="H289" s="48"/>
      <c r="I289" s="46"/>
      <c r="J289" s="41"/>
      <c r="K289" s="41"/>
      <c r="L289" s="37"/>
      <c r="M289" s="37"/>
      <c r="N289" s="37"/>
      <c r="O289" s="42"/>
      <c r="P289" s="37"/>
    </row>
    <row r="290" s="2" customFormat="1" spans="1:16">
      <c r="A290" s="23"/>
      <c r="B290" s="37"/>
      <c r="C290" s="25"/>
      <c r="D290" s="37"/>
      <c r="E290" s="37"/>
      <c r="F290" s="37"/>
      <c r="G290" s="45"/>
      <c r="H290" s="48"/>
      <c r="I290" s="46"/>
      <c r="J290" s="41"/>
      <c r="K290" s="41"/>
      <c r="L290" s="37"/>
      <c r="M290" s="37"/>
      <c r="N290" s="37"/>
      <c r="O290" s="42"/>
      <c r="P290" s="37"/>
    </row>
    <row r="291" s="2" customFormat="1" spans="1:16">
      <c r="A291" s="23"/>
      <c r="B291" s="37"/>
      <c r="C291" s="25"/>
      <c r="D291" s="37"/>
      <c r="E291" s="38"/>
      <c r="F291" s="37"/>
      <c r="G291" s="45"/>
      <c r="H291" s="48"/>
      <c r="I291" s="46"/>
      <c r="J291" s="41"/>
      <c r="K291" s="41"/>
      <c r="L291" s="37"/>
      <c r="M291" s="37"/>
      <c r="N291" s="37"/>
      <c r="O291" s="42"/>
      <c r="P291" s="37"/>
    </row>
    <row r="292" s="2" customFormat="1" spans="1:16">
      <c r="A292" s="23"/>
      <c r="B292" s="37"/>
      <c r="C292" s="25"/>
      <c r="D292" s="37"/>
      <c r="E292" s="38"/>
      <c r="F292" s="37"/>
      <c r="G292" s="45"/>
      <c r="H292" s="48"/>
      <c r="I292" s="46"/>
      <c r="J292" s="41"/>
      <c r="K292" s="41"/>
      <c r="L292" s="37"/>
      <c r="M292" s="37"/>
      <c r="N292" s="37"/>
      <c r="O292" s="42"/>
      <c r="P292" s="37"/>
    </row>
    <row r="293" s="2" customFormat="1" spans="1:16">
      <c r="A293" s="23"/>
      <c r="B293" s="37"/>
      <c r="C293" s="25"/>
      <c r="D293" s="37"/>
      <c r="E293" s="38"/>
      <c r="F293" s="37"/>
      <c r="G293" s="45"/>
      <c r="H293" s="48"/>
      <c r="I293" s="46"/>
      <c r="J293" s="41"/>
      <c r="K293" s="41"/>
      <c r="L293" s="37"/>
      <c r="M293" s="37"/>
      <c r="N293" s="37"/>
      <c r="O293" s="42"/>
      <c r="P293" s="37"/>
    </row>
    <row r="294" s="2" customFormat="1" spans="1:16">
      <c r="A294" s="23"/>
      <c r="B294" s="37"/>
      <c r="C294" s="25"/>
      <c r="D294" s="37"/>
      <c r="E294" s="38"/>
      <c r="F294" s="37"/>
      <c r="G294" s="45"/>
      <c r="H294" s="48"/>
      <c r="I294" s="46"/>
      <c r="J294" s="41"/>
      <c r="K294" s="41"/>
      <c r="L294" s="37"/>
      <c r="M294" s="37"/>
      <c r="N294" s="37"/>
      <c r="O294" s="42"/>
      <c r="P294" s="37"/>
    </row>
    <row r="295" s="2" customFormat="1" spans="1:16">
      <c r="A295" s="23"/>
      <c r="B295" s="37"/>
      <c r="C295" s="25"/>
      <c r="D295" s="37"/>
      <c r="E295" s="38"/>
      <c r="F295" s="37"/>
      <c r="G295" s="45"/>
      <c r="H295" s="48"/>
      <c r="I295" s="46"/>
      <c r="J295" s="41"/>
      <c r="K295" s="41"/>
      <c r="L295" s="37"/>
      <c r="M295" s="37"/>
      <c r="N295" s="37"/>
      <c r="O295" s="42"/>
      <c r="P295" s="37"/>
    </row>
    <row r="296" s="2" customFormat="1" spans="1:16">
      <c r="A296" s="23"/>
      <c r="B296" s="37"/>
      <c r="C296" s="25"/>
      <c r="D296" s="37"/>
      <c r="E296" s="38"/>
      <c r="F296" s="37"/>
      <c r="G296" s="45"/>
      <c r="H296" s="48"/>
      <c r="I296" s="46"/>
      <c r="J296" s="41"/>
      <c r="K296" s="41"/>
      <c r="L296" s="37"/>
      <c r="M296" s="37"/>
      <c r="N296" s="37"/>
      <c r="O296" s="42"/>
      <c r="P296" s="37"/>
    </row>
    <row r="297" s="2" customFormat="1" spans="1:16">
      <c r="A297" s="23"/>
      <c r="B297" s="37"/>
      <c r="C297" s="25"/>
      <c r="D297" s="37"/>
      <c r="E297" s="38"/>
      <c r="F297" s="37"/>
      <c r="G297" s="45"/>
      <c r="H297" s="48"/>
      <c r="I297" s="46"/>
      <c r="J297" s="41"/>
      <c r="K297" s="41"/>
      <c r="L297" s="37"/>
      <c r="M297" s="37"/>
      <c r="N297" s="37"/>
      <c r="O297" s="42"/>
      <c r="P297" s="37"/>
    </row>
    <row r="298" s="2" customFormat="1" spans="1:16">
      <c r="A298" s="23"/>
      <c r="B298" s="37"/>
      <c r="C298" s="25"/>
      <c r="D298" s="37"/>
      <c r="E298" s="38"/>
      <c r="F298" s="37"/>
      <c r="G298" s="45"/>
      <c r="H298" s="48"/>
      <c r="I298" s="46"/>
      <c r="J298" s="41"/>
      <c r="K298" s="41"/>
      <c r="L298" s="37"/>
      <c r="M298" s="37"/>
      <c r="N298" s="37"/>
      <c r="O298" s="42"/>
      <c r="P298" s="37"/>
    </row>
    <row r="299" s="2" customFormat="1" spans="1:16">
      <c r="A299" s="23"/>
      <c r="B299" s="37"/>
      <c r="C299" s="25"/>
      <c r="D299" s="37"/>
      <c r="E299" s="38"/>
      <c r="F299" s="37"/>
      <c r="G299" s="45"/>
      <c r="H299" s="48"/>
      <c r="I299" s="46"/>
      <c r="J299" s="41"/>
      <c r="K299" s="41"/>
      <c r="L299" s="37"/>
      <c r="M299" s="37"/>
      <c r="N299" s="37"/>
      <c r="O299" s="42"/>
      <c r="P299" s="37"/>
    </row>
    <row r="300" s="2" customFormat="1" spans="1:16">
      <c r="A300" s="23"/>
      <c r="B300" s="37"/>
      <c r="C300" s="25"/>
      <c r="D300" s="37"/>
      <c r="E300" s="38"/>
      <c r="F300" s="37"/>
      <c r="G300" s="45"/>
      <c r="H300" s="48"/>
      <c r="I300" s="46"/>
      <c r="J300" s="41"/>
      <c r="K300" s="41"/>
      <c r="L300" s="37"/>
      <c r="M300" s="37"/>
      <c r="N300" s="37"/>
      <c r="O300" s="42"/>
      <c r="P300" s="37"/>
    </row>
    <row r="301" s="2" customFormat="1" spans="1:16">
      <c r="A301" s="23"/>
      <c r="B301" s="37"/>
      <c r="C301" s="25"/>
      <c r="D301" s="37"/>
      <c r="E301" s="38"/>
      <c r="F301" s="37"/>
      <c r="G301" s="45"/>
      <c r="H301" s="48"/>
      <c r="I301" s="46"/>
      <c r="J301" s="41"/>
      <c r="K301" s="41"/>
      <c r="L301" s="37"/>
      <c r="M301" s="37"/>
      <c r="N301" s="37"/>
      <c r="O301" s="42"/>
      <c r="P301" s="37"/>
    </row>
    <row r="302" s="2" customFormat="1" spans="1:16">
      <c r="A302" s="23"/>
      <c r="B302" s="37"/>
      <c r="C302" s="25"/>
      <c r="D302" s="37"/>
      <c r="E302" s="38"/>
      <c r="F302" s="37"/>
      <c r="G302" s="45"/>
      <c r="H302" s="48"/>
      <c r="I302" s="46"/>
      <c r="J302" s="41"/>
      <c r="K302" s="41"/>
      <c r="L302" s="37"/>
      <c r="M302" s="37"/>
      <c r="N302" s="37"/>
      <c r="O302" s="42"/>
      <c r="P302" s="37"/>
    </row>
    <row r="303" s="2" customFormat="1" spans="1:16">
      <c r="A303" s="23"/>
      <c r="B303" s="37"/>
      <c r="C303" s="25"/>
      <c r="D303" s="37"/>
      <c r="E303" s="38"/>
      <c r="F303" s="37"/>
      <c r="G303" s="45"/>
      <c r="H303" s="48"/>
      <c r="I303" s="46"/>
      <c r="J303" s="41"/>
      <c r="K303" s="41"/>
      <c r="L303" s="37"/>
      <c r="M303" s="37"/>
      <c r="N303" s="37"/>
      <c r="O303" s="42"/>
      <c r="P303" s="37"/>
    </row>
    <row r="304" s="2" customFormat="1" spans="1:16">
      <c r="A304" s="23"/>
      <c r="B304" s="37"/>
      <c r="C304" s="25"/>
      <c r="D304" s="37"/>
      <c r="E304" s="38"/>
      <c r="F304" s="37"/>
      <c r="G304" s="45"/>
      <c r="H304" s="48"/>
      <c r="I304" s="46"/>
      <c r="J304" s="41"/>
      <c r="K304" s="41"/>
      <c r="L304" s="37"/>
      <c r="M304" s="37"/>
      <c r="N304" s="37"/>
      <c r="O304" s="42"/>
      <c r="P304" s="37"/>
    </row>
    <row r="305" s="2" customFormat="1" spans="1:16">
      <c r="A305" s="23"/>
      <c r="B305" s="37"/>
      <c r="C305" s="25"/>
      <c r="D305" s="37"/>
      <c r="E305" s="38"/>
      <c r="F305" s="37"/>
      <c r="G305" s="45"/>
      <c r="H305" s="48"/>
      <c r="I305" s="46"/>
      <c r="J305" s="41"/>
      <c r="K305" s="41"/>
      <c r="L305" s="37"/>
      <c r="M305" s="37"/>
      <c r="N305" s="37"/>
      <c r="O305" s="42"/>
      <c r="P305" s="37"/>
    </row>
    <row r="306" s="2" customFormat="1" spans="1:16">
      <c r="A306" s="23"/>
      <c r="B306" s="37"/>
      <c r="C306" s="25"/>
      <c r="D306" s="37"/>
      <c r="E306" s="38"/>
      <c r="F306" s="37"/>
      <c r="G306" s="45"/>
      <c r="H306" s="48"/>
      <c r="I306" s="46"/>
      <c r="J306" s="41"/>
      <c r="K306" s="41"/>
      <c r="L306" s="37"/>
      <c r="M306" s="37"/>
      <c r="N306" s="37"/>
      <c r="O306" s="42"/>
      <c r="P306" s="37"/>
    </row>
    <row r="307" s="2" customFormat="1" spans="1:16">
      <c r="A307" s="23"/>
      <c r="B307" s="37"/>
      <c r="C307" s="25"/>
      <c r="D307" s="37"/>
      <c r="E307" s="38"/>
      <c r="F307" s="37"/>
      <c r="G307" s="45"/>
      <c r="H307" s="48"/>
      <c r="I307" s="46"/>
      <c r="J307" s="41"/>
      <c r="K307" s="41"/>
      <c r="L307" s="37"/>
      <c r="M307" s="37"/>
      <c r="N307" s="37"/>
      <c r="O307" s="42"/>
      <c r="P307" s="37"/>
    </row>
    <row r="308" s="2" customFormat="1" spans="1:16">
      <c r="A308" s="23"/>
      <c r="B308" s="37"/>
      <c r="C308" s="25"/>
      <c r="D308" s="37"/>
      <c r="E308" s="38"/>
      <c r="F308" s="37"/>
      <c r="G308" s="45"/>
      <c r="H308" s="48"/>
      <c r="I308" s="46"/>
      <c r="J308" s="41"/>
      <c r="K308" s="41"/>
      <c r="L308" s="37"/>
      <c r="M308" s="37"/>
      <c r="N308" s="37"/>
      <c r="O308" s="42"/>
      <c r="P308" s="37"/>
    </row>
    <row r="309" s="2" customFormat="1" spans="1:16">
      <c r="A309" s="23"/>
      <c r="B309" s="37"/>
      <c r="C309" s="25"/>
      <c r="D309" s="37"/>
      <c r="E309" s="38"/>
      <c r="F309" s="37"/>
      <c r="G309" s="45"/>
      <c r="H309" s="48"/>
      <c r="I309" s="46"/>
      <c r="J309" s="41"/>
      <c r="K309" s="41"/>
      <c r="L309" s="37"/>
      <c r="M309" s="37"/>
      <c r="N309" s="37"/>
      <c r="O309" s="42"/>
      <c r="P309" s="37"/>
    </row>
    <row r="310" s="2" customFormat="1" spans="1:16">
      <c r="A310" s="23"/>
      <c r="B310" s="37"/>
      <c r="C310" s="25"/>
      <c r="D310" s="37"/>
      <c r="E310" s="38"/>
      <c r="F310" s="37"/>
      <c r="G310" s="45"/>
      <c r="H310" s="48"/>
      <c r="I310" s="46"/>
      <c r="J310" s="41"/>
      <c r="K310" s="41"/>
      <c r="L310" s="37"/>
      <c r="M310" s="37"/>
      <c r="N310" s="37"/>
      <c r="O310" s="42"/>
      <c r="P310" s="37"/>
    </row>
    <row r="311" s="2" customFormat="1" spans="1:16">
      <c r="A311" s="23"/>
      <c r="B311" s="37"/>
      <c r="C311" s="25"/>
      <c r="D311" s="37"/>
      <c r="E311" s="38"/>
      <c r="F311" s="37"/>
      <c r="G311" s="45"/>
      <c r="H311" s="48"/>
      <c r="I311" s="46"/>
      <c r="J311" s="41"/>
      <c r="K311" s="41"/>
      <c r="L311" s="37"/>
      <c r="M311" s="37"/>
      <c r="N311" s="37"/>
      <c r="O311" s="42"/>
      <c r="P311" s="37"/>
    </row>
    <row r="312" s="2" customFormat="1" spans="1:16">
      <c r="A312" s="23"/>
      <c r="B312" s="37"/>
      <c r="C312" s="25"/>
      <c r="D312" s="37"/>
      <c r="E312" s="38"/>
      <c r="F312" s="37"/>
      <c r="G312" s="45"/>
      <c r="H312" s="48"/>
      <c r="I312" s="46"/>
      <c r="J312" s="41"/>
      <c r="K312" s="41"/>
      <c r="L312" s="37"/>
      <c r="M312" s="37"/>
      <c r="N312" s="37"/>
      <c r="O312" s="42"/>
      <c r="P312" s="37"/>
    </row>
    <row r="313" s="2" customFormat="1" spans="1:16">
      <c r="A313" s="23"/>
      <c r="B313" s="37"/>
      <c r="C313" s="25"/>
      <c r="D313" s="37"/>
      <c r="E313" s="38"/>
      <c r="F313" s="37"/>
      <c r="G313" s="45"/>
      <c r="H313" s="48"/>
      <c r="I313" s="46"/>
      <c r="J313" s="41"/>
      <c r="K313" s="41"/>
      <c r="L313" s="37"/>
      <c r="M313" s="37"/>
      <c r="N313" s="37"/>
      <c r="O313" s="42"/>
      <c r="P313" s="37"/>
    </row>
    <row r="314" s="2" customFormat="1" spans="1:16">
      <c r="A314" s="23"/>
      <c r="B314" s="37"/>
      <c r="C314" s="25"/>
      <c r="D314" s="37"/>
      <c r="E314" s="38"/>
      <c r="F314" s="37"/>
      <c r="G314" s="45"/>
      <c r="H314" s="48"/>
      <c r="I314" s="46"/>
      <c r="J314" s="41"/>
      <c r="K314" s="41"/>
      <c r="L314" s="37"/>
      <c r="M314" s="37"/>
      <c r="N314" s="37"/>
      <c r="O314" s="42"/>
      <c r="P314" s="37"/>
    </row>
    <row r="315" s="2" customFormat="1" spans="1:16">
      <c r="A315" s="23"/>
      <c r="B315" s="37"/>
      <c r="C315" s="25"/>
      <c r="D315" s="37"/>
      <c r="E315" s="38"/>
      <c r="F315" s="37"/>
      <c r="G315" s="45"/>
      <c r="H315" s="48"/>
      <c r="I315" s="46"/>
      <c r="J315" s="41"/>
      <c r="K315" s="41"/>
      <c r="L315" s="37"/>
      <c r="M315" s="37"/>
      <c r="N315" s="37"/>
      <c r="O315" s="42"/>
      <c r="P315" s="37"/>
    </row>
    <row r="316" s="2" customFormat="1" spans="1:16">
      <c r="A316" s="23"/>
      <c r="B316" s="37"/>
      <c r="C316" s="25"/>
      <c r="D316" s="38"/>
      <c r="E316" s="38"/>
      <c r="F316" s="37"/>
      <c r="G316" s="45"/>
      <c r="H316" s="48"/>
      <c r="I316" s="46"/>
      <c r="J316" s="41"/>
      <c r="K316" s="41"/>
      <c r="L316" s="37"/>
      <c r="M316" s="37"/>
      <c r="N316" s="37"/>
      <c r="O316" s="42"/>
      <c r="P316" s="37"/>
    </row>
    <row r="317" s="2" customFormat="1" spans="1:16">
      <c r="A317" s="23"/>
      <c r="B317" s="37"/>
      <c r="C317" s="25"/>
      <c r="D317" s="38"/>
      <c r="E317" s="38"/>
      <c r="F317" s="37"/>
      <c r="G317" s="45"/>
      <c r="H317" s="48"/>
      <c r="I317" s="46"/>
      <c r="J317" s="41"/>
      <c r="K317" s="41"/>
      <c r="L317" s="37"/>
      <c r="M317" s="37"/>
      <c r="N317" s="37"/>
      <c r="O317" s="42"/>
      <c r="P317" s="37"/>
    </row>
    <row r="318" s="2" customFormat="1" spans="1:16">
      <c r="A318" s="23"/>
      <c r="B318" s="37"/>
      <c r="C318" s="25"/>
      <c r="D318" s="38"/>
      <c r="E318" s="38"/>
      <c r="F318" s="37"/>
      <c r="G318" s="45"/>
      <c r="H318" s="48"/>
      <c r="I318" s="46"/>
      <c r="J318" s="41"/>
      <c r="K318" s="41"/>
      <c r="L318" s="37"/>
      <c r="M318" s="37"/>
      <c r="N318" s="37"/>
      <c r="O318" s="42"/>
      <c r="P318" s="37"/>
    </row>
    <row r="319" s="2" customFormat="1" spans="1:16">
      <c r="A319" s="23"/>
      <c r="B319" s="37"/>
      <c r="C319" s="25"/>
      <c r="D319" s="38"/>
      <c r="E319" s="38"/>
      <c r="F319" s="37"/>
      <c r="G319" s="45"/>
      <c r="H319" s="48"/>
      <c r="I319" s="46"/>
      <c r="J319" s="41"/>
      <c r="K319" s="41"/>
      <c r="L319" s="37"/>
      <c r="M319" s="37"/>
      <c r="N319" s="37"/>
      <c r="O319" s="42"/>
      <c r="P319" s="37"/>
    </row>
    <row r="320" s="2" customFormat="1" spans="1:16">
      <c r="A320" s="23"/>
      <c r="B320" s="37"/>
      <c r="C320" s="25"/>
      <c r="D320" s="38"/>
      <c r="E320" s="38"/>
      <c r="F320" s="37"/>
      <c r="G320" s="45"/>
      <c r="H320" s="48"/>
      <c r="I320" s="46"/>
      <c r="J320" s="41"/>
      <c r="K320" s="41"/>
      <c r="L320" s="37"/>
      <c r="M320" s="37"/>
      <c r="N320" s="37"/>
      <c r="O320" s="42"/>
      <c r="P320" s="37"/>
    </row>
    <row r="321" s="2" customFormat="1" spans="1:16">
      <c r="A321" s="23"/>
      <c r="B321" s="37"/>
      <c r="C321" s="25"/>
      <c r="D321" s="38"/>
      <c r="E321" s="38"/>
      <c r="F321" s="37"/>
      <c r="G321" s="45"/>
      <c r="H321" s="48"/>
      <c r="I321" s="46"/>
      <c r="J321" s="41"/>
      <c r="K321" s="41"/>
      <c r="L321" s="37"/>
      <c r="M321" s="37"/>
      <c r="N321" s="37"/>
      <c r="O321" s="42"/>
      <c r="P321" s="37"/>
    </row>
    <row r="322" s="2" customFormat="1" spans="1:16">
      <c r="A322" s="23"/>
      <c r="B322" s="37"/>
      <c r="C322" s="25"/>
      <c r="D322" s="38"/>
      <c r="E322" s="38"/>
      <c r="F322" s="37"/>
      <c r="G322" s="45"/>
      <c r="H322" s="48"/>
      <c r="I322" s="46"/>
      <c r="J322" s="41"/>
      <c r="K322" s="41"/>
      <c r="L322" s="37"/>
      <c r="M322" s="37"/>
      <c r="N322" s="37"/>
      <c r="O322" s="42"/>
      <c r="P322" s="37"/>
    </row>
    <row r="323" s="2" customFormat="1" spans="1:16">
      <c r="A323" s="23"/>
      <c r="B323" s="37"/>
      <c r="C323" s="25"/>
      <c r="D323" s="38"/>
      <c r="E323" s="38"/>
      <c r="F323" s="37"/>
      <c r="G323" s="45"/>
      <c r="H323" s="48"/>
      <c r="I323" s="46"/>
      <c r="J323" s="41"/>
      <c r="K323" s="41"/>
      <c r="L323" s="37"/>
      <c r="M323" s="37"/>
      <c r="N323" s="37"/>
      <c r="O323" s="42"/>
      <c r="P323" s="37"/>
    </row>
    <row r="324" s="2" customFormat="1" spans="1:16">
      <c r="A324" s="23"/>
      <c r="B324" s="37"/>
      <c r="C324" s="25"/>
      <c r="D324" s="38"/>
      <c r="E324" s="38"/>
      <c r="F324" s="37"/>
      <c r="G324" s="45"/>
      <c r="H324" s="48"/>
      <c r="I324" s="46"/>
      <c r="J324" s="41"/>
      <c r="K324" s="41"/>
      <c r="L324" s="37"/>
      <c r="M324" s="37"/>
      <c r="N324" s="37"/>
      <c r="O324" s="42"/>
      <c r="P324" s="37"/>
    </row>
    <row r="325" s="2" customFormat="1" spans="1:16">
      <c r="A325" s="23"/>
      <c r="B325" s="37"/>
      <c r="C325" s="25"/>
      <c r="D325" s="38"/>
      <c r="E325" s="38"/>
      <c r="F325" s="37"/>
      <c r="G325" s="45"/>
      <c r="H325" s="48"/>
      <c r="I325" s="46"/>
      <c r="J325" s="41"/>
      <c r="K325" s="41"/>
      <c r="L325" s="37"/>
      <c r="M325" s="37"/>
      <c r="N325" s="37"/>
      <c r="O325" s="42"/>
      <c r="P325" s="37"/>
    </row>
    <row r="326" s="2" customFormat="1" spans="1:16">
      <c r="A326" s="23"/>
      <c r="B326" s="37"/>
      <c r="C326" s="25"/>
      <c r="D326" s="38"/>
      <c r="E326" s="38"/>
      <c r="F326" s="37"/>
      <c r="G326" s="45"/>
      <c r="H326" s="48"/>
      <c r="I326" s="46"/>
      <c r="J326" s="41"/>
      <c r="K326" s="41"/>
      <c r="L326" s="37"/>
      <c r="M326" s="37"/>
      <c r="N326" s="37"/>
      <c r="O326" s="42"/>
      <c r="P326" s="37"/>
    </row>
    <row r="327" s="2" customFormat="1" spans="1:16">
      <c r="A327" s="23"/>
      <c r="B327" s="37"/>
      <c r="C327" s="25"/>
      <c r="D327" s="38"/>
      <c r="E327" s="38"/>
      <c r="F327" s="37"/>
      <c r="G327" s="45"/>
      <c r="H327" s="48"/>
      <c r="I327" s="46"/>
      <c r="J327" s="41"/>
      <c r="K327" s="41"/>
      <c r="L327" s="37"/>
      <c r="M327" s="37"/>
      <c r="N327" s="37"/>
      <c r="O327" s="42"/>
      <c r="P327" s="37"/>
    </row>
    <row r="328" s="2" customFormat="1" spans="1:16">
      <c r="A328" s="23"/>
      <c r="B328" s="37"/>
      <c r="C328" s="25"/>
      <c r="D328" s="38"/>
      <c r="E328" s="38"/>
      <c r="F328" s="37"/>
      <c r="G328" s="45"/>
      <c r="H328" s="48"/>
      <c r="I328" s="46"/>
      <c r="J328" s="41"/>
      <c r="K328" s="41"/>
      <c r="L328" s="37"/>
      <c r="M328" s="37"/>
      <c r="N328" s="37"/>
      <c r="O328" s="42"/>
      <c r="P328" s="37"/>
    </row>
    <row r="329" s="2" customFormat="1" spans="1:16">
      <c r="A329" s="23"/>
      <c r="B329" s="37"/>
      <c r="C329" s="25"/>
      <c r="D329" s="38"/>
      <c r="E329" s="38"/>
      <c r="F329" s="37"/>
      <c r="G329" s="45"/>
      <c r="H329" s="48"/>
      <c r="I329" s="46"/>
      <c r="J329" s="41"/>
      <c r="K329" s="41"/>
      <c r="L329" s="37"/>
      <c r="M329" s="37"/>
      <c r="N329" s="37"/>
      <c r="O329" s="42"/>
      <c r="P329" s="37"/>
    </row>
    <row r="330" s="2" customFormat="1" spans="1:16">
      <c r="A330" s="23"/>
      <c r="B330" s="37"/>
      <c r="C330" s="25"/>
      <c r="D330" s="38"/>
      <c r="E330" s="38"/>
      <c r="F330" s="37"/>
      <c r="G330" s="45"/>
      <c r="H330" s="48"/>
      <c r="I330" s="46"/>
      <c r="J330" s="41"/>
      <c r="K330" s="41"/>
      <c r="L330" s="37"/>
      <c r="M330" s="37"/>
      <c r="N330" s="37"/>
      <c r="O330" s="42"/>
      <c r="P330" s="37"/>
    </row>
    <row r="331" s="2" customFormat="1" spans="1:16">
      <c r="A331" s="23"/>
      <c r="B331" s="37"/>
      <c r="C331" s="25"/>
      <c r="D331" s="38"/>
      <c r="E331" s="38"/>
      <c r="F331" s="37"/>
      <c r="G331" s="45"/>
      <c r="H331" s="48"/>
      <c r="I331" s="46"/>
      <c r="J331" s="41"/>
      <c r="K331" s="41"/>
      <c r="L331" s="37"/>
      <c r="M331" s="37"/>
      <c r="N331" s="37"/>
      <c r="O331" s="42"/>
      <c r="P331" s="37"/>
    </row>
    <row r="332" s="2" customFormat="1" spans="1:16">
      <c r="A332" s="23"/>
      <c r="B332" s="37"/>
      <c r="C332" s="25"/>
      <c r="D332" s="38"/>
      <c r="E332" s="38"/>
      <c r="F332" s="37"/>
      <c r="G332" s="45"/>
      <c r="H332" s="48"/>
      <c r="I332" s="46"/>
      <c r="J332" s="41"/>
      <c r="K332" s="41"/>
      <c r="L332" s="37"/>
      <c r="M332" s="37"/>
      <c r="N332" s="37"/>
      <c r="O332" s="42"/>
      <c r="P332" s="37"/>
    </row>
    <row r="333" s="2" customFormat="1" spans="1:16">
      <c r="A333" s="23"/>
      <c r="B333" s="37"/>
      <c r="C333" s="25"/>
      <c r="D333" s="38"/>
      <c r="E333" s="38"/>
      <c r="F333" s="37"/>
      <c r="G333" s="45"/>
      <c r="H333" s="48"/>
      <c r="I333" s="46"/>
      <c r="J333" s="41"/>
      <c r="K333" s="41"/>
      <c r="L333" s="37"/>
      <c r="M333" s="37"/>
      <c r="N333" s="37"/>
      <c r="O333" s="42"/>
      <c r="P333" s="37"/>
    </row>
    <row r="334" s="2" customFormat="1" spans="1:16">
      <c r="A334" s="23"/>
      <c r="B334" s="37"/>
      <c r="C334" s="25"/>
      <c r="D334" s="38"/>
      <c r="E334" s="38"/>
      <c r="F334" s="37"/>
      <c r="G334" s="45"/>
      <c r="H334" s="48"/>
      <c r="I334" s="46"/>
      <c r="J334" s="41"/>
      <c r="K334" s="41"/>
      <c r="L334" s="37"/>
      <c r="M334" s="37"/>
      <c r="N334" s="37"/>
      <c r="O334" s="42"/>
      <c r="P334" s="37"/>
    </row>
    <row r="335" s="2" customFormat="1" spans="1:16">
      <c r="A335" s="23"/>
      <c r="B335" s="37"/>
      <c r="C335" s="25"/>
      <c r="D335" s="38"/>
      <c r="E335" s="38"/>
      <c r="F335" s="37"/>
      <c r="G335" s="45"/>
      <c r="H335" s="48"/>
      <c r="I335" s="46"/>
      <c r="J335" s="41"/>
      <c r="K335" s="41"/>
      <c r="L335" s="37"/>
      <c r="M335" s="37"/>
      <c r="N335" s="37"/>
      <c r="O335" s="42"/>
      <c r="P335" s="37"/>
    </row>
    <row r="336" s="2" customFormat="1" spans="1:16">
      <c r="A336" s="23"/>
      <c r="B336" s="37"/>
      <c r="C336" s="25"/>
      <c r="D336" s="38"/>
      <c r="E336" s="38"/>
      <c r="F336" s="37"/>
      <c r="G336" s="45"/>
      <c r="H336" s="48"/>
      <c r="I336" s="46"/>
      <c r="J336" s="41"/>
      <c r="K336" s="41"/>
      <c r="L336" s="37"/>
      <c r="M336" s="37"/>
      <c r="N336" s="37"/>
      <c r="O336" s="42"/>
      <c r="P336" s="37"/>
    </row>
    <row r="337" s="2" customFormat="1" spans="1:16">
      <c r="A337" s="23"/>
      <c r="B337" s="37"/>
      <c r="C337" s="25"/>
      <c r="D337" s="38"/>
      <c r="E337" s="38"/>
      <c r="F337" s="37"/>
      <c r="G337" s="45"/>
      <c r="H337" s="48"/>
      <c r="I337" s="46"/>
      <c r="J337" s="41"/>
      <c r="K337" s="41"/>
      <c r="L337" s="37"/>
      <c r="M337" s="37"/>
      <c r="N337" s="37"/>
      <c r="O337" s="42"/>
      <c r="P337" s="37"/>
    </row>
    <row r="338" s="2" customFormat="1" spans="1:16">
      <c r="A338" s="23"/>
      <c r="B338" s="37"/>
      <c r="C338" s="25"/>
      <c r="D338" s="38"/>
      <c r="E338" s="38"/>
      <c r="F338" s="37"/>
      <c r="G338" s="45"/>
      <c r="H338" s="48"/>
      <c r="I338" s="46"/>
      <c r="J338" s="41"/>
      <c r="K338" s="41"/>
      <c r="L338" s="37"/>
      <c r="M338" s="37"/>
      <c r="N338" s="37"/>
      <c r="O338" s="42"/>
      <c r="P338" s="37"/>
    </row>
    <row r="339" s="2" customFormat="1" spans="1:16">
      <c r="A339" s="23"/>
      <c r="B339" s="37"/>
      <c r="C339" s="25"/>
      <c r="D339" s="38"/>
      <c r="E339" s="38"/>
      <c r="F339" s="37"/>
      <c r="G339" s="45"/>
      <c r="H339" s="48"/>
      <c r="I339" s="46"/>
      <c r="J339" s="41"/>
      <c r="K339" s="41"/>
      <c r="L339" s="37"/>
      <c r="M339" s="37"/>
      <c r="N339" s="37"/>
      <c r="O339" s="42"/>
      <c r="P339" s="37"/>
    </row>
    <row r="340" s="4" customFormat="1" spans="1:16">
      <c r="A340" s="23"/>
      <c r="B340" s="37"/>
      <c r="C340" s="25"/>
      <c r="D340" s="37"/>
      <c r="E340" s="37"/>
      <c r="F340" s="37"/>
      <c r="G340" s="37"/>
      <c r="H340" s="48"/>
      <c r="I340" s="46"/>
      <c r="J340" s="41"/>
      <c r="K340" s="41"/>
      <c r="L340" s="37"/>
      <c r="M340" s="37"/>
      <c r="N340" s="37"/>
      <c r="O340" s="42"/>
      <c r="P340" s="47"/>
    </row>
    <row r="341" s="4" customFormat="1" spans="1:16">
      <c r="A341" s="23"/>
      <c r="B341" s="37"/>
      <c r="C341" s="25"/>
      <c r="D341" s="37"/>
      <c r="E341" s="37"/>
      <c r="F341" s="37"/>
      <c r="G341" s="37"/>
      <c r="H341" s="48"/>
      <c r="I341" s="46"/>
      <c r="J341" s="41"/>
      <c r="K341" s="41"/>
      <c r="L341" s="37"/>
      <c r="M341" s="37"/>
      <c r="N341" s="37"/>
      <c r="O341" s="42"/>
      <c r="P341" s="47"/>
    </row>
    <row r="342" s="4" customFormat="1" spans="1:16">
      <c r="A342" s="23"/>
      <c r="B342" s="37"/>
      <c r="C342" s="25"/>
      <c r="D342" s="37"/>
      <c r="E342" s="37"/>
      <c r="F342" s="37"/>
      <c r="G342" s="37"/>
      <c r="H342" s="48"/>
      <c r="I342" s="46"/>
      <c r="J342" s="41"/>
      <c r="K342" s="41"/>
      <c r="L342" s="37"/>
      <c r="M342" s="37"/>
      <c r="N342" s="37"/>
      <c r="O342" s="42"/>
      <c r="P342" s="47"/>
    </row>
    <row r="343" s="4" customFormat="1" spans="1:16">
      <c r="A343" s="23"/>
      <c r="B343" s="37"/>
      <c r="C343" s="25"/>
      <c r="D343" s="37"/>
      <c r="E343" s="37"/>
      <c r="F343" s="37"/>
      <c r="G343" s="37"/>
      <c r="H343" s="48"/>
      <c r="I343" s="46"/>
      <c r="J343" s="41"/>
      <c r="K343" s="41"/>
      <c r="L343" s="37"/>
      <c r="M343" s="37"/>
      <c r="N343" s="37"/>
      <c r="O343" s="42"/>
      <c r="P343" s="47"/>
    </row>
    <row r="344" s="4" customFormat="1" spans="1:16">
      <c r="A344" s="23"/>
      <c r="B344" s="37"/>
      <c r="C344" s="25"/>
      <c r="D344" s="37"/>
      <c r="E344" s="37"/>
      <c r="F344" s="37"/>
      <c r="G344" s="37"/>
      <c r="H344" s="48"/>
      <c r="I344" s="46"/>
      <c r="J344" s="41"/>
      <c r="K344" s="41"/>
      <c r="L344" s="37"/>
      <c r="M344" s="37"/>
      <c r="N344" s="37"/>
      <c r="O344" s="42"/>
      <c r="P344" s="47"/>
    </row>
    <row r="345" s="4" customFormat="1" spans="1:16">
      <c r="A345" s="23"/>
      <c r="B345" s="37"/>
      <c r="C345" s="25"/>
      <c r="D345" s="37"/>
      <c r="E345" s="37"/>
      <c r="F345" s="37"/>
      <c r="G345" s="37"/>
      <c r="H345" s="48"/>
      <c r="I345" s="46"/>
      <c r="J345" s="41"/>
      <c r="K345" s="41"/>
      <c r="L345" s="37"/>
      <c r="M345" s="37"/>
      <c r="N345" s="37"/>
      <c r="O345" s="42"/>
      <c r="P345" s="47"/>
    </row>
    <row r="346" s="4" customFormat="1" spans="1:16">
      <c r="A346" s="23"/>
      <c r="B346" s="37"/>
      <c r="C346" s="25"/>
      <c r="D346" s="37"/>
      <c r="E346" s="37"/>
      <c r="F346" s="37"/>
      <c r="G346" s="37"/>
      <c r="H346" s="48"/>
      <c r="I346" s="46"/>
      <c r="J346" s="41"/>
      <c r="K346" s="41"/>
      <c r="L346" s="37"/>
      <c r="M346" s="37"/>
      <c r="N346" s="37"/>
      <c r="O346" s="42"/>
      <c r="P346" s="47"/>
    </row>
    <row r="347" s="4" customFormat="1" spans="1:16">
      <c r="A347" s="23"/>
      <c r="B347" s="37"/>
      <c r="C347" s="25"/>
      <c r="D347" s="37"/>
      <c r="E347" s="37"/>
      <c r="F347" s="37"/>
      <c r="G347" s="37"/>
      <c r="H347" s="48"/>
      <c r="I347" s="46"/>
      <c r="J347" s="41"/>
      <c r="K347" s="41"/>
      <c r="L347" s="37"/>
      <c r="M347" s="37"/>
      <c r="N347" s="37"/>
      <c r="O347" s="42"/>
      <c r="P347" s="47"/>
    </row>
    <row r="348" s="4" customFormat="1" spans="1:16">
      <c r="A348" s="23"/>
      <c r="B348" s="37"/>
      <c r="C348" s="25"/>
      <c r="D348" s="37"/>
      <c r="E348" s="37"/>
      <c r="F348" s="37"/>
      <c r="G348" s="37"/>
      <c r="H348" s="48"/>
      <c r="I348" s="46"/>
      <c r="J348" s="41"/>
      <c r="K348" s="41"/>
      <c r="L348" s="37"/>
      <c r="M348" s="37"/>
      <c r="N348" s="37"/>
      <c r="O348" s="42"/>
      <c r="P348" s="47"/>
    </row>
    <row r="349" s="4" customFormat="1" spans="1:16">
      <c r="A349" s="23"/>
      <c r="B349" s="37"/>
      <c r="C349" s="25"/>
      <c r="D349" s="37"/>
      <c r="E349" s="37"/>
      <c r="F349" s="37"/>
      <c r="G349" s="37"/>
      <c r="H349" s="48"/>
      <c r="I349" s="46"/>
      <c r="J349" s="41"/>
      <c r="K349" s="41"/>
      <c r="L349" s="37"/>
      <c r="M349" s="37"/>
      <c r="N349" s="37"/>
      <c r="O349" s="42"/>
      <c r="P349" s="47"/>
    </row>
    <row r="350" s="4" customFormat="1" spans="1:16">
      <c r="A350" s="23"/>
      <c r="B350" s="37"/>
      <c r="C350" s="25"/>
      <c r="D350" s="37"/>
      <c r="E350" s="37"/>
      <c r="F350" s="37"/>
      <c r="G350" s="37"/>
      <c r="H350" s="48"/>
      <c r="I350" s="46"/>
      <c r="J350" s="41"/>
      <c r="K350" s="41"/>
      <c r="L350" s="37"/>
      <c r="M350" s="37"/>
      <c r="N350" s="37"/>
      <c r="O350" s="42"/>
      <c r="P350" s="47"/>
    </row>
    <row r="351" s="4" customFormat="1" spans="1:16">
      <c r="A351" s="23"/>
      <c r="B351" s="37"/>
      <c r="C351" s="25"/>
      <c r="D351" s="37"/>
      <c r="E351" s="37"/>
      <c r="F351" s="37"/>
      <c r="G351" s="37"/>
      <c r="H351" s="48"/>
      <c r="I351" s="46"/>
      <c r="J351" s="41"/>
      <c r="K351" s="41"/>
      <c r="L351" s="37"/>
      <c r="M351" s="37"/>
      <c r="N351" s="37"/>
      <c r="O351" s="42"/>
      <c r="P351" s="47"/>
    </row>
    <row r="352" s="4" customFormat="1" spans="1:16">
      <c r="A352" s="23"/>
      <c r="B352" s="37"/>
      <c r="C352" s="25"/>
      <c r="D352" s="37"/>
      <c r="E352" s="37"/>
      <c r="F352" s="37"/>
      <c r="G352" s="37"/>
      <c r="H352" s="48"/>
      <c r="I352" s="46"/>
      <c r="J352" s="41"/>
      <c r="K352" s="41"/>
      <c r="L352" s="37"/>
      <c r="M352" s="37"/>
      <c r="N352" s="37"/>
      <c r="O352" s="42"/>
      <c r="P352" s="47"/>
    </row>
    <row r="353" s="4" customFormat="1" spans="1:16">
      <c r="A353" s="23"/>
      <c r="B353" s="37"/>
      <c r="C353" s="25"/>
      <c r="D353" s="37"/>
      <c r="E353" s="37"/>
      <c r="F353" s="37"/>
      <c r="G353" s="37"/>
      <c r="H353" s="48"/>
      <c r="I353" s="46"/>
      <c r="J353" s="41"/>
      <c r="K353" s="41"/>
      <c r="L353" s="37"/>
      <c r="M353" s="37"/>
      <c r="N353" s="37"/>
      <c r="O353" s="42"/>
      <c r="P353" s="47"/>
    </row>
    <row r="354" s="4" customFormat="1" spans="1:16">
      <c r="A354" s="23"/>
      <c r="B354" s="37"/>
      <c r="C354" s="25"/>
      <c r="D354" s="37"/>
      <c r="E354" s="37"/>
      <c r="F354" s="37"/>
      <c r="G354" s="37"/>
      <c r="H354" s="48"/>
      <c r="I354" s="46"/>
      <c r="J354" s="41"/>
      <c r="K354" s="41"/>
      <c r="L354" s="37"/>
      <c r="M354" s="37"/>
      <c r="N354" s="37"/>
      <c r="O354" s="42"/>
      <c r="P354" s="47"/>
    </row>
    <row r="355" s="4" customFormat="1" spans="1:16">
      <c r="A355" s="23"/>
      <c r="B355" s="37"/>
      <c r="C355" s="25"/>
      <c r="D355" s="37"/>
      <c r="E355" s="37"/>
      <c r="F355" s="37"/>
      <c r="G355" s="37"/>
      <c r="H355" s="48"/>
      <c r="I355" s="46"/>
      <c r="J355" s="41"/>
      <c r="K355" s="41"/>
      <c r="L355" s="37"/>
      <c r="M355" s="37"/>
      <c r="N355" s="37"/>
      <c r="O355" s="42"/>
      <c r="P355" s="47"/>
    </row>
    <row r="356" s="4" customFormat="1" spans="1:16">
      <c r="A356" s="23"/>
      <c r="B356" s="37"/>
      <c r="C356" s="25"/>
      <c r="D356" s="37"/>
      <c r="E356" s="37"/>
      <c r="F356" s="37"/>
      <c r="G356" s="37"/>
      <c r="H356" s="48"/>
      <c r="I356" s="46"/>
      <c r="J356" s="41"/>
      <c r="K356" s="41"/>
      <c r="L356" s="37"/>
      <c r="M356" s="37"/>
      <c r="N356" s="37"/>
      <c r="O356" s="42"/>
      <c r="P356" s="47"/>
    </row>
    <row r="357" s="4" customFormat="1" spans="1:16">
      <c r="A357" s="23"/>
      <c r="B357" s="37"/>
      <c r="C357" s="25"/>
      <c r="D357" s="37"/>
      <c r="E357" s="37"/>
      <c r="F357" s="37"/>
      <c r="G357" s="37"/>
      <c r="H357" s="48"/>
      <c r="I357" s="46"/>
      <c r="J357" s="41"/>
      <c r="K357" s="41"/>
      <c r="L357" s="37"/>
      <c r="M357" s="37"/>
      <c r="N357" s="37"/>
      <c r="O357" s="42"/>
      <c r="P357" s="47"/>
    </row>
    <row r="358" s="4" customFormat="1" spans="1:16">
      <c r="A358" s="23"/>
      <c r="B358" s="37"/>
      <c r="C358" s="25"/>
      <c r="D358" s="37"/>
      <c r="E358" s="37"/>
      <c r="F358" s="37"/>
      <c r="G358" s="37"/>
      <c r="H358" s="48"/>
      <c r="I358" s="46"/>
      <c r="J358" s="41"/>
      <c r="K358" s="41"/>
      <c r="L358" s="37"/>
      <c r="M358" s="37"/>
      <c r="N358" s="37"/>
      <c r="O358" s="42"/>
      <c r="P358" s="47"/>
    </row>
    <row r="359" s="4" customFormat="1" spans="1:16">
      <c r="A359" s="23"/>
      <c r="B359" s="37"/>
      <c r="C359" s="25"/>
      <c r="D359" s="37"/>
      <c r="E359" s="37"/>
      <c r="F359" s="37"/>
      <c r="G359" s="37"/>
      <c r="H359" s="37"/>
      <c r="I359" s="49"/>
      <c r="J359" s="41"/>
      <c r="K359" s="41"/>
      <c r="L359" s="41"/>
      <c r="M359" s="41"/>
      <c r="N359" s="37"/>
      <c r="O359" s="42"/>
      <c r="P359" s="37"/>
    </row>
    <row r="360" s="4" customFormat="1" spans="1:16">
      <c r="A360" s="23"/>
      <c r="B360" s="37"/>
      <c r="C360" s="25"/>
      <c r="D360" s="37"/>
      <c r="E360" s="37"/>
      <c r="F360" s="37"/>
      <c r="G360" s="37"/>
      <c r="H360" s="48"/>
      <c r="I360" s="46"/>
      <c r="J360" s="41"/>
      <c r="K360" s="41"/>
      <c r="L360" s="37"/>
      <c r="M360" s="37"/>
      <c r="N360" s="37"/>
      <c r="O360" s="42"/>
      <c r="P360" s="47"/>
    </row>
    <row r="361" s="4" customFormat="1" spans="1:16">
      <c r="A361" s="23"/>
      <c r="B361" s="37"/>
      <c r="C361" s="25"/>
      <c r="D361" s="37"/>
      <c r="E361" s="37"/>
      <c r="F361" s="37"/>
      <c r="G361" s="37"/>
      <c r="H361" s="48"/>
      <c r="I361" s="46"/>
      <c r="J361" s="41"/>
      <c r="K361" s="41"/>
      <c r="L361" s="37"/>
      <c r="M361" s="37"/>
      <c r="N361" s="37"/>
      <c r="O361" s="42"/>
      <c r="P361" s="47"/>
    </row>
    <row r="362" s="4" customFormat="1" spans="1:16">
      <c r="A362" s="23"/>
      <c r="B362" s="37"/>
      <c r="C362" s="25"/>
      <c r="D362" s="37"/>
      <c r="E362" s="37"/>
      <c r="F362" s="37"/>
      <c r="G362" s="37"/>
      <c r="H362" s="48"/>
      <c r="I362" s="46"/>
      <c r="J362" s="41"/>
      <c r="K362" s="41"/>
      <c r="L362" s="37"/>
      <c r="M362" s="37"/>
      <c r="N362" s="37"/>
      <c r="O362" s="42"/>
      <c r="P362" s="47"/>
    </row>
    <row r="363" s="4" customFormat="1" spans="1:16">
      <c r="A363" s="23"/>
      <c r="B363" s="37"/>
      <c r="C363" s="25"/>
      <c r="D363" s="37"/>
      <c r="E363" s="37"/>
      <c r="F363" s="37"/>
      <c r="G363" s="37"/>
      <c r="H363" s="48"/>
      <c r="I363" s="46"/>
      <c r="J363" s="41"/>
      <c r="K363" s="41"/>
      <c r="L363" s="37"/>
      <c r="M363" s="37"/>
      <c r="N363" s="37"/>
      <c r="O363" s="42"/>
      <c r="P363" s="47"/>
    </row>
    <row r="364" s="4" customFormat="1" spans="1:16">
      <c r="A364" s="23"/>
      <c r="B364" s="37"/>
      <c r="C364" s="25"/>
      <c r="D364" s="37"/>
      <c r="E364" s="37"/>
      <c r="F364" s="37"/>
      <c r="G364" s="37"/>
      <c r="H364" s="48"/>
      <c r="I364" s="46"/>
      <c r="J364" s="41"/>
      <c r="K364" s="41"/>
      <c r="L364" s="37"/>
      <c r="M364" s="37"/>
      <c r="N364" s="37"/>
      <c r="O364" s="42"/>
      <c r="P364" s="47"/>
    </row>
    <row r="365" s="4" customFormat="1" spans="1:16">
      <c r="A365" s="23"/>
      <c r="B365" s="37"/>
      <c r="C365" s="25"/>
      <c r="D365" s="37"/>
      <c r="E365" s="37"/>
      <c r="F365" s="37"/>
      <c r="G365" s="37"/>
      <c r="H365" s="48"/>
      <c r="I365" s="46"/>
      <c r="J365" s="41"/>
      <c r="K365" s="41"/>
      <c r="L365" s="37"/>
      <c r="M365" s="37"/>
      <c r="N365" s="37"/>
      <c r="O365" s="42"/>
      <c r="P365" s="47"/>
    </row>
    <row r="366" s="4" customFormat="1" spans="1:16">
      <c r="A366" s="23"/>
      <c r="B366" s="37"/>
      <c r="C366" s="25"/>
      <c r="D366" s="37"/>
      <c r="E366" s="37"/>
      <c r="F366" s="37"/>
      <c r="G366" s="37"/>
      <c r="H366" s="48"/>
      <c r="I366" s="46"/>
      <c r="J366" s="41"/>
      <c r="K366" s="41"/>
      <c r="L366" s="37"/>
      <c r="M366" s="37"/>
      <c r="N366" s="37"/>
      <c r="O366" s="42"/>
      <c r="P366" s="47"/>
    </row>
    <row r="367" s="4" customFormat="1" spans="1:16">
      <c r="A367" s="23"/>
      <c r="B367" s="37"/>
      <c r="C367" s="25"/>
      <c r="D367" s="37"/>
      <c r="E367" s="37"/>
      <c r="F367" s="37"/>
      <c r="G367" s="37"/>
      <c r="H367" s="48"/>
      <c r="I367" s="46"/>
      <c r="J367" s="41"/>
      <c r="K367" s="41"/>
      <c r="L367" s="37"/>
      <c r="M367" s="37"/>
      <c r="N367" s="37"/>
      <c r="O367" s="42"/>
      <c r="P367" s="47"/>
    </row>
    <row r="368" s="4" customFormat="1" spans="1:16">
      <c r="A368" s="23"/>
      <c r="B368" s="37"/>
      <c r="C368" s="25"/>
      <c r="D368" s="37"/>
      <c r="E368" s="37"/>
      <c r="F368" s="37"/>
      <c r="G368" s="37"/>
      <c r="H368" s="48"/>
      <c r="I368" s="46"/>
      <c r="J368" s="41"/>
      <c r="K368" s="41"/>
      <c r="L368" s="37"/>
      <c r="M368" s="37"/>
      <c r="N368" s="37"/>
      <c r="O368" s="42"/>
      <c r="P368" s="47"/>
    </row>
    <row r="369" s="4" customFormat="1" spans="1:16">
      <c r="A369" s="23"/>
      <c r="B369" s="37"/>
      <c r="C369" s="25"/>
      <c r="D369" s="37"/>
      <c r="E369" s="37"/>
      <c r="F369" s="37"/>
      <c r="G369" s="37"/>
      <c r="H369" s="48"/>
      <c r="I369" s="46"/>
      <c r="J369" s="41"/>
      <c r="K369" s="41"/>
      <c r="L369" s="37"/>
      <c r="M369" s="37"/>
      <c r="N369" s="37"/>
      <c r="O369" s="42"/>
      <c r="P369" s="47"/>
    </row>
    <row r="370" s="4" customFormat="1" spans="1:16">
      <c r="A370" s="23"/>
      <c r="B370" s="37"/>
      <c r="C370" s="25"/>
      <c r="D370" s="37"/>
      <c r="E370" s="37"/>
      <c r="F370" s="37"/>
      <c r="G370" s="37"/>
      <c r="H370" s="48"/>
      <c r="I370" s="46"/>
      <c r="J370" s="41"/>
      <c r="K370" s="41"/>
      <c r="L370" s="37"/>
      <c r="M370" s="37"/>
      <c r="N370" s="37"/>
      <c r="O370" s="42"/>
      <c r="P370" s="47"/>
    </row>
    <row r="371" s="4" customFormat="1" spans="1:16">
      <c r="A371" s="23"/>
      <c r="B371" s="37"/>
      <c r="C371" s="25"/>
      <c r="D371" s="37"/>
      <c r="E371" s="37"/>
      <c r="F371" s="37"/>
      <c r="G371" s="37"/>
      <c r="H371" s="48"/>
      <c r="I371" s="46"/>
      <c r="J371" s="41"/>
      <c r="K371" s="41"/>
      <c r="L371" s="37"/>
      <c r="M371" s="37"/>
      <c r="N371" s="37"/>
      <c r="O371" s="42"/>
      <c r="P371" s="47"/>
    </row>
    <row r="372" s="4" customFormat="1" spans="1:16">
      <c r="A372" s="23"/>
      <c r="B372" s="37"/>
      <c r="C372" s="25"/>
      <c r="D372" s="37"/>
      <c r="E372" s="37"/>
      <c r="F372" s="37"/>
      <c r="G372" s="37"/>
      <c r="H372" s="48"/>
      <c r="I372" s="46"/>
      <c r="J372" s="41"/>
      <c r="K372" s="41"/>
      <c r="L372" s="37"/>
      <c r="M372" s="37"/>
      <c r="N372" s="37"/>
      <c r="O372" s="42"/>
      <c r="P372" s="47"/>
    </row>
    <row r="373" s="4" customFormat="1" spans="1:16">
      <c r="A373" s="23"/>
      <c r="B373" s="37"/>
      <c r="C373" s="25"/>
      <c r="D373" s="37"/>
      <c r="E373" s="37"/>
      <c r="F373" s="37"/>
      <c r="G373" s="37"/>
      <c r="H373" s="48"/>
      <c r="I373" s="46"/>
      <c r="J373" s="41"/>
      <c r="K373" s="41"/>
      <c r="L373" s="37"/>
      <c r="M373" s="37"/>
      <c r="N373" s="37"/>
      <c r="O373" s="42"/>
      <c r="P373" s="47"/>
    </row>
    <row r="374" s="4" customFormat="1" spans="1:16">
      <c r="A374" s="23"/>
      <c r="B374" s="37"/>
      <c r="C374" s="25"/>
      <c r="D374" s="37"/>
      <c r="E374" s="37"/>
      <c r="F374" s="37"/>
      <c r="G374" s="37"/>
      <c r="H374" s="48"/>
      <c r="I374" s="46"/>
      <c r="J374" s="41"/>
      <c r="K374" s="41"/>
      <c r="L374" s="37"/>
      <c r="M374" s="37"/>
      <c r="N374" s="37"/>
      <c r="O374" s="42"/>
      <c r="P374" s="47"/>
    </row>
    <row r="375" s="4" customFormat="1" spans="1:16">
      <c r="A375" s="23"/>
      <c r="B375" s="37"/>
      <c r="C375" s="25"/>
      <c r="D375" s="37"/>
      <c r="E375" s="37"/>
      <c r="F375" s="37"/>
      <c r="G375" s="37"/>
      <c r="H375" s="48"/>
      <c r="I375" s="46"/>
      <c r="J375" s="41"/>
      <c r="K375" s="41"/>
      <c r="L375" s="37"/>
      <c r="M375" s="37"/>
      <c r="N375" s="37"/>
      <c r="O375" s="42"/>
      <c r="P375" s="47"/>
    </row>
    <row r="376" s="2" customFormat="1" spans="1:16">
      <c r="A376" s="23"/>
      <c r="B376" s="37"/>
      <c r="C376" s="25"/>
      <c r="D376" s="37"/>
      <c r="E376" s="37"/>
      <c r="F376" s="37"/>
      <c r="G376" s="37"/>
      <c r="H376" s="48"/>
      <c r="I376" s="46"/>
      <c r="J376" s="41"/>
      <c r="K376" s="41"/>
      <c r="L376" s="37"/>
      <c r="M376" s="37"/>
      <c r="N376" s="37"/>
      <c r="O376" s="42"/>
      <c r="P376" s="37"/>
    </row>
    <row r="377" s="2" customFormat="1" spans="1:16">
      <c r="A377" s="23"/>
      <c r="B377" s="37"/>
      <c r="C377" s="25"/>
      <c r="D377" s="37"/>
      <c r="E377" s="37"/>
      <c r="F377" s="37"/>
      <c r="G377" s="37"/>
      <c r="H377" s="48"/>
      <c r="I377" s="46"/>
      <c r="J377" s="41"/>
      <c r="K377" s="41"/>
      <c r="L377" s="37"/>
      <c r="M377" s="37"/>
      <c r="N377" s="37"/>
      <c r="O377" s="42"/>
      <c r="P377" s="37"/>
    </row>
    <row r="378" s="2" customFormat="1" spans="1:16">
      <c r="A378" s="23"/>
      <c r="B378" s="37"/>
      <c r="C378" s="25"/>
      <c r="D378" s="37"/>
      <c r="E378" s="37"/>
      <c r="F378" s="37"/>
      <c r="G378" s="37"/>
      <c r="H378" s="48"/>
      <c r="I378" s="46"/>
      <c r="J378" s="41"/>
      <c r="K378" s="41"/>
      <c r="L378" s="37"/>
      <c r="M378" s="37"/>
      <c r="N378" s="37"/>
      <c r="O378" s="42"/>
      <c r="P378" s="37"/>
    </row>
    <row r="379" s="2" customFormat="1" spans="1:16">
      <c r="A379" s="23"/>
      <c r="B379" s="37"/>
      <c r="C379" s="25"/>
      <c r="D379" s="37"/>
      <c r="E379" s="37"/>
      <c r="F379" s="37"/>
      <c r="G379" s="37"/>
      <c r="H379" s="48"/>
      <c r="I379" s="46"/>
      <c r="J379" s="41"/>
      <c r="K379" s="41"/>
      <c r="L379" s="37"/>
      <c r="M379" s="37"/>
      <c r="N379" s="37"/>
      <c r="O379" s="42"/>
      <c r="P379" s="37"/>
    </row>
    <row r="380" s="2" customFormat="1" spans="1:16">
      <c r="A380" s="23"/>
      <c r="B380" s="37"/>
      <c r="C380" s="25"/>
      <c r="D380" s="37"/>
      <c r="E380" s="37"/>
      <c r="F380" s="37"/>
      <c r="G380" s="37"/>
      <c r="H380" s="48"/>
      <c r="I380" s="46"/>
      <c r="J380" s="41"/>
      <c r="K380" s="41"/>
      <c r="L380" s="37"/>
      <c r="M380" s="37"/>
      <c r="N380" s="37"/>
      <c r="O380" s="42"/>
      <c r="P380" s="37"/>
    </row>
    <row r="381" s="2" customFormat="1" spans="1:16">
      <c r="A381" s="23"/>
      <c r="B381" s="37"/>
      <c r="C381" s="25"/>
      <c r="D381" s="37"/>
      <c r="E381" s="37"/>
      <c r="F381" s="37"/>
      <c r="G381" s="37"/>
      <c r="H381" s="48"/>
      <c r="I381" s="46"/>
      <c r="J381" s="41"/>
      <c r="K381" s="41"/>
      <c r="L381" s="37"/>
      <c r="M381" s="37"/>
      <c r="N381" s="37"/>
      <c r="O381" s="42"/>
      <c r="P381" s="37"/>
    </row>
    <row r="382" s="2" customFormat="1" spans="1:16">
      <c r="A382" s="23"/>
      <c r="B382" s="37"/>
      <c r="C382" s="25"/>
      <c r="D382" s="37"/>
      <c r="E382" s="37"/>
      <c r="F382" s="37"/>
      <c r="G382" s="37"/>
      <c r="H382" s="48"/>
      <c r="I382" s="46"/>
      <c r="J382" s="41"/>
      <c r="K382" s="41"/>
      <c r="L382" s="37"/>
      <c r="M382" s="37"/>
      <c r="N382" s="37"/>
      <c r="O382" s="42"/>
      <c r="P382" s="37"/>
    </row>
    <row r="383" s="2" customFormat="1" spans="1:16">
      <c r="A383" s="23"/>
      <c r="B383" s="37"/>
      <c r="C383" s="25"/>
      <c r="D383" s="37"/>
      <c r="E383" s="37"/>
      <c r="F383" s="37"/>
      <c r="G383" s="37"/>
      <c r="H383" s="48"/>
      <c r="I383" s="46"/>
      <c r="J383" s="41"/>
      <c r="K383" s="41"/>
      <c r="L383" s="37"/>
      <c r="M383" s="37"/>
      <c r="N383" s="37"/>
      <c r="O383" s="42"/>
      <c r="P383" s="37"/>
    </row>
    <row r="384" s="2" customFormat="1" spans="1:16">
      <c r="A384" s="23"/>
      <c r="B384" s="37"/>
      <c r="C384" s="25"/>
      <c r="D384" s="37"/>
      <c r="E384" s="37"/>
      <c r="F384" s="37"/>
      <c r="G384" s="37"/>
      <c r="H384" s="48"/>
      <c r="I384" s="46"/>
      <c r="J384" s="41"/>
      <c r="K384" s="41"/>
      <c r="L384" s="37"/>
      <c r="M384" s="37"/>
      <c r="N384" s="37"/>
      <c r="O384" s="42"/>
      <c r="P384" s="37"/>
    </row>
    <row r="385" s="2" customFormat="1" spans="1:16">
      <c r="A385" s="23"/>
      <c r="B385" s="37"/>
      <c r="C385" s="25"/>
      <c r="D385" s="37"/>
      <c r="E385" s="37"/>
      <c r="F385" s="37"/>
      <c r="G385" s="37"/>
      <c r="H385" s="48"/>
      <c r="I385" s="46"/>
      <c r="J385" s="41"/>
      <c r="K385" s="41"/>
      <c r="L385" s="37"/>
      <c r="M385" s="37"/>
      <c r="N385" s="37"/>
      <c r="O385" s="42"/>
      <c r="P385" s="37"/>
    </row>
    <row r="386" s="2" customFormat="1" spans="1:16">
      <c r="A386" s="23"/>
      <c r="B386" s="37"/>
      <c r="C386" s="25"/>
      <c r="D386" s="37"/>
      <c r="E386" s="37"/>
      <c r="F386" s="37"/>
      <c r="G386" s="37"/>
      <c r="H386" s="48"/>
      <c r="I386" s="46"/>
      <c r="J386" s="41"/>
      <c r="K386" s="41"/>
      <c r="L386" s="37"/>
      <c r="M386" s="37"/>
      <c r="N386" s="37"/>
      <c r="O386" s="42"/>
      <c r="P386" s="37"/>
    </row>
    <row r="387" s="2" customFormat="1" spans="1:16">
      <c r="A387" s="23"/>
      <c r="B387" s="37"/>
      <c r="C387" s="25"/>
      <c r="D387" s="37"/>
      <c r="E387" s="37"/>
      <c r="F387" s="37"/>
      <c r="G387" s="37"/>
      <c r="H387" s="48"/>
      <c r="I387" s="46"/>
      <c r="J387" s="41"/>
      <c r="K387" s="41"/>
      <c r="L387" s="37"/>
      <c r="M387" s="37"/>
      <c r="N387" s="37"/>
      <c r="O387" s="42"/>
      <c r="P387" s="37"/>
    </row>
    <row r="388" s="2" customFormat="1" spans="1:16">
      <c r="A388" s="23"/>
      <c r="B388" s="37"/>
      <c r="C388" s="25"/>
      <c r="D388" s="37"/>
      <c r="E388" s="37"/>
      <c r="F388" s="37"/>
      <c r="G388" s="37"/>
      <c r="H388" s="48"/>
      <c r="I388" s="46"/>
      <c r="J388" s="41"/>
      <c r="K388" s="41"/>
      <c r="L388" s="37"/>
      <c r="M388" s="37"/>
      <c r="N388" s="37"/>
      <c r="O388" s="42"/>
      <c r="P388" s="37"/>
    </row>
    <row r="389" s="2" customFormat="1" spans="1:16">
      <c r="A389" s="23"/>
      <c r="B389" s="37"/>
      <c r="C389" s="25"/>
      <c r="D389" s="37"/>
      <c r="E389" s="37"/>
      <c r="F389" s="37"/>
      <c r="G389" s="37"/>
      <c r="H389" s="48"/>
      <c r="I389" s="46"/>
      <c r="J389" s="41"/>
      <c r="K389" s="41"/>
      <c r="L389" s="37"/>
      <c r="M389" s="37"/>
      <c r="N389" s="37"/>
      <c r="O389" s="42"/>
      <c r="P389" s="37"/>
    </row>
    <row r="390" s="2" customFormat="1" spans="1:16">
      <c r="A390" s="23"/>
      <c r="B390" s="37"/>
      <c r="C390" s="25"/>
      <c r="D390" s="37"/>
      <c r="E390" s="37"/>
      <c r="F390" s="37"/>
      <c r="G390" s="37"/>
      <c r="H390" s="48"/>
      <c r="I390" s="46"/>
      <c r="J390" s="41"/>
      <c r="K390" s="41"/>
      <c r="L390" s="37"/>
      <c r="M390" s="37"/>
      <c r="N390" s="37"/>
      <c r="O390" s="42"/>
      <c r="P390" s="37"/>
    </row>
    <row r="391" s="2" customFormat="1" spans="1:16">
      <c r="A391" s="23"/>
      <c r="B391" s="37"/>
      <c r="C391" s="25"/>
      <c r="D391" s="37"/>
      <c r="E391" s="37"/>
      <c r="F391" s="37"/>
      <c r="G391" s="37"/>
      <c r="H391" s="48"/>
      <c r="I391" s="46"/>
      <c r="J391" s="41"/>
      <c r="K391" s="41"/>
      <c r="L391" s="37"/>
      <c r="M391" s="37"/>
      <c r="N391" s="37"/>
      <c r="O391" s="42"/>
      <c r="P391" s="37"/>
    </row>
    <row r="392" s="2" customFormat="1" spans="1:16">
      <c r="A392" s="23"/>
      <c r="B392" s="37"/>
      <c r="C392" s="25"/>
      <c r="D392" s="37"/>
      <c r="E392" s="37"/>
      <c r="F392" s="37"/>
      <c r="G392" s="37"/>
      <c r="H392" s="48"/>
      <c r="I392" s="46"/>
      <c r="J392" s="41"/>
      <c r="K392" s="41"/>
      <c r="L392" s="37"/>
      <c r="M392" s="37"/>
      <c r="N392" s="37"/>
      <c r="O392" s="42"/>
      <c r="P392" s="37"/>
    </row>
    <row r="393" s="2" customFormat="1" spans="1:16">
      <c r="A393" s="23"/>
      <c r="B393" s="37"/>
      <c r="C393" s="25"/>
      <c r="D393" s="37"/>
      <c r="E393" s="37"/>
      <c r="F393" s="37"/>
      <c r="G393" s="37"/>
      <c r="H393" s="48"/>
      <c r="I393" s="46"/>
      <c r="J393" s="41"/>
      <c r="K393" s="41"/>
      <c r="L393" s="37"/>
      <c r="M393" s="37"/>
      <c r="N393" s="37"/>
      <c r="O393" s="42"/>
      <c r="P393" s="37"/>
    </row>
    <row r="394" s="2" customFormat="1" spans="1:16">
      <c r="A394" s="23"/>
      <c r="B394" s="37"/>
      <c r="C394" s="25"/>
      <c r="D394" s="37"/>
      <c r="E394" s="37"/>
      <c r="F394" s="37"/>
      <c r="G394" s="37"/>
      <c r="H394" s="48"/>
      <c r="I394" s="46"/>
      <c r="J394" s="41"/>
      <c r="K394" s="41"/>
      <c r="L394" s="37"/>
      <c r="M394" s="37"/>
      <c r="N394" s="37"/>
      <c r="O394" s="42"/>
      <c r="P394" s="37"/>
    </row>
    <row r="395" s="2" customFormat="1" spans="1:16">
      <c r="A395" s="23"/>
      <c r="B395" s="37"/>
      <c r="C395" s="25"/>
      <c r="D395" s="37"/>
      <c r="E395" s="37"/>
      <c r="F395" s="37"/>
      <c r="G395" s="37"/>
      <c r="H395" s="48"/>
      <c r="I395" s="46"/>
      <c r="J395" s="41"/>
      <c r="K395" s="41"/>
      <c r="L395" s="37"/>
      <c r="M395" s="37"/>
      <c r="N395" s="37"/>
      <c r="O395" s="42"/>
      <c r="P395" s="37"/>
    </row>
    <row r="396" s="2" customFormat="1" spans="1:16">
      <c r="A396" s="23"/>
      <c r="B396" s="37"/>
      <c r="C396" s="25"/>
      <c r="D396" s="37"/>
      <c r="E396" s="37"/>
      <c r="F396" s="37"/>
      <c r="G396" s="37"/>
      <c r="H396" s="48"/>
      <c r="I396" s="46"/>
      <c r="J396" s="41"/>
      <c r="K396" s="41"/>
      <c r="L396" s="37"/>
      <c r="M396" s="37"/>
      <c r="N396" s="37"/>
      <c r="O396" s="42"/>
      <c r="P396" s="37"/>
    </row>
    <row r="397" s="2" customFormat="1" spans="1:16">
      <c r="A397" s="23"/>
      <c r="B397" s="37"/>
      <c r="C397" s="25"/>
      <c r="D397" s="37"/>
      <c r="E397" s="37"/>
      <c r="F397" s="37"/>
      <c r="G397" s="37"/>
      <c r="H397" s="48"/>
      <c r="I397" s="46"/>
      <c r="J397" s="41"/>
      <c r="K397" s="41"/>
      <c r="L397" s="37"/>
      <c r="M397" s="37"/>
      <c r="N397" s="37"/>
      <c r="O397" s="42"/>
      <c r="P397" s="37"/>
    </row>
    <row r="398" s="2" customFormat="1" spans="1:16">
      <c r="A398" s="23"/>
      <c r="B398" s="37"/>
      <c r="C398" s="25"/>
      <c r="D398" s="37"/>
      <c r="E398" s="37"/>
      <c r="F398" s="37"/>
      <c r="G398" s="37"/>
      <c r="H398" s="48"/>
      <c r="I398" s="46"/>
      <c r="J398" s="41"/>
      <c r="K398" s="41"/>
      <c r="L398" s="37"/>
      <c r="M398" s="37"/>
      <c r="N398" s="37"/>
      <c r="O398" s="42"/>
      <c r="P398" s="37"/>
    </row>
    <row r="399" s="2" customFormat="1" spans="1:16">
      <c r="A399" s="23"/>
      <c r="B399" s="37"/>
      <c r="C399" s="25"/>
      <c r="D399" s="37"/>
      <c r="E399" s="37"/>
      <c r="F399" s="37"/>
      <c r="G399" s="37"/>
      <c r="H399" s="48"/>
      <c r="I399" s="46"/>
      <c r="J399" s="41"/>
      <c r="K399" s="41"/>
      <c r="L399" s="37"/>
      <c r="M399" s="37"/>
      <c r="N399" s="37"/>
      <c r="O399" s="42"/>
      <c r="P399" s="37"/>
    </row>
    <row r="400" s="2" customFormat="1" spans="1:16">
      <c r="A400" s="23"/>
      <c r="B400" s="37"/>
      <c r="C400" s="25"/>
      <c r="D400" s="37"/>
      <c r="E400" s="37"/>
      <c r="F400" s="37"/>
      <c r="G400" s="37"/>
      <c r="H400" s="48"/>
      <c r="I400" s="46"/>
      <c r="J400" s="41"/>
      <c r="K400" s="41"/>
      <c r="L400" s="37"/>
      <c r="M400" s="37"/>
      <c r="N400" s="37"/>
      <c r="O400" s="42"/>
      <c r="P400" s="37"/>
    </row>
    <row r="401" s="2" customFormat="1" spans="1:16">
      <c r="A401" s="23"/>
      <c r="B401" s="37"/>
      <c r="C401" s="25"/>
      <c r="D401" s="37"/>
      <c r="E401" s="37"/>
      <c r="F401" s="37"/>
      <c r="G401" s="37"/>
      <c r="H401" s="48"/>
      <c r="I401" s="46"/>
      <c r="J401" s="41"/>
      <c r="K401" s="41"/>
      <c r="L401" s="37"/>
      <c r="M401" s="37"/>
      <c r="N401" s="37"/>
      <c r="O401" s="42"/>
      <c r="P401" s="37"/>
    </row>
    <row r="402" s="2" customFormat="1" spans="1:16">
      <c r="A402" s="23"/>
      <c r="B402" s="37"/>
      <c r="C402" s="25"/>
      <c r="D402" s="37"/>
      <c r="E402" s="37"/>
      <c r="F402" s="37"/>
      <c r="G402" s="37"/>
      <c r="H402" s="48"/>
      <c r="I402" s="46"/>
      <c r="J402" s="41"/>
      <c r="K402" s="41"/>
      <c r="L402" s="37"/>
      <c r="M402" s="37"/>
      <c r="N402" s="37"/>
      <c r="O402" s="42"/>
      <c r="P402" s="37"/>
    </row>
    <row r="403" s="2" customFormat="1" spans="1:16">
      <c r="A403" s="23"/>
      <c r="B403" s="37"/>
      <c r="C403" s="25"/>
      <c r="D403" s="37"/>
      <c r="E403" s="37"/>
      <c r="F403" s="37"/>
      <c r="G403" s="37"/>
      <c r="H403" s="48"/>
      <c r="I403" s="46"/>
      <c r="J403" s="41"/>
      <c r="K403" s="41"/>
      <c r="L403" s="37"/>
      <c r="M403" s="37"/>
      <c r="N403" s="37"/>
      <c r="O403" s="42"/>
      <c r="P403" s="37"/>
    </row>
    <row r="404" s="2" customFormat="1" spans="1:16">
      <c r="A404" s="23"/>
      <c r="B404" s="37"/>
      <c r="C404" s="25"/>
      <c r="D404" s="37"/>
      <c r="E404" s="37"/>
      <c r="F404" s="37"/>
      <c r="G404" s="37"/>
      <c r="H404" s="48"/>
      <c r="I404" s="46"/>
      <c r="J404" s="41"/>
      <c r="K404" s="41"/>
      <c r="L404" s="37"/>
      <c r="M404" s="37"/>
      <c r="N404" s="37"/>
      <c r="O404" s="42"/>
      <c r="P404" s="37"/>
    </row>
    <row r="405" s="2" customFormat="1" spans="1:16">
      <c r="A405" s="23"/>
      <c r="B405" s="37"/>
      <c r="C405" s="25"/>
      <c r="D405" s="37"/>
      <c r="E405" s="37"/>
      <c r="F405" s="37"/>
      <c r="G405" s="37"/>
      <c r="H405" s="48"/>
      <c r="I405" s="46"/>
      <c r="J405" s="41"/>
      <c r="K405" s="41"/>
      <c r="L405" s="37"/>
      <c r="M405" s="37"/>
      <c r="N405" s="37"/>
      <c r="O405" s="42"/>
      <c r="P405" s="37"/>
    </row>
    <row r="406" s="2" customFormat="1" spans="1:16">
      <c r="A406" s="23"/>
      <c r="B406" s="37"/>
      <c r="C406" s="25"/>
      <c r="D406" s="37"/>
      <c r="E406" s="37"/>
      <c r="F406" s="37"/>
      <c r="G406" s="37"/>
      <c r="H406" s="48"/>
      <c r="I406" s="46"/>
      <c r="J406" s="41"/>
      <c r="K406" s="41"/>
      <c r="L406" s="37"/>
      <c r="M406" s="37"/>
      <c r="N406" s="37"/>
      <c r="O406" s="42"/>
      <c r="P406" s="37"/>
    </row>
    <row r="407" s="2" customFormat="1" spans="1:16">
      <c r="A407" s="23"/>
      <c r="B407" s="37"/>
      <c r="C407" s="25"/>
      <c r="D407" s="37"/>
      <c r="E407" s="37"/>
      <c r="F407" s="37"/>
      <c r="G407" s="37"/>
      <c r="H407" s="48"/>
      <c r="I407" s="46"/>
      <c r="J407" s="41"/>
      <c r="K407" s="41"/>
      <c r="L407" s="37"/>
      <c r="M407" s="37"/>
      <c r="N407" s="37"/>
      <c r="O407" s="42"/>
      <c r="P407" s="37"/>
    </row>
    <row r="408" s="2" customFormat="1" spans="1:16">
      <c r="A408" s="23"/>
      <c r="B408" s="37"/>
      <c r="C408" s="25"/>
      <c r="D408" s="37"/>
      <c r="E408" s="37"/>
      <c r="F408" s="37"/>
      <c r="G408" s="37"/>
      <c r="H408" s="48"/>
      <c r="I408" s="46"/>
      <c r="J408" s="41"/>
      <c r="K408" s="41"/>
      <c r="L408" s="37"/>
      <c r="M408" s="37"/>
      <c r="N408" s="37"/>
      <c r="O408" s="42"/>
      <c r="P408" s="37"/>
    </row>
    <row r="409" s="2" customFormat="1" spans="1:16">
      <c r="A409" s="23"/>
      <c r="B409" s="37"/>
      <c r="C409" s="25"/>
      <c r="D409" s="37"/>
      <c r="E409" s="37"/>
      <c r="F409" s="37"/>
      <c r="G409" s="37"/>
      <c r="H409" s="48"/>
      <c r="I409" s="46"/>
      <c r="J409" s="41"/>
      <c r="K409" s="41"/>
      <c r="L409" s="37"/>
      <c r="M409" s="37"/>
      <c r="N409" s="37"/>
      <c r="O409" s="42"/>
      <c r="P409" s="37"/>
    </row>
    <row r="410" s="2" customFormat="1" spans="1:16">
      <c r="A410" s="23"/>
      <c r="B410" s="37"/>
      <c r="C410" s="25"/>
      <c r="D410" s="37"/>
      <c r="E410" s="37"/>
      <c r="F410" s="37"/>
      <c r="G410" s="37"/>
      <c r="H410" s="48"/>
      <c r="I410" s="46"/>
      <c r="J410" s="41"/>
      <c r="K410" s="41"/>
      <c r="L410" s="37"/>
      <c r="M410" s="37"/>
      <c r="N410" s="37"/>
      <c r="O410" s="42"/>
      <c r="P410" s="37"/>
    </row>
    <row r="411" s="2" customFormat="1" spans="1:16">
      <c r="A411" s="23"/>
      <c r="B411" s="37"/>
      <c r="C411" s="25"/>
      <c r="D411" s="37"/>
      <c r="E411" s="37"/>
      <c r="F411" s="37"/>
      <c r="G411" s="37"/>
      <c r="H411" s="48"/>
      <c r="I411" s="46"/>
      <c r="J411" s="41"/>
      <c r="K411" s="41"/>
      <c r="L411" s="37"/>
      <c r="M411" s="37"/>
      <c r="N411" s="37"/>
      <c r="O411" s="42"/>
      <c r="P411" s="37"/>
    </row>
    <row r="412" s="2" customFormat="1" spans="1:16">
      <c r="A412" s="23"/>
      <c r="B412" s="37"/>
      <c r="C412" s="25"/>
      <c r="D412" s="37"/>
      <c r="E412" s="37"/>
      <c r="F412" s="37"/>
      <c r="G412" s="37"/>
      <c r="H412" s="48"/>
      <c r="I412" s="46"/>
      <c r="J412" s="41"/>
      <c r="K412" s="41"/>
      <c r="L412" s="37"/>
      <c r="M412" s="37"/>
      <c r="N412" s="37"/>
      <c r="O412" s="42"/>
      <c r="P412" s="37"/>
    </row>
    <row r="413" s="2" customFormat="1" spans="1:16">
      <c r="A413" s="23"/>
      <c r="B413" s="37"/>
      <c r="C413" s="25"/>
      <c r="D413" s="37"/>
      <c r="E413" s="37"/>
      <c r="F413" s="37"/>
      <c r="G413" s="37"/>
      <c r="H413" s="48"/>
      <c r="I413" s="46"/>
      <c r="J413" s="41"/>
      <c r="K413" s="41"/>
      <c r="L413" s="37"/>
      <c r="M413" s="37"/>
      <c r="N413" s="37"/>
      <c r="O413" s="42"/>
      <c r="P413" s="37"/>
    </row>
    <row r="414" s="2" customFormat="1" spans="1:16">
      <c r="A414" s="23"/>
      <c r="B414" s="37"/>
      <c r="C414" s="25"/>
      <c r="D414" s="37"/>
      <c r="E414" s="37"/>
      <c r="F414" s="37"/>
      <c r="G414" s="37"/>
      <c r="H414" s="48"/>
      <c r="I414" s="46"/>
      <c r="J414" s="41"/>
      <c r="K414" s="41"/>
      <c r="L414" s="37"/>
      <c r="M414" s="37"/>
      <c r="N414" s="37"/>
      <c r="O414" s="42"/>
      <c r="P414" s="37"/>
    </row>
    <row r="415" s="2" customFormat="1" spans="1:16">
      <c r="A415" s="23"/>
      <c r="B415" s="37"/>
      <c r="C415" s="25"/>
      <c r="D415" s="37"/>
      <c r="E415" s="37"/>
      <c r="F415" s="37"/>
      <c r="G415" s="37"/>
      <c r="H415" s="48"/>
      <c r="I415" s="46"/>
      <c r="J415" s="41"/>
      <c r="K415" s="41"/>
      <c r="L415" s="37"/>
      <c r="M415" s="37"/>
      <c r="N415" s="37"/>
      <c r="O415" s="42"/>
      <c r="P415" s="37"/>
    </row>
    <row r="416" s="2" customFormat="1" spans="1:16">
      <c r="A416" s="23"/>
      <c r="B416" s="37"/>
      <c r="C416" s="25"/>
      <c r="D416" s="37"/>
      <c r="E416" s="37"/>
      <c r="F416" s="37"/>
      <c r="G416" s="37"/>
      <c r="H416" s="48"/>
      <c r="I416" s="46"/>
      <c r="J416" s="41"/>
      <c r="K416" s="41"/>
      <c r="L416" s="37"/>
      <c r="M416" s="37"/>
      <c r="N416" s="37"/>
      <c r="O416" s="42"/>
      <c r="P416" s="37"/>
    </row>
    <row r="417" s="2" customFormat="1" spans="1:16">
      <c r="A417" s="23"/>
      <c r="B417" s="37"/>
      <c r="C417" s="25"/>
      <c r="D417" s="37"/>
      <c r="E417" s="37"/>
      <c r="F417" s="37"/>
      <c r="G417" s="37"/>
      <c r="H417" s="48"/>
      <c r="I417" s="46"/>
      <c r="J417" s="41"/>
      <c r="K417" s="41"/>
      <c r="L417" s="37"/>
      <c r="M417" s="37"/>
      <c r="N417" s="37"/>
      <c r="O417" s="42"/>
      <c r="P417" s="37"/>
    </row>
    <row r="418" s="2" customFormat="1" spans="1:16">
      <c r="A418" s="23"/>
      <c r="B418" s="37"/>
      <c r="C418" s="25"/>
      <c r="D418" s="37"/>
      <c r="E418" s="37"/>
      <c r="F418" s="37"/>
      <c r="G418" s="37"/>
      <c r="H418" s="48"/>
      <c r="I418" s="46"/>
      <c r="J418" s="41"/>
      <c r="K418" s="41"/>
      <c r="L418" s="37"/>
      <c r="M418" s="37"/>
      <c r="N418" s="37"/>
      <c r="O418" s="42"/>
      <c r="P418" s="37"/>
    </row>
    <row r="419" s="2" customFormat="1" spans="1:16">
      <c r="A419" s="23"/>
      <c r="B419" s="37"/>
      <c r="C419" s="25"/>
      <c r="D419" s="37"/>
      <c r="E419" s="37"/>
      <c r="F419" s="37"/>
      <c r="G419" s="37"/>
      <c r="H419" s="48"/>
      <c r="I419" s="46"/>
      <c r="J419" s="41"/>
      <c r="K419" s="41"/>
      <c r="L419" s="37"/>
      <c r="M419" s="37"/>
      <c r="N419" s="37"/>
      <c r="O419" s="42"/>
      <c r="P419" s="37"/>
    </row>
    <row r="420" s="2" customFormat="1" spans="1:16">
      <c r="A420" s="23"/>
      <c r="B420" s="37"/>
      <c r="C420" s="25"/>
      <c r="D420" s="37"/>
      <c r="E420" s="37"/>
      <c r="F420" s="37"/>
      <c r="G420" s="37"/>
      <c r="H420" s="48"/>
      <c r="I420" s="46"/>
      <c r="J420" s="41"/>
      <c r="K420" s="41"/>
      <c r="L420" s="37"/>
      <c r="M420" s="37"/>
      <c r="N420" s="37"/>
      <c r="O420" s="42"/>
      <c r="P420" s="37"/>
    </row>
    <row r="421" s="2" customFormat="1" spans="1:16">
      <c r="A421" s="23"/>
      <c r="B421" s="37"/>
      <c r="C421" s="25"/>
      <c r="D421" s="37"/>
      <c r="E421" s="37"/>
      <c r="F421" s="37"/>
      <c r="G421" s="37"/>
      <c r="H421" s="48"/>
      <c r="I421" s="46"/>
      <c r="J421" s="41"/>
      <c r="K421" s="41"/>
      <c r="L421" s="37"/>
      <c r="M421" s="37"/>
      <c r="N421" s="37"/>
      <c r="O421" s="42"/>
      <c r="P421" s="37"/>
    </row>
    <row r="422" s="2" customFormat="1" spans="1:16">
      <c r="A422" s="23"/>
      <c r="B422" s="37"/>
      <c r="C422" s="25"/>
      <c r="D422" s="37"/>
      <c r="E422" s="37"/>
      <c r="F422" s="37"/>
      <c r="G422" s="37"/>
      <c r="H422" s="48"/>
      <c r="I422" s="46"/>
      <c r="J422" s="41"/>
      <c r="K422" s="41"/>
      <c r="L422" s="37"/>
      <c r="M422" s="37"/>
      <c r="N422" s="37"/>
      <c r="O422" s="42"/>
      <c r="P422" s="37"/>
    </row>
    <row r="423" s="2" customFormat="1" spans="1:16">
      <c r="A423" s="23"/>
      <c r="B423" s="37"/>
      <c r="C423" s="25"/>
      <c r="D423" s="37"/>
      <c r="E423" s="37"/>
      <c r="F423" s="37"/>
      <c r="G423" s="37"/>
      <c r="H423" s="48"/>
      <c r="I423" s="46"/>
      <c r="J423" s="41"/>
      <c r="K423" s="41"/>
      <c r="L423" s="37"/>
      <c r="M423" s="37"/>
      <c r="N423" s="37"/>
      <c r="O423" s="42"/>
      <c r="P423" s="37"/>
    </row>
    <row r="424" s="2" customFormat="1" spans="1:16">
      <c r="A424" s="23"/>
      <c r="B424" s="37"/>
      <c r="C424" s="25"/>
      <c r="D424" s="37"/>
      <c r="E424" s="37"/>
      <c r="F424" s="37"/>
      <c r="G424" s="37"/>
      <c r="H424" s="48"/>
      <c r="I424" s="46"/>
      <c r="J424" s="41"/>
      <c r="K424" s="41"/>
      <c r="L424" s="37"/>
      <c r="M424" s="37"/>
      <c r="N424" s="37"/>
      <c r="O424" s="42"/>
      <c r="P424" s="37"/>
    </row>
    <row r="425" s="2" customFormat="1" spans="1:16">
      <c r="A425" s="23"/>
      <c r="B425" s="37"/>
      <c r="C425" s="25"/>
      <c r="D425" s="37"/>
      <c r="E425" s="37"/>
      <c r="F425" s="37"/>
      <c r="G425" s="37"/>
      <c r="H425" s="48"/>
      <c r="I425" s="46"/>
      <c r="J425" s="41"/>
      <c r="K425" s="41"/>
      <c r="L425" s="37"/>
      <c r="M425" s="37"/>
      <c r="N425" s="37"/>
      <c r="O425" s="42"/>
      <c r="P425" s="37"/>
    </row>
    <row r="426" s="2" customFormat="1" spans="1:16">
      <c r="A426" s="23"/>
      <c r="B426" s="37"/>
      <c r="C426" s="25"/>
      <c r="D426" s="37"/>
      <c r="E426" s="37"/>
      <c r="F426" s="37"/>
      <c r="G426" s="37"/>
      <c r="H426" s="48"/>
      <c r="I426" s="46"/>
      <c r="J426" s="41"/>
      <c r="K426" s="41"/>
      <c r="L426" s="37"/>
      <c r="M426" s="37"/>
      <c r="N426" s="37"/>
      <c r="O426" s="42"/>
      <c r="P426" s="37"/>
    </row>
    <row r="427" s="2" customFormat="1" spans="1:16">
      <c r="A427" s="23"/>
      <c r="B427" s="37"/>
      <c r="C427" s="25"/>
      <c r="D427" s="37"/>
      <c r="E427" s="37"/>
      <c r="F427" s="37"/>
      <c r="G427" s="37"/>
      <c r="H427" s="48"/>
      <c r="I427" s="46"/>
      <c r="J427" s="41"/>
      <c r="K427" s="41"/>
      <c r="L427" s="37"/>
      <c r="M427" s="37"/>
      <c r="N427" s="37"/>
      <c r="O427" s="42"/>
      <c r="P427" s="37"/>
    </row>
    <row r="428" s="2" customFormat="1" spans="1:16">
      <c r="A428" s="23"/>
      <c r="B428" s="37"/>
      <c r="C428" s="25"/>
      <c r="D428" s="37"/>
      <c r="E428" s="37"/>
      <c r="F428" s="37"/>
      <c r="G428" s="37"/>
      <c r="H428" s="48"/>
      <c r="I428" s="46"/>
      <c r="J428" s="41"/>
      <c r="K428" s="41"/>
      <c r="L428" s="37"/>
      <c r="M428" s="37"/>
      <c r="N428" s="37"/>
      <c r="O428" s="42"/>
      <c r="P428" s="37"/>
    </row>
    <row r="429" s="2" customFormat="1" spans="1:16">
      <c r="A429" s="23"/>
      <c r="B429" s="37"/>
      <c r="C429" s="25"/>
      <c r="D429" s="37"/>
      <c r="E429" s="37"/>
      <c r="F429" s="37"/>
      <c r="G429" s="37"/>
      <c r="H429" s="48"/>
      <c r="I429" s="46"/>
      <c r="J429" s="41"/>
      <c r="K429" s="41"/>
      <c r="L429" s="37"/>
      <c r="M429" s="37"/>
      <c r="N429" s="37"/>
      <c r="O429" s="42"/>
      <c r="P429" s="37"/>
    </row>
    <row r="430" s="2" customFormat="1" spans="1:16">
      <c r="A430" s="23"/>
      <c r="B430" s="37"/>
      <c r="C430" s="25"/>
      <c r="D430" s="37"/>
      <c r="E430" s="37"/>
      <c r="F430" s="37"/>
      <c r="G430" s="37"/>
      <c r="H430" s="48"/>
      <c r="I430" s="46"/>
      <c r="J430" s="41"/>
      <c r="K430" s="41"/>
      <c r="L430" s="37"/>
      <c r="M430" s="37"/>
      <c r="N430" s="37"/>
      <c r="O430" s="42"/>
      <c r="P430" s="37"/>
    </row>
    <row r="431" s="2" customFormat="1" spans="1:16">
      <c r="A431" s="23"/>
      <c r="B431" s="37"/>
      <c r="C431" s="25"/>
      <c r="D431" s="37"/>
      <c r="E431" s="37"/>
      <c r="F431" s="37"/>
      <c r="G431" s="37"/>
      <c r="H431" s="48"/>
      <c r="I431" s="46"/>
      <c r="J431" s="41"/>
      <c r="K431" s="41"/>
      <c r="L431" s="37"/>
      <c r="M431" s="37"/>
      <c r="N431" s="37"/>
      <c r="O431" s="42"/>
      <c r="P431" s="37"/>
    </row>
    <row r="432" s="2" customFormat="1" spans="1:16">
      <c r="A432" s="23"/>
      <c r="B432" s="37"/>
      <c r="C432" s="25"/>
      <c r="D432" s="37"/>
      <c r="E432" s="37"/>
      <c r="F432" s="37"/>
      <c r="G432" s="37"/>
      <c r="H432" s="48"/>
      <c r="I432" s="46"/>
      <c r="J432" s="41"/>
      <c r="K432" s="41"/>
      <c r="L432" s="37"/>
      <c r="M432" s="37"/>
      <c r="N432" s="37"/>
      <c r="O432" s="42"/>
      <c r="P432" s="37"/>
    </row>
    <row r="433" s="2" customFormat="1" spans="1:16">
      <c r="A433" s="23"/>
      <c r="B433" s="37"/>
      <c r="C433" s="25"/>
      <c r="D433" s="37"/>
      <c r="E433" s="37"/>
      <c r="F433" s="37"/>
      <c r="G433" s="37"/>
      <c r="H433" s="48"/>
      <c r="I433" s="46"/>
      <c r="J433" s="41"/>
      <c r="K433" s="41"/>
      <c r="L433" s="37"/>
      <c r="M433" s="37"/>
      <c r="N433" s="37"/>
      <c r="O433" s="42"/>
      <c r="P433" s="37"/>
    </row>
    <row r="434" s="2" customFormat="1" spans="1:16">
      <c r="A434" s="23"/>
      <c r="B434" s="37"/>
      <c r="C434" s="25"/>
      <c r="D434" s="37"/>
      <c r="E434" s="37"/>
      <c r="F434" s="37"/>
      <c r="G434" s="37"/>
      <c r="H434" s="48"/>
      <c r="I434" s="46"/>
      <c r="J434" s="41"/>
      <c r="K434" s="41"/>
      <c r="L434" s="37"/>
      <c r="M434" s="37"/>
      <c r="N434" s="37"/>
      <c r="O434" s="42"/>
      <c r="P434" s="37"/>
    </row>
    <row r="435" s="2" customFormat="1" spans="1:16">
      <c r="A435" s="23"/>
      <c r="B435" s="37"/>
      <c r="C435" s="25"/>
      <c r="D435" s="37"/>
      <c r="E435" s="37"/>
      <c r="F435" s="37"/>
      <c r="G435" s="37"/>
      <c r="H435" s="48"/>
      <c r="I435" s="46"/>
      <c r="J435" s="41"/>
      <c r="K435" s="41"/>
      <c r="L435" s="37"/>
      <c r="M435" s="37"/>
      <c r="N435" s="37"/>
      <c r="O435" s="42"/>
      <c r="P435" s="37"/>
    </row>
    <row r="436" s="2" customFormat="1" spans="1:16">
      <c r="A436" s="23"/>
      <c r="B436" s="37"/>
      <c r="C436" s="25"/>
      <c r="D436" s="37"/>
      <c r="E436" s="37"/>
      <c r="F436" s="37"/>
      <c r="G436" s="37"/>
      <c r="H436" s="48"/>
      <c r="I436" s="46"/>
      <c r="J436" s="41"/>
      <c r="K436" s="41"/>
      <c r="L436" s="37"/>
      <c r="M436" s="37"/>
      <c r="N436" s="37"/>
      <c r="O436" s="42"/>
      <c r="P436" s="37"/>
    </row>
    <row r="437" s="2" customFormat="1" spans="1:16">
      <c r="A437" s="23"/>
      <c r="B437" s="37"/>
      <c r="C437" s="25"/>
      <c r="D437" s="37"/>
      <c r="E437" s="37"/>
      <c r="F437" s="37"/>
      <c r="G437" s="37"/>
      <c r="H437" s="48"/>
      <c r="I437" s="46"/>
      <c r="J437" s="41"/>
      <c r="K437" s="41"/>
      <c r="L437" s="37"/>
      <c r="M437" s="37"/>
      <c r="N437" s="37"/>
      <c r="O437" s="42"/>
      <c r="P437" s="37"/>
    </row>
    <row r="438" s="2" customFormat="1" spans="1:16">
      <c r="A438" s="23"/>
      <c r="B438" s="37"/>
      <c r="C438" s="25"/>
      <c r="D438" s="37"/>
      <c r="E438" s="37"/>
      <c r="F438" s="37"/>
      <c r="G438" s="37"/>
      <c r="H438" s="48"/>
      <c r="I438" s="46"/>
      <c r="J438" s="41"/>
      <c r="K438" s="41"/>
      <c r="L438" s="37"/>
      <c r="M438" s="37"/>
      <c r="N438" s="37"/>
      <c r="O438" s="42"/>
      <c r="P438" s="37"/>
    </row>
    <row r="439" s="5" customFormat="1" spans="1:16">
      <c r="A439" s="23"/>
      <c r="B439" s="50"/>
      <c r="C439" s="25"/>
      <c r="D439" s="50"/>
      <c r="E439" s="50"/>
      <c r="F439" s="50"/>
      <c r="G439" s="50"/>
      <c r="H439" s="48"/>
      <c r="I439" s="50"/>
      <c r="J439" s="50"/>
      <c r="K439" s="41"/>
      <c r="L439" s="50"/>
      <c r="M439" s="50"/>
      <c r="N439" s="50"/>
      <c r="O439" s="51"/>
      <c r="P439" s="50"/>
    </row>
    <row r="440" s="2" customFormat="1" spans="1:16">
      <c r="A440" s="23"/>
      <c r="B440" s="37"/>
      <c r="C440" s="25"/>
      <c r="D440" s="37"/>
      <c r="E440" s="37"/>
      <c r="F440" s="37"/>
      <c r="G440" s="37"/>
      <c r="H440" s="48"/>
      <c r="I440" s="46"/>
      <c r="J440" s="41"/>
      <c r="K440" s="41"/>
      <c r="L440" s="37"/>
      <c r="M440" s="37"/>
      <c r="N440" s="37"/>
      <c r="O440" s="42"/>
      <c r="P440" s="37"/>
    </row>
    <row r="441" s="2" customFormat="1" spans="1:16">
      <c r="A441" s="23"/>
      <c r="B441" s="37"/>
      <c r="C441" s="25"/>
      <c r="D441" s="37"/>
      <c r="E441" s="37"/>
      <c r="F441" s="37"/>
      <c r="G441" s="37"/>
      <c r="H441" s="48"/>
      <c r="I441" s="46"/>
      <c r="J441" s="41"/>
      <c r="K441" s="41"/>
      <c r="L441" s="37"/>
      <c r="M441" s="37"/>
      <c r="N441" s="37"/>
      <c r="O441" s="42"/>
      <c r="P441" s="37"/>
    </row>
    <row r="442" s="2" customFormat="1" spans="1:16">
      <c r="A442" s="23"/>
      <c r="B442" s="37"/>
      <c r="C442" s="25"/>
      <c r="D442" s="37"/>
      <c r="E442" s="37"/>
      <c r="F442" s="37"/>
      <c r="G442" s="37"/>
      <c r="H442" s="48"/>
      <c r="I442" s="46"/>
      <c r="J442" s="41"/>
      <c r="K442" s="41"/>
      <c r="L442" s="37"/>
      <c r="M442" s="37"/>
      <c r="N442" s="37"/>
      <c r="O442" s="42"/>
      <c r="P442" s="37"/>
    </row>
    <row r="443" s="2" customFormat="1" spans="1:16">
      <c r="A443" s="23"/>
      <c r="B443" s="37"/>
      <c r="C443" s="25"/>
      <c r="D443" s="37"/>
      <c r="E443" s="37"/>
      <c r="F443" s="37"/>
      <c r="G443" s="37"/>
      <c r="H443" s="48"/>
      <c r="I443" s="46"/>
      <c r="J443" s="41"/>
      <c r="K443" s="41"/>
      <c r="L443" s="37"/>
      <c r="M443" s="37"/>
      <c r="N443" s="37"/>
      <c r="O443" s="42"/>
      <c r="P443" s="37"/>
    </row>
    <row r="444" s="2" customFormat="1" spans="1:16">
      <c r="A444" s="23"/>
      <c r="B444" s="37"/>
      <c r="C444" s="25"/>
      <c r="D444" s="37"/>
      <c r="E444" s="37"/>
      <c r="F444" s="37"/>
      <c r="G444" s="37"/>
      <c r="H444" s="48"/>
      <c r="I444" s="46"/>
      <c r="J444" s="41"/>
      <c r="K444" s="41"/>
      <c r="L444" s="37"/>
      <c r="M444" s="37"/>
      <c r="N444" s="37"/>
      <c r="O444" s="42"/>
      <c r="P444" s="37"/>
    </row>
    <row r="445" s="2" customFormat="1" spans="1:16">
      <c r="A445" s="23"/>
      <c r="B445" s="37"/>
      <c r="C445" s="25"/>
      <c r="D445" s="37"/>
      <c r="E445" s="37"/>
      <c r="F445" s="37"/>
      <c r="G445" s="37"/>
      <c r="H445" s="48"/>
      <c r="I445" s="46"/>
      <c r="J445" s="41"/>
      <c r="K445" s="41"/>
      <c r="L445" s="37"/>
      <c r="M445" s="37"/>
      <c r="N445" s="37"/>
      <c r="O445" s="42"/>
      <c r="P445" s="37"/>
    </row>
    <row r="446" s="2" customFormat="1" spans="1:16">
      <c r="A446" s="23"/>
      <c r="B446" s="37"/>
      <c r="C446" s="25"/>
      <c r="D446" s="37"/>
      <c r="E446" s="37"/>
      <c r="F446" s="37"/>
      <c r="G446" s="37"/>
      <c r="H446" s="48"/>
      <c r="I446" s="46"/>
      <c r="J446" s="41"/>
      <c r="K446" s="41"/>
      <c r="L446" s="37"/>
      <c r="M446" s="37"/>
      <c r="N446" s="37"/>
      <c r="O446" s="42"/>
      <c r="P446" s="37"/>
    </row>
    <row r="447" s="2" customFormat="1" spans="1:16">
      <c r="A447" s="23"/>
      <c r="B447" s="37"/>
      <c r="C447" s="25"/>
      <c r="D447" s="37"/>
      <c r="E447" s="37"/>
      <c r="F447" s="37"/>
      <c r="G447" s="37"/>
      <c r="H447" s="48"/>
      <c r="I447" s="46"/>
      <c r="J447" s="41"/>
      <c r="K447" s="41"/>
      <c r="L447" s="37"/>
      <c r="M447" s="37"/>
      <c r="N447" s="37"/>
      <c r="O447" s="42"/>
      <c r="P447" s="37"/>
    </row>
    <row r="448" s="2" customFormat="1" spans="1:16">
      <c r="A448" s="23"/>
      <c r="B448" s="37"/>
      <c r="C448" s="25"/>
      <c r="D448" s="37"/>
      <c r="E448" s="37"/>
      <c r="F448" s="37"/>
      <c r="G448" s="37"/>
      <c r="H448" s="48"/>
      <c r="I448" s="46"/>
      <c r="J448" s="41"/>
      <c r="K448" s="41"/>
      <c r="L448" s="37"/>
      <c r="M448" s="37"/>
      <c r="N448" s="37"/>
      <c r="O448" s="42"/>
      <c r="P448" s="37"/>
    </row>
    <row r="449" s="2" customFormat="1" spans="1:16">
      <c r="A449" s="23"/>
      <c r="B449" s="37"/>
      <c r="C449" s="25"/>
      <c r="D449" s="37"/>
      <c r="E449" s="37"/>
      <c r="F449" s="37"/>
      <c r="G449" s="37"/>
      <c r="H449" s="48"/>
      <c r="I449" s="46"/>
      <c r="J449" s="41"/>
      <c r="K449" s="41"/>
      <c r="L449" s="37"/>
      <c r="M449" s="37"/>
      <c r="N449" s="37"/>
      <c r="O449" s="42"/>
      <c r="P449" s="37"/>
    </row>
    <row r="450" s="3" customFormat="1" spans="1:16">
      <c r="A450" s="23"/>
      <c r="B450" s="37"/>
      <c r="C450" s="25"/>
      <c r="D450" s="37"/>
      <c r="E450" s="37"/>
      <c r="F450" s="37"/>
      <c r="G450" s="37"/>
      <c r="H450" s="48"/>
      <c r="I450" s="46"/>
      <c r="J450" s="41"/>
      <c r="K450" s="44"/>
      <c r="L450" s="37"/>
      <c r="M450" s="37"/>
      <c r="N450" s="42"/>
      <c r="O450" s="42"/>
      <c r="P450" s="42"/>
    </row>
    <row r="451" s="3" customFormat="1" spans="1:16">
      <c r="A451" s="23"/>
      <c r="B451" s="37"/>
      <c r="C451" s="25"/>
      <c r="D451" s="37"/>
      <c r="E451" s="37"/>
      <c r="F451" s="37"/>
      <c r="G451" s="37"/>
      <c r="H451" s="48"/>
      <c r="I451" s="46"/>
      <c r="J451" s="41"/>
      <c r="K451" s="44"/>
      <c r="L451" s="37"/>
      <c r="M451" s="37"/>
      <c r="N451" s="42"/>
      <c r="O451" s="42"/>
      <c r="P451" s="42"/>
    </row>
    <row r="452" s="2" customFormat="1" spans="1:16">
      <c r="A452" s="23"/>
      <c r="B452" s="37"/>
      <c r="C452" s="25"/>
      <c r="D452" s="37"/>
      <c r="E452" s="37"/>
      <c r="F452" s="37"/>
      <c r="G452" s="37"/>
      <c r="H452" s="48"/>
      <c r="I452" s="46"/>
      <c r="J452" s="41"/>
      <c r="K452" s="41"/>
      <c r="L452" s="37"/>
      <c r="M452" s="37"/>
      <c r="N452" s="37"/>
      <c r="O452" s="42"/>
      <c r="P452" s="37"/>
    </row>
    <row r="453" s="2" customFormat="1" spans="1:16">
      <c r="A453" s="23"/>
      <c r="B453" s="37"/>
      <c r="C453" s="25"/>
      <c r="D453" s="37"/>
      <c r="E453" s="37"/>
      <c r="F453" s="37"/>
      <c r="G453" s="37"/>
      <c r="H453" s="48"/>
      <c r="I453" s="46"/>
      <c r="J453" s="41"/>
      <c r="K453" s="41"/>
      <c r="L453" s="37"/>
      <c r="M453" s="37"/>
      <c r="N453" s="37"/>
      <c r="O453" s="42"/>
      <c r="P453" s="37"/>
    </row>
    <row r="454" s="6" customFormat="1" spans="1:16">
      <c r="A454" s="23"/>
      <c r="B454" s="8"/>
      <c r="C454" s="25"/>
      <c r="D454" s="52"/>
      <c r="E454" s="52"/>
      <c r="F454" s="52"/>
      <c r="G454" s="52"/>
      <c r="H454" s="27"/>
      <c r="I454" s="52"/>
      <c r="J454" s="52"/>
      <c r="K454" s="28"/>
      <c r="L454" s="52"/>
      <c r="M454" s="29"/>
      <c r="N454" s="23"/>
      <c r="O454" s="52"/>
      <c r="P454" s="13"/>
    </row>
    <row r="455" s="6" customFormat="1" spans="1:16">
      <c r="A455" s="23"/>
      <c r="B455" s="8"/>
      <c r="C455" s="25"/>
      <c r="D455" s="52"/>
      <c r="E455" s="52"/>
      <c r="F455" s="52"/>
      <c r="G455" s="52"/>
      <c r="H455" s="27"/>
      <c r="I455" s="52"/>
      <c r="J455" s="52"/>
      <c r="K455" s="28"/>
      <c r="L455" s="52"/>
      <c r="M455" s="29"/>
      <c r="N455" s="23"/>
      <c r="O455" s="52"/>
      <c r="P455" s="13"/>
    </row>
    <row r="456" s="6" customFormat="1" spans="1:16">
      <c r="A456" s="23"/>
      <c r="B456" s="8"/>
      <c r="C456" s="25"/>
      <c r="D456" s="52"/>
      <c r="E456" s="52"/>
      <c r="F456" s="52"/>
      <c r="G456" s="52"/>
      <c r="H456" s="27"/>
      <c r="I456" s="52"/>
      <c r="J456" s="52"/>
      <c r="K456" s="28"/>
      <c r="L456" s="52"/>
      <c r="M456" s="29"/>
      <c r="N456" s="23"/>
      <c r="O456" s="52"/>
      <c r="P456" s="13"/>
    </row>
    <row r="457" s="6" customFormat="1" spans="1:16">
      <c r="A457" s="23"/>
      <c r="B457" s="8"/>
      <c r="C457" s="25"/>
      <c r="D457" s="52"/>
      <c r="E457" s="52"/>
      <c r="F457" s="52"/>
      <c r="G457" s="52"/>
      <c r="H457" s="27"/>
      <c r="I457" s="52"/>
      <c r="J457" s="52"/>
      <c r="K457" s="28"/>
      <c r="L457" s="52"/>
      <c r="M457" s="29"/>
      <c r="N457" s="23"/>
      <c r="O457" s="52"/>
      <c r="P457" s="13"/>
    </row>
    <row r="458" s="6" customFormat="1" spans="1:16">
      <c r="A458" s="23"/>
      <c r="B458" s="8"/>
      <c r="C458" s="25"/>
      <c r="D458" s="52"/>
      <c r="E458" s="52"/>
      <c r="F458" s="52"/>
      <c r="G458" s="52"/>
      <c r="H458" s="27"/>
      <c r="I458" s="52"/>
      <c r="J458" s="52"/>
      <c r="K458" s="28"/>
      <c r="L458" s="52"/>
      <c r="M458" s="29"/>
      <c r="N458" s="23"/>
      <c r="O458" s="52"/>
      <c r="P458" s="13"/>
    </row>
    <row r="459" s="6" customFormat="1" spans="1:16">
      <c r="A459" s="23"/>
      <c r="B459" s="8"/>
      <c r="C459" s="25"/>
      <c r="D459" s="52"/>
      <c r="E459" s="52"/>
      <c r="F459" s="52"/>
      <c r="G459" s="52"/>
      <c r="H459" s="27"/>
      <c r="I459" s="52"/>
      <c r="J459" s="52"/>
      <c r="K459" s="28"/>
      <c r="L459" s="52"/>
      <c r="M459" s="29"/>
      <c r="N459" s="23"/>
      <c r="O459" s="52"/>
      <c r="P459" s="13"/>
    </row>
    <row r="460" s="6" customFormat="1" spans="1:16">
      <c r="A460" s="23"/>
      <c r="B460" s="8"/>
      <c r="C460" s="25"/>
      <c r="D460" s="52"/>
      <c r="E460" s="52"/>
      <c r="F460" s="52"/>
      <c r="G460" s="52"/>
      <c r="H460" s="27"/>
      <c r="I460" s="52"/>
      <c r="J460" s="52"/>
      <c r="K460" s="28"/>
      <c r="L460" s="52"/>
      <c r="M460" s="29"/>
      <c r="N460" s="23"/>
      <c r="O460" s="52"/>
      <c r="P460" s="13"/>
    </row>
    <row r="461" s="6" customFormat="1" spans="1:16">
      <c r="A461" s="23"/>
      <c r="B461" s="8"/>
      <c r="C461" s="25"/>
      <c r="D461" s="52"/>
      <c r="E461" s="52"/>
      <c r="F461" s="52"/>
      <c r="G461" s="52"/>
      <c r="H461" s="27"/>
      <c r="I461" s="52"/>
      <c r="J461" s="52"/>
      <c r="K461" s="28"/>
      <c r="L461" s="52"/>
      <c r="M461" s="29"/>
      <c r="N461" s="23"/>
      <c r="O461" s="52"/>
      <c r="P461" s="13"/>
    </row>
    <row r="462" s="6" customFormat="1" spans="1:16">
      <c r="A462" s="23"/>
      <c r="B462" s="8"/>
      <c r="C462" s="25"/>
      <c r="D462" s="52"/>
      <c r="E462" s="52"/>
      <c r="F462" s="52"/>
      <c r="G462" s="52"/>
      <c r="H462" s="27"/>
      <c r="I462" s="52"/>
      <c r="J462" s="52"/>
      <c r="K462" s="28"/>
      <c r="L462" s="52"/>
      <c r="M462" s="29"/>
      <c r="N462" s="23"/>
      <c r="O462" s="52"/>
      <c r="P462" s="13"/>
    </row>
    <row r="463" s="6" customFormat="1" spans="1:16">
      <c r="A463" s="23"/>
      <c r="B463" s="8"/>
      <c r="C463" s="25"/>
      <c r="D463" s="52"/>
      <c r="E463" s="52"/>
      <c r="F463" s="52"/>
      <c r="G463" s="52"/>
      <c r="H463" s="27"/>
      <c r="I463" s="52"/>
      <c r="J463" s="52"/>
      <c r="K463" s="28"/>
      <c r="L463" s="52"/>
      <c r="M463" s="29"/>
      <c r="N463" s="23"/>
      <c r="O463" s="52"/>
      <c r="P463" s="13"/>
    </row>
    <row r="464" s="6" customFormat="1" spans="1:16">
      <c r="A464" s="23"/>
      <c r="B464" s="8"/>
      <c r="C464" s="25"/>
      <c r="D464" s="52"/>
      <c r="E464" s="52"/>
      <c r="F464" s="52"/>
      <c r="G464" s="52"/>
      <c r="H464" s="27"/>
      <c r="I464" s="52"/>
      <c r="J464" s="52"/>
      <c r="K464" s="28"/>
      <c r="L464" s="52"/>
      <c r="M464" s="29"/>
      <c r="N464" s="23"/>
      <c r="O464" s="52"/>
      <c r="P464" s="13"/>
    </row>
    <row r="465" s="6" customFormat="1" spans="1:16">
      <c r="A465" s="23"/>
      <c r="B465" s="8"/>
      <c r="C465" s="25"/>
      <c r="D465" s="52"/>
      <c r="E465" s="52"/>
      <c r="F465" s="52"/>
      <c r="G465" s="52"/>
      <c r="H465" s="27"/>
      <c r="I465" s="52"/>
      <c r="J465" s="52"/>
      <c r="K465" s="28"/>
      <c r="L465" s="52"/>
      <c r="M465" s="29"/>
      <c r="N465" s="23"/>
      <c r="O465" s="52"/>
      <c r="P465" s="13"/>
    </row>
    <row r="466" s="6" customFormat="1" spans="1:16">
      <c r="A466" s="23"/>
      <c r="B466" s="8"/>
      <c r="C466" s="25"/>
      <c r="D466" s="52"/>
      <c r="E466" s="52"/>
      <c r="F466" s="52"/>
      <c r="G466" s="52"/>
      <c r="H466" s="27"/>
      <c r="I466" s="52"/>
      <c r="J466" s="52"/>
      <c r="K466" s="28"/>
      <c r="L466" s="52"/>
      <c r="M466" s="29"/>
      <c r="N466" s="23"/>
      <c r="O466" s="52"/>
      <c r="P466" s="13"/>
    </row>
    <row r="467" s="6" customFormat="1" spans="1:16">
      <c r="A467" s="23"/>
      <c r="B467" s="8"/>
      <c r="C467" s="25"/>
      <c r="D467" s="52"/>
      <c r="E467" s="52"/>
      <c r="F467" s="52"/>
      <c r="G467" s="52"/>
      <c r="H467" s="27"/>
      <c r="I467" s="52"/>
      <c r="J467" s="52"/>
      <c r="K467" s="28"/>
      <c r="L467" s="52"/>
      <c r="M467" s="29"/>
      <c r="N467" s="23"/>
      <c r="O467" s="52"/>
      <c r="P467" s="13"/>
    </row>
    <row r="468" s="6" customFormat="1" spans="1:16">
      <c r="A468" s="23"/>
      <c r="B468" s="8"/>
      <c r="C468" s="25"/>
      <c r="D468" s="52"/>
      <c r="E468" s="52"/>
      <c r="F468" s="52"/>
      <c r="G468" s="52"/>
      <c r="H468" s="27"/>
      <c r="I468" s="52"/>
      <c r="J468" s="52"/>
      <c r="K468" s="28"/>
      <c r="L468" s="52"/>
      <c r="M468" s="29"/>
      <c r="N468" s="23"/>
      <c r="O468" s="52"/>
      <c r="P468" s="13"/>
    </row>
    <row r="469" s="6" customFormat="1" spans="1:16">
      <c r="A469" s="23"/>
      <c r="B469" s="8"/>
      <c r="C469" s="25"/>
      <c r="D469" s="52"/>
      <c r="E469" s="52"/>
      <c r="F469" s="52"/>
      <c r="G469" s="52"/>
      <c r="H469" s="27"/>
      <c r="I469" s="52"/>
      <c r="J469" s="52"/>
      <c r="K469" s="28"/>
      <c r="L469" s="52"/>
      <c r="M469" s="29"/>
      <c r="N469" s="23"/>
      <c r="O469" s="52"/>
      <c r="P469" s="13"/>
    </row>
    <row r="470" s="6" customFormat="1" spans="1:16">
      <c r="A470" s="23"/>
      <c r="B470" s="8"/>
      <c r="C470" s="25"/>
      <c r="D470" s="52"/>
      <c r="E470" s="52"/>
      <c r="F470" s="52"/>
      <c r="G470" s="52"/>
      <c r="H470" s="27"/>
      <c r="I470" s="52"/>
      <c r="J470" s="52"/>
      <c r="K470" s="28"/>
      <c r="L470" s="52"/>
      <c r="M470" s="29"/>
      <c r="N470" s="23"/>
      <c r="O470" s="52"/>
      <c r="P470" s="13"/>
    </row>
    <row r="471" s="6" customFormat="1" spans="1:16">
      <c r="A471" s="23"/>
      <c r="B471" s="8"/>
      <c r="C471" s="25"/>
      <c r="D471" s="52"/>
      <c r="E471" s="52"/>
      <c r="F471" s="52"/>
      <c r="G471" s="52"/>
      <c r="H471" s="27"/>
      <c r="I471" s="52"/>
      <c r="J471" s="52"/>
      <c r="K471" s="28"/>
      <c r="L471" s="52"/>
      <c r="M471" s="29"/>
      <c r="N471" s="23"/>
      <c r="O471" s="52"/>
      <c r="P471" s="13"/>
    </row>
    <row r="472" s="6" customFormat="1" spans="1:16">
      <c r="A472" s="23"/>
      <c r="B472" s="8"/>
      <c r="C472" s="25"/>
      <c r="D472" s="52"/>
      <c r="E472" s="52"/>
      <c r="F472" s="52"/>
      <c r="G472" s="52"/>
      <c r="H472" s="27"/>
      <c r="I472" s="52"/>
      <c r="J472" s="52"/>
      <c r="K472" s="28"/>
      <c r="L472" s="52"/>
      <c r="M472" s="29"/>
      <c r="N472" s="23"/>
      <c r="O472" s="52"/>
      <c r="P472" s="13"/>
    </row>
    <row r="473" s="6" customFormat="1" spans="1:16">
      <c r="A473" s="23"/>
      <c r="B473" s="8"/>
      <c r="C473" s="25"/>
      <c r="D473" s="52"/>
      <c r="E473" s="52"/>
      <c r="F473" s="52"/>
      <c r="G473" s="52"/>
      <c r="H473" s="27"/>
      <c r="I473" s="52"/>
      <c r="J473" s="52"/>
      <c r="K473" s="28"/>
      <c r="L473" s="52"/>
      <c r="M473" s="29"/>
      <c r="N473" s="23"/>
      <c r="O473" s="52"/>
      <c r="P473" s="13"/>
    </row>
    <row r="474" s="6" customFormat="1" spans="1:16">
      <c r="A474" s="23"/>
      <c r="B474" s="8"/>
      <c r="C474" s="25"/>
      <c r="D474" s="52"/>
      <c r="E474" s="52"/>
      <c r="F474" s="52"/>
      <c r="G474" s="52"/>
      <c r="H474" s="27"/>
      <c r="I474" s="52"/>
      <c r="J474" s="52"/>
      <c r="K474" s="28"/>
      <c r="L474" s="52"/>
      <c r="M474" s="29"/>
      <c r="N474" s="23"/>
      <c r="O474" s="52"/>
      <c r="P474" s="13"/>
    </row>
    <row r="475" s="6" customFormat="1" spans="1:16">
      <c r="A475" s="23"/>
      <c r="B475" s="8"/>
      <c r="C475" s="25"/>
      <c r="D475" s="52"/>
      <c r="E475" s="52"/>
      <c r="F475" s="52"/>
      <c r="G475" s="52"/>
      <c r="H475" s="27"/>
      <c r="I475" s="52"/>
      <c r="J475" s="52"/>
      <c r="K475" s="28"/>
      <c r="L475" s="52"/>
      <c r="M475" s="29"/>
      <c r="N475" s="23"/>
      <c r="O475" s="52"/>
      <c r="P475" s="13"/>
    </row>
    <row r="476" s="6" customFormat="1" spans="1:16">
      <c r="A476" s="23"/>
      <c r="B476" s="8"/>
      <c r="C476" s="25"/>
      <c r="D476" s="52"/>
      <c r="E476" s="52"/>
      <c r="F476" s="52"/>
      <c r="G476" s="52"/>
      <c r="H476" s="27"/>
      <c r="I476" s="52"/>
      <c r="J476" s="52"/>
      <c r="K476" s="28"/>
      <c r="L476" s="52"/>
      <c r="M476" s="29"/>
      <c r="N476" s="23"/>
      <c r="O476" s="52"/>
      <c r="P476" s="13"/>
    </row>
    <row r="477" s="6" customFormat="1" spans="1:16">
      <c r="A477" s="23"/>
      <c r="B477" s="8"/>
      <c r="C477" s="25"/>
      <c r="D477" s="52"/>
      <c r="E477" s="52"/>
      <c r="F477" s="52"/>
      <c r="G477" s="52"/>
      <c r="H477" s="27"/>
      <c r="I477" s="52"/>
      <c r="J477" s="52"/>
      <c r="K477" s="28"/>
      <c r="L477" s="52"/>
      <c r="M477" s="29"/>
      <c r="N477" s="23"/>
      <c r="O477" s="52"/>
      <c r="P477" s="13"/>
    </row>
    <row r="478" s="6" customFormat="1" spans="1:16">
      <c r="A478" s="23"/>
      <c r="B478" s="8"/>
      <c r="C478" s="25"/>
      <c r="D478" s="52"/>
      <c r="E478" s="52"/>
      <c r="F478" s="52"/>
      <c r="G478" s="52"/>
      <c r="H478" s="27"/>
      <c r="I478" s="52"/>
      <c r="J478" s="52"/>
      <c r="K478" s="28"/>
      <c r="L478" s="52"/>
      <c r="M478" s="29"/>
      <c r="N478" s="23"/>
      <c r="O478" s="52"/>
      <c r="P478" s="13"/>
    </row>
    <row r="479" s="6" customFormat="1" spans="1:16">
      <c r="A479" s="23"/>
      <c r="B479" s="8"/>
      <c r="C479" s="25"/>
      <c r="D479" s="52"/>
      <c r="E479" s="52"/>
      <c r="F479" s="52"/>
      <c r="G479" s="52"/>
      <c r="H479" s="27"/>
      <c r="I479" s="52"/>
      <c r="J479" s="52"/>
      <c r="K479" s="28"/>
      <c r="L479" s="52"/>
      <c r="M479" s="29"/>
      <c r="N479" s="23"/>
      <c r="O479" s="52"/>
      <c r="P479" s="13"/>
    </row>
    <row r="480" s="6" customFormat="1" spans="1:16">
      <c r="A480" s="23"/>
      <c r="B480" s="8"/>
      <c r="C480" s="25"/>
      <c r="D480" s="52"/>
      <c r="E480" s="52"/>
      <c r="F480" s="52"/>
      <c r="G480" s="52"/>
      <c r="H480" s="27"/>
      <c r="I480" s="52"/>
      <c r="J480" s="52"/>
      <c r="K480" s="28"/>
      <c r="L480" s="52"/>
      <c r="M480" s="29"/>
      <c r="N480" s="23"/>
      <c r="O480" s="52"/>
      <c r="P480" s="13"/>
    </row>
    <row r="481" s="6" customFormat="1" spans="1:16">
      <c r="A481" s="23"/>
      <c r="B481" s="8"/>
      <c r="C481" s="25"/>
      <c r="D481" s="52"/>
      <c r="E481" s="52"/>
      <c r="F481" s="52"/>
      <c r="G481" s="52"/>
      <c r="H481" s="27"/>
      <c r="I481" s="52"/>
      <c r="J481" s="52"/>
      <c r="K481" s="28"/>
      <c r="L481" s="52"/>
      <c r="M481" s="29"/>
      <c r="N481" s="23"/>
      <c r="O481" s="52"/>
      <c r="P481" s="13"/>
    </row>
    <row r="482" s="6" customFormat="1" spans="1:16">
      <c r="A482" s="23"/>
      <c r="B482" s="8"/>
      <c r="C482" s="25"/>
      <c r="D482" s="52"/>
      <c r="E482" s="52"/>
      <c r="F482" s="52"/>
      <c r="G482" s="52"/>
      <c r="H482" s="27"/>
      <c r="I482" s="52"/>
      <c r="J482" s="52"/>
      <c r="K482" s="28"/>
      <c r="L482" s="52"/>
      <c r="M482" s="29"/>
      <c r="N482" s="23"/>
      <c r="O482" s="52"/>
      <c r="P482" s="13"/>
    </row>
    <row r="483" s="6" customFormat="1" spans="1:16">
      <c r="A483" s="23"/>
      <c r="B483" s="8"/>
      <c r="C483" s="25"/>
      <c r="D483" s="52"/>
      <c r="E483" s="52"/>
      <c r="F483" s="52"/>
      <c r="G483" s="52"/>
      <c r="H483" s="27"/>
      <c r="I483" s="52"/>
      <c r="J483" s="52"/>
      <c r="K483" s="28"/>
      <c r="L483" s="52"/>
      <c r="M483" s="29"/>
      <c r="N483" s="23"/>
      <c r="O483" s="52"/>
      <c r="P483" s="13"/>
    </row>
    <row r="484" s="6" customFormat="1" spans="1:16">
      <c r="A484" s="23"/>
      <c r="B484" s="8"/>
      <c r="C484" s="25"/>
      <c r="D484" s="52"/>
      <c r="E484" s="52"/>
      <c r="F484" s="52"/>
      <c r="G484" s="52"/>
      <c r="H484" s="27"/>
      <c r="I484" s="52"/>
      <c r="J484" s="52"/>
      <c r="K484" s="28"/>
      <c r="L484" s="52"/>
      <c r="M484" s="29"/>
      <c r="N484" s="23"/>
      <c r="O484" s="52"/>
      <c r="P484" s="13"/>
    </row>
    <row r="485" s="6" customFormat="1" spans="1:16">
      <c r="A485" s="23"/>
      <c r="B485" s="8"/>
      <c r="C485" s="25"/>
      <c r="D485" s="52"/>
      <c r="E485" s="52"/>
      <c r="F485" s="52"/>
      <c r="G485" s="52"/>
      <c r="H485" s="27"/>
      <c r="I485" s="52"/>
      <c r="J485" s="52"/>
      <c r="K485" s="28"/>
      <c r="L485" s="52"/>
      <c r="M485" s="29"/>
      <c r="N485" s="23"/>
      <c r="O485" s="52"/>
      <c r="P485" s="13"/>
    </row>
    <row r="486" s="6" customFormat="1" spans="1:16">
      <c r="A486" s="23"/>
      <c r="B486" s="8"/>
      <c r="C486" s="25"/>
      <c r="D486" s="52"/>
      <c r="E486" s="52"/>
      <c r="F486" s="52"/>
      <c r="G486" s="52"/>
      <c r="H486" s="27"/>
      <c r="I486" s="52"/>
      <c r="J486" s="52"/>
      <c r="K486" s="28"/>
      <c r="L486" s="52"/>
      <c r="M486" s="29"/>
      <c r="N486" s="23"/>
      <c r="O486" s="52"/>
      <c r="P486" s="13"/>
    </row>
    <row r="487" s="6" customFormat="1" spans="1:16">
      <c r="A487" s="23"/>
      <c r="B487" s="8"/>
      <c r="C487" s="25"/>
      <c r="D487" s="52"/>
      <c r="E487" s="52"/>
      <c r="F487" s="52"/>
      <c r="G487" s="52"/>
      <c r="H487" s="27"/>
      <c r="I487" s="52"/>
      <c r="J487" s="52"/>
      <c r="K487" s="28"/>
      <c r="L487" s="52"/>
      <c r="M487" s="29"/>
      <c r="N487" s="23"/>
      <c r="O487" s="52"/>
      <c r="P487" s="13"/>
    </row>
    <row r="488" s="6" customFormat="1" spans="1:16">
      <c r="A488" s="23"/>
      <c r="B488" s="8"/>
      <c r="C488" s="25"/>
      <c r="D488" s="52"/>
      <c r="E488" s="52"/>
      <c r="F488" s="52"/>
      <c r="G488" s="52"/>
      <c r="H488" s="27"/>
      <c r="I488" s="52"/>
      <c r="J488" s="52"/>
      <c r="K488" s="28"/>
      <c r="L488" s="52"/>
      <c r="M488" s="29"/>
      <c r="N488" s="23"/>
      <c r="O488" s="52"/>
      <c r="P488" s="13"/>
    </row>
    <row r="489" s="6" customFormat="1" spans="1:16">
      <c r="A489" s="23"/>
      <c r="B489" s="8"/>
      <c r="C489" s="25"/>
      <c r="D489" s="52"/>
      <c r="E489" s="52"/>
      <c r="F489" s="52"/>
      <c r="G489" s="52"/>
      <c r="H489" s="27"/>
      <c r="I489" s="52"/>
      <c r="J489" s="52"/>
      <c r="K489" s="28"/>
      <c r="L489" s="52"/>
      <c r="M489" s="29"/>
      <c r="N489" s="23"/>
      <c r="O489" s="52"/>
      <c r="P489" s="13"/>
    </row>
    <row r="490" s="6" customFormat="1" spans="1:16">
      <c r="A490" s="23"/>
      <c r="B490" s="8"/>
      <c r="C490" s="25"/>
      <c r="D490" s="52"/>
      <c r="E490" s="52"/>
      <c r="F490" s="52"/>
      <c r="G490" s="52"/>
      <c r="H490" s="27"/>
      <c r="I490" s="52"/>
      <c r="J490" s="52"/>
      <c r="K490" s="28"/>
      <c r="L490" s="52"/>
      <c r="M490" s="29"/>
      <c r="N490" s="23"/>
      <c r="O490" s="52"/>
      <c r="P490" s="13"/>
    </row>
    <row r="491" s="6" customFormat="1" spans="1:16">
      <c r="A491" s="23"/>
      <c r="B491" s="8"/>
      <c r="C491" s="25"/>
      <c r="D491" s="52"/>
      <c r="E491" s="52"/>
      <c r="F491" s="52"/>
      <c r="G491" s="52"/>
      <c r="H491" s="27"/>
      <c r="I491" s="52"/>
      <c r="J491" s="52"/>
      <c r="K491" s="28"/>
      <c r="L491" s="52"/>
      <c r="M491" s="29"/>
      <c r="N491" s="23"/>
      <c r="O491" s="52"/>
      <c r="P491" s="13"/>
    </row>
    <row r="492" s="6" customFormat="1" spans="1:16">
      <c r="A492" s="23"/>
      <c r="B492" s="8"/>
      <c r="C492" s="25"/>
      <c r="D492" s="52"/>
      <c r="E492" s="52"/>
      <c r="F492" s="52"/>
      <c r="G492" s="52"/>
      <c r="H492" s="27"/>
      <c r="I492" s="52"/>
      <c r="J492" s="52"/>
      <c r="K492" s="28"/>
      <c r="L492" s="52"/>
      <c r="M492" s="29"/>
      <c r="N492" s="23"/>
      <c r="O492" s="52"/>
      <c r="P492" s="13"/>
    </row>
    <row r="493" s="6" customFormat="1" spans="1:16">
      <c r="A493" s="23"/>
      <c r="B493" s="8"/>
      <c r="C493" s="25"/>
      <c r="D493" s="52"/>
      <c r="E493" s="52"/>
      <c r="F493" s="52"/>
      <c r="G493" s="52"/>
      <c r="H493" s="27"/>
      <c r="I493" s="52"/>
      <c r="J493" s="52"/>
      <c r="K493" s="28"/>
      <c r="L493" s="52"/>
      <c r="M493" s="29"/>
      <c r="N493" s="23"/>
      <c r="O493" s="52"/>
      <c r="P493" s="13"/>
    </row>
    <row r="494" s="6" customFormat="1" spans="1:16">
      <c r="A494" s="23"/>
      <c r="B494" s="8"/>
      <c r="C494" s="25"/>
      <c r="D494" s="52"/>
      <c r="E494" s="52"/>
      <c r="F494" s="52"/>
      <c r="G494" s="52"/>
      <c r="H494" s="27"/>
      <c r="I494" s="52"/>
      <c r="J494" s="52"/>
      <c r="K494" s="28"/>
      <c r="L494" s="52"/>
      <c r="M494" s="29"/>
      <c r="N494" s="23"/>
      <c r="O494" s="52"/>
      <c r="P494" s="13"/>
    </row>
    <row r="495" s="6" customFormat="1" spans="1:16">
      <c r="A495" s="23"/>
      <c r="B495" s="8"/>
      <c r="C495" s="25"/>
      <c r="D495" s="52"/>
      <c r="E495" s="52"/>
      <c r="F495" s="52"/>
      <c r="G495" s="52"/>
      <c r="H495" s="27"/>
      <c r="I495" s="52"/>
      <c r="J495" s="52"/>
      <c r="K495" s="28"/>
      <c r="L495" s="52"/>
      <c r="M495" s="29"/>
      <c r="N495" s="23"/>
      <c r="O495" s="52"/>
      <c r="P495" s="13"/>
    </row>
    <row r="496" s="6" customFormat="1" spans="1:16">
      <c r="A496" s="23"/>
      <c r="B496" s="8"/>
      <c r="C496" s="25"/>
      <c r="D496" s="52"/>
      <c r="E496" s="52"/>
      <c r="F496" s="52"/>
      <c r="G496" s="52"/>
      <c r="H496" s="27"/>
      <c r="I496" s="52"/>
      <c r="J496" s="52"/>
      <c r="K496" s="28"/>
      <c r="L496" s="52"/>
      <c r="M496" s="29"/>
      <c r="N496" s="23"/>
      <c r="O496" s="52"/>
      <c r="P496" s="13"/>
    </row>
    <row r="497" s="6" customFormat="1" spans="1:16">
      <c r="A497" s="23"/>
      <c r="B497" s="8"/>
      <c r="C497" s="25"/>
      <c r="D497" s="52"/>
      <c r="E497" s="52"/>
      <c r="F497" s="52"/>
      <c r="G497" s="52"/>
      <c r="H497" s="27"/>
      <c r="I497" s="52"/>
      <c r="J497" s="52"/>
      <c r="K497" s="28"/>
      <c r="L497" s="52"/>
      <c r="M497" s="29"/>
      <c r="N497" s="23"/>
      <c r="O497" s="52"/>
      <c r="P497" s="13"/>
    </row>
    <row r="498" s="6" customFormat="1" spans="1:16">
      <c r="A498" s="23"/>
      <c r="B498" s="8"/>
      <c r="C498" s="25"/>
      <c r="D498" s="52"/>
      <c r="E498" s="52"/>
      <c r="F498" s="52"/>
      <c r="G498" s="52"/>
      <c r="H498" s="27"/>
      <c r="I498" s="52"/>
      <c r="J498" s="52"/>
      <c r="K498" s="28"/>
      <c r="L498" s="52"/>
      <c r="M498" s="29"/>
      <c r="N498" s="23"/>
      <c r="O498" s="52"/>
      <c r="P498" s="13"/>
    </row>
    <row r="499" s="6" customFormat="1" spans="1:16">
      <c r="A499" s="23"/>
      <c r="B499" s="8"/>
      <c r="C499" s="25"/>
      <c r="D499" s="52"/>
      <c r="E499" s="52"/>
      <c r="F499" s="52"/>
      <c r="G499" s="52"/>
      <c r="H499" s="27"/>
      <c r="I499" s="52"/>
      <c r="J499" s="52"/>
      <c r="K499" s="28"/>
      <c r="L499" s="52"/>
      <c r="M499" s="29"/>
      <c r="N499" s="23"/>
      <c r="O499" s="52"/>
      <c r="P499" s="13"/>
    </row>
    <row r="500" s="6" customFormat="1" spans="1:16">
      <c r="A500" s="23"/>
      <c r="B500" s="8"/>
      <c r="C500" s="25"/>
      <c r="D500" s="52"/>
      <c r="E500" s="52"/>
      <c r="F500" s="52"/>
      <c r="G500" s="52"/>
      <c r="H500" s="27"/>
      <c r="I500" s="52"/>
      <c r="J500" s="52"/>
      <c r="K500" s="28"/>
      <c r="L500" s="52"/>
      <c r="M500" s="29"/>
      <c r="N500" s="23"/>
      <c r="O500" s="52"/>
      <c r="P500" s="13"/>
    </row>
    <row r="501" s="6" customFormat="1" spans="1:16">
      <c r="A501" s="23"/>
      <c r="B501" s="8"/>
      <c r="C501" s="25"/>
      <c r="D501" s="52"/>
      <c r="E501" s="52"/>
      <c r="F501" s="52"/>
      <c r="G501" s="52"/>
      <c r="H501" s="27"/>
      <c r="I501" s="52"/>
      <c r="J501" s="52"/>
      <c r="K501" s="28"/>
      <c r="L501" s="52"/>
      <c r="M501" s="29"/>
      <c r="N501" s="23"/>
      <c r="O501" s="52"/>
      <c r="P501" s="13"/>
    </row>
    <row r="502" s="6" customFormat="1" spans="1:16">
      <c r="A502" s="23"/>
      <c r="B502" s="8"/>
      <c r="C502" s="25"/>
      <c r="D502" s="52"/>
      <c r="E502" s="52"/>
      <c r="F502" s="52"/>
      <c r="G502" s="52"/>
      <c r="H502" s="27"/>
      <c r="I502" s="52"/>
      <c r="J502" s="52"/>
      <c r="K502" s="28"/>
      <c r="L502" s="52"/>
      <c r="M502" s="29"/>
      <c r="N502" s="23"/>
      <c r="O502" s="52"/>
      <c r="P502" s="13"/>
    </row>
    <row r="503" s="6" customFormat="1" spans="1:16">
      <c r="A503" s="23"/>
      <c r="B503" s="8"/>
      <c r="C503" s="25"/>
      <c r="D503" s="52"/>
      <c r="E503" s="52"/>
      <c r="F503" s="52"/>
      <c r="G503" s="52"/>
      <c r="H503" s="27"/>
      <c r="I503" s="52"/>
      <c r="J503" s="52"/>
      <c r="K503" s="28"/>
      <c r="L503" s="52"/>
      <c r="M503" s="29"/>
      <c r="N503" s="23"/>
      <c r="O503" s="52"/>
      <c r="P503" s="13"/>
    </row>
    <row r="504" s="6" customFormat="1" spans="1:16">
      <c r="A504" s="23"/>
      <c r="B504" s="8"/>
      <c r="C504" s="25"/>
      <c r="D504" s="52"/>
      <c r="E504" s="52"/>
      <c r="F504" s="52"/>
      <c r="G504" s="52"/>
      <c r="H504" s="27"/>
      <c r="I504" s="52"/>
      <c r="J504" s="52"/>
      <c r="K504" s="28"/>
      <c r="L504" s="52"/>
      <c r="M504" s="29"/>
      <c r="N504" s="23"/>
      <c r="O504" s="52"/>
      <c r="P504" s="13"/>
    </row>
    <row r="505" s="6" customFormat="1" spans="1:16">
      <c r="A505" s="23"/>
      <c r="B505" s="8"/>
      <c r="C505" s="25"/>
      <c r="D505" s="52"/>
      <c r="E505" s="52"/>
      <c r="F505" s="52"/>
      <c r="G505" s="52"/>
      <c r="H505" s="27"/>
      <c r="I505" s="52"/>
      <c r="J505" s="52"/>
      <c r="K505" s="28"/>
      <c r="L505" s="52"/>
      <c r="M505" s="29"/>
      <c r="N505" s="23"/>
      <c r="O505" s="52"/>
      <c r="P505" s="13"/>
    </row>
    <row r="506" s="6" customFormat="1" spans="1:16">
      <c r="A506" s="23"/>
      <c r="B506" s="8"/>
      <c r="C506" s="25"/>
      <c r="D506" s="52"/>
      <c r="E506" s="52"/>
      <c r="F506" s="52"/>
      <c r="G506" s="52"/>
      <c r="H506" s="27"/>
      <c r="I506" s="52"/>
      <c r="J506" s="52"/>
      <c r="K506" s="28"/>
      <c r="L506" s="52"/>
      <c r="M506" s="29"/>
      <c r="N506" s="23"/>
      <c r="O506" s="52"/>
      <c r="P506" s="13"/>
    </row>
    <row r="507" s="6" customFormat="1" spans="1:16">
      <c r="A507" s="23"/>
      <c r="B507" s="8"/>
      <c r="C507" s="25"/>
      <c r="D507" s="52"/>
      <c r="E507" s="52"/>
      <c r="F507" s="52"/>
      <c r="G507" s="52"/>
      <c r="H507" s="27"/>
      <c r="I507" s="52"/>
      <c r="J507" s="52"/>
      <c r="K507" s="28"/>
      <c r="L507" s="52"/>
      <c r="M507" s="29"/>
      <c r="N507" s="23"/>
      <c r="O507" s="52"/>
      <c r="P507" s="13"/>
    </row>
    <row r="508" s="6" customFormat="1" spans="1:16">
      <c r="A508" s="23"/>
      <c r="B508" s="8"/>
      <c r="C508" s="25"/>
      <c r="D508" s="52"/>
      <c r="E508" s="52"/>
      <c r="F508" s="52"/>
      <c r="G508" s="52"/>
      <c r="H508" s="27"/>
      <c r="I508" s="52"/>
      <c r="J508" s="52"/>
      <c r="K508" s="28"/>
      <c r="L508" s="52"/>
      <c r="M508" s="29"/>
      <c r="N508" s="23"/>
      <c r="O508" s="52"/>
      <c r="P508" s="13"/>
    </row>
    <row r="509" s="6" customFormat="1" spans="1:16">
      <c r="A509" s="23"/>
      <c r="B509" s="8"/>
      <c r="C509" s="25"/>
      <c r="D509" s="52"/>
      <c r="E509" s="52"/>
      <c r="F509" s="52"/>
      <c r="G509" s="52"/>
      <c r="H509" s="27"/>
      <c r="I509" s="52"/>
      <c r="J509" s="52"/>
      <c r="K509" s="28"/>
      <c r="L509" s="52"/>
      <c r="M509" s="29"/>
      <c r="N509" s="23"/>
      <c r="O509" s="52"/>
      <c r="P509" s="13"/>
    </row>
    <row r="510" s="6" customFormat="1" spans="1:16">
      <c r="A510" s="23"/>
      <c r="B510" s="8"/>
      <c r="C510" s="25"/>
      <c r="D510" s="53"/>
      <c r="E510" s="52"/>
      <c r="F510" s="52"/>
      <c r="G510" s="52"/>
      <c r="H510" s="27"/>
      <c r="I510" s="52"/>
      <c r="J510" s="52"/>
      <c r="K510" s="28"/>
      <c r="L510" s="52"/>
      <c r="M510" s="29"/>
      <c r="N510" s="23"/>
      <c r="O510" s="52"/>
      <c r="P510" s="13"/>
    </row>
    <row r="511" s="6" customFormat="1" spans="1:16">
      <c r="A511" s="23"/>
      <c r="B511" s="8"/>
      <c r="C511" s="25"/>
      <c r="D511" s="52"/>
      <c r="E511" s="52"/>
      <c r="F511" s="52"/>
      <c r="G511" s="52"/>
      <c r="H511" s="27"/>
      <c r="I511" s="52"/>
      <c r="J511" s="52"/>
      <c r="K511" s="28"/>
      <c r="L511" s="52"/>
      <c r="M511" s="29"/>
      <c r="N511" s="23"/>
      <c r="O511" s="52"/>
      <c r="P511" s="13"/>
    </row>
    <row r="512" s="6" customFormat="1" spans="1:16">
      <c r="A512" s="23"/>
      <c r="B512" s="8"/>
      <c r="C512" s="25"/>
      <c r="D512" s="52"/>
      <c r="E512" s="52"/>
      <c r="F512" s="52"/>
      <c r="G512" s="52"/>
      <c r="H512" s="27"/>
      <c r="I512" s="52"/>
      <c r="J512" s="52"/>
      <c r="K512" s="28"/>
      <c r="L512" s="52"/>
      <c r="M512" s="29"/>
      <c r="N512" s="23"/>
      <c r="O512" s="52"/>
      <c r="P512" s="13"/>
    </row>
    <row r="513" s="6" customFormat="1" spans="1:16">
      <c r="A513" s="23"/>
      <c r="B513" s="8"/>
      <c r="C513" s="25"/>
      <c r="D513" s="52"/>
      <c r="E513" s="52"/>
      <c r="F513" s="52"/>
      <c r="G513" s="52"/>
      <c r="H513" s="27"/>
      <c r="I513" s="52"/>
      <c r="J513" s="52"/>
      <c r="K513" s="28"/>
      <c r="L513" s="52"/>
      <c r="M513" s="29"/>
      <c r="N513" s="23"/>
      <c r="O513" s="52"/>
      <c r="P513" s="13"/>
    </row>
    <row r="514" s="6" customFormat="1" spans="1:16">
      <c r="A514" s="23"/>
      <c r="B514" s="8"/>
      <c r="C514" s="25"/>
      <c r="D514" s="52"/>
      <c r="E514" s="52"/>
      <c r="F514" s="52"/>
      <c r="G514" s="52"/>
      <c r="H514" s="27"/>
      <c r="I514" s="52"/>
      <c r="J514" s="52"/>
      <c r="K514" s="28"/>
      <c r="L514" s="52"/>
      <c r="M514" s="29"/>
      <c r="N514" s="23"/>
      <c r="O514" s="52"/>
      <c r="P514" s="13"/>
    </row>
    <row r="515" s="6" customFormat="1" spans="1:16">
      <c r="A515" s="23"/>
      <c r="B515" s="8"/>
      <c r="C515" s="25"/>
      <c r="D515" s="52"/>
      <c r="E515" s="52"/>
      <c r="F515" s="52"/>
      <c r="G515" s="52"/>
      <c r="H515" s="27"/>
      <c r="I515" s="52"/>
      <c r="J515" s="52"/>
      <c r="K515" s="28"/>
      <c r="L515" s="52"/>
      <c r="M515" s="29"/>
      <c r="N515" s="23"/>
      <c r="O515" s="52"/>
      <c r="P515" s="13"/>
    </row>
    <row r="516" s="6" customFormat="1" spans="1:16">
      <c r="A516" s="23"/>
      <c r="B516" s="8"/>
      <c r="C516" s="25"/>
      <c r="D516" s="52"/>
      <c r="E516" s="52"/>
      <c r="F516" s="52"/>
      <c r="G516" s="52"/>
      <c r="H516" s="27"/>
      <c r="I516" s="52"/>
      <c r="J516" s="52"/>
      <c r="K516" s="28"/>
      <c r="L516" s="52"/>
      <c r="M516" s="29"/>
      <c r="N516" s="23"/>
      <c r="O516" s="52"/>
      <c r="P516" s="13"/>
    </row>
    <row r="517" s="6" customFormat="1" spans="1:16">
      <c r="A517" s="23"/>
      <c r="B517" s="8"/>
      <c r="C517" s="25"/>
      <c r="D517" s="52"/>
      <c r="E517" s="52"/>
      <c r="F517" s="52"/>
      <c r="G517" s="52"/>
      <c r="H517" s="27"/>
      <c r="I517" s="52"/>
      <c r="J517" s="52"/>
      <c r="K517" s="28"/>
      <c r="L517" s="52"/>
      <c r="M517" s="29"/>
      <c r="N517" s="23"/>
      <c r="O517" s="52"/>
      <c r="P517" s="13"/>
    </row>
    <row r="518" s="6" customFormat="1" spans="1:16">
      <c r="A518" s="23"/>
      <c r="B518" s="8"/>
      <c r="C518" s="25"/>
      <c r="D518" s="52"/>
      <c r="E518" s="52"/>
      <c r="F518" s="52"/>
      <c r="G518" s="52"/>
      <c r="H518" s="27"/>
      <c r="I518" s="52"/>
      <c r="J518" s="52"/>
      <c r="K518" s="28"/>
      <c r="L518" s="52"/>
      <c r="M518" s="29"/>
      <c r="N518" s="23"/>
      <c r="O518" s="52"/>
      <c r="P518" s="13"/>
    </row>
    <row r="519" s="6" customFormat="1" spans="1:16">
      <c r="A519" s="23"/>
      <c r="B519" s="8"/>
      <c r="C519" s="25"/>
      <c r="D519" s="52"/>
      <c r="E519" s="52"/>
      <c r="F519" s="52"/>
      <c r="G519" s="52"/>
      <c r="H519" s="27"/>
      <c r="I519" s="52"/>
      <c r="J519" s="52"/>
      <c r="K519" s="28"/>
      <c r="L519" s="52"/>
      <c r="M519" s="29"/>
      <c r="N519" s="23"/>
      <c r="O519" s="52"/>
      <c r="P519" s="13"/>
    </row>
    <row r="520" s="6" customFormat="1" spans="1:16">
      <c r="A520" s="23"/>
      <c r="B520" s="8"/>
      <c r="C520" s="25"/>
      <c r="D520" s="52"/>
      <c r="E520" s="52"/>
      <c r="F520" s="52"/>
      <c r="G520" s="52"/>
      <c r="H520" s="27"/>
      <c r="I520" s="52"/>
      <c r="J520" s="52"/>
      <c r="K520" s="28"/>
      <c r="L520" s="52"/>
      <c r="M520" s="29"/>
      <c r="N520" s="23"/>
      <c r="O520" s="52"/>
      <c r="P520" s="13"/>
    </row>
    <row r="521" s="6" customFormat="1" spans="1:16">
      <c r="A521" s="23"/>
      <c r="B521" s="8"/>
      <c r="C521" s="25"/>
      <c r="D521" s="52"/>
      <c r="E521" s="52"/>
      <c r="F521" s="52"/>
      <c r="G521" s="52"/>
      <c r="H521" s="27"/>
      <c r="I521" s="52"/>
      <c r="J521" s="52"/>
      <c r="K521" s="28"/>
      <c r="L521" s="52"/>
      <c r="M521" s="29"/>
      <c r="N521" s="23"/>
      <c r="O521" s="52"/>
      <c r="P521" s="13"/>
    </row>
    <row r="522" s="6" customFormat="1" spans="1:16">
      <c r="A522" s="23"/>
      <c r="B522" s="8"/>
      <c r="C522" s="25"/>
      <c r="D522" s="52"/>
      <c r="E522" s="52"/>
      <c r="F522" s="52"/>
      <c r="G522" s="52"/>
      <c r="H522" s="27"/>
      <c r="I522" s="52"/>
      <c r="J522" s="52"/>
      <c r="K522" s="28"/>
      <c r="L522" s="52"/>
      <c r="M522" s="29"/>
      <c r="N522" s="23"/>
      <c r="O522" s="52"/>
      <c r="P522" s="13"/>
    </row>
    <row r="523" s="6" customFormat="1" spans="1:16">
      <c r="A523" s="23"/>
      <c r="B523" s="8"/>
      <c r="C523" s="25"/>
      <c r="D523" s="52"/>
      <c r="E523" s="52"/>
      <c r="F523" s="52"/>
      <c r="G523" s="52"/>
      <c r="H523" s="27"/>
      <c r="I523" s="52"/>
      <c r="J523" s="52"/>
      <c r="K523" s="28"/>
      <c r="L523" s="52"/>
      <c r="M523" s="29"/>
      <c r="N523" s="23"/>
      <c r="O523" s="52"/>
      <c r="P523" s="13"/>
    </row>
    <row r="524" s="6" customFormat="1" spans="1:16">
      <c r="A524" s="23"/>
      <c r="B524" s="8"/>
      <c r="C524" s="25"/>
      <c r="D524" s="52"/>
      <c r="E524" s="52"/>
      <c r="F524" s="52"/>
      <c r="G524" s="52"/>
      <c r="H524" s="27"/>
      <c r="I524" s="52"/>
      <c r="J524" s="52"/>
      <c r="K524" s="28"/>
      <c r="L524" s="52"/>
      <c r="M524" s="29"/>
      <c r="N524" s="23"/>
      <c r="O524" s="52"/>
      <c r="P524" s="13"/>
    </row>
    <row r="525" s="6" customFormat="1" spans="1:16">
      <c r="A525" s="23"/>
      <c r="B525" s="8"/>
      <c r="C525" s="25"/>
      <c r="D525" s="52"/>
      <c r="E525" s="52"/>
      <c r="F525" s="52"/>
      <c r="G525" s="52"/>
      <c r="H525" s="27"/>
      <c r="I525" s="52"/>
      <c r="J525" s="52"/>
      <c r="K525" s="28"/>
      <c r="L525" s="52"/>
      <c r="M525" s="29"/>
      <c r="N525" s="23"/>
      <c r="O525" s="52"/>
      <c r="P525" s="13"/>
    </row>
    <row r="526" s="6" customFormat="1" spans="1:16">
      <c r="A526" s="23"/>
      <c r="B526" s="8"/>
      <c r="C526" s="25"/>
      <c r="D526" s="52"/>
      <c r="E526" s="52"/>
      <c r="F526" s="52"/>
      <c r="G526" s="52"/>
      <c r="H526" s="27"/>
      <c r="I526" s="52"/>
      <c r="J526" s="52"/>
      <c r="K526" s="28"/>
      <c r="L526" s="52"/>
      <c r="M526" s="29"/>
      <c r="N526" s="23"/>
      <c r="O526" s="52"/>
      <c r="P526" s="13"/>
    </row>
    <row r="527" s="6" customFormat="1" spans="1:16">
      <c r="A527" s="23"/>
      <c r="B527" s="8"/>
      <c r="C527" s="25"/>
      <c r="D527" s="52"/>
      <c r="E527" s="52"/>
      <c r="F527" s="52"/>
      <c r="G527" s="52"/>
      <c r="H527" s="27"/>
      <c r="I527" s="52"/>
      <c r="J527" s="52"/>
      <c r="K527" s="28"/>
      <c r="L527" s="52"/>
      <c r="M527" s="29"/>
      <c r="N527" s="23"/>
      <c r="O527" s="52"/>
      <c r="P527" s="13"/>
    </row>
    <row r="528" s="6" customFormat="1" spans="1:16">
      <c r="A528" s="23"/>
      <c r="B528" s="8"/>
      <c r="C528" s="25"/>
      <c r="D528" s="52"/>
      <c r="E528" s="52"/>
      <c r="F528" s="52"/>
      <c r="G528" s="52"/>
      <c r="H528" s="27"/>
      <c r="I528" s="52"/>
      <c r="J528" s="52"/>
      <c r="K528" s="28"/>
      <c r="L528" s="52"/>
      <c r="M528" s="29"/>
      <c r="N528" s="23"/>
      <c r="O528" s="52"/>
      <c r="P528" s="13"/>
    </row>
    <row r="529" s="6" customFormat="1" spans="1:16">
      <c r="A529" s="23"/>
      <c r="B529" s="8"/>
      <c r="C529" s="25"/>
      <c r="D529" s="52"/>
      <c r="E529" s="52"/>
      <c r="F529" s="52"/>
      <c r="G529" s="52"/>
      <c r="H529" s="27"/>
      <c r="I529" s="52"/>
      <c r="J529" s="52"/>
      <c r="K529" s="28"/>
      <c r="L529" s="52"/>
      <c r="M529" s="29"/>
      <c r="N529" s="23"/>
      <c r="O529" s="52"/>
      <c r="P529" s="13"/>
    </row>
    <row r="530" s="6" customFormat="1" spans="1:16">
      <c r="A530" s="23"/>
      <c r="B530" s="8"/>
      <c r="C530" s="25"/>
      <c r="D530" s="52"/>
      <c r="E530" s="52"/>
      <c r="F530" s="52"/>
      <c r="G530" s="52"/>
      <c r="H530" s="27"/>
      <c r="I530" s="52"/>
      <c r="J530" s="52"/>
      <c r="K530" s="28"/>
      <c r="L530" s="52"/>
      <c r="M530" s="29"/>
      <c r="N530" s="23"/>
      <c r="O530" s="52"/>
      <c r="P530" s="13"/>
    </row>
    <row r="531" s="6" customFormat="1" spans="1:16">
      <c r="A531" s="23"/>
      <c r="B531" s="8"/>
      <c r="C531" s="25"/>
      <c r="D531" s="52"/>
      <c r="E531" s="52"/>
      <c r="F531" s="52"/>
      <c r="G531" s="52"/>
      <c r="H531" s="27"/>
      <c r="I531" s="52"/>
      <c r="J531" s="52"/>
      <c r="K531" s="28"/>
      <c r="L531" s="52"/>
      <c r="M531" s="29"/>
      <c r="N531" s="23"/>
      <c r="O531" s="52"/>
      <c r="P531" s="13"/>
    </row>
    <row r="532" s="6" customFormat="1" spans="1:16">
      <c r="A532" s="23"/>
      <c r="B532" s="8"/>
      <c r="C532" s="25"/>
      <c r="D532" s="52"/>
      <c r="E532" s="52"/>
      <c r="F532" s="52"/>
      <c r="G532" s="52"/>
      <c r="H532" s="27"/>
      <c r="I532" s="52"/>
      <c r="J532" s="52"/>
      <c r="K532" s="28"/>
      <c r="L532" s="52"/>
      <c r="M532" s="29"/>
      <c r="N532" s="23"/>
      <c r="O532" s="52"/>
      <c r="P532" s="13"/>
    </row>
    <row r="533" s="6" customFormat="1" spans="1:16">
      <c r="A533" s="23"/>
      <c r="B533" s="8"/>
      <c r="C533" s="25"/>
      <c r="D533" s="52"/>
      <c r="E533" s="52"/>
      <c r="F533" s="52"/>
      <c r="G533" s="52"/>
      <c r="H533" s="27"/>
      <c r="I533" s="52"/>
      <c r="J533" s="52"/>
      <c r="K533" s="28"/>
      <c r="L533" s="52"/>
      <c r="M533" s="29"/>
      <c r="N533" s="23"/>
      <c r="O533" s="52"/>
      <c r="P533" s="13"/>
    </row>
    <row r="534" s="6" customFormat="1" spans="1:16">
      <c r="A534" s="23"/>
      <c r="B534" s="8"/>
      <c r="C534" s="25"/>
      <c r="D534" s="52"/>
      <c r="E534" s="52"/>
      <c r="F534" s="52"/>
      <c r="G534" s="52"/>
      <c r="H534" s="27"/>
      <c r="I534" s="52"/>
      <c r="J534" s="52"/>
      <c r="K534" s="28"/>
      <c r="L534" s="52"/>
      <c r="M534" s="29"/>
      <c r="N534" s="23"/>
      <c r="O534" s="52"/>
      <c r="P534" s="13"/>
    </row>
    <row r="535" s="6" customFormat="1" spans="1:16">
      <c r="A535" s="23"/>
      <c r="B535" s="8"/>
      <c r="C535" s="25"/>
      <c r="D535" s="52"/>
      <c r="E535" s="52"/>
      <c r="F535" s="52"/>
      <c r="G535" s="52"/>
      <c r="H535" s="27"/>
      <c r="I535" s="52"/>
      <c r="J535" s="52"/>
      <c r="K535" s="28"/>
      <c r="L535" s="52"/>
      <c r="M535" s="29"/>
      <c r="N535" s="23"/>
      <c r="O535" s="52"/>
      <c r="P535" s="13"/>
    </row>
    <row r="536" s="6" customFormat="1" spans="1:16">
      <c r="A536" s="23"/>
      <c r="B536" s="8"/>
      <c r="C536" s="25"/>
      <c r="D536" s="52"/>
      <c r="E536" s="52"/>
      <c r="F536" s="52"/>
      <c r="G536" s="52"/>
      <c r="H536" s="27"/>
      <c r="I536" s="52"/>
      <c r="J536" s="52"/>
      <c r="K536" s="28"/>
      <c r="L536" s="52"/>
      <c r="M536" s="29"/>
      <c r="N536" s="23"/>
      <c r="O536" s="52"/>
      <c r="P536" s="13"/>
    </row>
    <row r="537" s="6" customFormat="1" spans="1:16">
      <c r="A537" s="23"/>
      <c r="B537" s="8"/>
      <c r="C537" s="25"/>
      <c r="D537" s="52"/>
      <c r="E537" s="52"/>
      <c r="F537" s="52"/>
      <c r="G537" s="52"/>
      <c r="H537" s="27"/>
      <c r="I537" s="52"/>
      <c r="J537" s="52"/>
      <c r="K537" s="28"/>
      <c r="L537" s="52"/>
      <c r="M537" s="29"/>
      <c r="N537" s="23"/>
      <c r="O537" s="52"/>
      <c r="P537" s="13"/>
    </row>
    <row r="538" s="6" customFormat="1" spans="1:16">
      <c r="A538" s="23"/>
      <c r="B538" s="8"/>
      <c r="C538" s="25"/>
      <c r="D538" s="52"/>
      <c r="E538" s="52"/>
      <c r="F538" s="52"/>
      <c r="G538" s="52"/>
      <c r="H538" s="27"/>
      <c r="I538" s="52"/>
      <c r="J538" s="52"/>
      <c r="K538" s="28"/>
      <c r="L538" s="52"/>
      <c r="M538" s="29"/>
      <c r="N538" s="23"/>
      <c r="O538" s="52"/>
      <c r="P538" s="13"/>
    </row>
    <row r="539" s="6" customFormat="1" spans="1:16">
      <c r="A539" s="23"/>
      <c r="B539" s="8"/>
      <c r="C539" s="25"/>
      <c r="D539" s="52"/>
      <c r="E539" s="52"/>
      <c r="F539" s="52"/>
      <c r="G539" s="52"/>
      <c r="H539" s="27"/>
      <c r="I539" s="52"/>
      <c r="J539" s="52"/>
      <c r="K539" s="28"/>
      <c r="L539" s="52"/>
      <c r="M539" s="29"/>
      <c r="N539" s="23"/>
      <c r="O539" s="52"/>
      <c r="P539" s="13"/>
    </row>
    <row r="540" s="6" customFormat="1" spans="1:16">
      <c r="A540" s="23"/>
      <c r="B540" s="8"/>
      <c r="C540" s="25"/>
      <c r="D540" s="52"/>
      <c r="E540" s="52"/>
      <c r="F540" s="52"/>
      <c r="G540" s="52"/>
      <c r="H540" s="27"/>
      <c r="I540" s="52"/>
      <c r="J540" s="52"/>
      <c r="K540" s="28"/>
      <c r="L540" s="52"/>
      <c r="M540" s="29"/>
      <c r="N540" s="23"/>
      <c r="O540" s="52"/>
      <c r="P540" s="13"/>
    </row>
    <row r="541" s="6" customFormat="1" spans="1:16">
      <c r="A541" s="23"/>
      <c r="B541" s="8"/>
      <c r="C541" s="25"/>
      <c r="D541" s="52"/>
      <c r="E541" s="52"/>
      <c r="F541" s="52"/>
      <c r="G541" s="52"/>
      <c r="H541" s="27"/>
      <c r="I541" s="52"/>
      <c r="J541" s="52"/>
      <c r="K541" s="28"/>
      <c r="L541" s="52"/>
      <c r="M541" s="29"/>
      <c r="N541" s="23"/>
      <c r="O541" s="52"/>
      <c r="P541" s="13"/>
    </row>
    <row r="542" s="6" customFormat="1" spans="1:16">
      <c r="A542" s="23"/>
      <c r="B542" s="8"/>
      <c r="C542" s="25"/>
      <c r="D542" s="52"/>
      <c r="E542" s="52"/>
      <c r="F542" s="52"/>
      <c r="G542" s="52"/>
      <c r="H542" s="27"/>
      <c r="I542" s="52"/>
      <c r="J542" s="52"/>
      <c r="K542" s="28"/>
      <c r="L542" s="52"/>
      <c r="M542" s="29"/>
      <c r="N542" s="23"/>
      <c r="O542" s="52"/>
      <c r="P542" s="13"/>
    </row>
    <row r="543" s="6" customFormat="1" spans="1:16">
      <c r="A543" s="23"/>
      <c r="B543" s="8"/>
      <c r="C543" s="25"/>
      <c r="D543" s="52"/>
      <c r="E543" s="52"/>
      <c r="F543" s="52"/>
      <c r="G543" s="52"/>
      <c r="H543" s="27"/>
      <c r="I543" s="52"/>
      <c r="J543" s="52"/>
      <c r="K543" s="28"/>
      <c r="L543" s="52"/>
      <c r="M543" s="29"/>
      <c r="N543" s="23"/>
      <c r="O543" s="52"/>
      <c r="P543" s="13"/>
    </row>
    <row r="544" s="6" customFormat="1" spans="1:16">
      <c r="A544" s="23"/>
      <c r="B544" s="8"/>
      <c r="C544" s="25"/>
      <c r="D544" s="52"/>
      <c r="E544" s="52"/>
      <c r="F544" s="52"/>
      <c r="G544" s="52"/>
      <c r="H544" s="27"/>
      <c r="I544" s="52"/>
      <c r="J544" s="52"/>
      <c r="K544" s="28"/>
      <c r="L544" s="52"/>
      <c r="M544" s="29"/>
      <c r="N544" s="23"/>
      <c r="O544" s="52"/>
      <c r="P544" s="13"/>
    </row>
    <row r="545" s="6" customFormat="1" spans="1:16">
      <c r="A545" s="23"/>
      <c r="B545" s="8"/>
      <c r="C545" s="25"/>
      <c r="D545" s="52"/>
      <c r="E545" s="52"/>
      <c r="F545" s="52"/>
      <c r="G545" s="52"/>
      <c r="H545" s="27"/>
      <c r="I545" s="52"/>
      <c r="J545" s="52"/>
      <c r="K545" s="28"/>
      <c r="L545" s="52"/>
      <c r="M545" s="29"/>
      <c r="N545" s="23"/>
      <c r="O545" s="52"/>
      <c r="P545" s="13"/>
    </row>
    <row r="546" s="6" customFormat="1" spans="1:16">
      <c r="A546" s="23"/>
      <c r="B546" s="8"/>
      <c r="C546" s="25"/>
      <c r="D546" s="52"/>
      <c r="E546" s="52"/>
      <c r="F546" s="52"/>
      <c r="G546" s="52"/>
      <c r="H546" s="27"/>
      <c r="I546" s="52"/>
      <c r="J546" s="52"/>
      <c r="K546" s="28"/>
      <c r="L546" s="52"/>
      <c r="M546" s="29"/>
      <c r="N546" s="23"/>
      <c r="O546" s="52"/>
      <c r="P546" s="13"/>
    </row>
    <row r="547" s="6" customFormat="1" spans="1:16">
      <c r="A547" s="23"/>
      <c r="B547" s="8"/>
      <c r="C547" s="25"/>
      <c r="D547" s="52"/>
      <c r="E547" s="52"/>
      <c r="F547" s="52"/>
      <c r="G547" s="52"/>
      <c r="H547" s="27"/>
      <c r="I547" s="52"/>
      <c r="J547" s="52"/>
      <c r="K547" s="28"/>
      <c r="L547" s="52"/>
      <c r="M547" s="29"/>
      <c r="N547" s="23"/>
      <c r="O547" s="52"/>
      <c r="P547" s="13"/>
    </row>
    <row r="548" s="6" customFormat="1" spans="1:16">
      <c r="A548" s="23"/>
      <c r="B548" s="8"/>
      <c r="C548" s="25"/>
      <c r="D548" s="52"/>
      <c r="E548" s="52"/>
      <c r="F548" s="52"/>
      <c r="G548" s="52"/>
      <c r="H548" s="27"/>
      <c r="I548" s="52"/>
      <c r="J548" s="52"/>
      <c r="K548" s="28"/>
      <c r="L548" s="52"/>
      <c r="M548" s="29"/>
      <c r="N548" s="23"/>
      <c r="O548" s="52"/>
      <c r="P548" s="13"/>
    </row>
    <row r="549" s="6" customFormat="1" spans="1:16">
      <c r="A549" s="23"/>
      <c r="B549" s="8"/>
      <c r="C549" s="25"/>
      <c r="D549" s="52"/>
      <c r="E549" s="52"/>
      <c r="F549" s="52"/>
      <c r="G549" s="52"/>
      <c r="H549" s="27"/>
      <c r="I549" s="52"/>
      <c r="J549" s="52"/>
      <c r="K549" s="28"/>
      <c r="L549" s="52"/>
      <c r="M549" s="29"/>
      <c r="N549" s="23"/>
      <c r="O549" s="52"/>
      <c r="P549" s="13"/>
    </row>
    <row r="550" s="6" customFormat="1" spans="1:16">
      <c r="A550" s="23"/>
      <c r="B550" s="8"/>
      <c r="C550" s="25"/>
      <c r="D550" s="52"/>
      <c r="E550" s="52"/>
      <c r="F550" s="52"/>
      <c r="G550" s="52"/>
      <c r="H550" s="27"/>
      <c r="I550" s="52"/>
      <c r="J550" s="52"/>
      <c r="K550" s="28"/>
      <c r="L550" s="52"/>
      <c r="M550" s="29"/>
      <c r="N550" s="23"/>
      <c r="O550" s="52"/>
      <c r="P550" s="13"/>
    </row>
    <row r="551" s="6" customFormat="1" spans="1:16">
      <c r="A551" s="23"/>
      <c r="B551" s="8"/>
      <c r="C551" s="25"/>
      <c r="D551" s="52"/>
      <c r="E551" s="52"/>
      <c r="F551" s="52"/>
      <c r="G551" s="52"/>
      <c r="H551" s="27"/>
      <c r="I551" s="52"/>
      <c r="J551" s="52"/>
      <c r="K551" s="28"/>
      <c r="L551" s="52"/>
      <c r="M551" s="29"/>
      <c r="N551" s="23"/>
      <c r="O551" s="52"/>
      <c r="P551" s="13"/>
    </row>
    <row r="552" s="6" customFormat="1" spans="1:16">
      <c r="A552" s="23"/>
      <c r="B552" s="8"/>
      <c r="C552" s="25"/>
      <c r="D552" s="52"/>
      <c r="E552" s="52"/>
      <c r="F552" s="52"/>
      <c r="G552" s="52"/>
      <c r="H552" s="27"/>
      <c r="I552" s="52"/>
      <c r="J552" s="52"/>
      <c r="K552" s="28"/>
      <c r="L552" s="52"/>
      <c r="M552" s="29"/>
      <c r="N552" s="23"/>
      <c r="O552" s="52"/>
      <c r="P552" s="13"/>
    </row>
    <row r="553" s="6" customFormat="1" spans="1:16">
      <c r="A553" s="23"/>
      <c r="B553" s="8"/>
      <c r="C553" s="25"/>
      <c r="D553" s="52"/>
      <c r="E553" s="52"/>
      <c r="F553" s="52"/>
      <c r="G553" s="52"/>
      <c r="H553" s="27"/>
      <c r="I553" s="52"/>
      <c r="J553" s="52"/>
      <c r="K553" s="28"/>
      <c r="L553" s="52"/>
      <c r="M553" s="29"/>
      <c r="N553" s="23"/>
      <c r="O553" s="52"/>
      <c r="P553" s="13"/>
    </row>
    <row r="554" s="6" customFormat="1" spans="1:16">
      <c r="A554" s="23"/>
      <c r="B554" s="8"/>
      <c r="C554" s="25"/>
      <c r="D554" s="52"/>
      <c r="E554" s="52"/>
      <c r="F554" s="52"/>
      <c r="G554" s="52"/>
      <c r="H554" s="27"/>
      <c r="I554" s="52"/>
      <c r="J554" s="52"/>
      <c r="K554" s="28"/>
      <c r="L554" s="52"/>
      <c r="M554" s="29"/>
      <c r="N554" s="23"/>
      <c r="O554" s="52"/>
      <c r="P554" s="13"/>
    </row>
    <row r="555" s="6" customFormat="1" spans="1:16">
      <c r="A555" s="23"/>
      <c r="B555" s="8"/>
      <c r="C555" s="25"/>
      <c r="D555" s="52"/>
      <c r="E555" s="52"/>
      <c r="F555" s="52"/>
      <c r="G555" s="52"/>
      <c r="H555" s="27"/>
      <c r="I555" s="52"/>
      <c r="J555" s="52"/>
      <c r="K555" s="28"/>
      <c r="L555" s="52"/>
      <c r="M555" s="29"/>
      <c r="N555" s="23"/>
      <c r="O555" s="52"/>
      <c r="P555" s="13"/>
    </row>
    <row r="556" s="6" customFormat="1" spans="1:16">
      <c r="A556" s="23"/>
      <c r="B556" s="8"/>
      <c r="C556" s="25"/>
      <c r="D556" s="52"/>
      <c r="E556" s="52"/>
      <c r="F556" s="52"/>
      <c r="G556" s="52"/>
      <c r="H556" s="27"/>
      <c r="I556" s="52"/>
      <c r="J556" s="52"/>
      <c r="K556" s="28"/>
      <c r="L556" s="52"/>
      <c r="M556" s="29"/>
      <c r="N556" s="23"/>
      <c r="O556" s="52"/>
      <c r="P556" s="13"/>
    </row>
    <row r="557" s="6" customFormat="1" spans="1:16">
      <c r="A557" s="23"/>
      <c r="B557" s="8"/>
      <c r="C557" s="25"/>
      <c r="D557" s="52"/>
      <c r="E557" s="52"/>
      <c r="F557" s="52"/>
      <c r="G557" s="52"/>
      <c r="H557" s="27"/>
      <c r="I557" s="52"/>
      <c r="J557" s="52"/>
      <c r="K557" s="28"/>
      <c r="L557" s="52"/>
      <c r="M557" s="29"/>
      <c r="N557" s="23"/>
      <c r="O557" s="52"/>
      <c r="P557" s="13"/>
    </row>
    <row r="558" s="6" customFormat="1" spans="1:16">
      <c r="A558" s="23"/>
      <c r="B558" s="8"/>
      <c r="C558" s="25"/>
      <c r="D558" s="52"/>
      <c r="E558" s="52"/>
      <c r="F558" s="52"/>
      <c r="G558" s="52"/>
      <c r="H558" s="27"/>
      <c r="I558" s="52"/>
      <c r="J558" s="52"/>
      <c r="K558" s="28"/>
      <c r="L558" s="52"/>
      <c r="M558" s="29"/>
      <c r="N558" s="23"/>
      <c r="O558" s="52"/>
      <c r="P558" s="13"/>
    </row>
    <row r="559" s="6" customFormat="1" spans="1:16">
      <c r="A559" s="23"/>
      <c r="B559" s="8"/>
      <c r="C559" s="25"/>
      <c r="D559" s="52"/>
      <c r="E559" s="52"/>
      <c r="F559" s="52"/>
      <c r="G559" s="52"/>
      <c r="H559" s="27"/>
      <c r="I559" s="52"/>
      <c r="J559" s="52"/>
      <c r="K559" s="28"/>
      <c r="L559" s="52"/>
      <c r="M559" s="29"/>
      <c r="N559" s="23"/>
      <c r="O559" s="52"/>
      <c r="P559" s="13"/>
    </row>
    <row r="560" s="6" customFormat="1" spans="1:16">
      <c r="A560" s="23"/>
      <c r="B560" s="8"/>
      <c r="C560" s="25"/>
      <c r="D560" s="52"/>
      <c r="E560" s="52"/>
      <c r="F560" s="52"/>
      <c r="G560" s="52"/>
      <c r="H560" s="27"/>
      <c r="I560" s="52"/>
      <c r="J560" s="52"/>
      <c r="K560" s="28"/>
      <c r="L560" s="52"/>
      <c r="M560" s="29"/>
      <c r="N560" s="23"/>
      <c r="O560" s="52"/>
      <c r="P560" s="13"/>
    </row>
    <row r="561" s="6" customFormat="1" spans="1:16">
      <c r="A561" s="23"/>
      <c r="B561" s="8"/>
      <c r="C561" s="25"/>
      <c r="D561" s="52"/>
      <c r="E561" s="52"/>
      <c r="F561" s="52"/>
      <c r="G561" s="52"/>
      <c r="H561" s="27"/>
      <c r="I561" s="52"/>
      <c r="J561" s="52"/>
      <c r="K561" s="28"/>
      <c r="L561" s="52"/>
      <c r="M561" s="29"/>
      <c r="N561" s="23"/>
      <c r="O561" s="52"/>
      <c r="P561" s="13"/>
    </row>
    <row r="562" s="6" customFormat="1" spans="1:16">
      <c r="A562" s="23"/>
      <c r="B562" s="8"/>
      <c r="C562" s="25"/>
      <c r="D562" s="52"/>
      <c r="E562" s="52"/>
      <c r="F562" s="52"/>
      <c r="G562" s="52"/>
      <c r="H562" s="27"/>
      <c r="I562" s="52"/>
      <c r="J562" s="52"/>
      <c r="K562" s="28"/>
      <c r="L562" s="52"/>
      <c r="M562" s="29"/>
      <c r="N562" s="23"/>
      <c r="O562" s="52"/>
      <c r="P562" s="13"/>
    </row>
    <row r="563" s="6" customFormat="1" spans="1:16">
      <c r="A563" s="23"/>
      <c r="B563" s="8"/>
      <c r="C563" s="25"/>
      <c r="D563" s="52"/>
      <c r="E563" s="52"/>
      <c r="F563" s="52"/>
      <c r="G563" s="52"/>
      <c r="H563" s="27"/>
      <c r="I563" s="52"/>
      <c r="J563" s="52"/>
      <c r="K563" s="28"/>
      <c r="L563" s="52"/>
      <c r="M563" s="29"/>
      <c r="N563" s="23"/>
      <c r="O563" s="52"/>
      <c r="P563" s="13"/>
    </row>
    <row r="564" s="6" customFormat="1" spans="1:16">
      <c r="A564" s="23"/>
      <c r="B564" s="8"/>
      <c r="C564" s="25"/>
      <c r="D564" s="52"/>
      <c r="E564" s="52"/>
      <c r="F564" s="52"/>
      <c r="G564" s="52"/>
      <c r="H564" s="27"/>
      <c r="I564" s="52"/>
      <c r="J564" s="52"/>
      <c r="K564" s="28"/>
      <c r="L564" s="52"/>
      <c r="M564" s="29"/>
      <c r="N564" s="23"/>
      <c r="O564" s="52"/>
      <c r="P564" s="13"/>
    </row>
    <row r="565" s="6" customFormat="1" spans="1:16">
      <c r="A565" s="23"/>
      <c r="B565" s="8"/>
      <c r="C565" s="25"/>
      <c r="D565" s="52"/>
      <c r="E565" s="52"/>
      <c r="F565" s="52"/>
      <c r="G565" s="52"/>
      <c r="H565" s="27"/>
      <c r="I565" s="52"/>
      <c r="J565" s="52"/>
      <c r="K565" s="28"/>
      <c r="L565" s="52"/>
      <c r="M565" s="29"/>
      <c r="N565" s="23"/>
      <c r="O565" s="52"/>
      <c r="P565" s="13"/>
    </row>
    <row r="566" s="6" customFormat="1" spans="1:16">
      <c r="A566" s="23"/>
      <c r="B566" s="8"/>
      <c r="C566" s="25"/>
      <c r="D566" s="52"/>
      <c r="E566" s="52"/>
      <c r="F566" s="52"/>
      <c r="G566" s="52"/>
      <c r="H566" s="27"/>
      <c r="I566" s="52"/>
      <c r="J566" s="52"/>
      <c r="K566" s="28"/>
      <c r="L566" s="52"/>
      <c r="M566" s="29"/>
      <c r="N566" s="23"/>
      <c r="O566" s="52"/>
      <c r="P566" s="13"/>
    </row>
    <row r="567" s="6" customFormat="1" spans="1:16">
      <c r="A567" s="23"/>
      <c r="B567" s="8"/>
      <c r="C567" s="25"/>
      <c r="D567" s="52"/>
      <c r="E567" s="52"/>
      <c r="F567" s="52"/>
      <c r="G567" s="52"/>
      <c r="H567" s="27"/>
      <c r="I567" s="52"/>
      <c r="J567" s="52"/>
      <c r="K567" s="28"/>
      <c r="L567" s="52"/>
      <c r="M567" s="29"/>
      <c r="N567" s="23"/>
      <c r="O567" s="52"/>
      <c r="P567" s="13"/>
    </row>
    <row r="568" s="6" customFormat="1" spans="1:16">
      <c r="A568" s="23"/>
      <c r="B568" s="8"/>
      <c r="C568" s="25"/>
      <c r="D568" s="52"/>
      <c r="E568" s="52"/>
      <c r="F568" s="52"/>
      <c r="G568" s="52"/>
      <c r="H568" s="27"/>
      <c r="I568" s="52"/>
      <c r="J568" s="52"/>
      <c r="K568" s="28"/>
      <c r="L568" s="52"/>
      <c r="M568" s="29"/>
      <c r="N568" s="23"/>
      <c r="O568" s="52"/>
      <c r="P568" s="13"/>
    </row>
    <row r="569" s="6" customFormat="1" spans="1:16">
      <c r="A569" s="23"/>
      <c r="B569" s="8"/>
      <c r="C569" s="25"/>
      <c r="D569" s="52"/>
      <c r="E569" s="52"/>
      <c r="F569" s="52"/>
      <c r="G569" s="52"/>
      <c r="H569" s="27"/>
      <c r="I569" s="52"/>
      <c r="J569" s="52"/>
      <c r="K569" s="28"/>
      <c r="L569" s="52"/>
      <c r="M569" s="29"/>
      <c r="N569" s="23"/>
      <c r="O569" s="52"/>
      <c r="P569" s="13"/>
    </row>
    <row r="570" s="6" customFormat="1" spans="1:16">
      <c r="A570" s="23"/>
      <c r="B570" s="8"/>
      <c r="C570" s="25"/>
      <c r="D570" s="52"/>
      <c r="E570" s="52"/>
      <c r="F570" s="52"/>
      <c r="G570" s="52"/>
      <c r="H570" s="27"/>
      <c r="I570" s="52"/>
      <c r="J570" s="52"/>
      <c r="K570" s="28"/>
      <c r="L570" s="52"/>
      <c r="M570" s="29"/>
      <c r="N570" s="23"/>
      <c r="O570" s="52"/>
      <c r="P570" s="13"/>
    </row>
    <row r="571" s="6" customFormat="1" spans="1:16">
      <c r="A571" s="23"/>
      <c r="B571" s="8"/>
      <c r="C571" s="25"/>
      <c r="D571" s="52"/>
      <c r="E571" s="52"/>
      <c r="F571" s="52"/>
      <c r="G571" s="52"/>
      <c r="H571" s="27"/>
      <c r="I571" s="52"/>
      <c r="J571" s="52"/>
      <c r="K571" s="28"/>
      <c r="L571" s="52"/>
      <c r="M571" s="29"/>
      <c r="N571" s="23"/>
      <c r="O571" s="52"/>
      <c r="P571" s="13"/>
    </row>
    <row r="572" s="6" customFormat="1" spans="1:16">
      <c r="A572" s="23"/>
      <c r="B572" s="8"/>
      <c r="C572" s="25"/>
      <c r="D572" s="52"/>
      <c r="E572" s="52"/>
      <c r="F572" s="52"/>
      <c r="G572" s="52"/>
      <c r="H572" s="27"/>
      <c r="I572" s="52"/>
      <c r="J572" s="52"/>
      <c r="K572" s="28"/>
      <c r="L572" s="52"/>
      <c r="M572" s="29"/>
      <c r="N572" s="23"/>
      <c r="O572" s="52"/>
      <c r="P572" s="13"/>
    </row>
    <row r="573" s="6" customFormat="1" spans="1:16">
      <c r="A573" s="23"/>
      <c r="B573" s="8"/>
      <c r="C573" s="25"/>
      <c r="D573" s="52"/>
      <c r="E573" s="52"/>
      <c r="F573" s="52"/>
      <c r="G573" s="52"/>
      <c r="H573" s="27"/>
      <c r="I573" s="52"/>
      <c r="J573" s="52"/>
      <c r="K573" s="28"/>
      <c r="L573" s="52"/>
      <c r="M573" s="29"/>
      <c r="N573" s="23"/>
      <c r="O573" s="52"/>
      <c r="P573" s="13"/>
    </row>
    <row r="574" s="6" customFormat="1" spans="1:16">
      <c r="A574" s="23"/>
      <c r="B574" s="8"/>
      <c r="C574" s="25"/>
      <c r="D574" s="52"/>
      <c r="E574" s="52"/>
      <c r="F574" s="52"/>
      <c r="G574" s="52"/>
      <c r="H574" s="27"/>
      <c r="I574" s="52"/>
      <c r="J574" s="52"/>
      <c r="K574" s="28"/>
      <c r="L574" s="52"/>
      <c r="M574" s="29"/>
      <c r="N574" s="23"/>
      <c r="O574" s="52"/>
      <c r="P574" s="13"/>
    </row>
    <row r="575" s="6" customFormat="1" spans="1:16">
      <c r="A575" s="23"/>
      <c r="B575" s="8"/>
      <c r="C575" s="25"/>
      <c r="D575" s="52"/>
      <c r="E575" s="52"/>
      <c r="F575" s="52"/>
      <c r="G575" s="52"/>
      <c r="H575" s="27"/>
      <c r="I575" s="52"/>
      <c r="J575" s="52"/>
      <c r="K575" s="28"/>
      <c r="L575" s="52"/>
      <c r="M575" s="29"/>
      <c r="N575" s="23"/>
      <c r="O575" s="52"/>
      <c r="P575" s="13"/>
    </row>
    <row r="576" s="6" customFormat="1" spans="1:16">
      <c r="A576" s="23"/>
      <c r="B576" s="8"/>
      <c r="C576" s="25"/>
      <c r="D576" s="52"/>
      <c r="E576" s="52"/>
      <c r="F576" s="52"/>
      <c r="G576" s="52"/>
      <c r="H576" s="27"/>
      <c r="I576" s="52"/>
      <c r="J576" s="52"/>
      <c r="K576" s="28"/>
      <c r="L576" s="52"/>
      <c r="M576" s="29"/>
      <c r="N576" s="23"/>
      <c r="O576" s="52"/>
      <c r="P576" s="13"/>
    </row>
    <row r="577" s="6" customFormat="1" spans="1:16">
      <c r="A577" s="23"/>
      <c r="B577" s="8"/>
      <c r="C577" s="25"/>
      <c r="D577" s="52"/>
      <c r="E577" s="52"/>
      <c r="F577" s="52"/>
      <c r="G577" s="52"/>
      <c r="H577" s="27"/>
      <c r="I577" s="52"/>
      <c r="J577" s="52"/>
      <c r="K577" s="28"/>
      <c r="L577" s="52"/>
      <c r="M577" s="29"/>
      <c r="N577" s="23"/>
      <c r="O577" s="52"/>
      <c r="P577" s="13"/>
    </row>
    <row r="578" s="6" customFormat="1" spans="1:16">
      <c r="A578" s="23"/>
      <c r="B578" s="8"/>
      <c r="C578" s="25"/>
      <c r="D578" s="52"/>
      <c r="E578" s="52"/>
      <c r="F578" s="52"/>
      <c r="G578" s="52"/>
      <c r="H578" s="27"/>
      <c r="I578" s="52"/>
      <c r="J578" s="52"/>
      <c r="K578" s="28"/>
      <c r="L578" s="52"/>
      <c r="M578" s="29"/>
      <c r="N578" s="23"/>
      <c r="O578" s="52"/>
      <c r="P578" s="13"/>
    </row>
    <row r="579" s="6" customFormat="1" spans="1:16">
      <c r="A579" s="23"/>
      <c r="B579" s="8"/>
      <c r="C579" s="25"/>
      <c r="D579" s="52"/>
      <c r="E579" s="52"/>
      <c r="F579" s="52"/>
      <c r="G579" s="52"/>
      <c r="H579" s="27"/>
      <c r="I579" s="52"/>
      <c r="J579" s="52"/>
      <c r="K579" s="28"/>
      <c r="L579" s="52"/>
      <c r="M579" s="29"/>
      <c r="N579" s="23"/>
      <c r="O579" s="52"/>
      <c r="P579" s="13"/>
    </row>
    <row r="580" s="6" customFormat="1" spans="1:16">
      <c r="A580" s="23"/>
      <c r="B580" s="8"/>
      <c r="C580" s="25"/>
      <c r="D580" s="52"/>
      <c r="E580" s="52"/>
      <c r="F580" s="52"/>
      <c r="G580" s="52"/>
      <c r="H580" s="27"/>
      <c r="I580" s="52"/>
      <c r="J580" s="52"/>
      <c r="K580" s="28"/>
      <c r="L580" s="52"/>
      <c r="M580" s="29"/>
      <c r="N580" s="23"/>
      <c r="O580" s="52"/>
      <c r="P580" s="13"/>
    </row>
    <row r="581" s="6" customFormat="1" spans="1:16">
      <c r="A581" s="23"/>
      <c r="B581" s="8"/>
      <c r="C581" s="25"/>
      <c r="D581" s="52"/>
      <c r="E581" s="52"/>
      <c r="F581" s="52"/>
      <c r="G581" s="52"/>
      <c r="H581" s="27"/>
      <c r="I581" s="52"/>
      <c r="J581" s="52"/>
      <c r="K581" s="28"/>
      <c r="L581" s="52"/>
      <c r="M581" s="29"/>
      <c r="N581" s="23"/>
      <c r="O581" s="52"/>
      <c r="P581" s="13"/>
    </row>
    <row r="582" s="6" customFormat="1" spans="1:16">
      <c r="A582" s="23"/>
      <c r="B582" s="8"/>
      <c r="C582" s="25"/>
      <c r="D582" s="52"/>
      <c r="E582" s="52"/>
      <c r="F582" s="52"/>
      <c r="G582" s="52"/>
      <c r="H582" s="27"/>
      <c r="I582" s="52"/>
      <c r="J582" s="52"/>
      <c r="K582" s="28"/>
      <c r="L582" s="52"/>
      <c r="M582" s="29"/>
      <c r="N582" s="23"/>
      <c r="O582" s="52"/>
      <c r="P582" s="13"/>
    </row>
    <row r="583" s="6" customFormat="1" spans="1:16">
      <c r="A583" s="23"/>
      <c r="B583" s="8"/>
      <c r="C583" s="25"/>
      <c r="D583" s="52"/>
      <c r="E583" s="52"/>
      <c r="F583" s="52"/>
      <c r="G583" s="52"/>
      <c r="H583" s="27"/>
      <c r="I583" s="52"/>
      <c r="J583" s="52"/>
      <c r="K583" s="28"/>
      <c r="L583" s="52"/>
      <c r="M583" s="29"/>
      <c r="N583" s="23"/>
      <c r="O583" s="52"/>
      <c r="P583" s="13"/>
    </row>
    <row r="584" s="6" customFormat="1" spans="1:16">
      <c r="A584" s="23"/>
      <c r="B584" s="8"/>
      <c r="C584" s="25"/>
      <c r="D584" s="52"/>
      <c r="E584" s="52"/>
      <c r="F584" s="52"/>
      <c r="G584" s="52"/>
      <c r="H584" s="27"/>
      <c r="I584" s="52"/>
      <c r="J584" s="52"/>
      <c r="K584" s="28"/>
      <c r="L584" s="52"/>
      <c r="M584" s="29"/>
      <c r="N584" s="23"/>
      <c r="O584" s="52"/>
      <c r="P584" s="13"/>
    </row>
    <row r="585" s="6" customFormat="1" spans="1:16">
      <c r="A585" s="23"/>
      <c r="B585" s="8"/>
      <c r="C585" s="25"/>
      <c r="D585" s="52"/>
      <c r="E585" s="52"/>
      <c r="F585" s="52"/>
      <c r="G585" s="52"/>
      <c r="H585" s="27"/>
      <c r="I585" s="52"/>
      <c r="J585" s="52"/>
      <c r="K585" s="28"/>
      <c r="L585" s="52"/>
      <c r="M585" s="29"/>
      <c r="N585" s="23"/>
      <c r="O585" s="52"/>
      <c r="P585" s="13"/>
    </row>
    <row r="586" s="6" customFormat="1" spans="1:16">
      <c r="A586" s="23"/>
      <c r="B586" s="8"/>
      <c r="C586" s="25"/>
      <c r="D586" s="52"/>
      <c r="E586" s="52"/>
      <c r="F586" s="52"/>
      <c r="G586" s="52"/>
      <c r="H586" s="27"/>
      <c r="I586" s="52"/>
      <c r="J586" s="52"/>
      <c r="K586" s="28"/>
      <c r="L586" s="52"/>
      <c r="M586" s="29"/>
      <c r="N586" s="23"/>
      <c r="O586" s="52"/>
      <c r="P586" s="13"/>
    </row>
    <row r="587" s="6" customFormat="1" spans="1:16">
      <c r="A587" s="23"/>
      <c r="B587" s="8"/>
      <c r="C587" s="25"/>
      <c r="D587" s="52"/>
      <c r="E587" s="52"/>
      <c r="F587" s="52"/>
      <c r="G587" s="52"/>
      <c r="H587" s="27"/>
      <c r="I587" s="52"/>
      <c r="J587" s="52"/>
      <c r="K587" s="28"/>
      <c r="L587" s="52"/>
      <c r="M587" s="29"/>
      <c r="N587" s="23"/>
      <c r="O587" s="52"/>
      <c r="P587" s="13"/>
    </row>
    <row r="588" s="6" customFormat="1" spans="1:16">
      <c r="A588" s="23"/>
      <c r="B588" s="8"/>
      <c r="C588" s="25"/>
      <c r="D588" s="52"/>
      <c r="E588" s="52"/>
      <c r="F588" s="52"/>
      <c r="G588" s="52"/>
      <c r="H588" s="27"/>
      <c r="I588" s="52"/>
      <c r="J588" s="52"/>
      <c r="K588" s="28"/>
      <c r="L588" s="52"/>
      <c r="M588" s="29"/>
      <c r="N588" s="23"/>
      <c r="O588" s="52"/>
      <c r="P588" s="13"/>
    </row>
    <row r="589" s="6" customFormat="1" spans="1:16">
      <c r="A589" s="23"/>
      <c r="B589" s="8"/>
      <c r="C589" s="25"/>
      <c r="D589" s="52"/>
      <c r="E589" s="52"/>
      <c r="F589" s="52"/>
      <c r="G589" s="52"/>
      <c r="H589" s="27"/>
      <c r="I589" s="52"/>
      <c r="J589" s="52"/>
      <c r="K589" s="28"/>
      <c r="L589" s="52"/>
      <c r="M589" s="29"/>
      <c r="N589" s="23"/>
      <c r="O589" s="52"/>
      <c r="P589" s="13"/>
    </row>
    <row r="590" s="6" customFormat="1" spans="1:16">
      <c r="A590" s="23"/>
      <c r="B590" s="8"/>
      <c r="C590" s="25"/>
      <c r="D590" s="52"/>
      <c r="E590" s="52"/>
      <c r="F590" s="52"/>
      <c r="G590" s="52"/>
      <c r="H590" s="27"/>
      <c r="I590" s="52"/>
      <c r="J590" s="52"/>
      <c r="K590" s="28"/>
      <c r="L590" s="52"/>
      <c r="M590" s="29"/>
      <c r="N590" s="23"/>
      <c r="O590" s="52"/>
      <c r="P590" s="13"/>
    </row>
    <row r="591" s="6" customFormat="1" spans="1:16">
      <c r="A591" s="23"/>
      <c r="B591" s="8"/>
      <c r="C591" s="25"/>
      <c r="D591" s="52"/>
      <c r="E591" s="52"/>
      <c r="F591" s="52"/>
      <c r="G591" s="52"/>
      <c r="H591" s="27"/>
      <c r="I591" s="52"/>
      <c r="J591" s="52"/>
      <c r="K591" s="28"/>
      <c r="L591" s="52"/>
      <c r="M591" s="29"/>
      <c r="N591" s="23"/>
      <c r="O591" s="52"/>
      <c r="P591" s="13"/>
    </row>
    <row r="592" s="6" customFormat="1" spans="1:16">
      <c r="A592" s="23"/>
      <c r="B592" s="8"/>
      <c r="C592" s="25"/>
      <c r="D592" s="52"/>
      <c r="E592" s="52"/>
      <c r="F592" s="52"/>
      <c r="G592" s="52"/>
      <c r="H592" s="27"/>
      <c r="I592" s="52"/>
      <c r="J592" s="52"/>
      <c r="K592" s="28"/>
      <c r="L592" s="52"/>
      <c r="M592" s="29"/>
      <c r="N592" s="23"/>
      <c r="O592" s="52"/>
      <c r="P592" s="13"/>
    </row>
    <row r="593" s="6" customFormat="1" spans="1:16">
      <c r="A593" s="23"/>
      <c r="B593" s="8"/>
      <c r="C593" s="25"/>
      <c r="D593" s="52"/>
      <c r="E593" s="52"/>
      <c r="F593" s="52"/>
      <c r="G593" s="52"/>
      <c r="H593" s="27"/>
      <c r="I593" s="52"/>
      <c r="J593" s="52"/>
      <c r="K593" s="28"/>
      <c r="L593" s="52"/>
      <c r="M593" s="29"/>
      <c r="N593" s="23"/>
      <c r="O593" s="52"/>
      <c r="P593" s="13"/>
    </row>
    <row r="594" s="6" customFormat="1" spans="1:16">
      <c r="A594" s="23"/>
      <c r="B594" s="8"/>
      <c r="C594" s="25"/>
      <c r="D594" s="52"/>
      <c r="E594" s="52"/>
      <c r="F594" s="52"/>
      <c r="G594" s="52"/>
      <c r="H594" s="27"/>
      <c r="I594" s="52"/>
      <c r="J594" s="52"/>
      <c r="K594" s="28"/>
      <c r="L594" s="52"/>
      <c r="M594" s="29"/>
      <c r="N594" s="23"/>
      <c r="O594" s="52"/>
      <c r="P594" s="13"/>
    </row>
    <row r="595" s="6" customFormat="1" spans="1:16">
      <c r="A595" s="23"/>
      <c r="B595" s="8"/>
      <c r="C595" s="25"/>
      <c r="D595" s="52"/>
      <c r="E595" s="52"/>
      <c r="F595" s="52"/>
      <c r="G595" s="52"/>
      <c r="H595" s="27"/>
      <c r="I595" s="52"/>
      <c r="J595" s="52"/>
      <c r="K595" s="28"/>
      <c r="L595" s="52"/>
      <c r="M595" s="29"/>
      <c r="N595" s="23"/>
      <c r="O595" s="52"/>
      <c r="P595" s="13"/>
    </row>
    <row r="596" s="6" customFormat="1" spans="1:16">
      <c r="A596" s="23"/>
      <c r="B596" s="8"/>
      <c r="C596" s="25"/>
      <c r="D596" s="52"/>
      <c r="E596" s="52"/>
      <c r="F596" s="52"/>
      <c r="G596" s="52"/>
      <c r="H596" s="27"/>
      <c r="I596" s="52"/>
      <c r="J596" s="52"/>
      <c r="K596" s="28"/>
      <c r="L596" s="52"/>
      <c r="M596" s="29"/>
      <c r="N596" s="23"/>
      <c r="O596" s="52"/>
      <c r="P596" s="13"/>
    </row>
    <row r="597" s="6" customFormat="1" spans="1:16">
      <c r="A597" s="23"/>
      <c r="B597" s="8"/>
      <c r="C597" s="25"/>
      <c r="D597" s="52"/>
      <c r="E597" s="52"/>
      <c r="F597" s="52"/>
      <c r="G597" s="52"/>
      <c r="H597" s="27"/>
      <c r="I597" s="52"/>
      <c r="J597" s="52"/>
      <c r="K597" s="28"/>
      <c r="L597" s="52"/>
      <c r="M597" s="29"/>
      <c r="N597" s="23"/>
      <c r="O597" s="52"/>
      <c r="P597" s="13"/>
    </row>
    <row r="598" s="6" customFormat="1" spans="1:16">
      <c r="A598" s="23"/>
      <c r="B598" s="8"/>
      <c r="C598" s="25"/>
      <c r="D598" s="52"/>
      <c r="E598" s="52"/>
      <c r="F598" s="52"/>
      <c r="G598" s="52"/>
      <c r="H598" s="27"/>
      <c r="I598" s="52"/>
      <c r="J598" s="52"/>
      <c r="K598" s="28"/>
      <c r="L598" s="52"/>
      <c r="M598" s="29"/>
      <c r="N598" s="23"/>
      <c r="O598" s="52"/>
      <c r="P598" s="13"/>
    </row>
    <row r="599" s="6" customFormat="1" spans="1:16">
      <c r="A599" s="23"/>
      <c r="B599" s="8"/>
      <c r="C599" s="25"/>
      <c r="D599" s="52"/>
      <c r="E599" s="52"/>
      <c r="F599" s="52"/>
      <c r="G599" s="52"/>
      <c r="H599" s="27"/>
      <c r="I599" s="52"/>
      <c r="J599" s="52"/>
      <c r="K599" s="28"/>
      <c r="L599" s="52"/>
      <c r="M599" s="29"/>
      <c r="N599" s="23"/>
      <c r="O599" s="52"/>
      <c r="P599" s="13"/>
    </row>
    <row r="600" s="6" customFormat="1" spans="1:16">
      <c r="A600" s="23"/>
      <c r="B600" s="8"/>
      <c r="C600" s="25"/>
      <c r="D600" s="52"/>
      <c r="E600" s="52"/>
      <c r="F600" s="52"/>
      <c r="G600" s="52"/>
      <c r="H600" s="27"/>
      <c r="I600" s="52"/>
      <c r="J600" s="52"/>
      <c r="K600" s="28"/>
      <c r="L600" s="52"/>
      <c r="M600" s="29"/>
      <c r="N600" s="23"/>
      <c r="O600" s="52"/>
      <c r="P600" s="13"/>
    </row>
    <row r="601" s="6" customFormat="1" spans="1:16">
      <c r="A601" s="23"/>
      <c r="B601" s="8"/>
      <c r="C601" s="25"/>
      <c r="D601" s="52"/>
      <c r="E601" s="52"/>
      <c r="F601" s="52"/>
      <c r="G601" s="52"/>
      <c r="H601" s="27"/>
      <c r="I601" s="52"/>
      <c r="J601" s="52"/>
      <c r="K601" s="28"/>
      <c r="L601" s="52"/>
      <c r="M601" s="29"/>
      <c r="N601" s="23"/>
      <c r="O601" s="52"/>
      <c r="P601" s="13"/>
    </row>
    <row r="602" s="6" customFormat="1" spans="1:16">
      <c r="A602" s="23"/>
      <c r="B602" s="8"/>
      <c r="C602" s="25"/>
      <c r="D602" s="52"/>
      <c r="E602" s="52"/>
      <c r="F602" s="52"/>
      <c r="G602" s="52"/>
      <c r="H602" s="27"/>
      <c r="I602" s="52"/>
      <c r="J602" s="52"/>
      <c r="K602" s="28"/>
      <c r="L602" s="52"/>
      <c r="M602" s="29"/>
      <c r="N602" s="23"/>
      <c r="O602" s="52"/>
      <c r="P602" s="13"/>
    </row>
    <row r="603" s="6" customFormat="1" spans="1:16">
      <c r="A603" s="23"/>
      <c r="B603" s="8"/>
      <c r="C603" s="25"/>
      <c r="D603" s="52"/>
      <c r="E603" s="52"/>
      <c r="F603" s="52"/>
      <c r="G603" s="52"/>
      <c r="H603" s="27"/>
      <c r="I603" s="52"/>
      <c r="J603" s="52"/>
      <c r="K603" s="28"/>
      <c r="L603" s="52"/>
      <c r="M603" s="29"/>
      <c r="N603" s="23"/>
      <c r="O603" s="52"/>
      <c r="P603" s="13"/>
    </row>
    <row r="604" s="6" customFormat="1" spans="1:16">
      <c r="A604" s="23"/>
      <c r="B604" s="8"/>
      <c r="C604" s="25"/>
      <c r="D604" s="52"/>
      <c r="E604" s="52"/>
      <c r="F604" s="52"/>
      <c r="G604" s="52"/>
      <c r="H604" s="27"/>
      <c r="I604" s="52"/>
      <c r="J604" s="52"/>
      <c r="K604" s="28"/>
      <c r="L604" s="52"/>
      <c r="M604" s="29"/>
      <c r="N604" s="23"/>
      <c r="O604" s="52"/>
      <c r="P604" s="13"/>
    </row>
    <row r="605" s="6" customFormat="1" spans="1:16">
      <c r="A605" s="23"/>
      <c r="B605" s="8"/>
      <c r="C605" s="25"/>
      <c r="D605" s="52"/>
      <c r="E605" s="52"/>
      <c r="F605" s="52"/>
      <c r="G605" s="52"/>
      <c r="H605" s="27"/>
      <c r="I605" s="52"/>
      <c r="J605" s="52"/>
      <c r="K605" s="28"/>
      <c r="L605" s="52"/>
      <c r="M605" s="29"/>
      <c r="N605" s="23"/>
      <c r="O605" s="52"/>
      <c r="P605" s="13"/>
    </row>
    <row r="606" s="6" customFormat="1" spans="1:16">
      <c r="A606" s="23"/>
      <c r="B606" s="8"/>
      <c r="C606" s="25"/>
      <c r="D606" s="52"/>
      <c r="E606" s="52"/>
      <c r="F606" s="52"/>
      <c r="G606" s="52"/>
      <c r="H606" s="27"/>
      <c r="I606" s="52"/>
      <c r="J606" s="52"/>
      <c r="K606" s="28"/>
      <c r="L606" s="52"/>
      <c r="M606" s="29"/>
      <c r="N606" s="23"/>
      <c r="O606" s="52"/>
      <c r="P606" s="13"/>
    </row>
    <row r="607" s="6" customFormat="1" spans="1:16">
      <c r="A607" s="23"/>
      <c r="B607" s="8"/>
      <c r="C607" s="25"/>
      <c r="D607" s="52"/>
      <c r="E607" s="52"/>
      <c r="F607" s="52"/>
      <c r="G607" s="52"/>
      <c r="H607" s="27"/>
      <c r="I607" s="52"/>
      <c r="J607" s="52"/>
      <c r="K607" s="28"/>
      <c r="L607" s="52"/>
      <c r="M607" s="29"/>
      <c r="N607" s="23"/>
      <c r="O607" s="52"/>
      <c r="P607" s="13"/>
    </row>
    <row r="608" s="6" customFormat="1" spans="1:16">
      <c r="A608" s="23"/>
      <c r="B608" s="8"/>
      <c r="C608" s="25"/>
      <c r="D608" s="52"/>
      <c r="E608" s="52"/>
      <c r="F608" s="52"/>
      <c r="G608" s="52"/>
      <c r="H608" s="27"/>
      <c r="I608" s="52"/>
      <c r="J608" s="52"/>
      <c r="K608" s="28"/>
      <c r="L608" s="52"/>
      <c r="M608" s="29"/>
      <c r="N608" s="23"/>
      <c r="O608" s="52"/>
      <c r="P608" s="13"/>
    </row>
    <row r="609" s="6" customFormat="1" spans="1:16">
      <c r="A609" s="23"/>
      <c r="B609" s="8"/>
      <c r="C609" s="25"/>
      <c r="D609" s="52"/>
      <c r="E609" s="52"/>
      <c r="F609" s="52"/>
      <c r="G609" s="52"/>
      <c r="H609" s="27"/>
      <c r="I609" s="52"/>
      <c r="J609" s="52"/>
      <c r="K609" s="28"/>
      <c r="L609" s="52"/>
      <c r="M609" s="29"/>
      <c r="N609" s="23"/>
      <c r="O609" s="52"/>
      <c r="P609" s="13"/>
    </row>
    <row r="610" s="6" customFormat="1" spans="1:16">
      <c r="A610" s="23"/>
      <c r="B610" s="8"/>
      <c r="C610" s="25"/>
      <c r="D610" s="52"/>
      <c r="E610" s="52"/>
      <c r="F610" s="52"/>
      <c r="G610" s="52"/>
      <c r="H610" s="27"/>
      <c r="I610" s="52"/>
      <c r="J610" s="52"/>
      <c r="K610" s="28"/>
      <c r="L610" s="52"/>
      <c r="M610" s="29"/>
      <c r="N610" s="23"/>
      <c r="O610" s="52"/>
      <c r="P610" s="13"/>
    </row>
    <row r="611" s="6" customFormat="1" spans="1:16">
      <c r="A611" s="23"/>
      <c r="B611" s="8"/>
      <c r="C611" s="25"/>
      <c r="D611" s="52"/>
      <c r="E611" s="52"/>
      <c r="F611" s="52"/>
      <c r="G611" s="52"/>
      <c r="H611" s="27"/>
      <c r="I611" s="52"/>
      <c r="J611" s="52"/>
      <c r="K611" s="28"/>
      <c r="L611" s="52"/>
      <c r="M611" s="29"/>
      <c r="N611" s="23"/>
      <c r="O611" s="52"/>
      <c r="P611" s="13"/>
    </row>
    <row r="612" s="6" customFormat="1" spans="1:16">
      <c r="A612" s="23"/>
      <c r="B612" s="8"/>
      <c r="C612" s="25"/>
      <c r="D612" s="52"/>
      <c r="E612" s="52"/>
      <c r="F612" s="52"/>
      <c r="G612" s="52"/>
      <c r="H612" s="27"/>
      <c r="I612" s="52"/>
      <c r="J612" s="52"/>
      <c r="K612" s="28"/>
      <c r="L612" s="52"/>
      <c r="M612" s="29"/>
      <c r="N612" s="23"/>
      <c r="O612" s="52"/>
      <c r="P612" s="13"/>
    </row>
    <row r="613" s="6" customFormat="1" spans="1:16">
      <c r="A613" s="23"/>
      <c r="B613" s="8"/>
      <c r="C613" s="25"/>
      <c r="D613" s="52"/>
      <c r="E613" s="52"/>
      <c r="F613" s="52"/>
      <c r="G613" s="52"/>
      <c r="H613" s="27"/>
      <c r="I613" s="52"/>
      <c r="J613" s="52"/>
      <c r="K613" s="28"/>
      <c r="L613" s="52"/>
      <c r="M613" s="29"/>
      <c r="N613" s="23"/>
      <c r="O613" s="52"/>
      <c r="P613" s="13"/>
    </row>
    <row r="614" s="6" customFormat="1" spans="1:16">
      <c r="A614" s="23"/>
      <c r="B614" s="8"/>
      <c r="C614" s="25"/>
      <c r="D614" s="52"/>
      <c r="E614" s="52"/>
      <c r="F614" s="52"/>
      <c r="G614" s="52"/>
      <c r="H614" s="27"/>
      <c r="I614" s="52"/>
      <c r="J614" s="52"/>
      <c r="K614" s="28"/>
      <c r="L614" s="52"/>
      <c r="M614" s="29"/>
      <c r="N614" s="23"/>
      <c r="O614" s="52"/>
      <c r="P614" s="13"/>
    </row>
    <row r="615" s="6" customFormat="1" spans="1:16">
      <c r="A615" s="23"/>
      <c r="B615" s="8"/>
      <c r="C615" s="25"/>
      <c r="D615" s="52"/>
      <c r="E615" s="52"/>
      <c r="F615" s="52"/>
      <c r="G615" s="52"/>
      <c r="H615" s="27"/>
      <c r="I615" s="52"/>
      <c r="J615" s="52"/>
      <c r="K615" s="28"/>
      <c r="L615" s="52"/>
      <c r="M615" s="29"/>
      <c r="N615" s="23"/>
      <c r="O615" s="52"/>
      <c r="P615" s="13"/>
    </row>
    <row r="616" s="6" customFormat="1" spans="1:16">
      <c r="A616" s="23"/>
      <c r="B616" s="8"/>
      <c r="C616" s="25"/>
      <c r="D616" s="52"/>
      <c r="E616" s="52"/>
      <c r="F616" s="52"/>
      <c r="G616" s="52"/>
      <c r="H616" s="27"/>
      <c r="I616" s="52"/>
      <c r="J616" s="52"/>
      <c r="K616" s="28"/>
      <c r="L616" s="52"/>
      <c r="M616" s="29"/>
      <c r="N616" s="23"/>
      <c r="O616" s="52"/>
      <c r="P616" s="13"/>
    </row>
    <row r="617" s="6" customFormat="1" spans="1:16">
      <c r="A617" s="23"/>
      <c r="B617" s="8"/>
      <c r="C617" s="25"/>
      <c r="D617" s="52"/>
      <c r="E617" s="52"/>
      <c r="F617" s="52"/>
      <c r="G617" s="52"/>
      <c r="H617" s="27"/>
      <c r="I617" s="52"/>
      <c r="J617" s="52"/>
      <c r="K617" s="28"/>
      <c r="L617" s="52"/>
      <c r="M617" s="29"/>
      <c r="N617" s="23"/>
      <c r="O617" s="52"/>
      <c r="P617" s="13"/>
    </row>
    <row r="618" s="6" customFormat="1" spans="1:16">
      <c r="A618" s="23"/>
      <c r="B618" s="8"/>
      <c r="C618" s="25"/>
      <c r="D618" s="52"/>
      <c r="E618" s="52"/>
      <c r="F618" s="52"/>
      <c r="G618" s="52"/>
      <c r="H618" s="27"/>
      <c r="I618" s="52"/>
      <c r="J618" s="52"/>
      <c r="K618" s="28"/>
      <c r="L618" s="52"/>
      <c r="M618" s="29"/>
      <c r="N618" s="23"/>
      <c r="O618" s="52"/>
      <c r="P618" s="13"/>
    </row>
    <row r="619" s="6" customFormat="1" spans="1:16">
      <c r="A619" s="23"/>
      <c r="B619" s="8"/>
      <c r="C619" s="25"/>
      <c r="D619" s="52"/>
      <c r="E619" s="52"/>
      <c r="F619" s="52"/>
      <c r="G619" s="52"/>
      <c r="H619" s="27"/>
      <c r="I619" s="52"/>
      <c r="J619" s="52"/>
      <c r="K619" s="28"/>
      <c r="L619" s="52"/>
      <c r="M619" s="29"/>
      <c r="N619" s="23"/>
      <c r="O619" s="52"/>
      <c r="P619" s="13"/>
    </row>
    <row r="620" s="6" customFormat="1" spans="1:16">
      <c r="A620" s="23"/>
      <c r="B620" s="8"/>
      <c r="C620" s="25"/>
      <c r="D620" s="52"/>
      <c r="E620" s="52"/>
      <c r="F620" s="52"/>
      <c r="G620" s="52"/>
      <c r="H620" s="27"/>
      <c r="I620" s="52"/>
      <c r="J620" s="52"/>
      <c r="K620" s="28"/>
      <c r="L620" s="52"/>
      <c r="M620" s="29"/>
      <c r="N620" s="23"/>
      <c r="O620" s="52"/>
      <c r="P620" s="13"/>
    </row>
    <row r="621" s="6" customFormat="1" spans="1:16">
      <c r="A621" s="23"/>
      <c r="B621" s="8"/>
      <c r="C621" s="25"/>
      <c r="D621" s="52"/>
      <c r="E621" s="52"/>
      <c r="F621" s="52"/>
      <c r="G621" s="52"/>
      <c r="H621" s="27"/>
      <c r="I621" s="52"/>
      <c r="J621" s="52"/>
      <c r="K621" s="28"/>
      <c r="L621" s="52"/>
      <c r="M621" s="29"/>
      <c r="N621" s="23"/>
      <c r="O621" s="52"/>
      <c r="P621" s="13"/>
    </row>
    <row r="622" s="6" customFormat="1" spans="1:16">
      <c r="A622" s="23"/>
      <c r="B622" s="8"/>
      <c r="C622" s="25"/>
      <c r="D622" s="52"/>
      <c r="E622" s="52"/>
      <c r="F622" s="52"/>
      <c r="G622" s="52"/>
      <c r="H622" s="27"/>
      <c r="I622" s="52"/>
      <c r="J622" s="52"/>
      <c r="K622" s="28"/>
      <c r="L622" s="52"/>
      <c r="M622" s="29"/>
      <c r="N622" s="23"/>
      <c r="O622" s="52"/>
      <c r="P622" s="13"/>
    </row>
    <row r="623" s="6" customFormat="1" spans="1:16">
      <c r="A623" s="23"/>
      <c r="B623" s="8"/>
      <c r="C623" s="25"/>
      <c r="D623" s="52"/>
      <c r="E623" s="52"/>
      <c r="F623" s="52"/>
      <c r="G623" s="52"/>
      <c r="H623" s="27"/>
      <c r="I623" s="52"/>
      <c r="J623" s="52"/>
      <c r="K623" s="28"/>
      <c r="L623" s="52"/>
      <c r="M623" s="29"/>
      <c r="N623" s="23"/>
      <c r="O623" s="52"/>
      <c r="P623" s="13"/>
    </row>
    <row r="624" s="6" customFormat="1" spans="1:16">
      <c r="A624" s="23"/>
      <c r="B624" s="8"/>
      <c r="C624" s="25"/>
      <c r="D624" s="52"/>
      <c r="E624" s="52"/>
      <c r="F624" s="52"/>
      <c r="G624" s="52"/>
      <c r="H624" s="27"/>
      <c r="I624" s="52"/>
      <c r="J624" s="52"/>
      <c r="K624" s="28"/>
      <c r="L624" s="52"/>
      <c r="M624" s="29"/>
      <c r="N624" s="23"/>
      <c r="O624" s="52"/>
      <c r="P624" s="13"/>
    </row>
    <row r="625" s="6" customFormat="1" spans="1:16">
      <c r="A625" s="23"/>
      <c r="B625" s="8"/>
      <c r="C625" s="25"/>
      <c r="D625" s="52"/>
      <c r="E625" s="52"/>
      <c r="F625" s="52"/>
      <c r="G625" s="52"/>
      <c r="H625" s="27"/>
      <c r="I625" s="52"/>
      <c r="J625" s="52"/>
      <c r="K625" s="28"/>
      <c r="L625" s="52"/>
      <c r="M625" s="29"/>
      <c r="N625" s="23"/>
      <c r="O625" s="52"/>
      <c r="P625" s="13"/>
    </row>
    <row r="626" s="6" customFormat="1" spans="1:16">
      <c r="A626" s="23"/>
      <c r="B626" s="8"/>
      <c r="C626" s="25"/>
      <c r="D626" s="52"/>
      <c r="E626" s="52"/>
      <c r="F626" s="52"/>
      <c r="G626" s="52"/>
      <c r="H626" s="27"/>
      <c r="I626" s="52"/>
      <c r="J626" s="52"/>
      <c r="K626" s="28"/>
      <c r="L626" s="52"/>
      <c r="M626" s="29"/>
      <c r="N626" s="23"/>
      <c r="O626" s="52"/>
      <c r="P626" s="13"/>
    </row>
    <row r="627" s="6" customFormat="1" spans="1:16">
      <c r="A627" s="23"/>
      <c r="B627" s="8"/>
      <c r="C627" s="25"/>
      <c r="D627" s="52"/>
      <c r="E627" s="52"/>
      <c r="F627" s="52"/>
      <c r="G627" s="52"/>
      <c r="H627" s="27"/>
      <c r="I627" s="52"/>
      <c r="J627" s="52"/>
      <c r="K627" s="28"/>
      <c r="L627" s="52"/>
      <c r="M627" s="29"/>
      <c r="N627" s="23"/>
      <c r="O627" s="52"/>
      <c r="P627" s="13"/>
    </row>
    <row r="628" s="6" customFormat="1" spans="1:16">
      <c r="A628" s="23"/>
      <c r="B628" s="8"/>
      <c r="C628" s="25"/>
      <c r="D628" s="52"/>
      <c r="E628" s="52"/>
      <c r="F628" s="52"/>
      <c r="G628" s="52"/>
      <c r="H628" s="27"/>
      <c r="I628" s="52"/>
      <c r="J628" s="52"/>
      <c r="K628" s="28"/>
      <c r="L628" s="52"/>
      <c r="M628" s="29"/>
      <c r="N628" s="23"/>
      <c r="O628" s="52"/>
      <c r="P628" s="13"/>
    </row>
    <row r="629" s="6" customFormat="1" spans="1:16">
      <c r="A629" s="23"/>
      <c r="B629" s="8"/>
      <c r="C629" s="25"/>
      <c r="D629" s="52"/>
      <c r="E629" s="52"/>
      <c r="F629" s="52"/>
      <c r="G629" s="52"/>
      <c r="H629" s="27"/>
      <c r="I629" s="52"/>
      <c r="J629" s="52"/>
      <c r="K629" s="28"/>
      <c r="L629" s="52"/>
      <c r="M629" s="29"/>
      <c r="N629" s="23"/>
      <c r="O629" s="52"/>
      <c r="P629" s="13"/>
    </row>
    <row r="630" s="6" customFormat="1" spans="1:16">
      <c r="A630" s="23"/>
      <c r="B630" s="8"/>
      <c r="C630" s="25"/>
      <c r="D630" s="52"/>
      <c r="E630" s="52"/>
      <c r="F630" s="52"/>
      <c r="G630" s="52"/>
      <c r="H630" s="27"/>
      <c r="I630" s="52"/>
      <c r="J630" s="52"/>
      <c r="K630" s="28"/>
      <c r="L630" s="52"/>
      <c r="M630" s="29"/>
      <c r="N630" s="23"/>
      <c r="O630" s="52"/>
      <c r="P630" s="13"/>
    </row>
    <row r="631" s="6" customFormat="1" spans="1:16">
      <c r="A631" s="23"/>
      <c r="B631" s="8"/>
      <c r="C631" s="25"/>
      <c r="D631" s="52"/>
      <c r="E631" s="52"/>
      <c r="F631" s="52"/>
      <c r="G631" s="52"/>
      <c r="H631" s="27"/>
      <c r="I631" s="52"/>
      <c r="J631" s="52"/>
      <c r="K631" s="28"/>
      <c r="L631" s="52"/>
      <c r="M631" s="29"/>
      <c r="N631" s="23"/>
      <c r="O631" s="52"/>
      <c r="P631" s="13"/>
    </row>
    <row r="632" s="6" customFormat="1" spans="1:16">
      <c r="A632" s="23"/>
      <c r="B632" s="8"/>
      <c r="C632" s="25"/>
      <c r="D632" s="52"/>
      <c r="E632" s="52"/>
      <c r="F632" s="52"/>
      <c r="G632" s="52"/>
      <c r="H632" s="27"/>
      <c r="I632" s="52"/>
      <c r="J632" s="52"/>
      <c r="K632" s="28"/>
      <c r="L632" s="52"/>
      <c r="M632" s="29"/>
      <c r="N632" s="23"/>
      <c r="O632" s="52"/>
      <c r="P632" s="13"/>
    </row>
    <row r="633" s="6" customFormat="1" spans="1:16">
      <c r="A633" s="23"/>
      <c r="B633" s="8"/>
      <c r="C633" s="25"/>
      <c r="D633" s="52"/>
      <c r="E633" s="52"/>
      <c r="F633" s="52"/>
      <c r="G633" s="52"/>
      <c r="H633" s="27"/>
      <c r="I633" s="52"/>
      <c r="J633" s="52"/>
      <c r="K633" s="28"/>
      <c r="L633" s="52"/>
      <c r="M633" s="29"/>
      <c r="N633" s="23"/>
      <c r="O633" s="52"/>
      <c r="P633" s="13"/>
    </row>
    <row r="634" s="6" customFormat="1" spans="1:16">
      <c r="A634" s="23"/>
      <c r="B634" s="8"/>
      <c r="C634" s="25"/>
      <c r="D634" s="52"/>
      <c r="E634" s="52"/>
      <c r="F634" s="52"/>
      <c r="G634" s="52"/>
      <c r="H634" s="27"/>
      <c r="I634" s="52"/>
      <c r="J634" s="52"/>
      <c r="K634" s="28"/>
      <c r="L634" s="52"/>
      <c r="M634" s="29"/>
      <c r="N634" s="23"/>
      <c r="O634" s="52"/>
      <c r="P634" s="13"/>
    </row>
    <row r="635" s="6" customFormat="1" spans="1:16">
      <c r="A635" s="23"/>
      <c r="B635" s="8"/>
      <c r="C635" s="25"/>
      <c r="D635" s="52"/>
      <c r="E635" s="52"/>
      <c r="F635" s="52"/>
      <c r="G635" s="52"/>
      <c r="H635" s="27"/>
      <c r="I635" s="52"/>
      <c r="J635" s="52"/>
      <c r="K635" s="28"/>
      <c r="L635" s="52"/>
      <c r="M635" s="29"/>
      <c r="N635" s="23"/>
      <c r="O635" s="52"/>
      <c r="P635" s="13"/>
    </row>
    <row r="636" s="6" customFormat="1" spans="1:16">
      <c r="A636" s="23"/>
      <c r="B636" s="8"/>
      <c r="C636" s="25"/>
      <c r="D636" s="52"/>
      <c r="E636" s="52"/>
      <c r="F636" s="52"/>
      <c r="G636" s="52"/>
      <c r="H636" s="27"/>
      <c r="I636" s="52"/>
      <c r="J636" s="52"/>
      <c r="K636" s="28"/>
      <c r="L636" s="52"/>
      <c r="M636" s="29"/>
      <c r="N636" s="23"/>
      <c r="O636" s="52"/>
      <c r="P636" s="13"/>
    </row>
    <row r="637" s="6" customFormat="1" spans="1:16">
      <c r="A637" s="23"/>
      <c r="B637" s="8"/>
      <c r="C637" s="25"/>
      <c r="D637" s="52"/>
      <c r="E637" s="52"/>
      <c r="F637" s="52"/>
      <c r="G637" s="52"/>
      <c r="H637" s="27"/>
      <c r="I637" s="52"/>
      <c r="J637" s="52"/>
      <c r="K637" s="28"/>
      <c r="L637" s="52"/>
      <c r="M637" s="29"/>
      <c r="N637" s="23"/>
      <c r="O637" s="52"/>
      <c r="P637" s="13"/>
    </row>
    <row r="638" s="6" customFormat="1" spans="1:16">
      <c r="A638" s="23"/>
      <c r="B638" s="8"/>
      <c r="C638" s="25"/>
      <c r="D638" s="52"/>
      <c r="E638" s="52"/>
      <c r="F638" s="52"/>
      <c r="G638" s="52"/>
      <c r="H638" s="27"/>
      <c r="I638" s="52"/>
      <c r="J638" s="52"/>
      <c r="K638" s="28"/>
      <c r="L638" s="52"/>
      <c r="M638" s="29"/>
      <c r="N638" s="23"/>
      <c r="O638" s="52"/>
      <c r="P638" s="13"/>
    </row>
    <row r="639" s="6" customFormat="1" spans="1:16">
      <c r="A639" s="23"/>
      <c r="B639" s="8"/>
      <c r="C639" s="25"/>
      <c r="D639" s="52"/>
      <c r="E639" s="52"/>
      <c r="F639" s="52"/>
      <c r="G639" s="52"/>
      <c r="H639" s="27"/>
      <c r="I639" s="52"/>
      <c r="J639" s="52"/>
      <c r="K639" s="28"/>
      <c r="L639" s="52"/>
      <c r="M639" s="29"/>
      <c r="N639" s="23"/>
      <c r="O639" s="52"/>
      <c r="P639" s="13"/>
    </row>
    <row r="640" s="6" customFormat="1" spans="1:16">
      <c r="A640" s="23"/>
      <c r="B640" s="8"/>
      <c r="C640" s="25"/>
      <c r="D640" s="52"/>
      <c r="E640" s="52"/>
      <c r="F640" s="52"/>
      <c r="G640" s="52"/>
      <c r="H640" s="27"/>
      <c r="I640" s="52"/>
      <c r="J640" s="52"/>
      <c r="K640" s="28"/>
      <c r="L640" s="52"/>
      <c r="M640" s="29"/>
      <c r="N640" s="23"/>
      <c r="O640" s="52"/>
      <c r="P640" s="13"/>
    </row>
    <row r="641" s="6" customFormat="1" spans="1:16">
      <c r="A641" s="23"/>
      <c r="B641" s="8"/>
      <c r="C641" s="25"/>
      <c r="D641" s="52"/>
      <c r="E641" s="52"/>
      <c r="F641" s="52"/>
      <c r="G641" s="52"/>
      <c r="H641" s="27"/>
      <c r="I641" s="52"/>
      <c r="J641" s="52"/>
      <c r="K641" s="28"/>
      <c r="L641" s="52"/>
      <c r="M641" s="29"/>
      <c r="N641" s="23"/>
      <c r="O641" s="52"/>
      <c r="P641" s="13"/>
    </row>
    <row r="642" s="6" customFormat="1" spans="1:16">
      <c r="A642" s="23"/>
      <c r="B642" s="8"/>
      <c r="C642" s="25"/>
      <c r="D642" s="52"/>
      <c r="E642" s="52"/>
      <c r="F642" s="52"/>
      <c r="G642" s="52"/>
      <c r="H642" s="27"/>
      <c r="I642" s="52"/>
      <c r="J642" s="52"/>
      <c r="K642" s="28"/>
      <c r="L642" s="52"/>
      <c r="M642" s="29"/>
      <c r="N642" s="23"/>
      <c r="O642" s="52"/>
      <c r="P642" s="13"/>
    </row>
    <row r="643" s="6" customFormat="1" spans="1:16">
      <c r="A643" s="23"/>
      <c r="B643" s="8"/>
      <c r="C643" s="25"/>
      <c r="D643" s="52"/>
      <c r="E643" s="52"/>
      <c r="F643" s="52"/>
      <c r="G643" s="52"/>
      <c r="H643" s="27"/>
      <c r="I643" s="52"/>
      <c r="J643" s="52"/>
      <c r="K643" s="28"/>
      <c r="L643" s="52"/>
      <c r="M643" s="29"/>
      <c r="N643" s="23"/>
      <c r="O643" s="52"/>
      <c r="P643" s="13"/>
    </row>
    <row r="644" s="6" customFormat="1" spans="1:16">
      <c r="A644" s="23"/>
      <c r="B644" s="8"/>
      <c r="C644" s="25"/>
      <c r="D644" s="52"/>
      <c r="E644" s="52"/>
      <c r="F644" s="52"/>
      <c r="G644" s="52"/>
      <c r="H644" s="27"/>
      <c r="I644" s="52"/>
      <c r="J644" s="52"/>
      <c r="K644" s="28"/>
      <c r="L644" s="52"/>
      <c r="M644" s="29"/>
      <c r="N644" s="23"/>
      <c r="O644" s="52"/>
      <c r="P644" s="13"/>
    </row>
    <row r="645" s="6" customFormat="1" spans="1:16">
      <c r="A645" s="23"/>
      <c r="B645" s="8"/>
      <c r="C645" s="25"/>
      <c r="D645" s="52"/>
      <c r="E645" s="52"/>
      <c r="F645" s="52"/>
      <c r="G645" s="52"/>
      <c r="H645" s="27"/>
      <c r="I645" s="52"/>
      <c r="J645" s="52"/>
      <c r="K645" s="28"/>
      <c r="L645" s="52"/>
      <c r="M645" s="29"/>
      <c r="N645" s="23"/>
      <c r="O645" s="52"/>
      <c r="P645" s="13"/>
    </row>
    <row r="646" s="6" customFormat="1" spans="1:16">
      <c r="A646" s="23"/>
      <c r="B646" s="8"/>
      <c r="C646" s="25"/>
      <c r="D646" s="52"/>
      <c r="E646" s="52"/>
      <c r="F646" s="52"/>
      <c r="G646" s="52"/>
      <c r="H646" s="27"/>
      <c r="I646" s="52"/>
      <c r="J646" s="52"/>
      <c r="K646" s="28"/>
      <c r="L646" s="52"/>
      <c r="M646" s="29"/>
      <c r="N646" s="23"/>
      <c r="O646" s="52"/>
      <c r="P646" s="13"/>
    </row>
    <row r="647" s="6" customFormat="1" spans="1:16">
      <c r="A647" s="23"/>
      <c r="B647" s="8"/>
      <c r="C647" s="25"/>
      <c r="D647" s="52"/>
      <c r="E647" s="52"/>
      <c r="F647" s="52"/>
      <c r="G647" s="52"/>
      <c r="H647" s="27"/>
      <c r="I647" s="52"/>
      <c r="J647" s="52"/>
      <c r="K647" s="28"/>
      <c r="L647" s="52"/>
      <c r="M647" s="29"/>
      <c r="N647" s="23"/>
      <c r="O647" s="52"/>
      <c r="P647" s="13"/>
    </row>
    <row r="648" s="6" customFormat="1" spans="1:16">
      <c r="A648" s="23"/>
      <c r="B648" s="8"/>
      <c r="C648" s="25"/>
      <c r="D648" s="52"/>
      <c r="E648" s="52"/>
      <c r="F648" s="52"/>
      <c r="G648" s="52"/>
      <c r="H648" s="27"/>
      <c r="I648" s="52"/>
      <c r="J648" s="52"/>
      <c r="K648" s="28"/>
      <c r="L648" s="52"/>
      <c r="M648" s="29"/>
      <c r="N648" s="23"/>
      <c r="O648" s="52"/>
      <c r="P648" s="13"/>
    </row>
    <row r="649" s="6" customFormat="1" spans="1:16">
      <c r="A649" s="23"/>
      <c r="B649" s="8"/>
      <c r="C649" s="25"/>
      <c r="D649" s="52"/>
      <c r="E649" s="52"/>
      <c r="F649" s="52"/>
      <c r="G649" s="52"/>
      <c r="H649" s="27"/>
      <c r="I649" s="52"/>
      <c r="J649" s="52"/>
      <c r="K649" s="28"/>
      <c r="L649" s="52"/>
      <c r="M649" s="29"/>
      <c r="N649" s="23"/>
      <c r="O649" s="52"/>
      <c r="P649" s="13"/>
    </row>
    <row r="650" s="6" customFormat="1" spans="1:16">
      <c r="A650" s="23"/>
      <c r="B650" s="8"/>
      <c r="C650" s="25"/>
      <c r="D650" s="52"/>
      <c r="E650" s="52"/>
      <c r="F650" s="52"/>
      <c r="G650" s="52"/>
      <c r="H650" s="27"/>
      <c r="I650" s="52"/>
      <c r="J650" s="52"/>
      <c r="K650" s="28"/>
      <c r="L650" s="52"/>
      <c r="M650" s="29"/>
      <c r="N650" s="23"/>
      <c r="O650" s="52"/>
      <c r="P650" s="13"/>
    </row>
    <row r="651" s="6" customFormat="1" spans="1:16">
      <c r="A651" s="23"/>
      <c r="B651" s="8"/>
      <c r="C651" s="25"/>
      <c r="D651" s="52"/>
      <c r="E651" s="52"/>
      <c r="F651" s="52"/>
      <c r="G651" s="52"/>
      <c r="H651" s="27"/>
      <c r="I651" s="52"/>
      <c r="J651" s="52"/>
      <c r="K651" s="28"/>
      <c r="L651" s="52"/>
      <c r="M651" s="29"/>
      <c r="N651" s="23"/>
      <c r="O651" s="52"/>
      <c r="P651" s="13"/>
    </row>
    <row r="652" s="6" customFormat="1" spans="1:16">
      <c r="A652" s="23"/>
      <c r="B652" s="8"/>
      <c r="C652" s="25"/>
      <c r="D652" s="52"/>
      <c r="E652" s="52"/>
      <c r="F652" s="52"/>
      <c r="G652" s="52"/>
      <c r="H652" s="27"/>
      <c r="I652" s="52"/>
      <c r="J652" s="52"/>
      <c r="K652" s="28"/>
      <c r="L652" s="52"/>
      <c r="M652" s="29"/>
      <c r="N652" s="23"/>
      <c r="O652" s="52"/>
      <c r="P652" s="13"/>
    </row>
    <row r="653" s="6" customFormat="1" spans="1:16">
      <c r="A653" s="23"/>
      <c r="B653" s="8"/>
      <c r="C653" s="25"/>
      <c r="D653" s="52"/>
      <c r="E653" s="52"/>
      <c r="F653" s="52"/>
      <c r="G653" s="52"/>
      <c r="H653" s="27"/>
      <c r="I653" s="52"/>
      <c r="J653" s="52"/>
      <c r="K653" s="28"/>
      <c r="L653" s="52"/>
      <c r="M653" s="29"/>
      <c r="N653" s="23"/>
      <c r="O653" s="52"/>
      <c r="P653" s="13"/>
    </row>
    <row r="654" s="6" customFormat="1" spans="1:16">
      <c r="A654" s="23"/>
      <c r="B654" s="8"/>
      <c r="C654" s="25"/>
      <c r="D654" s="52"/>
      <c r="E654" s="52"/>
      <c r="F654" s="52"/>
      <c r="G654" s="52"/>
      <c r="H654" s="27"/>
      <c r="I654" s="52"/>
      <c r="J654" s="52"/>
      <c r="K654" s="28"/>
      <c r="L654" s="52"/>
      <c r="M654" s="29"/>
      <c r="N654" s="23"/>
      <c r="O654" s="52"/>
      <c r="P654" s="13"/>
    </row>
    <row r="655" s="6" customFormat="1" spans="1:16">
      <c r="A655" s="23"/>
      <c r="B655" s="8"/>
      <c r="C655" s="25"/>
      <c r="D655" s="52"/>
      <c r="E655" s="52"/>
      <c r="F655" s="52"/>
      <c r="G655" s="52"/>
      <c r="H655" s="27"/>
      <c r="I655" s="52"/>
      <c r="J655" s="52"/>
      <c r="K655" s="28"/>
      <c r="L655" s="52"/>
      <c r="M655" s="29"/>
      <c r="N655" s="23"/>
      <c r="O655" s="52"/>
      <c r="P655" s="13"/>
    </row>
    <row r="656" s="6" customFormat="1" spans="1:16">
      <c r="A656" s="23"/>
      <c r="B656" s="8"/>
      <c r="C656" s="25"/>
      <c r="D656" s="52"/>
      <c r="E656" s="52"/>
      <c r="F656" s="52"/>
      <c r="G656" s="52"/>
      <c r="H656" s="27"/>
      <c r="I656" s="52"/>
      <c r="J656" s="52"/>
      <c r="K656" s="28"/>
      <c r="L656" s="52"/>
      <c r="M656" s="29"/>
      <c r="N656" s="23"/>
      <c r="O656" s="52"/>
      <c r="P656" s="13"/>
    </row>
    <row r="657" s="6" customFormat="1" spans="1:16">
      <c r="A657" s="23"/>
      <c r="B657" s="8"/>
      <c r="C657" s="25"/>
      <c r="D657" s="52"/>
      <c r="E657" s="52"/>
      <c r="F657" s="52"/>
      <c r="G657" s="52"/>
      <c r="H657" s="27"/>
      <c r="I657" s="52"/>
      <c r="J657" s="52"/>
      <c r="K657" s="28"/>
      <c r="L657" s="52"/>
      <c r="M657" s="29"/>
      <c r="N657" s="23"/>
      <c r="O657" s="52"/>
      <c r="P657" s="13"/>
    </row>
    <row r="658" s="6" customFormat="1" spans="1:16">
      <c r="A658" s="23"/>
      <c r="B658" s="8"/>
      <c r="C658" s="25"/>
      <c r="D658" s="52"/>
      <c r="E658" s="52"/>
      <c r="F658" s="52"/>
      <c r="G658" s="52"/>
      <c r="H658" s="27"/>
      <c r="I658" s="52"/>
      <c r="J658" s="52"/>
      <c r="K658" s="28"/>
      <c r="L658" s="52"/>
      <c r="M658" s="29"/>
      <c r="N658" s="23"/>
      <c r="O658" s="52"/>
      <c r="P658" s="13"/>
    </row>
    <row r="659" s="6" customFormat="1" spans="1:16">
      <c r="A659" s="23"/>
      <c r="B659" s="8"/>
      <c r="C659" s="25"/>
      <c r="D659" s="52"/>
      <c r="E659" s="52"/>
      <c r="F659" s="52"/>
      <c r="G659" s="52"/>
      <c r="H659" s="27"/>
      <c r="I659" s="52"/>
      <c r="J659" s="52"/>
      <c r="K659" s="28"/>
      <c r="L659" s="52"/>
      <c r="M659" s="29"/>
      <c r="N659" s="23"/>
      <c r="O659" s="52"/>
      <c r="P659" s="13"/>
    </row>
    <row r="660" s="6" customFormat="1" spans="1:16">
      <c r="A660" s="23"/>
      <c r="B660" s="8"/>
      <c r="C660" s="25"/>
      <c r="D660" s="52"/>
      <c r="E660" s="52"/>
      <c r="F660" s="52"/>
      <c r="G660" s="52"/>
      <c r="H660" s="27"/>
      <c r="I660" s="52"/>
      <c r="J660" s="52"/>
      <c r="K660" s="28"/>
      <c r="L660" s="52"/>
      <c r="M660" s="29"/>
      <c r="N660" s="23"/>
      <c r="O660" s="52"/>
      <c r="P660" s="13"/>
    </row>
    <row r="661" s="6" customFormat="1" spans="1:16">
      <c r="A661" s="23"/>
      <c r="B661" s="8"/>
      <c r="C661" s="25"/>
      <c r="D661" s="52"/>
      <c r="E661" s="52"/>
      <c r="F661" s="52"/>
      <c r="G661" s="52"/>
      <c r="H661" s="27"/>
      <c r="I661" s="52"/>
      <c r="J661" s="52"/>
      <c r="K661" s="28"/>
      <c r="L661" s="52"/>
      <c r="M661" s="29"/>
      <c r="N661" s="23"/>
      <c r="O661" s="52"/>
      <c r="P661" s="13"/>
    </row>
    <row r="662" s="6" customFormat="1" spans="1:16">
      <c r="A662" s="23"/>
      <c r="B662" s="8"/>
      <c r="C662" s="25"/>
      <c r="D662" s="52"/>
      <c r="E662" s="52"/>
      <c r="F662" s="52"/>
      <c r="G662" s="52"/>
      <c r="H662" s="27"/>
      <c r="I662" s="52"/>
      <c r="J662" s="52"/>
      <c r="K662" s="28"/>
      <c r="L662" s="52"/>
      <c r="M662" s="29"/>
      <c r="N662" s="23"/>
      <c r="O662" s="52"/>
      <c r="P662" s="13"/>
    </row>
    <row r="663" s="6" customFormat="1" spans="1:16">
      <c r="A663" s="23"/>
      <c r="B663" s="8"/>
      <c r="C663" s="25"/>
      <c r="D663" s="52"/>
      <c r="E663" s="52"/>
      <c r="F663" s="52"/>
      <c r="G663" s="52"/>
      <c r="H663" s="27"/>
      <c r="I663" s="52"/>
      <c r="J663" s="52"/>
      <c r="K663" s="28"/>
      <c r="L663" s="52"/>
      <c r="M663" s="29"/>
      <c r="N663" s="23"/>
      <c r="O663" s="52"/>
      <c r="P663" s="13"/>
    </row>
    <row r="664" s="6" customFormat="1" spans="1:16">
      <c r="A664" s="23"/>
      <c r="B664" s="8"/>
      <c r="C664" s="25"/>
      <c r="D664" s="52"/>
      <c r="E664" s="52"/>
      <c r="F664" s="52"/>
      <c r="G664" s="52"/>
      <c r="H664" s="27"/>
      <c r="I664" s="52"/>
      <c r="J664" s="52"/>
      <c r="K664" s="28"/>
      <c r="L664" s="52"/>
      <c r="M664" s="29"/>
      <c r="N664" s="23"/>
      <c r="O664" s="52"/>
      <c r="P664" s="13"/>
    </row>
    <row r="665" s="6" customFormat="1" spans="1:16">
      <c r="A665" s="23"/>
      <c r="B665" s="8"/>
      <c r="C665" s="25"/>
      <c r="D665" s="52"/>
      <c r="E665" s="52"/>
      <c r="F665" s="52"/>
      <c r="G665" s="52"/>
      <c r="H665" s="27"/>
      <c r="I665" s="52"/>
      <c r="J665" s="52"/>
      <c r="K665" s="28"/>
      <c r="L665" s="52"/>
      <c r="M665" s="29"/>
      <c r="N665" s="23"/>
      <c r="O665" s="52"/>
      <c r="P665" s="13"/>
    </row>
    <row r="666" s="6" customFormat="1" spans="1:16">
      <c r="A666" s="23"/>
      <c r="B666" s="8"/>
      <c r="C666" s="25"/>
      <c r="D666" s="52"/>
      <c r="E666" s="52"/>
      <c r="F666" s="52"/>
      <c r="G666" s="52"/>
      <c r="H666" s="27"/>
      <c r="I666" s="52"/>
      <c r="J666" s="52"/>
      <c r="K666" s="28"/>
      <c r="L666" s="52"/>
      <c r="M666" s="29"/>
      <c r="N666" s="23"/>
      <c r="O666" s="52"/>
      <c r="P666" s="13"/>
    </row>
    <row r="667" s="6" customFormat="1" spans="1:16">
      <c r="A667" s="23"/>
      <c r="B667" s="8"/>
      <c r="C667" s="25"/>
      <c r="D667" s="52"/>
      <c r="E667" s="52"/>
      <c r="F667" s="52"/>
      <c r="G667" s="52"/>
      <c r="H667" s="27"/>
      <c r="I667" s="52"/>
      <c r="J667" s="52"/>
      <c r="K667" s="28"/>
      <c r="L667" s="52"/>
      <c r="M667" s="29"/>
      <c r="N667" s="23"/>
      <c r="O667" s="52"/>
      <c r="P667" s="13"/>
    </row>
    <row r="668" s="6" customFormat="1" spans="1:16">
      <c r="A668" s="23"/>
      <c r="B668" s="8"/>
      <c r="C668" s="25"/>
      <c r="D668" s="52"/>
      <c r="E668" s="52"/>
      <c r="F668" s="52"/>
      <c r="G668" s="52"/>
      <c r="H668" s="27"/>
      <c r="I668" s="52"/>
      <c r="J668" s="52"/>
      <c r="K668" s="28"/>
      <c r="L668" s="52"/>
      <c r="M668" s="29"/>
      <c r="N668" s="23"/>
      <c r="O668" s="52"/>
      <c r="P668" s="13"/>
    </row>
    <row r="669" s="6" customFormat="1" spans="1:16">
      <c r="A669" s="23"/>
      <c r="B669" s="8"/>
      <c r="C669" s="25"/>
      <c r="D669" s="52"/>
      <c r="E669" s="52"/>
      <c r="F669" s="52"/>
      <c r="G669" s="52"/>
      <c r="H669" s="27"/>
      <c r="I669" s="52"/>
      <c r="J669" s="52"/>
      <c r="K669" s="28"/>
      <c r="L669" s="52"/>
      <c r="M669" s="29"/>
      <c r="N669" s="23"/>
      <c r="O669" s="52"/>
      <c r="P669" s="13"/>
    </row>
    <row r="670" s="6" customFormat="1" spans="1:16">
      <c r="A670" s="23"/>
      <c r="B670" s="8"/>
      <c r="C670" s="25"/>
      <c r="D670" s="52"/>
      <c r="E670" s="52"/>
      <c r="F670" s="52"/>
      <c r="G670" s="52"/>
      <c r="H670" s="27"/>
      <c r="I670" s="52"/>
      <c r="J670" s="52"/>
      <c r="K670" s="28"/>
      <c r="L670" s="52"/>
      <c r="M670" s="29"/>
      <c r="N670" s="23"/>
      <c r="O670" s="52"/>
      <c r="P670" s="13"/>
    </row>
    <row r="671" s="6" customFormat="1" spans="1:16">
      <c r="A671" s="23"/>
      <c r="B671" s="8"/>
      <c r="C671" s="25"/>
      <c r="D671" s="52"/>
      <c r="E671" s="52"/>
      <c r="F671" s="52"/>
      <c r="G671" s="52"/>
      <c r="H671" s="27"/>
      <c r="I671" s="52"/>
      <c r="J671" s="52"/>
      <c r="K671" s="28"/>
      <c r="L671" s="52"/>
      <c r="M671" s="29"/>
      <c r="N671" s="23"/>
      <c r="O671" s="52"/>
      <c r="P671" s="13"/>
    </row>
    <row r="672" s="6" customFormat="1" spans="1:16">
      <c r="A672" s="23"/>
      <c r="B672" s="8"/>
      <c r="C672" s="25"/>
      <c r="D672" s="52"/>
      <c r="E672" s="52"/>
      <c r="F672" s="52"/>
      <c r="G672" s="52"/>
      <c r="H672" s="27"/>
      <c r="I672" s="52"/>
      <c r="J672" s="52"/>
      <c r="K672" s="28"/>
      <c r="L672" s="52"/>
      <c r="M672" s="29"/>
      <c r="N672" s="23"/>
      <c r="O672" s="52"/>
      <c r="P672" s="13"/>
    </row>
    <row r="673" s="6" customFormat="1" spans="1:16">
      <c r="A673" s="23"/>
      <c r="B673" s="8"/>
      <c r="C673" s="25"/>
      <c r="D673" s="52"/>
      <c r="E673" s="52"/>
      <c r="F673" s="52"/>
      <c r="G673" s="52"/>
      <c r="H673" s="27"/>
      <c r="I673" s="52"/>
      <c r="J673" s="52"/>
      <c r="K673" s="28"/>
      <c r="L673" s="52"/>
      <c r="M673" s="29"/>
      <c r="N673" s="23"/>
      <c r="O673" s="52"/>
      <c r="P673" s="13"/>
    </row>
    <row r="674" s="6" customFormat="1" spans="1:16">
      <c r="A674" s="23"/>
      <c r="B674" s="8"/>
      <c r="C674" s="25"/>
      <c r="D674" s="52"/>
      <c r="E674" s="52"/>
      <c r="F674" s="52"/>
      <c r="G674" s="52"/>
      <c r="H674" s="27"/>
      <c r="I674" s="52"/>
      <c r="J674" s="52"/>
      <c r="K674" s="28"/>
      <c r="L674" s="52"/>
      <c r="M674" s="29"/>
      <c r="N674" s="23"/>
      <c r="O674" s="52"/>
      <c r="P674" s="13"/>
    </row>
    <row r="675" s="6" customFormat="1" spans="1:16">
      <c r="A675" s="23"/>
      <c r="B675" s="8"/>
      <c r="C675" s="25"/>
      <c r="D675" s="52"/>
      <c r="E675" s="52"/>
      <c r="F675" s="52"/>
      <c r="G675" s="52"/>
      <c r="H675" s="27"/>
      <c r="I675" s="52"/>
      <c r="J675" s="52"/>
      <c r="K675" s="28"/>
      <c r="L675" s="52"/>
      <c r="M675" s="29"/>
      <c r="N675" s="23"/>
      <c r="O675" s="52"/>
      <c r="P675" s="13"/>
    </row>
    <row r="676" s="6" customFormat="1" spans="1:16">
      <c r="A676" s="23"/>
      <c r="B676" s="8"/>
      <c r="C676" s="25"/>
      <c r="D676" s="52"/>
      <c r="E676" s="52"/>
      <c r="F676" s="52"/>
      <c r="G676" s="52"/>
      <c r="H676" s="27"/>
      <c r="I676" s="52"/>
      <c r="J676" s="52"/>
      <c r="K676" s="28"/>
      <c r="L676" s="52"/>
      <c r="M676" s="29"/>
      <c r="N676" s="23"/>
      <c r="O676" s="52"/>
      <c r="P676" s="13"/>
    </row>
    <row r="677" s="6" customFormat="1" spans="1:16">
      <c r="A677" s="23"/>
      <c r="B677" s="8"/>
      <c r="C677" s="25"/>
      <c r="D677" s="52"/>
      <c r="E677" s="52"/>
      <c r="F677" s="52"/>
      <c r="G677" s="52"/>
      <c r="H677" s="27"/>
      <c r="I677" s="52"/>
      <c r="J677" s="52"/>
      <c r="K677" s="28"/>
      <c r="L677" s="52"/>
      <c r="M677" s="29"/>
      <c r="N677" s="23"/>
      <c r="O677" s="52"/>
      <c r="P677" s="13"/>
    </row>
    <row r="678" s="6" customFormat="1" spans="1:16">
      <c r="A678" s="23"/>
      <c r="B678" s="8"/>
      <c r="C678" s="25"/>
      <c r="D678" s="52"/>
      <c r="E678" s="52"/>
      <c r="F678" s="52"/>
      <c r="G678" s="52"/>
      <c r="H678" s="27"/>
      <c r="I678" s="52"/>
      <c r="J678" s="52"/>
      <c r="K678" s="28"/>
      <c r="L678" s="52"/>
      <c r="M678" s="29"/>
      <c r="N678" s="23"/>
      <c r="O678" s="52"/>
      <c r="P678" s="13"/>
    </row>
    <row r="679" s="6" customFormat="1" spans="1:16">
      <c r="A679" s="23"/>
      <c r="B679" s="8"/>
      <c r="C679" s="25"/>
      <c r="D679" s="52"/>
      <c r="E679" s="52"/>
      <c r="F679" s="52"/>
      <c r="G679" s="52"/>
      <c r="H679" s="27"/>
      <c r="I679" s="52"/>
      <c r="J679" s="52"/>
      <c r="K679" s="28"/>
      <c r="L679" s="52"/>
      <c r="M679" s="29"/>
      <c r="N679" s="23"/>
      <c r="O679" s="52"/>
      <c r="P679" s="13"/>
    </row>
    <row r="680" s="6" customFormat="1" spans="1:16">
      <c r="A680" s="23"/>
      <c r="B680" s="8"/>
      <c r="C680" s="25"/>
      <c r="D680" s="52"/>
      <c r="E680" s="52"/>
      <c r="F680" s="52"/>
      <c r="G680" s="52"/>
      <c r="H680" s="27"/>
      <c r="I680" s="52"/>
      <c r="J680" s="52"/>
      <c r="K680" s="28"/>
      <c r="L680" s="52"/>
      <c r="M680" s="29"/>
      <c r="N680" s="23"/>
      <c r="O680" s="52"/>
      <c r="P680" s="13"/>
    </row>
    <row r="681" s="6" customFormat="1" spans="1:16">
      <c r="A681" s="23"/>
      <c r="B681" s="8"/>
      <c r="C681" s="25"/>
      <c r="D681" s="52"/>
      <c r="E681" s="52"/>
      <c r="F681" s="52"/>
      <c r="G681" s="52"/>
      <c r="H681" s="27"/>
      <c r="I681" s="52"/>
      <c r="J681" s="52"/>
      <c r="K681" s="28"/>
      <c r="L681" s="52"/>
      <c r="M681" s="29"/>
      <c r="N681" s="23"/>
      <c r="O681" s="52"/>
      <c r="P681" s="13"/>
    </row>
    <row r="682" s="6" customFormat="1" spans="1:16">
      <c r="A682" s="23"/>
      <c r="B682" s="8"/>
      <c r="C682" s="25"/>
      <c r="D682" s="52"/>
      <c r="E682" s="52"/>
      <c r="F682" s="52"/>
      <c r="G682" s="52"/>
      <c r="H682" s="27"/>
      <c r="I682" s="52"/>
      <c r="J682" s="52"/>
      <c r="K682" s="28"/>
      <c r="L682" s="52"/>
      <c r="M682" s="29"/>
      <c r="N682" s="23"/>
      <c r="O682" s="52"/>
      <c r="P682" s="13"/>
    </row>
    <row r="683" s="6" customFormat="1" spans="1:16">
      <c r="A683" s="23"/>
      <c r="B683" s="8"/>
      <c r="C683" s="25"/>
      <c r="D683" s="52"/>
      <c r="E683" s="52"/>
      <c r="F683" s="52"/>
      <c r="G683" s="52"/>
      <c r="H683" s="27"/>
      <c r="I683" s="52"/>
      <c r="J683" s="52"/>
      <c r="K683" s="28"/>
      <c r="L683" s="52"/>
      <c r="M683" s="29"/>
      <c r="N683" s="23"/>
      <c r="O683" s="52"/>
      <c r="P683" s="13"/>
    </row>
    <row r="684" s="6" customFormat="1" spans="1:16">
      <c r="A684" s="23"/>
      <c r="B684" s="8"/>
      <c r="C684" s="25"/>
      <c r="D684" s="52"/>
      <c r="E684" s="52"/>
      <c r="F684" s="52"/>
      <c r="G684" s="52"/>
      <c r="H684" s="27"/>
      <c r="I684" s="52"/>
      <c r="J684" s="52"/>
      <c r="K684" s="28"/>
      <c r="L684" s="52"/>
      <c r="M684" s="29"/>
      <c r="N684" s="23"/>
      <c r="O684" s="52"/>
      <c r="P684" s="13"/>
    </row>
    <row r="685" s="6" customFormat="1" spans="1:16">
      <c r="A685" s="23"/>
      <c r="B685" s="8"/>
      <c r="C685" s="25"/>
      <c r="D685" s="52"/>
      <c r="E685" s="52"/>
      <c r="F685" s="52"/>
      <c r="G685" s="52"/>
      <c r="H685" s="27"/>
      <c r="I685" s="52"/>
      <c r="J685" s="52"/>
      <c r="K685" s="28"/>
      <c r="L685" s="52"/>
      <c r="M685" s="29"/>
      <c r="N685" s="23"/>
      <c r="O685" s="52"/>
      <c r="P685" s="13"/>
    </row>
    <row r="686" s="6" customFormat="1" spans="1:16">
      <c r="A686" s="23"/>
      <c r="B686" s="8"/>
      <c r="C686" s="25"/>
      <c r="D686" s="52"/>
      <c r="E686" s="52"/>
      <c r="F686" s="52"/>
      <c r="G686" s="52"/>
      <c r="H686" s="27"/>
      <c r="I686" s="52"/>
      <c r="J686" s="52"/>
      <c r="K686" s="28"/>
      <c r="L686" s="52"/>
      <c r="M686" s="29"/>
      <c r="N686" s="23"/>
      <c r="O686" s="52"/>
      <c r="P686" s="13"/>
    </row>
    <row r="687" s="6" customFormat="1" spans="1:16">
      <c r="A687" s="23"/>
      <c r="B687" s="8"/>
      <c r="C687" s="25"/>
      <c r="D687" s="52"/>
      <c r="E687" s="52"/>
      <c r="F687" s="52"/>
      <c r="G687" s="52"/>
      <c r="H687" s="27"/>
      <c r="I687" s="52"/>
      <c r="J687" s="52"/>
      <c r="K687" s="28"/>
      <c r="L687" s="52"/>
      <c r="M687" s="29"/>
      <c r="N687" s="23"/>
      <c r="O687" s="52"/>
      <c r="P687" s="13"/>
    </row>
    <row r="688" s="6" customFormat="1" spans="1:16">
      <c r="A688" s="23"/>
      <c r="B688" s="8"/>
      <c r="C688" s="25"/>
      <c r="D688" s="52"/>
      <c r="E688" s="52"/>
      <c r="F688" s="52"/>
      <c r="G688" s="52"/>
      <c r="H688" s="27"/>
      <c r="I688" s="52"/>
      <c r="J688" s="52"/>
      <c r="K688" s="28"/>
      <c r="L688" s="52"/>
      <c r="M688" s="29"/>
      <c r="N688" s="23"/>
      <c r="O688" s="52"/>
      <c r="P688" s="13"/>
    </row>
    <row r="689" s="6" customFormat="1" spans="1:16">
      <c r="A689" s="23"/>
      <c r="B689" s="8"/>
      <c r="C689" s="25"/>
      <c r="D689" s="52"/>
      <c r="E689" s="52"/>
      <c r="F689" s="52"/>
      <c r="G689" s="52"/>
      <c r="H689" s="27"/>
      <c r="I689" s="52"/>
      <c r="J689" s="52"/>
      <c r="K689" s="28"/>
      <c r="L689" s="52"/>
      <c r="M689" s="29"/>
      <c r="N689" s="23"/>
      <c r="O689" s="52"/>
      <c r="P689" s="13"/>
    </row>
    <row r="690" s="6" customFormat="1" spans="1:16">
      <c r="A690" s="23"/>
      <c r="B690" s="8"/>
      <c r="C690" s="25"/>
      <c r="D690" s="52"/>
      <c r="E690" s="52"/>
      <c r="F690" s="52"/>
      <c r="G690" s="52"/>
      <c r="H690" s="27"/>
      <c r="I690" s="52"/>
      <c r="J690" s="52"/>
      <c r="K690" s="28"/>
      <c r="L690" s="52"/>
      <c r="M690" s="29"/>
      <c r="N690" s="23"/>
      <c r="O690" s="52"/>
      <c r="P690" s="13"/>
    </row>
    <row r="691" s="6" customFormat="1" spans="1:16">
      <c r="A691" s="23"/>
      <c r="B691" s="8"/>
      <c r="C691" s="25"/>
      <c r="D691" s="52"/>
      <c r="E691" s="52"/>
      <c r="F691" s="52"/>
      <c r="G691" s="52"/>
      <c r="H691" s="27"/>
      <c r="I691" s="52"/>
      <c r="J691" s="52"/>
      <c r="K691" s="28"/>
      <c r="L691" s="52"/>
      <c r="M691" s="29"/>
      <c r="N691" s="23"/>
      <c r="O691" s="52"/>
      <c r="P691" s="13"/>
    </row>
    <row r="692" s="6" customFormat="1" spans="1:16">
      <c r="A692" s="23"/>
      <c r="B692" s="8"/>
      <c r="C692" s="25"/>
      <c r="D692" s="52"/>
      <c r="E692" s="52"/>
      <c r="F692" s="52"/>
      <c r="G692" s="52"/>
      <c r="H692" s="27"/>
      <c r="I692" s="52"/>
      <c r="J692" s="52"/>
      <c r="K692" s="28"/>
      <c r="L692" s="52"/>
      <c r="M692" s="29"/>
      <c r="N692" s="23"/>
      <c r="O692" s="52"/>
      <c r="P692" s="13"/>
    </row>
    <row r="693" s="6" customFormat="1" spans="1:16">
      <c r="A693" s="23"/>
      <c r="B693" s="8"/>
      <c r="C693" s="25"/>
      <c r="D693" s="52"/>
      <c r="E693" s="52"/>
      <c r="F693" s="52"/>
      <c r="G693" s="52"/>
      <c r="H693" s="27"/>
      <c r="I693" s="52"/>
      <c r="J693" s="52"/>
      <c r="K693" s="28"/>
      <c r="L693" s="52"/>
      <c r="M693" s="29"/>
      <c r="N693" s="23"/>
      <c r="O693" s="52"/>
      <c r="P693" s="13"/>
    </row>
    <row r="694" s="6" customFormat="1" spans="1:16">
      <c r="A694" s="23"/>
      <c r="B694" s="8"/>
      <c r="C694" s="25"/>
      <c r="D694" s="52"/>
      <c r="E694" s="52"/>
      <c r="F694" s="52"/>
      <c r="G694" s="52"/>
      <c r="H694" s="27"/>
      <c r="I694" s="52"/>
      <c r="J694" s="52"/>
      <c r="K694" s="28"/>
      <c r="L694" s="52"/>
      <c r="M694" s="29"/>
      <c r="N694" s="23"/>
      <c r="O694" s="52"/>
      <c r="P694" s="13"/>
    </row>
    <row r="695" s="6" customFormat="1" spans="1:16">
      <c r="A695" s="23"/>
      <c r="B695" s="8"/>
      <c r="C695" s="25"/>
      <c r="D695" s="52"/>
      <c r="E695" s="52"/>
      <c r="F695" s="52"/>
      <c r="G695" s="52"/>
      <c r="H695" s="27"/>
      <c r="I695" s="52"/>
      <c r="J695" s="52"/>
      <c r="K695" s="28"/>
      <c r="L695" s="52"/>
      <c r="M695" s="29"/>
      <c r="N695" s="23"/>
      <c r="O695" s="52"/>
      <c r="P695" s="13"/>
    </row>
    <row r="696" s="6" customFormat="1" spans="1:16">
      <c r="A696" s="23"/>
      <c r="B696" s="8"/>
      <c r="C696" s="25"/>
      <c r="D696" s="52"/>
      <c r="E696" s="52"/>
      <c r="F696" s="52"/>
      <c r="G696" s="52"/>
      <c r="H696" s="27"/>
      <c r="I696" s="52"/>
      <c r="J696" s="52"/>
      <c r="K696" s="28"/>
      <c r="L696" s="52"/>
      <c r="M696" s="29"/>
      <c r="N696" s="23"/>
      <c r="O696" s="52"/>
      <c r="P696" s="13"/>
    </row>
    <row r="697" s="6" customFormat="1" spans="1:16">
      <c r="A697" s="23"/>
      <c r="B697" s="8"/>
      <c r="C697" s="25"/>
      <c r="D697" s="52"/>
      <c r="E697" s="52"/>
      <c r="F697" s="52"/>
      <c r="G697" s="52"/>
      <c r="H697" s="27"/>
      <c r="I697" s="52"/>
      <c r="J697" s="52"/>
      <c r="K697" s="28"/>
      <c r="L697" s="52"/>
      <c r="M697" s="29"/>
      <c r="N697" s="23"/>
      <c r="O697" s="52"/>
      <c r="P697" s="13"/>
    </row>
    <row r="698" s="6" customFormat="1" spans="1:16">
      <c r="A698" s="23"/>
      <c r="B698" s="8"/>
      <c r="C698" s="25"/>
      <c r="D698" s="52"/>
      <c r="E698" s="52"/>
      <c r="F698" s="52"/>
      <c r="G698" s="52"/>
      <c r="H698" s="27"/>
      <c r="I698" s="52"/>
      <c r="J698" s="52"/>
      <c r="K698" s="28"/>
      <c r="L698" s="52"/>
      <c r="M698" s="29"/>
      <c r="N698" s="23"/>
      <c r="O698" s="52"/>
      <c r="P698" s="13"/>
    </row>
    <row r="699" s="6" customFormat="1" spans="1:16">
      <c r="A699" s="23"/>
      <c r="B699" s="8"/>
      <c r="C699" s="25"/>
      <c r="D699" s="52"/>
      <c r="E699" s="52"/>
      <c r="F699" s="52"/>
      <c r="G699" s="52"/>
      <c r="H699" s="27"/>
      <c r="I699" s="52"/>
      <c r="J699" s="52"/>
      <c r="K699" s="28"/>
      <c r="L699" s="52"/>
      <c r="M699" s="29"/>
      <c r="N699" s="23"/>
      <c r="O699" s="52"/>
      <c r="P699" s="13"/>
    </row>
    <row r="700" s="6" customFormat="1" spans="1:16">
      <c r="A700" s="23"/>
      <c r="B700" s="8"/>
      <c r="C700" s="25"/>
      <c r="D700" s="52"/>
      <c r="E700" s="52"/>
      <c r="F700" s="52"/>
      <c r="G700" s="52"/>
      <c r="H700" s="27"/>
      <c r="I700" s="52"/>
      <c r="J700" s="52"/>
      <c r="K700" s="28"/>
      <c r="L700" s="52"/>
      <c r="M700" s="29"/>
      <c r="N700" s="23"/>
      <c r="O700" s="52"/>
      <c r="P700" s="13"/>
    </row>
    <row r="701" s="6" customFormat="1" spans="1:16">
      <c r="A701" s="23"/>
      <c r="B701" s="8"/>
      <c r="C701" s="25"/>
      <c r="D701" s="52"/>
      <c r="E701" s="52"/>
      <c r="F701" s="52"/>
      <c r="G701" s="52"/>
      <c r="H701" s="27"/>
      <c r="I701" s="52"/>
      <c r="J701" s="52"/>
      <c r="K701" s="28"/>
      <c r="L701" s="52"/>
      <c r="M701" s="29"/>
      <c r="N701" s="23"/>
      <c r="O701" s="52"/>
      <c r="P701" s="13"/>
    </row>
    <row r="702" s="6" customFormat="1" spans="1:16">
      <c r="A702" s="23"/>
      <c r="B702" s="8"/>
      <c r="C702" s="25"/>
      <c r="D702" s="52"/>
      <c r="E702" s="52"/>
      <c r="F702" s="52"/>
      <c r="G702" s="52"/>
      <c r="H702" s="27"/>
      <c r="I702" s="52"/>
      <c r="J702" s="52"/>
      <c r="K702" s="28"/>
      <c r="L702" s="52"/>
      <c r="M702" s="29"/>
      <c r="N702" s="23"/>
      <c r="O702" s="52"/>
      <c r="P702" s="13"/>
    </row>
    <row r="703" s="6" customFormat="1" spans="1:16">
      <c r="A703" s="23"/>
      <c r="B703" s="8"/>
      <c r="C703" s="25"/>
      <c r="D703" s="52"/>
      <c r="E703" s="52"/>
      <c r="F703" s="52"/>
      <c r="G703" s="52"/>
      <c r="H703" s="27"/>
      <c r="I703" s="52"/>
      <c r="J703" s="52"/>
      <c r="K703" s="28"/>
      <c r="L703" s="52"/>
      <c r="M703" s="29"/>
      <c r="N703" s="23"/>
      <c r="O703" s="52"/>
      <c r="P703" s="13"/>
    </row>
    <row r="704" s="6" customFormat="1" spans="1:16">
      <c r="A704" s="23"/>
      <c r="B704" s="8"/>
      <c r="C704" s="25"/>
      <c r="D704" s="52"/>
      <c r="E704" s="52"/>
      <c r="F704" s="52"/>
      <c r="G704" s="52"/>
      <c r="H704" s="27"/>
      <c r="I704" s="52"/>
      <c r="J704" s="52"/>
      <c r="K704" s="28"/>
      <c r="L704" s="52"/>
      <c r="M704" s="29"/>
      <c r="N704" s="23"/>
      <c r="O704" s="52"/>
      <c r="P704" s="13"/>
    </row>
    <row r="705" s="6" customFormat="1" spans="1:16">
      <c r="A705" s="23"/>
      <c r="B705" s="8"/>
      <c r="C705" s="25"/>
      <c r="D705" s="52"/>
      <c r="E705" s="52"/>
      <c r="F705" s="52"/>
      <c r="G705" s="52"/>
      <c r="H705" s="27"/>
      <c r="I705" s="52"/>
      <c r="J705" s="52"/>
      <c r="K705" s="28"/>
      <c r="L705" s="52"/>
      <c r="M705" s="29"/>
      <c r="N705" s="23"/>
      <c r="O705" s="52"/>
      <c r="P705" s="13"/>
    </row>
    <row r="706" s="6" customFormat="1" spans="1:16">
      <c r="A706" s="23"/>
      <c r="B706" s="8"/>
      <c r="C706" s="25"/>
      <c r="D706" s="52"/>
      <c r="E706" s="52"/>
      <c r="F706" s="52"/>
      <c r="G706" s="52"/>
      <c r="H706" s="27"/>
      <c r="I706" s="52"/>
      <c r="J706" s="52"/>
      <c r="K706" s="28"/>
      <c r="L706" s="52"/>
      <c r="M706" s="29"/>
      <c r="N706" s="23"/>
      <c r="O706" s="52"/>
      <c r="P706" s="13"/>
    </row>
    <row r="707" s="6" customFormat="1" spans="1:16">
      <c r="A707" s="23"/>
      <c r="B707" s="8"/>
      <c r="C707" s="25"/>
      <c r="D707" s="52"/>
      <c r="E707" s="52"/>
      <c r="F707" s="52"/>
      <c r="G707" s="52"/>
      <c r="H707" s="27"/>
      <c r="I707" s="52"/>
      <c r="J707" s="52"/>
      <c r="K707" s="28"/>
      <c r="L707" s="52"/>
      <c r="M707" s="29"/>
      <c r="N707" s="23"/>
      <c r="O707" s="52"/>
      <c r="P707" s="13"/>
    </row>
    <row r="708" s="6" customFormat="1" spans="1:16">
      <c r="A708" s="23"/>
      <c r="B708" s="8"/>
      <c r="C708" s="25"/>
      <c r="D708" s="52"/>
      <c r="E708" s="52"/>
      <c r="F708" s="52"/>
      <c r="G708" s="52"/>
      <c r="H708" s="27"/>
      <c r="I708" s="52"/>
      <c r="J708" s="52"/>
      <c r="K708" s="28"/>
      <c r="L708" s="52"/>
      <c r="M708" s="29"/>
      <c r="N708" s="23"/>
      <c r="O708" s="52"/>
      <c r="P708" s="13"/>
    </row>
    <row r="709" s="6" customFormat="1" spans="1:16">
      <c r="A709" s="23"/>
      <c r="B709" s="8"/>
      <c r="C709" s="25"/>
      <c r="D709" s="52"/>
      <c r="E709" s="52"/>
      <c r="F709" s="52"/>
      <c r="G709" s="52"/>
      <c r="H709" s="27"/>
      <c r="I709" s="52"/>
      <c r="J709" s="52"/>
      <c r="K709" s="28"/>
      <c r="L709" s="52"/>
      <c r="M709" s="29"/>
      <c r="N709" s="23"/>
      <c r="O709" s="52"/>
      <c r="P709" s="13"/>
    </row>
    <row r="710" s="6" customFormat="1" spans="1:16">
      <c r="A710" s="23"/>
      <c r="B710" s="8"/>
      <c r="C710" s="25"/>
      <c r="D710" s="52"/>
      <c r="E710" s="52"/>
      <c r="F710" s="52"/>
      <c r="G710" s="52"/>
      <c r="H710" s="27"/>
      <c r="I710" s="52"/>
      <c r="J710" s="52"/>
      <c r="K710" s="28"/>
      <c r="L710" s="52"/>
      <c r="M710" s="29"/>
      <c r="N710" s="23"/>
      <c r="O710" s="52"/>
      <c r="P710" s="13"/>
    </row>
    <row r="711" s="6" customFormat="1" spans="1:16">
      <c r="A711" s="23"/>
      <c r="B711" s="8"/>
      <c r="C711" s="25"/>
      <c r="D711" s="52"/>
      <c r="E711" s="52"/>
      <c r="F711" s="52"/>
      <c r="G711" s="52"/>
      <c r="H711" s="27"/>
      <c r="I711" s="52"/>
      <c r="J711" s="52"/>
      <c r="K711" s="28"/>
      <c r="L711" s="52"/>
      <c r="M711" s="29"/>
      <c r="N711" s="23"/>
      <c r="O711" s="52"/>
      <c r="P711" s="13"/>
    </row>
    <row r="712" s="6" customFormat="1" spans="1:16">
      <c r="A712" s="23"/>
      <c r="B712" s="8"/>
      <c r="C712" s="25"/>
      <c r="D712" s="52"/>
      <c r="E712" s="52"/>
      <c r="F712" s="52"/>
      <c r="G712" s="52"/>
      <c r="H712" s="27"/>
      <c r="I712" s="52"/>
      <c r="J712" s="52"/>
      <c r="K712" s="28"/>
      <c r="L712" s="52"/>
      <c r="M712" s="29"/>
      <c r="N712" s="23"/>
      <c r="O712" s="52"/>
      <c r="P712" s="13"/>
    </row>
    <row r="713" s="6" customFormat="1" spans="1:16">
      <c r="A713" s="23"/>
      <c r="B713" s="8"/>
      <c r="C713" s="25"/>
      <c r="D713" s="52"/>
      <c r="E713" s="52"/>
      <c r="F713" s="52"/>
      <c r="G713" s="52"/>
      <c r="H713" s="27"/>
      <c r="I713" s="52"/>
      <c r="J713" s="52"/>
      <c r="K713" s="28"/>
      <c r="L713" s="52"/>
      <c r="M713" s="29"/>
      <c r="N713" s="23"/>
      <c r="O713" s="52"/>
      <c r="P713" s="13"/>
    </row>
    <row r="714" s="6" customFormat="1" spans="1:16">
      <c r="A714" s="23"/>
      <c r="B714" s="8"/>
      <c r="C714" s="25"/>
      <c r="D714" s="52"/>
      <c r="E714" s="52"/>
      <c r="F714" s="52"/>
      <c r="G714" s="52"/>
      <c r="H714" s="27"/>
      <c r="I714" s="52"/>
      <c r="J714" s="52"/>
      <c r="K714" s="28"/>
      <c r="L714" s="52"/>
      <c r="M714" s="29"/>
      <c r="N714" s="23"/>
      <c r="O714" s="52"/>
      <c r="P714" s="13"/>
    </row>
    <row r="715" s="6" customFormat="1" spans="1:16">
      <c r="A715" s="23"/>
      <c r="B715" s="8"/>
      <c r="C715" s="25"/>
      <c r="D715" s="52"/>
      <c r="E715" s="52"/>
      <c r="F715" s="52"/>
      <c r="G715" s="52"/>
      <c r="H715" s="27"/>
      <c r="I715" s="52"/>
      <c r="J715" s="52"/>
      <c r="K715" s="28"/>
      <c r="L715" s="52"/>
      <c r="M715" s="29"/>
      <c r="N715" s="23"/>
      <c r="O715" s="52"/>
      <c r="P715" s="13"/>
    </row>
    <row r="716" s="6" customFormat="1" spans="1:16">
      <c r="A716" s="23"/>
      <c r="B716" s="8"/>
      <c r="C716" s="25"/>
      <c r="D716" s="52"/>
      <c r="E716" s="52"/>
      <c r="F716" s="52"/>
      <c r="G716" s="52"/>
      <c r="H716" s="27"/>
      <c r="I716" s="52"/>
      <c r="J716" s="52"/>
      <c r="K716" s="28"/>
      <c r="L716" s="52"/>
      <c r="M716" s="29"/>
      <c r="N716" s="23"/>
      <c r="O716" s="52"/>
      <c r="P716" s="13"/>
    </row>
    <row r="717" s="6" customFormat="1" spans="1:16">
      <c r="A717" s="23"/>
      <c r="B717" s="8"/>
      <c r="C717" s="25"/>
      <c r="D717" s="52"/>
      <c r="E717" s="52"/>
      <c r="F717" s="52"/>
      <c r="G717" s="52"/>
      <c r="H717" s="27"/>
      <c r="I717" s="52"/>
      <c r="J717" s="52"/>
      <c r="K717" s="28"/>
      <c r="L717" s="52"/>
      <c r="M717" s="29"/>
      <c r="N717" s="23"/>
      <c r="O717" s="52"/>
      <c r="P717" s="13"/>
    </row>
    <row r="718" s="6" customFormat="1" spans="1:16">
      <c r="A718" s="23"/>
      <c r="B718" s="8"/>
      <c r="C718" s="25"/>
      <c r="D718" s="52"/>
      <c r="E718" s="52"/>
      <c r="F718" s="52"/>
      <c r="G718" s="52"/>
      <c r="H718" s="27"/>
      <c r="I718" s="52"/>
      <c r="J718" s="52"/>
      <c r="K718" s="28"/>
      <c r="L718" s="52"/>
      <c r="M718" s="29"/>
      <c r="N718" s="23"/>
      <c r="O718" s="52"/>
      <c r="P718" s="13"/>
    </row>
    <row r="719" s="6" customFormat="1" spans="1:16">
      <c r="A719" s="23"/>
      <c r="B719" s="8"/>
      <c r="C719" s="25"/>
      <c r="D719" s="52"/>
      <c r="E719" s="52"/>
      <c r="F719" s="52"/>
      <c r="G719" s="52"/>
      <c r="H719" s="27"/>
      <c r="I719" s="52"/>
      <c r="J719" s="52"/>
      <c r="K719" s="28"/>
      <c r="L719" s="52"/>
      <c r="M719" s="29"/>
      <c r="N719" s="23"/>
      <c r="O719" s="52"/>
      <c r="P719" s="13"/>
    </row>
    <row r="720" s="6" customFormat="1" spans="1:16">
      <c r="A720" s="23"/>
      <c r="B720" s="8"/>
      <c r="C720" s="25"/>
      <c r="D720" s="52"/>
      <c r="E720" s="52"/>
      <c r="F720" s="52"/>
      <c r="G720" s="52"/>
      <c r="H720" s="27"/>
      <c r="I720" s="52"/>
      <c r="J720" s="52"/>
      <c r="K720" s="28"/>
      <c r="L720" s="52"/>
      <c r="M720" s="29"/>
      <c r="N720" s="23"/>
      <c r="O720" s="52"/>
      <c r="P720" s="13"/>
    </row>
    <row r="721" s="6" customFormat="1" spans="1:16">
      <c r="A721" s="23"/>
      <c r="B721" s="8"/>
      <c r="C721" s="25"/>
      <c r="D721" s="52"/>
      <c r="E721" s="52"/>
      <c r="F721" s="52"/>
      <c r="G721" s="52"/>
      <c r="H721" s="27"/>
      <c r="I721" s="52"/>
      <c r="J721" s="52"/>
      <c r="K721" s="28"/>
      <c r="L721" s="52"/>
      <c r="M721" s="29"/>
      <c r="N721" s="23"/>
      <c r="O721" s="52"/>
      <c r="P721" s="13"/>
    </row>
    <row r="722" s="6" customFormat="1" spans="1:16">
      <c r="A722" s="23"/>
      <c r="B722" s="8"/>
      <c r="C722" s="25"/>
      <c r="D722" s="52"/>
      <c r="E722" s="52"/>
      <c r="F722" s="52"/>
      <c r="G722" s="52"/>
      <c r="H722" s="27"/>
      <c r="I722" s="52"/>
      <c r="J722" s="52"/>
      <c r="K722" s="28"/>
      <c r="L722" s="52"/>
      <c r="M722" s="29"/>
      <c r="N722" s="23"/>
      <c r="O722" s="52"/>
      <c r="P722" s="13"/>
    </row>
    <row r="723" s="6" customFormat="1" spans="1:16">
      <c r="A723" s="23"/>
      <c r="B723" s="8"/>
      <c r="C723" s="25"/>
      <c r="D723" s="52"/>
      <c r="E723" s="52"/>
      <c r="F723" s="52"/>
      <c r="G723" s="52"/>
      <c r="H723" s="27"/>
      <c r="I723" s="52"/>
      <c r="J723" s="52"/>
      <c r="K723" s="28"/>
      <c r="L723" s="52"/>
      <c r="M723" s="29"/>
      <c r="N723" s="23"/>
      <c r="O723" s="52"/>
      <c r="P723" s="13"/>
    </row>
    <row r="724" s="6" customFormat="1" spans="1:16">
      <c r="A724" s="23"/>
      <c r="B724" s="8"/>
      <c r="C724" s="25"/>
      <c r="D724" s="52"/>
      <c r="E724" s="52"/>
      <c r="F724" s="52"/>
      <c r="G724" s="52"/>
      <c r="H724" s="27"/>
      <c r="I724" s="52"/>
      <c r="J724" s="52"/>
      <c r="K724" s="28"/>
      <c r="L724" s="52"/>
      <c r="M724" s="29"/>
      <c r="N724" s="23"/>
      <c r="O724" s="52"/>
      <c r="P724" s="13"/>
    </row>
    <row r="725" s="6" customFormat="1" spans="1:16">
      <c r="A725" s="23"/>
      <c r="B725" s="8"/>
      <c r="C725" s="25"/>
      <c r="D725" s="52"/>
      <c r="E725" s="52"/>
      <c r="F725" s="52"/>
      <c r="G725" s="52"/>
      <c r="H725" s="27"/>
      <c r="I725" s="52"/>
      <c r="J725" s="52"/>
      <c r="K725" s="28"/>
      <c r="L725" s="52"/>
      <c r="M725" s="29"/>
      <c r="N725" s="23"/>
      <c r="O725" s="52"/>
      <c r="P725" s="13"/>
    </row>
    <row r="726" s="6" customFormat="1" spans="1:16">
      <c r="A726" s="23"/>
      <c r="B726" s="8"/>
      <c r="C726" s="25"/>
      <c r="D726" s="52"/>
      <c r="E726" s="52"/>
      <c r="F726" s="52"/>
      <c r="G726" s="52"/>
      <c r="H726" s="27"/>
      <c r="I726" s="52"/>
      <c r="J726" s="52"/>
      <c r="K726" s="28"/>
      <c r="L726" s="52"/>
      <c r="M726" s="29"/>
      <c r="N726" s="23"/>
      <c r="O726" s="52"/>
      <c r="P726" s="13"/>
    </row>
    <row r="727" s="6" customFormat="1" spans="1:16">
      <c r="A727" s="23"/>
      <c r="B727" s="8"/>
      <c r="C727" s="25"/>
      <c r="D727" s="52"/>
      <c r="E727" s="52"/>
      <c r="F727" s="52"/>
      <c r="G727" s="52"/>
      <c r="H727" s="27"/>
      <c r="I727" s="52"/>
      <c r="J727" s="52"/>
      <c r="K727" s="28"/>
      <c r="L727" s="52"/>
      <c r="M727" s="29"/>
      <c r="N727" s="23"/>
      <c r="O727" s="52"/>
      <c r="P727" s="13"/>
    </row>
    <row r="728" s="6" customFormat="1" spans="1:16">
      <c r="A728" s="23"/>
      <c r="B728" s="8"/>
      <c r="C728" s="25"/>
      <c r="D728" s="52"/>
      <c r="E728" s="52"/>
      <c r="F728" s="52"/>
      <c r="G728" s="52"/>
      <c r="H728" s="27"/>
      <c r="I728" s="52"/>
      <c r="J728" s="52"/>
      <c r="K728" s="28"/>
      <c r="L728" s="52"/>
      <c r="M728" s="29"/>
      <c r="N728" s="23"/>
      <c r="O728" s="52"/>
      <c r="P728" s="13"/>
    </row>
    <row r="729" s="6" customFormat="1" spans="1:16">
      <c r="A729" s="23"/>
      <c r="B729" s="8"/>
      <c r="C729" s="25"/>
      <c r="D729" s="52"/>
      <c r="E729" s="52"/>
      <c r="F729" s="52"/>
      <c r="G729" s="52"/>
      <c r="H729" s="27"/>
      <c r="I729" s="52"/>
      <c r="J729" s="52"/>
      <c r="K729" s="28"/>
      <c r="L729" s="52"/>
      <c r="M729" s="29"/>
      <c r="N729" s="23"/>
      <c r="O729" s="52"/>
      <c r="P729" s="13"/>
    </row>
    <row r="730" s="6" customFormat="1" spans="1:16">
      <c r="A730" s="23"/>
      <c r="B730" s="8"/>
      <c r="C730" s="25"/>
      <c r="D730" s="52"/>
      <c r="E730" s="52"/>
      <c r="F730" s="52"/>
      <c r="G730" s="52"/>
      <c r="H730" s="27"/>
      <c r="I730" s="52"/>
      <c r="J730" s="52"/>
      <c r="K730" s="28"/>
      <c r="L730" s="52"/>
      <c r="M730" s="29"/>
      <c r="N730" s="23"/>
      <c r="O730" s="52"/>
      <c r="P730" s="13"/>
    </row>
    <row r="731" s="6" customFormat="1" spans="1:16">
      <c r="A731" s="23"/>
      <c r="B731" s="8"/>
      <c r="C731" s="25"/>
      <c r="D731" s="52"/>
      <c r="E731" s="52"/>
      <c r="F731" s="52"/>
      <c r="G731" s="52"/>
      <c r="H731" s="27"/>
      <c r="I731" s="52"/>
      <c r="J731" s="52"/>
      <c r="K731" s="28"/>
      <c r="L731" s="52"/>
      <c r="M731" s="29"/>
      <c r="N731" s="23"/>
      <c r="O731" s="52"/>
      <c r="P731" s="13"/>
    </row>
    <row r="732" s="6" customFormat="1" spans="1:16">
      <c r="A732" s="23"/>
      <c r="B732" s="8"/>
      <c r="C732" s="25"/>
      <c r="D732" s="52"/>
      <c r="E732" s="52"/>
      <c r="F732" s="52"/>
      <c r="G732" s="52"/>
      <c r="H732" s="27"/>
      <c r="I732" s="52"/>
      <c r="J732" s="52"/>
      <c r="K732" s="28"/>
      <c r="L732" s="52"/>
      <c r="M732" s="29"/>
      <c r="N732" s="23"/>
      <c r="O732" s="52"/>
      <c r="P732" s="13"/>
    </row>
    <row r="733" s="6" customFormat="1" spans="1:16">
      <c r="A733" s="23"/>
      <c r="B733" s="8"/>
      <c r="C733" s="25"/>
      <c r="D733" s="52"/>
      <c r="E733" s="52"/>
      <c r="F733" s="52"/>
      <c r="G733" s="52"/>
      <c r="H733" s="27"/>
      <c r="I733" s="52"/>
      <c r="J733" s="52"/>
      <c r="K733" s="28"/>
      <c r="L733" s="52"/>
      <c r="M733" s="29"/>
      <c r="N733" s="23"/>
      <c r="O733" s="52"/>
      <c r="P733" s="13"/>
    </row>
    <row r="734" s="6" customFormat="1" spans="1:16">
      <c r="A734" s="23"/>
      <c r="B734" s="8"/>
      <c r="C734" s="25"/>
      <c r="D734" s="52"/>
      <c r="E734" s="52"/>
      <c r="F734" s="52"/>
      <c r="G734" s="52"/>
      <c r="H734" s="27"/>
      <c r="I734" s="52"/>
      <c r="J734" s="52"/>
      <c r="K734" s="28"/>
      <c r="L734" s="52"/>
      <c r="M734" s="29"/>
      <c r="N734" s="23"/>
      <c r="O734" s="52"/>
      <c r="P734" s="13"/>
    </row>
    <row r="735" s="6" customFormat="1" spans="1:16">
      <c r="A735" s="23"/>
      <c r="B735" s="8"/>
      <c r="C735" s="25"/>
      <c r="D735" s="52"/>
      <c r="E735" s="52"/>
      <c r="F735" s="52"/>
      <c r="G735" s="52"/>
      <c r="H735" s="27"/>
      <c r="I735" s="52"/>
      <c r="J735" s="52"/>
      <c r="K735" s="28"/>
      <c r="L735" s="52"/>
      <c r="M735" s="29"/>
      <c r="N735" s="23"/>
      <c r="O735" s="52"/>
      <c r="P735" s="13"/>
    </row>
    <row r="736" s="6" customFormat="1" spans="1:16">
      <c r="A736" s="23"/>
      <c r="B736" s="8"/>
      <c r="C736" s="25"/>
      <c r="D736" s="52"/>
      <c r="E736" s="52"/>
      <c r="F736" s="52"/>
      <c r="G736" s="52"/>
      <c r="H736" s="27"/>
      <c r="I736" s="52"/>
      <c r="J736" s="52"/>
      <c r="K736" s="28"/>
      <c r="L736" s="52"/>
      <c r="M736" s="29"/>
      <c r="N736" s="23"/>
      <c r="O736" s="52"/>
      <c r="P736" s="13"/>
    </row>
    <row r="737" s="6" customFormat="1" spans="1:16">
      <c r="A737" s="23"/>
      <c r="B737" s="8"/>
      <c r="C737" s="25"/>
      <c r="D737" s="52"/>
      <c r="E737" s="52"/>
      <c r="F737" s="52"/>
      <c r="G737" s="52"/>
      <c r="H737" s="27"/>
      <c r="I737" s="52"/>
      <c r="J737" s="52"/>
      <c r="K737" s="28"/>
      <c r="L737" s="52"/>
      <c r="M737" s="29"/>
      <c r="N737" s="23"/>
      <c r="O737" s="52"/>
      <c r="P737" s="13"/>
    </row>
    <row r="738" s="6" customFormat="1" spans="1:16">
      <c r="A738" s="23"/>
      <c r="B738" s="8"/>
      <c r="C738" s="25"/>
      <c r="D738" s="52"/>
      <c r="E738" s="52"/>
      <c r="F738" s="52"/>
      <c r="G738" s="52"/>
      <c r="H738" s="27"/>
      <c r="I738" s="52"/>
      <c r="J738" s="52"/>
      <c r="K738" s="28"/>
      <c r="L738" s="52"/>
      <c r="M738" s="29"/>
      <c r="N738" s="23"/>
      <c r="O738" s="52"/>
      <c r="P738" s="13"/>
    </row>
    <row r="739" s="6" customFormat="1" spans="1:16">
      <c r="A739" s="23"/>
      <c r="B739" s="8"/>
      <c r="C739" s="25"/>
      <c r="D739" s="52"/>
      <c r="E739" s="52"/>
      <c r="F739" s="52"/>
      <c r="G739" s="52"/>
      <c r="H739" s="27"/>
      <c r="I739" s="52"/>
      <c r="J739" s="52"/>
      <c r="K739" s="28"/>
      <c r="L739" s="52"/>
      <c r="M739" s="29"/>
      <c r="N739" s="23"/>
      <c r="O739" s="52"/>
      <c r="P739" s="13"/>
    </row>
    <row r="740" s="6" customFormat="1" spans="1:16">
      <c r="A740" s="23"/>
      <c r="B740" s="8"/>
      <c r="C740" s="25"/>
      <c r="D740" s="52"/>
      <c r="E740" s="52"/>
      <c r="F740" s="52"/>
      <c r="G740" s="52"/>
      <c r="H740" s="27"/>
      <c r="I740" s="52"/>
      <c r="J740" s="52"/>
      <c r="K740" s="28"/>
      <c r="L740" s="52"/>
      <c r="M740" s="29"/>
      <c r="N740" s="23"/>
      <c r="O740" s="52"/>
      <c r="P740" s="13"/>
    </row>
    <row r="741" s="6" customFormat="1" spans="1:16">
      <c r="A741" s="23"/>
      <c r="B741" s="8"/>
      <c r="C741" s="25"/>
      <c r="D741" s="52"/>
      <c r="E741" s="52"/>
      <c r="F741" s="52"/>
      <c r="G741" s="52"/>
      <c r="H741" s="27"/>
      <c r="I741" s="52"/>
      <c r="J741" s="52"/>
      <c r="K741" s="28"/>
      <c r="L741" s="52"/>
      <c r="M741" s="29"/>
      <c r="N741" s="23"/>
      <c r="O741" s="52"/>
      <c r="P741" s="13"/>
    </row>
    <row r="742" s="6" customFormat="1" spans="1:16">
      <c r="A742" s="23"/>
      <c r="B742" s="8"/>
      <c r="C742" s="25"/>
      <c r="D742" s="52"/>
      <c r="E742" s="52"/>
      <c r="F742" s="52"/>
      <c r="G742" s="52"/>
      <c r="H742" s="27"/>
      <c r="I742" s="52"/>
      <c r="J742" s="52"/>
      <c r="K742" s="28"/>
      <c r="L742" s="52"/>
      <c r="M742" s="29"/>
      <c r="N742" s="23"/>
      <c r="O742" s="52"/>
      <c r="P742" s="13"/>
    </row>
    <row r="743" s="6" customFormat="1" spans="1:16">
      <c r="A743" s="23"/>
      <c r="B743" s="8"/>
      <c r="C743" s="25"/>
      <c r="D743" s="52"/>
      <c r="E743" s="52"/>
      <c r="F743" s="52"/>
      <c r="G743" s="52"/>
      <c r="H743" s="27"/>
      <c r="I743" s="52"/>
      <c r="J743" s="52"/>
      <c r="K743" s="28"/>
      <c r="L743" s="52"/>
      <c r="M743" s="29"/>
      <c r="N743" s="23"/>
      <c r="O743" s="52"/>
      <c r="P743" s="13"/>
    </row>
    <row r="744" s="6" customFormat="1" spans="1:16">
      <c r="A744" s="23"/>
      <c r="B744" s="8"/>
      <c r="C744" s="25"/>
      <c r="D744" s="52"/>
      <c r="E744" s="52"/>
      <c r="F744" s="52"/>
      <c r="G744" s="52"/>
      <c r="H744" s="27"/>
      <c r="I744" s="52"/>
      <c r="J744" s="52"/>
      <c r="K744" s="28"/>
      <c r="L744" s="52"/>
      <c r="M744" s="29"/>
      <c r="N744" s="23"/>
      <c r="O744" s="52"/>
      <c r="P744" s="13"/>
    </row>
    <row r="745" s="6" customFormat="1" spans="1:16">
      <c r="A745" s="23"/>
      <c r="B745" s="8"/>
      <c r="C745" s="25"/>
      <c r="D745" s="52"/>
      <c r="E745" s="52"/>
      <c r="F745" s="52"/>
      <c r="G745" s="52"/>
      <c r="H745" s="27"/>
      <c r="I745" s="52"/>
      <c r="J745" s="52"/>
      <c r="K745" s="28"/>
      <c r="L745" s="52"/>
      <c r="M745" s="29"/>
      <c r="N745" s="23"/>
      <c r="O745" s="52"/>
      <c r="P745" s="13"/>
    </row>
    <row r="746" s="6" customFormat="1" spans="1:16">
      <c r="A746" s="23"/>
      <c r="B746" s="8"/>
      <c r="C746" s="25"/>
      <c r="D746" s="52"/>
      <c r="E746" s="52"/>
      <c r="F746" s="52"/>
      <c r="G746" s="52"/>
      <c r="H746" s="27"/>
      <c r="I746" s="52"/>
      <c r="J746" s="52"/>
      <c r="K746" s="28"/>
      <c r="L746" s="52"/>
      <c r="M746" s="29"/>
      <c r="N746" s="23"/>
      <c r="O746" s="52"/>
      <c r="P746" s="13"/>
    </row>
    <row r="747" s="6" customFormat="1" spans="1:16">
      <c r="A747" s="23"/>
      <c r="B747" s="8"/>
      <c r="C747" s="25"/>
      <c r="D747" s="52"/>
      <c r="E747" s="52"/>
      <c r="F747" s="52"/>
      <c r="G747" s="52"/>
      <c r="H747" s="27"/>
      <c r="I747" s="52"/>
      <c r="J747" s="52"/>
      <c r="K747" s="28"/>
      <c r="L747" s="52"/>
      <c r="M747" s="29"/>
      <c r="N747" s="23"/>
      <c r="O747" s="52"/>
      <c r="P747" s="13"/>
    </row>
    <row r="748" s="6" customFormat="1" spans="1:16">
      <c r="A748" s="23"/>
      <c r="B748" s="8"/>
      <c r="C748" s="25"/>
      <c r="D748" s="52"/>
      <c r="E748" s="52"/>
      <c r="F748" s="52"/>
      <c r="G748" s="52"/>
      <c r="H748" s="27"/>
      <c r="I748" s="52"/>
      <c r="J748" s="52"/>
      <c r="K748" s="28"/>
      <c r="L748" s="52"/>
      <c r="M748" s="29"/>
      <c r="N748" s="23"/>
      <c r="O748" s="52"/>
      <c r="P748" s="13"/>
    </row>
    <row r="749" s="6" customFormat="1" spans="1:16">
      <c r="A749" s="23"/>
      <c r="B749" s="8"/>
      <c r="C749" s="25"/>
      <c r="D749" s="52"/>
      <c r="E749" s="52"/>
      <c r="F749" s="52"/>
      <c r="G749" s="52"/>
      <c r="H749" s="27"/>
      <c r="I749" s="52"/>
      <c r="J749" s="52"/>
      <c r="K749" s="28"/>
      <c r="L749" s="52"/>
      <c r="M749" s="29"/>
      <c r="N749" s="23"/>
      <c r="O749" s="52"/>
      <c r="P749" s="13"/>
    </row>
    <row r="750" s="6" customFormat="1" spans="1:16">
      <c r="A750" s="23"/>
      <c r="B750" s="8"/>
      <c r="C750" s="25"/>
      <c r="D750" s="52"/>
      <c r="E750" s="52"/>
      <c r="F750" s="52"/>
      <c r="G750" s="52"/>
      <c r="H750" s="27"/>
      <c r="I750" s="52"/>
      <c r="J750" s="52"/>
      <c r="K750" s="28"/>
      <c r="L750" s="52"/>
      <c r="M750" s="29"/>
      <c r="N750" s="23"/>
      <c r="O750" s="52"/>
      <c r="P750" s="13"/>
    </row>
    <row r="751" s="6" customFormat="1" spans="1:16">
      <c r="A751" s="23"/>
      <c r="B751" s="8"/>
      <c r="C751" s="25"/>
      <c r="D751" s="52"/>
      <c r="E751" s="52"/>
      <c r="F751" s="52"/>
      <c r="G751" s="52"/>
      <c r="H751" s="27"/>
      <c r="I751" s="52"/>
      <c r="J751" s="52"/>
      <c r="K751" s="28"/>
      <c r="L751" s="52"/>
      <c r="M751" s="29"/>
      <c r="N751" s="23"/>
      <c r="O751" s="52"/>
      <c r="P751" s="13"/>
    </row>
    <row r="752" s="6" customFormat="1" spans="1:16">
      <c r="A752" s="23"/>
      <c r="B752" s="8"/>
      <c r="C752" s="25"/>
      <c r="D752" s="52"/>
      <c r="E752" s="52"/>
      <c r="F752" s="52"/>
      <c r="G752" s="52"/>
      <c r="H752" s="27"/>
      <c r="I752" s="52"/>
      <c r="J752" s="52"/>
      <c r="K752" s="28"/>
      <c r="L752" s="52"/>
      <c r="M752" s="29"/>
      <c r="N752" s="23"/>
      <c r="O752" s="52"/>
      <c r="P752" s="13"/>
    </row>
    <row r="753" s="6" customFormat="1" spans="1:16">
      <c r="A753" s="23"/>
      <c r="B753" s="8"/>
      <c r="C753" s="25"/>
      <c r="D753" s="52"/>
      <c r="E753" s="52"/>
      <c r="F753" s="52"/>
      <c r="G753" s="52"/>
      <c r="H753" s="27"/>
      <c r="I753" s="52"/>
      <c r="J753" s="52"/>
      <c r="K753" s="28"/>
      <c r="L753" s="52"/>
      <c r="M753" s="29"/>
      <c r="N753" s="23"/>
      <c r="O753" s="52"/>
      <c r="P753" s="13"/>
    </row>
    <row r="754" s="6" customFormat="1" spans="1:16">
      <c r="A754" s="23"/>
      <c r="B754" s="8"/>
      <c r="C754" s="25"/>
      <c r="D754" s="52"/>
      <c r="E754" s="52"/>
      <c r="F754" s="52"/>
      <c r="G754" s="52"/>
      <c r="H754" s="27"/>
      <c r="I754" s="52"/>
      <c r="J754" s="52"/>
      <c r="K754" s="28"/>
      <c r="L754" s="52"/>
      <c r="M754" s="29"/>
      <c r="N754" s="23"/>
      <c r="O754" s="52"/>
      <c r="P754" s="13"/>
    </row>
    <row r="755" s="6" customFormat="1" spans="1:16">
      <c r="A755" s="23"/>
      <c r="B755" s="8"/>
      <c r="C755" s="25"/>
      <c r="D755" s="52"/>
      <c r="E755" s="52"/>
      <c r="F755" s="52"/>
      <c r="G755" s="52"/>
      <c r="H755" s="27"/>
      <c r="I755" s="52"/>
      <c r="J755" s="52"/>
      <c r="K755" s="28"/>
      <c r="L755" s="52"/>
      <c r="M755" s="29"/>
      <c r="N755" s="23"/>
      <c r="O755" s="52"/>
      <c r="P755" s="13"/>
    </row>
    <row r="756" s="6" customFormat="1" spans="1:16">
      <c r="A756" s="23"/>
      <c r="B756" s="8"/>
      <c r="C756" s="25"/>
      <c r="D756" s="52"/>
      <c r="E756" s="52"/>
      <c r="F756" s="52"/>
      <c r="G756" s="52"/>
      <c r="H756" s="27"/>
      <c r="I756" s="52"/>
      <c r="J756" s="52"/>
      <c r="K756" s="28"/>
      <c r="L756" s="52"/>
      <c r="M756" s="29"/>
      <c r="N756" s="23"/>
      <c r="O756" s="52"/>
      <c r="P756" s="13"/>
    </row>
    <row r="757" s="6" customFormat="1" spans="1:16">
      <c r="A757" s="23"/>
      <c r="B757" s="8"/>
      <c r="C757" s="25"/>
      <c r="D757" s="52"/>
      <c r="E757" s="52"/>
      <c r="F757" s="52"/>
      <c r="G757" s="52"/>
      <c r="H757" s="27"/>
      <c r="I757" s="52"/>
      <c r="J757" s="52"/>
      <c r="K757" s="28"/>
      <c r="L757" s="52"/>
      <c r="M757" s="29"/>
      <c r="N757" s="23"/>
      <c r="O757" s="52"/>
      <c r="P757" s="13"/>
    </row>
    <row r="758" s="6" customFormat="1" spans="1:16">
      <c r="A758" s="23"/>
      <c r="B758" s="8"/>
      <c r="C758" s="25"/>
      <c r="D758" s="52"/>
      <c r="E758" s="52"/>
      <c r="F758" s="52"/>
      <c r="G758" s="52"/>
      <c r="H758" s="27"/>
      <c r="I758" s="52"/>
      <c r="J758" s="52"/>
      <c r="K758" s="28"/>
      <c r="L758" s="52"/>
      <c r="M758" s="29"/>
      <c r="N758" s="23"/>
      <c r="O758" s="52"/>
      <c r="P758" s="13"/>
    </row>
    <row r="759" s="6" customFormat="1" spans="1:16">
      <c r="A759" s="23"/>
      <c r="B759" s="8"/>
      <c r="C759" s="25"/>
      <c r="D759" s="52"/>
      <c r="E759" s="52"/>
      <c r="F759" s="52"/>
      <c r="G759" s="52"/>
      <c r="H759" s="27"/>
      <c r="I759" s="52"/>
      <c r="J759" s="52"/>
      <c r="K759" s="28"/>
      <c r="L759" s="52"/>
      <c r="M759" s="29"/>
      <c r="N759" s="23"/>
      <c r="O759" s="52"/>
      <c r="P759" s="13"/>
    </row>
    <row r="760" s="6" customFormat="1" spans="1:16">
      <c r="A760" s="23"/>
      <c r="B760" s="8"/>
      <c r="C760" s="25"/>
      <c r="D760" s="52"/>
      <c r="E760" s="52"/>
      <c r="F760" s="52"/>
      <c r="G760" s="52"/>
      <c r="H760" s="27"/>
      <c r="I760" s="52"/>
      <c r="J760" s="52"/>
      <c r="K760" s="28"/>
      <c r="L760" s="52"/>
      <c r="M760" s="29"/>
      <c r="N760" s="23"/>
      <c r="O760" s="52"/>
      <c r="P760" s="13"/>
    </row>
    <row r="761" s="6" customFormat="1" spans="1:16">
      <c r="A761" s="23"/>
      <c r="B761" s="8"/>
      <c r="C761" s="25"/>
      <c r="D761" s="52"/>
      <c r="E761" s="52"/>
      <c r="F761" s="52"/>
      <c r="G761" s="52"/>
      <c r="H761" s="27"/>
      <c r="I761" s="52"/>
      <c r="J761" s="52"/>
      <c r="K761" s="28"/>
      <c r="L761" s="52"/>
      <c r="M761" s="29"/>
      <c r="N761" s="23"/>
      <c r="O761" s="52"/>
      <c r="P761" s="13"/>
    </row>
    <row r="762" s="6" customFormat="1" spans="1:16">
      <c r="A762" s="23"/>
      <c r="B762" s="8"/>
      <c r="C762" s="25"/>
      <c r="D762" s="52"/>
      <c r="E762" s="52"/>
      <c r="F762" s="52"/>
      <c r="G762" s="52"/>
      <c r="H762" s="27"/>
      <c r="I762" s="52"/>
      <c r="J762" s="52"/>
      <c r="K762" s="28"/>
      <c r="L762" s="52"/>
      <c r="M762" s="29"/>
      <c r="N762" s="23"/>
      <c r="O762" s="52"/>
      <c r="P762" s="13"/>
    </row>
    <row r="763" s="6" customFormat="1" spans="1:16">
      <c r="A763" s="23"/>
      <c r="B763" s="8"/>
      <c r="C763" s="25"/>
      <c r="D763" s="52"/>
      <c r="E763" s="52"/>
      <c r="F763" s="52"/>
      <c r="G763" s="52"/>
      <c r="H763" s="27"/>
      <c r="I763" s="52"/>
      <c r="J763" s="52"/>
      <c r="K763" s="28"/>
      <c r="L763" s="52"/>
      <c r="M763" s="29"/>
      <c r="N763" s="23"/>
      <c r="O763" s="52"/>
      <c r="P763" s="13"/>
    </row>
    <row r="764" s="6" customFormat="1" spans="1:16">
      <c r="A764" s="23"/>
      <c r="B764" s="8"/>
      <c r="C764" s="25"/>
      <c r="D764" s="52"/>
      <c r="E764" s="52"/>
      <c r="F764" s="52"/>
      <c r="G764" s="52"/>
      <c r="H764" s="27"/>
      <c r="I764" s="52"/>
      <c r="J764" s="52"/>
      <c r="K764" s="28"/>
      <c r="L764" s="52"/>
      <c r="M764" s="29"/>
      <c r="N764" s="23"/>
      <c r="O764" s="52"/>
      <c r="P764" s="13"/>
    </row>
    <row r="765" s="6" customFormat="1" spans="1:16">
      <c r="A765" s="23"/>
      <c r="B765" s="8"/>
      <c r="C765" s="25"/>
      <c r="D765" s="52"/>
      <c r="E765" s="52"/>
      <c r="F765" s="52"/>
      <c r="G765" s="52"/>
      <c r="H765" s="27"/>
      <c r="I765" s="52"/>
      <c r="J765" s="52"/>
      <c r="K765" s="28"/>
      <c r="L765" s="52"/>
      <c r="M765" s="29"/>
      <c r="N765" s="23"/>
      <c r="O765" s="52"/>
      <c r="P765" s="13"/>
    </row>
    <row r="766" s="6" customFormat="1" spans="1:16">
      <c r="A766" s="23"/>
      <c r="B766" s="8"/>
      <c r="C766" s="25"/>
      <c r="D766" s="52"/>
      <c r="E766" s="52"/>
      <c r="F766" s="52"/>
      <c r="G766" s="52"/>
      <c r="H766" s="27"/>
      <c r="I766" s="52"/>
      <c r="J766" s="52"/>
      <c r="K766" s="28"/>
      <c r="L766" s="52"/>
      <c r="M766" s="29"/>
      <c r="N766" s="23"/>
      <c r="O766" s="52"/>
      <c r="P766" s="13"/>
    </row>
    <row r="767" s="6" customFormat="1" spans="1:16">
      <c r="A767" s="23"/>
      <c r="B767" s="8"/>
      <c r="C767" s="25"/>
      <c r="D767" s="52"/>
      <c r="E767" s="52"/>
      <c r="F767" s="52"/>
      <c r="G767" s="52"/>
      <c r="H767" s="27"/>
      <c r="I767" s="52"/>
      <c r="J767" s="52"/>
      <c r="K767" s="28"/>
      <c r="L767" s="52"/>
      <c r="M767" s="29"/>
      <c r="N767" s="23"/>
      <c r="O767" s="52"/>
      <c r="P767" s="13"/>
    </row>
    <row r="768" s="6" customFormat="1" spans="1:16">
      <c r="A768" s="23"/>
      <c r="B768" s="8"/>
      <c r="C768" s="25"/>
      <c r="D768" s="52"/>
      <c r="E768" s="52"/>
      <c r="F768" s="52"/>
      <c r="G768" s="52"/>
      <c r="H768" s="27"/>
      <c r="I768" s="52"/>
      <c r="J768" s="52"/>
      <c r="K768" s="28"/>
      <c r="L768" s="52"/>
      <c r="M768" s="29"/>
      <c r="N768" s="23"/>
      <c r="O768" s="52"/>
      <c r="P768" s="13"/>
    </row>
    <row r="769" s="6" customFormat="1" spans="1:16">
      <c r="A769" s="23"/>
      <c r="B769" s="8"/>
      <c r="C769" s="25"/>
      <c r="D769" s="52"/>
      <c r="E769" s="52"/>
      <c r="F769" s="52"/>
      <c r="G769" s="52"/>
      <c r="H769" s="27"/>
      <c r="I769" s="52"/>
      <c r="J769" s="52"/>
      <c r="K769" s="28"/>
      <c r="L769" s="52"/>
      <c r="M769" s="29"/>
      <c r="N769" s="23"/>
      <c r="O769" s="52"/>
      <c r="P769" s="13"/>
    </row>
    <row r="770" s="6" customFormat="1" spans="1:16">
      <c r="A770" s="23"/>
      <c r="B770" s="8"/>
      <c r="C770" s="25"/>
      <c r="D770" s="52"/>
      <c r="E770" s="52"/>
      <c r="F770" s="52"/>
      <c r="G770" s="52"/>
      <c r="H770" s="27"/>
      <c r="I770" s="52"/>
      <c r="J770" s="52"/>
      <c r="K770" s="28"/>
      <c r="L770" s="52"/>
      <c r="M770" s="29"/>
      <c r="N770" s="23"/>
      <c r="O770" s="52"/>
      <c r="P770" s="13"/>
    </row>
    <row r="771" s="6" customFormat="1" spans="1:16">
      <c r="A771" s="23"/>
      <c r="B771" s="8"/>
      <c r="C771" s="25"/>
      <c r="D771" s="52"/>
      <c r="E771" s="52"/>
      <c r="F771" s="52"/>
      <c r="G771" s="52"/>
      <c r="H771" s="27"/>
      <c r="I771" s="52"/>
      <c r="J771" s="52"/>
      <c r="K771" s="28"/>
      <c r="L771" s="52"/>
      <c r="M771" s="29"/>
      <c r="N771" s="23"/>
      <c r="O771" s="52"/>
      <c r="P771" s="13"/>
    </row>
    <row r="772" s="6" customFormat="1" spans="1:16">
      <c r="A772" s="23"/>
      <c r="B772" s="8"/>
      <c r="C772" s="25"/>
      <c r="D772" s="52"/>
      <c r="E772" s="52"/>
      <c r="F772" s="52"/>
      <c r="G772" s="52"/>
      <c r="H772" s="27"/>
      <c r="I772" s="52"/>
      <c r="J772" s="52"/>
      <c r="K772" s="28"/>
      <c r="L772" s="52"/>
      <c r="M772" s="29"/>
      <c r="N772" s="23"/>
      <c r="O772" s="52"/>
      <c r="P772" s="13"/>
    </row>
    <row r="773" s="6" customFormat="1" spans="1:16">
      <c r="A773" s="23"/>
      <c r="B773" s="8"/>
      <c r="C773" s="25"/>
      <c r="D773" s="52"/>
      <c r="E773" s="52"/>
      <c r="F773" s="52"/>
      <c r="G773" s="52"/>
      <c r="H773" s="27"/>
      <c r="I773" s="52"/>
      <c r="J773" s="52"/>
      <c r="K773" s="28"/>
      <c r="L773" s="52"/>
      <c r="M773" s="29"/>
      <c r="N773" s="23"/>
      <c r="O773" s="52"/>
      <c r="P773" s="13"/>
    </row>
    <row r="774" s="6" customFormat="1" spans="1:16">
      <c r="A774" s="23"/>
      <c r="B774" s="8"/>
      <c r="C774" s="25"/>
      <c r="D774" s="52"/>
      <c r="E774" s="52"/>
      <c r="F774" s="52"/>
      <c r="G774" s="52"/>
      <c r="H774" s="27"/>
      <c r="I774" s="52"/>
      <c r="J774" s="52"/>
      <c r="K774" s="28"/>
      <c r="L774" s="52"/>
      <c r="M774" s="29"/>
      <c r="N774" s="23"/>
      <c r="O774" s="52"/>
      <c r="P774" s="13"/>
    </row>
    <row r="775" s="6" customFormat="1" spans="1:16">
      <c r="A775" s="23"/>
      <c r="B775" s="8"/>
      <c r="C775" s="25"/>
      <c r="D775" s="52"/>
      <c r="E775" s="52"/>
      <c r="F775" s="52"/>
      <c r="G775" s="52"/>
      <c r="H775" s="27"/>
      <c r="I775" s="52"/>
      <c r="J775" s="52"/>
      <c r="K775" s="28"/>
      <c r="L775" s="52"/>
      <c r="M775" s="29"/>
      <c r="N775" s="23"/>
      <c r="O775" s="52"/>
      <c r="P775" s="13"/>
    </row>
    <row r="776" s="6" customFormat="1" spans="1:16">
      <c r="A776" s="23"/>
      <c r="B776" s="8"/>
      <c r="C776" s="25"/>
      <c r="D776" s="52"/>
      <c r="E776" s="52"/>
      <c r="F776" s="52"/>
      <c r="G776" s="52"/>
      <c r="H776" s="27"/>
      <c r="I776" s="52"/>
      <c r="J776" s="52"/>
      <c r="K776" s="28"/>
      <c r="L776" s="52"/>
      <c r="M776" s="29"/>
      <c r="N776" s="23"/>
      <c r="O776" s="52"/>
      <c r="P776" s="13"/>
    </row>
    <row r="777" s="6" customFormat="1" spans="1:16">
      <c r="A777" s="23"/>
      <c r="B777" s="8"/>
      <c r="C777" s="25"/>
      <c r="D777" s="52"/>
      <c r="E777" s="52"/>
      <c r="F777" s="52"/>
      <c r="G777" s="52"/>
      <c r="H777" s="27"/>
      <c r="I777" s="52"/>
      <c r="J777" s="52"/>
      <c r="K777" s="28"/>
      <c r="L777" s="52"/>
      <c r="M777" s="29"/>
      <c r="N777" s="23"/>
      <c r="O777" s="52"/>
      <c r="P777" s="13"/>
    </row>
    <row r="778" s="6" customFormat="1" spans="1:16">
      <c r="A778" s="23"/>
      <c r="B778" s="8"/>
      <c r="C778" s="25"/>
      <c r="D778" s="52"/>
      <c r="E778" s="52"/>
      <c r="F778" s="52"/>
      <c r="G778" s="52"/>
      <c r="H778" s="27"/>
      <c r="I778" s="52"/>
      <c r="J778" s="52"/>
      <c r="K778" s="28"/>
      <c r="L778" s="52"/>
      <c r="M778" s="29"/>
      <c r="N778" s="23"/>
      <c r="O778" s="52"/>
      <c r="P778" s="13"/>
    </row>
    <row r="779" s="6" customFormat="1" spans="1:16">
      <c r="A779" s="23"/>
      <c r="B779" s="8"/>
      <c r="C779" s="25"/>
      <c r="D779" s="52"/>
      <c r="E779" s="52"/>
      <c r="F779" s="52"/>
      <c r="G779" s="52"/>
      <c r="H779" s="27"/>
      <c r="I779" s="52"/>
      <c r="J779" s="52"/>
      <c r="K779" s="28"/>
      <c r="L779" s="52"/>
      <c r="M779" s="29"/>
      <c r="N779" s="23"/>
      <c r="O779" s="52"/>
      <c r="P779" s="13"/>
    </row>
    <row r="780" s="6" customFormat="1" spans="1:16">
      <c r="A780" s="23"/>
      <c r="B780" s="8"/>
      <c r="C780" s="25"/>
      <c r="D780" s="52"/>
      <c r="E780" s="52"/>
      <c r="F780" s="52"/>
      <c r="G780" s="52"/>
      <c r="H780" s="27"/>
      <c r="I780" s="52"/>
      <c r="J780" s="52"/>
      <c r="K780" s="28"/>
      <c r="L780" s="52"/>
      <c r="M780" s="29"/>
      <c r="N780" s="23"/>
      <c r="O780" s="52"/>
      <c r="P780" s="13"/>
    </row>
    <row r="781" s="6" customFormat="1" spans="1:16">
      <c r="A781" s="23"/>
      <c r="B781" s="8"/>
      <c r="C781" s="25"/>
      <c r="D781" s="52"/>
      <c r="E781" s="52"/>
      <c r="F781" s="52"/>
      <c r="G781" s="52"/>
      <c r="H781" s="27"/>
      <c r="I781" s="52"/>
      <c r="J781" s="52"/>
      <c r="K781" s="28"/>
      <c r="L781" s="52"/>
      <c r="M781" s="29"/>
      <c r="N781" s="23"/>
      <c r="O781" s="52"/>
      <c r="P781" s="13"/>
    </row>
    <row r="782" s="6" customFormat="1" spans="1:16">
      <c r="A782" s="23"/>
      <c r="B782" s="8"/>
      <c r="C782" s="25"/>
      <c r="D782" s="52"/>
      <c r="E782" s="52"/>
      <c r="F782" s="52"/>
      <c r="G782" s="52"/>
      <c r="H782" s="27"/>
      <c r="I782" s="52"/>
      <c r="J782" s="52"/>
      <c r="K782" s="28"/>
      <c r="L782" s="52"/>
      <c r="M782" s="29"/>
      <c r="N782" s="23"/>
      <c r="O782" s="52"/>
      <c r="P782" s="13"/>
    </row>
    <row r="783" s="6" customFormat="1" spans="1:16">
      <c r="A783" s="23"/>
      <c r="B783" s="8"/>
      <c r="C783" s="25"/>
      <c r="D783" s="52"/>
      <c r="E783" s="52"/>
      <c r="F783" s="52"/>
      <c r="G783" s="52"/>
      <c r="H783" s="27"/>
      <c r="I783" s="52"/>
      <c r="J783" s="52"/>
      <c r="K783" s="28"/>
      <c r="L783" s="52"/>
      <c r="M783" s="29"/>
      <c r="N783" s="23"/>
      <c r="O783" s="52"/>
      <c r="P783" s="13"/>
    </row>
    <row r="784" s="6" customFormat="1" spans="1:16">
      <c r="A784" s="23"/>
      <c r="B784" s="8"/>
      <c r="C784" s="25"/>
      <c r="D784" s="52"/>
      <c r="E784" s="52"/>
      <c r="F784" s="52"/>
      <c r="G784" s="52"/>
      <c r="H784" s="27"/>
      <c r="I784" s="52"/>
      <c r="J784" s="52"/>
      <c r="K784" s="28"/>
      <c r="L784" s="52"/>
      <c r="M784" s="29"/>
      <c r="N784" s="23"/>
      <c r="O784" s="52"/>
      <c r="P784" s="13"/>
    </row>
    <row r="785" s="6" customFormat="1" spans="1:16">
      <c r="A785" s="23"/>
      <c r="B785" s="8"/>
      <c r="C785" s="25"/>
      <c r="D785" s="52"/>
      <c r="E785" s="52"/>
      <c r="F785" s="52"/>
      <c r="G785" s="52"/>
      <c r="H785" s="27"/>
      <c r="I785" s="52"/>
      <c r="J785" s="52"/>
      <c r="K785" s="28"/>
      <c r="L785" s="52"/>
      <c r="M785" s="29"/>
      <c r="N785" s="23"/>
      <c r="O785" s="52"/>
      <c r="P785" s="13"/>
    </row>
    <row r="786" s="6" customFormat="1" spans="1:16">
      <c r="A786" s="23"/>
      <c r="B786" s="8"/>
      <c r="C786" s="25"/>
      <c r="D786" s="52"/>
      <c r="E786" s="52"/>
      <c r="F786" s="52"/>
      <c r="G786" s="52"/>
      <c r="H786" s="27"/>
      <c r="I786" s="52"/>
      <c r="J786" s="52"/>
      <c r="K786" s="28"/>
      <c r="L786" s="52"/>
      <c r="M786" s="29"/>
      <c r="N786" s="23"/>
      <c r="O786" s="52"/>
      <c r="P786" s="13"/>
    </row>
    <row r="787" s="6" customFormat="1" spans="1:16">
      <c r="A787" s="23"/>
      <c r="B787" s="8"/>
      <c r="C787" s="25"/>
      <c r="D787" s="52"/>
      <c r="E787" s="52"/>
      <c r="F787" s="52"/>
      <c r="G787" s="52"/>
      <c r="H787" s="27"/>
      <c r="I787" s="52"/>
      <c r="J787" s="52"/>
      <c r="K787" s="28"/>
      <c r="L787" s="52"/>
      <c r="M787" s="29"/>
      <c r="N787" s="23"/>
      <c r="O787" s="52"/>
      <c r="P787" s="13"/>
    </row>
    <row r="788" s="6" customFormat="1" spans="1:16">
      <c r="A788" s="23"/>
      <c r="B788" s="8"/>
      <c r="C788" s="25"/>
      <c r="D788" s="52"/>
      <c r="E788" s="52"/>
      <c r="F788" s="52"/>
      <c r="G788" s="52"/>
      <c r="H788" s="27"/>
      <c r="I788" s="52"/>
      <c r="J788" s="52"/>
      <c r="K788" s="28"/>
      <c r="L788" s="52"/>
      <c r="M788" s="29"/>
      <c r="N788" s="23"/>
      <c r="O788" s="52"/>
      <c r="P788" s="13"/>
    </row>
    <row r="789" s="6" customFormat="1" spans="1:16">
      <c r="A789" s="23"/>
      <c r="B789" s="8"/>
      <c r="C789" s="25"/>
      <c r="D789" s="52"/>
      <c r="E789" s="52"/>
      <c r="F789" s="52"/>
      <c r="G789" s="52"/>
      <c r="H789" s="27"/>
      <c r="I789" s="52"/>
      <c r="J789" s="52"/>
      <c r="K789" s="28"/>
      <c r="L789" s="52"/>
      <c r="M789" s="29"/>
      <c r="N789" s="23"/>
      <c r="O789" s="52"/>
      <c r="P789" s="13"/>
    </row>
    <row r="790" s="6" customFormat="1" spans="1:16">
      <c r="A790" s="23"/>
      <c r="B790" s="8"/>
      <c r="C790" s="25"/>
      <c r="D790" s="52"/>
      <c r="E790" s="52"/>
      <c r="F790" s="52"/>
      <c r="G790" s="52"/>
      <c r="H790" s="27"/>
      <c r="I790" s="52"/>
      <c r="J790" s="52"/>
      <c r="K790" s="28"/>
      <c r="L790" s="52"/>
      <c r="M790" s="29"/>
      <c r="N790" s="23"/>
      <c r="O790" s="52"/>
      <c r="P790" s="13"/>
    </row>
    <row r="791" s="6" customFormat="1" spans="1:16">
      <c r="A791" s="23"/>
      <c r="B791" s="8"/>
      <c r="C791" s="25"/>
      <c r="D791" s="52"/>
      <c r="E791" s="52"/>
      <c r="F791" s="52"/>
      <c r="G791" s="52"/>
      <c r="H791" s="27"/>
      <c r="I791" s="52"/>
      <c r="J791" s="52"/>
      <c r="K791" s="28"/>
      <c r="L791" s="52"/>
      <c r="M791" s="29"/>
      <c r="N791" s="23"/>
      <c r="O791" s="52"/>
      <c r="P791" s="13"/>
    </row>
    <row r="792" s="6" customFormat="1" spans="1:16">
      <c r="A792" s="23"/>
      <c r="B792" s="8"/>
      <c r="C792" s="25"/>
      <c r="D792" s="52"/>
      <c r="E792" s="52"/>
      <c r="F792" s="52"/>
      <c r="G792" s="52"/>
      <c r="H792" s="27"/>
      <c r="I792" s="52"/>
      <c r="J792" s="52"/>
      <c r="K792" s="28"/>
      <c r="L792" s="52"/>
      <c r="M792" s="29"/>
      <c r="N792" s="23"/>
      <c r="O792" s="52"/>
      <c r="P792" s="13"/>
    </row>
    <row r="793" s="6" customFormat="1" spans="1:16">
      <c r="A793" s="23"/>
      <c r="B793" s="8"/>
      <c r="C793" s="25"/>
      <c r="D793" s="52"/>
      <c r="E793" s="52"/>
      <c r="F793" s="52"/>
      <c r="G793" s="52"/>
      <c r="H793" s="27"/>
      <c r="I793" s="52"/>
      <c r="J793" s="52"/>
      <c r="K793" s="28"/>
      <c r="L793" s="52"/>
      <c r="M793" s="29"/>
      <c r="N793" s="23"/>
      <c r="O793" s="52"/>
      <c r="P793" s="13"/>
    </row>
    <row r="794" s="6" customFormat="1" spans="1:16">
      <c r="A794" s="23"/>
      <c r="B794" s="8"/>
      <c r="C794" s="25"/>
      <c r="D794" s="52"/>
      <c r="E794" s="52"/>
      <c r="F794" s="52"/>
      <c r="G794" s="52"/>
      <c r="H794" s="27"/>
      <c r="I794" s="52"/>
      <c r="J794" s="52"/>
      <c r="K794" s="28"/>
      <c r="L794" s="52"/>
      <c r="M794" s="29"/>
      <c r="N794" s="23"/>
      <c r="O794" s="52"/>
      <c r="P794" s="13"/>
    </row>
    <row r="795" s="6" customFormat="1" spans="1:16">
      <c r="A795" s="23"/>
      <c r="B795" s="8"/>
      <c r="C795" s="25"/>
      <c r="D795" s="52"/>
      <c r="E795" s="52"/>
      <c r="F795" s="52"/>
      <c r="G795" s="52"/>
      <c r="H795" s="27"/>
      <c r="I795" s="52"/>
      <c r="J795" s="52"/>
      <c r="K795" s="28"/>
      <c r="L795" s="52"/>
      <c r="M795" s="29"/>
      <c r="N795" s="23"/>
      <c r="O795" s="52"/>
      <c r="P795" s="13"/>
    </row>
    <row r="796" s="6" customFormat="1" spans="1:16">
      <c r="A796" s="23"/>
      <c r="B796" s="8"/>
      <c r="C796" s="25"/>
      <c r="D796" s="52"/>
      <c r="E796" s="52"/>
      <c r="F796" s="52"/>
      <c r="G796" s="52"/>
      <c r="H796" s="27"/>
      <c r="I796" s="52"/>
      <c r="J796" s="52"/>
      <c r="K796" s="28"/>
      <c r="L796" s="52"/>
      <c r="M796" s="29"/>
      <c r="N796" s="23"/>
      <c r="O796" s="52"/>
      <c r="P796" s="13"/>
    </row>
    <row r="797" s="6" customFormat="1" spans="1:16">
      <c r="A797" s="23"/>
      <c r="B797" s="8"/>
      <c r="C797" s="25"/>
      <c r="D797" s="52"/>
      <c r="E797" s="52"/>
      <c r="F797" s="52"/>
      <c r="G797" s="52"/>
      <c r="H797" s="27"/>
      <c r="I797" s="52"/>
      <c r="J797" s="52"/>
      <c r="K797" s="28"/>
      <c r="L797" s="52"/>
      <c r="M797" s="29"/>
      <c r="N797" s="23"/>
      <c r="O797" s="52"/>
      <c r="P797" s="13"/>
    </row>
    <row r="798" s="6" customFormat="1" spans="1:16">
      <c r="A798" s="23"/>
      <c r="B798" s="8"/>
      <c r="C798" s="25"/>
      <c r="D798" s="52"/>
      <c r="E798" s="52"/>
      <c r="F798" s="52"/>
      <c r="G798" s="52"/>
      <c r="H798" s="27"/>
      <c r="I798" s="52"/>
      <c r="J798" s="52"/>
      <c r="K798" s="28"/>
      <c r="L798" s="52"/>
      <c r="M798" s="29"/>
      <c r="N798" s="23"/>
      <c r="O798" s="52"/>
      <c r="P798" s="13"/>
    </row>
    <row r="799" s="6" customFormat="1" spans="1:16">
      <c r="A799" s="23"/>
      <c r="B799" s="8"/>
      <c r="C799" s="25"/>
      <c r="D799" s="52"/>
      <c r="E799" s="52"/>
      <c r="F799" s="52"/>
      <c r="G799" s="52"/>
      <c r="H799" s="27"/>
      <c r="I799" s="52"/>
      <c r="J799" s="52"/>
      <c r="K799" s="28"/>
      <c r="L799" s="52"/>
      <c r="M799" s="29"/>
      <c r="N799" s="23"/>
      <c r="O799" s="52"/>
      <c r="P799" s="13"/>
    </row>
    <row r="800" s="6" customFormat="1" spans="1:16">
      <c r="A800" s="23"/>
      <c r="B800" s="8"/>
      <c r="C800" s="25"/>
      <c r="D800" s="52"/>
      <c r="E800" s="52"/>
      <c r="F800" s="52"/>
      <c r="G800" s="52"/>
      <c r="H800" s="27"/>
      <c r="I800" s="52"/>
      <c r="J800" s="52"/>
      <c r="K800" s="28"/>
      <c r="L800" s="52"/>
      <c r="M800" s="29"/>
      <c r="N800" s="23"/>
      <c r="O800" s="52"/>
      <c r="P800" s="13"/>
    </row>
    <row r="801" s="6" customFormat="1" spans="1:16">
      <c r="A801" s="23"/>
      <c r="B801" s="8"/>
      <c r="C801" s="25"/>
      <c r="D801" s="52"/>
      <c r="E801" s="52"/>
      <c r="F801" s="52"/>
      <c r="G801" s="52"/>
      <c r="H801" s="27"/>
      <c r="I801" s="52"/>
      <c r="J801" s="52"/>
      <c r="K801" s="28"/>
      <c r="L801" s="52"/>
      <c r="M801" s="29"/>
      <c r="N801" s="23"/>
      <c r="O801" s="52"/>
      <c r="P801" s="13"/>
    </row>
    <row r="802" s="6" customFormat="1" spans="1:16">
      <c r="A802" s="23"/>
      <c r="B802" s="8"/>
      <c r="C802" s="25"/>
      <c r="D802" s="52"/>
      <c r="E802" s="52"/>
      <c r="F802" s="52"/>
      <c r="G802" s="52"/>
      <c r="H802" s="27"/>
      <c r="I802" s="52"/>
      <c r="J802" s="52"/>
      <c r="K802" s="28"/>
      <c r="L802" s="52"/>
      <c r="M802" s="29"/>
      <c r="N802" s="23"/>
      <c r="O802" s="52"/>
      <c r="P802" s="13"/>
    </row>
    <row r="803" s="6" customFormat="1" spans="1:16">
      <c r="A803" s="23"/>
      <c r="B803" s="8"/>
      <c r="C803" s="25"/>
      <c r="D803" s="52"/>
      <c r="E803" s="52"/>
      <c r="F803" s="52"/>
      <c r="G803" s="52"/>
      <c r="H803" s="27"/>
      <c r="I803" s="52"/>
      <c r="J803" s="52"/>
      <c r="K803" s="28"/>
      <c r="L803" s="52"/>
      <c r="M803" s="29"/>
      <c r="N803" s="23"/>
      <c r="O803" s="52"/>
      <c r="P803" s="13"/>
    </row>
    <row r="804" s="6" customFormat="1" spans="1:16">
      <c r="A804" s="23"/>
      <c r="B804" s="8"/>
      <c r="C804" s="25"/>
      <c r="D804" s="52"/>
      <c r="E804" s="52"/>
      <c r="F804" s="52"/>
      <c r="G804" s="52"/>
      <c r="H804" s="27"/>
      <c r="I804" s="52"/>
      <c r="J804" s="52"/>
      <c r="K804" s="28"/>
      <c r="L804" s="52"/>
      <c r="M804" s="29"/>
      <c r="N804" s="23"/>
      <c r="O804" s="52"/>
      <c r="P804" s="13"/>
    </row>
    <row r="805" s="6" customFormat="1" spans="1:16">
      <c r="A805" s="23"/>
      <c r="B805" s="8"/>
      <c r="C805" s="25"/>
      <c r="D805" s="52"/>
      <c r="E805" s="52"/>
      <c r="F805" s="52"/>
      <c r="G805" s="52"/>
      <c r="H805" s="27"/>
      <c r="I805" s="52"/>
      <c r="J805" s="52"/>
      <c r="K805" s="28"/>
      <c r="L805" s="52"/>
      <c r="M805" s="29"/>
      <c r="N805" s="23"/>
      <c r="O805" s="52"/>
      <c r="P805" s="13"/>
    </row>
    <row r="806" s="6" customFormat="1" spans="1:16">
      <c r="A806" s="23"/>
      <c r="B806" s="8"/>
      <c r="C806" s="25"/>
      <c r="D806" s="52"/>
      <c r="E806" s="52"/>
      <c r="F806" s="52"/>
      <c r="G806" s="52"/>
      <c r="H806" s="27"/>
      <c r="I806" s="52"/>
      <c r="J806" s="52"/>
      <c r="K806" s="28"/>
      <c r="L806" s="52"/>
      <c r="M806" s="29"/>
      <c r="N806" s="23"/>
      <c r="O806" s="52"/>
      <c r="P806" s="13"/>
    </row>
    <row r="807" s="6" customFormat="1" spans="1:16">
      <c r="A807" s="23"/>
      <c r="B807" s="8"/>
      <c r="C807" s="25"/>
      <c r="D807" s="52"/>
      <c r="E807" s="52"/>
      <c r="F807" s="52"/>
      <c r="G807" s="52"/>
      <c r="H807" s="27"/>
      <c r="I807" s="52"/>
      <c r="J807" s="52"/>
      <c r="K807" s="28"/>
      <c r="L807" s="52"/>
      <c r="M807" s="29"/>
      <c r="N807" s="23"/>
      <c r="O807" s="52"/>
      <c r="P807" s="13"/>
    </row>
    <row r="808" s="6" customFormat="1" spans="1:16">
      <c r="A808" s="23"/>
      <c r="B808" s="8"/>
      <c r="C808" s="25"/>
      <c r="D808" s="52"/>
      <c r="E808" s="52"/>
      <c r="F808" s="52"/>
      <c r="G808" s="52"/>
      <c r="H808" s="27"/>
      <c r="I808" s="52"/>
      <c r="J808" s="52"/>
      <c r="K808" s="28"/>
      <c r="L808" s="52"/>
      <c r="M808" s="29"/>
      <c r="N808" s="23"/>
      <c r="O808" s="52"/>
      <c r="P808" s="13"/>
    </row>
    <row r="809" s="6" customFormat="1" spans="1:16">
      <c r="A809" s="23"/>
      <c r="B809" s="8"/>
      <c r="C809" s="25"/>
      <c r="D809" s="52"/>
      <c r="E809" s="52"/>
      <c r="F809" s="52"/>
      <c r="G809" s="52"/>
      <c r="H809" s="27"/>
      <c r="I809" s="52"/>
      <c r="J809" s="52"/>
      <c r="K809" s="28"/>
      <c r="L809" s="52"/>
      <c r="M809" s="29"/>
      <c r="N809" s="23"/>
      <c r="O809" s="52"/>
      <c r="P809" s="13"/>
    </row>
    <row r="810" s="6" customFormat="1" spans="1:16">
      <c r="A810" s="23"/>
      <c r="B810" s="8"/>
      <c r="C810" s="25"/>
      <c r="D810" s="52"/>
      <c r="E810" s="52"/>
      <c r="F810" s="52"/>
      <c r="G810" s="52"/>
      <c r="H810" s="27"/>
      <c r="I810" s="52"/>
      <c r="J810" s="52"/>
      <c r="K810" s="28"/>
      <c r="L810" s="52"/>
      <c r="M810" s="29"/>
      <c r="N810" s="23"/>
      <c r="O810" s="52"/>
      <c r="P810" s="13"/>
    </row>
    <row r="811" s="6" customFormat="1" spans="1:16">
      <c r="A811" s="23"/>
      <c r="B811" s="8"/>
      <c r="C811" s="25"/>
      <c r="D811" s="52"/>
      <c r="E811" s="52"/>
      <c r="F811" s="52"/>
      <c r="G811" s="52"/>
      <c r="H811" s="27"/>
      <c r="I811" s="52"/>
      <c r="J811" s="52"/>
      <c r="K811" s="28"/>
      <c r="L811" s="52"/>
      <c r="M811" s="29"/>
      <c r="N811" s="23"/>
      <c r="O811" s="52"/>
      <c r="P811" s="13"/>
    </row>
    <row r="812" s="6" customFormat="1" spans="1:16">
      <c r="A812" s="23"/>
      <c r="B812" s="8"/>
      <c r="C812" s="25"/>
      <c r="D812" s="52"/>
      <c r="E812" s="52"/>
      <c r="F812" s="52"/>
      <c r="G812" s="52"/>
      <c r="H812" s="27"/>
      <c r="I812" s="52"/>
      <c r="J812" s="52"/>
      <c r="K812" s="28"/>
      <c r="L812" s="52"/>
      <c r="M812" s="29"/>
      <c r="N812" s="23"/>
      <c r="O812" s="52"/>
      <c r="P812" s="13"/>
    </row>
    <row r="813" s="6" customFormat="1" spans="1:16">
      <c r="A813" s="23"/>
      <c r="B813" s="8"/>
      <c r="C813" s="25"/>
      <c r="D813" s="52"/>
      <c r="E813" s="52"/>
      <c r="F813" s="52"/>
      <c r="G813" s="52"/>
      <c r="H813" s="27"/>
      <c r="I813" s="52"/>
      <c r="J813" s="52"/>
      <c r="K813" s="28"/>
      <c r="L813" s="52"/>
      <c r="M813" s="29"/>
      <c r="N813" s="23"/>
      <c r="O813" s="52"/>
      <c r="P813" s="13"/>
    </row>
    <row r="814" s="6" customFormat="1" spans="1:16">
      <c r="A814" s="23"/>
      <c r="B814" s="8"/>
      <c r="C814" s="25"/>
      <c r="D814" s="52"/>
      <c r="E814" s="52"/>
      <c r="F814" s="52"/>
      <c r="G814" s="52"/>
      <c r="H814" s="27"/>
      <c r="I814" s="52"/>
      <c r="J814" s="52"/>
      <c r="K814" s="28"/>
      <c r="L814" s="52"/>
      <c r="M814" s="29"/>
      <c r="N814" s="23"/>
      <c r="O814" s="52"/>
      <c r="P814" s="13"/>
    </row>
    <row r="815" s="6" customFormat="1" spans="1:16">
      <c r="A815" s="23"/>
      <c r="B815" s="8"/>
      <c r="C815" s="25"/>
      <c r="D815" s="52"/>
      <c r="E815" s="52"/>
      <c r="F815" s="52"/>
      <c r="G815" s="52"/>
      <c r="H815" s="27"/>
      <c r="I815" s="52"/>
      <c r="J815" s="52"/>
      <c r="K815" s="28"/>
      <c r="L815" s="52"/>
      <c r="M815" s="29"/>
      <c r="N815" s="23"/>
      <c r="O815" s="52"/>
      <c r="P815" s="13"/>
    </row>
    <row r="816" s="6" customFormat="1" spans="1:16">
      <c r="A816" s="23"/>
      <c r="B816" s="8"/>
      <c r="C816" s="25"/>
      <c r="D816" s="52"/>
      <c r="E816" s="52"/>
      <c r="F816" s="52"/>
      <c r="G816" s="52"/>
      <c r="H816" s="27"/>
      <c r="I816" s="52"/>
      <c r="J816" s="52"/>
      <c r="K816" s="28"/>
      <c r="L816" s="52"/>
      <c r="M816" s="29"/>
      <c r="N816" s="23"/>
      <c r="O816" s="52"/>
      <c r="P816" s="13"/>
    </row>
    <row r="817" s="6" customFormat="1" spans="1:16">
      <c r="A817" s="23"/>
      <c r="B817" s="8"/>
      <c r="C817" s="25"/>
      <c r="D817" s="52"/>
      <c r="E817" s="52"/>
      <c r="F817" s="52"/>
      <c r="G817" s="52"/>
      <c r="H817" s="27"/>
      <c r="I817" s="52"/>
      <c r="J817" s="52"/>
      <c r="K817" s="28"/>
      <c r="L817" s="52"/>
      <c r="M817" s="29"/>
      <c r="N817" s="23"/>
      <c r="O817" s="52"/>
      <c r="P817" s="13"/>
    </row>
    <row r="818" s="6" customFormat="1" spans="1:16">
      <c r="A818" s="23"/>
      <c r="B818" s="8"/>
      <c r="C818" s="25"/>
      <c r="D818" s="52"/>
      <c r="E818" s="52"/>
      <c r="F818" s="52"/>
      <c r="G818" s="52"/>
      <c r="H818" s="27"/>
      <c r="I818" s="52"/>
      <c r="J818" s="52"/>
      <c r="K818" s="28"/>
      <c r="L818" s="52"/>
      <c r="M818" s="29"/>
      <c r="N818" s="23"/>
      <c r="O818" s="52"/>
      <c r="P818" s="13"/>
    </row>
    <row r="819" s="6" customFormat="1" spans="1:16">
      <c r="A819" s="23"/>
      <c r="B819" s="8"/>
      <c r="C819" s="25"/>
      <c r="D819" s="52"/>
      <c r="E819" s="52"/>
      <c r="F819" s="52"/>
      <c r="G819" s="52"/>
      <c r="H819" s="27"/>
      <c r="I819" s="52"/>
      <c r="J819" s="52"/>
      <c r="K819" s="28"/>
      <c r="L819" s="52"/>
      <c r="M819" s="29"/>
      <c r="N819" s="23"/>
      <c r="O819" s="52"/>
      <c r="P819" s="13"/>
    </row>
    <row r="820" s="6" customFormat="1" spans="1:16">
      <c r="A820" s="23"/>
      <c r="B820" s="8"/>
      <c r="C820" s="25"/>
      <c r="D820" s="52"/>
      <c r="E820" s="52"/>
      <c r="F820" s="52"/>
      <c r="G820" s="52"/>
      <c r="H820" s="27"/>
      <c r="I820" s="52"/>
      <c r="J820" s="52"/>
      <c r="K820" s="28"/>
      <c r="L820" s="52"/>
      <c r="M820" s="29"/>
      <c r="N820" s="23"/>
      <c r="O820" s="52"/>
      <c r="P820" s="13"/>
    </row>
    <row r="821" s="6" customFormat="1" spans="1:16">
      <c r="A821" s="23"/>
      <c r="B821" s="8"/>
      <c r="C821" s="25"/>
      <c r="D821" s="52"/>
      <c r="E821" s="52"/>
      <c r="F821" s="52"/>
      <c r="G821" s="52"/>
      <c r="H821" s="27"/>
      <c r="I821" s="52"/>
      <c r="J821" s="52"/>
      <c r="K821" s="28"/>
      <c r="L821" s="52"/>
      <c r="M821" s="29"/>
      <c r="N821" s="23"/>
      <c r="O821" s="52"/>
      <c r="P821" s="13"/>
    </row>
    <row r="822" s="6" customFormat="1" spans="1:16">
      <c r="A822" s="23"/>
      <c r="B822" s="8"/>
      <c r="C822" s="25"/>
      <c r="D822" s="52"/>
      <c r="E822" s="52"/>
      <c r="F822" s="52"/>
      <c r="G822" s="52"/>
      <c r="H822" s="27"/>
      <c r="I822" s="52"/>
      <c r="J822" s="52"/>
      <c r="K822" s="28"/>
      <c r="L822" s="52"/>
      <c r="M822" s="29"/>
      <c r="N822" s="23"/>
      <c r="O822" s="52"/>
      <c r="P822" s="13"/>
    </row>
    <row r="823" s="6" customFormat="1" spans="1:16">
      <c r="A823" s="23"/>
      <c r="B823" s="8"/>
      <c r="C823" s="25"/>
      <c r="D823" s="52"/>
      <c r="E823" s="52"/>
      <c r="F823" s="52"/>
      <c r="G823" s="52"/>
      <c r="H823" s="27"/>
      <c r="I823" s="52"/>
      <c r="J823" s="52"/>
      <c r="K823" s="28"/>
      <c r="L823" s="52"/>
      <c r="M823" s="29"/>
      <c r="N823" s="23"/>
      <c r="O823" s="52"/>
      <c r="P823" s="13"/>
    </row>
    <row r="824" s="6" customFormat="1" spans="1:16">
      <c r="A824" s="23"/>
      <c r="B824" s="8"/>
      <c r="C824" s="25"/>
      <c r="D824" s="52"/>
      <c r="E824" s="52"/>
      <c r="F824" s="52"/>
      <c r="G824" s="52"/>
      <c r="H824" s="27"/>
      <c r="I824" s="52"/>
      <c r="J824" s="52"/>
      <c r="K824" s="28"/>
      <c r="L824" s="52"/>
      <c r="M824" s="29"/>
      <c r="N824" s="23"/>
      <c r="O824" s="52"/>
      <c r="P824" s="13"/>
    </row>
    <row r="825" s="6" customFormat="1" spans="1:16">
      <c r="A825" s="23"/>
      <c r="B825" s="8"/>
      <c r="C825" s="25"/>
      <c r="D825" s="52"/>
      <c r="E825" s="52"/>
      <c r="F825" s="52"/>
      <c r="G825" s="52"/>
      <c r="H825" s="27"/>
      <c r="I825" s="52"/>
      <c r="J825" s="52"/>
      <c r="K825" s="28"/>
      <c r="L825" s="52"/>
      <c r="M825" s="29"/>
      <c r="N825" s="23"/>
      <c r="O825" s="52"/>
      <c r="P825" s="13"/>
    </row>
    <row r="826" s="6" customFormat="1" spans="1:16">
      <c r="A826" s="23"/>
      <c r="B826" s="8"/>
      <c r="C826" s="25"/>
      <c r="D826" s="52"/>
      <c r="E826" s="52"/>
      <c r="F826" s="52"/>
      <c r="G826" s="52"/>
      <c r="H826" s="27"/>
      <c r="I826" s="52"/>
      <c r="J826" s="52"/>
      <c r="K826" s="28"/>
      <c r="L826" s="52"/>
      <c r="M826" s="29"/>
      <c r="N826" s="23"/>
      <c r="O826" s="52"/>
      <c r="P826" s="13"/>
    </row>
    <row r="827" s="6" customFormat="1" spans="1:16">
      <c r="A827" s="23"/>
      <c r="B827" s="8"/>
      <c r="C827" s="25"/>
      <c r="D827" s="52"/>
      <c r="E827" s="52"/>
      <c r="F827" s="52"/>
      <c r="G827" s="52"/>
      <c r="H827" s="27"/>
      <c r="I827" s="52"/>
      <c r="J827" s="52"/>
      <c r="K827" s="28"/>
      <c r="L827" s="52"/>
      <c r="M827" s="29"/>
      <c r="N827" s="23"/>
      <c r="O827" s="52"/>
      <c r="P827" s="13"/>
    </row>
    <row r="828" s="6" customFormat="1" spans="1:16">
      <c r="A828" s="23"/>
      <c r="B828" s="8"/>
      <c r="C828" s="25"/>
      <c r="D828" s="52"/>
      <c r="E828" s="52"/>
      <c r="F828" s="52"/>
      <c r="G828" s="52"/>
      <c r="H828" s="27"/>
      <c r="I828" s="52"/>
      <c r="J828" s="52"/>
      <c r="K828" s="28"/>
      <c r="L828" s="52"/>
      <c r="M828" s="29"/>
      <c r="N828" s="23"/>
      <c r="O828" s="52"/>
      <c r="P828" s="13"/>
    </row>
    <row r="829" s="6" customFormat="1" spans="1:16">
      <c r="A829" s="23"/>
      <c r="B829" s="8"/>
      <c r="C829" s="25"/>
      <c r="D829" s="52"/>
      <c r="E829" s="52"/>
      <c r="F829" s="52"/>
      <c r="G829" s="52"/>
      <c r="H829" s="27"/>
      <c r="I829" s="52"/>
      <c r="J829" s="52"/>
      <c r="K829" s="28"/>
      <c r="L829" s="52"/>
      <c r="M829" s="29"/>
      <c r="N829" s="23"/>
      <c r="O829" s="52"/>
      <c r="P829" s="13"/>
    </row>
    <row r="830" s="6" customFormat="1" spans="1:16">
      <c r="A830" s="23"/>
      <c r="B830" s="8"/>
      <c r="C830" s="25"/>
      <c r="D830" s="52"/>
      <c r="E830" s="52"/>
      <c r="F830" s="52"/>
      <c r="G830" s="52"/>
      <c r="H830" s="27"/>
      <c r="I830" s="52"/>
      <c r="J830" s="52"/>
      <c r="K830" s="28"/>
      <c r="L830" s="52"/>
      <c r="M830" s="29"/>
      <c r="N830" s="23"/>
      <c r="O830" s="52"/>
      <c r="P830" s="13"/>
    </row>
    <row r="831" s="6" customFormat="1" spans="1:16">
      <c r="A831" s="23"/>
      <c r="B831" s="8"/>
      <c r="C831" s="25"/>
      <c r="D831" s="52"/>
      <c r="E831" s="52"/>
      <c r="F831" s="52"/>
      <c r="G831" s="52"/>
      <c r="H831" s="27"/>
      <c r="I831" s="52"/>
      <c r="J831" s="52"/>
      <c r="K831" s="28"/>
      <c r="L831" s="52"/>
      <c r="M831" s="29"/>
      <c r="N831" s="23"/>
      <c r="O831" s="52"/>
      <c r="P831" s="13"/>
    </row>
    <row r="832" s="6" customFormat="1" spans="1:16">
      <c r="A832" s="23"/>
      <c r="B832" s="8"/>
      <c r="C832" s="25"/>
      <c r="D832" s="52"/>
      <c r="E832" s="52"/>
      <c r="F832" s="52"/>
      <c r="G832" s="52"/>
      <c r="H832" s="27"/>
      <c r="I832" s="52"/>
      <c r="J832" s="52"/>
      <c r="K832" s="28"/>
      <c r="L832" s="52"/>
      <c r="M832" s="29"/>
      <c r="N832" s="23"/>
      <c r="O832" s="52"/>
      <c r="P832" s="13"/>
    </row>
    <row r="833" s="6" customFormat="1" spans="1:16">
      <c r="A833" s="23"/>
      <c r="B833" s="8"/>
      <c r="C833" s="25"/>
      <c r="D833" s="52"/>
      <c r="E833" s="52"/>
      <c r="F833" s="52"/>
      <c r="G833" s="52"/>
      <c r="H833" s="27"/>
      <c r="I833" s="52"/>
      <c r="J833" s="52"/>
      <c r="K833" s="28"/>
      <c r="L833" s="52"/>
      <c r="M833" s="29"/>
      <c r="N833" s="23"/>
      <c r="O833" s="52"/>
      <c r="P833" s="13"/>
    </row>
    <row r="834" s="6" customFormat="1" spans="1:16">
      <c r="A834" s="23"/>
      <c r="B834" s="8"/>
      <c r="C834" s="25"/>
      <c r="D834" s="52"/>
      <c r="E834" s="52"/>
      <c r="F834" s="52"/>
      <c r="G834" s="52"/>
      <c r="H834" s="27"/>
      <c r="I834" s="52"/>
      <c r="J834" s="52"/>
      <c r="K834" s="28"/>
      <c r="L834" s="52"/>
      <c r="M834" s="29"/>
      <c r="N834" s="23"/>
      <c r="O834" s="52"/>
      <c r="P834" s="13"/>
    </row>
    <row r="835" s="6" customFormat="1" spans="1:16">
      <c r="A835" s="23"/>
      <c r="B835" s="8"/>
      <c r="C835" s="25"/>
      <c r="D835" s="52"/>
      <c r="E835" s="52"/>
      <c r="F835" s="52"/>
      <c r="G835" s="52"/>
      <c r="H835" s="27"/>
      <c r="I835" s="52"/>
      <c r="J835" s="52"/>
      <c r="K835" s="28"/>
      <c r="L835" s="52"/>
      <c r="M835" s="29"/>
      <c r="N835" s="23"/>
      <c r="O835" s="52"/>
      <c r="P835" s="13"/>
    </row>
    <row r="836" s="6" customFormat="1" spans="1:16">
      <c r="A836" s="23"/>
      <c r="B836" s="8"/>
      <c r="C836" s="25"/>
      <c r="D836" s="52"/>
      <c r="E836" s="52"/>
      <c r="F836" s="52"/>
      <c r="G836" s="52"/>
      <c r="H836" s="27"/>
      <c r="I836" s="52"/>
      <c r="J836" s="52"/>
      <c r="K836" s="28"/>
      <c r="L836" s="52"/>
      <c r="M836" s="29"/>
      <c r="N836" s="23"/>
      <c r="O836" s="52"/>
      <c r="P836" s="13"/>
    </row>
    <row r="837" s="6" customFormat="1" spans="1:16">
      <c r="A837" s="23"/>
      <c r="B837" s="8"/>
      <c r="C837" s="25"/>
      <c r="D837" s="52"/>
      <c r="E837" s="52"/>
      <c r="F837" s="52"/>
      <c r="G837" s="52"/>
      <c r="H837" s="27"/>
      <c r="I837" s="52"/>
      <c r="J837" s="52"/>
      <c r="K837" s="28"/>
      <c r="L837" s="52"/>
      <c r="M837" s="29"/>
      <c r="N837" s="23"/>
      <c r="O837" s="52"/>
      <c r="P837" s="13"/>
    </row>
    <row r="838" s="6" customFormat="1" spans="1:16">
      <c r="A838" s="23"/>
      <c r="B838" s="8"/>
      <c r="C838" s="25"/>
      <c r="D838" s="52"/>
      <c r="E838" s="52"/>
      <c r="F838" s="52"/>
      <c r="G838" s="52"/>
      <c r="H838" s="27"/>
      <c r="I838" s="52"/>
      <c r="J838" s="52"/>
      <c r="K838" s="28"/>
      <c r="L838" s="52"/>
      <c r="M838" s="29"/>
      <c r="N838" s="23"/>
      <c r="O838" s="52"/>
      <c r="P838" s="13"/>
    </row>
    <row r="839" s="6" customFormat="1" spans="1:16">
      <c r="A839" s="23"/>
      <c r="B839" s="8"/>
      <c r="C839" s="25"/>
      <c r="D839" s="52"/>
      <c r="E839" s="52"/>
      <c r="F839" s="52"/>
      <c r="G839" s="52"/>
      <c r="H839" s="27"/>
      <c r="I839" s="52"/>
      <c r="J839" s="52"/>
      <c r="K839" s="28"/>
      <c r="L839" s="52"/>
      <c r="M839" s="29"/>
      <c r="N839" s="23"/>
      <c r="O839" s="52"/>
      <c r="P839" s="13"/>
    </row>
    <row r="840" s="6" customFormat="1" spans="1:16">
      <c r="A840" s="23"/>
      <c r="B840" s="8"/>
      <c r="C840" s="25"/>
      <c r="D840" s="52"/>
      <c r="E840" s="52"/>
      <c r="F840" s="52"/>
      <c r="G840" s="52"/>
      <c r="H840" s="27"/>
      <c r="I840" s="52"/>
      <c r="J840" s="52"/>
      <c r="K840" s="28"/>
      <c r="L840" s="52"/>
      <c r="M840" s="29"/>
      <c r="N840" s="23"/>
      <c r="O840" s="52"/>
      <c r="P840" s="13"/>
    </row>
    <row r="841" s="6" customFormat="1" spans="1:16">
      <c r="A841" s="23"/>
      <c r="B841" s="8"/>
      <c r="C841" s="25"/>
      <c r="D841" s="8"/>
      <c r="E841" s="8"/>
      <c r="F841" s="8"/>
      <c r="G841" s="8"/>
      <c r="H841" s="8"/>
      <c r="I841" s="10"/>
      <c r="J841" s="28"/>
      <c r="K841" s="28"/>
      <c r="L841" s="8"/>
      <c r="M841" s="8"/>
      <c r="N841" s="8"/>
      <c r="O841" s="12"/>
      <c r="P841" s="13"/>
    </row>
    <row r="842" s="6" customFormat="1" spans="1:16">
      <c r="A842" s="23"/>
      <c r="B842" s="8"/>
      <c r="C842" s="25"/>
      <c r="D842" s="8"/>
      <c r="E842" s="8"/>
      <c r="F842" s="8"/>
      <c r="G842" s="8"/>
      <c r="H842" s="8"/>
      <c r="I842" s="10"/>
      <c r="J842" s="28"/>
      <c r="K842" s="28"/>
      <c r="L842" s="8"/>
      <c r="M842" s="8"/>
      <c r="N842" s="8"/>
      <c r="O842" s="12"/>
      <c r="P842" s="13"/>
    </row>
    <row r="843" s="6" customFormat="1" spans="1:16">
      <c r="A843" s="23"/>
      <c r="B843" s="8"/>
      <c r="C843" s="25"/>
      <c r="D843" s="8"/>
      <c r="E843" s="8"/>
      <c r="F843" s="8"/>
      <c r="G843" s="8"/>
      <c r="H843" s="8"/>
      <c r="I843" s="10"/>
      <c r="J843" s="28"/>
      <c r="K843" s="28"/>
      <c r="L843" s="8"/>
      <c r="M843" s="8"/>
      <c r="N843" s="8"/>
      <c r="O843" s="12"/>
      <c r="P843" s="13"/>
    </row>
    <row r="844" s="6" customFormat="1" spans="1:16">
      <c r="A844" s="23"/>
      <c r="B844" s="8"/>
      <c r="C844" s="25"/>
      <c r="D844" s="8"/>
      <c r="E844" s="8"/>
      <c r="F844" s="8"/>
      <c r="G844" s="8"/>
      <c r="H844" s="8"/>
      <c r="I844" s="10"/>
      <c r="J844" s="28"/>
      <c r="K844" s="28"/>
      <c r="L844" s="8"/>
      <c r="M844" s="8"/>
      <c r="N844" s="8"/>
      <c r="O844" s="12"/>
      <c r="P844" s="13"/>
    </row>
    <row r="845" s="6" customFormat="1" spans="1:16">
      <c r="A845" s="23"/>
      <c r="B845" s="8"/>
      <c r="C845" s="25"/>
      <c r="D845" s="8"/>
      <c r="E845" s="8"/>
      <c r="F845" s="8"/>
      <c r="G845" s="8"/>
      <c r="H845" s="8"/>
      <c r="I845" s="10"/>
      <c r="J845" s="28"/>
      <c r="K845" s="28"/>
      <c r="L845" s="8"/>
      <c r="M845" s="8"/>
      <c r="N845" s="8"/>
      <c r="O845" s="12"/>
      <c r="P845" s="13"/>
    </row>
    <row r="846" s="6" customFormat="1" spans="1:16">
      <c r="A846" s="23"/>
      <c r="B846" s="8"/>
      <c r="C846" s="25"/>
      <c r="D846" s="8"/>
      <c r="E846" s="8"/>
      <c r="F846" s="8"/>
      <c r="G846" s="8"/>
      <c r="H846" s="8"/>
      <c r="I846" s="10"/>
      <c r="J846" s="28"/>
      <c r="K846" s="28"/>
      <c r="L846" s="8"/>
      <c r="M846" s="8"/>
      <c r="N846" s="8"/>
      <c r="O846" s="12"/>
      <c r="P846" s="13"/>
    </row>
    <row r="847" s="6" customFormat="1" spans="1:16">
      <c r="A847" s="23"/>
      <c r="B847" s="8"/>
      <c r="C847" s="25"/>
      <c r="D847" s="8"/>
      <c r="E847" s="8"/>
      <c r="F847" s="8"/>
      <c r="G847" s="8"/>
      <c r="H847" s="8"/>
      <c r="I847" s="10"/>
      <c r="J847" s="28"/>
      <c r="K847" s="28"/>
      <c r="L847" s="8"/>
      <c r="M847" s="8"/>
      <c r="N847" s="8"/>
      <c r="O847" s="12"/>
      <c r="P847" s="13"/>
    </row>
    <row r="848" s="6" customFormat="1" spans="1:16">
      <c r="A848" s="23"/>
      <c r="B848" s="8"/>
      <c r="C848" s="25"/>
      <c r="D848" s="8"/>
      <c r="E848" s="8"/>
      <c r="F848" s="8"/>
      <c r="G848" s="8"/>
      <c r="H848" s="8"/>
      <c r="I848" s="10"/>
      <c r="J848" s="28"/>
      <c r="K848" s="28"/>
      <c r="L848" s="8"/>
      <c r="M848" s="8"/>
      <c r="N848" s="8"/>
      <c r="O848" s="12"/>
      <c r="P848" s="13"/>
    </row>
    <row r="849" s="6" customFormat="1" spans="1:16">
      <c r="A849" s="23"/>
      <c r="B849" s="8"/>
      <c r="C849" s="25"/>
      <c r="D849" s="8"/>
      <c r="E849" s="8"/>
      <c r="F849" s="8"/>
      <c r="G849" s="8"/>
      <c r="H849" s="8"/>
      <c r="I849" s="10"/>
      <c r="J849" s="28"/>
      <c r="K849" s="28"/>
      <c r="L849" s="8"/>
      <c r="M849" s="8"/>
      <c r="N849" s="8"/>
      <c r="O849" s="12"/>
      <c r="P849" s="13"/>
    </row>
    <row r="850" s="6" customFormat="1" spans="1:16">
      <c r="A850" s="23"/>
      <c r="B850" s="8"/>
      <c r="C850" s="25"/>
      <c r="D850" s="8"/>
      <c r="E850" s="8"/>
      <c r="F850" s="8"/>
      <c r="G850" s="8"/>
      <c r="H850" s="8"/>
      <c r="I850" s="10"/>
      <c r="J850" s="28"/>
      <c r="K850" s="28"/>
      <c r="L850" s="8"/>
      <c r="M850" s="8"/>
      <c r="N850" s="8"/>
      <c r="O850" s="12"/>
      <c r="P850" s="13"/>
    </row>
    <row r="851" s="6" customFormat="1" spans="1:16">
      <c r="A851" s="23"/>
      <c r="B851" s="8"/>
      <c r="C851" s="25"/>
      <c r="D851" s="8"/>
      <c r="E851" s="8"/>
      <c r="F851" s="8"/>
      <c r="G851" s="8"/>
      <c r="H851" s="8"/>
      <c r="I851" s="10"/>
      <c r="J851" s="28"/>
      <c r="K851" s="28"/>
      <c r="L851" s="8"/>
      <c r="M851" s="8"/>
      <c r="N851" s="8"/>
      <c r="O851" s="12"/>
      <c r="P851" s="13"/>
    </row>
    <row r="852" s="6" customFormat="1" spans="1:16">
      <c r="A852" s="23"/>
      <c r="B852" s="8"/>
      <c r="C852" s="25"/>
      <c r="D852" s="8"/>
      <c r="E852" s="8"/>
      <c r="F852" s="8"/>
      <c r="G852" s="8"/>
      <c r="H852" s="8"/>
      <c r="I852" s="10"/>
      <c r="J852" s="28"/>
      <c r="K852" s="28"/>
      <c r="L852" s="8"/>
      <c r="M852" s="8"/>
      <c r="N852" s="8"/>
      <c r="O852" s="12"/>
      <c r="P852" s="13"/>
    </row>
    <row r="853" s="6" customFormat="1" spans="1:16">
      <c r="A853" s="23"/>
      <c r="B853" s="8"/>
      <c r="C853" s="25"/>
      <c r="D853" s="8"/>
      <c r="E853" s="8"/>
      <c r="F853" s="8"/>
      <c r="G853" s="8"/>
      <c r="H853" s="8"/>
      <c r="I853" s="10"/>
      <c r="J853" s="28"/>
      <c r="K853" s="28"/>
      <c r="L853" s="8"/>
      <c r="M853" s="8"/>
      <c r="N853" s="8"/>
      <c r="O853" s="12"/>
      <c r="P853" s="13"/>
    </row>
    <row r="854" s="6" customFormat="1" spans="1:16">
      <c r="A854" s="23"/>
      <c r="B854" s="8"/>
      <c r="C854" s="25"/>
      <c r="D854" s="8"/>
      <c r="E854" s="8"/>
      <c r="F854" s="8"/>
      <c r="G854" s="8"/>
      <c r="H854" s="8"/>
      <c r="I854" s="10"/>
      <c r="J854" s="28"/>
      <c r="K854" s="28"/>
      <c r="L854" s="8"/>
      <c r="M854" s="8"/>
      <c r="N854" s="8"/>
      <c r="O854" s="12"/>
      <c r="P854" s="13"/>
    </row>
    <row r="855" s="6" customFormat="1" spans="1:16">
      <c r="A855" s="23"/>
      <c r="B855" s="8"/>
      <c r="C855" s="25"/>
      <c r="D855" s="8"/>
      <c r="E855" s="8"/>
      <c r="F855" s="8"/>
      <c r="G855" s="8"/>
      <c r="H855" s="8"/>
      <c r="I855" s="10"/>
      <c r="J855" s="28"/>
      <c r="K855" s="28"/>
      <c r="L855" s="8"/>
      <c r="M855" s="8"/>
      <c r="N855" s="8"/>
      <c r="O855" s="12"/>
      <c r="P855" s="13"/>
    </row>
    <row r="856" s="6" customFormat="1" spans="1:16">
      <c r="A856" s="23"/>
      <c r="B856" s="8"/>
      <c r="C856" s="25"/>
      <c r="D856" s="8"/>
      <c r="E856" s="8"/>
      <c r="F856" s="8"/>
      <c r="G856" s="8"/>
      <c r="H856" s="8"/>
      <c r="I856" s="10"/>
      <c r="J856" s="28"/>
      <c r="K856" s="28"/>
      <c r="L856" s="8"/>
      <c r="M856" s="8"/>
      <c r="N856" s="8"/>
      <c r="O856" s="12"/>
      <c r="P856" s="13"/>
    </row>
    <row r="857" s="6" customFormat="1" spans="1:16">
      <c r="A857" s="23"/>
      <c r="B857" s="8"/>
      <c r="C857" s="25"/>
      <c r="D857" s="8"/>
      <c r="E857" s="8"/>
      <c r="F857" s="8"/>
      <c r="G857" s="8"/>
      <c r="H857" s="8"/>
      <c r="I857" s="10"/>
      <c r="J857" s="28"/>
      <c r="K857" s="28"/>
      <c r="L857" s="8"/>
      <c r="M857" s="8"/>
      <c r="N857" s="8"/>
      <c r="O857" s="12"/>
      <c r="P857" s="13"/>
    </row>
    <row r="858" s="6" customFormat="1" spans="1:16">
      <c r="A858" s="23"/>
      <c r="B858" s="8"/>
      <c r="C858" s="25"/>
      <c r="D858" s="8"/>
      <c r="E858" s="8"/>
      <c r="F858" s="8"/>
      <c r="G858" s="8"/>
      <c r="H858" s="8"/>
      <c r="I858" s="10"/>
      <c r="J858" s="28"/>
      <c r="K858" s="28"/>
      <c r="L858" s="8"/>
      <c r="M858" s="8"/>
      <c r="N858" s="8"/>
      <c r="O858" s="12"/>
      <c r="P858" s="13"/>
    </row>
    <row r="859" s="6" customFormat="1" spans="1:16">
      <c r="A859" s="23"/>
      <c r="B859" s="8"/>
      <c r="C859" s="25"/>
      <c r="D859" s="8"/>
      <c r="E859" s="8"/>
      <c r="F859" s="8"/>
      <c r="G859" s="8"/>
      <c r="H859" s="8"/>
      <c r="I859" s="10"/>
      <c r="J859" s="28"/>
      <c r="K859" s="28"/>
      <c r="L859" s="8"/>
      <c r="M859" s="8"/>
      <c r="N859" s="8"/>
      <c r="O859" s="12"/>
      <c r="P859" s="13"/>
    </row>
    <row r="860" s="6" customFormat="1" spans="1:16">
      <c r="A860" s="23"/>
      <c r="B860" s="8"/>
      <c r="C860" s="25"/>
      <c r="D860" s="8"/>
      <c r="E860" s="8"/>
      <c r="F860" s="8"/>
      <c r="G860" s="8"/>
      <c r="H860" s="8"/>
      <c r="I860" s="10"/>
      <c r="J860" s="28"/>
      <c r="K860" s="28"/>
      <c r="L860" s="8"/>
      <c r="M860" s="8"/>
      <c r="N860" s="8"/>
      <c r="O860" s="12"/>
      <c r="P860" s="13"/>
    </row>
    <row r="861" s="6" customFormat="1" spans="1:16">
      <c r="A861" s="23"/>
      <c r="B861" s="8"/>
      <c r="C861" s="25"/>
      <c r="D861" s="8"/>
      <c r="E861" s="8"/>
      <c r="F861" s="8"/>
      <c r="G861" s="8"/>
      <c r="H861" s="8"/>
      <c r="I861" s="10"/>
      <c r="J861" s="28"/>
      <c r="K861" s="28"/>
      <c r="L861" s="8"/>
      <c r="M861" s="8"/>
      <c r="N861" s="8"/>
      <c r="O861" s="12"/>
      <c r="P861" s="13"/>
    </row>
    <row r="862" s="6" customFormat="1" spans="1:16">
      <c r="A862" s="23"/>
      <c r="B862" s="8"/>
      <c r="C862" s="25"/>
      <c r="D862" s="8"/>
      <c r="E862" s="8"/>
      <c r="F862" s="8"/>
      <c r="G862" s="8"/>
      <c r="H862" s="8"/>
      <c r="I862" s="10"/>
      <c r="J862" s="28"/>
      <c r="K862" s="28"/>
      <c r="L862" s="8"/>
      <c r="M862" s="8"/>
      <c r="N862" s="8"/>
      <c r="O862" s="12"/>
      <c r="P862" s="13"/>
    </row>
    <row r="863" s="6" customFormat="1" spans="1:16">
      <c r="A863" s="23"/>
      <c r="B863" s="8"/>
      <c r="C863" s="25"/>
      <c r="D863" s="8"/>
      <c r="E863" s="8"/>
      <c r="F863" s="8"/>
      <c r="G863" s="8"/>
      <c r="H863" s="8"/>
      <c r="I863" s="10"/>
      <c r="J863" s="28"/>
      <c r="K863" s="28"/>
      <c r="L863" s="8"/>
      <c r="M863" s="8"/>
      <c r="N863" s="8"/>
      <c r="O863" s="12"/>
      <c r="P863" s="13"/>
    </row>
    <row r="864" s="6" customFormat="1" spans="1:16">
      <c r="A864" s="23"/>
      <c r="B864" s="8"/>
      <c r="C864" s="25"/>
      <c r="D864" s="8"/>
      <c r="E864" s="8"/>
      <c r="F864" s="8"/>
      <c r="G864" s="8"/>
      <c r="H864" s="8"/>
      <c r="I864" s="10"/>
      <c r="J864" s="28"/>
      <c r="K864" s="28"/>
      <c r="L864" s="8"/>
      <c r="M864" s="8"/>
      <c r="N864" s="8"/>
      <c r="O864" s="12"/>
      <c r="P864" s="13"/>
    </row>
    <row r="865" s="6" customFormat="1" spans="1:16">
      <c r="A865" s="23"/>
      <c r="B865" s="8"/>
      <c r="C865" s="25"/>
      <c r="D865" s="8"/>
      <c r="E865" s="8"/>
      <c r="F865" s="8"/>
      <c r="G865" s="8"/>
      <c r="H865" s="8"/>
      <c r="I865" s="10"/>
      <c r="J865" s="28"/>
      <c r="K865" s="28"/>
      <c r="L865" s="8"/>
      <c r="M865" s="8"/>
      <c r="N865" s="8"/>
      <c r="O865" s="12"/>
      <c r="P865" s="13"/>
    </row>
    <row r="866" s="6" customFormat="1" spans="1:16">
      <c r="A866" s="23"/>
      <c r="B866" s="8"/>
      <c r="C866" s="25"/>
      <c r="D866" s="8"/>
      <c r="E866" s="8"/>
      <c r="F866" s="8"/>
      <c r="G866" s="8"/>
      <c r="H866" s="8"/>
      <c r="I866" s="10"/>
      <c r="J866" s="28"/>
      <c r="K866" s="28"/>
      <c r="L866" s="8"/>
      <c r="M866" s="8"/>
      <c r="N866" s="8"/>
      <c r="O866" s="12"/>
      <c r="P866" s="13"/>
    </row>
    <row r="867" s="6" customFormat="1" spans="1:16">
      <c r="A867" s="23"/>
      <c r="B867" s="8"/>
      <c r="C867" s="25"/>
      <c r="D867" s="8"/>
      <c r="E867" s="8"/>
      <c r="F867" s="8"/>
      <c r="G867" s="8"/>
      <c r="H867" s="8"/>
      <c r="I867" s="10"/>
      <c r="J867" s="28"/>
      <c r="K867" s="28"/>
      <c r="L867" s="8"/>
      <c r="M867" s="8"/>
      <c r="N867" s="8"/>
      <c r="O867" s="12"/>
      <c r="P867" s="13"/>
    </row>
    <row r="868" s="6" customFormat="1" spans="1:16">
      <c r="A868" s="23"/>
      <c r="B868" s="8"/>
      <c r="C868" s="25"/>
      <c r="D868" s="8"/>
      <c r="E868" s="8"/>
      <c r="F868" s="8"/>
      <c r="G868" s="8"/>
      <c r="H868" s="8"/>
      <c r="I868" s="10"/>
      <c r="J868" s="28"/>
      <c r="K868" s="28"/>
      <c r="L868" s="8"/>
      <c r="M868" s="8"/>
      <c r="N868" s="8"/>
      <c r="O868" s="12"/>
      <c r="P868" s="13"/>
    </row>
    <row r="869" s="6" customFormat="1" spans="1:16">
      <c r="A869" s="23"/>
      <c r="B869" s="8"/>
      <c r="C869" s="25"/>
      <c r="D869" s="8"/>
      <c r="E869" s="8"/>
      <c r="F869" s="8"/>
      <c r="G869" s="8"/>
      <c r="H869" s="8"/>
      <c r="I869" s="10"/>
      <c r="J869" s="28"/>
      <c r="K869" s="28"/>
      <c r="L869" s="8"/>
      <c r="M869" s="8"/>
      <c r="N869" s="8"/>
      <c r="O869" s="12"/>
      <c r="P869" s="13"/>
    </row>
    <row r="870" s="6" customFormat="1" spans="1:16">
      <c r="A870" s="23"/>
      <c r="B870" s="8"/>
      <c r="C870" s="25"/>
      <c r="D870" s="8"/>
      <c r="E870" s="8"/>
      <c r="F870" s="8"/>
      <c r="G870" s="8"/>
      <c r="H870" s="8"/>
      <c r="I870" s="10"/>
      <c r="J870" s="28"/>
      <c r="K870" s="28"/>
      <c r="L870" s="8"/>
      <c r="M870" s="8"/>
      <c r="N870" s="8"/>
      <c r="O870" s="12"/>
      <c r="P870" s="13"/>
    </row>
    <row r="871" s="6" customFormat="1" spans="1:16">
      <c r="A871" s="23"/>
      <c r="B871" s="8"/>
      <c r="C871" s="25"/>
      <c r="D871" s="8"/>
      <c r="E871" s="8"/>
      <c r="F871" s="8"/>
      <c r="G871" s="8"/>
      <c r="H871" s="8"/>
      <c r="I871" s="10"/>
      <c r="J871" s="28"/>
      <c r="K871" s="28"/>
      <c r="L871" s="8"/>
      <c r="M871" s="8"/>
      <c r="N871" s="8"/>
      <c r="O871" s="12"/>
      <c r="P871" s="13"/>
    </row>
    <row r="872" s="6" customFormat="1" spans="1:16">
      <c r="A872" s="23"/>
      <c r="B872" s="8"/>
      <c r="C872" s="25"/>
      <c r="D872" s="8"/>
      <c r="E872" s="8"/>
      <c r="F872" s="8"/>
      <c r="G872" s="8"/>
      <c r="H872" s="8"/>
      <c r="I872" s="10"/>
      <c r="J872" s="28"/>
      <c r="K872" s="28"/>
      <c r="L872" s="8"/>
      <c r="M872" s="8"/>
      <c r="N872" s="8"/>
      <c r="O872" s="12"/>
      <c r="P872" s="13"/>
    </row>
    <row r="873" s="6" customFormat="1" spans="1:16">
      <c r="A873" s="23"/>
      <c r="B873" s="8"/>
      <c r="C873" s="25"/>
      <c r="D873" s="8"/>
      <c r="E873" s="8"/>
      <c r="F873" s="8"/>
      <c r="G873" s="8"/>
      <c r="H873" s="8"/>
      <c r="I873" s="10"/>
      <c r="J873" s="28"/>
      <c r="K873" s="8"/>
      <c r="L873" s="8"/>
      <c r="M873" s="8"/>
      <c r="N873" s="8"/>
      <c r="O873" s="12"/>
      <c r="P873" s="13"/>
    </row>
    <row r="874" s="6" customFormat="1" spans="1:16">
      <c r="A874" s="23"/>
      <c r="B874" s="8"/>
      <c r="C874" s="25"/>
      <c r="D874" s="8"/>
      <c r="E874" s="8"/>
      <c r="F874" s="8"/>
      <c r="G874" s="8"/>
      <c r="H874" s="8"/>
      <c r="I874" s="10"/>
      <c r="J874" s="28"/>
      <c r="K874" s="8"/>
      <c r="L874" s="8"/>
      <c r="M874" s="8"/>
      <c r="N874" s="8"/>
      <c r="O874" s="12"/>
      <c r="P874" s="13"/>
    </row>
    <row r="875" s="6" customFormat="1" spans="1:16">
      <c r="A875" s="23"/>
      <c r="B875" s="8"/>
      <c r="C875" s="25"/>
      <c r="D875" s="8"/>
      <c r="E875" s="8"/>
      <c r="F875" s="8"/>
      <c r="G875" s="8"/>
      <c r="H875" s="8"/>
      <c r="I875" s="10"/>
      <c r="J875" s="28"/>
      <c r="K875" s="8"/>
      <c r="L875" s="8"/>
      <c r="M875" s="8"/>
      <c r="N875" s="8"/>
      <c r="O875" s="12"/>
      <c r="P875" s="13"/>
    </row>
    <row r="876" s="6" customFormat="1" spans="1:16">
      <c r="A876" s="23"/>
      <c r="B876" s="8"/>
      <c r="C876" s="25"/>
      <c r="D876" s="8"/>
      <c r="E876" s="8"/>
      <c r="F876" s="8"/>
      <c r="G876" s="8"/>
      <c r="H876" s="8"/>
      <c r="I876" s="10"/>
      <c r="J876" s="28"/>
      <c r="K876" s="8"/>
      <c r="L876" s="8"/>
      <c r="M876" s="8"/>
      <c r="N876" s="8"/>
      <c r="O876" s="12"/>
      <c r="P876" s="13"/>
    </row>
    <row r="877" s="6" customFormat="1" spans="1:16">
      <c r="A877" s="23"/>
      <c r="B877" s="8"/>
      <c r="C877" s="25"/>
      <c r="D877" s="8"/>
      <c r="E877" s="8"/>
      <c r="F877" s="8"/>
      <c r="G877" s="8"/>
      <c r="H877" s="8"/>
      <c r="I877" s="10"/>
      <c r="J877" s="28"/>
      <c r="K877" s="8"/>
      <c r="L877" s="8"/>
      <c r="M877" s="8"/>
      <c r="N877" s="8"/>
      <c r="O877" s="12"/>
      <c r="P877" s="13"/>
    </row>
    <row r="878" s="6" customFormat="1" spans="1:16">
      <c r="A878" s="23"/>
      <c r="B878" s="8"/>
      <c r="C878" s="25"/>
      <c r="D878" s="8"/>
      <c r="E878" s="8"/>
      <c r="F878" s="8"/>
      <c r="G878" s="8"/>
      <c r="H878" s="8"/>
      <c r="I878" s="10"/>
      <c r="J878" s="28"/>
      <c r="K878" s="8"/>
      <c r="L878" s="8"/>
      <c r="M878" s="8"/>
      <c r="N878" s="8"/>
      <c r="O878" s="12"/>
      <c r="P878" s="13"/>
    </row>
    <row r="879" s="6" customFormat="1" spans="1:16">
      <c r="A879" s="23"/>
      <c r="B879" s="8"/>
      <c r="C879" s="25"/>
      <c r="D879" s="8"/>
      <c r="E879" s="8"/>
      <c r="F879" s="8"/>
      <c r="G879" s="8"/>
      <c r="H879" s="8"/>
      <c r="I879" s="10"/>
      <c r="J879" s="28"/>
      <c r="K879" s="8"/>
      <c r="L879" s="8"/>
      <c r="M879" s="8"/>
      <c r="N879" s="8"/>
      <c r="O879" s="12"/>
      <c r="P879" s="13"/>
    </row>
    <row r="880" s="6" customFormat="1" spans="1:16">
      <c r="A880" s="23"/>
      <c r="B880" s="8"/>
      <c r="C880" s="25"/>
      <c r="D880" s="8"/>
      <c r="E880" s="8"/>
      <c r="F880" s="8"/>
      <c r="G880" s="8"/>
      <c r="H880" s="8"/>
      <c r="I880" s="10"/>
      <c r="J880" s="28"/>
      <c r="K880" s="8"/>
      <c r="L880" s="8"/>
      <c r="M880" s="8"/>
      <c r="N880" s="8"/>
      <c r="O880" s="12"/>
      <c r="P880" s="13"/>
    </row>
    <row r="881" s="6" customFormat="1" spans="1:16">
      <c r="A881" s="23"/>
      <c r="B881" s="8"/>
      <c r="C881" s="25"/>
      <c r="D881" s="8"/>
      <c r="E881" s="8"/>
      <c r="F881" s="8"/>
      <c r="G881" s="8"/>
      <c r="H881" s="8"/>
      <c r="I881" s="10"/>
      <c r="J881" s="28"/>
      <c r="K881" s="8"/>
      <c r="L881" s="8"/>
      <c r="M881" s="8"/>
      <c r="N881" s="8"/>
      <c r="O881" s="12"/>
      <c r="P881" s="13"/>
    </row>
    <row r="882" s="6" customFormat="1" spans="1:16">
      <c r="A882" s="23"/>
      <c r="B882" s="8"/>
      <c r="C882" s="25"/>
      <c r="D882" s="8"/>
      <c r="E882" s="8"/>
      <c r="F882" s="8"/>
      <c r="G882" s="8"/>
      <c r="H882" s="8"/>
      <c r="I882" s="10"/>
      <c r="J882" s="28"/>
      <c r="K882" s="8"/>
      <c r="L882" s="8"/>
      <c r="M882" s="8"/>
      <c r="N882" s="8"/>
      <c r="O882" s="12"/>
      <c r="P882" s="13"/>
    </row>
    <row r="883" s="6" customFormat="1" spans="1:16">
      <c r="A883" s="23"/>
      <c r="B883" s="8"/>
      <c r="C883" s="25"/>
      <c r="D883" s="8"/>
      <c r="E883" s="8"/>
      <c r="F883" s="8"/>
      <c r="G883" s="8"/>
      <c r="H883" s="8"/>
      <c r="I883" s="10"/>
      <c r="J883" s="28"/>
      <c r="K883" s="8"/>
      <c r="L883" s="8"/>
      <c r="M883" s="8"/>
      <c r="N883" s="8"/>
      <c r="O883" s="12"/>
      <c r="P883" s="13"/>
    </row>
    <row r="884" s="6" customFormat="1" spans="1:16">
      <c r="A884" s="23"/>
      <c r="B884" s="8"/>
      <c r="C884" s="25"/>
      <c r="D884" s="8"/>
      <c r="E884" s="8"/>
      <c r="F884" s="8"/>
      <c r="G884" s="8"/>
      <c r="H884" s="8"/>
      <c r="I884" s="10"/>
      <c r="J884" s="28"/>
      <c r="K884" s="8"/>
      <c r="L884" s="8"/>
      <c r="M884" s="8"/>
      <c r="N884" s="8"/>
      <c r="O884" s="12"/>
      <c r="P884" s="13"/>
    </row>
    <row r="885" s="6" customFormat="1" spans="1:16">
      <c r="A885" s="23"/>
      <c r="B885" s="8"/>
      <c r="C885" s="25"/>
      <c r="D885" s="8"/>
      <c r="E885" s="8"/>
      <c r="F885" s="8"/>
      <c r="G885" s="8"/>
      <c r="H885" s="8"/>
      <c r="I885" s="10"/>
      <c r="J885" s="28"/>
      <c r="K885" s="8"/>
      <c r="L885" s="8"/>
      <c r="M885" s="8"/>
      <c r="N885" s="8"/>
      <c r="O885" s="12"/>
      <c r="P885" s="13"/>
    </row>
    <row r="886" s="6" customFormat="1" spans="1:16">
      <c r="A886" s="23"/>
      <c r="B886" s="8"/>
      <c r="C886" s="25"/>
      <c r="D886" s="8"/>
      <c r="E886" s="8"/>
      <c r="F886" s="8"/>
      <c r="G886" s="8"/>
      <c r="H886" s="8"/>
      <c r="I886" s="10"/>
      <c r="J886" s="11"/>
      <c r="K886" s="8"/>
      <c r="L886" s="8"/>
      <c r="M886" s="8"/>
      <c r="N886" s="8"/>
      <c r="O886" s="12"/>
      <c r="P886" s="13"/>
    </row>
    <row r="887" spans="1:16">
      <c r="A887" s="23"/>
      <c r="C887" s="25"/>
    </row>
    <row r="888" spans="1:16">
      <c r="A888" s="23"/>
      <c r="C888" s="25"/>
    </row>
    <row r="889" spans="1:16">
      <c r="A889" s="23"/>
      <c r="C889" s="25"/>
    </row>
    <row r="890" spans="1:16">
      <c r="A890" s="23"/>
      <c r="C890" s="25"/>
    </row>
    <row r="891" spans="1:16">
      <c r="A891" s="23"/>
      <c r="C891" s="25"/>
    </row>
    <row r="892" spans="1:16">
      <c r="A892" s="23"/>
      <c r="C892" s="25"/>
    </row>
    <row r="893" spans="1:16">
      <c r="A893" s="23"/>
      <c r="C893" s="25"/>
    </row>
    <row r="894" spans="1:16">
      <c r="A894" s="23"/>
      <c r="C894" s="25"/>
    </row>
    <row r="895" spans="1:16">
      <c r="A895" s="23"/>
      <c r="C895" s="25"/>
    </row>
    <row r="896" spans="1:16">
      <c r="A896" s="23"/>
      <c r="C896" s="25"/>
    </row>
    <row r="897" spans="1:3">
      <c r="A897" s="23"/>
      <c r="C897" s="25"/>
    </row>
    <row r="898" spans="1:3">
      <c r="A898" s="23"/>
      <c r="C898" s="25"/>
    </row>
    <row r="899" spans="1:3">
      <c r="A899" s="23"/>
      <c r="C899" s="25"/>
    </row>
    <row r="900" spans="1:3">
      <c r="A900" s="23"/>
      <c r="C900" s="25"/>
    </row>
    <row r="901" spans="1:3">
      <c r="A901" s="23"/>
      <c r="C901" s="25"/>
    </row>
    <row r="902" spans="1:3">
      <c r="A902" s="23"/>
      <c r="C902" s="25"/>
    </row>
    <row r="903" spans="1:3">
      <c r="A903" s="23"/>
      <c r="C903" s="25"/>
    </row>
    <row r="904" spans="1:3">
      <c r="A904" s="23"/>
      <c r="C904" s="25"/>
    </row>
    <row r="905" spans="1:3">
      <c r="A905" s="23"/>
      <c r="C905" s="25"/>
    </row>
    <row r="906" spans="1:3">
      <c r="A906" s="23"/>
      <c r="C906" s="25"/>
    </row>
    <row r="907" spans="1:3">
      <c r="A907" s="23"/>
      <c r="C907" s="25"/>
    </row>
    <row r="908" spans="1:3">
      <c r="A908" s="23"/>
      <c r="C908" s="25"/>
    </row>
    <row r="909" spans="1:3">
      <c r="A909" s="23"/>
      <c r="C909" s="25"/>
    </row>
    <row r="910" spans="1:3">
      <c r="A910" s="23"/>
      <c r="C910" s="25"/>
    </row>
    <row r="911" spans="1:3">
      <c r="A911" s="23"/>
      <c r="C911" s="25"/>
    </row>
    <row r="912" spans="1:3">
      <c r="A912" s="23"/>
      <c r="C912" s="25"/>
    </row>
    <row r="913" spans="1:16">
      <c r="A913" s="23"/>
      <c r="C913" s="25"/>
    </row>
    <row r="914" spans="1:16">
      <c r="A914" s="23"/>
      <c r="C914" s="25"/>
    </row>
    <row r="915" spans="1:16">
      <c r="A915" s="23"/>
      <c r="C915" s="25"/>
    </row>
    <row r="916" spans="1:16">
      <c r="A916" s="23"/>
      <c r="C916" s="25"/>
    </row>
    <row r="917" spans="1:16">
      <c r="A917" s="23"/>
      <c r="C917" s="25"/>
    </row>
    <row r="918" spans="1:16">
      <c r="A918" s="23"/>
      <c r="C918" s="25"/>
    </row>
    <row r="919" spans="1:16">
      <c r="A919" s="23"/>
      <c r="C919" s="25"/>
    </row>
    <row r="920" spans="1:16">
      <c r="A920" s="23"/>
      <c r="C920" s="25"/>
    </row>
    <row r="921" spans="1:16">
      <c r="A921" s="23"/>
      <c r="C921" s="25"/>
    </row>
    <row r="922" spans="1:16">
      <c r="A922" s="23"/>
      <c r="C922" s="25"/>
    </row>
    <row r="923" s="7" customFormat="1" spans="1:16">
      <c r="A923" s="23"/>
      <c r="B923" s="8"/>
      <c r="C923" s="25"/>
      <c r="D923" s="8"/>
      <c r="E923" s="8"/>
      <c r="F923" s="8"/>
      <c r="G923" s="8"/>
      <c r="H923" s="8"/>
      <c r="I923" s="10"/>
      <c r="J923" s="11"/>
      <c r="K923" s="8"/>
      <c r="L923" s="8"/>
      <c r="M923" s="8"/>
      <c r="N923" s="8"/>
      <c r="O923" s="12"/>
      <c r="P923" s="54"/>
    </row>
    <row r="924" s="7" customFormat="1" spans="1:16">
      <c r="A924" s="23"/>
      <c r="B924" s="8"/>
      <c r="C924" s="25"/>
      <c r="D924" s="8"/>
      <c r="E924" s="8"/>
      <c r="F924" s="8"/>
      <c r="G924" s="8"/>
      <c r="H924" s="8"/>
      <c r="I924" s="10"/>
      <c r="J924" s="11"/>
      <c r="K924" s="8"/>
      <c r="L924" s="8"/>
      <c r="M924" s="8"/>
      <c r="N924" s="8"/>
      <c r="O924" s="12"/>
      <c r="P924" s="54"/>
    </row>
    <row r="925" s="7" customFormat="1" spans="1:16">
      <c r="A925" s="23"/>
      <c r="B925" s="8"/>
      <c r="C925" s="25"/>
      <c r="D925" s="8"/>
      <c r="E925" s="8"/>
      <c r="F925" s="8"/>
      <c r="G925" s="8"/>
      <c r="H925" s="8"/>
      <c r="I925" s="10"/>
      <c r="J925" s="11"/>
      <c r="K925" s="8"/>
      <c r="L925" s="8"/>
      <c r="M925" s="8"/>
      <c r="N925" s="8"/>
      <c r="O925" s="12"/>
      <c r="P925" s="54"/>
    </row>
    <row r="926" spans="1:16">
      <c r="A926" s="23"/>
      <c r="C926" s="25"/>
    </row>
    <row r="927" spans="1:16">
      <c r="A927" s="23"/>
      <c r="C927" s="25"/>
    </row>
    <row r="928" spans="1:16">
      <c r="A928" s="23"/>
      <c r="C928" s="25"/>
    </row>
    <row r="929" spans="1:16">
      <c r="A929" s="23"/>
      <c r="C929" s="25"/>
    </row>
    <row r="930" spans="1:16">
      <c r="A930" s="23"/>
      <c r="C930" s="25"/>
    </row>
    <row r="931" spans="1:16">
      <c r="A931" s="23"/>
      <c r="C931" s="25"/>
    </row>
    <row r="932" spans="1:16">
      <c r="A932" s="23"/>
      <c r="C932" s="25"/>
      <c r="E932" s="25"/>
    </row>
    <row r="933" spans="1:16">
      <c r="A933" s="23"/>
      <c r="C933" s="25"/>
    </row>
    <row r="934" spans="1:16">
      <c r="A934" s="23"/>
      <c r="C934" s="25"/>
    </row>
    <row r="935" s="6" customFormat="1" spans="1:16">
      <c r="A935" s="23"/>
      <c r="B935" s="8"/>
      <c r="C935" s="25"/>
      <c r="D935" s="8"/>
      <c r="E935" s="8"/>
      <c r="F935" s="8"/>
      <c r="G935" s="8"/>
      <c r="H935" s="8"/>
      <c r="I935" s="10"/>
      <c r="J935" s="11"/>
      <c r="K935" s="8"/>
      <c r="L935" s="8"/>
      <c r="M935" s="8"/>
      <c r="N935" s="8"/>
      <c r="O935" s="12"/>
      <c r="P935" s="13"/>
    </row>
    <row r="936" s="6" customFormat="1" spans="1:16">
      <c r="A936" s="23"/>
      <c r="B936" s="8"/>
      <c r="C936" s="25"/>
      <c r="D936" s="8"/>
      <c r="E936" s="8"/>
      <c r="F936" s="8"/>
      <c r="G936" s="8"/>
      <c r="H936" s="8"/>
      <c r="I936" s="10"/>
      <c r="J936" s="11"/>
      <c r="K936" s="8"/>
      <c r="L936" s="8"/>
      <c r="M936" s="8"/>
      <c r="N936" s="8"/>
      <c r="O936" s="12"/>
      <c r="P936" s="13"/>
    </row>
    <row r="937" s="6" customFormat="1" spans="1:16">
      <c r="A937" s="23"/>
      <c r="B937" s="8"/>
      <c r="C937" s="25"/>
      <c r="D937" s="8"/>
      <c r="E937" s="8"/>
      <c r="F937" s="8"/>
      <c r="G937" s="8"/>
      <c r="H937" s="8"/>
      <c r="I937" s="10"/>
      <c r="J937" s="11"/>
      <c r="K937" s="8"/>
      <c r="L937" s="8"/>
      <c r="M937" s="8"/>
      <c r="N937" s="8"/>
      <c r="O937" s="12"/>
      <c r="P937" s="13"/>
    </row>
    <row r="938" s="6" customFormat="1" spans="1:16">
      <c r="A938" s="23"/>
      <c r="B938" s="8"/>
      <c r="C938" s="25"/>
      <c r="D938" s="8"/>
      <c r="E938" s="8"/>
      <c r="F938" s="8"/>
      <c r="G938" s="8"/>
      <c r="H938" s="8"/>
      <c r="I938" s="10"/>
      <c r="J938" s="11"/>
      <c r="K938" s="8"/>
      <c r="L938" s="8"/>
      <c r="M938" s="8"/>
      <c r="N938" s="8"/>
      <c r="O938" s="12"/>
      <c r="P938" s="13"/>
    </row>
    <row r="939" s="6" customFormat="1" spans="1:16">
      <c r="A939" s="23"/>
      <c r="B939" s="8"/>
      <c r="C939" s="25"/>
      <c r="D939" s="8"/>
      <c r="E939" s="8"/>
      <c r="F939" s="8"/>
      <c r="G939" s="8"/>
      <c r="H939" s="8"/>
      <c r="I939" s="10"/>
      <c r="J939" s="11"/>
      <c r="K939" s="8"/>
      <c r="L939" s="8"/>
      <c r="M939" s="8"/>
      <c r="N939" s="8"/>
      <c r="O939" s="12"/>
      <c r="P939" s="13"/>
    </row>
    <row r="940" s="6" customFormat="1" spans="1:16">
      <c r="A940" s="23"/>
      <c r="B940" s="8"/>
      <c r="C940" s="25"/>
      <c r="D940" s="8"/>
      <c r="E940" s="8"/>
      <c r="F940" s="8"/>
      <c r="G940" s="8"/>
      <c r="H940" s="8"/>
      <c r="I940" s="10"/>
      <c r="J940" s="11"/>
      <c r="K940" s="8"/>
      <c r="L940" s="8"/>
      <c r="M940" s="8"/>
      <c r="N940" s="8"/>
      <c r="O940" s="12"/>
      <c r="P940" s="13"/>
    </row>
    <row r="941" s="6" customFormat="1" spans="1:16">
      <c r="A941" s="23"/>
      <c r="B941" s="8"/>
      <c r="C941" s="25"/>
      <c r="D941" s="8"/>
      <c r="E941" s="8"/>
      <c r="F941" s="8"/>
      <c r="G941" s="8"/>
      <c r="H941" s="8"/>
      <c r="I941" s="10"/>
      <c r="J941" s="11"/>
      <c r="K941" s="8"/>
      <c r="L941" s="8"/>
      <c r="M941" s="8"/>
      <c r="N941" s="8"/>
      <c r="O941" s="12"/>
      <c r="P941" s="13"/>
    </row>
    <row r="942" s="6" customFormat="1" spans="1:16">
      <c r="A942" s="23"/>
      <c r="B942" s="8"/>
      <c r="C942" s="25"/>
      <c r="D942" s="8"/>
      <c r="E942" s="8"/>
      <c r="F942" s="8"/>
      <c r="G942" s="8"/>
      <c r="H942" s="8"/>
      <c r="I942" s="10"/>
      <c r="J942" s="11"/>
      <c r="K942" s="8"/>
      <c r="L942" s="8"/>
      <c r="M942" s="8"/>
      <c r="N942" s="8"/>
      <c r="O942" s="12"/>
      <c r="P942" s="13"/>
    </row>
    <row r="943" s="6" customFormat="1" spans="1:16">
      <c r="A943" s="23"/>
      <c r="B943" s="8"/>
      <c r="C943" s="25"/>
      <c r="D943" s="8"/>
      <c r="E943" s="8"/>
      <c r="F943" s="8"/>
      <c r="G943" s="8"/>
      <c r="H943" s="8"/>
      <c r="I943" s="10"/>
      <c r="J943" s="11"/>
      <c r="K943" s="8"/>
      <c r="L943" s="8"/>
      <c r="M943" s="8"/>
      <c r="N943" s="8"/>
      <c r="O943" s="12"/>
      <c r="P943" s="13"/>
    </row>
    <row r="944" spans="1:16">
      <c r="A944" s="23"/>
      <c r="C944" s="25"/>
    </row>
    <row r="945" spans="1:3">
      <c r="A945" s="23"/>
      <c r="C945" s="25"/>
    </row>
    <row r="946" spans="1:3">
      <c r="A946" s="23"/>
      <c r="C946" s="25"/>
    </row>
    <row r="947" spans="1:3">
      <c r="A947" s="23"/>
      <c r="C947" s="25"/>
    </row>
    <row r="948" spans="1:3">
      <c r="A948" s="23"/>
      <c r="C948" s="25"/>
    </row>
    <row r="949" spans="1:3">
      <c r="A949" s="23"/>
      <c r="C949" s="25"/>
    </row>
    <row r="950" spans="1:3">
      <c r="A950" s="23"/>
      <c r="C950" s="25"/>
    </row>
    <row r="951" spans="1:3">
      <c r="A951" s="23"/>
      <c r="C951" s="25"/>
    </row>
    <row r="952" spans="1:3">
      <c r="A952" s="23"/>
      <c r="C952" s="25"/>
    </row>
    <row r="953" spans="1:3">
      <c r="A953" s="23"/>
      <c r="C953" s="25"/>
    </row>
    <row r="954" spans="1:3">
      <c r="A954" s="23"/>
      <c r="C954" s="25"/>
    </row>
    <row r="955" spans="1:3">
      <c r="A955" s="23"/>
      <c r="C955" s="25"/>
    </row>
    <row r="956" spans="1:3">
      <c r="A956" s="23"/>
      <c r="C956" s="25"/>
    </row>
    <row r="957" spans="1:3">
      <c r="A957" s="23"/>
      <c r="C957" s="55"/>
    </row>
    <row r="958" spans="1:3">
      <c r="A958" s="23"/>
      <c r="C958" s="55"/>
    </row>
    <row r="959" spans="1:3">
      <c r="A959" s="23"/>
      <c r="C959" s="55"/>
    </row>
    <row r="960" spans="1:3">
      <c r="A960" s="23"/>
      <c r="C960" s="55"/>
    </row>
    <row r="961" spans="1:3">
      <c r="A961" s="23"/>
      <c r="C961" s="55"/>
    </row>
    <row r="962" spans="1:3">
      <c r="A962" s="23"/>
      <c r="C962" s="55"/>
    </row>
    <row r="963" spans="1:3">
      <c r="A963" s="23"/>
      <c r="C963" s="55"/>
    </row>
    <row r="964" spans="1:3">
      <c r="A964" s="23"/>
      <c r="C964" s="55"/>
    </row>
    <row r="965" spans="1:3">
      <c r="A965" s="23"/>
      <c r="C965" s="55"/>
    </row>
    <row r="966" spans="1:3">
      <c r="A966" s="23"/>
      <c r="C966" s="55"/>
    </row>
    <row r="967" spans="1:3">
      <c r="A967" s="23"/>
      <c r="C967" s="55"/>
    </row>
    <row r="968" spans="1:3">
      <c r="A968" s="23"/>
      <c r="C968" s="55"/>
    </row>
    <row r="969" spans="1:3">
      <c r="A969" s="23"/>
      <c r="C969" s="55"/>
    </row>
    <row r="970" spans="1:3">
      <c r="A970" s="23"/>
      <c r="C970" s="55"/>
    </row>
    <row r="971" spans="1:3">
      <c r="A971" s="23"/>
      <c r="C971" s="55"/>
    </row>
    <row r="972" spans="1:3">
      <c r="A972" s="23"/>
      <c r="C972" s="55"/>
    </row>
    <row r="973" spans="1:3">
      <c r="A973" s="23"/>
      <c r="C973" s="55"/>
    </row>
    <row r="974" spans="1:3">
      <c r="A974" s="23"/>
      <c r="C974" s="55"/>
    </row>
    <row r="975" spans="1:3">
      <c r="A975" s="23"/>
      <c r="C975" s="55"/>
    </row>
    <row r="976" spans="1:3">
      <c r="A976" s="23"/>
      <c r="C976" s="55"/>
    </row>
    <row r="977" spans="1:16">
      <c r="A977" s="23"/>
      <c r="C977" s="55"/>
    </row>
    <row r="978" spans="1:16">
      <c r="A978" s="23"/>
      <c r="C978" s="55"/>
    </row>
    <row r="979" spans="1:16">
      <c r="A979" s="23"/>
      <c r="C979" s="55"/>
    </row>
    <row r="980" spans="1:16">
      <c r="A980" s="23"/>
      <c r="C980" s="55"/>
    </row>
    <row r="981" spans="1:16">
      <c r="A981" s="23"/>
      <c r="C981" s="55"/>
    </row>
    <row r="982" spans="1:16">
      <c r="A982" s="23"/>
      <c r="C982" s="55"/>
    </row>
    <row r="983" spans="1:16">
      <c r="A983" s="23"/>
      <c r="C983" s="55"/>
    </row>
    <row r="984" spans="1:16">
      <c r="A984" s="23"/>
      <c r="C984" s="55"/>
    </row>
    <row r="985" spans="1:16">
      <c r="A985" s="23"/>
      <c r="C985" s="55"/>
    </row>
    <row r="986" spans="1:16">
      <c r="A986" s="23"/>
      <c r="C986" s="55"/>
    </row>
    <row r="987" spans="1:16">
      <c r="A987" s="23"/>
      <c r="C987" s="55"/>
    </row>
    <row r="988" spans="1:16">
      <c r="A988" s="23"/>
      <c r="C988" s="55"/>
    </row>
    <row r="989" spans="1:16">
      <c r="A989" s="23"/>
      <c r="C989" s="55"/>
    </row>
    <row r="990" spans="1:16">
      <c r="A990" s="23"/>
      <c r="C990" s="55"/>
    </row>
    <row r="991" spans="1:16">
      <c r="A991" s="23"/>
      <c r="C991" s="55"/>
    </row>
    <row r="992" s="6" customFormat="1" spans="1:16">
      <c r="A992" s="23"/>
      <c r="B992" s="8"/>
      <c r="C992" s="55"/>
      <c r="D992" s="8"/>
      <c r="E992" s="8"/>
      <c r="F992" s="8"/>
      <c r="G992" s="8"/>
      <c r="H992" s="8"/>
      <c r="I992" s="10"/>
      <c r="J992" s="11"/>
      <c r="K992" s="8"/>
      <c r="L992" s="8"/>
      <c r="M992" s="8"/>
      <c r="N992" s="8"/>
      <c r="O992" s="12"/>
      <c r="P992" s="13"/>
    </row>
    <row r="993" s="6" customFormat="1" spans="1:16">
      <c r="A993" s="23"/>
      <c r="B993" s="8"/>
      <c r="C993" s="55"/>
      <c r="D993" s="8"/>
      <c r="E993" s="8"/>
      <c r="F993" s="8"/>
      <c r="G993" s="8"/>
      <c r="H993" s="8"/>
      <c r="I993" s="10"/>
      <c r="J993" s="11"/>
      <c r="K993" s="8"/>
      <c r="L993" s="8"/>
      <c r="M993" s="8"/>
      <c r="N993" s="8"/>
      <c r="O993" s="12"/>
      <c r="P993" s="13"/>
    </row>
    <row r="994" s="6" customFormat="1" spans="1:16">
      <c r="A994" s="23"/>
      <c r="B994" s="8"/>
      <c r="C994" s="55"/>
      <c r="D994" s="8"/>
      <c r="E994" s="8"/>
      <c r="F994" s="8"/>
      <c r="G994" s="8"/>
      <c r="H994" s="8"/>
      <c r="I994" s="10"/>
      <c r="J994" s="11"/>
      <c r="K994" s="8"/>
      <c r="L994" s="8"/>
      <c r="M994" s="8"/>
      <c r="N994" s="8"/>
      <c r="O994" s="12"/>
      <c r="P994" s="13"/>
    </row>
    <row r="995" s="6" customFormat="1" spans="1:16">
      <c r="A995" s="23"/>
      <c r="B995" s="8"/>
      <c r="C995" s="55"/>
      <c r="D995" s="8"/>
      <c r="E995" s="8"/>
      <c r="F995" s="8"/>
      <c r="G995" s="8"/>
      <c r="H995" s="8"/>
      <c r="I995" s="10"/>
      <c r="J995" s="11"/>
      <c r="K995" s="8"/>
      <c r="L995" s="8"/>
      <c r="M995" s="8"/>
      <c r="N995" s="8"/>
      <c r="O995" s="12"/>
      <c r="P995" s="13"/>
    </row>
    <row r="996" s="6" customFormat="1" spans="1:16">
      <c r="A996" s="23"/>
      <c r="B996" s="8"/>
      <c r="C996" s="55"/>
      <c r="D996" s="8"/>
      <c r="E996" s="8"/>
      <c r="F996" s="8"/>
      <c r="G996" s="8"/>
      <c r="H996" s="8"/>
      <c r="I996" s="10"/>
      <c r="J996" s="11"/>
      <c r="K996" s="8"/>
      <c r="L996" s="8"/>
      <c r="M996" s="8"/>
      <c r="N996" s="8"/>
      <c r="O996" s="12"/>
      <c r="P996" s="13"/>
    </row>
    <row r="997" s="6" customFormat="1" spans="1:16">
      <c r="A997" s="23"/>
      <c r="B997" s="8"/>
      <c r="C997" s="55"/>
      <c r="D997" s="8"/>
      <c r="E997" s="8"/>
      <c r="F997" s="8"/>
      <c r="G997" s="8"/>
      <c r="H997" s="8"/>
      <c r="I997" s="10"/>
      <c r="J997" s="11"/>
      <c r="K997" s="8"/>
      <c r="L997" s="8"/>
      <c r="M997" s="8"/>
      <c r="N997" s="8"/>
      <c r="O997" s="12"/>
      <c r="P997" s="13"/>
    </row>
    <row r="998" s="6" customFormat="1" spans="1:16">
      <c r="A998" s="23"/>
      <c r="B998" s="8"/>
      <c r="C998" s="55"/>
      <c r="D998" s="8"/>
      <c r="E998" s="8"/>
      <c r="F998" s="8"/>
      <c r="G998" s="8"/>
      <c r="H998" s="8"/>
      <c r="I998" s="10"/>
      <c r="J998" s="11"/>
      <c r="K998" s="8"/>
      <c r="L998" s="8"/>
      <c r="M998" s="8"/>
      <c r="N998" s="8"/>
      <c r="O998" s="12"/>
      <c r="P998" s="13"/>
    </row>
    <row r="999" s="6" customFormat="1" spans="1:16">
      <c r="A999" s="23"/>
      <c r="B999" s="8"/>
      <c r="C999" s="55"/>
      <c r="D999" s="8"/>
      <c r="E999" s="8"/>
      <c r="F999" s="8"/>
      <c r="G999" s="8"/>
      <c r="H999" s="8"/>
      <c r="I999" s="10"/>
      <c r="J999" s="11"/>
      <c r="K999" s="8"/>
      <c r="L999" s="8"/>
      <c r="M999" s="8"/>
      <c r="N999" s="8"/>
      <c r="O999" s="12"/>
      <c r="P999" s="13"/>
    </row>
    <row r="1000" s="6" customFormat="1" spans="1:16">
      <c r="A1000" s="23"/>
      <c r="B1000" s="8"/>
      <c r="C1000" s="55"/>
      <c r="D1000" s="8"/>
      <c r="E1000" s="8"/>
      <c r="F1000" s="8"/>
      <c r="G1000" s="8"/>
      <c r="H1000" s="8"/>
      <c r="I1000" s="10"/>
      <c r="J1000" s="11"/>
      <c r="K1000" s="8"/>
      <c r="L1000" s="8"/>
      <c r="M1000" s="8"/>
      <c r="N1000" s="8"/>
      <c r="O1000" s="12"/>
      <c r="P1000" s="13"/>
    </row>
    <row r="1001" s="6" customFormat="1" spans="1:16">
      <c r="A1001" s="23"/>
      <c r="B1001" s="8"/>
      <c r="C1001" s="55"/>
      <c r="D1001" s="8"/>
      <c r="E1001" s="8"/>
      <c r="F1001" s="8"/>
      <c r="G1001" s="8"/>
      <c r="H1001" s="8"/>
      <c r="I1001" s="10"/>
      <c r="J1001" s="11"/>
      <c r="K1001" s="8"/>
      <c r="L1001" s="8"/>
      <c r="M1001" s="8"/>
      <c r="N1001" s="8"/>
      <c r="O1001" s="12"/>
      <c r="P1001" s="13"/>
    </row>
    <row r="1002" s="6" customFormat="1" spans="1:16">
      <c r="A1002" s="23"/>
      <c r="B1002" s="8"/>
      <c r="C1002" s="55"/>
      <c r="D1002" s="8"/>
      <c r="E1002" s="8"/>
      <c r="F1002" s="8"/>
      <c r="G1002" s="8"/>
      <c r="H1002" s="8"/>
      <c r="I1002" s="10"/>
      <c r="J1002" s="11"/>
      <c r="K1002" s="8"/>
      <c r="L1002" s="8"/>
      <c r="M1002" s="8"/>
      <c r="N1002" s="8"/>
      <c r="O1002" s="12"/>
      <c r="P1002" s="13"/>
    </row>
    <row r="1003" s="6" customFormat="1" spans="1:16">
      <c r="A1003" s="23"/>
      <c r="B1003" s="8"/>
      <c r="C1003" s="55"/>
      <c r="D1003" s="8"/>
      <c r="E1003" s="8"/>
      <c r="F1003" s="8"/>
      <c r="G1003" s="8"/>
      <c r="H1003" s="8"/>
      <c r="I1003" s="10"/>
      <c r="J1003" s="11"/>
      <c r="K1003" s="8"/>
      <c r="L1003" s="8"/>
      <c r="M1003" s="8"/>
      <c r="N1003" s="8"/>
      <c r="O1003" s="12"/>
      <c r="P1003" s="13"/>
    </row>
    <row r="1004" s="6" customFormat="1" spans="1:16">
      <c r="A1004" s="23"/>
      <c r="B1004" s="8"/>
      <c r="C1004" s="55"/>
      <c r="D1004" s="8"/>
      <c r="E1004" s="8"/>
      <c r="F1004" s="8"/>
      <c r="G1004" s="8"/>
      <c r="H1004" s="8"/>
      <c r="I1004" s="10"/>
      <c r="J1004" s="11"/>
      <c r="K1004" s="8"/>
      <c r="L1004" s="8"/>
      <c r="M1004" s="8"/>
      <c r="N1004" s="8"/>
      <c r="O1004" s="12"/>
      <c r="P1004" s="13"/>
    </row>
    <row r="1005" s="6" customFormat="1" spans="1:16">
      <c r="A1005" s="23"/>
      <c r="B1005" s="8"/>
      <c r="C1005" s="55"/>
      <c r="D1005" s="8"/>
      <c r="E1005" s="8"/>
      <c r="F1005" s="8"/>
      <c r="G1005" s="8"/>
      <c r="H1005" s="8"/>
      <c r="I1005" s="10"/>
      <c r="J1005" s="11"/>
      <c r="K1005" s="8"/>
      <c r="L1005" s="8"/>
      <c r="M1005" s="8"/>
      <c r="N1005" s="8"/>
      <c r="O1005" s="12"/>
      <c r="P1005" s="13"/>
    </row>
    <row r="1006" spans="1:16">
      <c r="A1006" s="23"/>
      <c r="C1006" s="55"/>
    </row>
    <row r="1007" spans="1:16">
      <c r="A1007" s="23"/>
      <c r="C1007" s="55"/>
    </row>
    <row r="1008" spans="1:16">
      <c r="A1008" s="23"/>
      <c r="C1008" s="55"/>
    </row>
    <row r="1009" spans="1:3">
      <c r="A1009" s="23"/>
      <c r="C1009" s="55"/>
    </row>
    <row r="1010" spans="1:3">
      <c r="A1010" s="23"/>
      <c r="C1010" s="55"/>
    </row>
    <row r="1011" spans="1:3">
      <c r="A1011" s="23"/>
      <c r="C1011" s="55"/>
    </row>
    <row r="1012" spans="1:3">
      <c r="A1012" s="23"/>
      <c r="C1012" s="55"/>
    </row>
    <row r="1013" spans="1:3">
      <c r="A1013" s="23"/>
      <c r="C1013" s="55"/>
    </row>
    <row r="1014" spans="1:3">
      <c r="A1014" s="23"/>
      <c r="C1014" s="55"/>
    </row>
    <row r="1015" spans="1:3">
      <c r="A1015" s="23"/>
      <c r="C1015" s="55"/>
    </row>
    <row r="1016" spans="1:3">
      <c r="A1016" s="23"/>
      <c r="C1016" s="55"/>
    </row>
    <row r="1017" spans="1:3">
      <c r="A1017" s="23"/>
      <c r="C1017" s="55"/>
    </row>
    <row r="1018" spans="1:3">
      <c r="A1018" s="23"/>
      <c r="C1018" s="55"/>
    </row>
    <row r="1019" spans="1:3">
      <c r="A1019" s="23"/>
      <c r="C1019" s="55"/>
    </row>
    <row r="1020" spans="1:3">
      <c r="A1020" s="23"/>
      <c r="C1020" s="55"/>
    </row>
    <row r="1021" spans="1:3">
      <c r="A1021" s="23"/>
      <c r="C1021" s="55"/>
    </row>
    <row r="1022" spans="1:3">
      <c r="A1022" s="23"/>
      <c r="C1022" s="55"/>
    </row>
    <row r="1023" spans="1:3">
      <c r="A1023" s="23"/>
      <c r="C1023" s="55"/>
    </row>
    <row r="1024" spans="1:3">
      <c r="A1024" s="23"/>
      <c r="C1024" s="55"/>
    </row>
    <row r="1025" spans="1:3">
      <c r="A1025" s="23"/>
      <c r="C1025" s="55"/>
    </row>
    <row r="1026" spans="1:3">
      <c r="A1026" s="23"/>
      <c r="C1026" s="55"/>
    </row>
    <row r="1027" spans="1:3">
      <c r="A1027" s="23"/>
      <c r="C1027" s="55"/>
    </row>
    <row r="1028" spans="1:3">
      <c r="A1028" s="23"/>
      <c r="C1028" s="55"/>
    </row>
    <row r="1029" spans="1:3">
      <c r="A1029" s="23"/>
      <c r="C1029" s="55"/>
    </row>
    <row r="1030" spans="1:3">
      <c r="A1030" s="23"/>
      <c r="C1030" s="55"/>
    </row>
    <row r="1031" spans="1:3">
      <c r="A1031" s="23"/>
      <c r="C1031" s="55"/>
    </row>
    <row r="1032" spans="1:3">
      <c r="A1032" s="23"/>
      <c r="C1032" s="55"/>
    </row>
    <row r="1033" spans="1:3">
      <c r="A1033" s="23"/>
      <c r="C1033" s="55"/>
    </row>
    <row r="1034" spans="1:3">
      <c r="A1034" s="23"/>
      <c r="C1034" s="55"/>
    </row>
    <row r="1035" spans="1:3">
      <c r="A1035" s="23"/>
      <c r="C1035" s="55"/>
    </row>
    <row r="1036" spans="1:3">
      <c r="A1036" s="23"/>
      <c r="C1036" s="55"/>
    </row>
    <row r="1037" spans="1:3">
      <c r="A1037" s="23"/>
      <c r="C1037" s="55"/>
    </row>
    <row r="1038" spans="1:3">
      <c r="A1038" s="23"/>
      <c r="C1038" s="55"/>
    </row>
    <row r="1039" spans="1:3">
      <c r="A1039" s="23"/>
      <c r="C1039" s="55"/>
    </row>
    <row r="1040" spans="1:3">
      <c r="A1040" s="23"/>
      <c r="C1040" s="55"/>
    </row>
    <row r="1041" spans="1:3">
      <c r="A1041" s="23"/>
      <c r="C1041" s="55"/>
    </row>
    <row r="1042" spans="1:3">
      <c r="A1042" s="23"/>
      <c r="C1042" s="55"/>
    </row>
    <row r="1043" spans="1:3">
      <c r="A1043" s="23"/>
      <c r="C1043" s="55"/>
    </row>
    <row r="1044" spans="1:3">
      <c r="A1044" s="23"/>
      <c r="C1044" s="55"/>
    </row>
    <row r="1045" spans="1:3">
      <c r="A1045" s="23"/>
      <c r="C1045" s="55"/>
    </row>
    <row r="1046" spans="1:3">
      <c r="A1046" s="23"/>
      <c r="C1046" s="55"/>
    </row>
    <row r="1047" spans="1:3">
      <c r="A1047" s="23"/>
      <c r="C1047" s="55"/>
    </row>
    <row r="1048" spans="1:3">
      <c r="A1048" s="23"/>
      <c r="C1048" s="55"/>
    </row>
    <row r="1049" spans="1:3">
      <c r="A1049" s="23"/>
      <c r="C1049" s="55"/>
    </row>
    <row r="1050" spans="1:3">
      <c r="A1050" s="23"/>
      <c r="C1050" s="55"/>
    </row>
    <row r="1051" spans="1:3">
      <c r="A1051" s="23"/>
      <c r="C1051" s="55"/>
    </row>
    <row r="1052" spans="1:3">
      <c r="A1052" s="23"/>
      <c r="C1052" s="55"/>
    </row>
    <row r="1053" spans="1:3">
      <c r="A1053" s="23"/>
      <c r="C1053" s="55"/>
    </row>
    <row r="1054" spans="1:3">
      <c r="A1054" s="23"/>
      <c r="C1054" s="55"/>
    </row>
    <row r="1055" spans="1:3">
      <c r="A1055" s="23"/>
      <c r="C1055" s="55"/>
    </row>
    <row r="1056" spans="1:3">
      <c r="A1056" s="23"/>
      <c r="C1056" s="55"/>
    </row>
    <row r="1057" spans="1:3">
      <c r="A1057" s="23"/>
      <c r="C1057" s="55"/>
    </row>
    <row r="1058" spans="1:3">
      <c r="A1058" s="23"/>
      <c r="C1058" s="55"/>
    </row>
    <row r="1059" spans="1:3">
      <c r="A1059" s="23"/>
      <c r="C1059" s="55"/>
    </row>
    <row r="1060" spans="1:3">
      <c r="A1060" s="23"/>
      <c r="C1060" s="55"/>
    </row>
    <row r="1061" spans="1:3">
      <c r="A1061" s="23"/>
      <c r="C1061" s="55"/>
    </row>
    <row r="1062" spans="1:3">
      <c r="A1062" s="23"/>
      <c r="C1062" s="55"/>
    </row>
    <row r="1063" spans="1:3">
      <c r="A1063" s="23"/>
      <c r="C1063" s="55"/>
    </row>
    <row r="1064" spans="1:3">
      <c r="A1064" s="23"/>
      <c r="C1064" s="55"/>
    </row>
    <row r="1065" spans="1:3">
      <c r="A1065" s="23"/>
      <c r="C1065" s="55"/>
    </row>
    <row r="1066" spans="1:3">
      <c r="A1066" s="23"/>
      <c r="C1066" s="55"/>
    </row>
    <row r="1067" spans="1:3">
      <c r="A1067" s="23"/>
      <c r="C1067" s="55"/>
    </row>
    <row r="1068" spans="1:3">
      <c r="A1068" s="23"/>
      <c r="C1068" s="55"/>
    </row>
    <row r="1069" spans="1:3">
      <c r="A1069" s="23"/>
      <c r="C1069" s="55"/>
    </row>
    <row r="1070" spans="1:3">
      <c r="A1070" s="23"/>
      <c r="C1070" s="55"/>
    </row>
    <row r="1071" spans="1:3">
      <c r="A1071" s="23"/>
      <c r="C1071" s="55"/>
    </row>
    <row r="1072" spans="1:3">
      <c r="A1072" s="23"/>
      <c r="C1072" s="55"/>
    </row>
    <row r="1073" spans="1:3">
      <c r="A1073" s="23"/>
      <c r="C1073" s="55"/>
    </row>
    <row r="1074" spans="1:3">
      <c r="A1074" s="23"/>
      <c r="C1074" s="55"/>
    </row>
    <row r="1075" spans="1:3">
      <c r="A1075" s="23"/>
      <c r="C1075" s="55"/>
    </row>
    <row r="1076" spans="1:3">
      <c r="A1076" s="23"/>
      <c r="C1076" s="55"/>
    </row>
    <row r="1077" spans="1:3">
      <c r="A1077" s="23"/>
      <c r="C1077" s="55"/>
    </row>
    <row r="1078" spans="1:3">
      <c r="A1078" s="23"/>
      <c r="C1078" s="55"/>
    </row>
    <row r="1079" spans="1:3">
      <c r="A1079" s="23"/>
      <c r="C1079" s="55"/>
    </row>
    <row r="1080" spans="1:3">
      <c r="A1080" s="23"/>
      <c r="C1080" s="55"/>
    </row>
    <row r="1081" spans="1:3">
      <c r="A1081" s="23"/>
      <c r="C1081" s="55"/>
    </row>
    <row r="1082" spans="1:3">
      <c r="A1082" s="23"/>
      <c r="C1082" s="55"/>
    </row>
    <row r="1083" spans="1:3">
      <c r="A1083" s="23"/>
      <c r="C1083" s="55"/>
    </row>
    <row r="1084" spans="1:3">
      <c r="A1084" s="23"/>
      <c r="C1084" s="55"/>
    </row>
    <row r="1085" spans="1:3">
      <c r="A1085" s="23"/>
      <c r="C1085" s="55"/>
    </row>
    <row r="1086" spans="1:3">
      <c r="A1086" s="23"/>
      <c r="C1086" s="55"/>
    </row>
    <row r="1087" spans="1:3">
      <c r="A1087" s="23"/>
      <c r="C1087" s="55"/>
    </row>
    <row r="1088" spans="1:3">
      <c r="A1088" s="23"/>
      <c r="C1088" s="55"/>
    </row>
    <row r="1089" spans="1:3">
      <c r="A1089" s="23"/>
      <c r="C1089" s="55"/>
    </row>
    <row r="1090" spans="1:3">
      <c r="A1090" s="23"/>
      <c r="C1090" s="55"/>
    </row>
    <row r="1091" spans="1:3">
      <c r="A1091" s="23"/>
      <c r="C1091" s="55"/>
    </row>
    <row r="1092" spans="1:3">
      <c r="A1092" s="23"/>
      <c r="C1092" s="55"/>
    </row>
    <row r="1093" spans="1:3">
      <c r="A1093" s="23"/>
      <c r="C1093" s="55"/>
    </row>
    <row r="1094" spans="1:3">
      <c r="A1094" s="23"/>
      <c r="C1094" s="55"/>
    </row>
    <row r="1095" spans="1:3">
      <c r="A1095" s="23"/>
      <c r="C1095" s="55"/>
    </row>
    <row r="1096" spans="1:3">
      <c r="A1096" s="23"/>
      <c r="C1096" s="55"/>
    </row>
    <row r="1097" spans="1:3">
      <c r="A1097" s="23"/>
      <c r="C1097" s="55"/>
    </row>
    <row r="1098" spans="1:3">
      <c r="A1098" s="23"/>
      <c r="C1098" s="55"/>
    </row>
    <row r="1099" spans="1:3">
      <c r="A1099" s="23"/>
      <c r="C1099" s="55"/>
    </row>
    <row r="1100" spans="1:3">
      <c r="A1100" s="23"/>
      <c r="C1100" s="55"/>
    </row>
    <row r="1101" spans="1:3">
      <c r="A1101" s="23"/>
      <c r="C1101" s="55"/>
    </row>
    <row r="1102" spans="1:3">
      <c r="A1102" s="23"/>
      <c r="C1102" s="55"/>
    </row>
    <row r="1103" spans="1:3">
      <c r="A1103" s="23"/>
      <c r="C1103" s="55"/>
    </row>
    <row r="1104" spans="1:3">
      <c r="A1104" s="23"/>
      <c r="C1104" s="55"/>
    </row>
    <row r="1105" spans="1:3">
      <c r="A1105" s="23"/>
      <c r="C1105" s="55"/>
    </row>
    <row r="1106" spans="1:3">
      <c r="A1106" s="23"/>
      <c r="C1106" s="55"/>
    </row>
    <row r="1107" spans="1:3">
      <c r="A1107" s="23"/>
      <c r="C1107" s="55"/>
    </row>
    <row r="1108" spans="1:3">
      <c r="A1108" s="23"/>
      <c r="C1108" s="55"/>
    </row>
    <row r="1109" spans="1:3">
      <c r="A1109" s="23"/>
      <c r="C1109" s="55"/>
    </row>
    <row r="1110" spans="1:3">
      <c r="A1110" s="23"/>
      <c r="C1110" s="55"/>
    </row>
    <row r="1111" spans="1:3">
      <c r="A1111" s="23"/>
      <c r="C1111" s="55"/>
    </row>
    <row r="1112" spans="1:3">
      <c r="A1112" s="23"/>
      <c r="C1112" s="55"/>
    </row>
    <row r="1113" spans="1:3">
      <c r="A1113" s="23"/>
      <c r="C1113" s="55"/>
    </row>
    <row r="1114" spans="1:3">
      <c r="A1114" s="23"/>
      <c r="C1114" s="55"/>
    </row>
  </sheetData>
  <autoFilter xmlns:etc="http://www.wps.cn/officeDocument/2017/etCustomData" ref="A1:P12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0"/>
  <sheetViews>
    <sheetView workbookViewId="0">
      <selection activeCell="L27" sqref="L27"/>
    </sheetView>
  </sheetViews>
  <sheetFormatPr defaultColWidth="8.72727272727273" defaultRowHeight="14"/>
  <cols>
    <col min="3" max="3" width="9.54545454545454"/>
    <col min="10" max="10" width="9.54545454545454"/>
    <col min="11" max="11" width="12.8181818181818"/>
    <col min="14" max="14" width="9.5454545454545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1</v>
      </c>
      <c r="C2">
        <v>20240102</v>
      </c>
      <c r="D2" t="s">
        <v>20</v>
      </c>
      <c r="E2" t="s">
        <v>21</v>
      </c>
      <c r="F2" t="s">
        <v>46</v>
      </c>
      <c r="G2" t="s">
        <v>633</v>
      </c>
      <c r="H2">
        <v>15</v>
      </c>
      <c r="I2" t="s">
        <v>24</v>
      </c>
      <c r="J2">
        <v>7.46</v>
      </c>
      <c r="K2">
        <v>111.9</v>
      </c>
      <c r="L2" t="s">
        <v>634</v>
      </c>
      <c r="N2">
        <v>4.93</v>
      </c>
      <c r="O2" t="s">
        <v>43</v>
      </c>
      <c r="P2" t="s">
        <v>635</v>
      </c>
      <c r="Q2">
        <v>1</v>
      </c>
      <c r="R2" t="s">
        <v>89</v>
      </c>
    </row>
    <row r="3" spans="1:19">
      <c r="A3">
        <v>2</v>
      </c>
      <c r="B3">
        <v>1</v>
      </c>
      <c r="C3">
        <v>20240102</v>
      </c>
      <c r="D3" t="s">
        <v>20</v>
      </c>
      <c r="E3" t="s">
        <v>21</v>
      </c>
      <c r="F3" t="s">
        <v>22</v>
      </c>
      <c r="G3" t="s">
        <v>636</v>
      </c>
      <c r="H3">
        <v>101450</v>
      </c>
      <c r="I3" t="s">
        <v>24</v>
      </c>
      <c r="J3">
        <v>2.54</v>
      </c>
      <c r="K3">
        <v>257683</v>
      </c>
      <c r="L3" t="s">
        <v>637</v>
      </c>
      <c r="M3" t="s">
        <v>638</v>
      </c>
      <c r="N3">
        <v>2.493</v>
      </c>
      <c r="O3" t="s">
        <v>27</v>
      </c>
      <c r="P3" t="s">
        <v>639</v>
      </c>
      <c r="Q3">
        <v>13</v>
      </c>
      <c r="S3">
        <v>2.33</v>
      </c>
    </row>
    <row r="4" spans="1:19">
      <c r="A4">
        <v>3</v>
      </c>
      <c r="B4">
        <v>1</v>
      </c>
      <c r="C4">
        <v>20240102</v>
      </c>
      <c r="D4" t="s">
        <v>20</v>
      </c>
      <c r="E4" t="s">
        <v>21</v>
      </c>
      <c r="F4" t="s">
        <v>32</v>
      </c>
      <c r="G4" t="s">
        <v>640</v>
      </c>
      <c r="H4">
        <v>292332</v>
      </c>
      <c r="I4" t="s">
        <v>24</v>
      </c>
      <c r="J4">
        <v>5.47</v>
      </c>
      <c r="K4">
        <v>1599056.04</v>
      </c>
      <c r="L4" t="s">
        <v>634</v>
      </c>
      <c r="M4" t="s">
        <v>641</v>
      </c>
      <c r="N4">
        <v>5.0362</v>
      </c>
      <c r="O4" t="s">
        <v>27</v>
      </c>
      <c r="P4" t="s">
        <v>642</v>
      </c>
      <c r="Q4">
        <v>76</v>
      </c>
      <c r="R4">
        <v>7.1094</v>
      </c>
    </row>
    <row r="5" spans="1:19">
      <c r="A5">
        <v>4</v>
      </c>
      <c r="B5">
        <v>1</v>
      </c>
      <c r="C5">
        <v>20240102</v>
      </c>
      <c r="D5" t="s">
        <v>20</v>
      </c>
      <c r="E5" t="s">
        <v>21</v>
      </c>
      <c r="F5" t="s">
        <v>59</v>
      </c>
      <c r="G5" t="s">
        <v>42</v>
      </c>
      <c r="H5">
        <v>81648</v>
      </c>
      <c r="I5" t="s">
        <v>24</v>
      </c>
      <c r="J5">
        <v>4.58</v>
      </c>
      <c r="K5">
        <v>373947.84</v>
      </c>
      <c r="L5" t="s">
        <v>637</v>
      </c>
      <c r="N5">
        <v>4.4887</v>
      </c>
      <c r="O5" t="s">
        <v>43</v>
      </c>
      <c r="P5" t="s">
        <v>643</v>
      </c>
      <c r="Q5">
        <v>6</v>
      </c>
    </row>
    <row r="6" spans="1:19">
      <c r="A6">
        <v>5</v>
      </c>
      <c r="B6">
        <v>1</v>
      </c>
      <c r="C6">
        <v>20240103</v>
      </c>
      <c r="D6" t="s">
        <v>28</v>
      </c>
      <c r="E6" t="s">
        <v>21</v>
      </c>
      <c r="F6" t="s">
        <v>32</v>
      </c>
      <c r="G6" t="s">
        <v>30</v>
      </c>
      <c r="H6">
        <v>78839</v>
      </c>
      <c r="I6" t="s">
        <v>24</v>
      </c>
      <c r="J6">
        <v>4.14</v>
      </c>
      <c r="K6">
        <v>326393.46</v>
      </c>
      <c r="L6" t="s">
        <v>634</v>
      </c>
      <c r="M6" t="s">
        <v>644</v>
      </c>
      <c r="N6">
        <v>4.015</v>
      </c>
      <c r="O6" t="s">
        <v>27</v>
      </c>
      <c r="P6" t="s">
        <v>645</v>
      </c>
      <c r="Q6">
        <v>8</v>
      </c>
    </row>
    <row r="7" spans="1:19">
      <c r="A7">
        <v>6</v>
      </c>
      <c r="B7">
        <v>1</v>
      </c>
      <c r="C7">
        <v>20240103</v>
      </c>
      <c r="D7" t="s">
        <v>28</v>
      </c>
      <c r="E7" t="s">
        <v>21</v>
      </c>
      <c r="F7" t="s">
        <v>32</v>
      </c>
      <c r="G7" t="s">
        <v>37</v>
      </c>
      <c r="H7">
        <v>13271</v>
      </c>
      <c r="I7" t="s">
        <v>24</v>
      </c>
      <c r="J7">
        <v>4.14</v>
      </c>
      <c r="K7">
        <v>54941.94</v>
      </c>
      <c r="L7" t="s">
        <v>637</v>
      </c>
      <c r="M7" t="s">
        <v>644</v>
      </c>
      <c r="N7">
        <v>4.015</v>
      </c>
      <c r="O7" t="s">
        <v>27</v>
      </c>
      <c r="P7" t="s">
        <v>646</v>
      </c>
      <c r="Q7">
        <v>1</v>
      </c>
    </row>
    <row r="8" spans="1:19">
      <c r="A8">
        <v>7</v>
      </c>
      <c r="B8">
        <v>1</v>
      </c>
      <c r="C8">
        <v>20240103</v>
      </c>
      <c r="D8" t="s">
        <v>28</v>
      </c>
      <c r="E8" t="s">
        <v>21</v>
      </c>
      <c r="F8" t="s">
        <v>32</v>
      </c>
      <c r="G8" t="s">
        <v>30</v>
      </c>
      <c r="H8">
        <v>42844</v>
      </c>
      <c r="I8" t="s">
        <v>24</v>
      </c>
      <c r="J8">
        <v>4.14</v>
      </c>
      <c r="K8">
        <v>177374.16</v>
      </c>
      <c r="L8" t="s">
        <v>637</v>
      </c>
      <c r="M8" t="s">
        <v>644</v>
      </c>
      <c r="N8">
        <v>4.015</v>
      </c>
      <c r="O8" t="s">
        <v>27</v>
      </c>
      <c r="P8" t="s">
        <v>645</v>
      </c>
      <c r="Q8">
        <v>3</v>
      </c>
    </row>
    <row r="9" spans="1:19">
      <c r="A9">
        <v>8</v>
      </c>
      <c r="B9">
        <v>1</v>
      </c>
      <c r="C9">
        <v>20240103</v>
      </c>
      <c r="D9" t="s">
        <v>20</v>
      </c>
      <c r="E9" t="s">
        <v>21</v>
      </c>
      <c r="F9" t="s">
        <v>29</v>
      </c>
      <c r="G9" t="s">
        <v>42</v>
      </c>
      <c r="H9">
        <v>87742</v>
      </c>
      <c r="I9" t="s">
        <v>24</v>
      </c>
      <c r="J9">
        <v>5.7</v>
      </c>
      <c r="K9">
        <v>500129.4</v>
      </c>
      <c r="L9" t="s">
        <v>634</v>
      </c>
      <c r="M9" t="s">
        <v>647</v>
      </c>
      <c r="N9">
        <v>5.59</v>
      </c>
      <c r="O9" t="s">
        <v>27</v>
      </c>
      <c r="P9" t="s">
        <v>648</v>
      </c>
      <c r="Q9">
        <v>10</v>
      </c>
    </row>
    <row r="10" spans="1:19">
      <c r="A10">
        <v>9</v>
      </c>
      <c r="B10">
        <v>1</v>
      </c>
      <c r="C10">
        <v>20240103</v>
      </c>
      <c r="D10" t="s">
        <v>28</v>
      </c>
      <c r="E10" t="s">
        <v>21</v>
      </c>
      <c r="F10" t="s">
        <v>41</v>
      </c>
      <c r="G10" t="s">
        <v>30</v>
      </c>
      <c r="H10">
        <v>11759</v>
      </c>
      <c r="I10" t="s">
        <v>24</v>
      </c>
      <c r="J10">
        <v>4.14</v>
      </c>
      <c r="K10">
        <v>48682.26</v>
      </c>
      <c r="L10" t="s">
        <v>634</v>
      </c>
      <c r="M10" t="s">
        <v>649</v>
      </c>
      <c r="N10">
        <v>4.05</v>
      </c>
      <c r="O10" t="s">
        <v>27</v>
      </c>
      <c r="P10" t="s">
        <v>650</v>
      </c>
      <c r="Q10">
        <v>1</v>
      </c>
    </row>
    <row r="11" spans="1:19">
      <c r="A11">
        <v>10</v>
      </c>
      <c r="B11">
        <v>1</v>
      </c>
      <c r="C11">
        <v>20240103</v>
      </c>
      <c r="D11" t="s">
        <v>28</v>
      </c>
      <c r="E11" t="s">
        <v>21</v>
      </c>
      <c r="F11" t="s">
        <v>41</v>
      </c>
      <c r="G11" t="s">
        <v>30</v>
      </c>
      <c r="H11">
        <v>11587</v>
      </c>
      <c r="I11" t="s">
        <v>24</v>
      </c>
      <c r="J11">
        <v>4.14</v>
      </c>
      <c r="K11">
        <v>47970.18</v>
      </c>
      <c r="L11" t="s">
        <v>637</v>
      </c>
      <c r="M11" t="s">
        <v>649</v>
      </c>
      <c r="N11">
        <v>4.05</v>
      </c>
      <c r="O11" t="s">
        <v>27</v>
      </c>
      <c r="P11" t="s">
        <v>650</v>
      </c>
      <c r="Q11">
        <v>2</v>
      </c>
    </row>
    <row r="12" spans="1:19">
      <c r="A12">
        <v>11</v>
      </c>
      <c r="B12">
        <v>1</v>
      </c>
      <c r="C12">
        <v>20240103</v>
      </c>
      <c r="D12" t="s">
        <v>20</v>
      </c>
      <c r="E12" t="s">
        <v>21</v>
      </c>
      <c r="F12" t="s">
        <v>46</v>
      </c>
      <c r="G12" t="s">
        <v>633</v>
      </c>
      <c r="H12">
        <v>15427</v>
      </c>
      <c r="I12" t="s">
        <v>24</v>
      </c>
      <c r="J12">
        <v>7.46</v>
      </c>
      <c r="K12">
        <v>115085.42</v>
      </c>
      <c r="L12" t="s">
        <v>634</v>
      </c>
      <c r="N12">
        <v>4.93</v>
      </c>
      <c r="O12" t="s">
        <v>43</v>
      </c>
      <c r="P12" t="s">
        <v>651</v>
      </c>
      <c r="Q12">
        <v>1</v>
      </c>
      <c r="R12" t="s">
        <v>89</v>
      </c>
    </row>
    <row r="13" spans="1:19">
      <c r="A13">
        <v>12</v>
      </c>
      <c r="B13">
        <v>1</v>
      </c>
      <c r="C13">
        <v>20240104</v>
      </c>
      <c r="D13" t="s">
        <v>28</v>
      </c>
      <c r="E13" t="s">
        <v>21</v>
      </c>
      <c r="F13" t="s">
        <v>22</v>
      </c>
      <c r="G13" t="s">
        <v>37</v>
      </c>
      <c r="H13">
        <v>192</v>
      </c>
      <c r="I13" t="s">
        <v>24</v>
      </c>
      <c r="J13">
        <v>4.14</v>
      </c>
      <c r="K13">
        <v>794.88</v>
      </c>
      <c r="L13" t="s">
        <v>637</v>
      </c>
      <c r="M13" t="s">
        <v>652</v>
      </c>
      <c r="N13">
        <v>3.5473</v>
      </c>
      <c r="O13" t="s">
        <v>27</v>
      </c>
      <c r="P13" t="s">
        <v>653</v>
      </c>
      <c r="Q13">
        <v>4</v>
      </c>
    </row>
    <row r="14" spans="1:19">
      <c r="A14">
        <v>13</v>
      </c>
      <c r="B14">
        <v>1</v>
      </c>
      <c r="C14">
        <v>20240104</v>
      </c>
      <c r="D14" t="s">
        <v>28</v>
      </c>
      <c r="E14" t="s">
        <v>21</v>
      </c>
      <c r="F14" t="s">
        <v>22</v>
      </c>
      <c r="G14" t="s">
        <v>37</v>
      </c>
      <c r="H14">
        <v>5200</v>
      </c>
      <c r="I14" t="s">
        <v>24</v>
      </c>
      <c r="J14">
        <v>4.14</v>
      </c>
      <c r="K14">
        <v>21528</v>
      </c>
      <c r="L14" t="s">
        <v>637</v>
      </c>
      <c r="M14" t="s">
        <v>652</v>
      </c>
      <c r="N14">
        <v>4.062</v>
      </c>
      <c r="O14" t="s">
        <v>27</v>
      </c>
      <c r="P14" t="s">
        <v>653</v>
      </c>
      <c r="Q14">
        <v>3</v>
      </c>
    </row>
    <row r="15" spans="1:19">
      <c r="A15">
        <v>14</v>
      </c>
      <c r="B15">
        <v>1</v>
      </c>
      <c r="C15">
        <v>20240104</v>
      </c>
      <c r="D15" t="s">
        <v>28</v>
      </c>
      <c r="E15" t="s">
        <v>21</v>
      </c>
      <c r="F15" t="s">
        <v>22</v>
      </c>
      <c r="G15" t="s">
        <v>37</v>
      </c>
      <c r="H15">
        <v>6488</v>
      </c>
      <c r="I15" t="s">
        <v>24</v>
      </c>
      <c r="J15">
        <v>4.14</v>
      </c>
      <c r="K15">
        <v>26860.32</v>
      </c>
      <c r="L15" t="s">
        <v>654</v>
      </c>
      <c r="M15" t="s">
        <v>652</v>
      </c>
      <c r="N15">
        <v>4.036</v>
      </c>
      <c r="O15" t="s">
        <v>27</v>
      </c>
      <c r="P15" t="s">
        <v>653</v>
      </c>
      <c r="Q15">
        <v>2</v>
      </c>
    </row>
    <row r="16" spans="1:19">
      <c r="A16">
        <v>15</v>
      </c>
      <c r="B16">
        <v>1</v>
      </c>
      <c r="C16">
        <v>20240104</v>
      </c>
      <c r="D16" t="s">
        <v>28</v>
      </c>
      <c r="E16" t="s">
        <v>21</v>
      </c>
      <c r="F16" t="s">
        <v>22</v>
      </c>
      <c r="G16" t="s">
        <v>30</v>
      </c>
      <c r="H16">
        <v>900234</v>
      </c>
      <c r="I16" t="s">
        <v>24</v>
      </c>
      <c r="J16">
        <v>4.14</v>
      </c>
      <c r="K16">
        <v>3726968.76</v>
      </c>
      <c r="L16" t="s">
        <v>634</v>
      </c>
      <c r="M16" t="s">
        <v>652</v>
      </c>
      <c r="N16">
        <v>4.062</v>
      </c>
      <c r="O16" t="s">
        <v>27</v>
      </c>
      <c r="P16" t="s">
        <v>655</v>
      </c>
      <c r="Q16">
        <v>33</v>
      </c>
    </row>
    <row r="17" spans="1:17">
      <c r="A17">
        <v>16</v>
      </c>
      <c r="B17">
        <v>1</v>
      </c>
      <c r="C17">
        <v>20240104</v>
      </c>
      <c r="D17" t="s">
        <v>28</v>
      </c>
      <c r="E17" t="s">
        <v>21</v>
      </c>
      <c r="F17" t="s">
        <v>32</v>
      </c>
      <c r="G17" t="s">
        <v>30</v>
      </c>
      <c r="H17">
        <v>686724</v>
      </c>
      <c r="I17" t="s">
        <v>24</v>
      </c>
      <c r="J17">
        <v>4.14</v>
      </c>
      <c r="K17">
        <v>2843037.36</v>
      </c>
      <c r="L17" t="s">
        <v>634</v>
      </c>
      <c r="M17" t="s">
        <v>656</v>
      </c>
      <c r="N17">
        <v>4.015</v>
      </c>
      <c r="O17" t="s">
        <v>27</v>
      </c>
      <c r="P17" t="s">
        <v>657</v>
      </c>
      <c r="Q17">
        <v>83</v>
      </c>
    </row>
    <row r="18" spans="1:17">
      <c r="A18">
        <v>17</v>
      </c>
      <c r="B18">
        <v>1</v>
      </c>
      <c r="C18">
        <v>20240104</v>
      </c>
      <c r="D18" t="s">
        <v>28</v>
      </c>
      <c r="E18" t="s">
        <v>21</v>
      </c>
      <c r="F18" t="s">
        <v>32</v>
      </c>
      <c r="G18" t="s">
        <v>37</v>
      </c>
      <c r="H18">
        <v>1683</v>
      </c>
      <c r="I18" t="s">
        <v>24</v>
      </c>
      <c r="J18">
        <v>4.14</v>
      </c>
      <c r="K18">
        <v>6967.62</v>
      </c>
      <c r="L18" t="s">
        <v>654</v>
      </c>
      <c r="M18" t="s">
        <v>656</v>
      </c>
      <c r="N18">
        <v>4.015</v>
      </c>
      <c r="O18" t="s">
        <v>27</v>
      </c>
      <c r="P18" t="s">
        <v>658</v>
      </c>
      <c r="Q18">
        <v>5</v>
      </c>
    </row>
    <row r="19" spans="1:17">
      <c r="A19">
        <v>18</v>
      </c>
      <c r="B19">
        <v>1</v>
      </c>
      <c r="C19">
        <v>20240104</v>
      </c>
      <c r="D19" t="s">
        <v>28</v>
      </c>
      <c r="E19" t="s">
        <v>21</v>
      </c>
      <c r="F19" t="s">
        <v>32</v>
      </c>
      <c r="G19" t="s">
        <v>37</v>
      </c>
      <c r="H19">
        <v>1384</v>
      </c>
      <c r="I19" t="s">
        <v>24</v>
      </c>
      <c r="J19">
        <v>4.14</v>
      </c>
      <c r="K19">
        <v>5729.76</v>
      </c>
      <c r="L19" t="s">
        <v>637</v>
      </c>
      <c r="M19" t="s">
        <v>656</v>
      </c>
      <c r="N19">
        <v>4.015</v>
      </c>
      <c r="O19" t="s">
        <v>27</v>
      </c>
      <c r="P19" t="s">
        <v>658</v>
      </c>
      <c r="Q19">
        <v>1</v>
      </c>
    </row>
    <row r="20" spans="1:17">
      <c r="A20">
        <v>19</v>
      </c>
      <c r="B20">
        <v>1</v>
      </c>
      <c r="C20">
        <v>20240104</v>
      </c>
      <c r="D20" t="s">
        <v>28</v>
      </c>
      <c r="E20" t="s">
        <v>21</v>
      </c>
      <c r="F20" t="s">
        <v>32</v>
      </c>
      <c r="G20" t="s">
        <v>30</v>
      </c>
      <c r="H20">
        <v>563391</v>
      </c>
      <c r="I20" t="s">
        <v>24</v>
      </c>
      <c r="J20">
        <v>4.14</v>
      </c>
      <c r="K20">
        <v>2332438.74</v>
      </c>
      <c r="L20" t="s">
        <v>637</v>
      </c>
      <c r="M20" t="s">
        <v>656</v>
      </c>
      <c r="N20">
        <v>4.015</v>
      </c>
      <c r="O20" t="s">
        <v>27</v>
      </c>
      <c r="P20" t="s">
        <v>657</v>
      </c>
      <c r="Q20">
        <v>47</v>
      </c>
    </row>
    <row r="21" spans="1:17">
      <c r="A21">
        <v>20</v>
      </c>
      <c r="B21">
        <v>1</v>
      </c>
      <c r="C21">
        <v>20240104</v>
      </c>
      <c r="D21" t="s">
        <v>20</v>
      </c>
      <c r="E21" t="s">
        <v>21</v>
      </c>
      <c r="F21" t="s">
        <v>32</v>
      </c>
      <c r="G21" t="s">
        <v>640</v>
      </c>
      <c r="H21">
        <v>219823</v>
      </c>
      <c r="I21" t="s">
        <v>24</v>
      </c>
      <c r="J21">
        <v>5.47</v>
      </c>
      <c r="K21">
        <v>1202431.81</v>
      </c>
      <c r="L21" t="s">
        <v>634</v>
      </c>
      <c r="M21" t="s">
        <v>656</v>
      </c>
      <c r="N21">
        <v>5.0362</v>
      </c>
      <c r="O21" t="s">
        <v>27</v>
      </c>
      <c r="P21" t="s">
        <v>659</v>
      </c>
      <c r="Q21">
        <v>50</v>
      </c>
    </row>
    <row r="22" spans="1:17">
      <c r="A22">
        <v>21</v>
      </c>
      <c r="B22">
        <v>1</v>
      </c>
      <c r="C22">
        <v>20240105</v>
      </c>
      <c r="D22" t="s">
        <v>28</v>
      </c>
      <c r="E22" t="s">
        <v>21</v>
      </c>
      <c r="F22" t="s">
        <v>41</v>
      </c>
      <c r="G22" t="s">
        <v>30</v>
      </c>
      <c r="H22">
        <v>135904</v>
      </c>
      <c r="I22" t="s">
        <v>24</v>
      </c>
      <c r="J22">
        <v>4.14</v>
      </c>
      <c r="K22">
        <v>562642.56</v>
      </c>
      <c r="L22" t="s">
        <v>634</v>
      </c>
      <c r="N22">
        <v>4.05</v>
      </c>
      <c r="O22" t="s">
        <v>43</v>
      </c>
      <c r="P22" t="s">
        <v>660</v>
      </c>
      <c r="Q22">
        <v>14</v>
      </c>
    </row>
    <row r="23" spans="1:17">
      <c r="A23">
        <v>22</v>
      </c>
      <c r="B23">
        <v>1</v>
      </c>
      <c r="C23">
        <v>20240105</v>
      </c>
      <c r="D23" t="s">
        <v>28</v>
      </c>
      <c r="E23" t="s">
        <v>21</v>
      </c>
      <c r="F23" t="s">
        <v>41</v>
      </c>
      <c r="G23" t="s">
        <v>30</v>
      </c>
      <c r="H23">
        <v>59456</v>
      </c>
      <c r="I23" t="s">
        <v>24</v>
      </c>
      <c r="J23">
        <v>4.14</v>
      </c>
      <c r="K23">
        <v>246147.84</v>
      </c>
      <c r="L23" t="s">
        <v>637</v>
      </c>
      <c r="N23">
        <v>4.05</v>
      </c>
      <c r="O23" t="s">
        <v>43</v>
      </c>
      <c r="P23" t="s">
        <v>660</v>
      </c>
      <c r="Q23">
        <v>7</v>
      </c>
    </row>
    <row r="24" spans="1:17">
      <c r="A24">
        <v>23</v>
      </c>
      <c r="B24">
        <v>1</v>
      </c>
      <c r="C24">
        <v>20240105</v>
      </c>
      <c r="D24" t="s">
        <v>28</v>
      </c>
      <c r="E24" t="s">
        <v>21</v>
      </c>
      <c r="F24" t="s">
        <v>41</v>
      </c>
      <c r="G24" t="s">
        <v>30</v>
      </c>
      <c r="H24">
        <v>21504</v>
      </c>
      <c r="I24" t="s">
        <v>24</v>
      </c>
      <c r="J24">
        <v>4.14</v>
      </c>
      <c r="K24">
        <v>89026.56</v>
      </c>
      <c r="L24" t="s">
        <v>637</v>
      </c>
      <c r="N24">
        <v>4.05</v>
      </c>
      <c r="O24" t="s">
        <v>43</v>
      </c>
      <c r="P24" t="s">
        <v>660</v>
      </c>
      <c r="Q24">
        <v>8</v>
      </c>
    </row>
    <row r="25" spans="1:17">
      <c r="A25">
        <v>24</v>
      </c>
      <c r="B25">
        <v>1</v>
      </c>
      <c r="C25">
        <v>20240105</v>
      </c>
      <c r="D25" t="s">
        <v>28</v>
      </c>
      <c r="E25" t="s">
        <v>21</v>
      </c>
      <c r="F25" t="s">
        <v>32</v>
      </c>
      <c r="G25" t="s">
        <v>37</v>
      </c>
      <c r="H25">
        <v>16112</v>
      </c>
      <c r="I25" t="s">
        <v>24</v>
      </c>
      <c r="J25">
        <v>4.14</v>
      </c>
      <c r="K25">
        <v>66703.68</v>
      </c>
      <c r="L25" t="s">
        <v>634</v>
      </c>
      <c r="M25" t="s">
        <v>661</v>
      </c>
      <c r="N25">
        <v>4.015</v>
      </c>
      <c r="O25" t="s">
        <v>27</v>
      </c>
      <c r="P25" t="s">
        <v>662</v>
      </c>
      <c r="Q25">
        <v>6</v>
      </c>
    </row>
    <row r="26" spans="1:17">
      <c r="A26">
        <v>25</v>
      </c>
      <c r="B26">
        <v>1</v>
      </c>
      <c r="C26">
        <v>20240105</v>
      </c>
      <c r="D26" t="s">
        <v>28</v>
      </c>
      <c r="E26" t="s">
        <v>21</v>
      </c>
      <c r="F26" t="s">
        <v>32</v>
      </c>
      <c r="G26" t="s">
        <v>30</v>
      </c>
      <c r="H26">
        <v>744737</v>
      </c>
      <c r="I26" t="s">
        <v>24</v>
      </c>
      <c r="J26">
        <v>4.14</v>
      </c>
      <c r="K26">
        <v>3083211.18</v>
      </c>
      <c r="L26" t="s">
        <v>634</v>
      </c>
      <c r="M26" t="s">
        <v>661</v>
      </c>
      <c r="N26">
        <v>4.015</v>
      </c>
      <c r="O26" t="s">
        <v>27</v>
      </c>
      <c r="P26" t="s">
        <v>663</v>
      </c>
      <c r="Q26">
        <v>94</v>
      </c>
    </row>
    <row r="27" spans="1:17">
      <c r="A27">
        <v>26</v>
      </c>
      <c r="B27">
        <v>1</v>
      </c>
      <c r="C27">
        <v>20240105</v>
      </c>
      <c r="D27" t="s">
        <v>28</v>
      </c>
      <c r="E27" t="s">
        <v>21</v>
      </c>
      <c r="F27" t="s">
        <v>32</v>
      </c>
      <c r="G27" t="s">
        <v>37</v>
      </c>
      <c r="H27">
        <v>34928</v>
      </c>
      <c r="I27" t="s">
        <v>24</v>
      </c>
      <c r="J27">
        <v>4.14</v>
      </c>
      <c r="K27">
        <v>144601.92</v>
      </c>
      <c r="L27" t="s">
        <v>654</v>
      </c>
      <c r="M27" t="s">
        <v>661</v>
      </c>
      <c r="N27">
        <v>4.015</v>
      </c>
      <c r="O27" t="s">
        <v>27</v>
      </c>
      <c r="P27" t="s">
        <v>662</v>
      </c>
      <c r="Q27">
        <v>7</v>
      </c>
    </row>
    <row r="28" spans="1:17">
      <c r="A28">
        <v>27</v>
      </c>
      <c r="B28">
        <v>1</v>
      </c>
      <c r="C28">
        <v>20240105</v>
      </c>
      <c r="D28" t="s">
        <v>28</v>
      </c>
      <c r="E28" t="s">
        <v>21</v>
      </c>
      <c r="F28" t="s">
        <v>32</v>
      </c>
      <c r="G28" t="s">
        <v>30</v>
      </c>
      <c r="H28">
        <v>1096</v>
      </c>
      <c r="I28" t="s">
        <v>24</v>
      </c>
      <c r="J28">
        <v>4.14</v>
      </c>
      <c r="K28">
        <v>4537.44</v>
      </c>
      <c r="L28" t="s">
        <v>654</v>
      </c>
      <c r="M28" t="s">
        <v>661</v>
      </c>
      <c r="N28">
        <v>4.015</v>
      </c>
      <c r="O28" t="s">
        <v>27</v>
      </c>
      <c r="P28" t="s">
        <v>663</v>
      </c>
      <c r="Q28">
        <v>2</v>
      </c>
    </row>
    <row r="29" spans="1:17">
      <c r="A29">
        <v>28</v>
      </c>
      <c r="B29">
        <v>1</v>
      </c>
      <c r="C29">
        <v>20240105</v>
      </c>
      <c r="D29" t="s">
        <v>28</v>
      </c>
      <c r="E29" t="s">
        <v>21</v>
      </c>
      <c r="F29" t="s">
        <v>32</v>
      </c>
      <c r="G29" t="s">
        <v>37</v>
      </c>
      <c r="H29">
        <v>56558</v>
      </c>
      <c r="I29" t="s">
        <v>24</v>
      </c>
      <c r="J29">
        <v>4.14</v>
      </c>
      <c r="K29">
        <v>234150.12</v>
      </c>
      <c r="L29" t="s">
        <v>637</v>
      </c>
      <c r="M29" t="s">
        <v>661</v>
      </c>
      <c r="N29">
        <v>4.015</v>
      </c>
      <c r="O29" t="s">
        <v>27</v>
      </c>
      <c r="P29" t="s">
        <v>662</v>
      </c>
      <c r="Q29">
        <v>19</v>
      </c>
    </row>
    <row r="30" spans="1:17">
      <c r="A30">
        <v>29</v>
      </c>
      <c r="B30">
        <v>1</v>
      </c>
      <c r="C30">
        <v>20240105</v>
      </c>
      <c r="D30" t="s">
        <v>28</v>
      </c>
      <c r="E30" t="s">
        <v>21</v>
      </c>
      <c r="F30" t="s">
        <v>32</v>
      </c>
      <c r="G30" t="s">
        <v>30</v>
      </c>
      <c r="H30">
        <v>465919</v>
      </c>
      <c r="I30" t="s">
        <v>24</v>
      </c>
      <c r="J30">
        <v>4.14</v>
      </c>
      <c r="K30">
        <v>1928904.66</v>
      </c>
      <c r="L30" t="s">
        <v>637</v>
      </c>
      <c r="M30" t="s">
        <v>661</v>
      </c>
      <c r="N30">
        <v>4.015</v>
      </c>
      <c r="O30" t="s">
        <v>27</v>
      </c>
      <c r="P30" t="s">
        <v>663</v>
      </c>
      <c r="Q30">
        <v>57</v>
      </c>
    </row>
    <row r="31" spans="1:17">
      <c r="A31">
        <v>30</v>
      </c>
      <c r="B31">
        <v>1</v>
      </c>
      <c r="C31">
        <v>20240105</v>
      </c>
      <c r="D31" t="s">
        <v>28</v>
      </c>
      <c r="E31" t="s">
        <v>21</v>
      </c>
      <c r="F31" t="s">
        <v>32</v>
      </c>
      <c r="G31" t="s">
        <v>30</v>
      </c>
      <c r="H31">
        <v>20</v>
      </c>
      <c r="I31" t="s">
        <v>24</v>
      </c>
      <c r="J31">
        <v>4.14</v>
      </c>
      <c r="K31">
        <v>82.8</v>
      </c>
      <c r="L31" t="s">
        <v>637</v>
      </c>
      <c r="M31" t="s">
        <v>664</v>
      </c>
      <c r="N31">
        <v>4.015</v>
      </c>
      <c r="O31" t="s">
        <v>27</v>
      </c>
      <c r="P31" t="s">
        <v>663</v>
      </c>
      <c r="Q31">
        <v>4</v>
      </c>
    </row>
    <row r="32" spans="1:17">
      <c r="A32">
        <v>31</v>
      </c>
      <c r="B32">
        <v>1</v>
      </c>
      <c r="C32">
        <v>20240105</v>
      </c>
      <c r="D32" t="s">
        <v>20</v>
      </c>
      <c r="E32" t="s">
        <v>21</v>
      </c>
      <c r="F32" t="s">
        <v>32</v>
      </c>
      <c r="G32" t="s">
        <v>640</v>
      </c>
      <c r="H32">
        <v>177933</v>
      </c>
      <c r="I32" t="s">
        <v>24</v>
      </c>
      <c r="J32">
        <v>5.47</v>
      </c>
      <c r="K32">
        <v>973293.51</v>
      </c>
      <c r="L32" t="s">
        <v>634</v>
      </c>
      <c r="M32" t="s">
        <v>665</v>
      </c>
      <c r="N32">
        <v>5.0362</v>
      </c>
      <c r="O32" t="s">
        <v>27</v>
      </c>
      <c r="P32" t="s">
        <v>666</v>
      </c>
      <c r="Q32">
        <v>72</v>
      </c>
    </row>
    <row r="33" spans="1:18">
      <c r="A33">
        <v>32</v>
      </c>
      <c r="B33">
        <v>1</v>
      </c>
      <c r="C33">
        <v>20240106</v>
      </c>
      <c r="D33" t="s">
        <v>20</v>
      </c>
      <c r="E33" t="s">
        <v>21</v>
      </c>
      <c r="F33" t="s">
        <v>32</v>
      </c>
      <c r="G33" t="s">
        <v>50</v>
      </c>
      <c r="H33">
        <v>39361</v>
      </c>
      <c r="I33" t="s">
        <v>24</v>
      </c>
      <c r="J33">
        <v>5.53</v>
      </c>
      <c r="K33">
        <v>217666.33</v>
      </c>
      <c r="L33" t="s">
        <v>637</v>
      </c>
      <c r="N33">
        <v>4.7765</v>
      </c>
      <c r="O33" t="s">
        <v>27</v>
      </c>
      <c r="P33" t="s">
        <v>667</v>
      </c>
      <c r="Q33">
        <v>14</v>
      </c>
      <c r="R33">
        <v>7.024</v>
      </c>
    </row>
    <row r="34" spans="1:18">
      <c r="A34">
        <v>33</v>
      </c>
      <c r="B34">
        <v>1</v>
      </c>
      <c r="C34">
        <v>20240106</v>
      </c>
      <c r="D34" t="s">
        <v>20</v>
      </c>
      <c r="E34" t="s">
        <v>21</v>
      </c>
      <c r="F34" t="s">
        <v>32</v>
      </c>
      <c r="G34" t="s">
        <v>640</v>
      </c>
      <c r="H34">
        <v>76687</v>
      </c>
      <c r="I34" t="s">
        <v>24</v>
      </c>
      <c r="J34">
        <v>5.47</v>
      </c>
      <c r="K34">
        <v>419477.89</v>
      </c>
      <c r="L34" t="s">
        <v>634</v>
      </c>
      <c r="N34">
        <v>5.0362</v>
      </c>
      <c r="O34" t="s">
        <v>27</v>
      </c>
      <c r="P34" t="s">
        <v>668</v>
      </c>
      <c r="Q34">
        <v>44</v>
      </c>
      <c r="R34">
        <v>7.1094</v>
      </c>
    </row>
    <row r="35" spans="1:18">
      <c r="A35">
        <v>34</v>
      </c>
      <c r="B35">
        <v>1</v>
      </c>
      <c r="C35">
        <v>20240108</v>
      </c>
      <c r="D35" t="s">
        <v>20</v>
      </c>
      <c r="E35" t="s">
        <v>21</v>
      </c>
      <c r="F35" t="s">
        <v>46</v>
      </c>
      <c r="G35" t="s">
        <v>633</v>
      </c>
      <c r="H35">
        <v>25139</v>
      </c>
      <c r="I35" t="s">
        <v>24</v>
      </c>
      <c r="J35">
        <v>7.46</v>
      </c>
      <c r="K35">
        <v>187536.94</v>
      </c>
      <c r="L35" t="s">
        <v>634</v>
      </c>
      <c r="N35">
        <v>4.93</v>
      </c>
      <c r="O35" t="s">
        <v>43</v>
      </c>
      <c r="P35" t="s">
        <v>669</v>
      </c>
      <c r="Q35">
        <v>2</v>
      </c>
    </row>
    <row r="36" spans="1:18">
      <c r="A36">
        <v>35</v>
      </c>
      <c r="B36">
        <v>1</v>
      </c>
      <c r="C36">
        <v>20240108</v>
      </c>
      <c r="D36" t="s">
        <v>28</v>
      </c>
      <c r="E36" t="s">
        <v>21</v>
      </c>
      <c r="F36" t="s">
        <v>32</v>
      </c>
      <c r="G36" t="s">
        <v>30</v>
      </c>
      <c r="H36">
        <v>86607</v>
      </c>
      <c r="I36" t="s">
        <v>24</v>
      </c>
      <c r="J36">
        <v>4.14</v>
      </c>
      <c r="K36">
        <v>358552.98</v>
      </c>
      <c r="L36" t="s">
        <v>634</v>
      </c>
      <c r="N36">
        <v>4.015</v>
      </c>
      <c r="O36" t="s">
        <v>43</v>
      </c>
      <c r="P36" t="s">
        <v>670</v>
      </c>
      <c r="Q36">
        <v>25</v>
      </c>
    </row>
    <row r="37" spans="1:18">
      <c r="A37">
        <v>36</v>
      </c>
      <c r="B37">
        <v>1</v>
      </c>
      <c r="C37">
        <v>20240108</v>
      </c>
      <c r="D37" t="s">
        <v>28</v>
      </c>
      <c r="E37" t="s">
        <v>21</v>
      </c>
      <c r="F37" t="s">
        <v>32</v>
      </c>
      <c r="G37" t="s">
        <v>30</v>
      </c>
      <c r="H37">
        <v>362</v>
      </c>
      <c r="I37" t="s">
        <v>24</v>
      </c>
      <c r="J37">
        <v>4.14</v>
      </c>
      <c r="K37">
        <v>1498.68</v>
      </c>
      <c r="L37" t="s">
        <v>654</v>
      </c>
      <c r="N37">
        <v>4.015</v>
      </c>
      <c r="O37" t="s">
        <v>43</v>
      </c>
      <c r="P37" t="s">
        <v>670</v>
      </c>
      <c r="Q37">
        <v>2</v>
      </c>
    </row>
    <row r="38" spans="1:18">
      <c r="A38">
        <v>37</v>
      </c>
      <c r="B38">
        <v>1</v>
      </c>
      <c r="C38">
        <v>20240108</v>
      </c>
      <c r="D38" t="s">
        <v>28</v>
      </c>
      <c r="E38" t="s">
        <v>21</v>
      </c>
      <c r="F38" t="s">
        <v>32</v>
      </c>
      <c r="G38" t="s">
        <v>30</v>
      </c>
      <c r="H38">
        <v>49925</v>
      </c>
      <c r="I38" t="s">
        <v>24</v>
      </c>
      <c r="J38">
        <v>4.14</v>
      </c>
      <c r="K38">
        <v>206689.5</v>
      </c>
      <c r="L38" t="s">
        <v>637</v>
      </c>
      <c r="N38">
        <v>4.015</v>
      </c>
      <c r="O38" t="s">
        <v>43</v>
      </c>
      <c r="P38" t="s">
        <v>670</v>
      </c>
      <c r="Q38">
        <v>18</v>
      </c>
    </row>
    <row r="39" spans="1:18">
      <c r="A39">
        <v>38</v>
      </c>
      <c r="B39">
        <v>1</v>
      </c>
      <c r="C39">
        <v>20240108</v>
      </c>
      <c r="D39" t="s">
        <v>28</v>
      </c>
      <c r="E39" t="s">
        <v>21</v>
      </c>
      <c r="F39" t="s">
        <v>39</v>
      </c>
      <c r="G39" t="s">
        <v>40</v>
      </c>
      <c r="H39">
        <v>3</v>
      </c>
      <c r="I39" t="s">
        <v>24</v>
      </c>
      <c r="J39">
        <v>2106.81</v>
      </c>
      <c r="K39">
        <v>6320.43</v>
      </c>
      <c r="L39" t="s">
        <v>637</v>
      </c>
      <c r="N39">
        <v>1409.017</v>
      </c>
      <c r="O39" t="s">
        <v>43</v>
      </c>
      <c r="P39" t="s">
        <v>671</v>
      </c>
      <c r="Q39">
        <v>1</v>
      </c>
    </row>
    <row r="40" spans="1:18">
      <c r="A40">
        <v>39</v>
      </c>
      <c r="B40">
        <v>1</v>
      </c>
      <c r="C40">
        <v>20240108</v>
      </c>
      <c r="D40" t="s">
        <v>20</v>
      </c>
      <c r="E40" t="s">
        <v>21</v>
      </c>
      <c r="F40" t="s">
        <v>59</v>
      </c>
      <c r="G40" t="s">
        <v>47</v>
      </c>
      <c r="H40">
        <v>41152</v>
      </c>
      <c r="I40" t="s">
        <v>24</v>
      </c>
      <c r="J40">
        <v>7.46</v>
      </c>
      <c r="K40">
        <v>306993.92</v>
      </c>
      <c r="L40" t="s">
        <v>637</v>
      </c>
      <c r="N40">
        <v>5.135814</v>
      </c>
      <c r="O40" t="s">
        <v>43</v>
      </c>
      <c r="P40" t="s">
        <v>672</v>
      </c>
      <c r="Q40">
        <v>1</v>
      </c>
      <c r="R40">
        <v>5.2041</v>
      </c>
    </row>
    <row r="41" spans="1:18">
      <c r="A41">
        <v>40</v>
      </c>
      <c r="B41">
        <v>1</v>
      </c>
      <c r="C41">
        <v>20240108</v>
      </c>
      <c r="D41" t="s">
        <v>28</v>
      </c>
      <c r="E41" t="s">
        <v>21</v>
      </c>
      <c r="F41" t="s">
        <v>22</v>
      </c>
      <c r="G41" t="s">
        <v>37</v>
      </c>
      <c r="H41">
        <v>45172</v>
      </c>
      <c r="I41" t="s">
        <v>24</v>
      </c>
      <c r="J41">
        <v>4.14</v>
      </c>
      <c r="K41">
        <v>187012.08</v>
      </c>
      <c r="L41" t="s">
        <v>637</v>
      </c>
      <c r="M41" t="s">
        <v>673</v>
      </c>
      <c r="N41">
        <v>4.0727</v>
      </c>
      <c r="O41" t="s">
        <v>27</v>
      </c>
      <c r="P41" t="s">
        <v>674</v>
      </c>
      <c r="Q41">
        <v>9</v>
      </c>
    </row>
    <row r="42" spans="1:18">
      <c r="A42">
        <v>41</v>
      </c>
      <c r="B42">
        <v>1</v>
      </c>
      <c r="C42">
        <v>20240108</v>
      </c>
      <c r="D42" t="s">
        <v>28</v>
      </c>
      <c r="E42" t="s">
        <v>21</v>
      </c>
      <c r="F42" t="s">
        <v>22</v>
      </c>
      <c r="G42" t="s">
        <v>37</v>
      </c>
      <c r="H42">
        <v>64314</v>
      </c>
      <c r="I42" t="s">
        <v>24</v>
      </c>
      <c r="J42">
        <v>4.14</v>
      </c>
      <c r="K42">
        <v>266259.96</v>
      </c>
      <c r="L42" t="s">
        <v>637</v>
      </c>
      <c r="M42" t="s">
        <v>673</v>
      </c>
      <c r="N42">
        <v>3.5873</v>
      </c>
      <c r="O42" t="s">
        <v>27</v>
      </c>
      <c r="P42" t="s">
        <v>674</v>
      </c>
      <c r="Q42">
        <v>11</v>
      </c>
    </row>
    <row r="43" spans="1:18">
      <c r="A43">
        <v>42</v>
      </c>
      <c r="B43">
        <v>1</v>
      </c>
      <c r="C43">
        <v>20240108</v>
      </c>
      <c r="D43" t="s">
        <v>28</v>
      </c>
      <c r="E43" t="s">
        <v>21</v>
      </c>
      <c r="F43" t="s">
        <v>22</v>
      </c>
      <c r="G43" t="s">
        <v>37</v>
      </c>
      <c r="H43">
        <v>538</v>
      </c>
      <c r="I43" t="s">
        <v>24</v>
      </c>
      <c r="J43">
        <v>4.14</v>
      </c>
      <c r="K43">
        <v>2227.32</v>
      </c>
      <c r="L43" t="s">
        <v>637</v>
      </c>
      <c r="M43" t="s">
        <v>673</v>
      </c>
      <c r="N43">
        <v>3.5473</v>
      </c>
      <c r="O43" t="s">
        <v>27</v>
      </c>
      <c r="P43" t="s">
        <v>674</v>
      </c>
      <c r="Q43">
        <v>5</v>
      </c>
    </row>
    <row r="44" spans="1:18">
      <c r="A44">
        <v>43</v>
      </c>
      <c r="B44">
        <v>1</v>
      </c>
      <c r="C44">
        <v>20240108</v>
      </c>
      <c r="D44" t="s">
        <v>28</v>
      </c>
      <c r="E44" t="s">
        <v>21</v>
      </c>
      <c r="F44" t="s">
        <v>22</v>
      </c>
      <c r="G44" t="s">
        <v>30</v>
      </c>
      <c r="H44">
        <v>286358</v>
      </c>
      <c r="I44" t="s">
        <v>24</v>
      </c>
      <c r="J44">
        <v>4.14</v>
      </c>
      <c r="K44">
        <v>1185522.12</v>
      </c>
      <c r="L44" t="s">
        <v>637</v>
      </c>
      <c r="M44" t="s">
        <v>673</v>
      </c>
      <c r="N44">
        <v>3.5844</v>
      </c>
      <c r="O44" t="s">
        <v>27</v>
      </c>
      <c r="P44" t="s">
        <v>675</v>
      </c>
      <c r="Q44">
        <v>12</v>
      </c>
    </row>
    <row r="45" spans="1:18">
      <c r="A45">
        <v>44</v>
      </c>
      <c r="B45">
        <v>1</v>
      </c>
      <c r="C45">
        <v>20240108</v>
      </c>
      <c r="D45" t="s">
        <v>28</v>
      </c>
      <c r="E45" t="s">
        <v>21</v>
      </c>
      <c r="F45" t="s">
        <v>22</v>
      </c>
      <c r="G45" t="s">
        <v>30</v>
      </c>
      <c r="H45">
        <v>55079</v>
      </c>
      <c r="I45" t="s">
        <v>24</v>
      </c>
      <c r="J45">
        <v>4.14</v>
      </c>
      <c r="K45">
        <v>228027.06</v>
      </c>
      <c r="L45" t="s">
        <v>637</v>
      </c>
      <c r="M45" t="s">
        <v>673</v>
      </c>
      <c r="N45">
        <v>3.5065</v>
      </c>
      <c r="O45" t="s">
        <v>27</v>
      </c>
      <c r="P45" t="s">
        <v>675</v>
      </c>
      <c r="Q45">
        <v>4</v>
      </c>
    </row>
    <row r="46" spans="1:18">
      <c r="A46">
        <v>45</v>
      </c>
      <c r="B46">
        <v>1</v>
      </c>
      <c r="C46">
        <v>20240108</v>
      </c>
      <c r="D46" t="s">
        <v>28</v>
      </c>
      <c r="E46" t="s">
        <v>21</v>
      </c>
      <c r="F46" t="s">
        <v>22</v>
      </c>
      <c r="G46" t="s">
        <v>37</v>
      </c>
      <c r="H46">
        <v>30981</v>
      </c>
      <c r="I46" t="s">
        <v>24</v>
      </c>
      <c r="J46">
        <v>4.14</v>
      </c>
      <c r="K46">
        <v>128261.34</v>
      </c>
      <c r="L46" t="s">
        <v>634</v>
      </c>
      <c r="M46" t="s">
        <v>673</v>
      </c>
      <c r="N46">
        <v>4.0825</v>
      </c>
      <c r="O46" t="s">
        <v>27</v>
      </c>
      <c r="P46" t="s">
        <v>674</v>
      </c>
      <c r="Q46">
        <v>12</v>
      </c>
    </row>
    <row r="47" spans="1:18">
      <c r="A47">
        <v>46</v>
      </c>
      <c r="B47">
        <v>1</v>
      </c>
      <c r="C47">
        <v>20240108</v>
      </c>
      <c r="D47" t="s">
        <v>28</v>
      </c>
      <c r="E47" t="s">
        <v>21</v>
      </c>
      <c r="F47" t="s">
        <v>22</v>
      </c>
      <c r="G47" t="s">
        <v>30</v>
      </c>
      <c r="H47">
        <v>1179037</v>
      </c>
      <c r="I47" t="s">
        <v>24</v>
      </c>
      <c r="J47">
        <v>4.14</v>
      </c>
      <c r="K47">
        <v>4881213.18</v>
      </c>
      <c r="L47" t="s">
        <v>634</v>
      </c>
      <c r="M47" t="s">
        <v>673</v>
      </c>
      <c r="N47">
        <v>4.064</v>
      </c>
      <c r="O47" t="s">
        <v>27</v>
      </c>
      <c r="P47" t="s">
        <v>675</v>
      </c>
      <c r="Q47">
        <v>49</v>
      </c>
    </row>
    <row r="48" spans="1:18">
      <c r="A48">
        <v>47</v>
      </c>
      <c r="B48">
        <v>1</v>
      </c>
      <c r="C48">
        <v>20240108</v>
      </c>
      <c r="D48" t="s">
        <v>28</v>
      </c>
      <c r="E48" t="s">
        <v>21</v>
      </c>
      <c r="F48" t="s">
        <v>22</v>
      </c>
      <c r="G48" t="s">
        <v>37</v>
      </c>
      <c r="H48">
        <v>11756</v>
      </c>
      <c r="I48" t="s">
        <v>24</v>
      </c>
      <c r="J48">
        <v>4.14</v>
      </c>
      <c r="K48">
        <v>48669.84</v>
      </c>
      <c r="L48" t="s">
        <v>654</v>
      </c>
      <c r="M48" t="s">
        <v>673</v>
      </c>
      <c r="N48">
        <v>4.036</v>
      </c>
      <c r="O48" t="s">
        <v>27</v>
      </c>
      <c r="P48" t="s">
        <v>674</v>
      </c>
      <c r="Q48">
        <v>4</v>
      </c>
    </row>
    <row r="49" spans="1:18">
      <c r="A49">
        <v>48</v>
      </c>
      <c r="B49">
        <v>1</v>
      </c>
      <c r="C49">
        <v>20240108</v>
      </c>
      <c r="D49" t="s">
        <v>20</v>
      </c>
      <c r="E49" t="s">
        <v>21</v>
      </c>
      <c r="F49" t="s">
        <v>32</v>
      </c>
      <c r="G49" t="s">
        <v>640</v>
      </c>
      <c r="H49">
        <v>272620</v>
      </c>
      <c r="I49" t="s">
        <v>24</v>
      </c>
      <c r="J49">
        <v>5.47</v>
      </c>
      <c r="K49">
        <v>1491231.4</v>
      </c>
      <c r="L49" t="s">
        <v>634</v>
      </c>
      <c r="N49">
        <v>5.0362</v>
      </c>
      <c r="O49" t="s">
        <v>43</v>
      </c>
      <c r="P49" t="s">
        <v>676</v>
      </c>
      <c r="Q49">
        <v>57</v>
      </c>
      <c r="R49">
        <v>7.1094</v>
      </c>
    </row>
    <row r="50" spans="1:18">
      <c r="A50">
        <v>49</v>
      </c>
      <c r="B50">
        <v>1</v>
      </c>
      <c r="C50">
        <v>20240108</v>
      </c>
      <c r="D50" t="s">
        <v>28</v>
      </c>
      <c r="E50" t="s">
        <v>21</v>
      </c>
      <c r="F50" t="s">
        <v>41</v>
      </c>
      <c r="G50" t="s">
        <v>30</v>
      </c>
      <c r="H50">
        <v>20455</v>
      </c>
      <c r="I50" t="s">
        <v>24</v>
      </c>
      <c r="J50">
        <v>4.14</v>
      </c>
      <c r="K50">
        <v>84683.7</v>
      </c>
      <c r="L50" t="s">
        <v>637</v>
      </c>
      <c r="N50">
        <v>4.05</v>
      </c>
      <c r="O50" t="s">
        <v>43</v>
      </c>
      <c r="P50" t="s">
        <v>677</v>
      </c>
      <c r="Q50">
        <v>8</v>
      </c>
    </row>
    <row r="51" spans="1:18">
      <c r="A51">
        <v>50</v>
      </c>
      <c r="B51">
        <v>1</v>
      </c>
      <c r="C51">
        <v>20240108</v>
      </c>
      <c r="D51" t="s">
        <v>28</v>
      </c>
      <c r="E51" t="s">
        <v>21</v>
      </c>
      <c r="F51" t="s">
        <v>41</v>
      </c>
      <c r="G51" t="s">
        <v>37</v>
      </c>
      <c r="H51">
        <v>517</v>
      </c>
      <c r="I51" t="s">
        <v>24</v>
      </c>
      <c r="J51">
        <v>4.14</v>
      </c>
      <c r="K51">
        <v>2140.38</v>
      </c>
      <c r="L51" t="s">
        <v>637</v>
      </c>
      <c r="N51">
        <v>4.05</v>
      </c>
      <c r="O51" t="s">
        <v>43</v>
      </c>
      <c r="P51" t="s">
        <v>678</v>
      </c>
      <c r="Q51">
        <v>1</v>
      </c>
    </row>
    <row r="52" spans="1:18">
      <c r="A52">
        <v>51</v>
      </c>
      <c r="B52">
        <v>1</v>
      </c>
      <c r="C52">
        <v>20240108</v>
      </c>
      <c r="D52" t="s">
        <v>28</v>
      </c>
      <c r="E52" t="s">
        <v>21</v>
      </c>
      <c r="F52" t="s">
        <v>41</v>
      </c>
      <c r="G52" t="s">
        <v>30</v>
      </c>
      <c r="H52">
        <v>3242</v>
      </c>
      <c r="I52" t="s">
        <v>24</v>
      </c>
      <c r="J52">
        <v>4.14</v>
      </c>
      <c r="K52">
        <v>13421.88</v>
      </c>
      <c r="L52" t="s">
        <v>634</v>
      </c>
      <c r="N52">
        <v>4.05</v>
      </c>
      <c r="O52" t="s">
        <v>43</v>
      </c>
      <c r="P52" t="s">
        <v>677</v>
      </c>
      <c r="Q52">
        <v>1</v>
      </c>
    </row>
    <row r="53" spans="1:18">
      <c r="A53">
        <v>52</v>
      </c>
      <c r="B53">
        <v>1</v>
      </c>
      <c r="C53">
        <v>20240108</v>
      </c>
      <c r="D53" t="s">
        <v>28</v>
      </c>
      <c r="E53" t="s">
        <v>21</v>
      </c>
      <c r="F53" t="s">
        <v>41</v>
      </c>
      <c r="G53" t="s">
        <v>30</v>
      </c>
      <c r="H53">
        <v>6767</v>
      </c>
      <c r="I53" t="s">
        <v>24</v>
      </c>
      <c r="J53">
        <v>4.14</v>
      </c>
      <c r="K53">
        <v>28015.38</v>
      </c>
      <c r="L53" t="s">
        <v>634</v>
      </c>
      <c r="N53">
        <v>4.05</v>
      </c>
      <c r="O53" t="s">
        <v>43</v>
      </c>
      <c r="P53" t="s">
        <v>677</v>
      </c>
      <c r="Q53">
        <v>6</v>
      </c>
    </row>
    <row r="54" spans="1:18">
      <c r="A54">
        <v>53</v>
      </c>
      <c r="B54">
        <v>1</v>
      </c>
      <c r="C54">
        <v>20240108</v>
      </c>
      <c r="D54" t="s">
        <v>28</v>
      </c>
      <c r="E54" t="s">
        <v>21</v>
      </c>
      <c r="F54" t="s">
        <v>41</v>
      </c>
      <c r="G54" t="s">
        <v>37</v>
      </c>
      <c r="H54">
        <v>396</v>
      </c>
      <c r="I54" t="s">
        <v>24</v>
      </c>
      <c r="J54">
        <v>4.14</v>
      </c>
      <c r="K54">
        <v>1639.44</v>
      </c>
      <c r="L54" t="s">
        <v>634</v>
      </c>
      <c r="N54">
        <v>4.05</v>
      </c>
      <c r="O54" t="s">
        <v>43</v>
      </c>
      <c r="P54" t="s">
        <v>678</v>
      </c>
      <c r="Q54">
        <v>1</v>
      </c>
    </row>
    <row r="55" spans="1:18">
      <c r="A55">
        <v>54</v>
      </c>
      <c r="B55">
        <v>1</v>
      </c>
      <c r="C55">
        <v>20240108</v>
      </c>
      <c r="D55" t="s">
        <v>28</v>
      </c>
      <c r="E55" t="s">
        <v>21</v>
      </c>
      <c r="F55" t="s">
        <v>41</v>
      </c>
      <c r="G55" t="s">
        <v>30</v>
      </c>
      <c r="H55">
        <v>7601</v>
      </c>
      <c r="I55" t="s">
        <v>24</v>
      </c>
      <c r="J55">
        <v>4.14</v>
      </c>
      <c r="K55">
        <v>31468.14</v>
      </c>
      <c r="L55" t="s">
        <v>637</v>
      </c>
      <c r="N55">
        <v>4.05</v>
      </c>
      <c r="O55" t="s">
        <v>43</v>
      </c>
      <c r="P55" t="s">
        <v>677</v>
      </c>
      <c r="Q55">
        <v>5</v>
      </c>
    </row>
    <row r="56" spans="1:18">
      <c r="A56">
        <v>55</v>
      </c>
      <c r="B56">
        <v>1</v>
      </c>
      <c r="C56">
        <v>20240108</v>
      </c>
      <c r="D56" t="s">
        <v>28</v>
      </c>
      <c r="E56" t="s">
        <v>21</v>
      </c>
      <c r="F56" t="s">
        <v>41</v>
      </c>
      <c r="G56" t="s">
        <v>37</v>
      </c>
      <c r="H56">
        <v>2219</v>
      </c>
      <c r="I56" t="s">
        <v>24</v>
      </c>
      <c r="J56">
        <v>4.14</v>
      </c>
      <c r="K56">
        <v>9186.66</v>
      </c>
      <c r="L56" t="s">
        <v>637</v>
      </c>
      <c r="N56">
        <v>4.05</v>
      </c>
      <c r="O56" t="s">
        <v>43</v>
      </c>
      <c r="P56" t="s">
        <v>678</v>
      </c>
      <c r="Q56">
        <v>4</v>
      </c>
    </row>
    <row r="57" spans="1:18">
      <c r="A57">
        <v>56</v>
      </c>
      <c r="B57">
        <v>1</v>
      </c>
      <c r="C57">
        <v>20240108</v>
      </c>
      <c r="D57" t="s">
        <v>28</v>
      </c>
      <c r="E57" t="s">
        <v>21</v>
      </c>
      <c r="F57" t="s">
        <v>41</v>
      </c>
      <c r="G57" t="s">
        <v>30</v>
      </c>
      <c r="H57">
        <v>23801</v>
      </c>
      <c r="I57" t="s">
        <v>24</v>
      </c>
      <c r="J57">
        <v>4.14</v>
      </c>
      <c r="K57">
        <v>98536.14</v>
      </c>
      <c r="L57" t="s">
        <v>637</v>
      </c>
      <c r="N57">
        <v>4.05</v>
      </c>
      <c r="O57" t="s">
        <v>43</v>
      </c>
      <c r="P57" t="s">
        <v>677</v>
      </c>
      <c r="Q57">
        <v>5</v>
      </c>
    </row>
    <row r="58" spans="1:18">
      <c r="A58">
        <v>57</v>
      </c>
      <c r="B58">
        <v>1</v>
      </c>
      <c r="C58">
        <v>20240109</v>
      </c>
      <c r="D58" t="s">
        <v>28</v>
      </c>
      <c r="E58" t="s">
        <v>21</v>
      </c>
      <c r="F58" t="s">
        <v>29</v>
      </c>
      <c r="G58" t="s">
        <v>679</v>
      </c>
      <c r="H58">
        <v>344224</v>
      </c>
      <c r="I58" t="s">
        <v>24</v>
      </c>
      <c r="J58">
        <v>4.53</v>
      </c>
      <c r="K58">
        <v>1559334.72</v>
      </c>
      <c r="L58" t="s">
        <v>634</v>
      </c>
      <c r="N58">
        <v>4.44</v>
      </c>
      <c r="O58" t="s">
        <v>43</v>
      </c>
      <c r="P58" t="s">
        <v>680</v>
      </c>
      <c r="Q58">
        <v>39</v>
      </c>
    </row>
    <row r="59" spans="1:18">
      <c r="A59">
        <v>58</v>
      </c>
      <c r="B59">
        <v>1</v>
      </c>
      <c r="C59">
        <v>20240109</v>
      </c>
      <c r="D59" t="s">
        <v>28</v>
      </c>
      <c r="E59" t="s">
        <v>21</v>
      </c>
      <c r="F59" t="s">
        <v>29</v>
      </c>
      <c r="G59" t="s">
        <v>679</v>
      </c>
      <c r="H59">
        <v>543589</v>
      </c>
      <c r="I59" t="s">
        <v>24</v>
      </c>
      <c r="J59">
        <v>4.53</v>
      </c>
      <c r="K59">
        <v>2462458.17</v>
      </c>
      <c r="L59" t="s">
        <v>634</v>
      </c>
      <c r="N59">
        <v>4.44</v>
      </c>
      <c r="O59" t="s">
        <v>43</v>
      </c>
      <c r="P59" t="s">
        <v>680</v>
      </c>
      <c r="Q59">
        <v>54</v>
      </c>
    </row>
    <row r="60" spans="1:18">
      <c r="A60">
        <v>59</v>
      </c>
      <c r="B60">
        <v>1</v>
      </c>
      <c r="C60">
        <v>20240109</v>
      </c>
      <c r="D60" t="s">
        <v>28</v>
      </c>
      <c r="E60" t="s">
        <v>21</v>
      </c>
      <c r="F60" t="s">
        <v>29</v>
      </c>
      <c r="G60" t="s">
        <v>679</v>
      </c>
      <c r="H60">
        <v>667361</v>
      </c>
      <c r="I60" t="s">
        <v>24</v>
      </c>
      <c r="J60">
        <v>4.53</v>
      </c>
      <c r="K60">
        <v>3023145.33</v>
      </c>
      <c r="L60" t="s">
        <v>634</v>
      </c>
      <c r="N60">
        <v>4.44</v>
      </c>
      <c r="O60" t="s">
        <v>43</v>
      </c>
      <c r="P60" t="s">
        <v>680</v>
      </c>
      <c r="Q60">
        <v>122</v>
      </c>
    </row>
    <row r="61" spans="1:18">
      <c r="A61">
        <v>60</v>
      </c>
      <c r="B61">
        <v>1</v>
      </c>
      <c r="C61">
        <v>20240109</v>
      </c>
      <c r="D61" t="s">
        <v>28</v>
      </c>
      <c r="E61" t="s">
        <v>21</v>
      </c>
      <c r="F61" t="s">
        <v>32</v>
      </c>
      <c r="G61" t="s">
        <v>99</v>
      </c>
      <c r="H61">
        <v>9587</v>
      </c>
      <c r="I61" t="s">
        <v>24</v>
      </c>
      <c r="J61">
        <v>4.14</v>
      </c>
      <c r="K61">
        <v>39690.18</v>
      </c>
      <c r="L61" t="s">
        <v>634</v>
      </c>
      <c r="M61" t="s">
        <v>681</v>
      </c>
      <c r="N61">
        <v>4.015</v>
      </c>
      <c r="O61" t="s">
        <v>27</v>
      </c>
      <c r="P61" t="s">
        <v>682</v>
      </c>
      <c r="Q61">
        <v>2</v>
      </c>
    </row>
    <row r="62" spans="1:18">
      <c r="A62">
        <v>61</v>
      </c>
      <c r="B62">
        <v>1</v>
      </c>
      <c r="C62">
        <v>20240109</v>
      </c>
      <c r="D62" t="s">
        <v>28</v>
      </c>
      <c r="E62" t="s">
        <v>21</v>
      </c>
      <c r="F62" t="s">
        <v>32</v>
      </c>
      <c r="G62" t="s">
        <v>679</v>
      </c>
      <c r="H62">
        <v>138941</v>
      </c>
      <c r="I62" t="s">
        <v>24</v>
      </c>
      <c r="J62">
        <v>4.14</v>
      </c>
      <c r="K62">
        <v>575215.74</v>
      </c>
      <c r="L62" t="s">
        <v>634</v>
      </c>
      <c r="M62" t="s">
        <v>681</v>
      </c>
      <c r="N62">
        <v>4.021</v>
      </c>
      <c r="O62" t="s">
        <v>27</v>
      </c>
      <c r="P62" t="s">
        <v>683</v>
      </c>
      <c r="Q62">
        <v>133</v>
      </c>
    </row>
    <row r="63" spans="1:18">
      <c r="A63">
        <v>62</v>
      </c>
      <c r="B63">
        <v>1</v>
      </c>
      <c r="C63">
        <v>20240109</v>
      </c>
      <c r="D63" t="s">
        <v>28</v>
      </c>
      <c r="E63" t="s">
        <v>21</v>
      </c>
      <c r="F63" t="s">
        <v>32</v>
      </c>
      <c r="G63" t="s">
        <v>679</v>
      </c>
      <c r="H63">
        <v>2521</v>
      </c>
      <c r="I63" t="s">
        <v>24</v>
      </c>
      <c r="J63">
        <v>4.14</v>
      </c>
      <c r="K63">
        <v>10436.94</v>
      </c>
      <c r="L63" t="s">
        <v>634</v>
      </c>
      <c r="M63" t="s">
        <v>681</v>
      </c>
      <c r="N63">
        <v>4.015</v>
      </c>
      <c r="O63" t="s">
        <v>27</v>
      </c>
      <c r="P63" t="s">
        <v>683</v>
      </c>
    </row>
    <row r="64" spans="1:18">
      <c r="A64">
        <v>63</v>
      </c>
      <c r="B64">
        <v>1</v>
      </c>
      <c r="C64">
        <v>20240109</v>
      </c>
      <c r="D64" t="s">
        <v>28</v>
      </c>
      <c r="E64" t="s">
        <v>21</v>
      </c>
      <c r="F64" t="s">
        <v>32</v>
      </c>
      <c r="G64" t="s">
        <v>37</v>
      </c>
      <c r="H64">
        <v>590</v>
      </c>
      <c r="I64" t="s">
        <v>24</v>
      </c>
      <c r="J64">
        <v>4.14</v>
      </c>
      <c r="K64">
        <v>2442.6</v>
      </c>
      <c r="L64" t="s">
        <v>637</v>
      </c>
      <c r="M64" t="s">
        <v>681</v>
      </c>
      <c r="N64">
        <v>4.015</v>
      </c>
      <c r="O64" t="s">
        <v>27</v>
      </c>
      <c r="P64" t="s">
        <v>684</v>
      </c>
      <c r="Q64">
        <v>1</v>
      </c>
    </row>
    <row r="65" spans="1:18">
      <c r="A65">
        <v>64</v>
      </c>
      <c r="B65">
        <v>1</v>
      </c>
      <c r="C65">
        <v>20240109</v>
      </c>
      <c r="D65" t="s">
        <v>28</v>
      </c>
      <c r="E65" t="s">
        <v>21</v>
      </c>
      <c r="F65" t="s">
        <v>32</v>
      </c>
      <c r="G65" t="s">
        <v>30</v>
      </c>
      <c r="H65">
        <v>80466</v>
      </c>
      <c r="I65" t="s">
        <v>24</v>
      </c>
      <c r="J65">
        <v>4.14</v>
      </c>
      <c r="K65">
        <v>333129.24</v>
      </c>
      <c r="L65" t="s">
        <v>637</v>
      </c>
      <c r="M65" t="s">
        <v>681</v>
      </c>
      <c r="N65">
        <v>4.015</v>
      </c>
      <c r="O65" t="s">
        <v>27</v>
      </c>
      <c r="P65" t="s">
        <v>685</v>
      </c>
      <c r="Q65">
        <v>6</v>
      </c>
    </row>
    <row r="66" spans="1:18">
      <c r="A66">
        <v>65</v>
      </c>
      <c r="B66">
        <v>1</v>
      </c>
      <c r="C66">
        <v>20240109</v>
      </c>
      <c r="D66" t="s">
        <v>20</v>
      </c>
      <c r="E66" t="s">
        <v>21</v>
      </c>
      <c r="F66" t="s">
        <v>32</v>
      </c>
      <c r="G66" t="s">
        <v>50</v>
      </c>
      <c r="H66">
        <v>74105</v>
      </c>
      <c r="I66" t="s">
        <v>24</v>
      </c>
      <c r="J66">
        <v>5.53</v>
      </c>
      <c r="K66">
        <v>409800.65</v>
      </c>
      <c r="L66" t="s">
        <v>637</v>
      </c>
      <c r="M66" t="s">
        <v>686</v>
      </c>
      <c r="N66">
        <v>4.7765</v>
      </c>
      <c r="O66" t="s">
        <v>27</v>
      </c>
      <c r="P66" t="s">
        <v>687</v>
      </c>
      <c r="Q66">
        <v>23</v>
      </c>
      <c r="R66">
        <v>7.024</v>
      </c>
    </row>
    <row r="67" spans="1:18">
      <c r="A67">
        <v>66</v>
      </c>
      <c r="B67">
        <v>1</v>
      </c>
      <c r="C67">
        <v>20240109</v>
      </c>
      <c r="D67" t="s">
        <v>20</v>
      </c>
      <c r="E67" t="s">
        <v>21</v>
      </c>
      <c r="F67" t="s">
        <v>32</v>
      </c>
      <c r="G67" t="s">
        <v>640</v>
      </c>
      <c r="H67">
        <v>296977</v>
      </c>
      <c r="I67" t="s">
        <v>24</v>
      </c>
      <c r="J67">
        <v>5.47</v>
      </c>
      <c r="K67">
        <v>1624464.19</v>
      </c>
      <c r="L67" t="s">
        <v>634</v>
      </c>
      <c r="M67" t="s">
        <v>686</v>
      </c>
      <c r="N67">
        <v>5.0362</v>
      </c>
      <c r="O67" t="s">
        <v>27</v>
      </c>
      <c r="P67" t="s">
        <v>688</v>
      </c>
      <c r="Q67">
        <v>32</v>
      </c>
      <c r="R67">
        <v>7.1094</v>
      </c>
    </row>
    <row r="68" spans="1:18">
      <c r="A68">
        <v>67</v>
      </c>
      <c r="B68">
        <v>1</v>
      </c>
      <c r="C68">
        <v>20240109</v>
      </c>
      <c r="D68" t="s">
        <v>28</v>
      </c>
      <c r="E68" t="s">
        <v>21</v>
      </c>
      <c r="F68" t="s">
        <v>22</v>
      </c>
      <c r="G68" t="s">
        <v>99</v>
      </c>
      <c r="H68">
        <v>1041</v>
      </c>
      <c r="I68" t="s">
        <v>24</v>
      </c>
      <c r="J68">
        <v>4.14</v>
      </c>
      <c r="K68">
        <v>4309.74</v>
      </c>
      <c r="L68" t="s">
        <v>634</v>
      </c>
      <c r="M68" t="s">
        <v>689</v>
      </c>
      <c r="N68">
        <v>4.0295</v>
      </c>
      <c r="O68" t="s">
        <v>27</v>
      </c>
      <c r="P68" t="s">
        <v>690</v>
      </c>
      <c r="Q68">
        <v>2</v>
      </c>
    </row>
    <row r="69" spans="1:18">
      <c r="A69">
        <v>68</v>
      </c>
      <c r="B69">
        <v>1</v>
      </c>
      <c r="C69">
        <v>20240109</v>
      </c>
      <c r="D69" t="s">
        <v>28</v>
      </c>
      <c r="E69" t="s">
        <v>21</v>
      </c>
      <c r="F69" t="s">
        <v>22</v>
      </c>
      <c r="G69" t="s">
        <v>37</v>
      </c>
      <c r="H69">
        <v>5089</v>
      </c>
      <c r="I69" t="s">
        <v>24</v>
      </c>
      <c r="J69">
        <v>4.14</v>
      </c>
      <c r="K69">
        <v>21068.46</v>
      </c>
      <c r="L69" t="s">
        <v>634</v>
      </c>
      <c r="M69" t="s">
        <v>689</v>
      </c>
      <c r="N69">
        <v>4.0815</v>
      </c>
      <c r="O69" t="s">
        <v>27</v>
      </c>
      <c r="P69" t="s">
        <v>691</v>
      </c>
      <c r="Q69">
        <v>10</v>
      </c>
    </row>
    <row r="70" spans="1:18">
      <c r="A70">
        <v>69</v>
      </c>
      <c r="B70">
        <v>1</v>
      </c>
      <c r="C70">
        <v>20240109</v>
      </c>
      <c r="D70" t="s">
        <v>28</v>
      </c>
      <c r="E70" t="s">
        <v>21</v>
      </c>
      <c r="F70" t="s">
        <v>22</v>
      </c>
      <c r="G70" t="s">
        <v>30</v>
      </c>
      <c r="H70">
        <v>85274</v>
      </c>
      <c r="I70" t="s">
        <v>24</v>
      </c>
      <c r="J70">
        <v>4.14</v>
      </c>
      <c r="K70">
        <v>353034.36</v>
      </c>
      <c r="L70" t="s">
        <v>634</v>
      </c>
      <c r="M70" t="s">
        <v>689</v>
      </c>
      <c r="N70">
        <v>4.0825</v>
      </c>
      <c r="O70" t="s">
        <v>27</v>
      </c>
      <c r="P70" t="s">
        <v>692</v>
      </c>
      <c r="Q70">
        <v>7</v>
      </c>
    </row>
    <row r="71" spans="1:18">
      <c r="A71">
        <v>70</v>
      </c>
      <c r="B71">
        <v>1</v>
      </c>
      <c r="C71">
        <v>20240109</v>
      </c>
      <c r="D71" t="s">
        <v>28</v>
      </c>
      <c r="E71" t="s">
        <v>21</v>
      </c>
      <c r="F71" t="s">
        <v>22</v>
      </c>
      <c r="G71" t="s">
        <v>37</v>
      </c>
      <c r="H71">
        <v>8445</v>
      </c>
      <c r="I71" t="s">
        <v>24</v>
      </c>
      <c r="J71">
        <v>4.14</v>
      </c>
      <c r="K71">
        <v>34962.3</v>
      </c>
      <c r="L71" t="s">
        <v>654</v>
      </c>
      <c r="M71" t="s">
        <v>689</v>
      </c>
      <c r="N71">
        <v>4.0825</v>
      </c>
      <c r="O71" t="s">
        <v>27</v>
      </c>
      <c r="P71" t="s">
        <v>691</v>
      </c>
      <c r="Q71">
        <v>7</v>
      </c>
    </row>
    <row r="72" spans="1:18">
      <c r="A72">
        <v>71</v>
      </c>
      <c r="B72">
        <v>1</v>
      </c>
      <c r="C72">
        <v>20240109</v>
      </c>
      <c r="D72" t="s">
        <v>28</v>
      </c>
      <c r="E72" t="s">
        <v>21</v>
      </c>
      <c r="F72" t="s">
        <v>22</v>
      </c>
      <c r="G72" t="s">
        <v>37</v>
      </c>
      <c r="H72">
        <v>6446</v>
      </c>
      <c r="I72" t="s">
        <v>24</v>
      </c>
      <c r="J72">
        <v>4.14</v>
      </c>
      <c r="K72">
        <v>26686.44</v>
      </c>
      <c r="L72" t="s">
        <v>637</v>
      </c>
      <c r="M72" t="s">
        <v>689</v>
      </c>
      <c r="N72">
        <v>3.5873</v>
      </c>
      <c r="O72" t="s">
        <v>27</v>
      </c>
      <c r="P72" t="s">
        <v>691</v>
      </c>
      <c r="Q72">
        <v>4</v>
      </c>
    </row>
    <row r="73" spans="1:18">
      <c r="A73">
        <v>72</v>
      </c>
      <c r="B73">
        <v>1</v>
      </c>
      <c r="C73">
        <v>20240109</v>
      </c>
      <c r="D73" t="s">
        <v>28</v>
      </c>
      <c r="E73" t="s">
        <v>21</v>
      </c>
      <c r="F73" t="s">
        <v>22</v>
      </c>
      <c r="G73" t="s">
        <v>37</v>
      </c>
      <c r="H73">
        <v>134</v>
      </c>
      <c r="I73" t="s">
        <v>24</v>
      </c>
      <c r="J73">
        <v>4.14</v>
      </c>
      <c r="K73">
        <v>554.76</v>
      </c>
      <c r="L73" t="s">
        <v>637</v>
      </c>
      <c r="M73" t="s">
        <v>689</v>
      </c>
      <c r="N73">
        <v>3.5065</v>
      </c>
      <c r="O73" t="s">
        <v>27</v>
      </c>
      <c r="P73" t="s">
        <v>691</v>
      </c>
      <c r="Q73">
        <v>1</v>
      </c>
    </row>
    <row r="74" spans="1:18">
      <c r="A74">
        <v>73</v>
      </c>
      <c r="B74">
        <v>1</v>
      </c>
      <c r="C74">
        <v>20240109</v>
      </c>
      <c r="D74" t="s">
        <v>28</v>
      </c>
      <c r="E74" t="s">
        <v>21</v>
      </c>
      <c r="F74" t="s">
        <v>22</v>
      </c>
      <c r="G74" t="s">
        <v>37</v>
      </c>
      <c r="H74">
        <v>6629</v>
      </c>
      <c r="I74" t="s">
        <v>24</v>
      </c>
      <c r="J74">
        <v>4.14</v>
      </c>
      <c r="K74">
        <v>27444.06</v>
      </c>
      <c r="L74" t="s">
        <v>637</v>
      </c>
      <c r="M74" t="s">
        <v>689</v>
      </c>
      <c r="N74">
        <v>4.0801</v>
      </c>
      <c r="O74" t="s">
        <v>27</v>
      </c>
      <c r="P74" t="s">
        <v>691</v>
      </c>
      <c r="Q74">
        <v>6</v>
      </c>
    </row>
    <row r="75" spans="1:18">
      <c r="A75">
        <v>74</v>
      </c>
      <c r="B75">
        <v>1</v>
      </c>
      <c r="C75">
        <v>20240109</v>
      </c>
      <c r="D75" t="s">
        <v>28</v>
      </c>
      <c r="E75" t="s">
        <v>21</v>
      </c>
      <c r="F75" t="s">
        <v>22</v>
      </c>
      <c r="G75" t="s">
        <v>30</v>
      </c>
      <c r="H75">
        <v>20997</v>
      </c>
      <c r="I75" t="s">
        <v>24</v>
      </c>
      <c r="J75">
        <v>4.14</v>
      </c>
      <c r="K75">
        <v>86927.58</v>
      </c>
      <c r="L75" t="s">
        <v>637</v>
      </c>
      <c r="M75" t="s">
        <v>689</v>
      </c>
      <c r="N75">
        <v>3.5207</v>
      </c>
      <c r="O75" t="s">
        <v>27</v>
      </c>
      <c r="P75" t="s">
        <v>692</v>
      </c>
      <c r="Q75">
        <v>7</v>
      </c>
    </row>
    <row r="76" spans="1:18">
      <c r="A76">
        <v>75</v>
      </c>
      <c r="B76">
        <v>1</v>
      </c>
      <c r="C76">
        <v>20240109</v>
      </c>
      <c r="D76" t="s">
        <v>28</v>
      </c>
      <c r="E76" t="s">
        <v>21</v>
      </c>
      <c r="F76" t="s">
        <v>22</v>
      </c>
      <c r="G76" t="s">
        <v>30</v>
      </c>
      <c r="H76">
        <v>5702</v>
      </c>
      <c r="I76" t="s">
        <v>24</v>
      </c>
      <c r="J76">
        <v>4.14</v>
      </c>
      <c r="K76">
        <v>23606.28</v>
      </c>
      <c r="L76" t="s">
        <v>637</v>
      </c>
      <c r="M76" t="s">
        <v>689</v>
      </c>
      <c r="N76">
        <v>3.5538</v>
      </c>
      <c r="O76" t="s">
        <v>27</v>
      </c>
      <c r="P76" t="s">
        <v>692</v>
      </c>
      <c r="Q76">
        <v>1</v>
      </c>
    </row>
    <row r="77" spans="1:18">
      <c r="A77">
        <v>76</v>
      </c>
      <c r="B77">
        <v>1</v>
      </c>
      <c r="C77">
        <v>20240109</v>
      </c>
      <c r="D77" t="s">
        <v>20</v>
      </c>
      <c r="E77" t="s">
        <v>21</v>
      </c>
      <c r="F77" t="s">
        <v>22</v>
      </c>
      <c r="G77" t="s">
        <v>99</v>
      </c>
      <c r="H77">
        <v>17951</v>
      </c>
      <c r="I77" t="s">
        <v>24</v>
      </c>
      <c r="J77">
        <v>4.14</v>
      </c>
      <c r="K77">
        <v>74317.14</v>
      </c>
      <c r="L77" t="s">
        <v>634</v>
      </c>
      <c r="M77" t="s">
        <v>693</v>
      </c>
      <c r="N77">
        <v>4.033</v>
      </c>
      <c r="O77" t="s">
        <v>27</v>
      </c>
      <c r="P77" t="s">
        <v>694</v>
      </c>
      <c r="Q77">
        <v>2</v>
      </c>
      <c r="R77">
        <v>3.803</v>
      </c>
    </row>
    <row r="78" spans="1:18">
      <c r="A78">
        <v>77</v>
      </c>
      <c r="B78">
        <v>1</v>
      </c>
      <c r="C78">
        <v>20240109</v>
      </c>
      <c r="D78" t="s">
        <v>20</v>
      </c>
      <c r="E78" t="s">
        <v>21</v>
      </c>
      <c r="F78" t="s">
        <v>46</v>
      </c>
      <c r="G78" t="s">
        <v>633</v>
      </c>
      <c r="H78">
        <v>102130</v>
      </c>
      <c r="I78" t="s">
        <v>24</v>
      </c>
      <c r="J78">
        <v>7.46</v>
      </c>
      <c r="K78">
        <v>761889.8</v>
      </c>
      <c r="L78" t="s">
        <v>634</v>
      </c>
      <c r="N78">
        <v>4.93</v>
      </c>
      <c r="O78" t="s">
        <v>43</v>
      </c>
      <c r="P78" t="s">
        <v>695</v>
      </c>
      <c r="Q78">
        <v>7</v>
      </c>
      <c r="R78" t="s">
        <v>89</v>
      </c>
    </row>
    <row r="79" spans="1:18">
      <c r="A79">
        <v>78</v>
      </c>
      <c r="B79">
        <v>1</v>
      </c>
      <c r="C79">
        <v>20240110</v>
      </c>
      <c r="D79" t="s">
        <v>20</v>
      </c>
      <c r="E79" t="s">
        <v>21</v>
      </c>
      <c r="F79" t="s">
        <v>32</v>
      </c>
      <c r="G79" t="s">
        <v>50</v>
      </c>
      <c r="H79">
        <v>717255</v>
      </c>
      <c r="I79" t="s">
        <v>24</v>
      </c>
      <c r="J79">
        <v>5.53</v>
      </c>
      <c r="K79">
        <v>3966420.15</v>
      </c>
      <c r="L79" t="s">
        <v>637</v>
      </c>
      <c r="M79" t="s">
        <v>696</v>
      </c>
      <c r="N79">
        <v>4.7765</v>
      </c>
      <c r="O79" t="s">
        <v>27</v>
      </c>
      <c r="P79" t="s">
        <v>697</v>
      </c>
      <c r="Q79">
        <v>91</v>
      </c>
      <c r="R79">
        <v>7.024</v>
      </c>
    </row>
    <row r="80" spans="1:18">
      <c r="A80">
        <v>79</v>
      </c>
      <c r="B80">
        <v>1</v>
      </c>
      <c r="C80">
        <v>20240110</v>
      </c>
      <c r="D80" t="s">
        <v>20</v>
      </c>
      <c r="E80" t="s">
        <v>21</v>
      </c>
      <c r="F80" t="s">
        <v>32</v>
      </c>
      <c r="G80" t="s">
        <v>72</v>
      </c>
      <c r="H80">
        <v>262360</v>
      </c>
      <c r="I80" t="s">
        <v>24</v>
      </c>
      <c r="J80">
        <v>3.53</v>
      </c>
      <c r="K80">
        <v>926130.8</v>
      </c>
      <c r="L80" t="s">
        <v>634</v>
      </c>
      <c r="M80" t="s">
        <v>696</v>
      </c>
      <c r="N80">
        <v>3.2196</v>
      </c>
      <c r="O80" t="s">
        <v>27</v>
      </c>
      <c r="P80" t="s">
        <v>698</v>
      </c>
      <c r="Q80">
        <v>121</v>
      </c>
    </row>
    <row r="81" spans="1:19">
      <c r="A81">
        <v>80</v>
      </c>
      <c r="B81">
        <v>1</v>
      </c>
      <c r="C81">
        <v>20240110</v>
      </c>
      <c r="D81" t="s">
        <v>20</v>
      </c>
      <c r="E81" t="s">
        <v>21</v>
      </c>
      <c r="F81" t="s">
        <v>32</v>
      </c>
      <c r="G81" t="s">
        <v>640</v>
      </c>
      <c r="H81">
        <v>290939</v>
      </c>
      <c r="I81" t="s">
        <v>24</v>
      </c>
      <c r="J81">
        <v>5.47</v>
      </c>
      <c r="K81">
        <v>1591436.33</v>
      </c>
      <c r="L81" t="s">
        <v>634</v>
      </c>
      <c r="M81" t="s">
        <v>699</v>
      </c>
      <c r="N81">
        <v>5.0362</v>
      </c>
      <c r="O81" t="s">
        <v>27</v>
      </c>
      <c r="P81" t="s">
        <v>700</v>
      </c>
      <c r="Q81">
        <v>40</v>
      </c>
      <c r="R81">
        <v>7.1094</v>
      </c>
    </row>
    <row r="82" spans="1:19">
      <c r="A82">
        <v>81</v>
      </c>
      <c r="B82">
        <v>1</v>
      </c>
      <c r="C82">
        <v>20240110</v>
      </c>
      <c r="D82" t="s">
        <v>20</v>
      </c>
      <c r="E82" t="s">
        <v>21</v>
      </c>
      <c r="F82" t="s">
        <v>29</v>
      </c>
      <c r="G82" t="s">
        <v>102</v>
      </c>
      <c r="H82">
        <v>45</v>
      </c>
      <c r="I82" t="s">
        <v>24</v>
      </c>
      <c r="J82">
        <v>5.63</v>
      </c>
      <c r="K82">
        <v>253.35</v>
      </c>
      <c r="L82" t="s">
        <v>634</v>
      </c>
      <c r="N82">
        <v>5.52</v>
      </c>
      <c r="O82" t="s">
        <v>43</v>
      </c>
      <c r="P82" t="s">
        <v>701</v>
      </c>
      <c r="Q82">
        <v>1</v>
      </c>
      <c r="S82">
        <v>4.48</v>
      </c>
    </row>
    <row r="83" spans="1:19">
      <c r="A83">
        <v>82</v>
      </c>
      <c r="B83">
        <v>1</v>
      </c>
      <c r="C83">
        <v>20240110</v>
      </c>
      <c r="D83" t="s">
        <v>20</v>
      </c>
      <c r="E83" t="s">
        <v>21</v>
      </c>
      <c r="F83" t="s">
        <v>29</v>
      </c>
      <c r="G83" t="s">
        <v>47</v>
      </c>
      <c r="H83">
        <v>1448</v>
      </c>
      <c r="I83" t="s">
        <v>24</v>
      </c>
      <c r="J83">
        <v>7.46</v>
      </c>
      <c r="K83">
        <v>10802.08</v>
      </c>
      <c r="L83" t="s">
        <v>637</v>
      </c>
      <c r="N83">
        <v>5.2</v>
      </c>
      <c r="O83" t="s">
        <v>43</v>
      </c>
      <c r="P83" t="s">
        <v>702</v>
      </c>
      <c r="Q83">
        <v>1</v>
      </c>
      <c r="R83">
        <v>5.2041</v>
      </c>
      <c r="S83">
        <v>7.46</v>
      </c>
    </row>
    <row r="84" spans="1:19">
      <c r="A84">
        <v>83</v>
      </c>
      <c r="B84">
        <v>1</v>
      </c>
      <c r="C84">
        <v>20240110</v>
      </c>
      <c r="D84" t="s">
        <v>20</v>
      </c>
      <c r="E84" t="s">
        <v>21</v>
      </c>
      <c r="F84" t="s">
        <v>29</v>
      </c>
      <c r="G84" t="s">
        <v>42</v>
      </c>
      <c r="H84">
        <v>27036</v>
      </c>
      <c r="I84" t="s">
        <v>24</v>
      </c>
      <c r="J84">
        <v>5.7</v>
      </c>
      <c r="K84">
        <v>154105.2</v>
      </c>
      <c r="L84" t="s">
        <v>634</v>
      </c>
      <c r="N84">
        <v>5.59</v>
      </c>
      <c r="O84" t="s">
        <v>43</v>
      </c>
      <c r="P84" t="s">
        <v>703</v>
      </c>
      <c r="Q84">
        <v>14</v>
      </c>
      <c r="R84">
        <v>6.9333</v>
      </c>
      <c r="S84">
        <v>4.48</v>
      </c>
    </row>
    <row r="85" spans="1:19">
      <c r="A85">
        <v>84</v>
      </c>
      <c r="B85">
        <v>1</v>
      </c>
      <c r="C85">
        <v>20240110</v>
      </c>
      <c r="D85" t="s">
        <v>28</v>
      </c>
      <c r="E85" t="s">
        <v>21</v>
      </c>
      <c r="F85" t="s">
        <v>41</v>
      </c>
      <c r="G85" t="s">
        <v>30</v>
      </c>
      <c r="H85">
        <v>39028</v>
      </c>
      <c r="I85" t="s">
        <v>24</v>
      </c>
      <c r="J85">
        <v>4.14</v>
      </c>
      <c r="K85">
        <v>161575.92</v>
      </c>
      <c r="L85" t="s">
        <v>637</v>
      </c>
      <c r="N85">
        <v>4.05</v>
      </c>
      <c r="O85" t="s">
        <v>43</v>
      </c>
      <c r="P85" t="s">
        <v>704</v>
      </c>
      <c r="Q85">
        <v>12</v>
      </c>
    </row>
    <row r="86" spans="1:19">
      <c r="A86">
        <v>85</v>
      </c>
      <c r="B86">
        <v>1</v>
      </c>
      <c r="C86">
        <v>20240110</v>
      </c>
      <c r="D86" t="s">
        <v>28</v>
      </c>
      <c r="E86" t="s">
        <v>21</v>
      </c>
      <c r="F86" t="s">
        <v>41</v>
      </c>
      <c r="G86" t="s">
        <v>37</v>
      </c>
      <c r="H86">
        <v>593</v>
      </c>
      <c r="I86" t="s">
        <v>24</v>
      </c>
      <c r="J86">
        <v>4.14</v>
      </c>
      <c r="K86">
        <v>2455.02</v>
      </c>
      <c r="L86" t="s">
        <v>637</v>
      </c>
      <c r="N86">
        <v>4.05</v>
      </c>
      <c r="O86" t="s">
        <v>43</v>
      </c>
      <c r="P86" t="s">
        <v>705</v>
      </c>
      <c r="Q86">
        <v>1</v>
      </c>
    </row>
    <row r="87" spans="1:19">
      <c r="A87">
        <v>86</v>
      </c>
      <c r="B87">
        <v>1</v>
      </c>
      <c r="C87">
        <v>20240111</v>
      </c>
      <c r="D87" t="s">
        <v>28</v>
      </c>
      <c r="E87" t="s">
        <v>21</v>
      </c>
      <c r="F87" t="s">
        <v>32</v>
      </c>
      <c r="G87" t="s">
        <v>37</v>
      </c>
      <c r="H87">
        <v>7243</v>
      </c>
      <c r="I87" t="s">
        <v>24</v>
      </c>
      <c r="J87">
        <v>4.14</v>
      </c>
      <c r="K87">
        <v>29986.02</v>
      </c>
      <c r="L87" t="s">
        <v>634</v>
      </c>
      <c r="M87" t="s">
        <v>706</v>
      </c>
      <c r="N87">
        <v>4.015</v>
      </c>
      <c r="O87" t="s">
        <v>27</v>
      </c>
      <c r="P87" t="s">
        <v>707</v>
      </c>
      <c r="Q87">
        <v>9</v>
      </c>
    </row>
    <row r="88" spans="1:19">
      <c r="A88">
        <v>87</v>
      </c>
      <c r="B88">
        <v>1</v>
      </c>
      <c r="C88">
        <v>20240111</v>
      </c>
      <c r="D88" t="s">
        <v>28</v>
      </c>
      <c r="E88" t="s">
        <v>21</v>
      </c>
      <c r="F88" t="s">
        <v>32</v>
      </c>
      <c r="G88" t="s">
        <v>30</v>
      </c>
      <c r="H88">
        <v>818605</v>
      </c>
      <c r="I88" t="s">
        <v>24</v>
      </c>
      <c r="J88">
        <v>4.14</v>
      </c>
      <c r="K88">
        <v>3389024.7</v>
      </c>
      <c r="L88" t="s">
        <v>634</v>
      </c>
      <c r="M88" t="s">
        <v>706</v>
      </c>
      <c r="N88">
        <v>4.015</v>
      </c>
      <c r="O88" t="s">
        <v>27</v>
      </c>
      <c r="P88" t="s">
        <v>708</v>
      </c>
      <c r="Q88">
        <v>90</v>
      </c>
    </row>
    <row r="89" spans="1:19">
      <c r="A89">
        <v>88</v>
      </c>
      <c r="B89">
        <v>1</v>
      </c>
      <c r="C89">
        <v>20240111</v>
      </c>
      <c r="D89" t="s">
        <v>28</v>
      </c>
      <c r="E89" t="s">
        <v>21</v>
      </c>
      <c r="F89" t="s">
        <v>32</v>
      </c>
      <c r="G89" t="s">
        <v>37</v>
      </c>
      <c r="H89">
        <v>81012</v>
      </c>
      <c r="I89" t="s">
        <v>24</v>
      </c>
      <c r="J89">
        <v>4.14</v>
      </c>
      <c r="K89">
        <v>335389.68</v>
      </c>
      <c r="L89" t="s">
        <v>654</v>
      </c>
      <c r="M89" t="s">
        <v>706</v>
      </c>
      <c r="N89">
        <v>4.015</v>
      </c>
      <c r="O89" t="s">
        <v>27</v>
      </c>
      <c r="P89" t="s">
        <v>707</v>
      </c>
      <c r="Q89">
        <v>9</v>
      </c>
    </row>
    <row r="90" spans="1:19">
      <c r="A90">
        <v>89</v>
      </c>
      <c r="B90">
        <v>1</v>
      </c>
      <c r="C90">
        <v>20240111</v>
      </c>
      <c r="D90" t="s">
        <v>28</v>
      </c>
      <c r="E90" t="s">
        <v>21</v>
      </c>
      <c r="F90" t="s">
        <v>32</v>
      </c>
      <c r="G90" t="s">
        <v>30</v>
      </c>
      <c r="H90">
        <v>22008</v>
      </c>
      <c r="I90" t="s">
        <v>24</v>
      </c>
      <c r="J90">
        <v>4.14</v>
      </c>
      <c r="K90">
        <v>91113.12</v>
      </c>
      <c r="L90" t="s">
        <v>654</v>
      </c>
      <c r="M90" t="s">
        <v>706</v>
      </c>
      <c r="N90">
        <v>4.015</v>
      </c>
      <c r="O90" t="s">
        <v>27</v>
      </c>
      <c r="P90" t="s">
        <v>708</v>
      </c>
      <c r="Q90">
        <v>11</v>
      </c>
    </row>
    <row r="91" spans="1:19">
      <c r="A91">
        <v>90</v>
      </c>
      <c r="B91">
        <v>1</v>
      </c>
      <c r="C91">
        <v>20240111</v>
      </c>
      <c r="D91" t="s">
        <v>28</v>
      </c>
      <c r="E91" t="s">
        <v>21</v>
      </c>
      <c r="F91" t="s">
        <v>32</v>
      </c>
      <c r="G91" t="s">
        <v>37</v>
      </c>
      <c r="H91">
        <v>121017</v>
      </c>
      <c r="I91" t="s">
        <v>24</v>
      </c>
      <c r="J91">
        <v>4.14</v>
      </c>
      <c r="K91">
        <v>501010.38</v>
      </c>
      <c r="L91" t="s">
        <v>637</v>
      </c>
      <c r="M91" t="s">
        <v>706</v>
      </c>
      <c r="N91">
        <v>4.015</v>
      </c>
      <c r="O91" t="s">
        <v>27</v>
      </c>
      <c r="P91" t="s">
        <v>707</v>
      </c>
      <c r="Q91">
        <v>18</v>
      </c>
    </row>
    <row r="92" spans="1:19">
      <c r="A92">
        <v>91</v>
      </c>
      <c r="B92">
        <v>1</v>
      </c>
      <c r="C92">
        <v>20240111</v>
      </c>
      <c r="D92" t="s">
        <v>28</v>
      </c>
      <c r="E92" t="s">
        <v>21</v>
      </c>
      <c r="F92" t="s">
        <v>32</v>
      </c>
      <c r="G92" t="s">
        <v>30</v>
      </c>
      <c r="H92">
        <v>708636</v>
      </c>
      <c r="I92" t="s">
        <v>24</v>
      </c>
      <c r="J92">
        <v>4.14</v>
      </c>
      <c r="K92">
        <v>2933753.04</v>
      </c>
      <c r="L92" t="s">
        <v>637</v>
      </c>
      <c r="M92" t="s">
        <v>706</v>
      </c>
      <c r="N92">
        <v>4.015</v>
      </c>
      <c r="O92" t="s">
        <v>27</v>
      </c>
      <c r="P92" t="s">
        <v>708</v>
      </c>
      <c r="Q92">
        <v>136</v>
      </c>
    </row>
    <row r="93" spans="1:19">
      <c r="A93">
        <v>92</v>
      </c>
      <c r="B93">
        <v>1</v>
      </c>
      <c r="C93">
        <v>20240111</v>
      </c>
      <c r="D93" t="s">
        <v>28</v>
      </c>
      <c r="E93" t="s">
        <v>21</v>
      </c>
      <c r="F93" t="s">
        <v>32</v>
      </c>
      <c r="G93" t="s">
        <v>30</v>
      </c>
      <c r="H93">
        <v>332</v>
      </c>
      <c r="I93" t="s">
        <v>24</v>
      </c>
      <c r="J93">
        <v>4.14</v>
      </c>
      <c r="K93">
        <v>1374.48</v>
      </c>
      <c r="L93" t="s">
        <v>637</v>
      </c>
      <c r="M93" t="s">
        <v>706</v>
      </c>
      <c r="N93">
        <v>4.021</v>
      </c>
      <c r="O93" t="s">
        <v>27</v>
      </c>
      <c r="P93" t="s">
        <v>708</v>
      </c>
    </row>
    <row r="94" spans="1:19">
      <c r="A94">
        <v>93</v>
      </c>
      <c r="B94">
        <v>1</v>
      </c>
      <c r="C94">
        <v>20240111</v>
      </c>
      <c r="D94" t="s">
        <v>20</v>
      </c>
      <c r="E94" t="s">
        <v>21</v>
      </c>
      <c r="F94" t="s">
        <v>32</v>
      </c>
      <c r="G94" t="s">
        <v>640</v>
      </c>
      <c r="H94">
        <v>474490</v>
      </c>
      <c r="I94" t="s">
        <v>24</v>
      </c>
      <c r="J94">
        <v>5.47</v>
      </c>
      <c r="K94">
        <v>2595460.3</v>
      </c>
      <c r="L94" t="s">
        <v>634</v>
      </c>
      <c r="M94" t="s">
        <v>709</v>
      </c>
      <c r="N94">
        <v>5.0362</v>
      </c>
      <c r="O94" t="s">
        <v>27</v>
      </c>
      <c r="P94" t="s">
        <v>710</v>
      </c>
      <c r="Q94">
        <v>51</v>
      </c>
      <c r="R94">
        <v>7.1094</v>
      </c>
    </row>
    <row r="95" spans="1:19">
      <c r="A95">
        <v>94</v>
      </c>
      <c r="B95">
        <v>1</v>
      </c>
      <c r="C95">
        <v>20240111</v>
      </c>
      <c r="D95" t="s">
        <v>28</v>
      </c>
      <c r="E95" t="s">
        <v>21</v>
      </c>
      <c r="F95" t="s">
        <v>22</v>
      </c>
      <c r="G95" t="s">
        <v>30</v>
      </c>
      <c r="H95">
        <v>1050795</v>
      </c>
      <c r="I95" t="s">
        <v>24</v>
      </c>
      <c r="J95">
        <v>4.14</v>
      </c>
      <c r="K95">
        <v>4350291.3</v>
      </c>
      <c r="L95" t="s">
        <v>634</v>
      </c>
      <c r="N95">
        <v>4.0616</v>
      </c>
      <c r="O95" t="s">
        <v>43</v>
      </c>
      <c r="P95" t="s">
        <v>711</v>
      </c>
      <c r="Q95">
        <v>38</v>
      </c>
    </row>
    <row r="96" spans="1:19">
      <c r="A96">
        <v>95</v>
      </c>
      <c r="B96">
        <v>1</v>
      </c>
      <c r="C96">
        <v>20240111</v>
      </c>
      <c r="D96" t="s">
        <v>28</v>
      </c>
      <c r="E96" t="s">
        <v>21</v>
      </c>
      <c r="F96" t="s">
        <v>22</v>
      </c>
      <c r="G96" t="s">
        <v>37</v>
      </c>
      <c r="H96">
        <v>66158</v>
      </c>
      <c r="I96" t="s">
        <v>24</v>
      </c>
      <c r="J96">
        <v>4.14</v>
      </c>
      <c r="K96">
        <v>273894.12</v>
      </c>
      <c r="L96" t="s">
        <v>634</v>
      </c>
      <c r="N96">
        <v>4.0574</v>
      </c>
      <c r="O96" t="s">
        <v>43</v>
      </c>
      <c r="P96" t="s">
        <v>712</v>
      </c>
      <c r="Q96">
        <v>6</v>
      </c>
    </row>
    <row r="97" spans="1:19">
      <c r="A97">
        <v>96</v>
      </c>
      <c r="B97">
        <v>1</v>
      </c>
      <c r="C97">
        <v>20240111</v>
      </c>
      <c r="D97" t="s">
        <v>28</v>
      </c>
      <c r="E97" t="s">
        <v>21</v>
      </c>
      <c r="F97" t="s">
        <v>22</v>
      </c>
      <c r="G97" t="s">
        <v>30</v>
      </c>
      <c r="H97">
        <v>1883</v>
      </c>
      <c r="I97" t="s">
        <v>24</v>
      </c>
      <c r="J97">
        <v>4.14</v>
      </c>
      <c r="K97">
        <v>7795.62</v>
      </c>
      <c r="L97" t="s">
        <v>654</v>
      </c>
      <c r="N97">
        <v>4.049</v>
      </c>
      <c r="O97" t="s">
        <v>43</v>
      </c>
      <c r="P97" t="s">
        <v>711</v>
      </c>
      <c r="Q97">
        <v>4</v>
      </c>
    </row>
    <row r="98" spans="1:19">
      <c r="A98">
        <v>97</v>
      </c>
      <c r="B98">
        <v>1</v>
      </c>
      <c r="C98">
        <v>20240111</v>
      </c>
      <c r="D98" t="s">
        <v>28</v>
      </c>
      <c r="E98" t="s">
        <v>21</v>
      </c>
      <c r="F98" t="s">
        <v>22</v>
      </c>
      <c r="G98" t="s">
        <v>37</v>
      </c>
      <c r="H98">
        <v>36683</v>
      </c>
      <c r="I98" t="s">
        <v>24</v>
      </c>
      <c r="J98">
        <v>4.14</v>
      </c>
      <c r="K98">
        <v>151867.62</v>
      </c>
      <c r="L98" t="s">
        <v>654</v>
      </c>
      <c r="N98">
        <v>4.036</v>
      </c>
      <c r="O98" t="s">
        <v>43</v>
      </c>
      <c r="P98" t="s">
        <v>712</v>
      </c>
      <c r="Q98">
        <v>5</v>
      </c>
    </row>
    <row r="99" spans="1:19">
      <c r="A99">
        <v>98</v>
      </c>
      <c r="B99">
        <v>1</v>
      </c>
      <c r="C99">
        <v>20240111</v>
      </c>
      <c r="D99" t="s">
        <v>28</v>
      </c>
      <c r="E99" t="s">
        <v>21</v>
      </c>
      <c r="F99" t="s">
        <v>22</v>
      </c>
      <c r="G99" t="s">
        <v>30</v>
      </c>
      <c r="H99">
        <v>300977</v>
      </c>
      <c r="I99" t="s">
        <v>24</v>
      </c>
      <c r="J99">
        <v>4.14</v>
      </c>
      <c r="K99">
        <v>1246044.78</v>
      </c>
      <c r="L99" t="s">
        <v>637</v>
      </c>
      <c r="N99">
        <v>3.5761</v>
      </c>
      <c r="O99" t="s">
        <v>43</v>
      </c>
      <c r="P99" t="s">
        <v>711</v>
      </c>
      <c r="Q99">
        <v>13</v>
      </c>
    </row>
    <row r="100" spans="1:19">
      <c r="A100">
        <v>99</v>
      </c>
      <c r="B100">
        <v>1</v>
      </c>
      <c r="C100">
        <v>20240111</v>
      </c>
      <c r="D100" t="s">
        <v>28</v>
      </c>
      <c r="E100" t="s">
        <v>21</v>
      </c>
      <c r="F100" t="s">
        <v>22</v>
      </c>
      <c r="G100" t="s">
        <v>30</v>
      </c>
      <c r="H100">
        <v>166058</v>
      </c>
      <c r="I100" t="s">
        <v>24</v>
      </c>
      <c r="J100">
        <v>4.14</v>
      </c>
      <c r="K100">
        <v>687480.12</v>
      </c>
      <c r="L100" t="s">
        <v>637</v>
      </c>
      <c r="N100">
        <v>3.509</v>
      </c>
      <c r="O100" t="s">
        <v>43</v>
      </c>
      <c r="P100" t="s">
        <v>711</v>
      </c>
      <c r="Q100">
        <v>10</v>
      </c>
    </row>
    <row r="101" spans="1:19">
      <c r="A101">
        <v>100</v>
      </c>
      <c r="B101">
        <v>1</v>
      </c>
      <c r="C101">
        <v>20240111</v>
      </c>
      <c r="D101" t="s">
        <v>28</v>
      </c>
      <c r="E101" t="s">
        <v>21</v>
      </c>
      <c r="F101" t="s">
        <v>22</v>
      </c>
      <c r="G101" t="s">
        <v>30</v>
      </c>
      <c r="H101">
        <v>44398</v>
      </c>
      <c r="I101" t="s">
        <v>24</v>
      </c>
      <c r="J101">
        <v>4.14</v>
      </c>
      <c r="K101">
        <v>183807.72</v>
      </c>
      <c r="L101" t="s">
        <v>637</v>
      </c>
      <c r="N101">
        <v>4.049</v>
      </c>
      <c r="O101" t="s">
        <v>43</v>
      </c>
      <c r="P101" t="s">
        <v>711</v>
      </c>
      <c r="Q101">
        <v>4</v>
      </c>
    </row>
    <row r="102" spans="1:19">
      <c r="A102">
        <v>101</v>
      </c>
      <c r="B102">
        <v>1</v>
      </c>
      <c r="C102">
        <v>20240111</v>
      </c>
      <c r="D102" t="s">
        <v>28</v>
      </c>
      <c r="E102" t="s">
        <v>21</v>
      </c>
      <c r="F102" t="s">
        <v>22</v>
      </c>
      <c r="G102" t="s">
        <v>30</v>
      </c>
      <c r="H102">
        <v>10213</v>
      </c>
      <c r="I102" t="s">
        <v>24</v>
      </c>
      <c r="J102">
        <v>4.14</v>
      </c>
      <c r="K102">
        <v>42281.82</v>
      </c>
      <c r="L102" t="s">
        <v>637</v>
      </c>
      <c r="N102">
        <v>3.5538</v>
      </c>
      <c r="O102" t="s">
        <v>43</v>
      </c>
      <c r="P102" t="s">
        <v>711</v>
      </c>
      <c r="Q102">
        <v>4</v>
      </c>
    </row>
    <row r="103" spans="1:19">
      <c r="A103">
        <v>102</v>
      </c>
      <c r="B103">
        <v>1</v>
      </c>
      <c r="C103">
        <v>20240111</v>
      </c>
      <c r="D103" t="s">
        <v>28</v>
      </c>
      <c r="E103" t="s">
        <v>21</v>
      </c>
      <c r="F103" t="s">
        <v>22</v>
      </c>
      <c r="G103" t="s">
        <v>30</v>
      </c>
      <c r="H103">
        <v>8358</v>
      </c>
      <c r="I103" t="s">
        <v>24</v>
      </c>
      <c r="J103">
        <v>4.14</v>
      </c>
      <c r="K103">
        <v>34602.12</v>
      </c>
      <c r="L103" t="s">
        <v>637</v>
      </c>
      <c r="N103">
        <v>4.049</v>
      </c>
      <c r="O103" t="s">
        <v>43</v>
      </c>
      <c r="P103" t="s">
        <v>711</v>
      </c>
      <c r="Q103">
        <v>4</v>
      </c>
    </row>
    <row r="104" spans="1:19">
      <c r="A104">
        <v>103</v>
      </c>
      <c r="B104">
        <v>1</v>
      </c>
      <c r="C104">
        <v>20240111</v>
      </c>
      <c r="D104" t="s">
        <v>28</v>
      </c>
      <c r="E104" t="s">
        <v>21</v>
      </c>
      <c r="F104" t="s">
        <v>22</v>
      </c>
      <c r="G104" t="s">
        <v>37</v>
      </c>
      <c r="H104">
        <v>57706</v>
      </c>
      <c r="I104" t="s">
        <v>24</v>
      </c>
      <c r="J104">
        <v>4.14</v>
      </c>
      <c r="K104">
        <v>238902.84</v>
      </c>
      <c r="L104" t="s">
        <v>637</v>
      </c>
      <c r="N104">
        <v>4.0586</v>
      </c>
      <c r="O104" t="s">
        <v>43</v>
      </c>
      <c r="P104" t="s">
        <v>712</v>
      </c>
      <c r="Q104">
        <v>5</v>
      </c>
    </row>
    <row r="105" spans="1:19">
      <c r="A105">
        <v>104</v>
      </c>
      <c r="B105">
        <v>1</v>
      </c>
      <c r="C105">
        <v>20240111</v>
      </c>
      <c r="D105" t="s">
        <v>28</v>
      </c>
      <c r="E105" t="s">
        <v>21</v>
      </c>
      <c r="F105" t="s">
        <v>22</v>
      </c>
      <c r="G105" t="s">
        <v>37</v>
      </c>
      <c r="H105">
        <v>9302</v>
      </c>
      <c r="I105" t="s">
        <v>24</v>
      </c>
      <c r="J105">
        <v>4.14</v>
      </c>
      <c r="K105">
        <v>38510.28</v>
      </c>
      <c r="L105" t="s">
        <v>637</v>
      </c>
      <c r="N105">
        <v>3.5193</v>
      </c>
      <c r="O105" t="s">
        <v>43</v>
      </c>
      <c r="P105" t="s">
        <v>712</v>
      </c>
      <c r="Q105">
        <v>5</v>
      </c>
    </row>
    <row r="106" spans="1:19">
      <c r="A106">
        <v>105</v>
      </c>
      <c r="B106">
        <v>1</v>
      </c>
      <c r="C106">
        <v>20240111</v>
      </c>
      <c r="D106" t="s">
        <v>28</v>
      </c>
      <c r="E106" t="s">
        <v>21</v>
      </c>
      <c r="F106" t="s">
        <v>22</v>
      </c>
      <c r="G106" t="s">
        <v>37</v>
      </c>
      <c r="H106">
        <v>74215</v>
      </c>
      <c r="I106" t="s">
        <v>24</v>
      </c>
      <c r="J106">
        <v>4.14</v>
      </c>
      <c r="K106">
        <v>307250.1</v>
      </c>
      <c r="L106" t="s">
        <v>637</v>
      </c>
      <c r="N106">
        <v>3.5725</v>
      </c>
      <c r="O106" t="s">
        <v>43</v>
      </c>
      <c r="P106" t="s">
        <v>712</v>
      </c>
      <c r="Q106">
        <v>5</v>
      </c>
    </row>
    <row r="107" spans="1:19">
      <c r="A107">
        <v>106</v>
      </c>
      <c r="B107">
        <v>1</v>
      </c>
      <c r="C107">
        <v>20240111</v>
      </c>
      <c r="D107" t="s">
        <v>28</v>
      </c>
      <c r="E107" t="s">
        <v>21</v>
      </c>
      <c r="F107" t="s">
        <v>22</v>
      </c>
      <c r="G107" t="s">
        <v>37</v>
      </c>
      <c r="H107">
        <v>8985</v>
      </c>
      <c r="I107" t="s">
        <v>24</v>
      </c>
      <c r="J107">
        <v>4.14</v>
      </c>
      <c r="K107">
        <v>37197.9</v>
      </c>
      <c r="L107" t="s">
        <v>637</v>
      </c>
      <c r="N107">
        <v>3.5065</v>
      </c>
      <c r="O107" t="s">
        <v>43</v>
      </c>
      <c r="P107" t="s">
        <v>712</v>
      </c>
      <c r="Q107">
        <v>4</v>
      </c>
    </row>
    <row r="108" spans="1:19">
      <c r="A108">
        <v>107</v>
      </c>
      <c r="B108">
        <v>1</v>
      </c>
      <c r="C108">
        <v>20240111</v>
      </c>
      <c r="D108" t="s">
        <v>20</v>
      </c>
      <c r="E108" t="s">
        <v>21</v>
      </c>
      <c r="F108" t="s">
        <v>22</v>
      </c>
      <c r="G108" t="s">
        <v>30</v>
      </c>
      <c r="H108">
        <v>56784</v>
      </c>
      <c r="I108" t="s">
        <v>24</v>
      </c>
      <c r="J108">
        <v>4.14</v>
      </c>
      <c r="K108">
        <v>235085.76</v>
      </c>
      <c r="L108" t="s">
        <v>634</v>
      </c>
      <c r="N108">
        <v>4.0195</v>
      </c>
      <c r="O108" t="s">
        <v>43</v>
      </c>
      <c r="P108" t="s">
        <v>713</v>
      </c>
      <c r="Q108">
        <v>4</v>
      </c>
      <c r="R108">
        <v>4.9338</v>
      </c>
    </row>
    <row r="109" spans="1:19">
      <c r="A109">
        <v>108</v>
      </c>
      <c r="B109">
        <v>1</v>
      </c>
      <c r="C109">
        <v>20240111</v>
      </c>
      <c r="D109" t="s">
        <v>20</v>
      </c>
      <c r="E109" t="s">
        <v>21</v>
      </c>
      <c r="F109" t="s">
        <v>22</v>
      </c>
      <c r="G109" t="s">
        <v>30</v>
      </c>
      <c r="H109">
        <v>316</v>
      </c>
      <c r="I109" t="s">
        <v>24</v>
      </c>
      <c r="J109">
        <v>4.14</v>
      </c>
      <c r="K109">
        <v>1308.24</v>
      </c>
      <c r="L109" t="s">
        <v>637</v>
      </c>
      <c r="N109">
        <v>3.5243</v>
      </c>
      <c r="O109" t="s">
        <v>43</v>
      </c>
      <c r="P109" t="s">
        <v>713</v>
      </c>
      <c r="Q109">
        <v>4</v>
      </c>
      <c r="R109">
        <v>4.9338</v>
      </c>
    </row>
    <row r="110" spans="1:19">
      <c r="A110">
        <v>109</v>
      </c>
      <c r="B110">
        <v>1</v>
      </c>
      <c r="C110">
        <v>20240111</v>
      </c>
      <c r="D110" t="s">
        <v>20</v>
      </c>
      <c r="E110" t="s">
        <v>21</v>
      </c>
      <c r="F110" t="s">
        <v>29</v>
      </c>
      <c r="G110" t="s">
        <v>42</v>
      </c>
      <c r="H110">
        <v>27848</v>
      </c>
      <c r="I110" t="s">
        <v>24</v>
      </c>
      <c r="J110">
        <v>5.7</v>
      </c>
      <c r="K110">
        <v>158733.6</v>
      </c>
      <c r="L110" t="s">
        <v>634</v>
      </c>
      <c r="M110" t="s">
        <v>714</v>
      </c>
      <c r="N110">
        <v>5.59</v>
      </c>
      <c r="O110" t="s">
        <v>27</v>
      </c>
      <c r="P110" t="s">
        <v>715</v>
      </c>
      <c r="Q110">
        <v>4</v>
      </c>
      <c r="R110">
        <v>6.9333</v>
      </c>
      <c r="S110">
        <v>4.48</v>
      </c>
    </row>
    <row r="111" spans="1:19">
      <c r="A111">
        <v>110</v>
      </c>
      <c r="B111">
        <v>1</v>
      </c>
      <c r="C111">
        <v>20240111</v>
      </c>
      <c r="D111" t="s">
        <v>20</v>
      </c>
      <c r="E111" t="s">
        <v>21</v>
      </c>
      <c r="F111" t="s">
        <v>29</v>
      </c>
      <c r="G111" t="s">
        <v>42</v>
      </c>
      <c r="H111">
        <v>34556</v>
      </c>
      <c r="I111" t="s">
        <v>24</v>
      </c>
      <c r="J111">
        <v>5.7</v>
      </c>
      <c r="K111">
        <v>196969.2</v>
      </c>
      <c r="L111" t="s">
        <v>637</v>
      </c>
      <c r="M111" t="s">
        <v>714</v>
      </c>
      <c r="N111">
        <v>5.59</v>
      </c>
      <c r="O111" t="s">
        <v>27</v>
      </c>
      <c r="P111" t="s">
        <v>715</v>
      </c>
      <c r="Q111">
        <v>6</v>
      </c>
      <c r="R111">
        <v>6.9333</v>
      </c>
      <c r="S111">
        <v>4.48</v>
      </c>
    </row>
    <row r="112" spans="1:19">
      <c r="A112">
        <v>111</v>
      </c>
      <c r="B112">
        <v>1</v>
      </c>
      <c r="C112">
        <v>20240111</v>
      </c>
      <c r="D112" t="s">
        <v>20</v>
      </c>
      <c r="E112" t="s">
        <v>21</v>
      </c>
      <c r="F112" t="s">
        <v>29</v>
      </c>
      <c r="G112" t="s">
        <v>42</v>
      </c>
      <c r="H112">
        <v>259086</v>
      </c>
      <c r="I112" t="s">
        <v>24</v>
      </c>
      <c r="J112">
        <v>5.7</v>
      </c>
      <c r="K112">
        <v>1476790.2</v>
      </c>
      <c r="L112" t="s">
        <v>634</v>
      </c>
      <c r="M112" t="s">
        <v>714</v>
      </c>
      <c r="N112">
        <v>5.59</v>
      </c>
      <c r="O112" t="s">
        <v>27</v>
      </c>
      <c r="P112" t="s">
        <v>715</v>
      </c>
      <c r="Q112">
        <v>31</v>
      </c>
      <c r="R112">
        <v>6.9333</v>
      </c>
      <c r="S112">
        <v>4.48</v>
      </c>
    </row>
    <row r="113" spans="1:19">
      <c r="A113">
        <v>112</v>
      </c>
      <c r="B113">
        <v>1</v>
      </c>
      <c r="C113">
        <v>20240112</v>
      </c>
      <c r="D113" t="s">
        <v>20</v>
      </c>
      <c r="E113" t="s">
        <v>21</v>
      </c>
      <c r="F113" t="s">
        <v>22</v>
      </c>
      <c r="G113" t="s">
        <v>42</v>
      </c>
      <c r="H113">
        <v>1776748</v>
      </c>
      <c r="I113" t="s">
        <v>24</v>
      </c>
      <c r="J113">
        <v>5.63</v>
      </c>
      <c r="K113">
        <v>10003091.24</v>
      </c>
      <c r="L113" t="s">
        <v>634</v>
      </c>
      <c r="M113" t="s">
        <v>716</v>
      </c>
      <c r="N113">
        <v>5.516</v>
      </c>
      <c r="O113" t="s">
        <v>27</v>
      </c>
      <c r="P113" t="s">
        <v>717</v>
      </c>
      <c r="Q113">
        <v>67</v>
      </c>
      <c r="R113">
        <v>6.9333</v>
      </c>
      <c r="S113">
        <v>4.48</v>
      </c>
    </row>
    <row r="114" spans="1:19">
      <c r="A114">
        <v>113</v>
      </c>
      <c r="B114">
        <v>1</v>
      </c>
      <c r="C114">
        <v>20240112</v>
      </c>
      <c r="D114" t="s">
        <v>20</v>
      </c>
      <c r="E114" t="s">
        <v>21</v>
      </c>
      <c r="F114" t="s">
        <v>22</v>
      </c>
      <c r="G114" t="s">
        <v>42</v>
      </c>
      <c r="H114">
        <v>239507</v>
      </c>
      <c r="I114" t="s">
        <v>24</v>
      </c>
      <c r="J114">
        <v>4.58</v>
      </c>
      <c r="K114">
        <v>1096942.06</v>
      </c>
      <c r="L114" t="s">
        <v>637</v>
      </c>
      <c r="M114" t="s">
        <v>716</v>
      </c>
      <c r="N114">
        <v>4.4875</v>
      </c>
      <c r="O114" t="s">
        <v>27</v>
      </c>
      <c r="P114" t="s">
        <v>718</v>
      </c>
      <c r="Q114">
        <v>11</v>
      </c>
      <c r="R114">
        <v>6.9333</v>
      </c>
      <c r="S114">
        <v>4.48</v>
      </c>
    </row>
    <row r="115" spans="1:19">
      <c r="A115">
        <v>114</v>
      </c>
      <c r="B115">
        <v>1</v>
      </c>
      <c r="C115">
        <v>20240112</v>
      </c>
      <c r="D115" t="s">
        <v>28</v>
      </c>
      <c r="E115" t="s">
        <v>21</v>
      </c>
      <c r="F115" t="s">
        <v>41</v>
      </c>
      <c r="G115" t="s">
        <v>30</v>
      </c>
      <c r="H115">
        <v>148095</v>
      </c>
      <c r="I115" t="s">
        <v>24</v>
      </c>
      <c r="J115">
        <v>4.14</v>
      </c>
      <c r="K115">
        <v>613113.3</v>
      </c>
      <c r="L115" t="s">
        <v>634</v>
      </c>
      <c r="M115" t="s">
        <v>719</v>
      </c>
      <c r="N115">
        <v>4.05</v>
      </c>
      <c r="O115" t="s">
        <v>27</v>
      </c>
      <c r="P115" t="s">
        <v>720</v>
      </c>
      <c r="Q115">
        <v>13</v>
      </c>
    </row>
    <row r="116" spans="1:19">
      <c r="A116">
        <v>115</v>
      </c>
      <c r="B116">
        <v>1</v>
      </c>
      <c r="C116">
        <v>20240112</v>
      </c>
      <c r="D116" t="s">
        <v>28</v>
      </c>
      <c r="E116" t="s">
        <v>21</v>
      </c>
      <c r="F116" t="s">
        <v>41</v>
      </c>
      <c r="G116" t="s">
        <v>37</v>
      </c>
      <c r="H116">
        <v>32473</v>
      </c>
      <c r="I116" t="s">
        <v>24</v>
      </c>
      <c r="J116">
        <v>4.14</v>
      </c>
      <c r="K116">
        <v>134438.22</v>
      </c>
      <c r="L116" t="s">
        <v>634</v>
      </c>
      <c r="M116" t="s">
        <v>719</v>
      </c>
      <c r="N116">
        <v>4.05</v>
      </c>
      <c r="O116" t="s">
        <v>27</v>
      </c>
      <c r="P116" t="s">
        <v>721</v>
      </c>
      <c r="Q116">
        <v>3</v>
      </c>
    </row>
    <row r="117" spans="1:19">
      <c r="A117">
        <v>116</v>
      </c>
      <c r="B117">
        <v>1</v>
      </c>
      <c r="C117">
        <v>20240112</v>
      </c>
      <c r="D117" t="s">
        <v>28</v>
      </c>
      <c r="E117" t="s">
        <v>21</v>
      </c>
      <c r="F117" t="s">
        <v>41</v>
      </c>
      <c r="G117" t="s">
        <v>30</v>
      </c>
      <c r="H117">
        <v>270504</v>
      </c>
      <c r="I117" t="s">
        <v>24</v>
      </c>
      <c r="J117">
        <v>4.14</v>
      </c>
      <c r="K117">
        <v>1119886.56</v>
      </c>
      <c r="L117" t="s">
        <v>637</v>
      </c>
      <c r="M117" t="s">
        <v>719</v>
      </c>
      <c r="N117">
        <v>4.05</v>
      </c>
      <c r="O117" t="s">
        <v>27</v>
      </c>
      <c r="P117" t="s">
        <v>720</v>
      </c>
      <c r="Q117">
        <v>42</v>
      </c>
    </row>
    <row r="118" spans="1:19">
      <c r="A118">
        <v>117</v>
      </c>
      <c r="B118">
        <v>1</v>
      </c>
      <c r="C118">
        <v>20240112</v>
      </c>
      <c r="D118" t="s">
        <v>28</v>
      </c>
      <c r="E118" t="s">
        <v>21</v>
      </c>
      <c r="F118" t="s">
        <v>41</v>
      </c>
      <c r="G118" t="s">
        <v>37</v>
      </c>
      <c r="H118">
        <v>87503</v>
      </c>
      <c r="I118" t="s">
        <v>24</v>
      </c>
      <c r="J118">
        <v>4.14</v>
      </c>
      <c r="K118">
        <v>362262.42</v>
      </c>
      <c r="L118" t="s">
        <v>637</v>
      </c>
      <c r="M118" t="s">
        <v>719</v>
      </c>
      <c r="N118">
        <v>4.05</v>
      </c>
      <c r="O118" t="s">
        <v>27</v>
      </c>
      <c r="P118" t="s">
        <v>721</v>
      </c>
      <c r="Q118">
        <v>12</v>
      </c>
    </row>
    <row r="119" spans="1:19">
      <c r="A119">
        <v>118</v>
      </c>
      <c r="B119">
        <v>1</v>
      </c>
      <c r="C119">
        <v>20240112</v>
      </c>
      <c r="D119" t="s">
        <v>20</v>
      </c>
      <c r="E119" t="s">
        <v>21</v>
      </c>
      <c r="F119" t="s">
        <v>46</v>
      </c>
      <c r="G119" t="s">
        <v>47</v>
      </c>
      <c r="H119">
        <v>1492</v>
      </c>
      <c r="I119" t="s">
        <v>24</v>
      </c>
      <c r="J119">
        <v>7.46</v>
      </c>
      <c r="K119">
        <v>11130.32</v>
      </c>
      <c r="L119" t="s">
        <v>634</v>
      </c>
      <c r="M119" t="s">
        <v>722</v>
      </c>
      <c r="N119">
        <v>4.93</v>
      </c>
      <c r="O119" t="s">
        <v>27</v>
      </c>
      <c r="P119" t="s">
        <v>723</v>
      </c>
      <c r="Q119">
        <v>1</v>
      </c>
      <c r="R119">
        <v>5.2041</v>
      </c>
    </row>
    <row r="120" spans="1:19">
      <c r="A120">
        <v>119</v>
      </c>
      <c r="B120">
        <v>1</v>
      </c>
      <c r="C120">
        <v>20240112</v>
      </c>
      <c r="D120" t="s">
        <v>20</v>
      </c>
      <c r="E120" t="s">
        <v>21</v>
      </c>
      <c r="F120" t="s">
        <v>46</v>
      </c>
      <c r="G120" t="s">
        <v>633</v>
      </c>
      <c r="H120">
        <v>113527</v>
      </c>
      <c r="I120" t="s">
        <v>24</v>
      </c>
      <c r="J120">
        <v>7.46</v>
      </c>
      <c r="K120">
        <v>846911.42</v>
      </c>
      <c r="L120" t="s">
        <v>634</v>
      </c>
      <c r="M120" t="s">
        <v>722</v>
      </c>
      <c r="N120">
        <v>4.93</v>
      </c>
      <c r="O120" t="s">
        <v>27</v>
      </c>
      <c r="P120" t="s">
        <v>724</v>
      </c>
      <c r="Q120">
        <v>8</v>
      </c>
    </row>
    <row r="121" spans="1:19">
      <c r="A121">
        <v>120</v>
      </c>
      <c r="B121">
        <v>1</v>
      </c>
      <c r="C121">
        <v>20240112</v>
      </c>
      <c r="D121" t="s">
        <v>20</v>
      </c>
      <c r="E121" t="s">
        <v>21</v>
      </c>
      <c r="F121" t="s">
        <v>41</v>
      </c>
      <c r="G121" t="s">
        <v>42</v>
      </c>
      <c r="H121">
        <v>467673</v>
      </c>
      <c r="I121" t="s">
        <v>24</v>
      </c>
      <c r="J121">
        <v>5.63</v>
      </c>
      <c r="K121">
        <v>2632998.99</v>
      </c>
      <c r="L121" t="s">
        <v>634</v>
      </c>
      <c r="M121" t="s">
        <v>725</v>
      </c>
      <c r="N121">
        <v>5.516</v>
      </c>
      <c r="O121" t="s">
        <v>27</v>
      </c>
      <c r="P121" t="s">
        <v>726</v>
      </c>
      <c r="Q121">
        <v>43</v>
      </c>
      <c r="S121">
        <v>4.48</v>
      </c>
    </row>
    <row r="122" spans="1:19">
      <c r="A122">
        <v>121</v>
      </c>
      <c r="B122">
        <v>1</v>
      </c>
      <c r="C122">
        <v>20240112</v>
      </c>
      <c r="D122" t="s">
        <v>20</v>
      </c>
      <c r="E122" t="s">
        <v>21</v>
      </c>
      <c r="F122" t="s">
        <v>41</v>
      </c>
      <c r="G122" t="s">
        <v>42</v>
      </c>
      <c r="H122">
        <v>29864</v>
      </c>
      <c r="I122" t="s">
        <v>24</v>
      </c>
      <c r="J122">
        <v>5.63</v>
      </c>
      <c r="K122">
        <v>168134.32</v>
      </c>
      <c r="L122" t="s">
        <v>637</v>
      </c>
      <c r="M122" t="s">
        <v>725</v>
      </c>
      <c r="N122">
        <v>5.516</v>
      </c>
      <c r="O122" t="s">
        <v>27</v>
      </c>
      <c r="P122" t="s">
        <v>726</v>
      </c>
      <c r="Q122">
        <v>4</v>
      </c>
      <c r="R122">
        <v>6.9333</v>
      </c>
      <c r="S122">
        <v>4.48</v>
      </c>
    </row>
    <row r="123" spans="1:19">
      <c r="A123">
        <v>122</v>
      </c>
      <c r="B123">
        <v>1</v>
      </c>
      <c r="C123">
        <v>20240113</v>
      </c>
      <c r="D123" t="s">
        <v>20</v>
      </c>
      <c r="E123" t="s">
        <v>21</v>
      </c>
      <c r="F123" t="s">
        <v>32</v>
      </c>
      <c r="G123" t="s">
        <v>50</v>
      </c>
      <c r="H123">
        <v>14960</v>
      </c>
      <c r="I123" t="s">
        <v>24</v>
      </c>
      <c r="J123">
        <v>5.53</v>
      </c>
      <c r="K123">
        <v>82728.8</v>
      </c>
      <c r="L123" t="s">
        <v>637</v>
      </c>
      <c r="M123" t="s">
        <v>727</v>
      </c>
      <c r="N123">
        <v>4.7765</v>
      </c>
      <c r="O123" t="s">
        <v>27</v>
      </c>
      <c r="P123" t="s">
        <v>728</v>
      </c>
      <c r="Q123">
        <v>2</v>
      </c>
      <c r="R123">
        <v>7.024</v>
      </c>
    </row>
    <row r="124" spans="1:19">
      <c r="A124">
        <v>123</v>
      </c>
      <c r="B124">
        <v>1</v>
      </c>
      <c r="C124">
        <v>20240113</v>
      </c>
      <c r="D124" t="s">
        <v>20</v>
      </c>
      <c r="E124" t="s">
        <v>21</v>
      </c>
      <c r="F124" t="s">
        <v>32</v>
      </c>
      <c r="G124" t="s">
        <v>640</v>
      </c>
      <c r="H124">
        <v>447992</v>
      </c>
      <c r="I124" t="s">
        <v>24</v>
      </c>
      <c r="J124">
        <v>5.47</v>
      </c>
      <c r="K124">
        <v>2450516.24</v>
      </c>
      <c r="L124" t="s">
        <v>634</v>
      </c>
      <c r="M124" t="s">
        <v>727</v>
      </c>
      <c r="N124">
        <v>5.0362</v>
      </c>
      <c r="O124" t="s">
        <v>27</v>
      </c>
      <c r="P124" t="s">
        <v>729</v>
      </c>
      <c r="Q124">
        <v>245</v>
      </c>
      <c r="R124">
        <v>7.1094</v>
      </c>
    </row>
    <row r="125" spans="1:19">
      <c r="A125">
        <v>124</v>
      </c>
      <c r="B125">
        <v>1</v>
      </c>
      <c r="C125">
        <v>20240113</v>
      </c>
      <c r="D125" t="s">
        <v>28</v>
      </c>
      <c r="E125" t="s">
        <v>21</v>
      </c>
      <c r="F125" t="s">
        <v>32</v>
      </c>
      <c r="G125" t="s">
        <v>30</v>
      </c>
      <c r="H125">
        <v>7480</v>
      </c>
      <c r="I125" t="s">
        <v>24</v>
      </c>
      <c r="J125">
        <v>4.14</v>
      </c>
      <c r="K125">
        <v>30967.2</v>
      </c>
      <c r="L125" t="s">
        <v>637</v>
      </c>
      <c r="M125" t="s">
        <v>730</v>
      </c>
      <c r="N125">
        <v>4.015</v>
      </c>
      <c r="O125" t="s">
        <v>27</v>
      </c>
      <c r="P125" t="s">
        <v>731</v>
      </c>
      <c r="Q125">
        <v>1</v>
      </c>
    </row>
    <row r="126" spans="1:19">
      <c r="A126">
        <v>125</v>
      </c>
      <c r="B126">
        <v>1</v>
      </c>
      <c r="C126">
        <v>20240115</v>
      </c>
      <c r="D126" t="s">
        <v>20</v>
      </c>
      <c r="E126" t="s">
        <v>21</v>
      </c>
      <c r="F126" t="s">
        <v>59</v>
      </c>
      <c r="G126" t="s">
        <v>47</v>
      </c>
      <c r="H126">
        <v>257035</v>
      </c>
      <c r="I126" t="s">
        <v>24</v>
      </c>
      <c r="J126">
        <v>7.46</v>
      </c>
      <c r="K126">
        <v>1917481.1</v>
      </c>
      <c r="L126" t="s">
        <v>637</v>
      </c>
      <c r="M126" t="s">
        <v>732</v>
      </c>
      <c r="N126">
        <v>5.1366</v>
      </c>
      <c r="O126" t="s">
        <v>27</v>
      </c>
      <c r="P126" t="s">
        <v>733</v>
      </c>
      <c r="Q126">
        <v>20</v>
      </c>
      <c r="R126">
        <v>5.2041</v>
      </c>
    </row>
    <row r="127" spans="1:19">
      <c r="A127">
        <v>126</v>
      </c>
      <c r="B127">
        <v>1</v>
      </c>
      <c r="C127">
        <v>20240116</v>
      </c>
      <c r="D127" t="s">
        <v>20</v>
      </c>
      <c r="E127" t="s">
        <v>21</v>
      </c>
      <c r="F127" t="s">
        <v>32</v>
      </c>
      <c r="G127" t="s">
        <v>50</v>
      </c>
      <c r="H127">
        <v>805640</v>
      </c>
      <c r="I127" t="s">
        <v>24</v>
      </c>
      <c r="J127">
        <v>5.53</v>
      </c>
      <c r="K127">
        <v>4455189.2</v>
      </c>
      <c r="L127" t="s">
        <v>637</v>
      </c>
      <c r="M127" t="s">
        <v>734</v>
      </c>
      <c r="N127">
        <v>4.7765</v>
      </c>
      <c r="O127" t="s">
        <v>27</v>
      </c>
      <c r="P127" t="s">
        <v>735</v>
      </c>
      <c r="Q127">
        <v>67</v>
      </c>
      <c r="R127">
        <v>7.024</v>
      </c>
    </row>
    <row r="128" spans="1:19">
      <c r="A128">
        <v>127</v>
      </c>
      <c r="B128">
        <v>1</v>
      </c>
      <c r="C128">
        <v>20240116</v>
      </c>
      <c r="D128" t="s">
        <v>20</v>
      </c>
      <c r="E128" t="s">
        <v>21</v>
      </c>
      <c r="F128" t="s">
        <v>59</v>
      </c>
      <c r="G128" t="s">
        <v>47</v>
      </c>
      <c r="H128">
        <v>64458</v>
      </c>
      <c r="I128" t="s">
        <v>24</v>
      </c>
      <c r="J128">
        <v>7.46</v>
      </c>
      <c r="K128">
        <v>480856.68</v>
      </c>
      <c r="L128" t="s">
        <v>637</v>
      </c>
      <c r="M128" t="s">
        <v>736</v>
      </c>
      <c r="N128">
        <v>5.134354</v>
      </c>
      <c r="O128" t="s">
        <v>27</v>
      </c>
      <c r="P128" t="s">
        <v>737</v>
      </c>
      <c r="Q128">
        <v>1</v>
      </c>
      <c r="R128">
        <v>5.2041</v>
      </c>
    </row>
    <row r="129" spans="1:18">
      <c r="A129">
        <v>128</v>
      </c>
      <c r="B129">
        <v>1</v>
      </c>
      <c r="C129">
        <v>20240116</v>
      </c>
      <c r="D129" t="s">
        <v>20</v>
      </c>
      <c r="E129" t="s">
        <v>21</v>
      </c>
      <c r="F129" t="s">
        <v>22</v>
      </c>
      <c r="G129" t="s">
        <v>30</v>
      </c>
      <c r="H129">
        <v>336</v>
      </c>
      <c r="I129" t="s">
        <v>24</v>
      </c>
      <c r="J129">
        <v>4.14</v>
      </c>
      <c r="K129">
        <v>1391.04</v>
      </c>
      <c r="L129" t="s">
        <v>637</v>
      </c>
      <c r="M129" t="s">
        <v>738</v>
      </c>
      <c r="N129">
        <v>3.5538</v>
      </c>
      <c r="O129" t="s">
        <v>27</v>
      </c>
      <c r="P129" t="s">
        <v>739</v>
      </c>
      <c r="Q129">
        <v>1</v>
      </c>
      <c r="R129">
        <v>4.9338</v>
      </c>
    </row>
    <row r="130" spans="1:18">
      <c r="A130">
        <v>129</v>
      </c>
      <c r="B130">
        <v>1</v>
      </c>
      <c r="C130">
        <v>20240116</v>
      </c>
      <c r="D130" t="s">
        <v>20</v>
      </c>
      <c r="E130" t="s">
        <v>21</v>
      </c>
      <c r="F130" t="s">
        <v>22</v>
      </c>
      <c r="G130" t="s">
        <v>30</v>
      </c>
      <c r="H130">
        <v>345600</v>
      </c>
      <c r="I130" t="s">
        <v>24</v>
      </c>
      <c r="J130">
        <v>4.14</v>
      </c>
      <c r="K130">
        <v>1430784</v>
      </c>
      <c r="L130" t="s">
        <v>634</v>
      </c>
      <c r="M130" t="s">
        <v>738</v>
      </c>
      <c r="N130">
        <v>4.0263</v>
      </c>
      <c r="O130" t="s">
        <v>27</v>
      </c>
      <c r="P130" t="s">
        <v>739</v>
      </c>
      <c r="Q130">
        <v>16</v>
      </c>
      <c r="R130">
        <v>4.9338</v>
      </c>
    </row>
    <row r="131" spans="1:18">
      <c r="A131">
        <v>130</v>
      </c>
      <c r="B131">
        <v>1</v>
      </c>
      <c r="C131">
        <v>20240116</v>
      </c>
      <c r="D131" t="s">
        <v>28</v>
      </c>
      <c r="E131" t="s">
        <v>21</v>
      </c>
      <c r="F131" t="s">
        <v>22</v>
      </c>
      <c r="G131" t="s">
        <v>30</v>
      </c>
      <c r="H131">
        <v>46917</v>
      </c>
      <c r="I131" t="s">
        <v>24</v>
      </c>
      <c r="J131">
        <v>4.14</v>
      </c>
      <c r="K131">
        <v>194236.38</v>
      </c>
      <c r="L131" t="s">
        <v>637</v>
      </c>
      <c r="M131" t="s">
        <v>740</v>
      </c>
      <c r="N131">
        <v>3.5538</v>
      </c>
      <c r="O131" t="s">
        <v>27</v>
      </c>
      <c r="P131" t="s">
        <v>741</v>
      </c>
      <c r="Q131">
        <v>2</v>
      </c>
    </row>
    <row r="132" spans="1:18">
      <c r="A132">
        <v>131</v>
      </c>
      <c r="B132">
        <v>1</v>
      </c>
      <c r="C132">
        <v>20240116</v>
      </c>
      <c r="D132" t="s">
        <v>28</v>
      </c>
      <c r="E132" t="s">
        <v>21</v>
      </c>
      <c r="F132" t="s">
        <v>22</v>
      </c>
      <c r="G132" t="s">
        <v>37</v>
      </c>
      <c r="H132">
        <v>3933</v>
      </c>
      <c r="I132" t="s">
        <v>24</v>
      </c>
      <c r="J132">
        <v>4.14</v>
      </c>
      <c r="K132">
        <v>16282.62</v>
      </c>
      <c r="L132" t="s">
        <v>637</v>
      </c>
      <c r="M132" t="s">
        <v>740</v>
      </c>
      <c r="N132">
        <v>3.5538</v>
      </c>
      <c r="O132" t="s">
        <v>27</v>
      </c>
      <c r="P132" t="s">
        <v>742</v>
      </c>
      <c r="Q132">
        <v>2</v>
      </c>
    </row>
    <row r="133" spans="1:18">
      <c r="A133">
        <v>132</v>
      </c>
      <c r="B133">
        <v>1</v>
      </c>
      <c r="C133">
        <v>20240116</v>
      </c>
      <c r="D133" t="s">
        <v>28</v>
      </c>
      <c r="E133" t="s">
        <v>21</v>
      </c>
      <c r="F133" t="s">
        <v>22</v>
      </c>
      <c r="G133" t="s">
        <v>30</v>
      </c>
      <c r="H133">
        <v>19613</v>
      </c>
      <c r="I133" t="s">
        <v>24</v>
      </c>
      <c r="J133">
        <v>4.14</v>
      </c>
      <c r="K133">
        <v>81197.82</v>
      </c>
      <c r="L133" t="s">
        <v>654</v>
      </c>
      <c r="M133" t="s">
        <v>740</v>
      </c>
      <c r="N133">
        <v>4.0377</v>
      </c>
      <c r="O133" t="s">
        <v>27</v>
      </c>
      <c r="P133" t="s">
        <v>741</v>
      </c>
      <c r="Q133">
        <v>6</v>
      </c>
    </row>
    <row r="134" spans="1:18">
      <c r="A134">
        <v>133</v>
      </c>
      <c r="B134">
        <v>1</v>
      </c>
      <c r="C134">
        <v>20240116</v>
      </c>
      <c r="D134" t="s">
        <v>28</v>
      </c>
      <c r="E134" t="s">
        <v>21</v>
      </c>
      <c r="F134" t="s">
        <v>22</v>
      </c>
      <c r="G134" t="s">
        <v>37</v>
      </c>
      <c r="H134">
        <v>888</v>
      </c>
      <c r="I134" t="s">
        <v>24</v>
      </c>
      <c r="J134">
        <v>4.14</v>
      </c>
      <c r="K134">
        <v>3676.32</v>
      </c>
      <c r="L134" t="s">
        <v>654</v>
      </c>
      <c r="M134" t="s">
        <v>740</v>
      </c>
      <c r="N134">
        <v>4.479</v>
      </c>
      <c r="O134" t="s">
        <v>27</v>
      </c>
      <c r="P134" t="s">
        <v>742</v>
      </c>
      <c r="Q134">
        <v>1</v>
      </c>
    </row>
    <row r="135" spans="1:18">
      <c r="A135">
        <v>134</v>
      </c>
      <c r="B135">
        <v>1</v>
      </c>
      <c r="C135">
        <v>20240116</v>
      </c>
      <c r="D135" t="s">
        <v>28</v>
      </c>
      <c r="E135" t="s">
        <v>21</v>
      </c>
      <c r="F135" t="s">
        <v>22</v>
      </c>
      <c r="G135" t="s">
        <v>37</v>
      </c>
      <c r="H135">
        <v>5937</v>
      </c>
      <c r="I135" t="s">
        <v>24</v>
      </c>
      <c r="J135">
        <v>4.14</v>
      </c>
      <c r="K135">
        <v>24579.18</v>
      </c>
      <c r="L135" t="s">
        <v>634</v>
      </c>
      <c r="M135" t="s">
        <v>740</v>
      </c>
      <c r="N135">
        <v>4.049</v>
      </c>
      <c r="O135" t="s">
        <v>27</v>
      </c>
      <c r="P135" t="s">
        <v>742</v>
      </c>
      <c r="Q135">
        <v>2</v>
      </c>
    </row>
    <row r="136" spans="1:18">
      <c r="A136">
        <v>135</v>
      </c>
      <c r="B136">
        <v>1</v>
      </c>
      <c r="C136">
        <v>20240116</v>
      </c>
      <c r="D136" t="s">
        <v>20</v>
      </c>
      <c r="E136" t="s">
        <v>21</v>
      </c>
      <c r="F136" t="s">
        <v>29</v>
      </c>
      <c r="G136" t="s">
        <v>47</v>
      </c>
      <c r="H136">
        <v>7666</v>
      </c>
      <c r="I136" t="s">
        <v>24</v>
      </c>
      <c r="J136">
        <v>7.46</v>
      </c>
      <c r="K136">
        <v>57188.36</v>
      </c>
      <c r="L136" t="s">
        <v>637</v>
      </c>
      <c r="M136" t="s">
        <v>743</v>
      </c>
      <c r="N136">
        <v>5.1911</v>
      </c>
      <c r="O136" t="s">
        <v>27</v>
      </c>
      <c r="P136" t="s">
        <v>744</v>
      </c>
      <c r="Q136">
        <v>4</v>
      </c>
      <c r="R136">
        <v>5.2041</v>
      </c>
    </row>
    <row r="137" spans="1:18">
      <c r="A137">
        <v>136</v>
      </c>
      <c r="B137">
        <v>1</v>
      </c>
      <c r="C137">
        <v>20240117</v>
      </c>
      <c r="D137" t="s">
        <v>28</v>
      </c>
      <c r="E137" t="s">
        <v>21</v>
      </c>
      <c r="F137" t="s">
        <v>22</v>
      </c>
      <c r="G137" t="s">
        <v>37</v>
      </c>
      <c r="H137">
        <v>54488</v>
      </c>
      <c r="I137" t="s">
        <v>24</v>
      </c>
      <c r="J137">
        <v>4.14</v>
      </c>
      <c r="K137">
        <v>225580.32</v>
      </c>
      <c r="L137" t="s">
        <v>637</v>
      </c>
      <c r="M137" t="s">
        <v>745</v>
      </c>
      <c r="N137">
        <v>3.3692</v>
      </c>
      <c r="O137" t="s">
        <v>27</v>
      </c>
      <c r="P137" t="s">
        <v>746</v>
      </c>
      <c r="Q137">
        <v>111</v>
      </c>
      <c r="R137" t="s">
        <v>747</v>
      </c>
    </row>
    <row r="138" spans="1:18">
      <c r="A138">
        <v>137</v>
      </c>
      <c r="B138">
        <v>1</v>
      </c>
      <c r="C138">
        <v>20240117</v>
      </c>
      <c r="D138" t="s">
        <v>28</v>
      </c>
      <c r="E138" t="s">
        <v>21</v>
      </c>
      <c r="F138" t="s">
        <v>22</v>
      </c>
      <c r="G138" t="s">
        <v>30</v>
      </c>
      <c r="H138">
        <v>662879</v>
      </c>
      <c r="I138" t="s">
        <v>24</v>
      </c>
      <c r="J138">
        <v>4.14</v>
      </c>
      <c r="K138">
        <v>2744319.06</v>
      </c>
      <c r="L138" t="s">
        <v>637</v>
      </c>
      <c r="M138" t="s">
        <v>745</v>
      </c>
      <c r="N138">
        <v>3.3692</v>
      </c>
      <c r="O138" t="s">
        <v>27</v>
      </c>
      <c r="P138" t="s">
        <v>748</v>
      </c>
      <c r="Q138">
        <v>244</v>
      </c>
      <c r="R138" t="s">
        <v>747</v>
      </c>
    </row>
    <row r="139" spans="1:18">
      <c r="A139">
        <v>138</v>
      </c>
      <c r="B139">
        <v>1</v>
      </c>
      <c r="C139">
        <v>20240117</v>
      </c>
      <c r="D139" t="s">
        <v>20</v>
      </c>
      <c r="E139" t="s">
        <v>21</v>
      </c>
      <c r="F139" t="s">
        <v>32</v>
      </c>
      <c r="G139" t="s">
        <v>50</v>
      </c>
      <c r="H139">
        <v>389627</v>
      </c>
      <c r="I139" t="s">
        <v>24</v>
      </c>
      <c r="J139">
        <v>5.53</v>
      </c>
      <c r="K139">
        <v>2154637.31</v>
      </c>
      <c r="L139" t="s">
        <v>637</v>
      </c>
      <c r="M139" t="s">
        <v>749</v>
      </c>
      <c r="N139">
        <v>4.7765</v>
      </c>
      <c r="O139" t="s">
        <v>27</v>
      </c>
      <c r="P139" t="s">
        <v>750</v>
      </c>
      <c r="Q139">
        <v>43</v>
      </c>
    </row>
    <row r="140" spans="1:18">
      <c r="A140">
        <v>139</v>
      </c>
      <c r="B140">
        <v>1</v>
      </c>
      <c r="C140">
        <v>20240117</v>
      </c>
      <c r="D140" t="s">
        <v>28</v>
      </c>
      <c r="E140" t="s">
        <v>21</v>
      </c>
      <c r="F140" t="s">
        <v>32</v>
      </c>
      <c r="G140" t="s">
        <v>30</v>
      </c>
      <c r="H140">
        <v>26025</v>
      </c>
      <c r="I140" t="s">
        <v>24</v>
      </c>
      <c r="J140">
        <v>4.14</v>
      </c>
      <c r="K140">
        <v>107743.5</v>
      </c>
      <c r="L140" t="s">
        <v>634</v>
      </c>
      <c r="M140" t="s">
        <v>751</v>
      </c>
      <c r="N140">
        <v>4.015</v>
      </c>
      <c r="O140" t="s">
        <v>27</v>
      </c>
      <c r="P140" t="s">
        <v>752</v>
      </c>
      <c r="Q140">
        <v>5</v>
      </c>
    </row>
    <row r="141" spans="1:18">
      <c r="A141">
        <v>140</v>
      </c>
      <c r="B141">
        <v>1</v>
      </c>
      <c r="C141">
        <v>20240117</v>
      </c>
      <c r="D141" t="s">
        <v>28</v>
      </c>
      <c r="E141" t="s">
        <v>21</v>
      </c>
      <c r="F141" t="s">
        <v>32</v>
      </c>
      <c r="G141" t="s">
        <v>37</v>
      </c>
      <c r="H141">
        <v>6888</v>
      </c>
      <c r="I141" t="s">
        <v>24</v>
      </c>
      <c r="J141">
        <v>4.14</v>
      </c>
      <c r="K141">
        <v>28516.32</v>
      </c>
      <c r="L141" t="s">
        <v>654</v>
      </c>
      <c r="M141" t="s">
        <v>751</v>
      </c>
      <c r="N141">
        <v>4.015</v>
      </c>
      <c r="O141" t="s">
        <v>27</v>
      </c>
      <c r="P141" t="s">
        <v>753</v>
      </c>
      <c r="Q141">
        <v>1</v>
      </c>
    </row>
    <row r="142" spans="1:18">
      <c r="A142">
        <v>141</v>
      </c>
      <c r="B142">
        <v>1</v>
      </c>
      <c r="C142">
        <v>20240117</v>
      </c>
      <c r="D142" t="s">
        <v>28</v>
      </c>
      <c r="E142" t="s">
        <v>21</v>
      </c>
      <c r="F142" t="s">
        <v>32</v>
      </c>
      <c r="G142" t="s">
        <v>37</v>
      </c>
      <c r="H142">
        <v>21922</v>
      </c>
      <c r="I142" t="s">
        <v>24</v>
      </c>
      <c r="J142">
        <v>4.14</v>
      </c>
      <c r="K142">
        <v>90757.08</v>
      </c>
      <c r="L142" t="s">
        <v>637</v>
      </c>
      <c r="M142" t="s">
        <v>751</v>
      </c>
      <c r="N142">
        <v>4.015</v>
      </c>
      <c r="O142" t="s">
        <v>27</v>
      </c>
      <c r="P142" t="s">
        <v>753</v>
      </c>
      <c r="Q142">
        <v>7</v>
      </c>
    </row>
    <row r="143" spans="1:18">
      <c r="A143">
        <v>142</v>
      </c>
      <c r="B143">
        <v>1</v>
      </c>
      <c r="C143">
        <v>20240117</v>
      </c>
      <c r="D143" t="s">
        <v>28</v>
      </c>
      <c r="E143" t="s">
        <v>21</v>
      </c>
      <c r="F143" t="s">
        <v>32</v>
      </c>
      <c r="G143" t="s">
        <v>30</v>
      </c>
      <c r="H143">
        <v>459011</v>
      </c>
      <c r="I143" t="s">
        <v>24</v>
      </c>
      <c r="J143">
        <v>4.14</v>
      </c>
      <c r="K143">
        <v>1900305.54</v>
      </c>
      <c r="L143" t="s">
        <v>637</v>
      </c>
      <c r="M143" t="s">
        <v>751</v>
      </c>
      <c r="N143">
        <v>4.015</v>
      </c>
      <c r="O143" t="s">
        <v>27</v>
      </c>
      <c r="P143" t="s">
        <v>752</v>
      </c>
      <c r="Q143">
        <v>95</v>
      </c>
    </row>
    <row r="144" spans="1:18">
      <c r="A144">
        <v>143</v>
      </c>
      <c r="B144">
        <v>1</v>
      </c>
      <c r="C144">
        <v>20240117</v>
      </c>
      <c r="D144" t="s">
        <v>28</v>
      </c>
      <c r="E144" t="s">
        <v>21</v>
      </c>
      <c r="F144" t="s">
        <v>22</v>
      </c>
      <c r="G144" t="s">
        <v>37</v>
      </c>
      <c r="H144">
        <v>69615</v>
      </c>
      <c r="I144" t="s">
        <v>24</v>
      </c>
      <c r="J144">
        <v>4.14</v>
      </c>
      <c r="K144">
        <v>288206.1</v>
      </c>
      <c r="L144" t="s">
        <v>637</v>
      </c>
      <c r="M144" t="s">
        <v>754</v>
      </c>
      <c r="N144">
        <v>4.0608</v>
      </c>
      <c r="O144" t="s">
        <v>27</v>
      </c>
      <c r="P144" t="s">
        <v>746</v>
      </c>
      <c r="Q144">
        <v>14</v>
      </c>
    </row>
    <row r="145" spans="1:17">
      <c r="A145">
        <v>144</v>
      </c>
      <c r="B145">
        <v>1</v>
      </c>
      <c r="C145">
        <v>20240117</v>
      </c>
      <c r="D145" t="s">
        <v>28</v>
      </c>
      <c r="E145" t="s">
        <v>21</v>
      </c>
      <c r="F145" t="s">
        <v>22</v>
      </c>
      <c r="G145" t="s">
        <v>37</v>
      </c>
      <c r="H145">
        <v>48767</v>
      </c>
      <c r="I145" t="s">
        <v>24</v>
      </c>
      <c r="J145">
        <v>4.14</v>
      </c>
      <c r="K145">
        <v>201895.38</v>
      </c>
      <c r="L145" t="s">
        <v>637</v>
      </c>
      <c r="M145" t="s">
        <v>754</v>
      </c>
      <c r="N145">
        <v>3.5722</v>
      </c>
      <c r="O145" t="s">
        <v>27</v>
      </c>
      <c r="P145" t="s">
        <v>746</v>
      </c>
      <c r="Q145">
        <v>14</v>
      </c>
    </row>
    <row r="146" spans="1:17">
      <c r="A146">
        <v>145</v>
      </c>
      <c r="B146">
        <v>1</v>
      </c>
      <c r="C146">
        <v>20240117</v>
      </c>
      <c r="D146" t="s">
        <v>28</v>
      </c>
      <c r="E146" t="s">
        <v>21</v>
      </c>
      <c r="F146" t="s">
        <v>22</v>
      </c>
      <c r="G146" t="s">
        <v>37</v>
      </c>
      <c r="H146">
        <v>2032</v>
      </c>
      <c r="I146" t="s">
        <v>24</v>
      </c>
      <c r="J146">
        <v>4.14</v>
      </c>
      <c r="K146">
        <v>8412.48</v>
      </c>
      <c r="L146" t="s">
        <v>637</v>
      </c>
      <c r="M146" t="s">
        <v>754</v>
      </c>
      <c r="N146">
        <v>3.5065</v>
      </c>
      <c r="O146" t="s">
        <v>27</v>
      </c>
      <c r="P146" t="s">
        <v>746</v>
      </c>
      <c r="Q146">
        <v>1</v>
      </c>
    </row>
    <row r="147" spans="1:17">
      <c r="A147">
        <v>146</v>
      </c>
      <c r="B147">
        <v>1</v>
      </c>
      <c r="C147">
        <v>20240117</v>
      </c>
      <c r="D147" t="s">
        <v>28</v>
      </c>
      <c r="E147" t="s">
        <v>21</v>
      </c>
      <c r="F147" t="s">
        <v>22</v>
      </c>
      <c r="G147" t="s">
        <v>30</v>
      </c>
      <c r="H147">
        <v>19567</v>
      </c>
      <c r="I147" t="s">
        <v>24</v>
      </c>
      <c r="J147">
        <v>4.14</v>
      </c>
      <c r="K147">
        <v>81007.38</v>
      </c>
      <c r="L147" t="s">
        <v>637</v>
      </c>
      <c r="M147" t="s">
        <v>754</v>
      </c>
      <c r="N147">
        <v>3.5538</v>
      </c>
      <c r="O147" t="s">
        <v>27</v>
      </c>
      <c r="P147" t="s">
        <v>748</v>
      </c>
      <c r="Q147">
        <v>3</v>
      </c>
    </row>
    <row r="148" spans="1:17">
      <c r="A148">
        <v>147</v>
      </c>
      <c r="B148">
        <v>1</v>
      </c>
      <c r="C148">
        <v>20240117</v>
      </c>
      <c r="D148" t="s">
        <v>28</v>
      </c>
      <c r="E148" t="s">
        <v>21</v>
      </c>
      <c r="F148" t="s">
        <v>22</v>
      </c>
      <c r="G148" t="s">
        <v>30</v>
      </c>
      <c r="H148">
        <v>16</v>
      </c>
      <c r="I148" t="s">
        <v>24</v>
      </c>
      <c r="J148">
        <v>4.14</v>
      </c>
      <c r="K148">
        <v>66.24</v>
      </c>
      <c r="L148" t="s">
        <v>637</v>
      </c>
      <c r="M148" t="s">
        <v>754</v>
      </c>
      <c r="N148">
        <v>3.5538</v>
      </c>
      <c r="O148" t="s">
        <v>27</v>
      </c>
      <c r="P148" t="s">
        <v>748</v>
      </c>
      <c r="Q148">
        <v>1</v>
      </c>
    </row>
    <row r="149" spans="1:17">
      <c r="A149">
        <v>148</v>
      </c>
      <c r="B149">
        <v>1</v>
      </c>
      <c r="C149">
        <v>20240117</v>
      </c>
      <c r="D149" t="s">
        <v>28</v>
      </c>
      <c r="E149" t="s">
        <v>21</v>
      </c>
      <c r="F149" t="s">
        <v>22</v>
      </c>
      <c r="G149" t="s">
        <v>37</v>
      </c>
      <c r="H149">
        <v>25375</v>
      </c>
      <c r="I149" t="s">
        <v>24</v>
      </c>
      <c r="J149">
        <v>4.14</v>
      </c>
      <c r="K149">
        <v>105052.5</v>
      </c>
      <c r="L149" t="s">
        <v>634</v>
      </c>
      <c r="M149" t="s">
        <v>754</v>
      </c>
      <c r="N149">
        <v>4.0626</v>
      </c>
      <c r="O149" t="s">
        <v>27</v>
      </c>
      <c r="P149" t="s">
        <v>746</v>
      </c>
      <c r="Q149">
        <v>11</v>
      </c>
    </row>
    <row r="150" spans="1:17">
      <c r="A150">
        <v>149</v>
      </c>
      <c r="B150">
        <v>1</v>
      </c>
      <c r="C150">
        <v>20240117</v>
      </c>
      <c r="D150" t="s">
        <v>28</v>
      </c>
      <c r="E150" t="s">
        <v>21</v>
      </c>
      <c r="F150" t="s">
        <v>22</v>
      </c>
      <c r="G150" t="s">
        <v>30</v>
      </c>
      <c r="H150">
        <v>36555</v>
      </c>
      <c r="I150" t="s">
        <v>24</v>
      </c>
      <c r="J150">
        <v>4.14</v>
      </c>
      <c r="K150">
        <v>151337.7</v>
      </c>
      <c r="L150" t="s">
        <v>634</v>
      </c>
      <c r="M150" t="s">
        <v>754</v>
      </c>
      <c r="N150">
        <v>4.062</v>
      </c>
      <c r="O150" t="s">
        <v>27</v>
      </c>
      <c r="P150" t="s">
        <v>748</v>
      </c>
      <c r="Q150">
        <v>6</v>
      </c>
    </row>
    <row r="151" spans="1:17">
      <c r="A151">
        <v>150</v>
      </c>
      <c r="B151">
        <v>1</v>
      </c>
      <c r="C151">
        <v>20240117</v>
      </c>
      <c r="D151" t="s">
        <v>28</v>
      </c>
      <c r="E151" t="s">
        <v>21</v>
      </c>
      <c r="F151" t="s">
        <v>22</v>
      </c>
      <c r="G151" t="s">
        <v>37</v>
      </c>
      <c r="H151">
        <v>4886</v>
      </c>
      <c r="I151" t="s">
        <v>24</v>
      </c>
      <c r="J151">
        <v>4.14</v>
      </c>
      <c r="K151">
        <v>20228.04</v>
      </c>
      <c r="L151" t="s">
        <v>654</v>
      </c>
      <c r="M151" t="s">
        <v>754</v>
      </c>
      <c r="N151">
        <v>4.5094</v>
      </c>
      <c r="O151" t="s">
        <v>27</v>
      </c>
      <c r="P151" t="s">
        <v>746</v>
      </c>
      <c r="Q151">
        <v>8</v>
      </c>
    </row>
    <row r="152" spans="1:17">
      <c r="A152">
        <v>151</v>
      </c>
      <c r="B152">
        <v>1</v>
      </c>
      <c r="C152">
        <v>20240117</v>
      </c>
      <c r="D152" t="s">
        <v>20</v>
      </c>
      <c r="E152" t="s">
        <v>21</v>
      </c>
      <c r="F152" t="s">
        <v>22</v>
      </c>
      <c r="G152" t="s">
        <v>42</v>
      </c>
      <c r="H152">
        <v>378130</v>
      </c>
      <c r="I152" t="s">
        <v>24</v>
      </c>
      <c r="J152">
        <v>5.63</v>
      </c>
      <c r="K152">
        <v>2128871.9</v>
      </c>
      <c r="L152" t="s">
        <v>634</v>
      </c>
      <c r="M152" t="s">
        <v>755</v>
      </c>
      <c r="N152">
        <v>5.516</v>
      </c>
      <c r="O152" t="s">
        <v>27</v>
      </c>
      <c r="P152" t="s">
        <v>756</v>
      </c>
      <c r="Q152">
        <v>24</v>
      </c>
    </row>
    <row r="153" spans="1:17">
      <c r="A153">
        <v>152</v>
      </c>
      <c r="B153">
        <v>1</v>
      </c>
      <c r="C153">
        <v>20240117</v>
      </c>
      <c r="D153" t="s">
        <v>20</v>
      </c>
      <c r="E153" t="s">
        <v>21</v>
      </c>
      <c r="F153" t="s">
        <v>22</v>
      </c>
      <c r="G153" t="s">
        <v>30</v>
      </c>
      <c r="H153">
        <v>137942</v>
      </c>
      <c r="I153" t="s">
        <v>24</v>
      </c>
      <c r="J153">
        <v>4.14</v>
      </c>
      <c r="K153">
        <v>571079.88</v>
      </c>
      <c r="L153" t="s">
        <v>634</v>
      </c>
      <c r="M153" t="s">
        <v>755</v>
      </c>
      <c r="N153">
        <v>4.0304</v>
      </c>
      <c r="O153" t="s">
        <v>27</v>
      </c>
      <c r="P153" t="s">
        <v>757</v>
      </c>
      <c r="Q153">
        <v>6</v>
      </c>
    </row>
    <row r="154" spans="1:17">
      <c r="A154">
        <v>153</v>
      </c>
      <c r="B154">
        <v>1</v>
      </c>
      <c r="C154">
        <v>20240117</v>
      </c>
      <c r="D154" t="s">
        <v>20</v>
      </c>
      <c r="E154" t="s">
        <v>21</v>
      </c>
      <c r="F154" t="s">
        <v>22</v>
      </c>
      <c r="G154" t="s">
        <v>42</v>
      </c>
      <c r="H154">
        <v>139770</v>
      </c>
      <c r="I154" t="s">
        <v>24</v>
      </c>
      <c r="J154">
        <v>4.58</v>
      </c>
      <c r="K154">
        <v>640146.6</v>
      </c>
      <c r="L154" t="s">
        <v>637</v>
      </c>
      <c r="M154" t="s">
        <v>755</v>
      </c>
      <c r="N154">
        <v>4.4875</v>
      </c>
      <c r="O154" t="s">
        <v>27</v>
      </c>
      <c r="P154" t="s">
        <v>758</v>
      </c>
      <c r="Q154">
        <v>8</v>
      </c>
    </row>
    <row r="155" spans="1:17">
      <c r="A155">
        <v>154</v>
      </c>
      <c r="B155">
        <v>1</v>
      </c>
      <c r="C155">
        <v>20240117</v>
      </c>
      <c r="D155" t="s">
        <v>20</v>
      </c>
      <c r="E155" t="s">
        <v>21</v>
      </c>
      <c r="F155" t="s">
        <v>22</v>
      </c>
      <c r="G155" t="s">
        <v>30</v>
      </c>
      <c r="H155">
        <v>18143</v>
      </c>
      <c r="I155" t="s">
        <v>24</v>
      </c>
      <c r="J155">
        <v>4.14</v>
      </c>
      <c r="K155">
        <v>75112.02</v>
      </c>
      <c r="L155" t="s">
        <v>637</v>
      </c>
      <c r="M155" t="s">
        <v>755</v>
      </c>
      <c r="N155">
        <v>3.5538</v>
      </c>
      <c r="O155" t="s">
        <v>27</v>
      </c>
      <c r="P155" t="s">
        <v>757</v>
      </c>
      <c r="Q155">
        <v>3</v>
      </c>
    </row>
    <row r="156" spans="1:17">
      <c r="A156">
        <v>155</v>
      </c>
      <c r="B156">
        <v>1</v>
      </c>
      <c r="C156">
        <v>20240117</v>
      </c>
      <c r="D156" t="s">
        <v>20</v>
      </c>
      <c r="E156" t="s">
        <v>21</v>
      </c>
      <c r="F156" t="s">
        <v>29</v>
      </c>
      <c r="G156" t="s">
        <v>42</v>
      </c>
      <c r="H156">
        <v>216699</v>
      </c>
      <c r="I156" t="s">
        <v>24</v>
      </c>
      <c r="J156">
        <v>5.63</v>
      </c>
      <c r="K156">
        <v>1220015.37</v>
      </c>
      <c r="L156" t="s">
        <v>634</v>
      </c>
      <c r="M156" t="s">
        <v>759</v>
      </c>
      <c r="N156">
        <v>5.51801</v>
      </c>
      <c r="O156" t="s">
        <v>27</v>
      </c>
      <c r="P156" t="s">
        <v>760</v>
      </c>
      <c r="Q156">
        <v>39</v>
      </c>
    </row>
    <row r="157" spans="1:17">
      <c r="A157">
        <v>156</v>
      </c>
      <c r="B157">
        <v>1</v>
      </c>
      <c r="C157">
        <v>20240118</v>
      </c>
      <c r="D157" t="s">
        <v>20</v>
      </c>
      <c r="E157" t="s">
        <v>21</v>
      </c>
      <c r="F157" t="s">
        <v>41</v>
      </c>
      <c r="G157" t="s">
        <v>30</v>
      </c>
      <c r="H157">
        <v>57459</v>
      </c>
      <c r="I157" t="s">
        <v>24</v>
      </c>
      <c r="J157">
        <v>4.14</v>
      </c>
      <c r="K157">
        <v>237880.26</v>
      </c>
      <c r="L157" t="s">
        <v>634</v>
      </c>
      <c r="M157" t="s">
        <v>761</v>
      </c>
      <c r="N157">
        <v>4.05</v>
      </c>
      <c r="O157" t="s">
        <v>27</v>
      </c>
      <c r="P157" t="s">
        <v>762</v>
      </c>
      <c r="Q157">
        <v>6</v>
      </c>
    </row>
    <row r="158" spans="1:17">
      <c r="A158">
        <v>157</v>
      </c>
      <c r="B158">
        <v>1</v>
      </c>
      <c r="C158">
        <v>20240118</v>
      </c>
      <c r="D158" t="s">
        <v>20</v>
      </c>
      <c r="E158" t="s">
        <v>21</v>
      </c>
      <c r="F158" t="s">
        <v>41</v>
      </c>
      <c r="G158" t="s">
        <v>30</v>
      </c>
      <c r="H158">
        <v>23546</v>
      </c>
      <c r="I158" t="s">
        <v>24</v>
      </c>
      <c r="J158">
        <v>4.14</v>
      </c>
      <c r="K158">
        <v>97480.44</v>
      </c>
      <c r="L158" t="s">
        <v>637</v>
      </c>
      <c r="M158" t="s">
        <v>761</v>
      </c>
      <c r="N158">
        <v>4.05</v>
      </c>
      <c r="O158" t="s">
        <v>27</v>
      </c>
      <c r="P158" t="s">
        <v>762</v>
      </c>
      <c r="Q158">
        <v>11</v>
      </c>
    </row>
    <row r="159" spans="1:17">
      <c r="A159">
        <v>158</v>
      </c>
      <c r="B159">
        <v>1</v>
      </c>
      <c r="C159">
        <v>20240118</v>
      </c>
      <c r="D159" t="s">
        <v>20</v>
      </c>
      <c r="E159" t="s">
        <v>21</v>
      </c>
      <c r="F159" t="s">
        <v>41</v>
      </c>
      <c r="G159" t="s">
        <v>30</v>
      </c>
      <c r="H159">
        <v>1419</v>
      </c>
      <c r="I159" t="s">
        <v>24</v>
      </c>
      <c r="J159">
        <v>4.14</v>
      </c>
      <c r="K159">
        <v>5874.66</v>
      </c>
      <c r="L159" t="s">
        <v>634</v>
      </c>
      <c r="M159" t="s">
        <v>761</v>
      </c>
      <c r="N159">
        <v>4.05</v>
      </c>
      <c r="O159" t="s">
        <v>27</v>
      </c>
      <c r="P159" t="s">
        <v>762</v>
      </c>
      <c r="Q159">
        <v>1</v>
      </c>
    </row>
    <row r="160" spans="1:17">
      <c r="A160">
        <v>159</v>
      </c>
      <c r="B160">
        <v>1</v>
      </c>
      <c r="C160">
        <v>20240118</v>
      </c>
      <c r="D160" t="s">
        <v>28</v>
      </c>
      <c r="E160" t="s">
        <v>21</v>
      </c>
      <c r="F160" t="s">
        <v>41</v>
      </c>
      <c r="G160" t="s">
        <v>30</v>
      </c>
      <c r="H160">
        <v>112732</v>
      </c>
      <c r="I160" t="s">
        <v>24</v>
      </c>
      <c r="J160">
        <v>4.14</v>
      </c>
      <c r="K160">
        <v>466710.48</v>
      </c>
      <c r="L160" t="s">
        <v>634</v>
      </c>
      <c r="M160" t="s">
        <v>763</v>
      </c>
      <c r="N160">
        <v>4.05</v>
      </c>
      <c r="O160" t="s">
        <v>27</v>
      </c>
      <c r="P160" t="s">
        <v>764</v>
      </c>
      <c r="Q160">
        <v>9</v>
      </c>
    </row>
    <row r="161" spans="1:17">
      <c r="A161">
        <v>160</v>
      </c>
      <c r="B161">
        <v>1</v>
      </c>
      <c r="C161">
        <v>20240118</v>
      </c>
      <c r="D161" t="s">
        <v>28</v>
      </c>
      <c r="E161" t="s">
        <v>21</v>
      </c>
      <c r="F161" t="s">
        <v>41</v>
      </c>
      <c r="G161" t="s">
        <v>37</v>
      </c>
      <c r="H161">
        <v>27720</v>
      </c>
      <c r="I161" t="s">
        <v>24</v>
      </c>
      <c r="J161">
        <v>4.14</v>
      </c>
      <c r="K161">
        <v>114760.8</v>
      </c>
      <c r="L161" t="s">
        <v>634</v>
      </c>
      <c r="M161" t="s">
        <v>763</v>
      </c>
      <c r="N161">
        <v>4.05</v>
      </c>
      <c r="O161" t="s">
        <v>27</v>
      </c>
      <c r="P161" t="s">
        <v>765</v>
      </c>
      <c r="Q161">
        <v>2</v>
      </c>
    </row>
    <row r="162" spans="1:17">
      <c r="A162">
        <v>161</v>
      </c>
      <c r="B162">
        <v>1</v>
      </c>
      <c r="C162">
        <v>20240118</v>
      </c>
      <c r="D162" t="s">
        <v>28</v>
      </c>
      <c r="E162" t="s">
        <v>21</v>
      </c>
      <c r="F162" t="s">
        <v>41</v>
      </c>
      <c r="G162" t="s">
        <v>37</v>
      </c>
      <c r="H162">
        <v>27010</v>
      </c>
      <c r="I162" t="s">
        <v>24</v>
      </c>
      <c r="J162">
        <v>4.14</v>
      </c>
      <c r="K162">
        <v>111821.4</v>
      </c>
      <c r="L162" t="s">
        <v>637</v>
      </c>
      <c r="M162" t="s">
        <v>763</v>
      </c>
      <c r="N162">
        <v>4.05</v>
      </c>
      <c r="O162" t="s">
        <v>27</v>
      </c>
      <c r="P162" t="s">
        <v>765</v>
      </c>
      <c r="Q162">
        <v>3</v>
      </c>
    </row>
    <row r="163" spans="1:17">
      <c r="A163">
        <v>162</v>
      </c>
      <c r="B163">
        <v>1</v>
      </c>
      <c r="C163">
        <v>20240118</v>
      </c>
      <c r="D163" t="s">
        <v>28</v>
      </c>
      <c r="E163" t="s">
        <v>21</v>
      </c>
      <c r="F163" t="s">
        <v>41</v>
      </c>
      <c r="G163" t="s">
        <v>30</v>
      </c>
      <c r="H163">
        <v>43504</v>
      </c>
      <c r="I163" t="s">
        <v>24</v>
      </c>
      <c r="J163">
        <v>4.14</v>
      </c>
      <c r="K163">
        <v>180106.56</v>
      </c>
      <c r="L163" t="s">
        <v>637</v>
      </c>
      <c r="M163" t="s">
        <v>763</v>
      </c>
      <c r="N163">
        <v>4.05</v>
      </c>
      <c r="O163" t="s">
        <v>27</v>
      </c>
      <c r="P163" t="s">
        <v>764</v>
      </c>
      <c r="Q163">
        <v>5</v>
      </c>
    </row>
    <row r="164" spans="1:17">
      <c r="A164">
        <v>163</v>
      </c>
      <c r="B164">
        <v>1</v>
      </c>
      <c r="C164">
        <v>20240118</v>
      </c>
      <c r="D164" t="s">
        <v>28</v>
      </c>
      <c r="E164" t="s">
        <v>21</v>
      </c>
      <c r="F164" t="s">
        <v>41</v>
      </c>
      <c r="G164" t="s">
        <v>30</v>
      </c>
      <c r="H164">
        <v>27501</v>
      </c>
      <c r="I164" t="s">
        <v>24</v>
      </c>
      <c r="J164">
        <v>4.14</v>
      </c>
      <c r="K164">
        <v>113854.14</v>
      </c>
      <c r="L164" t="s">
        <v>637</v>
      </c>
      <c r="M164" t="s">
        <v>763</v>
      </c>
      <c r="N164">
        <v>4.05</v>
      </c>
      <c r="O164" t="s">
        <v>27</v>
      </c>
      <c r="P164" t="s">
        <v>764</v>
      </c>
      <c r="Q164">
        <v>11</v>
      </c>
    </row>
    <row r="165" spans="1:17">
      <c r="A165">
        <v>164</v>
      </c>
      <c r="B165">
        <v>1</v>
      </c>
      <c r="C165">
        <v>20240118</v>
      </c>
      <c r="D165" t="s">
        <v>28</v>
      </c>
      <c r="E165" t="s">
        <v>21</v>
      </c>
      <c r="F165" t="s">
        <v>41</v>
      </c>
      <c r="G165" t="s">
        <v>37</v>
      </c>
      <c r="H165">
        <v>7211</v>
      </c>
      <c r="I165" t="s">
        <v>24</v>
      </c>
      <c r="J165">
        <v>4.14</v>
      </c>
      <c r="K165">
        <v>29853.54</v>
      </c>
      <c r="L165" t="s">
        <v>637</v>
      </c>
      <c r="M165" t="s">
        <v>763</v>
      </c>
      <c r="N165">
        <v>4.05</v>
      </c>
      <c r="O165" t="s">
        <v>27</v>
      </c>
      <c r="P165" t="s">
        <v>765</v>
      </c>
      <c r="Q165">
        <v>3</v>
      </c>
    </row>
    <row r="166" spans="1:17">
      <c r="A166">
        <v>165</v>
      </c>
      <c r="B166">
        <v>1</v>
      </c>
      <c r="C166">
        <v>20240118</v>
      </c>
      <c r="D166" t="s">
        <v>28</v>
      </c>
      <c r="E166" t="s">
        <v>21</v>
      </c>
      <c r="F166" t="s">
        <v>41</v>
      </c>
      <c r="G166" t="s">
        <v>37</v>
      </c>
      <c r="H166">
        <v>24725</v>
      </c>
      <c r="I166" t="s">
        <v>24</v>
      </c>
      <c r="J166">
        <v>4.14</v>
      </c>
      <c r="K166">
        <v>102361.5</v>
      </c>
      <c r="L166" t="s">
        <v>637</v>
      </c>
      <c r="M166" t="s">
        <v>763</v>
      </c>
      <c r="N166">
        <v>4.05</v>
      </c>
      <c r="O166" t="s">
        <v>27</v>
      </c>
      <c r="P166" t="s">
        <v>765</v>
      </c>
      <c r="Q166">
        <v>8</v>
      </c>
    </row>
    <row r="167" spans="1:17">
      <c r="A167">
        <v>166</v>
      </c>
      <c r="B167">
        <v>1</v>
      </c>
      <c r="C167">
        <v>20240118</v>
      </c>
      <c r="D167" t="s">
        <v>28</v>
      </c>
      <c r="E167" t="s">
        <v>21</v>
      </c>
      <c r="F167" t="s">
        <v>41</v>
      </c>
      <c r="G167" t="s">
        <v>30</v>
      </c>
      <c r="H167">
        <v>43808</v>
      </c>
      <c r="I167" t="s">
        <v>24</v>
      </c>
      <c r="J167">
        <v>4.14</v>
      </c>
      <c r="K167">
        <v>181365.12</v>
      </c>
      <c r="L167" t="s">
        <v>637</v>
      </c>
      <c r="M167" t="s">
        <v>763</v>
      </c>
      <c r="N167">
        <v>4.05</v>
      </c>
      <c r="O167" t="s">
        <v>27</v>
      </c>
      <c r="P167" t="s">
        <v>764</v>
      </c>
      <c r="Q167">
        <v>14</v>
      </c>
    </row>
    <row r="168" spans="1:17">
      <c r="A168">
        <v>167</v>
      </c>
      <c r="B168">
        <v>1</v>
      </c>
      <c r="C168">
        <v>20240118</v>
      </c>
      <c r="D168" t="s">
        <v>28</v>
      </c>
      <c r="E168" t="s">
        <v>21</v>
      </c>
      <c r="F168" t="s">
        <v>41</v>
      </c>
      <c r="G168" t="s">
        <v>37</v>
      </c>
      <c r="H168">
        <v>37544</v>
      </c>
      <c r="I168" t="s">
        <v>24</v>
      </c>
      <c r="J168">
        <v>4.14</v>
      </c>
      <c r="K168">
        <v>155432.16</v>
      </c>
      <c r="L168" t="s">
        <v>637</v>
      </c>
      <c r="M168" t="s">
        <v>763</v>
      </c>
      <c r="N168">
        <v>4.05</v>
      </c>
      <c r="O168" t="s">
        <v>27</v>
      </c>
      <c r="P168" t="s">
        <v>765</v>
      </c>
      <c r="Q168">
        <v>9</v>
      </c>
    </row>
    <row r="169" spans="1:17">
      <c r="A169">
        <v>168</v>
      </c>
      <c r="B169">
        <v>1</v>
      </c>
      <c r="C169">
        <v>20240118</v>
      </c>
      <c r="D169" t="s">
        <v>28</v>
      </c>
      <c r="E169" t="s">
        <v>21</v>
      </c>
      <c r="F169" t="s">
        <v>41</v>
      </c>
      <c r="G169" t="s">
        <v>30</v>
      </c>
      <c r="H169">
        <v>12024</v>
      </c>
      <c r="I169" t="s">
        <v>24</v>
      </c>
      <c r="J169">
        <v>4.14</v>
      </c>
      <c r="K169">
        <v>49779.36</v>
      </c>
      <c r="L169" t="s">
        <v>637</v>
      </c>
      <c r="M169" t="s">
        <v>763</v>
      </c>
      <c r="N169">
        <v>4.05</v>
      </c>
      <c r="O169" t="s">
        <v>27</v>
      </c>
      <c r="P169" t="s">
        <v>764</v>
      </c>
      <c r="Q169">
        <v>5</v>
      </c>
    </row>
    <row r="170" spans="1:17">
      <c r="A170">
        <v>169</v>
      </c>
      <c r="B170">
        <v>1</v>
      </c>
      <c r="C170">
        <v>20240118</v>
      </c>
      <c r="D170" t="s">
        <v>28</v>
      </c>
      <c r="E170" t="s">
        <v>21</v>
      </c>
      <c r="F170" t="s">
        <v>41</v>
      </c>
      <c r="G170" t="s">
        <v>30</v>
      </c>
      <c r="H170">
        <v>8032</v>
      </c>
      <c r="I170" t="s">
        <v>24</v>
      </c>
      <c r="J170">
        <v>4.14</v>
      </c>
      <c r="K170">
        <v>33252.48</v>
      </c>
      <c r="L170" t="s">
        <v>637</v>
      </c>
      <c r="M170" t="s">
        <v>763</v>
      </c>
      <c r="N170">
        <v>4.05</v>
      </c>
      <c r="O170" t="s">
        <v>27</v>
      </c>
      <c r="P170" t="s">
        <v>764</v>
      </c>
      <c r="Q170">
        <v>3</v>
      </c>
    </row>
    <row r="171" spans="1:17">
      <c r="A171">
        <v>170</v>
      </c>
      <c r="B171">
        <v>1</v>
      </c>
      <c r="C171">
        <v>20240118</v>
      </c>
      <c r="D171" t="s">
        <v>28</v>
      </c>
      <c r="E171" t="s">
        <v>21</v>
      </c>
      <c r="F171" t="s">
        <v>41</v>
      </c>
      <c r="G171" t="s">
        <v>30</v>
      </c>
      <c r="H171">
        <v>6094</v>
      </c>
      <c r="I171" t="s">
        <v>24</v>
      </c>
      <c r="J171">
        <v>4.14</v>
      </c>
      <c r="K171">
        <v>25229.16</v>
      </c>
      <c r="L171" t="s">
        <v>634</v>
      </c>
      <c r="M171" t="s">
        <v>763</v>
      </c>
      <c r="N171">
        <v>4.05</v>
      </c>
      <c r="O171" t="s">
        <v>27</v>
      </c>
      <c r="P171" t="s">
        <v>764</v>
      </c>
      <c r="Q171">
        <v>1</v>
      </c>
    </row>
    <row r="172" spans="1:17">
      <c r="A172">
        <v>171</v>
      </c>
      <c r="B172">
        <v>1</v>
      </c>
      <c r="C172">
        <v>20240118</v>
      </c>
      <c r="D172" t="s">
        <v>28</v>
      </c>
      <c r="E172" t="s">
        <v>21</v>
      </c>
      <c r="F172" t="s">
        <v>32</v>
      </c>
      <c r="G172" t="s">
        <v>37</v>
      </c>
      <c r="H172">
        <v>1427</v>
      </c>
      <c r="I172" t="s">
        <v>24</v>
      </c>
      <c r="J172">
        <v>4.14</v>
      </c>
      <c r="K172">
        <v>5907.78</v>
      </c>
      <c r="L172" t="s">
        <v>634</v>
      </c>
      <c r="M172" t="s">
        <v>766</v>
      </c>
      <c r="N172">
        <v>4.015</v>
      </c>
      <c r="O172" t="s">
        <v>27</v>
      </c>
      <c r="P172" t="s">
        <v>767</v>
      </c>
      <c r="Q172">
        <v>3</v>
      </c>
    </row>
    <row r="173" spans="1:17">
      <c r="A173">
        <v>172</v>
      </c>
      <c r="B173">
        <v>1</v>
      </c>
      <c r="C173">
        <v>20240118</v>
      </c>
      <c r="D173" t="s">
        <v>28</v>
      </c>
      <c r="E173" t="s">
        <v>21</v>
      </c>
      <c r="F173" t="s">
        <v>32</v>
      </c>
      <c r="G173" t="s">
        <v>30</v>
      </c>
      <c r="H173">
        <v>526056</v>
      </c>
      <c r="I173" t="s">
        <v>24</v>
      </c>
      <c r="J173">
        <v>4.14</v>
      </c>
      <c r="K173">
        <v>2177871.84</v>
      </c>
      <c r="L173" t="s">
        <v>634</v>
      </c>
      <c r="M173" t="s">
        <v>766</v>
      </c>
      <c r="N173">
        <v>4.015</v>
      </c>
      <c r="O173" t="s">
        <v>27</v>
      </c>
      <c r="P173" t="s">
        <v>768</v>
      </c>
      <c r="Q173">
        <v>42</v>
      </c>
    </row>
    <row r="174" spans="1:17">
      <c r="A174">
        <v>173</v>
      </c>
      <c r="B174">
        <v>1</v>
      </c>
      <c r="C174">
        <v>20240118</v>
      </c>
      <c r="D174" t="s">
        <v>28</v>
      </c>
      <c r="E174" t="s">
        <v>21</v>
      </c>
      <c r="F174" t="s">
        <v>32</v>
      </c>
      <c r="G174" t="s">
        <v>37</v>
      </c>
      <c r="H174">
        <v>52656</v>
      </c>
      <c r="I174" t="s">
        <v>24</v>
      </c>
      <c r="J174">
        <v>4.14</v>
      </c>
      <c r="K174">
        <v>217995.84</v>
      </c>
      <c r="L174" t="s">
        <v>654</v>
      </c>
      <c r="M174" t="s">
        <v>766</v>
      </c>
      <c r="N174">
        <v>4.015</v>
      </c>
      <c r="O174" t="s">
        <v>27</v>
      </c>
      <c r="P174" t="s">
        <v>767</v>
      </c>
      <c r="Q174">
        <v>3</v>
      </c>
    </row>
    <row r="175" spans="1:17">
      <c r="A175">
        <v>174</v>
      </c>
      <c r="B175">
        <v>1</v>
      </c>
      <c r="C175">
        <v>20240118</v>
      </c>
      <c r="D175" t="s">
        <v>28</v>
      </c>
      <c r="E175" t="s">
        <v>21</v>
      </c>
      <c r="F175" t="s">
        <v>32</v>
      </c>
      <c r="G175" t="s">
        <v>30</v>
      </c>
      <c r="H175">
        <v>4424</v>
      </c>
      <c r="I175" t="s">
        <v>24</v>
      </c>
      <c r="J175">
        <v>4.14</v>
      </c>
      <c r="K175">
        <v>18315.36</v>
      </c>
      <c r="L175" t="s">
        <v>654</v>
      </c>
      <c r="M175" t="s">
        <v>766</v>
      </c>
      <c r="N175">
        <v>4.015</v>
      </c>
      <c r="O175" t="s">
        <v>27</v>
      </c>
      <c r="P175" t="s">
        <v>768</v>
      </c>
      <c r="Q175">
        <v>2</v>
      </c>
    </row>
    <row r="176" spans="1:17">
      <c r="A176">
        <v>175</v>
      </c>
      <c r="B176">
        <v>1</v>
      </c>
      <c r="C176">
        <v>20240118</v>
      </c>
      <c r="D176" t="s">
        <v>28</v>
      </c>
      <c r="E176" t="s">
        <v>21</v>
      </c>
      <c r="F176" t="s">
        <v>32</v>
      </c>
      <c r="G176" t="s">
        <v>37</v>
      </c>
      <c r="H176">
        <v>110587</v>
      </c>
      <c r="I176" t="s">
        <v>24</v>
      </c>
      <c r="J176">
        <v>4.14</v>
      </c>
      <c r="K176">
        <v>457830.18</v>
      </c>
      <c r="L176" t="s">
        <v>637</v>
      </c>
      <c r="M176" t="s">
        <v>766</v>
      </c>
      <c r="N176">
        <v>4.015</v>
      </c>
      <c r="O176" t="s">
        <v>27</v>
      </c>
      <c r="P176" t="s">
        <v>767</v>
      </c>
      <c r="Q176">
        <v>11</v>
      </c>
    </row>
    <row r="177" spans="1:17">
      <c r="A177">
        <v>176</v>
      </c>
      <c r="B177">
        <v>1</v>
      </c>
      <c r="C177">
        <v>20240118</v>
      </c>
      <c r="D177" t="s">
        <v>28</v>
      </c>
      <c r="E177" t="s">
        <v>21</v>
      </c>
      <c r="F177" t="s">
        <v>32</v>
      </c>
      <c r="G177" t="s">
        <v>30</v>
      </c>
      <c r="H177">
        <v>356953</v>
      </c>
      <c r="I177" t="s">
        <v>24</v>
      </c>
      <c r="J177">
        <v>4.14</v>
      </c>
      <c r="K177">
        <v>1477785.42</v>
      </c>
      <c r="L177" t="s">
        <v>637</v>
      </c>
      <c r="M177" t="s">
        <v>766</v>
      </c>
      <c r="N177">
        <v>4.015</v>
      </c>
      <c r="O177" t="s">
        <v>27</v>
      </c>
      <c r="P177" t="s">
        <v>768</v>
      </c>
      <c r="Q177">
        <v>69</v>
      </c>
    </row>
    <row r="178" spans="1:17">
      <c r="A178">
        <v>177</v>
      </c>
      <c r="B178">
        <v>1</v>
      </c>
      <c r="C178">
        <v>20240118</v>
      </c>
      <c r="D178" t="s">
        <v>20</v>
      </c>
      <c r="E178" t="s">
        <v>21</v>
      </c>
      <c r="F178" t="s">
        <v>22</v>
      </c>
      <c r="G178" t="s">
        <v>30</v>
      </c>
      <c r="H178">
        <v>105601</v>
      </c>
      <c r="I178" t="s">
        <v>24</v>
      </c>
      <c r="J178">
        <v>4.14</v>
      </c>
      <c r="K178">
        <v>437188.14</v>
      </c>
      <c r="L178" t="s">
        <v>634</v>
      </c>
      <c r="M178" t="s">
        <v>769</v>
      </c>
      <c r="N178">
        <v>4.0239</v>
      </c>
      <c r="O178" t="s">
        <v>27</v>
      </c>
      <c r="P178" t="s">
        <v>770</v>
      </c>
      <c r="Q178">
        <v>5</v>
      </c>
    </row>
    <row r="179" spans="1:17">
      <c r="A179">
        <v>178</v>
      </c>
      <c r="B179">
        <v>1</v>
      </c>
      <c r="C179">
        <v>20240118</v>
      </c>
      <c r="D179" t="s">
        <v>20</v>
      </c>
      <c r="E179" t="s">
        <v>21</v>
      </c>
      <c r="F179" t="s">
        <v>22</v>
      </c>
      <c r="G179" t="s">
        <v>30</v>
      </c>
      <c r="H179">
        <v>52636</v>
      </c>
      <c r="I179" t="s">
        <v>24</v>
      </c>
      <c r="J179">
        <v>4.14</v>
      </c>
      <c r="K179">
        <v>217913.04</v>
      </c>
      <c r="L179" t="s">
        <v>634</v>
      </c>
      <c r="M179" t="s">
        <v>769</v>
      </c>
      <c r="N179">
        <v>4.0195</v>
      </c>
      <c r="O179" t="s">
        <v>27</v>
      </c>
      <c r="P179" t="s">
        <v>770</v>
      </c>
      <c r="Q179">
        <v>3</v>
      </c>
    </row>
    <row r="180" spans="1:17">
      <c r="A180">
        <v>179</v>
      </c>
      <c r="B180">
        <v>1</v>
      </c>
      <c r="C180">
        <v>20240118</v>
      </c>
      <c r="D180" t="s">
        <v>20</v>
      </c>
      <c r="E180" t="s">
        <v>21</v>
      </c>
      <c r="F180" t="s">
        <v>22</v>
      </c>
      <c r="G180" t="s">
        <v>30</v>
      </c>
      <c r="H180">
        <v>37630</v>
      </c>
      <c r="I180" t="s">
        <v>24</v>
      </c>
      <c r="J180">
        <v>4.14</v>
      </c>
      <c r="K180">
        <v>155788.2</v>
      </c>
      <c r="L180" t="s">
        <v>637</v>
      </c>
      <c r="M180" t="s">
        <v>769</v>
      </c>
      <c r="N180">
        <v>3.5538</v>
      </c>
      <c r="O180" t="s">
        <v>27</v>
      </c>
      <c r="P180" t="s">
        <v>770</v>
      </c>
      <c r="Q180">
        <v>2</v>
      </c>
    </row>
    <row r="181" spans="1:17">
      <c r="A181">
        <v>180</v>
      </c>
      <c r="B181">
        <v>1</v>
      </c>
      <c r="C181">
        <v>20240118</v>
      </c>
      <c r="D181" t="s">
        <v>20</v>
      </c>
      <c r="E181" t="s">
        <v>21</v>
      </c>
      <c r="F181" t="s">
        <v>22</v>
      </c>
      <c r="G181" t="s">
        <v>30</v>
      </c>
      <c r="H181">
        <v>226</v>
      </c>
      <c r="I181" t="s">
        <v>24</v>
      </c>
      <c r="J181">
        <v>4.14</v>
      </c>
      <c r="K181">
        <v>935.64</v>
      </c>
      <c r="L181" t="s">
        <v>637</v>
      </c>
      <c r="M181" t="s">
        <v>769</v>
      </c>
      <c r="N181">
        <v>3.5243</v>
      </c>
      <c r="O181" t="s">
        <v>27</v>
      </c>
      <c r="P181" t="s">
        <v>770</v>
      </c>
      <c r="Q181">
        <v>2</v>
      </c>
    </row>
    <row r="182" spans="1:17">
      <c r="A182">
        <v>181</v>
      </c>
      <c r="B182">
        <v>1</v>
      </c>
      <c r="C182">
        <v>20240118</v>
      </c>
      <c r="D182" t="s">
        <v>28</v>
      </c>
      <c r="E182" t="s">
        <v>21</v>
      </c>
      <c r="F182" t="s">
        <v>22</v>
      </c>
      <c r="G182" t="s">
        <v>37</v>
      </c>
      <c r="H182">
        <v>24152</v>
      </c>
      <c r="I182" t="s">
        <v>24</v>
      </c>
      <c r="J182">
        <v>4.14</v>
      </c>
      <c r="K182">
        <v>99989.28</v>
      </c>
      <c r="L182" t="s">
        <v>654</v>
      </c>
      <c r="M182" t="s">
        <v>771</v>
      </c>
      <c r="N182">
        <v>4.0375</v>
      </c>
      <c r="O182" t="s">
        <v>27</v>
      </c>
      <c r="P182" t="s">
        <v>772</v>
      </c>
      <c r="Q182">
        <v>2</v>
      </c>
    </row>
    <row r="183" spans="1:17">
      <c r="A183">
        <v>182</v>
      </c>
      <c r="B183">
        <v>1</v>
      </c>
      <c r="C183">
        <v>20240118</v>
      </c>
      <c r="D183" t="s">
        <v>28</v>
      </c>
      <c r="E183" t="s">
        <v>21</v>
      </c>
      <c r="F183" t="s">
        <v>22</v>
      </c>
      <c r="G183" t="s">
        <v>30</v>
      </c>
      <c r="H183">
        <v>655</v>
      </c>
      <c r="I183" t="s">
        <v>24</v>
      </c>
      <c r="J183">
        <v>4.14</v>
      </c>
      <c r="K183">
        <v>2711.7</v>
      </c>
      <c r="L183" t="s">
        <v>654</v>
      </c>
      <c r="M183" t="s">
        <v>771</v>
      </c>
      <c r="N183">
        <v>4.049</v>
      </c>
      <c r="O183" t="s">
        <v>27</v>
      </c>
      <c r="P183" t="s">
        <v>773</v>
      </c>
      <c r="Q183">
        <v>1</v>
      </c>
    </row>
    <row r="184" spans="1:17">
      <c r="A184">
        <v>183</v>
      </c>
      <c r="B184">
        <v>1</v>
      </c>
      <c r="C184">
        <v>20240118</v>
      </c>
      <c r="D184" t="s">
        <v>28</v>
      </c>
      <c r="E184" t="s">
        <v>21</v>
      </c>
      <c r="F184" t="s">
        <v>22</v>
      </c>
      <c r="G184" t="s">
        <v>37</v>
      </c>
      <c r="H184">
        <v>2452</v>
      </c>
      <c r="I184" t="s">
        <v>24</v>
      </c>
      <c r="J184">
        <v>4.14</v>
      </c>
      <c r="K184">
        <v>10151.28</v>
      </c>
      <c r="L184" t="s">
        <v>637</v>
      </c>
      <c r="M184" t="s">
        <v>771</v>
      </c>
      <c r="N184">
        <v>3.5283</v>
      </c>
      <c r="O184" t="s">
        <v>27</v>
      </c>
      <c r="P184" t="s">
        <v>772</v>
      </c>
      <c r="Q184" t="s">
        <v>774</v>
      </c>
    </row>
    <row r="185" spans="1:17">
      <c r="A185">
        <v>184</v>
      </c>
      <c r="B185">
        <v>1</v>
      </c>
      <c r="C185">
        <v>20240118</v>
      </c>
      <c r="D185" t="s">
        <v>28</v>
      </c>
      <c r="E185" t="s">
        <v>21</v>
      </c>
      <c r="F185" t="s">
        <v>22</v>
      </c>
      <c r="G185" t="s">
        <v>37</v>
      </c>
      <c r="H185">
        <v>34342</v>
      </c>
      <c r="I185" t="s">
        <v>24</v>
      </c>
      <c r="J185">
        <v>4.14</v>
      </c>
      <c r="K185">
        <v>142175.88</v>
      </c>
      <c r="L185" t="s">
        <v>637</v>
      </c>
      <c r="M185" t="s">
        <v>771</v>
      </c>
      <c r="N185">
        <v>3.5235</v>
      </c>
      <c r="O185" t="s">
        <v>27</v>
      </c>
      <c r="P185" t="s">
        <v>772</v>
      </c>
      <c r="Q185" t="s">
        <v>775</v>
      </c>
    </row>
    <row r="186" spans="1:17">
      <c r="A186">
        <v>185</v>
      </c>
      <c r="B186">
        <v>1</v>
      </c>
      <c r="C186">
        <v>20240118</v>
      </c>
      <c r="D186" t="s">
        <v>28</v>
      </c>
      <c r="E186" t="s">
        <v>21</v>
      </c>
      <c r="F186" t="s">
        <v>22</v>
      </c>
      <c r="G186" t="s">
        <v>37</v>
      </c>
      <c r="H186">
        <v>43562</v>
      </c>
      <c r="I186" t="s">
        <v>24</v>
      </c>
      <c r="J186">
        <v>4.14</v>
      </c>
      <c r="K186">
        <v>180346.68</v>
      </c>
      <c r="L186" t="s">
        <v>637</v>
      </c>
      <c r="M186" t="s">
        <v>771</v>
      </c>
      <c r="N186">
        <v>3.5707</v>
      </c>
      <c r="O186" t="s">
        <v>27</v>
      </c>
      <c r="P186" t="s">
        <v>772</v>
      </c>
      <c r="Q186" t="s">
        <v>775</v>
      </c>
    </row>
    <row r="187" spans="1:17">
      <c r="A187">
        <v>186</v>
      </c>
      <c r="B187">
        <v>1</v>
      </c>
      <c r="C187">
        <v>20240118</v>
      </c>
      <c r="D187" t="s">
        <v>28</v>
      </c>
      <c r="E187" t="s">
        <v>21</v>
      </c>
      <c r="F187" t="s">
        <v>22</v>
      </c>
      <c r="G187" t="s">
        <v>37</v>
      </c>
      <c r="H187">
        <v>2311</v>
      </c>
      <c r="I187" t="s">
        <v>24</v>
      </c>
      <c r="J187">
        <v>4.14</v>
      </c>
      <c r="K187">
        <v>9567.54</v>
      </c>
      <c r="L187" t="s">
        <v>637</v>
      </c>
      <c r="M187" t="s">
        <v>771</v>
      </c>
      <c r="N187">
        <v>3.5065</v>
      </c>
      <c r="O187" t="s">
        <v>27</v>
      </c>
      <c r="P187" t="s">
        <v>772</v>
      </c>
      <c r="Q187" t="s">
        <v>776</v>
      </c>
    </row>
    <row r="188" spans="1:17">
      <c r="A188">
        <v>187</v>
      </c>
      <c r="B188">
        <v>1</v>
      </c>
      <c r="C188">
        <v>20240118</v>
      </c>
      <c r="D188" t="s">
        <v>28</v>
      </c>
      <c r="E188" t="s">
        <v>21</v>
      </c>
      <c r="F188" t="s">
        <v>22</v>
      </c>
      <c r="G188" t="s">
        <v>30</v>
      </c>
      <c r="H188">
        <v>142558</v>
      </c>
      <c r="I188" t="s">
        <v>24</v>
      </c>
      <c r="J188">
        <v>4.14</v>
      </c>
      <c r="K188">
        <v>590190.12</v>
      </c>
      <c r="L188" t="s">
        <v>637</v>
      </c>
      <c r="M188" t="s">
        <v>771</v>
      </c>
      <c r="N188">
        <v>3.5681</v>
      </c>
      <c r="O188" t="s">
        <v>27</v>
      </c>
      <c r="P188" t="s">
        <v>773</v>
      </c>
      <c r="Q188" t="s">
        <v>777</v>
      </c>
    </row>
    <row r="189" spans="1:17">
      <c r="A189">
        <v>188</v>
      </c>
      <c r="B189">
        <v>1</v>
      </c>
      <c r="C189">
        <v>20240118</v>
      </c>
      <c r="D189" t="s">
        <v>28</v>
      </c>
      <c r="E189" t="s">
        <v>21</v>
      </c>
      <c r="F189" t="s">
        <v>22</v>
      </c>
      <c r="G189" t="s">
        <v>30</v>
      </c>
      <c r="H189">
        <v>76801</v>
      </c>
      <c r="I189" t="s">
        <v>24</v>
      </c>
      <c r="J189">
        <v>4.14</v>
      </c>
      <c r="K189">
        <v>317956.14</v>
      </c>
      <c r="L189" t="s">
        <v>637</v>
      </c>
      <c r="M189" t="s">
        <v>771</v>
      </c>
      <c r="N189">
        <v>3.5097</v>
      </c>
      <c r="O189" t="s">
        <v>27</v>
      </c>
      <c r="P189" t="s">
        <v>773</v>
      </c>
      <c r="Q189" t="s">
        <v>778</v>
      </c>
    </row>
    <row r="190" spans="1:17">
      <c r="A190">
        <v>189</v>
      </c>
      <c r="B190">
        <v>1</v>
      </c>
      <c r="C190">
        <v>20240118</v>
      </c>
      <c r="D190" t="s">
        <v>28</v>
      </c>
      <c r="E190" t="s">
        <v>21</v>
      </c>
      <c r="F190" t="s">
        <v>22</v>
      </c>
      <c r="G190" t="s">
        <v>30</v>
      </c>
      <c r="H190">
        <v>3116</v>
      </c>
      <c r="I190" t="s">
        <v>24</v>
      </c>
      <c r="J190">
        <v>4.14</v>
      </c>
      <c r="K190">
        <v>12900.24</v>
      </c>
      <c r="L190" t="s">
        <v>637</v>
      </c>
      <c r="M190" t="s">
        <v>771</v>
      </c>
      <c r="N190">
        <v>3.5538</v>
      </c>
      <c r="O190" t="s">
        <v>27</v>
      </c>
      <c r="P190" t="s">
        <v>773</v>
      </c>
      <c r="Q190" t="s">
        <v>776</v>
      </c>
    </row>
    <row r="191" spans="1:17">
      <c r="A191">
        <v>190</v>
      </c>
      <c r="B191">
        <v>1</v>
      </c>
      <c r="C191">
        <v>20240118</v>
      </c>
      <c r="D191" t="s">
        <v>28</v>
      </c>
      <c r="E191" t="s">
        <v>21</v>
      </c>
      <c r="F191" t="s">
        <v>22</v>
      </c>
      <c r="G191" t="s">
        <v>30</v>
      </c>
      <c r="H191">
        <v>20131</v>
      </c>
      <c r="I191" t="s">
        <v>24</v>
      </c>
      <c r="J191">
        <v>4.14</v>
      </c>
      <c r="K191">
        <v>83342.34</v>
      </c>
      <c r="L191" t="s">
        <v>637</v>
      </c>
      <c r="M191" t="s">
        <v>771</v>
      </c>
      <c r="N191">
        <v>3.5158</v>
      </c>
      <c r="O191" t="s">
        <v>27</v>
      </c>
      <c r="P191" t="s">
        <v>773</v>
      </c>
      <c r="Q191" t="s">
        <v>776</v>
      </c>
    </row>
    <row r="192" spans="1:17">
      <c r="A192">
        <v>191</v>
      </c>
      <c r="B192">
        <v>1</v>
      </c>
      <c r="C192">
        <v>20240118</v>
      </c>
      <c r="D192" t="s">
        <v>28</v>
      </c>
      <c r="E192" t="s">
        <v>21</v>
      </c>
      <c r="F192" t="s">
        <v>22</v>
      </c>
      <c r="G192" t="s">
        <v>30</v>
      </c>
      <c r="H192">
        <v>1904</v>
      </c>
      <c r="I192" t="s">
        <v>24</v>
      </c>
      <c r="J192">
        <v>4.14</v>
      </c>
      <c r="K192">
        <v>7882.56</v>
      </c>
      <c r="L192" t="s">
        <v>637</v>
      </c>
      <c r="M192" t="s">
        <v>771</v>
      </c>
      <c r="N192">
        <v>4.049</v>
      </c>
      <c r="O192" t="s">
        <v>27</v>
      </c>
      <c r="P192" t="s">
        <v>773</v>
      </c>
      <c r="Q192" t="s">
        <v>776</v>
      </c>
    </row>
    <row r="193" spans="1:17">
      <c r="A193">
        <v>192</v>
      </c>
      <c r="B193">
        <v>1</v>
      </c>
      <c r="C193">
        <v>20240118</v>
      </c>
      <c r="D193" t="s">
        <v>28</v>
      </c>
      <c r="E193" t="s">
        <v>21</v>
      </c>
      <c r="F193" t="s">
        <v>22</v>
      </c>
      <c r="G193" t="s">
        <v>37</v>
      </c>
      <c r="H193">
        <v>47302</v>
      </c>
      <c r="I193" t="s">
        <v>24</v>
      </c>
      <c r="J193">
        <v>4.14</v>
      </c>
      <c r="K193">
        <v>195830.28</v>
      </c>
      <c r="L193" t="s">
        <v>634</v>
      </c>
      <c r="M193" t="s">
        <v>771</v>
      </c>
      <c r="N193">
        <v>4.0575</v>
      </c>
      <c r="O193" t="s">
        <v>27</v>
      </c>
      <c r="P193" t="s">
        <v>772</v>
      </c>
      <c r="Q193">
        <v>3</v>
      </c>
    </row>
    <row r="194" spans="1:17">
      <c r="A194">
        <v>193</v>
      </c>
      <c r="B194">
        <v>1</v>
      </c>
      <c r="C194">
        <v>20240118</v>
      </c>
      <c r="D194" t="s">
        <v>28</v>
      </c>
      <c r="E194" t="s">
        <v>21</v>
      </c>
      <c r="F194" t="s">
        <v>22</v>
      </c>
      <c r="G194" t="s">
        <v>30</v>
      </c>
      <c r="H194">
        <v>614333</v>
      </c>
      <c r="I194" t="s">
        <v>24</v>
      </c>
      <c r="J194">
        <v>4.14</v>
      </c>
      <c r="K194">
        <v>2543338.62</v>
      </c>
      <c r="L194" t="s">
        <v>634</v>
      </c>
      <c r="M194" t="s">
        <v>771</v>
      </c>
      <c r="N194">
        <v>4.0601</v>
      </c>
      <c r="O194" t="s">
        <v>27</v>
      </c>
      <c r="P194" t="s">
        <v>773</v>
      </c>
      <c r="Q194">
        <v>21</v>
      </c>
    </row>
    <row r="195" spans="1:17">
      <c r="A195">
        <v>194</v>
      </c>
      <c r="B195">
        <v>1</v>
      </c>
      <c r="C195">
        <v>20240119</v>
      </c>
      <c r="D195" t="s">
        <v>28</v>
      </c>
      <c r="E195" t="s">
        <v>21</v>
      </c>
      <c r="F195" t="s">
        <v>39</v>
      </c>
      <c r="G195" t="s">
        <v>40</v>
      </c>
      <c r="H195">
        <v>6</v>
      </c>
      <c r="I195" t="s">
        <v>24</v>
      </c>
      <c r="J195">
        <v>1409.017</v>
      </c>
      <c r="K195">
        <v>8454.102</v>
      </c>
      <c r="L195" t="s">
        <v>637</v>
      </c>
      <c r="M195" t="s">
        <v>779</v>
      </c>
      <c r="N195">
        <v>1409.017</v>
      </c>
      <c r="O195" t="s">
        <v>27</v>
      </c>
      <c r="P195" t="s">
        <v>780</v>
      </c>
      <c r="Q195">
        <v>1</v>
      </c>
    </row>
    <row r="196" spans="1:17">
      <c r="A196">
        <v>195</v>
      </c>
      <c r="B196">
        <v>1</v>
      </c>
      <c r="C196">
        <v>20240119</v>
      </c>
      <c r="D196" t="s">
        <v>28</v>
      </c>
      <c r="E196" t="s">
        <v>21</v>
      </c>
      <c r="F196" t="s">
        <v>41</v>
      </c>
      <c r="G196" t="s">
        <v>30</v>
      </c>
      <c r="H196">
        <v>109563</v>
      </c>
      <c r="I196" t="s">
        <v>24</v>
      </c>
      <c r="J196">
        <v>4.14</v>
      </c>
      <c r="K196">
        <v>453590.82</v>
      </c>
      <c r="L196" t="s">
        <v>637</v>
      </c>
      <c r="M196" t="s">
        <v>781</v>
      </c>
      <c r="N196">
        <v>4.05</v>
      </c>
      <c r="O196" t="s">
        <v>27</v>
      </c>
      <c r="P196" t="s">
        <v>782</v>
      </c>
      <c r="Q196">
        <v>10</v>
      </c>
    </row>
    <row r="197" spans="1:17">
      <c r="A197">
        <v>196</v>
      </c>
      <c r="B197">
        <v>1</v>
      </c>
      <c r="C197">
        <v>20240119</v>
      </c>
      <c r="D197" t="s">
        <v>28</v>
      </c>
      <c r="E197" t="s">
        <v>21</v>
      </c>
      <c r="F197" t="s">
        <v>41</v>
      </c>
      <c r="G197" t="s">
        <v>37</v>
      </c>
      <c r="H197">
        <v>16507</v>
      </c>
      <c r="I197" t="s">
        <v>24</v>
      </c>
      <c r="J197">
        <v>4.14</v>
      </c>
      <c r="K197">
        <v>68338.98</v>
      </c>
      <c r="L197" t="s">
        <v>634</v>
      </c>
      <c r="M197" t="s">
        <v>781</v>
      </c>
      <c r="N197">
        <v>4.05</v>
      </c>
      <c r="O197" t="s">
        <v>27</v>
      </c>
      <c r="P197" t="s">
        <v>783</v>
      </c>
      <c r="Q197">
        <v>2</v>
      </c>
    </row>
    <row r="198" spans="1:17">
      <c r="A198">
        <v>197</v>
      </c>
      <c r="B198">
        <v>1</v>
      </c>
      <c r="C198">
        <v>20240119</v>
      </c>
      <c r="D198" t="s">
        <v>28</v>
      </c>
      <c r="E198" t="s">
        <v>21</v>
      </c>
      <c r="F198" t="s">
        <v>41</v>
      </c>
      <c r="G198" t="s">
        <v>30</v>
      </c>
      <c r="H198">
        <v>9295</v>
      </c>
      <c r="I198" t="s">
        <v>24</v>
      </c>
      <c r="J198">
        <v>4.14</v>
      </c>
      <c r="K198">
        <v>38481.3</v>
      </c>
      <c r="L198" t="s">
        <v>634</v>
      </c>
      <c r="M198" t="s">
        <v>781</v>
      </c>
      <c r="N198">
        <v>4.05</v>
      </c>
      <c r="O198" t="s">
        <v>27</v>
      </c>
      <c r="P198" t="s">
        <v>782</v>
      </c>
      <c r="Q198">
        <v>1</v>
      </c>
    </row>
    <row r="199" spans="1:17">
      <c r="A199">
        <v>198</v>
      </c>
      <c r="B199">
        <v>1</v>
      </c>
      <c r="C199">
        <v>20240119</v>
      </c>
      <c r="D199" t="s">
        <v>20</v>
      </c>
      <c r="E199" t="s">
        <v>21</v>
      </c>
      <c r="F199" t="s">
        <v>41</v>
      </c>
      <c r="G199" t="s">
        <v>30</v>
      </c>
      <c r="H199">
        <v>78303</v>
      </c>
      <c r="I199" t="s">
        <v>24</v>
      </c>
      <c r="J199">
        <v>4.14</v>
      </c>
      <c r="K199">
        <v>324174.42</v>
      </c>
      <c r="L199" t="s">
        <v>634</v>
      </c>
      <c r="M199" t="s">
        <v>781</v>
      </c>
      <c r="N199">
        <v>4.05</v>
      </c>
      <c r="O199" t="s">
        <v>27</v>
      </c>
      <c r="P199" t="s">
        <v>784</v>
      </c>
      <c r="Q199">
        <v>6</v>
      </c>
    </row>
    <row r="200" spans="1:17">
      <c r="A200">
        <v>199</v>
      </c>
      <c r="B200">
        <v>1</v>
      </c>
      <c r="C200">
        <v>20240119</v>
      </c>
      <c r="D200" t="s">
        <v>20</v>
      </c>
      <c r="E200" t="s">
        <v>21</v>
      </c>
      <c r="F200" t="s">
        <v>59</v>
      </c>
      <c r="G200" t="s">
        <v>42</v>
      </c>
      <c r="H200">
        <v>204594</v>
      </c>
      <c r="I200" t="s">
        <v>24</v>
      </c>
      <c r="J200">
        <v>4.58</v>
      </c>
      <c r="K200">
        <v>937040.52</v>
      </c>
      <c r="L200" t="s">
        <v>637</v>
      </c>
      <c r="M200" t="s">
        <v>785</v>
      </c>
      <c r="N200">
        <v>4.4886</v>
      </c>
      <c r="O200" t="s">
        <v>27</v>
      </c>
      <c r="P200" t="s">
        <v>786</v>
      </c>
      <c r="Q200">
        <v>25</v>
      </c>
    </row>
    <row r="201" spans="1:17">
      <c r="A201">
        <v>200</v>
      </c>
      <c r="B201">
        <v>1</v>
      </c>
      <c r="C201">
        <v>20240119</v>
      </c>
      <c r="D201" t="s">
        <v>28</v>
      </c>
      <c r="E201" t="s">
        <v>21</v>
      </c>
      <c r="F201" t="s">
        <v>29</v>
      </c>
      <c r="G201" t="s">
        <v>679</v>
      </c>
      <c r="H201">
        <v>87486</v>
      </c>
      <c r="I201" t="s">
        <v>24</v>
      </c>
      <c r="J201">
        <v>4.25</v>
      </c>
      <c r="K201">
        <v>371815.5</v>
      </c>
      <c r="L201" t="s">
        <v>634</v>
      </c>
      <c r="M201" t="s">
        <v>787</v>
      </c>
      <c r="N201">
        <v>4.1681</v>
      </c>
      <c r="O201" t="s">
        <v>27</v>
      </c>
      <c r="P201" t="s">
        <v>788</v>
      </c>
      <c r="Q201">
        <v>6</v>
      </c>
    </row>
    <row r="202" spans="1:17">
      <c r="A202">
        <v>201</v>
      </c>
      <c r="B202">
        <v>1</v>
      </c>
      <c r="C202">
        <v>20240119</v>
      </c>
      <c r="D202" t="s">
        <v>20</v>
      </c>
      <c r="E202" t="s">
        <v>21</v>
      </c>
      <c r="F202" t="s">
        <v>29</v>
      </c>
      <c r="G202" t="s">
        <v>42</v>
      </c>
      <c r="H202">
        <v>1499</v>
      </c>
      <c r="I202" t="s">
        <v>24</v>
      </c>
      <c r="J202">
        <v>5.73</v>
      </c>
      <c r="K202">
        <v>8589.27</v>
      </c>
      <c r="L202" t="s">
        <v>637</v>
      </c>
      <c r="M202" t="s">
        <v>787</v>
      </c>
      <c r="N202">
        <v>5.6157</v>
      </c>
      <c r="O202" t="s">
        <v>27</v>
      </c>
      <c r="P202" t="s">
        <v>789</v>
      </c>
      <c r="Q202">
        <v>162</v>
      </c>
    </row>
    <row r="203" spans="1:17">
      <c r="A203">
        <v>202</v>
      </c>
      <c r="B203">
        <v>1</v>
      </c>
      <c r="C203">
        <v>20240119</v>
      </c>
      <c r="D203" t="s">
        <v>20</v>
      </c>
      <c r="E203" t="s">
        <v>21</v>
      </c>
      <c r="F203" t="s">
        <v>29</v>
      </c>
      <c r="G203" t="s">
        <v>42</v>
      </c>
      <c r="H203">
        <v>576934</v>
      </c>
      <c r="I203" t="s">
        <v>24</v>
      </c>
      <c r="J203">
        <v>5.62</v>
      </c>
      <c r="K203">
        <v>3242369.08</v>
      </c>
      <c r="L203" t="s">
        <v>634</v>
      </c>
      <c r="M203" t="s">
        <v>787</v>
      </c>
      <c r="N203">
        <v>5.5003</v>
      </c>
      <c r="O203" t="s">
        <v>27</v>
      </c>
      <c r="P203" t="s">
        <v>790</v>
      </c>
    </row>
    <row r="204" spans="1:17">
      <c r="A204">
        <v>203</v>
      </c>
      <c r="B204">
        <v>1</v>
      </c>
      <c r="C204">
        <v>20240119</v>
      </c>
      <c r="D204" t="s">
        <v>28</v>
      </c>
      <c r="E204" t="s">
        <v>21</v>
      </c>
      <c r="F204" t="s">
        <v>41</v>
      </c>
      <c r="G204" t="s">
        <v>30</v>
      </c>
      <c r="H204">
        <v>247627</v>
      </c>
      <c r="I204" t="s">
        <v>24</v>
      </c>
      <c r="J204">
        <v>4.14</v>
      </c>
      <c r="K204">
        <v>1025175.78</v>
      </c>
      <c r="L204" t="s">
        <v>637</v>
      </c>
      <c r="N204">
        <v>4.05</v>
      </c>
      <c r="O204" t="s">
        <v>27</v>
      </c>
      <c r="P204" t="s">
        <v>782</v>
      </c>
      <c r="Q204">
        <v>29</v>
      </c>
    </row>
    <row r="205" spans="1:17">
      <c r="A205">
        <v>204</v>
      </c>
      <c r="B205">
        <v>1</v>
      </c>
      <c r="C205">
        <v>20240119</v>
      </c>
      <c r="D205" t="s">
        <v>28</v>
      </c>
      <c r="E205" t="s">
        <v>21</v>
      </c>
      <c r="F205" t="s">
        <v>41</v>
      </c>
      <c r="G205" t="s">
        <v>37</v>
      </c>
      <c r="H205">
        <v>73254</v>
      </c>
      <c r="I205" t="s">
        <v>24</v>
      </c>
      <c r="J205">
        <v>4.14</v>
      </c>
      <c r="K205">
        <v>303271.56</v>
      </c>
      <c r="L205" t="s">
        <v>637</v>
      </c>
      <c r="N205">
        <v>4.05</v>
      </c>
      <c r="O205" t="s">
        <v>27</v>
      </c>
      <c r="P205" t="s">
        <v>783</v>
      </c>
      <c r="Q205">
        <v>8</v>
      </c>
    </row>
    <row r="206" spans="1:17">
      <c r="A206">
        <v>205</v>
      </c>
      <c r="B206">
        <v>1</v>
      </c>
      <c r="C206">
        <v>20240119</v>
      </c>
      <c r="D206" t="s">
        <v>28</v>
      </c>
      <c r="E206" t="s">
        <v>21</v>
      </c>
      <c r="F206" t="s">
        <v>41</v>
      </c>
      <c r="G206" t="s">
        <v>30</v>
      </c>
      <c r="H206">
        <v>116870</v>
      </c>
      <c r="I206" t="s">
        <v>24</v>
      </c>
      <c r="J206">
        <v>4.14</v>
      </c>
      <c r="K206">
        <v>483841.8</v>
      </c>
      <c r="L206" t="s">
        <v>634</v>
      </c>
      <c r="N206">
        <v>4.05</v>
      </c>
      <c r="O206" t="s">
        <v>27</v>
      </c>
      <c r="P206" t="s">
        <v>782</v>
      </c>
      <c r="Q206">
        <v>10</v>
      </c>
    </row>
    <row r="207" spans="1:17">
      <c r="A207">
        <v>206</v>
      </c>
      <c r="B207">
        <v>1</v>
      </c>
      <c r="C207">
        <v>20240119</v>
      </c>
      <c r="D207" t="s">
        <v>28</v>
      </c>
      <c r="E207" t="s">
        <v>21</v>
      </c>
      <c r="F207" t="s">
        <v>41</v>
      </c>
      <c r="G207" t="s">
        <v>37</v>
      </c>
      <c r="H207">
        <v>62087</v>
      </c>
      <c r="I207" t="s">
        <v>24</v>
      </c>
      <c r="J207">
        <v>4.14</v>
      </c>
      <c r="K207">
        <v>257040.18</v>
      </c>
      <c r="L207" t="s">
        <v>634</v>
      </c>
      <c r="N207">
        <v>4.05</v>
      </c>
      <c r="O207" t="s">
        <v>27</v>
      </c>
      <c r="P207" t="s">
        <v>783</v>
      </c>
      <c r="Q207">
        <v>7</v>
      </c>
    </row>
    <row r="208" spans="1:17">
      <c r="A208">
        <v>207</v>
      </c>
      <c r="B208">
        <v>1</v>
      </c>
      <c r="C208">
        <v>20240119</v>
      </c>
      <c r="D208" t="s">
        <v>28</v>
      </c>
      <c r="E208" t="s">
        <v>21</v>
      </c>
      <c r="F208" t="s">
        <v>41</v>
      </c>
      <c r="G208" t="s">
        <v>30</v>
      </c>
      <c r="H208">
        <v>43231</v>
      </c>
      <c r="I208" t="s">
        <v>24</v>
      </c>
      <c r="J208">
        <v>4.14</v>
      </c>
      <c r="K208">
        <v>178976.34</v>
      </c>
      <c r="L208" t="s">
        <v>634</v>
      </c>
      <c r="N208">
        <v>4.05</v>
      </c>
      <c r="O208" t="s">
        <v>27</v>
      </c>
      <c r="P208" t="s">
        <v>782</v>
      </c>
      <c r="Q208">
        <v>4</v>
      </c>
    </row>
    <row r="209" spans="1:19">
      <c r="A209">
        <v>208</v>
      </c>
      <c r="B209">
        <v>1</v>
      </c>
      <c r="C209">
        <v>20240119</v>
      </c>
      <c r="D209" t="s">
        <v>28</v>
      </c>
      <c r="E209" t="s">
        <v>21</v>
      </c>
      <c r="F209" t="s">
        <v>41</v>
      </c>
      <c r="G209" t="s">
        <v>30</v>
      </c>
      <c r="H209">
        <v>46810</v>
      </c>
      <c r="I209" t="s">
        <v>24</v>
      </c>
      <c r="J209">
        <v>4.14</v>
      </c>
      <c r="K209">
        <v>193793.4</v>
      </c>
      <c r="L209" t="s">
        <v>637</v>
      </c>
      <c r="N209">
        <v>4.05</v>
      </c>
      <c r="O209" t="s">
        <v>27</v>
      </c>
      <c r="P209" t="s">
        <v>782</v>
      </c>
      <c r="Q209">
        <v>4</v>
      </c>
    </row>
    <row r="210" spans="1:19">
      <c r="A210">
        <v>209</v>
      </c>
      <c r="B210">
        <v>1</v>
      </c>
      <c r="C210">
        <v>20240119</v>
      </c>
      <c r="D210" t="s">
        <v>28</v>
      </c>
      <c r="E210" t="s">
        <v>21</v>
      </c>
      <c r="F210" t="s">
        <v>41</v>
      </c>
      <c r="G210" t="s">
        <v>37</v>
      </c>
      <c r="H210">
        <v>31679</v>
      </c>
      <c r="I210" t="s">
        <v>24</v>
      </c>
      <c r="J210">
        <v>4.14</v>
      </c>
      <c r="K210">
        <v>131151.06</v>
      </c>
      <c r="L210" t="s">
        <v>637</v>
      </c>
      <c r="N210">
        <v>4.05</v>
      </c>
      <c r="O210" t="s">
        <v>27</v>
      </c>
      <c r="P210" t="s">
        <v>783</v>
      </c>
      <c r="Q210">
        <v>3</v>
      </c>
    </row>
    <row r="211" spans="1:19">
      <c r="A211">
        <v>210</v>
      </c>
      <c r="B211">
        <v>1</v>
      </c>
      <c r="C211">
        <v>20240119</v>
      </c>
      <c r="D211" t="s">
        <v>28</v>
      </c>
      <c r="E211" t="s">
        <v>21</v>
      </c>
      <c r="F211" t="s">
        <v>41</v>
      </c>
      <c r="G211" t="s">
        <v>30</v>
      </c>
      <c r="H211">
        <v>13456</v>
      </c>
      <c r="I211" t="s">
        <v>24</v>
      </c>
      <c r="J211">
        <v>4.14</v>
      </c>
      <c r="K211">
        <v>55707.84</v>
      </c>
      <c r="L211" t="s">
        <v>637</v>
      </c>
      <c r="N211">
        <v>4.05</v>
      </c>
      <c r="O211" t="s">
        <v>27</v>
      </c>
      <c r="P211" t="s">
        <v>782</v>
      </c>
      <c r="Q211">
        <v>1</v>
      </c>
    </row>
    <row r="212" spans="1:19">
      <c r="A212">
        <v>211</v>
      </c>
      <c r="B212">
        <v>1</v>
      </c>
      <c r="C212">
        <v>20240119</v>
      </c>
      <c r="D212" t="s">
        <v>20</v>
      </c>
      <c r="E212" t="s">
        <v>21</v>
      </c>
      <c r="F212" t="s">
        <v>41</v>
      </c>
      <c r="G212" t="s">
        <v>30</v>
      </c>
      <c r="H212">
        <v>1719</v>
      </c>
      <c r="I212" t="s">
        <v>24</v>
      </c>
      <c r="J212">
        <v>4.14</v>
      </c>
      <c r="K212">
        <v>7116.66</v>
      </c>
      <c r="L212" t="s">
        <v>634</v>
      </c>
      <c r="N212">
        <v>4.05</v>
      </c>
      <c r="O212" t="s">
        <v>27</v>
      </c>
      <c r="P212" t="s">
        <v>784</v>
      </c>
      <c r="Q212">
        <v>1</v>
      </c>
    </row>
    <row r="213" spans="1:19">
      <c r="A213">
        <v>212</v>
      </c>
      <c r="B213">
        <v>1</v>
      </c>
      <c r="C213">
        <v>20240119</v>
      </c>
      <c r="D213" t="s">
        <v>20</v>
      </c>
      <c r="E213" t="s">
        <v>21</v>
      </c>
      <c r="F213" t="s">
        <v>41</v>
      </c>
      <c r="G213" t="s">
        <v>30</v>
      </c>
      <c r="H213">
        <v>1797</v>
      </c>
      <c r="I213" t="s">
        <v>24</v>
      </c>
      <c r="J213">
        <v>4.14</v>
      </c>
      <c r="K213">
        <v>7439.58</v>
      </c>
      <c r="L213" t="s">
        <v>637</v>
      </c>
      <c r="N213">
        <v>4.05</v>
      </c>
      <c r="O213" t="s">
        <v>27</v>
      </c>
      <c r="P213" t="s">
        <v>784</v>
      </c>
      <c r="Q213">
        <v>1</v>
      </c>
    </row>
    <row r="214" spans="1:19">
      <c r="A214">
        <v>213</v>
      </c>
      <c r="B214">
        <v>1</v>
      </c>
      <c r="C214">
        <v>20241019</v>
      </c>
      <c r="D214" t="s">
        <v>28</v>
      </c>
      <c r="E214" t="s">
        <v>21</v>
      </c>
      <c r="F214" t="s">
        <v>32</v>
      </c>
      <c r="G214" t="s">
        <v>56</v>
      </c>
      <c r="H214">
        <v>102009</v>
      </c>
      <c r="I214" t="s">
        <v>24</v>
      </c>
      <c r="J214">
        <v>4.53</v>
      </c>
      <c r="K214">
        <v>462100.77</v>
      </c>
      <c r="L214" t="s">
        <v>634</v>
      </c>
      <c r="N214">
        <v>4.44</v>
      </c>
      <c r="O214" t="s">
        <v>27</v>
      </c>
      <c r="P214" t="s">
        <v>791</v>
      </c>
      <c r="Q214">
        <v>37</v>
      </c>
    </row>
    <row r="215" spans="1:19">
      <c r="A215">
        <v>214</v>
      </c>
      <c r="B215">
        <v>1</v>
      </c>
      <c r="C215">
        <v>20240120</v>
      </c>
      <c r="D215" t="s">
        <v>20</v>
      </c>
      <c r="E215" t="s">
        <v>21</v>
      </c>
      <c r="F215" t="s">
        <v>41</v>
      </c>
      <c r="G215" t="s">
        <v>42</v>
      </c>
      <c r="H215">
        <v>204897</v>
      </c>
      <c r="I215" t="s">
        <v>24</v>
      </c>
      <c r="J215">
        <v>5.63</v>
      </c>
      <c r="K215">
        <v>1153570.11</v>
      </c>
      <c r="L215" t="s">
        <v>634</v>
      </c>
      <c r="N215">
        <v>5.516</v>
      </c>
      <c r="O215" t="s">
        <v>27</v>
      </c>
      <c r="P215" t="s">
        <v>792</v>
      </c>
      <c r="Q215">
        <v>16</v>
      </c>
    </row>
    <row r="216" spans="1:19">
      <c r="A216">
        <v>215</v>
      </c>
      <c r="B216">
        <v>1</v>
      </c>
      <c r="C216">
        <v>20240122</v>
      </c>
      <c r="D216" t="s">
        <v>20</v>
      </c>
      <c r="E216" t="s">
        <v>21</v>
      </c>
      <c r="F216" t="s">
        <v>32</v>
      </c>
      <c r="G216" t="s">
        <v>42</v>
      </c>
      <c r="H216">
        <v>739910</v>
      </c>
      <c r="I216" t="s">
        <v>24</v>
      </c>
      <c r="J216">
        <v>5.71</v>
      </c>
      <c r="K216">
        <v>4224886.1</v>
      </c>
      <c r="L216" t="s">
        <v>637</v>
      </c>
      <c r="M216" t="s">
        <v>793</v>
      </c>
      <c r="N216">
        <v>5.6017</v>
      </c>
      <c r="O216" t="s">
        <v>27</v>
      </c>
      <c r="P216" t="s">
        <v>794</v>
      </c>
      <c r="Q216">
        <v>103</v>
      </c>
      <c r="R216">
        <v>6.9333</v>
      </c>
      <c r="S216">
        <v>4.48</v>
      </c>
    </row>
    <row r="217" spans="1:19">
      <c r="A217">
        <v>216</v>
      </c>
      <c r="B217">
        <v>1</v>
      </c>
      <c r="C217">
        <v>20240122</v>
      </c>
      <c r="D217" t="s">
        <v>28</v>
      </c>
      <c r="E217" t="s">
        <v>21</v>
      </c>
      <c r="F217" t="s">
        <v>22</v>
      </c>
      <c r="G217" t="s">
        <v>37</v>
      </c>
      <c r="H217">
        <v>784344</v>
      </c>
      <c r="I217" t="s">
        <v>24</v>
      </c>
      <c r="J217">
        <v>5.19</v>
      </c>
      <c r="K217">
        <v>4070745.36</v>
      </c>
      <c r="L217" t="s">
        <v>637</v>
      </c>
      <c r="M217" t="s">
        <v>795</v>
      </c>
      <c r="N217">
        <v>5.0841</v>
      </c>
      <c r="O217" t="s">
        <v>27</v>
      </c>
      <c r="P217" t="s">
        <v>796</v>
      </c>
      <c r="Q217" t="s">
        <v>797</v>
      </c>
    </row>
    <row r="218" spans="1:19">
      <c r="A218">
        <v>217</v>
      </c>
      <c r="B218">
        <v>1</v>
      </c>
      <c r="C218">
        <v>20240122</v>
      </c>
      <c r="D218" t="s">
        <v>28</v>
      </c>
      <c r="E218" t="s">
        <v>21</v>
      </c>
      <c r="F218" t="s">
        <v>22</v>
      </c>
      <c r="G218" t="s">
        <v>37</v>
      </c>
      <c r="H218">
        <v>711</v>
      </c>
      <c r="I218" t="s">
        <v>24</v>
      </c>
      <c r="J218">
        <v>5.19</v>
      </c>
      <c r="K218">
        <v>3690.09</v>
      </c>
      <c r="L218" t="s">
        <v>654</v>
      </c>
      <c r="M218" t="s">
        <v>795</v>
      </c>
      <c r="N218">
        <v>5.0841</v>
      </c>
      <c r="O218" t="s">
        <v>27</v>
      </c>
      <c r="P218" t="s">
        <v>796</v>
      </c>
    </row>
    <row r="219" spans="1:19">
      <c r="A219">
        <v>218</v>
      </c>
      <c r="B219">
        <v>1</v>
      </c>
      <c r="C219">
        <v>20240122</v>
      </c>
      <c r="D219" t="s">
        <v>28</v>
      </c>
      <c r="E219" t="s">
        <v>21</v>
      </c>
      <c r="F219" t="s">
        <v>22</v>
      </c>
      <c r="G219" t="s">
        <v>30</v>
      </c>
      <c r="H219">
        <v>147951</v>
      </c>
      <c r="I219" t="s">
        <v>24</v>
      </c>
      <c r="J219">
        <v>5.19</v>
      </c>
      <c r="K219">
        <v>767865.69</v>
      </c>
      <c r="L219" t="s">
        <v>634</v>
      </c>
      <c r="M219" t="s">
        <v>795</v>
      </c>
      <c r="N219">
        <v>5.0841</v>
      </c>
      <c r="O219" t="s">
        <v>27</v>
      </c>
      <c r="P219" t="s">
        <v>798</v>
      </c>
    </row>
    <row r="220" spans="1:19">
      <c r="A220">
        <v>219</v>
      </c>
      <c r="B220">
        <v>1</v>
      </c>
      <c r="C220">
        <v>20240122</v>
      </c>
      <c r="D220" t="s">
        <v>28</v>
      </c>
      <c r="E220" t="s">
        <v>21</v>
      </c>
      <c r="F220" t="s">
        <v>22</v>
      </c>
      <c r="G220" t="s">
        <v>30</v>
      </c>
      <c r="H220">
        <v>1065228</v>
      </c>
      <c r="I220" t="s">
        <v>24</v>
      </c>
      <c r="J220">
        <v>5.19</v>
      </c>
      <c r="K220">
        <v>5528533.32</v>
      </c>
      <c r="L220" t="s">
        <v>637</v>
      </c>
      <c r="M220" t="s">
        <v>795</v>
      </c>
      <c r="N220">
        <v>5.0841</v>
      </c>
      <c r="O220" t="s">
        <v>27</v>
      </c>
      <c r="P220" t="s">
        <v>798</v>
      </c>
    </row>
    <row r="221" spans="1:19">
      <c r="A221">
        <v>220</v>
      </c>
      <c r="B221">
        <v>1</v>
      </c>
      <c r="C221">
        <v>20240122</v>
      </c>
      <c r="D221" t="s">
        <v>28</v>
      </c>
      <c r="E221" t="s">
        <v>21</v>
      </c>
      <c r="F221" t="s">
        <v>22</v>
      </c>
      <c r="G221" t="s">
        <v>30</v>
      </c>
      <c r="H221">
        <v>27573</v>
      </c>
      <c r="I221" t="s">
        <v>24</v>
      </c>
      <c r="J221">
        <v>5.19</v>
      </c>
      <c r="K221">
        <v>143103.87</v>
      </c>
      <c r="L221" t="s">
        <v>654</v>
      </c>
      <c r="M221" t="s">
        <v>795</v>
      </c>
      <c r="N221">
        <v>5.0841</v>
      </c>
      <c r="O221" t="s">
        <v>27</v>
      </c>
      <c r="P221" t="s">
        <v>798</v>
      </c>
    </row>
    <row r="222" spans="1:19">
      <c r="A222">
        <v>221</v>
      </c>
      <c r="B222">
        <v>1</v>
      </c>
      <c r="C222">
        <v>20240122</v>
      </c>
      <c r="D222" t="s">
        <v>20</v>
      </c>
      <c r="E222" t="s">
        <v>21</v>
      </c>
      <c r="F222" t="s">
        <v>59</v>
      </c>
      <c r="G222" t="s">
        <v>42</v>
      </c>
      <c r="H222">
        <v>597368</v>
      </c>
      <c r="I222" t="s">
        <v>24</v>
      </c>
      <c r="J222">
        <v>4.58</v>
      </c>
      <c r="K222">
        <v>2735945.44</v>
      </c>
      <c r="L222" t="s">
        <v>637</v>
      </c>
      <c r="M222" t="s">
        <v>799</v>
      </c>
      <c r="N222">
        <v>4.4888</v>
      </c>
      <c r="O222" t="s">
        <v>27</v>
      </c>
      <c r="P222" t="s">
        <v>800</v>
      </c>
      <c r="Q222">
        <v>32</v>
      </c>
      <c r="R222">
        <v>6.9333</v>
      </c>
      <c r="S222">
        <v>4.48</v>
      </c>
    </row>
    <row r="223" spans="1:19">
      <c r="A223">
        <v>222</v>
      </c>
      <c r="B223">
        <v>1</v>
      </c>
      <c r="C223">
        <v>20240122</v>
      </c>
      <c r="D223" t="s">
        <v>20</v>
      </c>
      <c r="E223" t="s">
        <v>21</v>
      </c>
      <c r="F223" t="s">
        <v>59</v>
      </c>
      <c r="G223" t="s">
        <v>23</v>
      </c>
      <c r="H223">
        <v>360</v>
      </c>
      <c r="I223" t="s">
        <v>24</v>
      </c>
      <c r="J223">
        <v>3.44</v>
      </c>
      <c r="K223">
        <v>1238.4</v>
      </c>
      <c r="L223" t="s">
        <v>637</v>
      </c>
      <c r="M223" t="s">
        <v>801</v>
      </c>
      <c r="N223">
        <v>3.1502</v>
      </c>
      <c r="O223" t="s">
        <v>27</v>
      </c>
      <c r="P223" t="s">
        <v>802</v>
      </c>
      <c r="Q223">
        <v>1</v>
      </c>
    </row>
    <row r="224" spans="1:19">
      <c r="A224">
        <v>223</v>
      </c>
      <c r="B224">
        <v>1</v>
      </c>
      <c r="C224">
        <v>20240122</v>
      </c>
      <c r="D224" t="s">
        <v>20</v>
      </c>
      <c r="E224" t="s">
        <v>21</v>
      </c>
      <c r="F224" t="s">
        <v>22</v>
      </c>
      <c r="G224" t="s">
        <v>42</v>
      </c>
      <c r="H224">
        <v>906891</v>
      </c>
      <c r="I224" t="s">
        <v>24</v>
      </c>
      <c r="J224">
        <v>5.63</v>
      </c>
      <c r="K224">
        <v>5105796.33</v>
      </c>
      <c r="L224" t="s">
        <v>634</v>
      </c>
      <c r="M224" t="s">
        <v>803</v>
      </c>
      <c r="N224">
        <v>5.516</v>
      </c>
      <c r="O224" t="s">
        <v>27</v>
      </c>
      <c r="P224" t="s">
        <v>804</v>
      </c>
      <c r="Q224">
        <v>32</v>
      </c>
      <c r="R224">
        <v>6.9333</v>
      </c>
      <c r="S224">
        <v>4.48</v>
      </c>
    </row>
    <row r="225" spans="1:19">
      <c r="A225">
        <v>224</v>
      </c>
      <c r="B225">
        <v>1</v>
      </c>
      <c r="C225">
        <v>20240122</v>
      </c>
      <c r="D225" t="s">
        <v>20</v>
      </c>
      <c r="E225" t="s">
        <v>21</v>
      </c>
      <c r="F225" t="s">
        <v>22</v>
      </c>
      <c r="G225" t="s">
        <v>42</v>
      </c>
      <c r="H225">
        <v>125104</v>
      </c>
      <c r="I225" t="s">
        <v>24</v>
      </c>
      <c r="J225">
        <v>4.58</v>
      </c>
      <c r="K225">
        <v>572976.32</v>
      </c>
      <c r="L225" t="s">
        <v>637</v>
      </c>
      <c r="M225" t="s">
        <v>803</v>
      </c>
      <c r="N225">
        <v>4.4875</v>
      </c>
      <c r="O225" t="s">
        <v>27</v>
      </c>
      <c r="P225" t="s">
        <v>805</v>
      </c>
      <c r="Q225">
        <v>5</v>
      </c>
      <c r="R225">
        <v>6.9333</v>
      </c>
      <c r="S225">
        <v>4.48</v>
      </c>
    </row>
    <row r="226" spans="1:19">
      <c r="A226">
        <v>225</v>
      </c>
      <c r="B226">
        <v>1</v>
      </c>
      <c r="C226">
        <v>20240122</v>
      </c>
      <c r="D226" t="s">
        <v>20</v>
      </c>
      <c r="E226" t="s">
        <v>21</v>
      </c>
      <c r="F226" t="s">
        <v>29</v>
      </c>
      <c r="G226" t="s">
        <v>42</v>
      </c>
      <c r="H226">
        <v>12465</v>
      </c>
      <c r="I226" t="s">
        <v>24</v>
      </c>
      <c r="J226">
        <v>4.48</v>
      </c>
      <c r="K226">
        <v>55843.2</v>
      </c>
      <c r="L226" t="s">
        <v>637</v>
      </c>
      <c r="M226" t="s">
        <v>806</v>
      </c>
      <c r="N226">
        <v>3.802</v>
      </c>
      <c r="O226" t="s">
        <v>27</v>
      </c>
      <c r="P226" t="s">
        <v>807</v>
      </c>
      <c r="Q226">
        <v>46</v>
      </c>
      <c r="R226">
        <v>6.9333</v>
      </c>
      <c r="S226">
        <v>4.48</v>
      </c>
    </row>
    <row r="227" spans="1:19">
      <c r="A227">
        <v>226</v>
      </c>
      <c r="B227">
        <v>1</v>
      </c>
      <c r="C227">
        <v>20240122</v>
      </c>
      <c r="D227" t="s">
        <v>20</v>
      </c>
      <c r="E227" t="s">
        <v>21</v>
      </c>
      <c r="F227" t="s">
        <v>29</v>
      </c>
      <c r="G227" t="s">
        <v>42</v>
      </c>
      <c r="H227">
        <v>498282</v>
      </c>
      <c r="I227" t="s">
        <v>24</v>
      </c>
      <c r="J227">
        <v>5.63</v>
      </c>
      <c r="K227">
        <v>2805327.66</v>
      </c>
      <c r="L227" t="s">
        <v>634</v>
      </c>
      <c r="M227" t="s">
        <v>806</v>
      </c>
      <c r="N227">
        <v>5.5245</v>
      </c>
      <c r="O227" t="s">
        <v>27</v>
      </c>
      <c r="P227" t="s">
        <v>808</v>
      </c>
      <c r="R227">
        <v>6.9333</v>
      </c>
      <c r="S227">
        <v>4.48</v>
      </c>
    </row>
    <row r="228" spans="1:19">
      <c r="A228">
        <v>226</v>
      </c>
      <c r="B228">
        <v>1</v>
      </c>
      <c r="C228">
        <v>20240123</v>
      </c>
      <c r="D228" t="s">
        <v>28</v>
      </c>
      <c r="E228" t="s">
        <v>21</v>
      </c>
      <c r="F228" t="s">
        <v>29</v>
      </c>
      <c r="G228" t="s">
        <v>30</v>
      </c>
      <c r="H228">
        <v>146221</v>
      </c>
      <c r="I228" t="s">
        <v>24</v>
      </c>
      <c r="J228">
        <v>4.14</v>
      </c>
      <c r="K228">
        <v>605354.94</v>
      </c>
      <c r="L228" t="s">
        <v>637</v>
      </c>
      <c r="M228" t="s">
        <v>809</v>
      </c>
      <c r="N228">
        <v>3.49367</v>
      </c>
      <c r="O228" t="s">
        <v>27</v>
      </c>
      <c r="P228" t="s">
        <v>810</v>
      </c>
      <c r="Q228">
        <v>60</v>
      </c>
      <c r="S228">
        <v>4.14</v>
      </c>
    </row>
    <row r="229" spans="1:19">
      <c r="A229">
        <v>226</v>
      </c>
      <c r="B229">
        <v>1</v>
      </c>
      <c r="C229">
        <v>20240123</v>
      </c>
      <c r="D229" t="s">
        <v>28</v>
      </c>
      <c r="E229" t="s">
        <v>21</v>
      </c>
      <c r="F229" t="s">
        <v>29</v>
      </c>
      <c r="G229" t="s">
        <v>37</v>
      </c>
      <c r="H229">
        <v>3532</v>
      </c>
      <c r="I229" t="s">
        <v>24</v>
      </c>
      <c r="J229">
        <v>4.14</v>
      </c>
      <c r="K229">
        <v>14622.48</v>
      </c>
      <c r="L229" t="s">
        <v>637</v>
      </c>
      <c r="M229" t="s">
        <v>811</v>
      </c>
      <c r="N229">
        <v>3.2378</v>
      </c>
      <c r="O229" t="s">
        <v>27</v>
      </c>
      <c r="P229" t="s">
        <v>812</v>
      </c>
      <c r="Q229">
        <v>17</v>
      </c>
      <c r="S229">
        <v>4.14</v>
      </c>
    </row>
    <row r="230" spans="1:19">
      <c r="A230">
        <v>226</v>
      </c>
      <c r="B230">
        <v>1</v>
      </c>
      <c r="C230">
        <v>20240123</v>
      </c>
      <c r="D230" t="s">
        <v>28</v>
      </c>
      <c r="E230" t="s">
        <v>21</v>
      </c>
      <c r="F230" t="s">
        <v>29</v>
      </c>
      <c r="G230" t="s">
        <v>37</v>
      </c>
      <c r="H230">
        <v>31</v>
      </c>
      <c r="I230" t="s">
        <v>24</v>
      </c>
      <c r="J230">
        <v>4.66</v>
      </c>
      <c r="K230">
        <v>144.46</v>
      </c>
      <c r="L230" t="s">
        <v>637</v>
      </c>
      <c r="M230" t="s">
        <v>811</v>
      </c>
      <c r="N230">
        <v>4.571</v>
      </c>
      <c r="O230" t="s">
        <v>27</v>
      </c>
      <c r="P230" t="s">
        <v>813</v>
      </c>
      <c r="S230">
        <v>4.14</v>
      </c>
    </row>
    <row r="231" spans="1:19">
      <c r="A231">
        <v>226</v>
      </c>
      <c r="B231">
        <v>1</v>
      </c>
      <c r="C231">
        <v>20240123</v>
      </c>
      <c r="D231" t="s">
        <v>20</v>
      </c>
      <c r="E231" t="s">
        <v>21</v>
      </c>
      <c r="F231" t="s">
        <v>29</v>
      </c>
      <c r="G231" t="s">
        <v>30</v>
      </c>
      <c r="H231">
        <v>208052</v>
      </c>
      <c r="I231" t="s">
        <v>24</v>
      </c>
      <c r="J231">
        <v>4.14</v>
      </c>
      <c r="K231">
        <v>861335.28</v>
      </c>
      <c r="L231" t="s">
        <v>634</v>
      </c>
      <c r="M231" t="s">
        <v>814</v>
      </c>
      <c r="N231">
        <v>4.02462</v>
      </c>
      <c r="O231" t="s">
        <v>27</v>
      </c>
      <c r="P231" t="s">
        <v>815</v>
      </c>
      <c r="Q231">
        <v>58</v>
      </c>
      <c r="R231">
        <v>4.9338</v>
      </c>
      <c r="S231">
        <v>4.14</v>
      </c>
    </row>
    <row r="232" spans="1:19">
      <c r="A232">
        <v>227</v>
      </c>
      <c r="B232">
        <v>1</v>
      </c>
      <c r="C232">
        <v>20240124</v>
      </c>
      <c r="D232" t="s">
        <v>28</v>
      </c>
      <c r="E232" t="s">
        <v>21</v>
      </c>
      <c r="F232" t="s">
        <v>32</v>
      </c>
      <c r="G232" t="s">
        <v>816</v>
      </c>
      <c r="H232">
        <v>590045</v>
      </c>
      <c r="I232" t="s">
        <v>24</v>
      </c>
      <c r="J232">
        <v>3.53</v>
      </c>
      <c r="K232">
        <v>2082858.85</v>
      </c>
      <c r="L232" t="s">
        <v>634</v>
      </c>
      <c r="M232" t="s">
        <v>817</v>
      </c>
      <c r="N232">
        <v>3.2265</v>
      </c>
      <c r="O232" t="s">
        <v>27</v>
      </c>
      <c r="P232" t="s">
        <v>818</v>
      </c>
      <c r="Q232">
        <v>259</v>
      </c>
    </row>
    <row r="233" spans="1:19">
      <c r="A233">
        <v>228</v>
      </c>
      <c r="B233">
        <v>1</v>
      </c>
      <c r="C233">
        <v>20240124</v>
      </c>
      <c r="D233" t="s">
        <v>20</v>
      </c>
      <c r="E233" t="s">
        <v>21</v>
      </c>
      <c r="F233" t="s">
        <v>32</v>
      </c>
      <c r="G233" t="s">
        <v>30</v>
      </c>
      <c r="H233">
        <v>130550</v>
      </c>
      <c r="I233" t="s">
        <v>24</v>
      </c>
      <c r="J233">
        <v>4.14</v>
      </c>
      <c r="K233">
        <v>540477</v>
      </c>
      <c r="L233" t="s">
        <v>634</v>
      </c>
      <c r="M233" t="s">
        <v>819</v>
      </c>
      <c r="N233">
        <v>4.015</v>
      </c>
      <c r="O233" t="s">
        <v>27</v>
      </c>
      <c r="P233" t="s">
        <v>820</v>
      </c>
      <c r="Q233">
        <v>18</v>
      </c>
      <c r="R233">
        <v>4.9338</v>
      </c>
    </row>
    <row r="234" spans="1:19">
      <c r="A234">
        <v>229</v>
      </c>
      <c r="B234">
        <v>1</v>
      </c>
      <c r="C234">
        <v>20240124</v>
      </c>
      <c r="D234" t="s">
        <v>20</v>
      </c>
      <c r="E234" t="s">
        <v>21</v>
      </c>
      <c r="F234" t="s">
        <v>32</v>
      </c>
      <c r="G234" t="s">
        <v>30</v>
      </c>
      <c r="H234">
        <v>90862</v>
      </c>
      <c r="I234" t="s">
        <v>24</v>
      </c>
      <c r="J234">
        <v>4.14</v>
      </c>
      <c r="K234">
        <v>376168.68</v>
      </c>
      <c r="L234" t="s">
        <v>637</v>
      </c>
      <c r="M234" t="s">
        <v>819</v>
      </c>
      <c r="N234">
        <v>4.015</v>
      </c>
      <c r="O234" t="s">
        <v>27</v>
      </c>
      <c r="P234" t="s">
        <v>820</v>
      </c>
      <c r="Q234">
        <v>10</v>
      </c>
      <c r="R234">
        <v>4.9338</v>
      </c>
    </row>
    <row r="235" spans="1:19">
      <c r="A235">
        <v>230</v>
      </c>
      <c r="B235">
        <v>1</v>
      </c>
      <c r="C235">
        <v>20240124</v>
      </c>
      <c r="D235" t="s">
        <v>20</v>
      </c>
      <c r="E235" t="s">
        <v>21</v>
      </c>
      <c r="F235" t="s">
        <v>32</v>
      </c>
      <c r="G235" t="s">
        <v>42</v>
      </c>
      <c r="H235">
        <v>737940</v>
      </c>
      <c r="I235" t="s">
        <v>24</v>
      </c>
      <c r="J235">
        <v>5.71</v>
      </c>
      <c r="K235">
        <v>4213637.4</v>
      </c>
      <c r="L235" t="s">
        <v>637</v>
      </c>
      <c r="M235" t="s">
        <v>819</v>
      </c>
      <c r="N235">
        <v>5.6017</v>
      </c>
      <c r="O235" t="s">
        <v>27</v>
      </c>
      <c r="P235" t="s">
        <v>821</v>
      </c>
      <c r="Q235">
        <v>92</v>
      </c>
      <c r="R235">
        <v>6.9333</v>
      </c>
    </row>
    <row r="236" spans="1:19">
      <c r="A236">
        <v>231</v>
      </c>
      <c r="B236">
        <v>1</v>
      </c>
      <c r="C236">
        <v>20240124</v>
      </c>
      <c r="D236" t="s">
        <v>20</v>
      </c>
      <c r="E236" t="s">
        <v>21</v>
      </c>
      <c r="F236" t="s">
        <v>32</v>
      </c>
      <c r="G236" t="s">
        <v>816</v>
      </c>
      <c r="H236">
        <v>229547</v>
      </c>
      <c r="I236" t="s">
        <v>24</v>
      </c>
      <c r="J236">
        <v>3.53</v>
      </c>
      <c r="K236">
        <v>810300.91</v>
      </c>
      <c r="L236" t="s">
        <v>634</v>
      </c>
      <c r="M236" t="s">
        <v>819</v>
      </c>
      <c r="N236">
        <v>3.2265</v>
      </c>
      <c r="O236" t="s">
        <v>27</v>
      </c>
      <c r="P236" t="s">
        <v>822</v>
      </c>
      <c r="Q236">
        <v>113</v>
      </c>
    </row>
    <row r="237" spans="1:19">
      <c r="A237">
        <v>232</v>
      </c>
      <c r="B237">
        <v>1</v>
      </c>
      <c r="C237">
        <v>20240124</v>
      </c>
      <c r="D237" t="s">
        <v>28</v>
      </c>
      <c r="E237" t="s">
        <v>21</v>
      </c>
      <c r="F237" t="s">
        <v>39</v>
      </c>
      <c r="G237" t="s">
        <v>40</v>
      </c>
      <c r="H237">
        <v>9</v>
      </c>
      <c r="I237" t="s">
        <v>24</v>
      </c>
      <c r="J237">
        <v>2106.81</v>
      </c>
      <c r="K237">
        <v>18961.29</v>
      </c>
      <c r="L237" t="s">
        <v>637</v>
      </c>
      <c r="M237" t="s">
        <v>823</v>
      </c>
      <c r="N237">
        <v>1448.621</v>
      </c>
      <c r="O237" t="s">
        <v>27</v>
      </c>
      <c r="P237" t="s">
        <v>824</v>
      </c>
      <c r="Q237">
        <v>1</v>
      </c>
    </row>
    <row r="238" spans="1:19">
      <c r="A238">
        <v>233</v>
      </c>
      <c r="B238">
        <v>1</v>
      </c>
      <c r="C238">
        <v>20240124</v>
      </c>
      <c r="D238" t="s">
        <v>20</v>
      </c>
      <c r="E238" t="s">
        <v>21</v>
      </c>
      <c r="F238" t="s">
        <v>22</v>
      </c>
      <c r="G238" t="s">
        <v>30</v>
      </c>
      <c r="H238">
        <v>1233414</v>
      </c>
      <c r="I238" t="s">
        <v>24</v>
      </c>
      <c r="J238">
        <v>4.4</v>
      </c>
      <c r="K238">
        <v>5427021.6</v>
      </c>
      <c r="L238" t="s">
        <v>634</v>
      </c>
      <c r="M238" t="s">
        <v>825</v>
      </c>
      <c r="N238">
        <v>4.3118</v>
      </c>
      <c r="O238" t="s">
        <v>27</v>
      </c>
      <c r="P238" t="s">
        <v>826</v>
      </c>
      <c r="Q238">
        <v>54</v>
      </c>
      <c r="R238">
        <v>4.9338</v>
      </c>
      <c r="S238">
        <v>4.14</v>
      </c>
    </row>
    <row r="239" spans="1:19">
      <c r="A239">
        <v>234</v>
      </c>
      <c r="B239">
        <v>1</v>
      </c>
      <c r="C239">
        <v>20240124</v>
      </c>
      <c r="D239" t="s">
        <v>20</v>
      </c>
      <c r="E239" t="s">
        <v>21</v>
      </c>
      <c r="F239" t="s">
        <v>22</v>
      </c>
      <c r="G239" t="s">
        <v>42</v>
      </c>
      <c r="H239">
        <v>509802</v>
      </c>
      <c r="I239" t="s">
        <v>24</v>
      </c>
      <c r="J239">
        <v>5.63</v>
      </c>
      <c r="K239">
        <v>2870185.26</v>
      </c>
      <c r="L239" t="s">
        <v>634</v>
      </c>
      <c r="M239" t="s">
        <v>825</v>
      </c>
      <c r="N239">
        <v>5.516</v>
      </c>
      <c r="O239" t="s">
        <v>27</v>
      </c>
      <c r="P239" t="s">
        <v>827</v>
      </c>
      <c r="Q239">
        <v>21</v>
      </c>
      <c r="R239">
        <v>6.9333</v>
      </c>
      <c r="S239">
        <v>4.48</v>
      </c>
    </row>
    <row r="240" spans="1:19">
      <c r="A240">
        <v>235</v>
      </c>
      <c r="B240">
        <v>1</v>
      </c>
      <c r="C240">
        <v>20240124</v>
      </c>
      <c r="D240" t="s">
        <v>20</v>
      </c>
      <c r="E240" t="s">
        <v>21</v>
      </c>
      <c r="F240" t="s">
        <v>22</v>
      </c>
      <c r="G240" t="s">
        <v>42</v>
      </c>
      <c r="H240">
        <v>585651</v>
      </c>
      <c r="I240" t="s">
        <v>24</v>
      </c>
      <c r="J240">
        <v>5.63</v>
      </c>
      <c r="K240">
        <v>3297215.13</v>
      </c>
      <c r="L240" t="s">
        <v>634</v>
      </c>
      <c r="M240" t="s">
        <v>825</v>
      </c>
      <c r="N240">
        <v>5.516</v>
      </c>
      <c r="O240" t="s">
        <v>27</v>
      </c>
      <c r="P240" t="s">
        <v>827</v>
      </c>
      <c r="Q240">
        <v>20</v>
      </c>
      <c r="R240">
        <v>6.9333</v>
      </c>
      <c r="S240">
        <v>4.48</v>
      </c>
    </row>
    <row r="241" spans="1:19">
      <c r="A241">
        <v>236</v>
      </c>
      <c r="B241">
        <v>1</v>
      </c>
      <c r="C241">
        <v>20240124</v>
      </c>
      <c r="D241" t="s">
        <v>20</v>
      </c>
      <c r="E241" t="s">
        <v>21</v>
      </c>
      <c r="F241" t="s">
        <v>22</v>
      </c>
      <c r="G241" t="s">
        <v>30</v>
      </c>
      <c r="H241">
        <v>86357</v>
      </c>
      <c r="I241" t="s">
        <v>24</v>
      </c>
      <c r="J241">
        <v>4.14</v>
      </c>
      <c r="K241">
        <v>357517.98</v>
      </c>
      <c r="L241" t="s">
        <v>637</v>
      </c>
      <c r="M241" t="s">
        <v>825</v>
      </c>
      <c r="N241">
        <v>3.5538</v>
      </c>
      <c r="O241" t="s">
        <v>27</v>
      </c>
      <c r="P241" t="s">
        <v>828</v>
      </c>
      <c r="Q241">
        <v>10</v>
      </c>
      <c r="R241">
        <v>4.9338</v>
      </c>
      <c r="S241">
        <v>4.14</v>
      </c>
    </row>
    <row r="242" spans="1:19">
      <c r="A242">
        <v>237</v>
      </c>
      <c r="B242">
        <v>1</v>
      </c>
      <c r="C242">
        <v>20240124</v>
      </c>
      <c r="D242" t="s">
        <v>20</v>
      </c>
      <c r="E242" t="s">
        <v>21</v>
      </c>
      <c r="F242" t="s">
        <v>22</v>
      </c>
      <c r="G242" t="s">
        <v>42</v>
      </c>
      <c r="H242">
        <v>238281</v>
      </c>
      <c r="I242" t="s">
        <v>24</v>
      </c>
      <c r="J242">
        <v>4.58</v>
      </c>
      <c r="K242">
        <v>1091326.98</v>
      </c>
      <c r="L242" t="s">
        <v>637</v>
      </c>
      <c r="M242" t="s">
        <v>825</v>
      </c>
      <c r="N242">
        <v>4.4875</v>
      </c>
      <c r="O242" t="s">
        <v>27</v>
      </c>
      <c r="P242" t="s">
        <v>829</v>
      </c>
      <c r="Q242">
        <v>9</v>
      </c>
      <c r="R242">
        <v>6.9333</v>
      </c>
      <c r="S242">
        <v>4.48</v>
      </c>
    </row>
    <row r="243" spans="1:19">
      <c r="A243">
        <v>238</v>
      </c>
      <c r="B243">
        <v>1</v>
      </c>
      <c r="C243">
        <v>20240124</v>
      </c>
      <c r="D243" t="s">
        <v>28</v>
      </c>
      <c r="E243" t="s">
        <v>21</v>
      </c>
      <c r="F243" t="s">
        <v>29</v>
      </c>
      <c r="G243" t="s">
        <v>37</v>
      </c>
      <c r="H243">
        <v>15525</v>
      </c>
      <c r="I243" t="s">
        <v>24</v>
      </c>
      <c r="J243">
        <v>4.14</v>
      </c>
      <c r="K243">
        <v>64273.5</v>
      </c>
      <c r="L243" t="s">
        <v>634</v>
      </c>
      <c r="M243" t="s">
        <v>830</v>
      </c>
      <c r="N243">
        <v>4.02856</v>
      </c>
      <c r="O243" t="s">
        <v>27</v>
      </c>
      <c r="P243" t="s">
        <v>831</v>
      </c>
      <c r="Q243">
        <v>37</v>
      </c>
    </row>
    <row r="244" spans="1:19">
      <c r="A244">
        <v>239</v>
      </c>
      <c r="B244">
        <v>1</v>
      </c>
      <c r="C244">
        <v>20240124</v>
      </c>
      <c r="D244" t="s">
        <v>28</v>
      </c>
      <c r="E244" t="s">
        <v>21</v>
      </c>
      <c r="F244" t="s">
        <v>29</v>
      </c>
      <c r="G244" t="s">
        <v>30</v>
      </c>
      <c r="H244">
        <v>22647</v>
      </c>
      <c r="I244" t="s">
        <v>24</v>
      </c>
      <c r="J244">
        <v>4.14</v>
      </c>
      <c r="K244">
        <v>93758.58</v>
      </c>
      <c r="L244" t="s">
        <v>637</v>
      </c>
      <c r="M244" t="s">
        <v>832</v>
      </c>
      <c r="N244">
        <v>3.67</v>
      </c>
      <c r="O244" t="s">
        <v>27</v>
      </c>
      <c r="P244" t="s">
        <v>833</v>
      </c>
      <c r="Q244">
        <v>154</v>
      </c>
    </row>
    <row r="245" spans="1:19">
      <c r="A245">
        <v>240</v>
      </c>
      <c r="B245">
        <v>1</v>
      </c>
      <c r="C245">
        <v>20240124</v>
      </c>
      <c r="D245" t="s">
        <v>28</v>
      </c>
      <c r="E245" t="s">
        <v>21</v>
      </c>
      <c r="F245" t="s">
        <v>29</v>
      </c>
      <c r="G245" t="s">
        <v>30</v>
      </c>
      <c r="H245">
        <v>53521</v>
      </c>
      <c r="I245" t="s">
        <v>24</v>
      </c>
      <c r="J245">
        <v>5.02</v>
      </c>
      <c r="K245">
        <v>268675.42</v>
      </c>
      <c r="L245" t="s">
        <v>637</v>
      </c>
      <c r="M245" t="s">
        <v>832</v>
      </c>
      <c r="N245">
        <v>4.917</v>
      </c>
      <c r="O245" t="s">
        <v>27</v>
      </c>
      <c r="P245" t="s">
        <v>834</v>
      </c>
    </row>
    <row r="246" spans="1:19">
      <c r="A246">
        <v>241</v>
      </c>
      <c r="B246">
        <v>1</v>
      </c>
      <c r="C246">
        <v>20240124</v>
      </c>
      <c r="D246" t="s">
        <v>28</v>
      </c>
      <c r="E246" t="s">
        <v>21</v>
      </c>
      <c r="F246" t="s">
        <v>29</v>
      </c>
      <c r="G246" t="s">
        <v>30</v>
      </c>
      <c r="H246">
        <v>476685</v>
      </c>
      <c r="I246" t="s">
        <v>24</v>
      </c>
      <c r="J246">
        <v>4.14</v>
      </c>
      <c r="K246">
        <v>1973475.9</v>
      </c>
      <c r="L246" t="s">
        <v>634</v>
      </c>
      <c r="M246" t="s">
        <v>832</v>
      </c>
      <c r="N246">
        <v>4.0268</v>
      </c>
      <c r="O246" t="s">
        <v>27</v>
      </c>
      <c r="P246" t="s">
        <v>833</v>
      </c>
    </row>
    <row r="247" spans="1:19">
      <c r="A247">
        <v>242</v>
      </c>
      <c r="B247">
        <v>1</v>
      </c>
      <c r="C247">
        <v>20240124</v>
      </c>
      <c r="D247" t="s">
        <v>28</v>
      </c>
      <c r="E247" t="s">
        <v>21</v>
      </c>
      <c r="F247" t="s">
        <v>29</v>
      </c>
      <c r="G247" t="s">
        <v>30</v>
      </c>
      <c r="H247">
        <v>3997</v>
      </c>
      <c r="I247" t="s">
        <v>24</v>
      </c>
      <c r="J247">
        <v>4.89</v>
      </c>
      <c r="K247">
        <v>19545.33</v>
      </c>
      <c r="L247" t="s">
        <v>654</v>
      </c>
      <c r="M247" t="s">
        <v>832</v>
      </c>
      <c r="N247">
        <v>4.7962</v>
      </c>
      <c r="O247" t="s">
        <v>27</v>
      </c>
      <c r="P247" t="s">
        <v>835</v>
      </c>
    </row>
    <row r="248" spans="1:19">
      <c r="A248">
        <v>243</v>
      </c>
      <c r="B248">
        <v>1</v>
      </c>
      <c r="C248">
        <v>20240125</v>
      </c>
      <c r="D248" t="s">
        <v>20</v>
      </c>
      <c r="E248" t="s">
        <v>21</v>
      </c>
      <c r="F248" t="s">
        <v>22</v>
      </c>
      <c r="G248" t="s">
        <v>74</v>
      </c>
      <c r="H248">
        <v>59904</v>
      </c>
      <c r="I248" t="s">
        <v>24</v>
      </c>
      <c r="J248">
        <v>5.61</v>
      </c>
      <c r="K248">
        <v>336061.44</v>
      </c>
      <c r="L248" t="s">
        <v>634</v>
      </c>
      <c r="M248" t="s">
        <v>836</v>
      </c>
      <c r="N248">
        <v>5.5</v>
      </c>
      <c r="O248" t="s">
        <v>27</v>
      </c>
      <c r="P248" t="s">
        <v>837</v>
      </c>
      <c r="Q248">
        <v>4</v>
      </c>
      <c r="S248">
        <v>4.48</v>
      </c>
    </row>
    <row r="249" spans="1:19">
      <c r="A249">
        <v>244</v>
      </c>
      <c r="B249">
        <v>1</v>
      </c>
      <c r="C249">
        <v>20240125</v>
      </c>
      <c r="D249" t="s">
        <v>28</v>
      </c>
      <c r="E249" t="s">
        <v>21</v>
      </c>
      <c r="F249" t="s">
        <v>29</v>
      </c>
      <c r="G249" t="s">
        <v>30</v>
      </c>
      <c r="H249">
        <v>545345</v>
      </c>
      <c r="I249" t="s">
        <v>24</v>
      </c>
      <c r="J249">
        <v>4.14</v>
      </c>
      <c r="K249">
        <v>2257728.3</v>
      </c>
      <c r="L249" t="s">
        <v>634</v>
      </c>
      <c r="M249" t="s">
        <v>838</v>
      </c>
      <c r="N249">
        <v>4.02789</v>
      </c>
      <c r="O249" t="s">
        <v>27</v>
      </c>
      <c r="P249" t="s">
        <v>839</v>
      </c>
      <c r="Q249">
        <v>122</v>
      </c>
    </row>
    <row r="250" spans="1:19">
      <c r="A250">
        <v>245</v>
      </c>
      <c r="B250">
        <v>1</v>
      </c>
      <c r="C250">
        <v>20240125</v>
      </c>
      <c r="D250" t="s">
        <v>20</v>
      </c>
      <c r="E250" t="s">
        <v>21</v>
      </c>
      <c r="F250" t="s">
        <v>32</v>
      </c>
      <c r="G250" t="s">
        <v>30</v>
      </c>
      <c r="H250">
        <v>233011</v>
      </c>
      <c r="I250" t="s">
        <v>24</v>
      </c>
      <c r="J250">
        <v>4.14</v>
      </c>
      <c r="K250">
        <v>964665.54</v>
      </c>
      <c r="L250" t="s">
        <v>634</v>
      </c>
      <c r="M250" t="s">
        <v>840</v>
      </c>
      <c r="N250">
        <v>4.015</v>
      </c>
      <c r="O250" t="s">
        <v>27</v>
      </c>
      <c r="P250" t="s">
        <v>841</v>
      </c>
      <c r="Q250">
        <v>33</v>
      </c>
      <c r="R250">
        <v>4.9338</v>
      </c>
    </row>
    <row r="251" spans="1:19">
      <c r="A251">
        <v>246</v>
      </c>
      <c r="B251">
        <v>1</v>
      </c>
      <c r="C251">
        <v>20240125</v>
      </c>
      <c r="D251" t="s">
        <v>20</v>
      </c>
      <c r="E251" t="s">
        <v>21</v>
      </c>
      <c r="F251" t="s">
        <v>32</v>
      </c>
      <c r="G251" t="s">
        <v>30</v>
      </c>
      <c r="H251">
        <v>69656</v>
      </c>
      <c r="I251" t="s">
        <v>24</v>
      </c>
      <c r="J251">
        <v>4.14</v>
      </c>
      <c r="K251">
        <v>288375.84</v>
      </c>
      <c r="L251" t="s">
        <v>637</v>
      </c>
      <c r="M251" t="s">
        <v>840</v>
      </c>
      <c r="N251">
        <v>4.015</v>
      </c>
      <c r="O251" t="s">
        <v>27</v>
      </c>
      <c r="P251" t="s">
        <v>841</v>
      </c>
      <c r="Q251">
        <v>15</v>
      </c>
    </row>
    <row r="252" spans="1:19">
      <c r="A252">
        <v>246</v>
      </c>
      <c r="B252">
        <v>1</v>
      </c>
      <c r="C252">
        <v>20240126</v>
      </c>
      <c r="D252" t="s">
        <v>20</v>
      </c>
      <c r="E252" t="s">
        <v>21</v>
      </c>
      <c r="F252" t="s">
        <v>41</v>
      </c>
      <c r="G252" t="s">
        <v>30</v>
      </c>
      <c r="H252">
        <v>2040</v>
      </c>
      <c r="I252" t="s">
        <v>24</v>
      </c>
      <c r="J252">
        <v>4.14</v>
      </c>
      <c r="K252">
        <v>8445.6</v>
      </c>
      <c r="L252" t="s">
        <v>637</v>
      </c>
      <c r="M252" t="s">
        <v>842</v>
      </c>
      <c r="N252">
        <v>4.05</v>
      </c>
      <c r="O252" t="s">
        <v>27</v>
      </c>
      <c r="P252" t="s">
        <v>843</v>
      </c>
      <c r="Q252">
        <v>1</v>
      </c>
    </row>
    <row r="253" spans="1:19">
      <c r="A253">
        <v>246</v>
      </c>
      <c r="B253">
        <v>1</v>
      </c>
      <c r="C253">
        <v>20240126</v>
      </c>
      <c r="D253" t="s">
        <v>20</v>
      </c>
      <c r="E253" t="s">
        <v>21</v>
      </c>
      <c r="F253" t="s">
        <v>41</v>
      </c>
      <c r="G253" t="s">
        <v>30</v>
      </c>
      <c r="H253">
        <v>40800</v>
      </c>
      <c r="I253" t="s">
        <v>24</v>
      </c>
      <c r="J253">
        <v>4.14</v>
      </c>
      <c r="K253">
        <v>168912</v>
      </c>
      <c r="L253" t="s">
        <v>634</v>
      </c>
      <c r="M253" t="s">
        <v>842</v>
      </c>
      <c r="N253">
        <v>4.05</v>
      </c>
      <c r="O253" t="s">
        <v>27</v>
      </c>
      <c r="P253" t="s">
        <v>843</v>
      </c>
      <c r="Q253">
        <v>4</v>
      </c>
    </row>
    <row r="254" spans="1:19">
      <c r="A254">
        <v>246</v>
      </c>
      <c r="B254">
        <v>1</v>
      </c>
      <c r="C254">
        <v>20240126</v>
      </c>
      <c r="D254" t="s">
        <v>20</v>
      </c>
      <c r="E254" t="s">
        <v>21</v>
      </c>
      <c r="F254" t="s">
        <v>41</v>
      </c>
      <c r="G254" t="s">
        <v>30</v>
      </c>
      <c r="H254">
        <v>49608</v>
      </c>
      <c r="I254" t="s">
        <v>24</v>
      </c>
      <c r="J254">
        <v>4.14</v>
      </c>
      <c r="K254">
        <v>205377.12</v>
      </c>
      <c r="L254" t="s">
        <v>637</v>
      </c>
      <c r="M254" t="s">
        <v>842</v>
      </c>
      <c r="N254">
        <v>4.05</v>
      </c>
      <c r="O254" t="s">
        <v>27</v>
      </c>
      <c r="P254" t="s">
        <v>843</v>
      </c>
      <c r="Q254">
        <v>13</v>
      </c>
    </row>
    <row r="255" spans="1:19">
      <c r="A255">
        <v>246</v>
      </c>
      <c r="B255">
        <v>1</v>
      </c>
      <c r="C255">
        <v>20240126</v>
      </c>
      <c r="D255" t="s">
        <v>28</v>
      </c>
      <c r="E255" t="s">
        <v>21</v>
      </c>
      <c r="F255" t="s">
        <v>41</v>
      </c>
      <c r="G255" t="s">
        <v>37</v>
      </c>
      <c r="H255">
        <v>58281</v>
      </c>
      <c r="I255" t="s">
        <v>24</v>
      </c>
      <c r="J255">
        <v>4.14</v>
      </c>
      <c r="K255">
        <v>241283.34</v>
      </c>
      <c r="L255" t="s">
        <v>634</v>
      </c>
      <c r="M255" t="s">
        <v>844</v>
      </c>
      <c r="N255">
        <v>4.05</v>
      </c>
      <c r="O255" t="s">
        <v>27</v>
      </c>
      <c r="P255" t="s">
        <v>845</v>
      </c>
      <c r="Q255">
        <v>8</v>
      </c>
    </row>
    <row r="256" spans="1:19">
      <c r="A256">
        <v>246</v>
      </c>
      <c r="B256">
        <v>1</v>
      </c>
      <c r="C256">
        <v>20240126</v>
      </c>
      <c r="D256" t="s">
        <v>28</v>
      </c>
      <c r="E256" t="s">
        <v>21</v>
      </c>
      <c r="F256" t="s">
        <v>41</v>
      </c>
      <c r="G256" t="s">
        <v>30</v>
      </c>
      <c r="H256">
        <v>18340</v>
      </c>
      <c r="I256" t="s">
        <v>24</v>
      </c>
      <c r="J256">
        <v>4.14</v>
      </c>
      <c r="K256">
        <v>75927.6</v>
      </c>
      <c r="L256" t="s">
        <v>634</v>
      </c>
      <c r="M256" t="s">
        <v>844</v>
      </c>
      <c r="N256">
        <v>4.05</v>
      </c>
      <c r="O256" t="s">
        <v>27</v>
      </c>
      <c r="P256" t="s">
        <v>846</v>
      </c>
      <c r="Q256">
        <v>3</v>
      </c>
    </row>
    <row r="257" spans="1:17">
      <c r="A257">
        <v>246</v>
      </c>
      <c r="B257">
        <v>1</v>
      </c>
      <c r="C257">
        <v>20240126</v>
      </c>
      <c r="D257" t="s">
        <v>28</v>
      </c>
      <c r="E257" t="s">
        <v>21</v>
      </c>
      <c r="F257" t="s">
        <v>41</v>
      </c>
      <c r="G257" t="s">
        <v>30</v>
      </c>
      <c r="H257">
        <v>69542</v>
      </c>
      <c r="I257" t="s">
        <v>24</v>
      </c>
      <c r="J257">
        <v>4.14</v>
      </c>
      <c r="K257">
        <v>287903.88</v>
      </c>
      <c r="L257" t="s">
        <v>637</v>
      </c>
      <c r="M257" t="s">
        <v>844</v>
      </c>
      <c r="N257">
        <v>4.05</v>
      </c>
      <c r="O257" t="s">
        <v>27</v>
      </c>
      <c r="P257" t="s">
        <v>846</v>
      </c>
      <c r="Q257">
        <v>9</v>
      </c>
    </row>
    <row r="258" spans="1:17">
      <c r="A258">
        <v>246</v>
      </c>
      <c r="B258">
        <v>1</v>
      </c>
      <c r="C258">
        <v>20240126</v>
      </c>
      <c r="D258" t="s">
        <v>28</v>
      </c>
      <c r="E258" t="s">
        <v>21</v>
      </c>
      <c r="F258" t="s">
        <v>41</v>
      </c>
      <c r="G258" t="s">
        <v>37</v>
      </c>
      <c r="H258">
        <v>292416</v>
      </c>
      <c r="I258" t="s">
        <v>24</v>
      </c>
      <c r="J258">
        <v>4.14</v>
      </c>
      <c r="K258">
        <v>1210602.24</v>
      </c>
      <c r="L258" t="s">
        <v>634</v>
      </c>
      <c r="M258" t="s">
        <v>844</v>
      </c>
      <c r="N258">
        <v>4.05</v>
      </c>
      <c r="O258" t="s">
        <v>27</v>
      </c>
      <c r="P258" t="s">
        <v>845</v>
      </c>
      <c r="Q258">
        <v>31</v>
      </c>
    </row>
    <row r="259" spans="1:17">
      <c r="A259">
        <v>246</v>
      </c>
      <c r="B259">
        <v>1</v>
      </c>
      <c r="C259">
        <v>20240126</v>
      </c>
      <c r="D259" t="s">
        <v>28</v>
      </c>
      <c r="E259" t="s">
        <v>21</v>
      </c>
      <c r="F259" t="s">
        <v>41</v>
      </c>
      <c r="G259" t="s">
        <v>30</v>
      </c>
      <c r="H259">
        <v>95667</v>
      </c>
      <c r="I259" t="s">
        <v>24</v>
      </c>
      <c r="J259">
        <v>4.14</v>
      </c>
      <c r="K259">
        <v>396061.38</v>
      </c>
      <c r="L259" t="s">
        <v>634</v>
      </c>
      <c r="M259" t="s">
        <v>844</v>
      </c>
      <c r="N259">
        <v>4.05</v>
      </c>
      <c r="O259" t="s">
        <v>27</v>
      </c>
      <c r="P259" t="s">
        <v>846</v>
      </c>
      <c r="Q259">
        <v>13</v>
      </c>
    </row>
    <row r="260" spans="1:17">
      <c r="A260">
        <v>246</v>
      </c>
      <c r="B260">
        <v>1</v>
      </c>
      <c r="C260">
        <v>20240126</v>
      </c>
      <c r="D260" t="s">
        <v>28</v>
      </c>
      <c r="E260" t="s">
        <v>21</v>
      </c>
      <c r="F260" t="s">
        <v>41</v>
      </c>
      <c r="G260" t="s">
        <v>30</v>
      </c>
      <c r="H260">
        <v>22234</v>
      </c>
      <c r="I260" t="s">
        <v>24</v>
      </c>
      <c r="J260">
        <v>4.14</v>
      </c>
      <c r="K260">
        <v>92048.76</v>
      </c>
      <c r="L260" t="s">
        <v>637</v>
      </c>
      <c r="M260" t="s">
        <v>844</v>
      </c>
      <c r="N260">
        <v>4.05</v>
      </c>
      <c r="O260" t="s">
        <v>27</v>
      </c>
      <c r="P260" t="s">
        <v>846</v>
      </c>
      <c r="Q260">
        <v>2</v>
      </c>
    </row>
    <row r="261" spans="1:17">
      <c r="A261">
        <v>246</v>
      </c>
      <c r="B261">
        <v>1</v>
      </c>
      <c r="C261">
        <v>20240126</v>
      </c>
      <c r="D261" t="s">
        <v>28</v>
      </c>
      <c r="E261" t="s">
        <v>21</v>
      </c>
      <c r="F261" t="s">
        <v>41</v>
      </c>
      <c r="G261" t="s">
        <v>37</v>
      </c>
      <c r="H261">
        <v>1306</v>
      </c>
      <c r="I261" t="s">
        <v>24</v>
      </c>
      <c r="J261">
        <v>4.14</v>
      </c>
      <c r="K261">
        <v>5406.84</v>
      </c>
      <c r="L261" t="s">
        <v>637</v>
      </c>
      <c r="M261" t="s">
        <v>844</v>
      </c>
      <c r="N261">
        <v>4.05</v>
      </c>
      <c r="O261" t="s">
        <v>27</v>
      </c>
      <c r="P261" t="s">
        <v>845</v>
      </c>
      <c r="Q261">
        <v>1</v>
      </c>
    </row>
    <row r="262" spans="1:17">
      <c r="A262">
        <v>246</v>
      </c>
      <c r="B262">
        <v>1</v>
      </c>
      <c r="C262">
        <v>20240126</v>
      </c>
      <c r="D262" t="s">
        <v>28</v>
      </c>
      <c r="E262" t="s">
        <v>21</v>
      </c>
      <c r="F262" t="s">
        <v>41</v>
      </c>
      <c r="G262" t="s">
        <v>30</v>
      </c>
      <c r="H262">
        <v>543433</v>
      </c>
      <c r="I262" t="s">
        <v>24</v>
      </c>
      <c r="J262">
        <v>4.14</v>
      </c>
      <c r="K262">
        <v>2249812.62</v>
      </c>
      <c r="L262" t="s">
        <v>637</v>
      </c>
      <c r="M262" t="s">
        <v>844</v>
      </c>
      <c r="N262">
        <v>4.05</v>
      </c>
      <c r="O262" t="s">
        <v>27</v>
      </c>
      <c r="P262" t="s">
        <v>846</v>
      </c>
      <c r="Q262">
        <v>92</v>
      </c>
    </row>
    <row r="263" spans="1:17">
      <c r="A263">
        <v>246</v>
      </c>
      <c r="B263">
        <v>1</v>
      </c>
      <c r="C263">
        <v>20240126</v>
      </c>
      <c r="D263" t="s">
        <v>28</v>
      </c>
      <c r="E263" t="s">
        <v>21</v>
      </c>
      <c r="F263" t="s">
        <v>41</v>
      </c>
      <c r="G263" t="s">
        <v>37</v>
      </c>
      <c r="H263">
        <v>14010</v>
      </c>
      <c r="I263" t="s">
        <v>24</v>
      </c>
      <c r="J263">
        <v>4.14</v>
      </c>
      <c r="K263">
        <v>58001.4</v>
      </c>
      <c r="L263" t="s">
        <v>637</v>
      </c>
      <c r="M263" t="s">
        <v>844</v>
      </c>
      <c r="N263">
        <v>4.05</v>
      </c>
      <c r="O263" t="s">
        <v>27</v>
      </c>
      <c r="P263" t="s">
        <v>845</v>
      </c>
      <c r="Q263">
        <v>3</v>
      </c>
    </row>
    <row r="264" spans="1:17">
      <c r="A264">
        <v>247</v>
      </c>
      <c r="B264">
        <v>1</v>
      </c>
      <c r="C264">
        <v>20240128</v>
      </c>
      <c r="D264" t="s">
        <v>20</v>
      </c>
      <c r="E264" t="s">
        <v>21</v>
      </c>
      <c r="F264" t="s">
        <v>22</v>
      </c>
      <c r="G264" t="s">
        <v>23</v>
      </c>
      <c r="H264">
        <v>8258</v>
      </c>
      <c r="I264" t="s">
        <v>24</v>
      </c>
      <c r="J264">
        <v>3.44</v>
      </c>
      <c r="K264">
        <v>28407.52</v>
      </c>
      <c r="L264" t="s">
        <v>637</v>
      </c>
      <c r="N264">
        <v>3.1683</v>
      </c>
      <c r="O264" t="s">
        <v>43</v>
      </c>
      <c r="P264" t="s">
        <v>847</v>
      </c>
      <c r="Q264">
        <v>6</v>
      </c>
    </row>
    <row r="265" spans="1:17">
      <c r="A265">
        <v>248</v>
      </c>
      <c r="B265">
        <v>1</v>
      </c>
      <c r="C265">
        <v>20240129</v>
      </c>
      <c r="D265" t="s">
        <v>20</v>
      </c>
      <c r="E265" t="s">
        <v>21</v>
      </c>
      <c r="F265" t="s">
        <v>22</v>
      </c>
      <c r="G265" t="s">
        <v>23</v>
      </c>
      <c r="H265">
        <v>17080</v>
      </c>
      <c r="I265" t="s">
        <v>24</v>
      </c>
      <c r="J265">
        <v>3.44</v>
      </c>
      <c r="K265">
        <v>58755.2</v>
      </c>
      <c r="L265" t="s">
        <v>637</v>
      </c>
      <c r="N265">
        <v>3.1853</v>
      </c>
      <c r="O265" t="s">
        <v>43</v>
      </c>
      <c r="P265" t="s">
        <v>848</v>
      </c>
      <c r="Q265">
        <v>6</v>
      </c>
    </row>
    <row r="266" spans="1:17">
      <c r="A266">
        <v>249</v>
      </c>
      <c r="B266">
        <v>1</v>
      </c>
      <c r="C266">
        <v>20240129</v>
      </c>
      <c r="D266" t="s">
        <v>20</v>
      </c>
      <c r="E266" t="s">
        <v>21</v>
      </c>
      <c r="F266" t="s">
        <v>32</v>
      </c>
      <c r="G266" t="s">
        <v>30</v>
      </c>
      <c r="H266">
        <v>906901</v>
      </c>
      <c r="I266" t="s">
        <v>24</v>
      </c>
      <c r="J266">
        <v>4.14</v>
      </c>
      <c r="K266">
        <v>3754570.14</v>
      </c>
      <c r="L266" t="s">
        <v>634</v>
      </c>
      <c r="N266">
        <v>4.015</v>
      </c>
      <c r="O266" t="s">
        <v>43</v>
      </c>
      <c r="P266" t="s">
        <v>849</v>
      </c>
      <c r="Q266">
        <v>92</v>
      </c>
    </row>
    <row r="267" spans="1:17">
      <c r="A267">
        <v>250</v>
      </c>
      <c r="B267">
        <v>1</v>
      </c>
      <c r="C267">
        <v>20240129</v>
      </c>
      <c r="D267" t="s">
        <v>20</v>
      </c>
      <c r="E267" t="s">
        <v>21</v>
      </c>
      <c r="F267" t="s">
        <v>32</v>
      </c>
      <c r="G267" t="s">
        <v>30</v>
      </c>
      <c r="H267">
        <v>14410</v>
      </c>
      <c r="I267" t="s">
        <v>24</v>
      </c>
      <c r="J267">
        <v>4.14</v>
      </c>
      <c r="K267">
        <v>59657.4</v>
      </c>
      <c r="L267" t="s">
        <v>637</v>
      </c>
      <c r="N267">
        <v>4.015</v>
      </c>
      <c r="O267" t="s">
        <v>43</v>
      </c>
      <c r="P267" t="s">
        <v>849</v>
      </c>
      <c r="Q267">
        <v>1</v>
      </c>
    </row>
    <row r="268" spans="1:17">
      <c r="A268">
        <v>251</v>
      </c>
      <c r="B268">
        <v>1</v>
      </c>
      <c r="C268">
        <v>20240129</v>
      </c>
      <c r="D268" t="s">
        <v>28</v>
      </c>
      <c r="E268" t="s">
        <v>21</v>
      </c>
      <c r="F268" t="s">
        <v>32</v>
      </c>
      <c r="G268" t="s">
        <v>37</v>
      </c>
      <c r="H268">
        <v>5</v>
      </c>
      <c r="I268" t="s">
        <v>24</v>
      </c>
      <c r="J268">
        <v>4.14</v>
      </c>
      <c r="K268">
        <v>20.7</v>
      </c>
      <c r="L268" t="s">
        <v>634</v>
      </c>
      <c r="N268">
        <v>4.015</v>
      </c>
      <c r="O268" t="s">
        <v>43</v>
      </c>
      <c r="P268" t="s">
        <v>850</v>
      </c>
      <c r="Q268">
        <v>1</v>
      </c>
    </row>
    <row r="269" spans="1:17">
      <c r="A269">
        <v>252</v>
      </c>
      <c r="B269">
        <v>1</v>
      </c>
      <c r="C269">
        <v>20240129</v>
      </c>
      <c r="D269" t="s">
        <v>28</v>
      </c>
      <c r="E269" t="s">
        <v>21</v>
      </c>
      <c r="F269" t="s">
        <v>32</v>
      </c>
      <c r="G269" t="s">
        <v>37</v>
      </c>
      <c r="H269">
        <v>6</v>
      </c>
      <c r="I269" t="s">
        <v>24</v>
      </c>
      <c r="J269">
        <v>4.14</v>
      </c>
      <c r="K269">
        <v>24.84</v>
      </c>
      <c r="L269" t="s">
        <v>654</v>
      </c>
      <c r="N269">
        <v>4.015</v>
      </c>
      <c r="O269" t="s">
        <v>43</v>
      </c>
      <c r="P269" t="s">
        <v>850</v>
      </c>
      <c r="Q269">
        <v>1</v>
      </c>
    </row>
    <row r="270" spans="1:17">
      <c r="A270">
        <v>253</v>
      </c>
      <c r="B270">
        <v>1</v>
      </c>
      <c r="C270">
        <v>20240129</v>
      </c>
      <c r="D270" t="s">
        <v>28</v>
      </c>
      <c r="E270" t="s">
        <v>21</v>
      </c>
      <c r="F270" t="s">
        <v>32</v>
      </c>
      <c r="G270" t="s">
        <v>30</v>
      </c>
      <c r="H270">
        <v>33</v>
      </c>
      <c r="I270" t="s">
        <v>24</v>
      </c>
      <c r="J270">
        <v>4.14</v>
      </c>
      <c r="K270">
        <v>136.62</v>
      </c>
      <c r="L270" t="s">
        <v>654</v>
      </c>
      <c r="N270">
        <v>4.015</v>
      </c>
      <c r="O270" t="s">
        <v>43</v>
      </c>
      <c r="P270" t="s">
        <v>851</v>
      </c>
      <c r="Q270">
        <v>2</v>
      </c>
    </row>
    <row r="271" spans="1:17">
      <c r="A271">
        <v>254</v>
      </c>
      <c r="B271">
        <v>1</v>
      </c>
      <c r="C271">
        <v>20240129</v>
      </c>
      <c r="D271" t="s">
        <v>28</v>
      </c>
      <c r="E271" t="s">
        <v>21</v>
      </c>
      <c r="F271" t="s">
        <v>32</v>
      </c>
      <c r="G271" t="s">
        <v>37</v>
      </c>
      <c r="H271">
        <v>311</v>
      </c>
      <c r="I271" t="s">
        <v>24</v>
      </c>
      <c r="J271">
        <v>4.14</v>
      </c>
      <c r="K271">
        <v>1287.54</v>
      </c>
      <c r="L271" t="s">
        <v>637</v>
      </c>
      <c r="N271">
        <v>4.015</v>
      </c>
      <c r="O271" t="s">
        <v>43</v>
      </c>
      <c r="P271" t="s">
        <v>850</v>
      </c>
      <c r="Q271">
        <v>4</v>
      </c>
    </row>
    <row r="272" spans="1:17">
      <c r="A272">
        <v>255</v>
      </c>
      <c r="B272">
        <v>1</v>
      </c>
      <c r="C272">
        <v>20240129</v>
      </c>
      <c r="D272" t="s">
        <v>28</v>
      </c>
      <c r="E272" t="s">
        <v>21</v>
      </c>
      <c r="F272" t="s">
        <v>32</v>
      </c>
      <c r="G272" t="s">
        <v>30</v>
      </c>
      <c r="H272">
        <v>162</v>
      </c>
      <c r="I272" t="s">
        <v>24</v>
      </c>
      <c r="J272">
        <v>4.14</v>
      </c>
      <c r="K272">
        <v>670.68</v>
      </c>
      <c r="L272" t="s">
        <v>637</v>
      </c>
      <c r="N272">
        <v>4.015</v>
      </c>
      <c r="O272" t="s">
        <v>43</v>
      </c>
      <c r="P272" t="s">
        <v>851</v>
      </c>
      <c r="Q272">
        <v>2</v>
      </c>
    </row>
    <row r="273" spans="1:17">
      <c r="A273">
        <v>255</v>
      </c>
      <c r="B273">
        <v>1</v>
      </c>
      <c r="C273">
        <v>20240129</v>
      </c>
      <c r="D273" t="s">
        <v>28</v>
      </c>
      <c r="E273" t="s">
        <v>21</v>
      </c>
      <c r="F273" t="s">
        <v>29</v>
      </c>
      <c r="G273" t="s">
        <v>37</v>
      </c>
      <c r="H273">
        <v>73605</v>
      </c>
      <c r="I273" t="s">
        <v>24</v>
      </c>
      <c r="J273">
        <v>4.14</v>
      </c>
      <c r="K273">
        <v>304724.7</v>
      </c>
      <c r="L273" t="s">
        <v>634</v>
      </c>
      <c r="N273">
        <v>4.02998</v>
      </c>
      <c r="O273" t="s">
        <v>43</v>
      </c>
      <c r="P273" t="s">
        <v>852</v>
      </c>
      <c r="Q273">
        <v>6</v>
      </c>
    </row>
    <row r="274" spans="1:17">
      <c r="A274">
        <v>255</v>
      </c>
      <c r="B274">
        <v>1</v>
      </c>
      <c r="C274">
        <v>20240129</v>
      </c>
      <c r="D274" t="s">
        <v>28</v>
      </c>
      <c r="E274" t="s">
        <v>21</v>
      </c>
      <c r="F274" t="s">
        <v>41</v>
      </c>
      <c r="G274" t="s">
        <v>30</v>
      </c>
      <c r="H274">
        <v>2959</v>
      </c>
      <c r="I274" t="s">
        <v>24</v>
      </c>
      <c r="J274">
        <v>4.14</v>
      </c>
      <c r="K274">
        <v>12250.26</v>
      </c>
      <c r="L274" t="s">
        <v>637</v>
      </c>
      <c r="N274">
        <v>4.05</v>
      </c>
      <c r="O274" t="s">
        <v>43</v>
      </c>
      <c r="P274" t="s">
        <v>853</v>
      </c>
      <c r="Q274">
        <v>1</v>
      </c>
    </row>
    <row r="275" spans="1:17">
      <c r="A275">
        <v>255</v>
      </c>
      <c r="B275">
        <v>1</v>
      </c>
      <c r="C275">
        <v>20240129</v>
      </c>
      <c r="D275" t="s">
        <v>28</v>
      </c>
      <c r="E275" t="s">
        <v>21</v>
      </c>
      <c r="F275" t="s">
        <v>41</v>
      </c>
      <c r="G275" t="s">
        <v>30</v>
      </c>
      <c r="H275">
        <v>1052</v>
      </c>
      <c r="I275" t="s">
        <v>24</v>
      </c>
      <c r="J275">
        <v>4.14</v>
      </c>
      <c r="K275">
        <v>4355.28</v>
      </c>
      <c r="L275" t="s">
        <v>634</v>
      </c>
      <c r="N275">
        <v>4.05</v>
      </c>
      <c r="O275" t="s">
        <v>43</v>
      </c>
      <c r="P275" t="s">
        <v>853</v>
      </c>
      <c r="Q275">
        <v>1</v>
      </c>
    </row>
    <row r="276" spans="1:17">
      <c r="A276">
        <v>255</v>
      </c>
      <c r="B276">
        <v>1</v>
      </c>
      <c r="C276">
        <v>20240129</v>
      </c>
      <c r="D276" t="s">
        <v>28</v>
      </c>
      <c r="E276" t="s">
        <v>21</v>
      </c>
      <c r="F276" t="s">
        <v>41</v>
      </c>
      <c r="G276" t="s">
        <v>37</v>
      </c>
      <c r="H276">
        <v>2211</v>
      </c>
      <c r="I276" t="s">
        <v>24</v>
      </c>
      <c r="J276">
        <v>4.14</v>
      </c>
      <c r="K276">
        <v>9153.54</v>
      </c>
      <c r="L276" t="s">
        <v>634</v>
      </c>
      <c r="N276">
        <v>4.05</v>
      </c>
      <c r="O276" t="s">
        <v>43</v>
      </c>
      <c r="P276" t="s">
        <v>854</v>
      </c>
      <c r="Q276">
        <v>2</v>
      </c>
    </row>
    <row r="277" spans="1:17">
      <c r="A277">
        <v>255</v>
      </c>
      <c r="B277">
        <v>1</v>
      </c>
      <c r="C277">
        <v>20240129</v>
      </c>
      <c r="D277" t="s">
        <v>28</v>
      </c>
      <c r="E277" t="s">
        <v>21</v>
      </c>
      <c r="F277" t="s">
        <v>41</v>
      </c>
      <c r="G277" t="s">
        <v>30</v>
      </c>
      <c r="H277">
        <v>6966</v>
      </c>
      <c r="I277" t="s">
        <v>24</v>
      </c>
      <c r="J277">
        <v>4.14</v>
      </c>
      <c r="K277">
        <v>28839.24</v>
      </c>
      <c r="L277" t="s">
        <v>637</v>
      </c>
      <c r="N277">
        <v>4.05</v>
      </c>
      <c r="O277" t="s">
        <v>43</v>
      </c>
      <c r="P277" t="s">
        <v>853</v>
      </c>
      <c r="Q277">
        <v>3</v>
      </c>
    </row>
    <row r="278" spans="1:17">
      <c r="A278">
        <v>256</v>
      </c>
      <c r="B278">
        <v>1</v>
      </c>
      <c r="C278">
        <v>20240130</v>
      </c>
      <c r="D278" t="s">
        <v>28</v>
      </c>
      <c r="E278" t="s">
        <v>21</v>
      </c>
      <c r="F278" t="s">
        <v>32</v>
      </c>
      <c r="G278" t="s">
        <v>30</v>
      </c>
      <c r="H278">
        <v>468467</v>
      </c>
      <c r="I278" t="s">
        <v>24</v>
      </c>
      <c r="J278">
        <v>4.14</v>
      </c>
      <c r="K278">
        <v>1939453.38</v>
      </c>
      <c r="L278" t="s">
        <v>634</v>
      </c>
      <c r="N278">
        <v>4.015</v>
      </c>
      <c r="O278" t="s">
        <v>43</v>
      </c>
      <c r="P278" t="s">
        <v>855</v>
      </c>
      <c r="Q278">
        <v>40</v>
      </c>
    </row>
    <row r="279" spans="1:17">
      <c r="A279">
        <v>257</v>
      </c>
      <c r="B279">
        <v>1</v>
      </c>
      <c r="C279">
        <v>20240130</v>
      </c>
      <c r="D279" t="s">
        <v>28</v>
      </c>
      <c r="E279" t="s">
        <v>21</v>
      </c>
      <c r="F279" t="s">
        <v>32</v>
      </c>
      <c r="G279" t="s">
        <v>37</v>
      </c>
      <c r="H279">
        <v>7834</v>
      </c>
      <c r="I279" t="s">
        <v>24</v>
      </c>
      <c r="J279">
        <v>4.14</v>
      </c>
      <c r="K279">
        <v>32432.76</v>
      </c>
      <c r="L279" t="s">
        <v>654</v>
      </c>
      <c r="N279">
        <v>4.015</v>
      </c>
      <c r="O279" t="s">
        <v>43</v>
      </c>
      <c r="P279" t="s">
        <v>856</v>
      </c>
      <c r="Q279">
        <v>3</v>
      </c>
    </row>
    <row r="280" spans="1:17">
      <c r="A280">
        <v>258</v>
      </c>
      <c r="B280">
        <v>1</v>
      </c>
      <c r="C280">
        <v>20240130</v>
      </c>
      <c r="D280" t="s">
        <v>28</v>
      </c>
      <c r="E280" t="s">
        <v>21</v>
      </c>
      <c r="F280" t="s">
        <v>32</v>
      </c>
      <c r="G280" t="s">
        <v>30</v>
      </c>
      <c r="H280">
        <v>5789</v>
      </c>
      <c r="I280" t="s">
        <v>24</v>
      </c>
      <c r="J280">
        <v>4.14</v>
      </c>
      <c r="K280">
        <v>23966.46</v>
      </c>
      <c r="L280" t="s">
        <v>654</v>
      </c>
      <c r="N280">
        <v>4.015</v>
      </c>
      <c r="O280" t="s">
        <v>43</v>
      </c>
      <c r="P280" t="s">
        <v>855</v>
      </c>
      <c r="Q280">
        <v>4</v>
      </c>
    </row>
    <row r="281" spans="1:17">
      <c r="A281">
        <v>259</v>
      </c>
      <c r="B281">
        <v>1</v>
      </c>
      <c r="C281">
        <v>20240130</v>
      </c>
      <c r="D281" t="s">
        <v>28</v>
      </c>
      <c r="E281" t="s">
        <v>21</v>
      </c>
      <c r="F281" t="s">
        <v>32</v>
      </c>
      <c r="G281" t="s">
        <v>37</v>
      </c>
      <c r="H281">
        <v>6852</v>
      </c>
      <c r="I281" t="s">
        <v>24</v>
      </c>
      <c r="J281">
        <v>4.14</v>
      </c>
      <c r="K281">
        <v>28367.28</v>
      </c>
      <c r="L281" t="s">
        <v>637</v>
      </c>
      <c r="N281">
        <v>4.015</v>
      </c>
      <c r="O281" t="s">
        <v>43</v>
      </c>
      <c r="P281" t="s">
        <v>856</v>
      </c>
      <c r="Q281">
        <v>3</v>
      </c>
    </row>
    <row r="282" spans="1:17">
      <c r="A282">
        <v>260</v>
      </c>
      <c r="B282">
        <v>1</v>
      </c>
      <c r="C282">
        <v>20240130</v>
      </c>
      <c r="D282" t="s">
        <v>28</v>
      </c>
      <c r="E282" t="s">
        <v>21</v>
      </c>
      <c r="F282" t="s">
        <v>32</v>
      </c>
      <c r="G282" t="s">
        <v>30</v>
      </c>
      <c r="H282">
        <v>744458</v>
      </c>
      <c r="I282" t="s">
        <v>24</v>
      </c>
      <c r="J282">
        <v>4.14</v>
      </c>
      <c r="K282">
        <v>3082056.12</v>
      </c>
      <c r="L282" t="s">
        <v>637</v>
      </c>
      <c r="N282">
        <v>4.015</v>
      </c>
      <c r="O282" t="s">
        <v>43</v>
      </c>
      <c r="P282" t="s">
        <v>855</v>
      </c>
      <c r="Q282">
        <v>93</v>
      </c>
    </row>
    <row r="283" spans="1:17">
      <c r="A283">
        <v>261</v>
      </c>
      <c r="B283">
        <v>1</v>
      </c>
      <c r="C283">
        <v>20240130</v>
      </c>
      <c r="D283" t="s">
        <v>28</v>
      </c>
      <c r="E283" t="s">
        <v>21</v>
      </c>
      <c r="F283" t="s">
        <v>32</v>
      </c>
      <c r="G283" t="s">
        <v>30</v>
      </c>
      <c r="H283">
        <v>1622</v>
      </c>
      <c r="I283" t="s">
        <v>24</v>
      </c>
      <c r="J283">
        <v>4.14</v>
      </c>
      <c r="K283">
        <v>6715.08</v>
      </c>
      <c r="L283" t="s">
        <v>637</v>
      </c>
      <c r="N283">
        <v>4.021</v>
      </c>
      <c r="O283" t="s">
        <v>43</v>
      </c>
      <c r="P283" t="s">
        <v>855</v>
      </c>
    </row>
    <row r="284" spans="1:17">
      <c r="A284">
        <v>262</v>
      </c>
      <c r="B284">
        <v>1</v>
      </c>
      <c r="C284">
        <v>20240131</v>
      </c>
      <c r="D284" t="s">
        <v>20</v>
      </c>
      <c r="E284" t="s">
        <v>21</v>
      </c>
      <c r="F284" t="s">
        <v>32</v>
      </c>
      <c r="G284" t="s">
        <v>30</v>
      </c>
      <c r="H284">
        <v>345775</v>
      </c>
      <c r="I284" t="s">
        <v>24</v>
      </c>
      <c r="J284">
        <v>4.14</v>
      </c>
      <c r="K284">
        <v>1431508.5</v>
      </c>
      <c r="L284" t="s">
        <v>634</v>
      </c>
      <c r="N284">
        <v>4.015</v>
      </c>
      <c r="O284" t="s">
        <v>43</v>
      </c>
      <c r="Q284">
        <v>45</v>
      </c>
    </row>
    <row r="285" spans="1:17">
      <c r="A285">
        <v>263</v>
      </c>
      <c r="B285">
        <v>1</v>
      </c>
      <c r="C285">
        <v>20240131</v>
      </c>
      <c r="D285" t="s">
        <v>20</v>
      </c>
      <c r="E285" t="s">
        <v>21</v>
      </c>
      <c r="F285" t="s">
        <v>32</v>
      </c>
      <c r="G285" t="s">
        <v>30</v>
      </c>
      <c r="H285">
        <v>57260</v>
      </c>
      <c r="I285" t="s">
        <v>24</v>
      </c>
      <c r="J285">
        <v>4.14</v>
      </c>
      <c r="K285">
        <v>237056.4</v>
      </c>
      <c r="L285" t="s">
        <v>637</v>
      </c>
      <c r="N285">
        <v>4.015</v>
      </c>
      <c r="O285" t="s">
        <v>43</v>
      </c>
      <c r="Q285">
        <v>8</v>
      </c>
    </row>
    <row r="286" spans="1:17">
      <c r="A286">
        <v>264</v>
      </c>
      <c r="B286">
        <v>1</v>
      </c>
      <c r="C286">
        <v>20240131</v>
      </c>
      <c r="D286" t="s">
        <v>28</v>
      </c>
      <c r="E286" t="s">
        <v>21</v>
      </c>
      <c r="F286" t="s">
        <v>32</v>
      </c>
      <c r="G286" t="s">
        <v>37</v>
      </c>
      <c r="H286">
        <v>8459</v>
      </c>
      <c r="I286" t="s">
        <v>24</v>
      </c>
      <c r="J286">
        <v>4.14</v>
      </c>
      <c r="K286">
        <v>35020.26</v>
      </c>
      <c r="L286" t="s">
        <v>634</v>
      </c>
      <c r="N286">
        <v>4.015</v>
      </c>
      <c r="O286" t="s">
        <v>43</v>
      </c>
      <c r="Q286">
        <v>8</v>
      </c>
    </row>
    <row r="287" spans="1:17">
      <c r="A287">
        <v>265</v>
      </c>
      <c r="B287">
        <v>1</v>
      </c>
      <c r="C287">
        <v>20240131</v>
      </c>
      <c r="D287" t="s">
        <v>28</v>
      </c>
      <c r="E287" t="s">
        <v>21</v>
      </c>
      <c r="F287" t="s">
        <v>32</v>
      </c>
      <c r="G287" t="s">
        <v>30</v>
      </c>
      <c r="H287">
        <v>526987</v>
      </c>
      <c r="I287" t="s">
        <v>24</v>
      </c>
      <c r="J287">
        <v>4.14</v>
      </c>
      <c r="K287">
        <v>2181726.18</v>
      </c>
      <c r="L287" t="s">
        <v>634</v>
      </c>
      <c r="N287">
        <v>4.015</v>
      </c>
      <c r="O287" t="s">
        <v>43</v>
      </c>
      <c r="Q287">
        <v>58</v>
      </c>
    </row>
    <row r="288" spans="1:17">
      <c r="A288">
        <v>266</v>
      </c>
      <c r="B288">
        <v>1</v>
      </c>
      <c r="C288">
        <v>20240131</v>
      </c>
      <c r="D288" t="s">
        <v>28</v>
      </c>
      <c r="E288" t="s">
        <v>21</v>
      </c>
      <c r="F288" t="s">
        <v>32</v>
      </c>
      <c r="G288" t="s">
        <v>37</v>
      </c>
      <c r="H288">
        <v>69674</v>
      </c>
      <c r="I288" t="s">
        <v>24</v>
      </c>
      <c r="J288">
        <v>4.14</v>
      </c>
      <c r="K288">
        <v>288450.36</v>
      </c>
      <c r="L288" t="s">
        <v>654</v>
      </c>
      <c r="N288">
        <v>4.015</v>
      </c>
      <c r="O288" t="s">
        <v>43</v>
      </c>
      <c r="Q288">
        <v>8</v>
      </c>
    </row>
    <row r="289" spans="1:19">
      <c r="A289">
        <v>267</v>
      </c>
      <c r="B289">
        <v>1</v>
      </c>
      <c r="C289">
        <v>20240131</v>
      </c>
      <c r="D289" t="s">
        <v>28</v>
      </c>
      <c r="E289" t="s">
        <v>21</v>
      </c>
      <c r="F289" t="s">
        <v>32</v>
      </c>
      <c r="G289" t="s">
        <v>30</v>
      </c>
      <c r="H289">
        <v>3907</v>
      </c>
      <c r="I289" t="s">
        <v>24</v>
      </c>
      <c r="J289">
        <v>4.14</v>
      </c>
      <c r="K289">
        <v>16174.98</v>
      </c>
      <c r="L289" t="s">
        <v>654</v>
      </c>
      <c r="N289">
        <v>4.015</v>
      </c>
      <c r="O289" t="s">
        <v>43</v>
      </c>
      <c r="Q289">
        <v>2</v>
      </c>
    </row>
    <row r="290" spans="1:19">
      <c r="A290">
        <v>268</v>
      </c>
      <c r="B290">
        <v>1</v>
      </c>
      <c r="C290">
        <v>20240131</v>
      </c>
      <c r="D290" t="s">
        <v>28</v>
      </c>
      <c r="E290" t="s">
        <v>21</v>
      </c>
      <c r="F290" t="s">
        <v>32</v>
      </c>
      <c r="G290" t="s">
        <v>37</v>
      </c>
      <c r="H290">
        <v>252756</v>
      </c>
      <c r="I290" t="s">
        <v>24</v>
      </c>
      <c r="J290">
        <v>4.14</v>
      </c>
      <c r="K290">
        <v>1046409.84</v>
      </c>
      <c r="L290" t="s">
        <v>637</v>
      </c>
      <c r="N290">
        <v>4.015</v>
      </c>
      <c r="O290" t="s">
        <v>43</v>
      </c>
      <c r="Q290">
        <v>21</v>
      </c>
    </row>
    <row r="291" spans="1:19">
      <c r="A291">
        <v>269</v>
      </c>
      <c r="B291">
        <v>1</v>
      </c>
      <c r="C291">
        <v>20240131</v>
      </c>
      <c r="D291" t="s">
        <v>28</v>
      </c>
      <c r="E291" t="s">
        <v>21</v>
      </c>
      <c r="F291" t="s">
        <v>32</v>
      </c>
      <c r="G291" t="s">
        <v>30</v>
      </c>
      <c r="H291">
        <v>205607</v>
      </c>
      <c r="I291" t="s">
        <v>24</v>
      </c>
      <c r="J291">
        <v>4.14</v>
      </c>
      <c r="K291">
        <v>851212.98</v>
      </c>
      <c r="L291" t="s">
        <v>637</v>
      </c>
      <c r="N291">
        <v>4.015</v>
      </c>
      <c r="O291" t="s">
        <v>43</v>
      </c>
      <c r="Q291">
        <v>25</v>
      </c>
    </row>
    <row r="292" spans="1:19">
      <c r="A292">
        <v>270</v>
      </c>
      <c r="B292">
        <v>1</v>
      </c>
      <c r="C292">
        <v>20240131</v>
      </c>
      <c r="D292" t="s">
        <v>20</v>
      </c>
      <c r="E292" t="s">
        <v>21</v>
      </c>
      <c r="F292" t="s">
        <v>29</v>
      </c>
      <c r="G292" t="s">
        <v>30</v>
      </c>
      <c r="H292">
        <v>480506</v>
      </c>
      <c r="I292" t="s">
        <v>24</v>
      </c>
      <c r="J292">
        <v>4.14</v>
      </c>
      <c r="K292">
        <v>1989294.84</v>
      </c>
      <c r="L292" t="s">
        <v>634</v>
      </c>
      <c r="N292">
        <v>4.02462</v>
      </c>
      <c r="O292" t="s">
        <v>43</v>
      </c>
      <c r="Q292">
        <v>146</v>
      </c>
    </row>
    <row r="293" spans="1:19">
      <c r="A293">
        <v>271</v>
      </c>
      <c r="B293">
        <v>1</v>
      </c>
      <c r="C293">
        <v>20240131</v>
      </c>
      <c r="D293" t="s">
        <v>20</v>
      </c>
      <c r="E293" t="s">
        <v>21</v>
      </c>
      <c r="F293" t="s">
        <v>22</v>
      </c>
      <c r="G293" t="s">
        <v>30</v>
      </c>
      <c r="H293">
        <v>318332</v>
      </c>
      <c r="I293" t="s">
        <v>24</v>
      </c>
      <c r="J293">
        <v>4.42</v>
      </c>
      <c r="K293">
        <v>1407027.44</v>
      </c>
      <c r="L293" t="s">
        <v>634</v>
      </c>
      <c r="N293">
        <v>4.3345</v>
      </c>
      <c r="O293" t="s">
        <v>43</v>
      </c>
      <c r="Q293">
        <v>12</v>
      </c>
      <c r="S293">
        <v>4.14</v>
      </c>
    </row>
    <row r="294" spans="1:19">
      <c r="A294">
        <v>272</v>
      </c>
      <c r="B294">
        <v>1</v>
      </c>
      <c r="C294">
        <v>20240131</v>
      </c>
      <c r="D294" t="s">
        <v>20</v>
      </c>
      <c r="E294" t="s">
        <v>21</v>
      </c>
      <c r="F294" t="s">
        <v>22</v>
      </c>
      <c r="G294" t="s">
        <v>30</v>
      </c>
      <c r="H294">
        <v>56470</v>
      </c>
      <c r="I294" t="s">
        <v>24</v>
      </c>
      <c r="J294">
        <v>4.14</v>
      </c>
      <c r="K294">
        <v>233785.8</v>
      </c>
      <c r="L294" t="s">
        <v>637</v>
      </c>
      <c r="N294">
        <v>3.5537</v>
      </c>
      <c r="O294" t="s">
        <v>43</v>
      </c>
      <c r="Q294">
        <v>5</v>
      </c>
      <c r="S294">
        <v>4.14</v>
      </c>
    </row>
    <row r="295" spans="1:19">
      <c r="A295">
        <v>273</v>
      </c>
      <c r="B295">
        <v>1</v>
      </c>
      <c r="C295">
        <v>20240131</v>
      </c>
      <c r="D295" t="s">
        <v>28</v>
      </c>
      <c r="E295" t="s">
        <v>21</v>
      </c>
      <c r="F295" t="s">
        <v>22</v>
      </c>
      <c r="G295" t="s">
        <v>30</v>
      </c>
      <c r="H295">
        <v>394206</v>
      </c>
      <c r="I295" t="s">
        <v>24</v>
      </c>
      <c r="J295">
        <v>4.14</v>
      </c>
      <c r="K295">
        <v>1632012.84</v>
      </c>
      <c r="L295" t="s">
        <v>637</v>
      </c>
      <c r="N295">
        <v>3.5135</v>
      </c>
      <c r="O295" t="s">
        <v>43</v>
      </c>
      <c r="Q295">
        <v>32</v>
      </c>
      <c r="S295">
        <v>4.14</v>
      </c>
    </row>
    <row r="296" spans="1:19">
      <c r="A296">
        <v>274</v>
      </c>
      <c r="B296">
        <v>1</v>
      </c>
      <c r="C296">
        <v>20240131</v>
      </c>
      <c r="D296" t="s">
        <v>28</v>
      </c>
      <c r="E296" t="s">
        <v>21</v>
      </c>
      <c r="F296" t="s">
        <v>22</v>
      </c>
      <c r="G296" t="s">
        <v>30</v>
      </c>
      <c r="H296">
        <v>3114</v>
      </c>
      <c r="I296" t="s">
        <v>24</v>
      </c>
      <c r="J296">
        <v>4.14</v>
      </c>
      <c r="K296">
        <v>12891.96</v>
      </c>
      <c r="L296" t="s">
        <v>637</v>
      </c>
      <c r="N296">
        <v>4.049</v>
      </c>
      <c r="O296" t="s">
        <v>43</v>
      </c>
      <c r="Q296">
        <v>2</v>
      </c>
      <c r="S296">
        <v>4.14</v>
      </c>
    </row>
    <row r="297" spans="1:19">
      <c r="A297">
        <v>275</v>
      </c>
      <c r="B297">
        <v>1</v>
      </c>
      <c r="C297">
        <v>20240131</v>
      </c>
      <c r="D297" t="s">
        <v>28</v>
      </c>
      <c r="E297" t="s">
        <v>21</v>
      </c>
      <c r="F297" t="s">
        <v>22</v>
      </c>
      <c r="G297" t="s">
        <v>37</v>
      </c>
      <c r="H297">
        <v>179585</v>
      </c>
      <c r="I297" t="s">
        <v>24</v>
      </c>
      <c r="J297">
        <v>4.47</v>
      </c>
      <c r="K297">
        <v>802744.95</v>
      </c>
      <c r="L297" t="s">
        <v>637</v>
      </c>
      <c r="N297">
        <v>4.3859</v>
      </c>
      <c r="O297" t="s">
        <v>43</v>
      </c>
      <c r="Q297">
        <v>17</v>
      </c>
      <c r="S297">
        <v>4.14</v>
      </c>
    </row>
    <row r="298" spans="1:19">
      <c r="A298">
        <v>276</v>
      </c>
      <c r="B298">
        <v>1</v>
      </c>
      <c r="C298">
        <v>20240131</v>
      </c>
      <c r="D298" t="s">
        <v>28</v>
      </c>
      <c r="E298" t="s">
        <v>21</v>
      </c>
      <c r="F298" t="s">
        <v>22</v>
      </c>
      <c r="G298" t="s">
        <v>30</v>
      </c>
      <c r="H298">
        <v>534167</v>
      </c>
      <c r="I298" t="s">
        <v>24</v>
      </c>
      <c r="J298">
        <v>4.14</v>
      </c>
      <c r="K298">
        <v>2211451.38</v>
      </c>
      <c r="L298" t="s">
        <v>634</v>
      </c>
      <c r="N298">
        <v>4.0626</v>
      </c>
      <c r="O298" t="s">
        <v>43</v>
      </c>
      <c r="Q298">
        <v>19</v>
      </c>
      <c r="S298">
        <v>4.14</v>
      </c>
    </row>
    <row r="299" spans="1:19">
      <c r="A299">
        <v>277</v>
      </c>
      <c r="B299">
        <v>1</v>
      </c>
      <c r="C299">
        <v>20240131</v>
      </c>
      <c r="D299" t="s">
        <v>28</v>
      </c>
      <c r="E299" t="s">
        <v>21</v>
      </c>
      <c r="F299" t="s">
        <v>22</v>
      </c>
      <c r="G299" t="s">
        <v>37</v>
      </c>
      <c r="H299">
        <v>14371</v>
      </c>
      <c r="I299" t="s">
        <v>24</v>
      </c>
      <c r="J299">
        <v>4.14</v>
      </c>
      <c r="K299">
        <v>59495.94</v>
      </c>
      <c r="L299" t="s">
        <v>634</v>
      </c>
      <c r="N299">
        <v>4.0584</v>
      </c>
      <c r="O299" t="s">
        <v>43</v>
      </c>
      <c r="Q299">
        <v>2</v>
      </c>
      <c r="S299">
        <v>4.14</v>
      </c>
    </row>
    <row r="300" spans="1:19">
      <c r="A300">
        <v>278</v>
      </c>
      <c r="B300">
        <v>1</v>
      </c>
      <c r="C300">
        <v>20240131</v>
      </c>
      <c r="D300" t="s">
        <v>28</v>
      </c>
      <c r="E300" t="s">
        <v>21</v>
      </c>
      <c r="F300" t="s">
        <v>22</v>
      </c>
      <c r="G300" t="s">
        <v>30</v>
      </c>
      <c r="H300">
        <v>15788</v>
      </c>
      <c r="I300" t="s">
        <v>24</v>
      </c>
      <c r="J300">
        <v>4.14</v>
      </c>
      <c r="K300">
        <v>65362.32</v>
      </c>
      <c r="L300" t="s">
        <v>654</v>
      </c>
      <c r="N300">
        <v>4.0563</v>
      </c>
      <c r="O300" t="s">
        <v>43</v>
      </c>
      <c r="Q300">
        <v>4</v>
      </c>
      <c r="S300">
        <v>4.14</v>
      </c>
    </row>
    <row r="301" spans="1:19">
      <c r="A301">
        <v>279</v>
      </c>
      <c r="B301">
        <v>1</v>
      </c>
      <c r="C301">
        <v>20240131</v>
      </c>
      <c r="D301" t="s">
        <v>28</v>
      </c>
      <c r="E301" t="s">
        <v>21</v>
      </c>
      <c r="F301" t="s">
        <v>22</v>
      </c>
      <c r="G301" t="s">
        <v>37</v>
      </c>
      <c r="H301">
        <v>9596</v>
      </c>
      <c r="I301" t="s">
        <v>24</v>
      </c>
      <c r="J301">
        <v>4.14</v>
      </c>
      <c r="K301">
        <v>39727.44</v>
      </c>
      <c r="L301" t="s">
        <v>654</v>
      </c>
      <c r="N301">
        <v>4.0822</v>
      </c>
      <c r="O301" t="s">
        <v>43</v>
      </c>
      <c r="Q301">
        <v>3</v>
      </c>
      <c r="S301">
        <v>4.14</v>
      </c>
    </row>
    <row r="302" spans="1:19">
      <c r="A302">
        <v>280</v>
      </c>
      <c r="B302">
        <v>1</v>
      </c>
      <c r="C302">
        <v>20240131</v>
      </c>
      <c r="D302" t="s">
        <v>20</v>
      </c>
      <c r="E302" t="s">
        <v>21</v>
      </c>
      <c r="F302" t="s">
        <v>41</v>
      </c>
      <c r="G302" t="s">
        <v>30</v>
      </c>
      <c r="H302">
        <v>67784</v>
      </c>
      <c r="I302" t="s">
        <v>24</v>
      </c>
      <c r="J302">
        <v>4.14</v>
      </c>
      <c r="K302">
        <v>280625.76</v>
      </c>
      <c r="L302" t="s">
        <v>637</v>
      </c>
      <c r="N302">
        <v>4.05</v>
      </c>
      <c r="O302" t="s">
        <v>43</v>
      </c>
      <c r="Q302">
        <v>14</v>
      </c>
    </row>
    <row r="303" spans="1:19">
      <c r="A303">
        <v>281</v>
      </c>
      <c r="B303">
        <v>1</v>
      </c>
      <c r="C303">
        <v>20240131</v>
      </c>
      <c r="D303" t="s">
        <v>20</v>
      </c>
      <c r="E303" t="s">
        <v>21</v>
      </c>
      <c r="F303" t="s">
        <v>41</v>
      </c>
      <c r="G303" t="s">
        <v>30</v>
      </c>
      <c r="H303">
        <v>159066</v>
      </c>
      <c r="I303" t="s">
        <v>24</v>
      </c>
      <c r="J303">
        <v>4.14</v>
      </c>
      <c r="K303">
        <v>658533.24</v>
      </c>
      <c r="L303" t="s">
        <v>634</v>
      </c>
      <c r="N303">
        <v>4.05</v>
      </c>
      <c r="O303" t="s">
        <v>43</v>
      </c>
      <c r="Q303">
        <v>15</v>
      </c>
    </row>
    <row r="304" spans="1:19">
      <c r="A304">
        <v>282</v>
      </c>
      <c r="B304">
        <v>1</v>
      </c>
      <c r="C304">
        <v>20240131</v>
      </c>
      <c r="D304" t="s">
        <v>28</v>
      </c>
      <c r="E304" t="s">
        <v>21</v>
      </c>
      <c r="F304" t="s">
        <v>41</v>
      </c>
      <c r="G304" t="s">
        <v>30</v>
      </c>
      <c r="H304">
        <v>774720</v>
      </c>
      <c r="I304" t="s">
        <v>24</v>
      </c>
      <c r="J304">
        <v>4.14</v>
      </c>
      <c r="K304">
        <v>3207340.8</v>
      </c>
      <c r="L304" t="s">
        <v>637</v>
      </c>
      <c r="N304">
        <v>4.05</v>
      </c>
      <c r="O304" t="s">
        <v>43</v>
      </c>
      <c r="Q304">
        <v>79</v>
      </c>
    </row>
    <row r="305" spans="1:17">
      <c r="A305">
        <v>283</v>
      </c>
      <c r="B305">
        <v>1</v>
      </c>
      <c r="C305">
        <v>20240131</v>
      </c>
      <c r="D305" t="s">
        <v>28</v>
      </c>
      <c r="E305" t="s">
        <v>21</v>
      </c>
      <c r="F305" t="s">
        <v>41</v>
      </c>
      <c r="G305" t="s">
        <v>37</v>
      </c>
      <c r="H305">
        <v>327203</v>
      </c>
      <c r="I305" t="s">
        <v>24</v>
      </c>
      <c r="J305">
        <v>4.14</v>
      </c>
      <c r="K305">
        <v>1354620.42</v>
      </c>
      <c r="L305" t="s">
        <v>637</v>
      </c>
      <c r="N305">
        <v>4.05</v>
      </c>
      <c r="O305" t="s">
        <v>43</v>
      </c>
      <c r="Q305">
        <v>29</v>
      </c>
    </row>
    <row r="306" spans="1:17">
      <c r="A306">
        <v>284</v>
      </c>
      <c r="B306">
        <v>1</v>
      </c>
      <c r="C306">
        <v>20240131</v>
      </c>
      <c r="D306" t="s">
        <v>28</v>
      </c>
      <c r="E306" t="s">
        <v>21</v>
      </c>
      <c r="F306" t="s">
        <v>41</v>
      </c>
      <c r="G306" t="s">
        <v>30</v>
      </c>
      <c r="H306">
        <v>37594</v>
      </c>
      <c r="I306" t="s">
        <v>24</v>
      </c>
      <c r="J306">
        <v>4.14</v>
      </c>
      <c r="K306">
        <v>155639.16</v>
      </c>
      <c r="L306" t="s">
        <v>634</v>
      </c>
      <c r="N306">
        <v>4.05</v>
      </c>
      <c r="O306" t="s">
        <v>43</v>
      </c>
      <c r="Q306">
        <v>4</v>
      </c>
    </row>
    <row r="307" spans="1:17">
      <c r="A307">
        <v>285</v>
      </c>
      <c r="B307">
        <v>1</v>
      </c>
      <c r="C307">
        <v>20240131</v>
      </c>
      <c r="D307" t="s">
        <v>28</v>
      </c>
      <c r="E307" t="s">
        <v>21</v>
      </c>
      <c r="F307" t="s">
        <v>41</v>
      </c>
      <c r="G307" t="s">
        <v>37</v>
      </c>
      <c r="H307">
        <v>25072</v>
      </c>
      <c r="I307" t="s">
        <v>24</v>
      </c>
      <c r="J307">
        <v>4.14</v>
      </c>
      <c r="K307">
        <v>103798.08</v>
      </c>
      <c r="L307" t="s">
        <v>634</v>
      </c>
      <c r="N307">
        <v>4.05</v>
      </c>
      <c r="O307" t="s">
        <v>43</v>
      </c>
      <c r="Q307">
        <v>2</v>
      </c>
    </row>
    <row r="308" spans="1:17">
      <c r="A308">
        <v>286</v>
      </c>
      <c r="B308">
        <v>1</v>
      </c>
      <c r="C308">
        <v>20240131</v>
      </c>
      <c r="D308" t="s">
        <v>28</v>
      </c>
      <c r="E308" t="s">
        <v>21</v>
      </c>
      <c r="F308" t="s">
        <v>41</v>
      </c>
      <c r="G308" t="s">
        <v>30</v>
      </c>
      <c r="H308">
        <v>465024</v>
      </c>
      <c r="I308" t="s">
        <v>24</v>
      </c>
      <c r="J308">
        <v>4.14</v>
      </c>
      <c r="K308">
        <v>1925199.36</v>
      </c>
      <c r="L308" t="s">
        <v>634</v>
      </c>
      <c r="N308">
        <v>4.05</v>
      </c>
      <c r="O308" t="s">
        <v>43</v>
      </c>
      <c r="Q308">
        <v>42</v>
      </c>
    </row>
    <row r="309" spans="1:17">
      <c r="A309">
        <v>287</v>
      </c>
      <c r="B309">
        <v>1</v>
      </c>
      <c r="C309">
        <v>20240131</v>
      </c>
      <c r="D309" t="s">
        <v>28</v>
      </c>
      <c r="E309" t="s">
        <v>21</v>
      </c>
      <c r="F309" t="s">
        <v>41</v>
      </c>
      <c r="G309" t="s">
        <v>37</v>
      </c>
      <c r="H309">
        <v>208890</v>
      </c>
      <c r="I309" t="s">
        <v>24</v>
      </c>
      <c r="J309">
        <v>4.14</v>
      </c>
      <c r="K309">
        <v>864804.6</v>
      </c>
      <c r="L309" t="s">
        <v>634</v>
      </c>
      <c r="N309">
        <v>4.05</v>
      </c>
      <c r="O309" t="s">
        <v>43</v>
      </c>
      <c r="Q309">
        <v>16</v>
      </c>
    </row>
    <row r="310" spans="1:17">
      <c r="A310">
        <v>288</v>
      </c>
      <c r="B310">
        <v>1</v>
      </c>
      <c r="C310">
        <v>20240131</v>
      </c>
      <c r="D310" t="s">
        <v>28</v>
      </c>
      <c r="E310" t="s">
        <v>21</v>
      </c>
      <c r="F310" t="s">
        <v>41</v>
      </c>
      <c r="G310" t="s">
        <v>30</v>
      </c>
      <c r="H310">
        <v>3566</v>
      </c>
      <c r="I310" t="s">
        <v>24</v>
      </c>
      <c r="J310">
        <v>4.14</v>
      </c>
      <c r="K310">
        <v>14763.24</v>
      </c>
      <c r="L310" t="s">
        <v>634</v>
      </c>
      <c r="N310">
        <v>4.05</v>
      </c>
      <c r="O310" t="s">
        <v>43</v>
      </c>
      <c r="Q310"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0"/>
  <sheetViews>
    <sheetView workbookViewId="0">
      <selection activeCell="L27" sqref="L27"/>
    </sheetView>
  </sheetViews>
  <sheetFormatPr defaultColWidth="8.72727272727273" defaultRowHeight="14"/>
  <cols>
    <col min="3" max="3" width="9.54545454545454"/>
    <col min="10" max="10" width="9.54545454545454"/>
    <col min="11" max="11" width="12.8181818181818"/>
    <col min="14" max="14" width="9.5454545454545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1</v>
      </c>
      <c r="C2">
        <v>20240102</v>
      </c>
      <c r="D2" t="s">
        <v>20</v>
      </c>
      <c r="E2" t="s">
        <v>21</v>
      </c>
      <c r="F2" t="s">
        <v>46</v>
      </c>
      <c r="G2" t="s">
        <v>633</v>
      </c>
      <c r="H2">
        <v>15</v>
      </c>
      <c r="I2" t="s">
        <v>24</v>
      </c>
      <c r="J2">
        <v>7.46</v>
      </c>
      <c r="K2">
        <v>111.9</v>
      </c>
      <c r="L2" t="s">
        <v>634</v>
      </c>
      <c r="N2">
        <v>4.93</v>
      </c>
      <c r="O2" t="s">
        <v>43</v>
      </c>
      <c r="P2" t="s">
        <v>635</v>
      </c>
      <c r="Q2">
        <v>1</v>
      </c>
      <c r="R2" t="s">
        <v>89</v>
      </c>
    </row>
    <row r="3" spans="1:19">
      <c r="A3">
        <v>2</v>
      </c>
      <c r="B3">
        <v>1</v>
      </c>
      <c r="C3">
        <v>20240102</v>
      </c>
      <c r="D3" t="s">
        <v>20</v>
      </c>
      <c r="E3" t="s">
        <v>21</v>
      </c>
      <c r="F3" t="s">
        <v>22</v>
      </c>
      <c r="G3" t="s">
        <v>636</v>
      </c>
      <c r="H3">
        <v>101450</v>
      </c>
      <c r="I3" t="s">
        <v>24</v>
      </c>
      <c r="J3">
        <v>2.54</v>
      </c>
      <c r="K3">
        <v>257683</v>
      </c>
      <c r="L3" t="s">
        <v>637</v>
      </c>
      <c r="M3" t="s">
        <v>638</v>
      </c>
      <c r="N3">
        <v>2.493</v>
      </c>
      <c r="O3" t="s">
        <v>27</v>
      </c>
      <c r="P3" t="s">
        <v>639</v>
      </c>
      <c r="Q3">
        <v>13</v>
      </c>
      <c r="S3">
        <v>2.33</v>
      </c>
    </row>
    <row r="4" spans="1:19">
      <c r="A4">
        <v>3</v>
      </c>
      <c r="B4">
        <v>1</v>
      </c>
      <c r="C4">
        <v>20240102</v>
      </c>
      <c r="D4" t="s">
        <v>20</v>
      </c>
      <c r="E4" t="s">
        <v>21</v>
      </c>
      <c r="F4" t="s">
        <v>32</v>
      </c>
      <c r="G4" t="s">
        <v>640</v>
      </c>
      <c r="H4">
        <v>292332</v>
      </c>
      <c r="I4" t="s">
        <v>24</v>
      </c>
      <c r="J4">
        <v>5.47</v>
      </c>
      <c r="K4">
        <v>1599056.04</v>
      </c>
      <c r="L4" t="s">
        <v>634</v>
      </c>
      <c r="M4" t="s">
        <v>641</v>
      </c>
      <c r="N4">
        <v>5.0362</v>
      </c>
      <c r="O4" t="s">
        <v>27</v>
      </c>
      <c r="P4" t="s">
        <v>642</v>
      </c>
      <c r="Q4">
        <v>76</v>
      </c>
      <c r="R4">
        <v>7.1094</v>
      </c>
    </row>
    <row r="5" spans="1:19">
      <c r="A5">
        <v>4</v>
      </c>
      <c r="B5">
        <v>1</v>
      </c>
      <c r="C5">
        <v>20240102</v>
      </c>
      <c r="D5" t="s">
        <v>20</v>
      </c>
      <c r="E5" t="s">
        <v>21</v>
      </c>
      <c r="F5" t="s">
        <v>59</v>
      </c>
      <c r="G5" t="s">
        <v>42</v>
      </c>
      <c r="H5">
        <v>81648</v>
      </c>
      <c r="I5" t="s">
        <v>24</v>
      </c>
      <c r="J5">
        <v>4.58</v>
      </c>
      <c r="K5">
        <v>373947.84</v>
      </c>
      <c r="L5" t="s">
        <v>637</v>
      </c>
      <c r="N5">
        <v>4.4887</v>
      </c>
      <c r="O5" t="s">
        <v>43</v>
      </c>
      <c r="P5" t="s">
        <v>643</v>
      </c>
      <c r="Q5">
        <v>6</v>
      </c>
    </row>
    <row r="6" spans="1:19">
      <c r="A6">
        <v>5</v>
      </c>
      <c r="B6">
        <v>1</v>
      </c>
      <c r="C6">
        <v>20240103</v>
      </c>
      <c r="D6" t="s">
        <v>28</v>
      </c>
      <c r="E6" t="s">
        <v>21</v>
      </c>
      <c r="F6" t="s">
        <v>32</v>
      </c>
      <c r="G6" t="s">
        <v>30</v>
      </c>
      <c r="H6">
        <v>78839</v>
      </c>
      <c r="I6" t="s">
        <v>24</v>
      </c>
      <c r="J6">
        <v>4.14</v>
      </c>
      <c r="K6">
        <v>326393.46</v>
      </c>
      <c r="L6" t="s">
        <v>634</v>
      </c>
      <c r="M6" t="s">
        <v>644</v>
      </c>
      <c r="N6">
        <v>4.015</v>
      </c>
      <c r="O6" t="s">
        <v>27</v>
      </c>
      <c r="P6" t="s">
        <v>645</v>
      </c>
      <c r="Q6">
        <v>8</v>
      </c>
    </row>
    <row r="7" spans="1:19">
      <c r="A7">
        <v>6</v>
      </c>
      <c r="B7">
        <v>1</v>
      </c>
      <c r="C7">
        <v>20240103</v>
      </c>
      <c r="D7" t="s">
        <v>28</v>
      </c>
      <c r="E7" t="s">
        <v>21</v>
      </c>
      <c r="F7" t="s">
        <v>32</v>
      </c>
      <c r="G7" t="s">
        <v>37</v>
      </c>
      <c r="H7">
        <v>13271</v>
      </c>
      <c r="I7" t="s">
        <v>24</v>
      </c>
      <c r="J7">
        <v>4.14</v>
      </c>
      <c r="K7">
        <v>54941.94</v>
      </c>
      <c r="L7" t="s">
        <v>637</v>
      </c>
      <c r="M7" t="s">
        <v>644</v>
      </c>
      <c r="N7">
        <v>4.015</v>
      </c>
      <c r="O7" t="s">
        <v>27</v>
      </c>
      <c r="P7" t="s">
        <v>646</v>
      </c>
      <c r="Q7">
        <v>1</v>
      </c>
    </row>
    <row r="8" spans="1:19">
      <c r="A8">
        <v>7</v>
      </c>
      <c r="B8">
        <v>1</v>
      </c>
      <c r="C8">
        <v>20240103</v>
      </c>
      <c r="D8" t="s">
        <v>28</v>
      </c>
      <c r="E8" t="s">
        <v>21</v>
      </c>
      <c r="F8" t="s">
        <v>32</v>
      </c>
      <c r="G8" t="s">
        <v>30</v>
      </c>
      <c r="H8">
        <v>42844</v>
      </c>
      <c r="I8" t="s">
        <v>24</v>
      </c>
      <c r="J8">
        <v>4.14</v>
      </c>
      <c r="K8">
        <v>177374.16</v>
      </c>
      <c r="L8" t="s">
        <v>637</v>
      </c>
      <c r="M8" t="s">
        <v>644</v>
      </c>
      <c r="N8">
        <v>4.015</v>
      </c>
      <c r="O8" t="s">
        <v>27</v>
      </c>
      <c r="P8" t="s">
        <v>645</v>
      </c>
      <c r="Q8">
        <v>3</v>
      </c>
    </row>
    <row r="9" spans="1:19">
      <c r="A9">
        <v>8</v>
      </c>
      <c r="B9">
        <v>1</v>
      </c>
      <c r="C9">
        <v>20240103</v>
      </c>
      <c r="D9" t="s">
        <v>20</v>
      </c>
      <c r="E9" t="s">
        <v>21</v>
      </c>
      <c r="F9" t="s">
        <v>29</v>
      </c>
      <c r="G9" t="s">
        <v>42</v>
      </c>
      <c r="H9">
        <v>87742</v>
      </c>
      <c r="I9" t="s">
        <v>24</v>
      </c>
      <c r="J9">
        <v>5.7</v>
      </c>
      <c r="K9">
        <v>500129.4</v>
      </c>
      <c r="L9" t="s">
        <v>634</v>
      </c>
      <c r="M9" t="s">
        <v>647</v>
      </c>
      <c r="N9">
        <v>5.59</v>
      </c>
      <c r="O9" t="s">
        <v>27</v>
      </c>
      <c r="P9" t="s">
        <v>648</v>
      </c>
      <c r="Q9">
        <v>10</v>
      </c>
    </row>
    <row r="10" spans="1:19">
      <c r="A10">
        <v>9</v>
      </c>
      <c r="B10">
        <v>1</v>
      </c>
      <c r="C10">
        <v>20240103</v>
      </c>
      <c r="D10" t="s">
        <v>28</v>
      </c>
      <c r="E10" t="s">
        <v>21</v>
      </c>
      <c r="F10" t="s">
        <v>41</v>
      </c>
      <c r="G10" t="s">
        <v>30</v>
      </c>
      <c r="H10">
        <v>11759</v>
      </c>
      <c r="I10" t="s">
        <v>24</v>
      </c>
      <c r="J10">
        <v>4.14</v>
      </c>
      <c r="K10">
        <v>48682.26</v>
      </c>
      <c r="L10" t="s">
        <v>634</v>
      </c>
      <c r="M10" t="s">
        <v>649</v>
      </c>
      <c r="N10">
        <v>4.05</v>
      </c>
      <c r="O10" t="s">
        <v>27</v>
      </c>
      <c r="P10" t="s">
        <v>650</v>
      </c>
      <c r="Q10">
        <v>1</v>
      </c>
    </row>
    <row r="11" spans="1:19">
      <c r="A11">
        <v>10</v>
      </c>
      <c r="B11">
        <v>1</v>
      </c>
      <c r="C11">
        <v>20240103</v>
      </c>
      <c r="D11" t="s">
        <v>28</v>
      </c>
      <c r="E11" t="s">
        <v>21</v>
      </c>
      <c r="F11" t="s">
        <v>41</v>
      </c>
      <c r="G11" t="s">
        <v>30</v>
      </c>
      <c r="H11">
        <v>11587</v>
      </c>
      <c r="I11" t="s">
        <v>24</v>
      </c>
      <c r="J11">
        <v>4.14</v>
      </c>
      <c r="K11">
        <v>47970.18</v>
      </c>
      <c r="L11" t="s">
        <v>637</v>
      </c>
      <c r="M11" t="s">
        <v>649</v>
      </c>
      <c r="N11">
        <v>4.05</v>
      </c>
      <c r="O11" t="s">
        <v>27</v>
      </c>
      <c r="P11" t="s">
        <v>650</v>
      </c>
      <c r="Q11">
        <v>2</v>
      </c>
    </row>
    <row r="12" spans="1:19">
      <c r="A12">
        <v>11</v>
      </c>
      <c r="B12">
        <v>1</v>
      </c>
      <c r="C12">
        <v>20240103</v>
      </c>
      <c r="D12" t="s">
        <v>20</v>
      </c>
      <c r="E12" t="s">
        <v>21</v>
      </c>
      <c r="F12" t="s">
        <v>46</v>
      </c>
      <c r="G12" t="s">
        <v>633</v>
      </c>
      <c r="H12">
        <v>15427</v>
      </c>
      <c r="I12" t="s">
        <v>24</v>
      </c>
      <c r="J12">
        <v>7.46</v>
      </c>
      <c r="K12">
        <v>115085.42</v>
      </c>
      <c r="L12" t="s">
        <v>634</v>
      </c>
      <c r="N12">
        <v>4.93</v>
      </c>
      <c r="O12" t="s">
        <v>43</v>
      </c>
      <c r="P12" t="s">
        <v>651</v>
      </c>
      <c r="Q12">
        <v>1</v>
      </c>
      <c r="R12" t="s">
        <v>89</v>
      </c>
    </row>
    <row r="13" spans="1:19">
      <c r="A13">
        <v>12</v>
      </c>
      <c r="B13">
        <v>1</v>
      </c>
      <c r="C13">
        <v>20240104</v>
      </c>
      <c r="D13" t="s">
        <v>28</v>
      </c>
      <c r="E13" t="s">
        <v>21</v>
      </c>
      <c r="F13" t="s">
        <v>22</v>
      </c>
      <c r="G13" t="s">
        <v>37</v>
      </c>
      <c r="H13">
        <v>192</v>
      </c>
      <c r="I13" t="s">
        <v>24</v>
      </c>
      <c r="J13">
        <v>4.14</v>
      </c>
      <c r="K13">
        <v>794.88</v>
      </c>
      <c r="L13" t="s">
        <v>637</v>
      </c>
      <c r="M13" t="s">
        <v>652</v>
      </c>
      <c r="N13">
        <v>3.5473</v>
      </c>
      <c r="O13" t="s">
        <v>27</v>
      </c>
      <c r="P13" t="s">
        <v>653</v>
      </c>
      <c r="Q13">
        <v>4</v>
      </c>
    </row>
    <row r="14" spans="1:19">
      <c r="A14">
        <v>13</v>
      </c>
      <c r="B14">
        <v>1</v>
      </c>
      <c r="C14">
        <v>20240104</v>
      </c>
      <c r="D14" t="s">
        <v>28</v>
      </c>
      <c r="E14" t="s">
        <v>21</v>
      </c>
      <c r="F14" t="s">
        <v>22</v>
      </c>
      <c r="G14" t="s">
        <v>37</v>
      </c>
      <c r="H14">
        <v>5200</v>
      </c>
      <c r="I14" t="s">
        <v>24</v>
      </c>
      <c r="J14">
        <v>4.14</v>
      </c>
      <c r="K14">
        <v>21528</v>
      </c>
      <c r="L14" t="s">
        <v>637</v>
      </c>
      <c r="M14" t="s">
        <v>652</v>
      </c>
      <c r="N14">
        <v>4.062</v>
      </c>
      <c r="O14" t="s">
        <v>27</v>
      </c>
      <c r="P14" t="s">
        <v>653</v>
      </c>
      <c r="Q14">
        <v>3</v>
      </c>
    </row>
    <row r="15" spans="1:19">
      <c r="A15">
        <v>14</v>
      </c>
      <c r="B15">
        <v>1</v>
      </c>
      <c r="C15">
        <v>20240104</v>
      </c>
      <c r="D15" t="s">
        <v>28</v>
      </c>
      <c r="E15" t="s">
        <v>21</v>
      </c>
      <c r="F15" t="s">
        <v>22</v>
      </c>
      <c r="G15" t="s">
        <v>37</v>
      </c>
      <c r="H15">
        <v>6488</v>
      </c>
      <c r="I15" t="s">
        <v>24</v>
      </c>
      <c r="J15">
        <v>4.14</v>
      </c>
      <c r="K15">
        <v>26860.32</v>
      </c>
      <c r="L15" t="s">
        <v>654</v>
      </c>
      <c r="M15" t="s">
        <v>652</v>
      </c>
      <c r="N15">
        <v>4.036</v>
      </c>
      <c r="O15" t="s">
        <v>27</v>
      </c>
      <c r="P15" t="s">
        <v>653</v>
      </c>
      <c r="Q15">
        <v>2</v>
      </c>
    </row>
    <row r="16" spans="1:19">
      <c r="A16">
        <v>15</v>
      </c>
      <c r="B16">
        <v>1</v>
      </c>
      <c r="C16">
        <v>20240104</v>
      </c>
      <c r="D16" t="s">
        <v>28</v>
      </c>
      <c r="E16" t="s">
        <v>21</v>
      </c>
      <c r="F16" t="s">
        <v>22</v>
      </c>
      <c r="G16" t="s">
        <v>30</v>
      </c>
      <c r="H16">
        <v>900234</v>
      </c>
      <c r="I16" t="s">
        <v>24</v>
      </c>
      <c r="J16">
        <v>4.14</v>
      </c>
      <c r="K16">
        <v>3726968.76</v>
      </c>
      <c r="L16" t="s">
        <v>634</v>
      </c>
      <c r="M16" t="s">
        <v>652</v>
      </c>
      <c r="N16">
        <v>4.062</v>
      </c>
      <c r="O16" t="s">
        <v>27</v>
      </c>
      <c r="P16" t="s">
        <v>655</v>
      </c>
      <c r="Q16">
        <v>33</v>
      </c>
    </row>
    <row r="17" spans="1:17">
      <c r="A17">
        <v>16</v>
      </c>
      <c r="B17">
        <v>1</v>
      </c>
      <c r="C17">
        <v>20240104</v>
      </c>
      <c r="D17" t="s">
        <v>28</v>
      </c>
      <c r="E17" t="s">
        <v>21</v>
      </c>
      <c r="F17" t="s">
        <v>32</v>
      </c>
      <c r="G17" t="s">
        <v>30</v>
      </c>
      <c r="H17">
        <v>686724</v>
      </c>
      <c r="I17" t="s">
        <v>24</v>
      </c>
      <c r="J17">
        <v>4.14</v>
      </c>
      <c r="K17">
        <v>2843037.36</v>
      </c>
      <c r="L17" t="s">
        <v>634</v>
      </c>
      <c r="M17" t="s">
        <v>656</v>
      </c>
      <c r="N17">
        <v>4.015</v>
      </c>
      <c r="O17" t="s">
        <v>27</v>
      </c>
      <c r="P17" t="s">
        <v>657</v>
      </c>
      <c r="Q17">
        <v>83</v>
      </c>
    </row>
    <row r="18" spans="1:17">
      <c r="A18">
        <v>17</v>
      </c>
      <c r="B18">
        <v>1</v>
      </c>
      <c r="C18">
        <v>20240104</v>
      </c>
      <c r="D18" t="s">
        <v>28</v>
      </c>
      <c r="E18" t="s">
        <v>21</v>
      </c>
      <c r="F18" t="s">
        <v>32</v>
      </c>
      <c r="G18" t="s">
        <v>37</v>
      </c>
      <c r="H18">
        <v>1683</v>
      </c>
      <c r="I18" t="s">
        <v>24</v>
      </c>
      <c r="J18">
        <v>4.14</v>
      </c>
      <c r="K18">
        <v>6967.62</v>
      </c>
      <c r="L18" t="s">
        <v>654</v>
      </c>
      <c r="M18" t="s">
        <v>656</v>
      </c>
      <c r="N18">
        <v>4.015</v>
      </c>
      <c r="O18" t="s">
        <v>27</v>
      </c>
      <c r="P18" t="s">
        <v>658</v>
      </c>
      <c r="Q18">
        <v>5</v>
      </c>
    </row>
    <row r="19" spans="1:17">
      <c r="A19">
        <v>18</v>
      </c>
      <c r="B19">
        <v>1</v>
      </c>
      <c r="C19">
        <v>20240104</v>
      </c>
      <c r="D19" t="s">
        <v>28</v>
      </c>
      <c r="E19" t="s">
        <v>21</v>
      </c>
      <c r="F19" t="s">
        <v>32</v>
      </c>
      <c r="G19" t="s">
        <v>37</v>
      </c>
      <c r="H19">
        <v>1384</v>
      </c>
      <c r="I19" t="s">
        <v>24</v>
      </c>
      <c r="J19">
        <v>4.14</v>
      </c>
      <c r="K19">
        <v>5729.76</v>
      </c>
      <c r="L19" t="s">
        <v>637</v>
      </c>
      <c r="M19" t="s">
        <v>656</v>
      </c>
      <c r="N19">
        <v>4.015</v>
      </c>
      <c r="O19" t="s">
        <v>27</v>
      </c>
      <c r="P19" t="s">
        <v>658</v>
      </c>
      <c r="Q19">
        <v>1</v>
      </c>
    </row>
    <row r="20" spans="1:17">
      <c r="A20">
        <v>19</v>
      </c>
      <c r="B20">
        <v>1</v>
      </c>
      <c r="C20">
        <v>20240104</v>
      </c>
      <c r="D20" t="s">
        <v>28</v>
      </c>
      <c r="E20" t="s">
        <v>21</v>
      </c>
      <c r="F20" t="s">
        <v>32</v>
      </c>
      <c r="G20" t="s">
        <v>30</v>
      </c>
      <c r="H20">
        <v>563391</v>
      </c>
      <c r="I20" t="s">
        <v>24</v>
      </c>
      <c r="J20">
        <v>4.14</v>
      </c>
      <c r="K20">
        <v>2332438.74</v>
      </c>
      <c r="L20" t="s">
        <v>637</v>
      </c>
      <c r="M20" t="s">
        <v>656</v>
      </c>
      <c r="N20">
        <v>4.015</v>
      </c>
      <c r="O20" t="s">
        <v>27</v>
      </c>
      <c r="P20" t="s">
        <v>657</v>
      </c>
      <c r="Q20">
        <v>47</v>
      </c>
    </row>
    <row r="21" spans="1:17">
      <c r="A21">
        <v>20</v>
      </c>
      <c r="B21">
        <v>1</v>
      </c>
      <c r="C21">
        <v>20240104</v>
      </c>
      <c r="D21" t="s">
        <v>20</v>
      </c>
      <c r="E21" t="s">
        <v>21</v>
      </c>
      <c r="F21" t="s">
        <v>32</v>
      </c>
      <c r="G21" t="s">
        <v>640</v>
      </c>
      <c r="H21">
        <v>219823</v>
      </c>
      <c r="I21" t="s">
        <v>24</v>
      </c>
      <c r="J21">
        <v>5.47</v>
      </c>
      <c r="K21">
        <v>1202431.81</v>
      </c>
      <c r="L21" t="s">
        <v>634</v>
      </c>
      <c r="M21" t="s">
        <v>656</v>
      </c>
      <c r="N21">
        <v>5.0362</v>
      </c>
      <c r="O21" t="s">
        <v>27</v>
      </c>
      <c r="P21" t="s">
        <v>659</v>
      </c>
      <c r="Q21">
        <v>50</v>
      </c>
    </row>
    <row r="22" spans="1:17">
      <c r="A22">
        <v>21</v>
      </c>
      <c r="B22">
        <v>1</v>
      </c>
      <c r="C22">
        <v>20240105</v>
      </c>
      <c r="D22" t="s">
        <v>28</v>
      </c>
      <c r="E22" t="s">
        <v>21</v>
      </c>
      <c r="F22" t="s">
        <v>41</v>
      </c>
      <c r="G22" t="s">
        <v>30</v>
      </c>
      <c r="H22">
        <v>135904</v>
      </c>
      <c r="I22" t="s">
        <v>24</v>
      </c>
      <c r="J22">
        <v>4.14</v>
      </c>
      <c r="K22">
        <v>562642.56</v>
      </c>
      <c r="L22" t="s">
        <v>634</v>
      </c>
      <c r="N22">
        <v>4.05</v>
      </c>
      <c r="O22" t="s">
        <v>43</v>
      </c>
      <c r="P22" t="s">
        <v>660</v>
      </c>
      <c r="Q22">
        <v>14</v>
      </c>
    </row>
    <row r="23" spans="1:17">
      <c r="A23">
        <v>22</v>
      </c>
      <c r="B23">
        <v>1</v>
      </c>
      <c r="C23">
        <v>20240105</v>
      </c>
      <c r="D23" t="s">
        <v>28</v>
      </c>
      <c r="E23" t="s">
        <v>21</v>
      </c>
      <c r="F23" t="s">
        <v>41</v>
      </c>
      <c r="G23" t="s">
        <v>30</v>
      </c>
      <c r="H23">
        <v>59456</v>
      </c>
      <c r="I23" t="s">
        <v>24</v>
      </c>
      <c r="J23">
        <v>4.14</v>
      </c>
      <c r="K23">
        <v>246147.84</v>
      </c>
      <c r="L23" t="s">
        <v>637</v>
      </c>
      <c r="N23">
        <v>4.05</v>
      </c>
      <c r="O23" t="s">
        <v>43</v>
      </c>
      <c r="P23" t="s">
        <v>660</v>
      </c>
      <c r="Q23">
        <v>7</v>
      </c>
    </row>
    <row r="24" spans="1:17">
      <c r="A24">
        <v>23</v>
      </c>
      <c r="B24">
        <v>1</v>
      </c>
      <c r="C24">
        <v>20240105</v>
      </c>
      <c r="D24" t="s">
        <v>28</v>
      </c>
      <c r="E24" t="s">
        <v>21</v>
      </c>
      <c r="F24" t="s">
        <v>41</v>
      </c>
      <c r="G24" t="s">
        <v>30</v>
      </c>
      <c r="H24">
        <v>21504</v>
      </c>
      <c r="I24" t="s">
        <v>24</v>
      </c>
      <c r="J24">
        <v>4.14</v>
      </c>
      <c r="K24">
        <v>89026.56</v>
      </c>
      <c r="L24" t="s">
        <v>637</v>
      </c>
      <c r="N24">
        <v>4.05</v>
      </c>
      <c r="O24" t="s">
        <v>43</v>
      </c>
      <c r="P24" t="s">
        <v>660</v>
      </c>
      <c r="Q24">
        <v>8</v>
      </c>
    </row>
    <row r="25" spans="1:17">
      <c r="A25">
        <v>24</v>
      </c>
      <c r="B25">
        <v>1</v>
      </c>
      <c r="C25">
        <v>20240105</v>
      </c>
      <c r="D25" t="s">
        <v>28</v>
      </c>
      <c r="E25" t="s">
        <v>21</v>
      </c>
      <c r="F25" t="s">
        <v>32</v>
      </c>
      <c r="G25" t="s">
        <v>37</v>
      </c>
      <c r="H25">
        <v>16112</v>
      </c>
      <c r="I25" t="s">
        <v>24</v>
      </c>
      <c r="J25">
        <v>4.14</v>
      </c>
      <c r="K25">
        <v>66703.68</v>
      </c>
      <c r="L25" t="s">
        <v>634</v>
      </c>
      <c r="M25" t="s">
        <v>661</v>
      </c>
      <c r="N25">
        <v>4.015</v>
      </c>
      <c r="O25" t="s">
        <v>27</v>
      </c>
      <c r="P25" t="s">
        <v>662</v>
      </c>
      <c r="Q25">
        <v>6</v>
      </c>
    </row>
    <row r="26" spans="1:17">
      <c r="A26">
        <v>25</v>
      </c>
      <c r="B26">
        <v>1</v>
      </c>
      <c r="C26">
        <v>20240105</v>
      </c>
      <c r="D26" t="s">
        <v>28</v>
      </c>
      <c r="E26" t="s">
        <v>21</v>
      </c>
      <c r="F26" t="s">
        <v>32</v>
      </c>
      <c r="G26" t="s">
        <v>30</v>
      </c>
      <c r="H26">
        <v>744737</v>
      </c>
      <c r="I26" t="s">
        <v>24</v>
      </c>
      <c r="J26">
        <v>4.14</v>
      </c>
      <c r="K26">
        <v>3083211.18</v>
      </c>
      <c r="L26" t="s">
        <v>634</v>
      </c>
      <c r="M26" t="s">
        <v>661</v>
      </c>
      <c r="N26">
        <v>4.015</v>
      </c>
      <c r="O26" t="s">
        <v>27</v>
      </c>
      <c r="P26" t="s">
        <v>663</v>
      </c>
      <c r="Q26">
        <v>94</v>
      </c>
    </row>
    <row r="27" spans="1:17">
      <c r="A27">
        <v>26</v>
      </c>
      <c r="B27">
        <v>1</v>
      </c>
      <c r="C27">
        <v>20240105</v>
      </c>
      <c r="D27" t="s">
        <v>28</v>
      </c>
      <c r="E27" t="s">
        <v>21</v>
      </c>
      <c r="F27" t="s">
        <v>32</v>
      </c>
      <c r="G27" t="s">
        <v>37</v>
      </c>
      <c r="H27">
        <v>34928</v>
      </c>
      <c r="I27" t="s">
        <v>24</v>
      </c>
      <c r="J27">
        <v>4.14</v>
      </c>
      <c r="K27">
        <v>144601.92</v>
      </c>
      <c r="L27" t="s">
        <v>654</v>
      </c>
      <c r="M27" t="s">
        <v>661</v>
      </c>
      <c r="N27">
        <v>4.015</v>
      </c>
      <c r="O27" t="s">
        <v>27</v>
      </c>
      <c r="P27" t="s">
        <v>662</v>
      </c>
      <c r="Q27">
        <v>7</v>
      </c>
    </row>
    <row r="28" spans="1:17">
      <c r="A28">
        <v>27</v>
      </c>
      <c r="B28">
        <v>1</v>
      </c>
      <c r="C28">
        <v>20240105</v>
      </c>
      <c r="D28" t="s">
        <v>28</v>
      </c>
      <c r="E28" t="s">
        <v>21</v>
      </c>
      <c r="F28" t="s">
        <v>32</v>
      </c>
      <c r="G28" t="s">
        <v>30</v>
      </c>
      <c r="H28">
        <v>1096</v>
      </c>
      <c r="I28" t="s">
        <v>24</v>
      </c>
      <c r="J28">
        <v>4.14</v>
      </c>
      <c r="K28">
        <v>4537.44</v>
      </c>
      <c r="L28" t="s">
        <v>654</v>
      </c>
      <c r="M28" t="s">
        <v>661</v>
      </c>
      <c r="N28">
        <v>4.015</v>
      </c>
      <c r="O28" t="s">
        <v>27</v>
      </c>
      <c r="P28" t="s">
        <v>663</v>
      </c>
      <c r="Q28">
        <v>2</v>
      </c>
    </row>
    <row r="29" spans="1:17">
      <c r="A29">
        <v>28</v>
      </c>
      <c r="B29">
        <v>1</v>
      </c>
      <c r="C29">
        <v>20240105</v>
      </c>
      <c r="D29" t="s">
        <v>28</v>
      </c>
      <c r="E29" t="s">
        <v>21</v>
      </c>
      <c r="F29" t="s">
        <v>32</v>
      </c>
      <c r="G29" t="s">
        <v>37</v>
      </c>
      <c r="H29">
        <v>56558</v>
      </c>
      <c r="I29" t="s">
        <v>24</v>
      </c>
      <c r="J29">
        <v>4.14</v>
      </c>
      <c r="K29">
        <v>234150.12</v>
      </c>
      <c r="L29" t="s">
        <v>637</v>
      </c>
      <c r="M29" t="s">
        <v>661</v>
      </c>
      <c r="N29">
        <v>4.015</v>
      </c>
      <c r="O29" t="s">
        <v>27</v>
      </c>
      <c r="P29" t="s">
        <v>662</v>
      </c>
      <c r="Q29">
        <v>19</v>
      </c>
    </row>
    <row r="30" spans="1:17">
      <c r="A30">
        <v>29</v>
      </c>
      <c r="B30">
        <v>1</v>
      </c>
      <c r="C30">
        <v>20240105</v>
      </c>
      <c r="D30" t="s">
        <v>28</v>
      </c>
      <c r="E30" t="s">
        <v>21</v>
      </c>
      <c r="F30" t="s">
        <v>32</v>
      </c>
      <c r="G30" t="s">
        <v>30</v>
      </c>
      <c r="H30">
        <v>465919</v>
      </c>
      <c r="I30" t="s">
        <v>24</v>
      </c>
      <c r="J30">
        <v>4.14</v>
      </c>
      <c r="K30">
        <v>1928904.66</v>
      </c>
      <c r="L30" t="s">
        <v>637</v>
      </c>
      <c r="M30" t="s">
        <v>661</v>
      </c>
      <c r="N30">
        <v>4.015</v>
      </c>
      <c r="O30" t="s">
        <v>27</v>
      </c>
      <c r="P30" t="s">
        <v>663</v>
      </c>
      <c r="Q30">
        <v>57</v>
      </c>
    </row>
    <row r="31" spans="1:17">
      <c r="A31">
        <v>30</v>
      </c>
      <c r="B31">
        <v>1</v>
      </c>
      <c r="C31">
        <v>20240105</v>
      </c>
      <c r="D31" t="s">
        <v>28</v>
      </c>
      <c r="E31" t="s">
        <v>21</v>
      </c>
      <c r="F31" t="s">
        <v>32</v>
      </c>
      <c r="G31" t="s">
        <v>30</v>
      </c>
      <c r="H31">
        <v>20</v>
      </c>
      <c r="I31" t="s">
        <v>24</v>
      </c>
      <c r="J31">
        <v>4.14</v>
      </c>
      <c r="K31">
        <v>82.8</v>
      </c>
      <c r="L31" t="s">
        <v>637</v>
      </c>
      <c r="M31" t="s">
        <v>664</v>
      </c>
      <c r="N31">
        <v>4.015</v>
      </c>
      <c r="O31" t="s">
        <v>27</v>
      </c>
      <c r="P31" t="s">
        <v>663</v>
      </c>
      <c r="Q31">
        <v>4</v>
      </c>
    </row>
    <row r="32" spans="1:17">
      <c r="A32">
        <v>31</v>
      </c>
      <c r="B32">
        <v>1</v>
      </c>
      <c r="C32">
        <v>20240105</v>
      </c>
      <c r="D32" t="s">
        <v>20</v>
      </c>
      <c r="E32" t="s">
        <v>21</v>
      </c>
      <c r="F32" t="s">
        <v>32</v>
      </c>
      <c r="G32" t="s">
        <v>640</v>
      </c>
      <c r="H32">
        <v>177933</v>
      </c>
      <c r="I32" t="s">
        <v>24</v>
      </c>
      <c r="J32">
        <v>5.47</v>
      </c>
      <c r="K32">
        <v>973293.51</v>
      </c>
      <c r="L32" t="s">
        <v>634</v>
      </c>
      <c r="M32" t="s">
        <v>665</v>
      </c>
      <c r="N32">
        <v>5.0362</v>
      </c>
      <c r="O32" t="s">
        <v>27</v>
      </c>
      <c r="P32" t="s">
        <v>666</v>
      </c>
      <c r="Q32">
        <v>72</v>
      </c>
    </row>
    <row r="33" spans="1:18">
      <c r="A33">
        <v>32</v>
      </c>
      <c r="B33">
        <v>1</v>
      </c>
      <c r="C33">
        <v>20240106</v>
      </c>
      <c r="D33" t="s">
        <v>20</v>
      </c>
      <c r="E33" t="s">
        <v>21</v>
      </c>
      <c r="F33" t="s">
        <v>32</v>
      </c>
      <c r="G33" t="s">
        <v>50</v>
      </c>
      <c r="H33">
        <v>39361</v>
      </c>
      <c r="I33" t="s">
        <v>24</v>
      </c>
      <c r="J33">
        <v>5.53</v>
      </c>
      <c r="K33">
        <v>217666.33</v>
      </c>
      <c r="L33" t="s">
        <v>637</v>
      </c>
      <c r="N33">
        <v>4.7765</v>
      </c>
      <c r="O33" t="s">
        <v>27</v>
      </c>
      <c r="P33" t="s">
        <v>667</v>
      </c>
      <c r="Q33">
        <v>14</v>
      </c>
      <c r="R33">
        <v>7.024</v>
      </c>
    </row>
    <row r="34" spans="1:18">
      <c r="A34">
        <v>33</v>
      </c>
      <c r="B34">
        <v>1</v>
      </c>
      <c r="C34">
        <v>20240106</v>
      </c>
      <c r="D34" t="s">
        <v>20</v>
      </c>
      <c r="E34" t="s">
        <v>21</v>
      </c>
      <c r="F34" t="s">
        <v>32</v>
      </c>
      <c r="G34" t="s">
        <v>640</v>
      </c>
      <c r="H34">
        <v>76687</v>
      </c>
      <c r="I34" t="s">
        <v>24</v>
      </c>
      <c r="J34">
        <v>5.47</v>
      </c>
      <c r="K34">
        <v>419477.89</v>
      </c>
      <c r="L34" t="s">
        <v>634</v>
      </c>
      <c r="N34">
        <v>5.0362</v>
      </c>
      <c r="O34" t="s">
        <v>27</v>
      </c>
      <c r="P34" t="s">
        <v>668</v>
      </c>
      <c r="Q34">
        <v>44</v>
      </c>
      <c r="R34">
        <v>7.1094</v>
      </c>
    </row>
    <row r="35" spans="1:18">
      <c r="A35">
        <v>34</v>
      </c>
      <c r="B35">
        <v>1</v>
      </c>
      <c r="C35">
        <v>20240108</v>
      </c>
      <c r="D35" t="s">
        <v>20</v>
      </c>
      <c r="E35" t="s">
        <v>21</v>
      </c>
      <c r="F35" t="s">
        <v>46</v>
      </c>
      <c r="G35" t="s">
        <v>633</v>
      </c>
      <c r="H35">
        <v>25139</v>
      </c>
      <c r="I35" t="s">
        <v>24</v>
      </c>
      <c r="J35">
        <v>7.46</v>
      </c>
      <c r="K35">
        <v>187536.94</v>
      </c>
      <c r="L35" t="s">
        <v>634</v>
      </c>
      <c r="N35">
        <v>4.93</v>
      </c>
      <c r="O35" t="s">
        <v>43</v>
      </c>
      <c r="P35" t="s">
        <v>669</v>
      </c>
      <c r="Q35">
        <v>2</v>
      </c>
    </row>
    <row r="36" spans="1:18">
      <c r="A36">
        <v>35</v>
      </c>
      <c r="B36">
        <v>1</v>
      </c>
      <c r="C36">
        <v>20240108</v>
      </c>
      <c r="D36" t="s">
        <v>28</v>
      </c>
      <c r="E36" t="s">
        <v>21</v>
      </c>
      <c r="F36" t="s">
        <v>32</v>
      </c>
      <c r="G36" t="s">
        <v>30</v>
      </c>
      <c r="H36">
        <v>86607</v>
      </c>
      <c r="I36" t="s">
        <v>24</v>
      </c>
      <c r="J36">
        <v>4.14</v>
      </c>
      <c r="K36">
        <v>358552.98</v>
      </c>
      <c r="L36" t="s">
        <v>634</v>
      </c>
      <c r="N36">
        <v>4.015</v>
      </c>
      <c r="O36" t="s">
        <v>43</v>
      </c>
      <c r="P36" t="s">
        <v>670</v>
      </c>
      <c r="Q36">
        <v>25</v>
      </c>
    </row>
    <row r="37" spans="1:18">
      <c r="A37">
        <v>36</v>
      </c>
      <c r="B37">
        <v>1</v>
      </c>
      <c r="C37">
        <v>20240108</v>
      </c>
      <c r="D37" t="s">
        <v>28</v>
      </c>
      <c r="E37" t="s">
        <v>21</v>
      </c>
      <c r="F37" t="s">
        <v>32</v>
      </c>
      <c r="G37" t="s">
        <v>30</v>
      </c>
      <c r="H37">
        <v>362</v>
      </c>
      <c r="I37" t="s">
        <v>24</v>
      </c>
      <c r="J37">
        <v>4.14</v>
      </c>
      <c r="K37">
        <v>1498.68</v>
      </c>
      <c r="L37" t="s">
        <v>654</v>
      </c>
      <c r="N37">
        <v>4.015</v>
      </c>
      <c r="O37" t="s">
        <v>43</v>
      </c>
      <c r="P37" t="s">
        <v>670</v>
      </c>
      <c r="Q37">
        <v>2</v>
      </c>
    </row>
    <row r="38" spans="1:18">
      <c r="A38">
        <v>37</v>
      </c>
      <c r="B38">
        <v>1</v>
      </c>
      <c r="C38">
        <v>20240108</v>
      </c>
      <c r="D38" t="s">
        <v>28</v>
      </c>
      <c r="E38" t="s">
        <v>21</v>
      </c>
      <c r="F38" t="s">
        <v>32</v>
      </c>
      <c r="G38" t="s">
        <v>30</v>
      </c>
      <c r="H38">
        <v>49925</v>
      </c>
      <c r="I38" t="s">
        <v>24</v>
      </c>
      <c r="J38">
        <v>4.14</v>
      </c>
      <c r="K38">
        <v>206689.5</v>
      </c>
      <c r="L38" t="s">
        <v>637</v>
      </c>
      <c r="N38">
        <v>4.015</v>
      </c>
      <c r="O38" t="s">
        <v>43</v>
      </c>
      <c r="P38" t="s">
        <v>670</v>
      </c>
      <c r="Q38">
        <v>18</v>
      </c>
    </row>
    <row r="39" spans="1:18">
      <c r="A39">
        <v>38</v>
      </c>
      <c r="B39">
        <v>1</v>
      </c>
      <c r="C39">
        <v>20240108</v>
      </c>
      <c r="D39" t="s">
        <v>28</v>
      </c>
      <c r="E39" t="s">
        <v>21</v>
      </c>
      <c r="F39" t="s">
        <v>39</v>
      </c>
      <c r="G39" t="s">
        <v>40</v>
      </c>
      <c r="H39">
        <v>3</v>
      </c>
      <c r="I39" t="s">
        <v>24</v>
      </c>
      <c r="J39">
        <v>2106.81</v>
      </c>
      <c r="K39">
        <v>6320.43</v>
      </c>
      <c r="L39" t="s">
        <v>637</v>
      </c>
      <c r="N39">
        <v>1409.017</v>
      </c>
      <c r="O39" t="s">
        <v>43</v>
      </c>
      <c r="P39" t="s">
        <v>671</v>
      </c>
      <c r="Q39">
        <v>1</v>
      </c>
    </row>
    <row r="40" spans="1:18">
      <c r="A40">
        <v>39</v>
      </c>
      <c r="B40">
        <v>1</v>
      </c>
      <c r="C40">
        <v>20240108</v>
      </c>
      <c r="D40" t="s">
        <v>20</v>
      </c>
      <c r="E40" t="s">
        <v>21</v>
      </c>
      <c r="F40" t="s">
        <v>59</v>
      </c>
      <c r="G40" t="s">
        <v>47</v>
      </c>
      <c r="H40">
        <v>41152</v>
      </c>
      <c r="I40" t="s">
        <v>24</v>
      </c>
      <c r="J40">
        <v>7.46</v>
      </c>
      <c r="K40">
        <v>306993.92</v>
      </c>
      <c r="L40" t="s">
        <v>637</v>
      </c>
      <c r="N40">
        <v>5.135814</v>
      </c>
      <c r="O40" t="s">
        <v>43</v>
      </c>
      <c r="P40" t="s">
        <v>672</v>
      </c>
      <c r="Q40">
        <v>1</v>
      </c>
      <c r="R40">
        <v>5.2041</v>
      </c>
    </row>
    <row r="41" spans="1:18">
      <c r="A41">
        <v>40</v>
      </c>
      <c r="B41">
        <v>1</v>
      </c>
      <c r="C41">
        <v>20240108</v>
      </c>
      <c r="D41" t="s">
        <v>28</v>
      </c>
      <c r="E41" t="s">
        <v>21</v>
      </c>
      <c r="F41" t="s">
        <v>22</v>
      </c>
      <c r="G41" t="s">
        <v>37</v>
      </c>
      <c r="H41">
        <v>45172</v>
      </c>
      <c r="I41" t="s">
        <v>24</v>
      </c>
      <c r="J41">
        <v>4.14</v>
      </c>
      <c r="K41">
        <v>187012.08</v>
      </c>
      <c r="L41" t="s">
        <v>637</v>
      </c>
      <c r="M41" t="s">
        <v>673</v>
      </c>
      <c r="N41">
        <v>4.0727</v>
      </c>
      <c r="O41" t="s">
        <v>27</v>
      </c>
      <c r="P41" t="s">
        <v>674</v>
      </c>
      <c r="Q41">
        <v>9</v>
      </c>
    </row>
    <row r="42" spans="1:18">
      <c r="A42">
        <v>41</v>
      </c>
      <c r="B42">
        <v>1</v>
      </c>
      <c r="C42">
        <v>20240108</v>
      </c>
      <c r="D42" t="s">
        <v>28</v>
      </c>
      <c r="E42" t="s">
        <v>21</v>
      </c>
      <c r="F42" t="s">
        <v>22</v>
      </c>
      <c r="G42" t="s">
        <v>37</v>
      </c>
      <c r="H42">
        <v>64314</v>
      </c>
      <c r="I42" t="s">
        <v>24</v>
      </c>
      <c r="J42">
        <v>4.14</v>
      </c>
      <c r="K42">
        <v>266259.96</v>
      </c>
      <c r="L42" t="s">
        <v>637</v>
      </c>
      <c r="M42" t="s">
        <v>673</v>
      </c>
      <c r="N42">
        <v>3.5873</v>
      </c>
      <c r="O42" t="s">
        <v>27</v>
      </c>
      <c r="P42" t="s">
        <v>674</v>
      </c>
      <c r="Q42">
        <v>11</v>
      </c>
    </row>
    <row r="43" spans="1:18">
      <c r="A43">
        <v>42</v>
      </c>
      <c r="B43">
        <v>1</v>
      </c>
      <c r="C43">
        <v>20240108</v>
      </c>
      <c r="D43" t="s">
        <v>28</v>
      </c>
      <c r="E43" t="s">
        <v>21</v>
      </c>
      <c r="F43" t="s">
        <v>22</v>
      </c>
      <c r="G43" t="s">
        <v>37</v>
      </c>
      <c r="H43">
        <v>538</v>
      </c>
      <c r="I43" t="s">
        <v>24</v>
      </c>
      <c r="J43">
        <v>4.14</v>
      </c>
      <c r="K43">
        <v>2227.32</v>
      </c>
      <c r="L43" t="s">
        <v>637</v>
      </c>
      <c r="M43" t="s">
        <v>673</v>
      </c>
      <c r="N43">
        <v>3.5473</v>
      </c>
      <c r="O43" t="s">
        <v>27</v>
      </c>
      <c r="P43" t="s">
        <v>674</v>
      </c>
      <c r="Q43">
        <v>5</v>
      </c>
    </row>
    <row r="44" spans="1:18">
      <c r="A44">
        <v>43</v>
      </c>
      <c r="B44">
        <v>1</v>
      </c>
      <c r="C44">
        <v>20240108</v>
      </c>
      <c r="D44" t="s">
        <v>28</v>
      </c>
      <c r="E44" t="s">
        <v>21</v>
      </c>
      <c r="F44" t="s">
        <v>22</v>
      </c>
      <c r="G44" t="s">
        <v>30</v>
      </c>
      <c r="H44">
        <v>286358</v>
      </c>
      <c r="I44" t="s">
        <v>24</v>
      </c>
      <c r="J44">
        <v>4.14</v>
      </c>
      <c r="K44">
        <v>1185522.12</v>
      </c>
      <c r="L44" t="s">
        <v>637</v>
      </c>
      <c r="M44" t="s">
        <v>673</v>
      </c>
      <c r="N44">
        <v>3.5844</v>
      </c>
      <c r="O44" t="s">
        <v>27</v>
      </c>
      <c r="P44" t="s">
        <v>675</v>
      </c>
      <c r="Q44">
        <v>12</v>
      </c>
    </row>
    <row r="45" spans="1:18">
      <c r="A45">
        <v>44</v>
      </c>
      <c r="B45">
        <v>1</v>
      </c>
      <c r="C45">
        <v>20240108</v>
      </c>
      <c r="D45" t="s">
        <v>28</v>
      </c>
      <c r="E45" t="s">
        <v>21</v>
      </c>
      <c r="F45" t="s">
        <v>22</v>
      </c>
      <c r="G45" t="s">
        <v>30</v>
      </c>
      <c r="H45">
        <v>55079</v>
      </c>
      <c r="I45" t="s">
        <v>24</v>
      </c>
      <c r="J45">
        <v>4.14</v>
      </c>
      <c r="K45">
        <v>228027.06</v>
      </c>
      <c r="L45" t="s">
        <v>637</v>
      </c>
      <c r="M45" t="s">
        <v>673</v>
      </c>
      <c r="N45">
        <v>3.5065</v>
      </c>
      <c r="O45" t="s">
        <v>27</v>
      </c>
      <c r="P45" t="s">
        <v>675</v>
      </c>
      <c r="Q45">
        <v>4</v>
      </c>
    </row>
    <row r="46" spans="1:18">
      <c r="A46">
        <v>45</v>
      </c>
      <c r="B46">
        <v>1</v>
      </c>
      <c r="C46">
        <v>20240108</v>
      </c>
      <c r="D46" t="s">
        <v>28</v>
      </c>
      <c r="E46" t="s">
        <v>21</v>
      </c>
      <c r="F46" t="s">
        <v>22</v>
      </c>
      <c r="G46" t="s">
        <v>37</v>
      </c>
      <c r="H46">
        <v>30981</v>
      </c>
      <c r="I46" t="s">
        <v>24</v>
      </c>
      <c r="J46">
        <v>4.14</v>
      </c>
      <c r="K46">
        <v>128261.34</v>
      </c>
      <c r="L46" t="s">
        <v>634</v>
      </c>
      <c r="M46" t="s">
        <v>673</v>
      </c>
      <c r="N46">
        <v>4.0825</v>
      </c>
      <c r="O46" t="s">
        <v>27</v>
      </c>
      <c r="P46" t="s">
        <v>674</v>
      </c>
      <c r="Q46">
        <v>12</v>
      </c>
    </row>
    <row r="47" spans="1:18">
      <c r="A47">
        <v>46</v>
      </c>
      <c r="B47">
        <v>1</v>
      </c>
      <c r="C47">
        <v>20240108</v>
      </c>
      <c r="D47" t="s">
        <v>28</v>
      </c>
      <c r="E47" t="s">
        <v>21</v>
      </c>
      <c r="F47" t="s">
        <v>22</v>
      </c>
      <c r="G47" t="s">
        <v>30</v>
      </c>
      <c r="H47">
        <v>1179037</v>
      </c>
      <c r="I47" t="s">
        <v>24</v>
      </c>
      <c r="J47">
        <v>4.14</v>
      </c>
      <c r="K47">
        <v>4881213.18</v>
      </c>
      <c r="L47" t="s">
        <v>634</v>
      </c>
      <c r="M47" t="s">
        <v>673</v>
      </c>
      <c r="N47">
        <v>4.064</v>
      </c>
      <c r="O47" t="s">
        <v>27</v>
      </c>
      <c r="P47" t="s">
        <v>675</v>
      </c>
      <c r="Q47">
        <v>49</v>
      </c>
    </row>
    <row r="48" spans="1:18">
      <c r="A48">
        <v>47</v>
      </c>
      <c r="B48">
        <v>1</v>
      </c>
      <c r="C48">
        <v>20240108</v>
      </c>
      <c r="D48" t="s">
        <v>28</v>
      </c>
      <c r="E48" t="s">
        <v>21</v>
      </c>
      <c r="F48" t="s">
        <v>22</v>
      </c>
      <c r="G48" t="s">
        <v>37</v>
      </c>
      <c r="H48">
        <v>11756</v>
      </c>
      <c r="I48" t="s">
        <v>24</v>
      </c>
      <c r="J48">
        <v>4.14</v>
      </c>
      <c r="K48">
        <v>48669.84</v>
      </c>
      <c r="L48" t="s">
        <v>654</v>
      </c>
      <c r="M48" t="s">
        <v>673</v>
      </c>
      <c r="N48">
        <v>4.036</v>
      </c>
      <c r="O48" t="s">
        <v>27</v>
      </c>
      <c r="P48" t="s">
        <v>674</v>
      </c>
      <c r="Q48">
        <v>4</v>
      </c>
    </row>
    <row r="49" spans="1:18">
      <c r="A49">
        <v>48</v>
      </c>
      <c r="B49">
        <v>1</v>
      </c>
      <c r="C49">
        <v>20240108</v>
      </c>
      <c r="D49" t="s">
        <v>20</v>
      </c>
      <c r="E49" t="s">
        <v>21</v>
      </c>
      <c r="F49" t="s">
        <v>32</v>
      </c>
      <c r="G49" t="s">
        <v>640</v>
      </c>
      <c r="H49">
        <v>272620</v>
      </c>
      <c r="I49" t="s">
        <v>24</v>
      </c>
      <c r="J49">
        <v>5.47</v>
      </c>
      <c r="K49">
        <v>1491231.4</v>
      </c>
      <c r="L49" t="s">
        <v>634</v>
      </c>
      <c r="N49">
        <v>5.0362</v>
      </c>
      <c r="O49" t="s">
        <v>43</v>
      </c>
      <c r="P49" t="s">
        <v>676</v>
      </c>
      <c r="Q49">
        <v>57</v>
      </c>
      <c r="R49">
        <v>7.1094</v>
      </c>
    </row>
    <row r="50" spans="1:18">
      <c r="A50">
        <v>49</v>
      </c>
      <c r="B50">
        <v>1</v>
      </c>
      <c r="C50">
        <v>20240108</v>
      </c>
      <c r="D50" t="s">
        <v>28</v>
      </c>
      <c r="E50" t="s">
        <v>21</v>
      </c>
      <c r="F50" t="s">
        <v>41</v>
      </c>
      <c r="G50" t="s">
        <v>30</v>
      </c>
      <c r="H50">
        <v>20455</v>
      </c>
      <c r="I50" t="s">
        <v>24</v>
      </c>
      <c r="J50">
        <v>4.14</v>
      </c>
      <c r="K50">
        <v>84683.7</v>
      </c>
      <c r="L50" t="s">
        <v>637</v>
      </c>
      <c r="N50">
        <v>4.05</v>
      </c>
      <c r="O50" t="s">
        <v>43</v>
      </c>
      <c r="P50" t="s">
        <v>677</v>
      </c>
      <c r="Q50">
        <v>8</v>
      </c>
    </row>
    <row r="51" spans="1:18">
      <c r="A51">
        <v>50</v>
      </c>
      <c r="B51">
        <v>1</v>
      </c>
      <c r="C51">
        <v>20240108</v>
      </c>
      <c r="D51" t="s">
        <v>28</v>
      </c>
      <c r="E51" t="s">
        <v>21</v>
      </c>
      <c r="F51" t="s">
        <v>41</v>
      </c>
      <c r="G51" t="s">
        <v>37</v>
      </c>
      <c r="H51">
        <v>517</v>
      </c>
      <c r="I51" t="s">
        <v>24</v>
      </c>
      <c r="J51">
        <v>4.14</v>
      </c>
      <c r="K51">
        <v>2140.38</v>
      </c>
      <c r="L51" t="s">
        <v>637</v>
      </c>
      <c r="N51">
        <v>4.05</v>
      </c>
      <c r="O51" t="s">
        <v>43</v>
      </c>
      <c r="P51" t="s">
        <v>678</v>
      </c>
      <c r="Q51">
        <v>1</v>
      </c>
    </row>
    <row r="52" spans="1:18">
      <c r="A52">
        <v>51</v>
      </c>
      <c r="B52">
        <v>1</v>
      </c>
      <c r="C52">
        <v>20240108</v>
      </c>
      <c r="D52" t="s">
        <v>28</v>
      </c>
      <c r="E52" t="s">
        <v>21</v>
      </c>
      <c r="F52" t="s">
        <v>41</v>
      </c>
      <c r="G52" t="s">
        <v>30</v>
      </c>
      <c r="H52">
        <v>3242</v>
      </c>
      <c r="I52" t="s">
        <v>24</v>
      </c>
      <c r="J52">
        <v>4.14</v>
      </c>
      <c r="K52">
        <v>13421.88</v>
      </c>
      <c r="L52" t="s">
        <v>634</v>
      </c>
      <c r="N52">
        <v>4.05</v>
      </c>
      <c r="O52" t="s">
        <v>43</v>
      </c>
      <c r="P52" t="s">
        <v>677</v>
      </c>
      <c r="Q52">
        <v>1</v>
      </c>
    </row>
    <row r="53" spans="1:18">
      <c r="A53">
        <v>52</v>
      </c>
      <c r="B53">
        <v>1</v>
      </c>
      <c r="C53">
        <v>20240108</v>
      </c>
      <c r="D53" t="s">
        <v>28</v>
      </c>
      <c r="E53" t="s">
        <v>21</v>
      </c>
      <c r="F53" t="s">
        <v>41</v>
      </c>
      <c r="G53" t="s">
        <v>30</v>
      </c>
      <c r="H53">
        <v>6767</v>
      </c>
      <c r="I53" t="s">
        <v>24</v>
      </c>
      <c r="J53">
        <v>4.14</v>
      </c>
      <c r="K53">
        <v>28015.38</v>
      </c>
      <c r="L53" t="s">
        <v>634</v>
      </c>
      <c r="N53">
        <v>4.05</v>
      </c>
      <c r="O53" t="s">
        <v>43</v>
      </c>
      <c r="P53" t="s">
        <v>677</v>
      </c>
      <c r="Q53">
        <v>6</v>
      </c>
    </row>
    <row r="54" spans="1:18">
      <c r="A54">
        <v>53</v>
      </c>
      <c r="B54">
        <v>1</v>
      </c>
      <c r="C54">
        <v>20240108</v>
      </c>
      <c r="D54" t="s">
        <v>28</v>
      </c>
      <c r="E54" t="s">
        <v>21</v>
      </c>
      <c r="F54" t="s">
        <v>41</v>
      </c>
      <c r="G54" t="s">
        <v>37</v>
      </c>
      <c r="H54">
        <v>396</v>
      </c>
      <c r="I54" t="s">
        <v>24</v>
      </c>
      <c r="J54">
        <v>4.14</v>
      </c>
      <c r="K54">
        <v>1639.44</v>
      </c>
      <c r="L54" t="s">
        <v>634</v>
      </c>
      <c r="N54">
        <v>4.05</v>
      </c>
      <c r="O54" t="s">
        <v>43</v>
      </c>
      <c r="P54" t="s">
        <v>678</v>
      </c>
      <c r="Q54">
        <v>1</v>
      </c>
    </row>
    <row r="55" spans="1:18">
      <c r="A55">
        <v>54</v>
      </c>
      <c r="B55">
        <v>1</v>
      </c>
      <c r="C55">
        <v>20240108</v>
      </c>
      <c r="D55" t="s">
        <v>28</v>
      </c>
      <c r="E55" t="s">
        <v>21</v>
      </c>
      <c r="F55" t="s">
        <v>41</v>
      </c>
      <c r="G55" t="s">
        <v>30</v>
      </c>
      <c r="H55">
        <v>7601</v>
      </c>
      <c r="I55" t="s">
        <v>24</v>
      </c>
      <c r="J55">
        <v>4.14</v>
      </c>
      <c r="K55">
        <v>31468.14</v>
      </c>
      <c r="L55" t="s">
        <v>637</v>
      </c>
      <c r="N55">
        <v>4.05</v>
      </c>
      <c r="O55" t="s">
        <v>43</v>
      </c>
      <c r="P55" t="s">
        <v>677</v>
      </c>
      <c r="Q55">
        <v>5</v>
      </c>
    </row>
    <row r="56" spans="1:18">
      <c r="A56">
        <v>55</v>
      </c>
      <c r="B56">
        <v>1</v>
      </c>
      <c r="C56">
        <v>20240108</v>
      </c>
      <c r="D56" t="s">
        <v>28</v>
      </c>
      <c r="E56" t="s">
        <v>21</v>
      </c>
      <c r="F56" t="s">
        <v>41</v>
      </c>
      <c r="G56" t="s">
        <v>37</v>
      </c>
      <c r="H56">
        <v>2219</v>
      </c>
      <c r="I56" t="s">
        <v>24</v>
      </c>
      <c r="J56">
        <v>4.14</v>
      </c>
      <c r="K56">
        <v>9186.66</v>
      </c>
      <c r="L56" t="s">
        <v>637</v>
      </c>
      <c r="N56">
        <v>4.05</v>
      </c>
      <c r="O56" t="s">
        <v>43</v>
      </c>
      <c r="P56" t="s">
        <v>678</v>
      </c>
      <c r="Q56">
        <v>4</v>
      </c>
    </row>
    <row r="57" spans="1:18">
      <c r="A57">
        <v>56</v>
      </c>
      <c r="B57">
        <v>1</v>
      </c>
      <c r="C57">
        <v>20240108</v>
      </c>
      <c r="D57" t="s">
        <v>28</v>
      </c>
      <c r="E57" t="s">
        <v>21</v>
      </c>
      <c r="F57" t="s">
        <v>41</v>
      </c>
      <c r="G57" t="s">
        <v>30</v>
      </c>
      <c r="H57">
        <v>23801</v>
      </c>
      <c r="I57" t="s">
        <v>24</v>
      </c>
      <c r="J57">
        <v>4.14</v>
      </c>
      <c r="K57">
        <v>98536.14</v>
      </c>
      <c r="L57" t="s">
        <v>637</v>
      </c>
      <c r="N57">
        <v>4.05</v>
      </c>
      <c r="O57" t="s">
        <v>43</v>
      </c>
      <c r="P57" t="s">
        <v>677</v>
      </c>
      <c r="Q57">
        <v>5</v>
      </c>
    </row>
    <row r="58" spans="1:18">
      <c r="A58">
        <v>57</v>
      </c>
      <c r="B58">
        <v>1</v>
      </c>
      <c r="C58">
        <v>20240109</v>
      </c>
      <c r="D58" t="s">
        <v>28</v>
      </c>
      <c r="E58" t="s">
        <v>21</v>
      </c>
      <c r="F58" t="s">
        <v>29</v>
      </c>
      <c r="G58" t="s">
        <v>679</v>
      </c>
      <c r="H58">
        <v>344224</v>
      </c>
      <c r="I58" t="s">
        <v>24</v>
      </c>
      <c r="J58">
        <v>4.53</v>
      </c>
      <c r="K58">
        <v>1559334.72</v>
      </c>
      <c r="L58" t="s">
        <v>634</v>
      </c>
      <c r="N58">
        <v>4.44</v>
      </c>
      <c r="O58" t="s">
        <v>43</v>
      </c>
      <c r="P58" t="s">
        <v>680</v>
      </c>
      <c r="Q58">
        <v>39</v>
      </c>
    </row>
    <row r="59" spans="1:18">
      <c r="A59">
        <v>58</v>
      </c>
      <c r="B59">
        <v>1</v>
      </c>
      <c r="C59">
        <v>20240109</v>
      </c>
      <c r="D59" t="s">
        <v>28</v>
      </c>
      <c r="E59" t="s">
        <v>21</v>
      </c>
      <c r="F59" t="s">
        <v>29</v>
      </c>
      <c r="G59" t="s">
        <v>679</v>
      </c>
      <c r="H59">
        <v>543589</v>
      </c>
      <c r="I59" t="s">
        <v>24</v>
      </c>
      <c r="J59">
        <v>4.53</v>
      </c>
      <c r="K59">
        <v>2462458.17</v>
      </c>
      <c r="L59" t="s">
        <v>634</v>
      </c>
      <c r="N59">
        <v>4.44</v>
      </c>
      <c r="O59" t="s">
        <v>43</v>
      </c>
      <c r="P59" t="s">
        <v>680</v>
      </c>
      <c r="Q59">
        <v>54</v>
      </c>
    </row>
    <row r="60" spans="1:18">
      <c r="A60">
        <v>59</v>
      </c>
      <c r="B60">
        <v>1</v>
      </c>
      <c r="C60">
        <v>20240109</v>
      </c>
      <c r="D60" t="s">
        <v>28</v>
      </c>
      <c r="E60" t="s">
        <v>21</v>
      </c>
      <c r="F60" t="s">
        <v>29</v>
      </c>
      <c r="G60" t="s">
        <v>679</v>
      </c>
      <c r="H60">
        <v>667361</v>
      </c>
      <c r="I60" t="s">
        <v>24</v>
      </c>
      <c r="J60">
        <v>4.53</v>
      </c>
      <c r="K60">
        <v>3023145.33</v>
      </c>
      <c r="L60" t="s">
        <v>634</v>
      </c>
      <c r="N60">
        <v>4.44</v>
      </c>
      <c r="O60" t="s">
        <v>43</v>
      </c>
      <c r="P60" t="s">
        <v>680</v>
      </c>
      <c r="Q60">
        <v>122</v>
      </c>
    </row>
    <row r="61" spans="1:18">
      <c r="A61">
        <v>60</v>
      </c>
      <c r="B61">
        <v>1</v>
      </c>
      <c r="C61">
        <v>20240109</v>
      </c>
      <c r="D61" t="s">
        <v>28</v>
      </c>
      <c r="E61" t="s">
        <v>21</v>
      </c>
      <c r="F61" t="s">
        <v>32</v>
      </c>
      <c r="G61" t="s">
        <v>99</v>
      </c>
      <c r="H61">
        <v>9587</v>
      </c>
      <c r="I61" t="s">
        <v>24</v>
      </c>
      <c r="J61">
        <v>4.14</v>
      </c>
      <c r="K61">
        <v>39690.18</v>
      </c>
      <c r="L61" t="s">
        <v>634</v>
      </c>
      <c r="M61" t="s">
        <v>681</v>
      </c>
      <c r="N61">
        <v>4.015</v>
      </c>
      <c r="O61" t="s">
        <v>27</v>
      </c>
      <c r="P61" t="s">
        <v>682</v>
      </c>
      <c r="Q61">
        <v>2</v>
      </c>
    </row>
    <row r="62" spans="1:18">
      <c r="A62">
        <v>61</v>
      </c>
      <c r="B62">
        <v>1</v>
      </c>
      <c r="C62">
        <v>20240109</v>
      </c>
      <c r="D62" t="s">
        <v>28</v>
      </c>
      <c r="E62" t="s">
        <v>21</v>
      </c>
      <c r="F62" t="s">
        <v>32</v>
      </c>
      <c r="G62" t="s">
        <v>679</v>
      </c>
      <c r="H62">
        <v>138941</v>
      </c>
      <c r="I62" t="s">
        <v>24</v>
      </c>
      <c r="J62">
        <v>4.14</v>
      </c>
      <c r="K62">
        <v>575215.74</v>
      </c>
      <c r="L62" t="s">
        <v>634</v>
      </c>
      <c r="M62" t="s">
        <v>681</v>
      </c>
      <c r="N62">
        <v>4.021</v>
      </c>
      <c r="O62" t="s">
        <v>27</v>
      </c>
      <c r="P62" t="s">
        <v>683</v>
      </c>
      <c r="Q62">
        <v>133</v>
      </c>
    </row>
    <row r="63" spans="1:18">
      <c r="A63">
        <v>62</v>
      </c>
      <c r="B63">
        <v>1</v>
      </c>
      <c r="C63">
        <v>20240109</v>
      </c>
      <c r="D63" t="s">
        <v>28</v>
      </c>
      <c r="E63" t="s">
        <v>21</v>
      </c>
      <c r="F63" t="s">
        <v>32</v>
      </c>
      <c r="G63" t="s">
        <v>679</v>
      </c>
      <c r="H63">
        <v>2521</v>
      </c>
      <c r="I63" t="s">
        <v>24</v>
      </c>
      <c r="J63">
        <v>4.14</v>
      </c>
      <c r="K63">
        <v>10436.94</v>
      </c>
      <c r="L63" t="s">
        <v>634</v>
      </c>
      <c r="M63" t="s">
        <v>681</v>
      </c>
      <c r="N63">
        <v>4.015</v>
      </c>
      <c r="O63" t="s">
        <v>27</v>
      </c>
      <c r="P63" t="s">
        <v>683</v>
      </c>
    </row>
    <row r="64" spans="1:18">
      <c r="A64">
        <v>63</v>
      </c>
      <c r="B64">
        <v>1</v>
      </c>
      <c r="C64">
        <v>20240109</v>
      </c>
      <c r="D64" t="s">
        <v>28</v>
      </c>
      <c r="E64" t="s">
        <v>21</v>
      </c>
      <c r="F64" t="s">
        <v>32</v>
      </c>
      <c r="G64" t="s">
        <v>37</v>
      </c>
      <c r="H64">
        <v>590</v>
      </c>
      <c r="I64" t="s">
        <v>24</v>
      </c>
      <c r="J64">
        <v>4.14</v>
      </c>
      <c r="K64">
        <v>2442.6</v>
      </c>
      <c r="L64" t="s">
        <v>637</v>
      </c>
      <c r="M64" t="s">
        <v>681</v>
      </c>
      <c r="N64">
        <v>4.015</v>
      </c>
      <c r="O64" t="s">
        <v>27</v>
      </c>
      <c r="P64" t="s">
        <v>684</v>
      </c>
      <c r="Q64">
        <v>1</v>
      </c>
    </row>
    <row r="65" spans="1:18">
      <c r="A65">
        <v>64</v>
      </c>
      <c r="B65">
        <v>1</v>
      </c>
      <c r="C65">
        <v>20240109</v>
      </c>
      <c r="D65" t="s">
        <v>28</v>
      </c>
      <c r="E65" t="s">
        <v>21</v>
      </c>
      <c r="F65" t="s">
        <v>32</v>
      </c>
      <c r="G65" t="s">
        <v>30</v>
      </c>
      <c r="H65">
        <v>80466</v>
      </c>
      <c r="I65" t="s">
        <v>24</v>
      </c>
      <c r="J65">
        <v>4.14</v>
      </c>
      <c r="K65">
        <v>333129.24</v>
      </c>
      <c r="L65" t="s">
        <v>637</v>
      </c>
      <c r="M65" t="s">
        <v>681</v>
      </c>
      <c r="N65">
        <v>4.015</v>
      </c>
      <c r="O65" t="s">
        <v>27</v>
      </c>
      <c r="P65" t="s">
        <v>685</v>
      </c>
      <c r="Q65">
        <v>6</v>
      </c>
    </row>
    <row r="66" spans="1:18">
      <c r="A66">
        <v>65</v>
      </c>
      <c r="B66">
        <v>1</v>
      </c>
      <c r="C66">
        <v>20240109</v>
      </c>
      <c r="D66" t="s">
        <v>20</v>
      </c>
      <c r="E66" t="s">
        <v>21</v>
      </c>
      <c r="F66" t="s">
        <v>32</v>
      </c>
      <c r="G66" t="s">
        <v>50</v>
      </c>
      <c r="H66">
        <v>74105</v>
      </c>
      <c r="I66" t="s">
        <v>24</v>
      </c>
      <c r="J66">
        <v>5.53</v>
      </c>
      <c r="K66">
        <v>409800.65</v>
      </c>
      <c r="L66" t="s">
        <v>637</v>
      </c>
      <c r="M66" t="s">
        <v>686</v>
      </c>
      <c r="N66">
        <v>4.7765</v>
      </c>
      <c r="O66" t="s">
        <v>27</v>
      </c>
      <c r="P66" t="s">
        <v>687</v>
      </c>
      <c r="Q66">
        <v>23</v>
      </c>
      <c r="R66">
        <v>7.024</v>
      </c>
    </row>
    <row r="67" spans="1:18">
      <c r="A67">
        <v>66</v>
      </c>
      <c r="B67">
        <v>1</v>
      </c>
      <c r="C67">
        <v>20240109</v>
      </c>
      <c r="D67" t="s">
        <v>20</v>
      </c>
      <c r="E67" t="s">
        <v>21</v>
      </c>
      <c r="F67" t="s">
        <v>32</v>
      </c>
      <c r="G67" t="s">
        <v>640</v>
      </c>
      <c r="H67">
        <v>296977</v>
      </c>
      <c r="I67" t="s">
        <v>24</v>
      </c>
      <c r="J67">
        <v>5.47</v>
      </c>
      <c r="K67">
        <v>1624464.19</v>
      </c>
      <c r="L67" t="s">
        <v>634</v>
      </c>
      <c r="M67" t="s">
        <v>686</v>
      </c>
      <c r="N67">
        <v>5.0362</v>
      </c>
      <c r="O67" t="s">
        <v>27</v>
      </c>
      <c r="P67" t="s">
        <v>688</v>
      </c>
      <c r="Q67">
        <v>32</v>
      </c>
      <c r="R67">
        <v>7.1094</v>
      </c>
    </row>
    <row r="68" spans="1:18">
      <c r="A68">
        <v>67</v>
      </c>
      <c r="B68">
        <v>1</v>
      </c>
      <c r="C68">
        <v>20240109</v>
      </c>
      <c r="D68" t="s">
        <v>28</v>
      </c>
      <c r="E68" t="s">
        <v>21</v>
      </c>
      <c r="F68" t="s">
        <v>22</v>
      </c>
      <c r="G68" t="s">
        <v>99</v>
      </c>
      <c r="H68">
        <v>1041</v>
      </c>
      <c r="I68" t="s">
        <v>24</v>
      </c>
      <c r="J68">
        <v>4.14</v>
      </c>
      <c r="K68">
        <v>4309.74</v>
      </c>
      <c r="L68" t="s">
        <v>634</v>
      </c>
      <c r="M68" t="s">
        <v>689</v>
      </c>
      <c r="N68">
        <v>4.0295</v>
      </c>
      <c r="O68" t="s">
        <v>27</v>
      </c>
      <c r="P68" t="s">
        <v>690</v>
      </c>
      <c r="Q68">
        <v>2</v>
      </c>
    </row>
    <row r="69" spans="1:18">
      <c r="A69">
        <v>68</v>
      </c>
      <c r="B69">
        <v>1</v>
      </c>
      <c r="C69">
        <v>20240109</v>
      </c>
      <c r="D69" t="s">
        <v>28</v>
      </c>
      <c r="E69" t="s">
        <v>21</v>
      </c>
      <c r="F69" t="s">
        <v>22</v>
      </c>
      <c r="G69" t="s">
        <v>37</v>
      </c>
      <c r="H69">
        <v>5089</v>
      </c>
      <c r="I69" t="s">
        <v>24</v>
      </c>
      <c r="J69">
        <v>4.14</v>
      </c>
      <c r="K69">
        <v>21068.46</v>
      </c>
      <c r="L69" t="s">
        <v>634</v>
      </c>
      <c r="M69" t="s">
        <v>689</v>
      </c>
      <c r="N69">
        <v>4.0815</v>
      </c>
      <c r="O69" t="s">
        <v>27</v>
      </c>
      <c r="P69" t="s">
        <v>691</v>
      </c>
      <c r="Q69">
        <v>10</v>
      </c>
    </row>
    <row r="70" spans="1:18">
      <c r="A70">
        <v>69</v>
      </c>
      <c r="B70">
        <v>1</v>
      </c>
      <c r="C70">
        <v>20240109</v>
      </c>
      <c r="D70" t="s">
        <v>28</v>
      </c>
      <c r="E70" t="s">
        <v>21</v>
      </c>
      <c r="F70" t="s">
        <v>22</v>
      </c>
      <c r="G70" t="s">
        <v>30</v>
      </c>
      <c r="H70">
        <v>85274</v>
      </c>
      <c r="I70" t="s">
        <v>24</v>
      </c>
      <c r="J70">
        <v>4.14</v>
      </c>
      <c r="K70">
        <v>353034.36</v>
      </c>
      <c r="L70" t="s">
        <v>634</v>
      </c>
      <c r="M70" t="s">
        <v>689</v>
      </c>
      <c r="N70">
        <v>4.0825</v>
      </c>
      <c r="O70" t="s">
        <v>27</v>
      </c>
      <c r="P70" t="s">
        <v>692</v>
      </c>
      <c r="Q70">
        <v>7</v>
      </c>
    </row>
    <row r="71" spans="1:18">
      <c r="A71">
        <v>70</v>
      </c>
      <c r="B71">
        <v>1</v>
      </c>
      <c r="C71">
        <v>20240109</v>
      </c>
      <c r="D71" t="s">
        <v>28</v>
      </c>
      <c r="E71" t="s">
        <v>21</v>
      </c>
      <c r="F71" t="s">
        <v>22</v>
      </c>
      <c r="G71" t="s">
        <v>37</v>
      </c>
      <c r="H71">
        <v>8445</v>
      </c>
      <c r="I71" t="s">
        <v>24</v>
      </c>
      <c r="J71">
        <v>4.14</v>
      </c>
      <c r="K71">
        <v>34962.3</v>
      </c>
      <c r="L71" t="s">
        <v>654</v>
      </c>
      <c r="M71" t="s">
        <v>689</v>
      </c>
      <c r="N71">
        <v>4.0825</v>
      </c>
      <c r="O71" t="s">
        <v>27</v>
      </c>
      <c r="P71" t="s">
        <v>691</v>
      </c>
      <c r="Q71">
        <v>7</v>
      </c>
    </row>
    <row r="72" spans="1:18">
      <c r="A72">
        <v>71</v>
      </c>
      <c r="B72">
        <v>1</v>
      </c>
      <c r="C72">
        <v>20240109</v>
      </c>
      <c r="D72" t="s">
        <v>28</v>
      </c>
      <c r="E72" t="s">
        <v>21</v>
      </c>
      <c r="F72" t="s">
        <v>22</v>
      </c>
      <c r="G72" t="s">
        <v>37</v>
      </c>
      <c r="H72">
        <v>6446</v>
      </c>
      <c r="I72" t="s">
        <v>24</v>
      </c>
      <c r="J72">
        <v>4.14</v>
      </c>
      <c r="K72">
        <v>26686.44</v>
      </c>
      <c r="L72" t="s">
        <v>637</v>
      </c>
      <c r="M72" t="s">
        <v>689</v>
      </c>
      <c r="N72">
        <v>3.5873</v>
      </c>
      <c r="O72" t="s">
        <v>27</v>
      </c>
      <c r="P72" t="s">
        <v>691</v>
      </c>
      <c r="Q72">
        <v>4</v>
      </c>
    </row>
    <row r="73" spans="1:18">
      <c r="A73">
        <v>72</v>
      </c>
      <c r="B73">
        <v>1</v>
      </c>
      <c r="C73">
        <v>20240109</v>
      </c>
      <c r="D73" t="s">
        <v>28</v>
      </c>
      <c r="E73" t="s">
        <v>21</v>
      </c>
      <c r="F73" t="s">
        <v>22</v>
      </c>
      <c r="G73" t="s">
        <v>37</v>
      </c>
      <c r="H73">
        <v>134</v>
      </c>
      <c r="I73" t="s">
        <v>24</v>
      </c>
      <c r="J73">
        <v>4.14</v>
      </c>
      <c r="K73">
        <v>554.76</v>
      </c>
      <c r="L73" t="s">
        <v>637</v>
      </c>
      <c r="M73" t="s">
        <v>689</v>
      </c>
      <c r="N73">
        <v>3.5065</v>
      </c>
      <c r="O73" t="s">
        <v>27</v>
      </c>
      <c r="P73" t="s">
        <v>691</v>
      </c>
      <c r="Q73">
        <v>1</v>
      </c>
    </row>
    <row r="74" spans="1:18">
      <c r="A74">
        <v>73</v>
      </c>
      <c r="B74">
        <v>1</v>
      </c>
      <c r="C74">
        <v>20240109</v>
      </c>
      <c r="D74" t="s">
        <v>28</v>
      </c>
      <c r="E74" t="s">
        <v>21</v>
      </c>
      <c r="F74" t="s">
        <v>22</v>
      </c>
      <c r="G74" t="s">
        <v>37</v>
      </c>
      <c r="H74">
        <v>6629</v>
      </c>
      <c r="I74" t="s">
        <v>24</v>
      </c>
      <c r="J74">
        <v>4.14</v>
      </c>
      <c r="K74">
        <v>27444.06</v>
      </c>
      <c r="L74" t="s">
        <v>637</v>
      </c>
      <c r="M74" t="s">
        <v>689</v>
      </c>
      <c r="N74">
        <v>4.0801</v>
      </c>
      <c r="O74" t="s">
        <v>27</v>
      </c>
      <c r="P74" t="s">
        <v>691</v>
      </c>
      <c r="Q74">
        <v>6</v>
      </c>
    </row>
    <row r="75" spans="1:18">
      <c r="A75">
        <v>74</v>
      </c>
      <c r="B75">
        <v>1</v>
      </c>
      <c r="C75">
        <v>20240109</v>
      </c>
      <c r="D75" t="s">
        <v>28</v>
      </c>
      <c r="E75" t="s">
        <v>21</v>
      </c>
      <c r="F75" t="s">
        <v>22</v>
      </c>
      <c r="G75" t="s">
        <v>30</v>
      </c>
      <c r="H75">
        <v>20997</v>
      </c>
      <c r="I75" t="s">
        <v>24</v>
      </c>
      <c r="J75">
        <v>4.14</v>
      </c>
      <c r="K75">
        <v>86927.58</v>
      </c>
      <c r="L75" t="s">
        <v>637</v>
      </c>
      <c r="M75" t="s">
        <v>689</v>
      </c>
      <c r="N75">
        <v>3.5207</v>
      </c>
      <c r="O75" t="s">
        <v>27</v>
      </c>
      <c r="P75" t="s">
        <v>692</v>
      </c>
      <c r="Q75">
        <v>7</v>
      </c>
    </row>
    <row r="76" spans="1:18">
      <c r="A76">
        <v>75</v>
      </c>
      <c r="B76">
        <v>1</v>
      </c>
      <c r="C76">
        <v>20240109</v>
      </c>
      <c r="D76" t="s">
        <v>28</v>
      </c>
      <c r="E76" t="s">
        <v>21</v>
      </c>
      <c r="F76" t="s">
        <v>22</v>
      </c>
      <c r="G76" t="s">
        <v>30</v>
      </c>
      <c r="H76">
        <v>5702</v>
      </c>
      <c r="I76" t="s">
        <v>24</v>
      </c>
      <c r="J76">
        <v>4.14</v>
      </c>
      <c r="K76">
        <v>23606.28</v>
      </c>
      <c r="L76" t="s">
        <v>637</v>
      </c>
      <c r="M76" t="s">
        <v>689</v>
      </c>
      <c r="N76">
        <v>3.5538</v>
      </c>
      <c r="O76" t="s">
        <v>27</v>
      </c>
      <c r="P76" t="s">
        <v>692</v>
      </c>
      <c r="Q76">
        <v>1</v>
      </c>
    </row>
    <row r="77" spans="1:18">
      <c r="A77">
        <v>76</v>
      </c>
      <c r="B77">
        <v>1</v>
      </c>
      <c r="C77">
        <v>20240109</v>
      </c>
      <c r="D77" t="s">
        <v>20</v>
      </c>
      <c r="E77" t="s">
        <v>21</v>
      </c>
      <c r="F77" t="s">
        <v>22</v>
      </c>
      <c r="G77" t="s">
        <v>99</v>
      </c>
      <c r="H77">
        <v>17951</v>
      </c>
      <c r="I77" t="s">
        <v>24</v>
      </c>
      <c r="J77">
        <v>4.14</v>
      </c>
      <c r="K77">
        <v>74317.14</v>
      </c>
      <c r="L77" t="s">
        <v>634</v>
      </c>
      <c r="M77" t="s">
        <v>693</v>
      </c>
      <c r="N77">
        <v>4.033</v>
      </c>
      <c r="O77" t="s">
        <v>27</v>
      </c>
      <c r="P77" t="s">
        <v>694</v>
      </c>
      <c r="Q77">
        <v>2</v>
      </c>
      <c r="R77">
        <v>3.803</v>
      </c>
    </row>
    <row r="78" spans="1:18">
      <c r="A78">
        <v>77</v>
      </c>
      <c r="B78">
        <v>1</v>
      </c>
      <c r="C78">
        <v>20240109</v>
      </c>
      <c r="D78" t="s">
        <v>20</v>
      </c>
      <c r="E78" t="s">
        <v>21</v>
      </c>
      <c r="F78" t="s">
        <v>46</v>
      </c>
      <c r="G78" t="s">
        <v>633</v>
      </c>
      <c r="H78">
        <v>102130</v>
      </c>
      <c r="I78" t="s">
        <v>24</v>
      </c>
      <c r="J78">
        <v>7.46</v>
      </c>
      <c r="K78">
        <v>761889.8</v>
      </c>
      <c r="L78" t="s">
        <v>634</v>
      </c>
      <c r="N78">
        <v>4.93</v>
      </c>
      <c r="O78" t="s">
        <v>43</v>
      </c>
      <c r="P78" t="s">
        <v>695</v>
      </c>
      <c r="Q78">
        <v>7</v>
      </c>
      <c r="R78" t="s">
        <v>89</v>
      </c>
    </row>
    <row r="79" spans="1:18">
      <c r="A79">
        <v>78</v>
      </c>
      <c r="B79">
        <v>1</v>
      </c>
      <c r="C79">
        <v>20240110</v>
      </c>
      <c r="D79" t="s">
        <v>20</v>
      </c>
      <c r="E79" t="s">
        <v>21</v>
      </c>
      <c r="F79" t="s">
        <v>32</v>
      </c>
      <c r="G79" t="s">
        <v>50</v>
      </c>
      <c r="H79">
        <v>717255</v>
      </c>
      <c r="I79" t="s">
        <v>24</v>
      </c>
      <c r="J79">
        <v>5.53</v>
      </c>
      <c r="K79">
        <v>3966420.15</v>
      </c>
      <c r="L79" t="s">
        <v>637</v>
      </c>
      <c r="M79" t="s">
        <v>696</v>
      </c>
      <c r="N79">
        <v>4.7765</v>
      </c>
      <c r="O79" t="s">
        <v>27</v>
      </c>
      <c r="P79" t="s">
        <v>697</v>
      </c>
      <c r="Q79">
        <v>91</v>
      </c>
      <c r="R79">
        <v>7.024</v>
      </c>
    </row>
    <row r="80" spans="1:18">
      <c r="A80">
        <v>79</v>
      </c>
      <c r="B80">
        <v>1</v>
      </c>
      <c r="C80">
        <v>20240110</v>
      </c>
      <c r="D80" t="s">
        <v>20</v>
      </c>
      <c r="E80" t="s">
        <v>21</v>
      </c>
      <c r="F80" t="s">
        <v>32</v>
      </c>
      <c r="G80" t="s">
        <v>72</v>
      </c>
      <c r="H80">
        <v>262360</v>
      </c>
      <c r="I80" t="s">
        <v>24</v>
      </c>
      <c r="J80">
        <v>3.53</v>
      </c>
      <c r="K80">
        <v>926130.8</v>
      </c>
      <c r="L80" t="s">
        <v>634</v>
      </c>
      <c r="M80" t="s">
        <v>696</v>
      </c>
      <c r="N80">
        <v>3.2196</v>
      </c>
      <c r="O80" t="s">
        <v>27</v>
      </c>
      <c r="P80" t="s">
        <v>698</v>
      </c>
      <c r="Q80">
        <v>121</v>
      </c>
    </row>
    <row r="81" spans="1:19">
      <c r="A81">
        <v>80</v>
      </c>
      <c r="B81">
        <v>1</v>
      </c>
      <c r="C81">
        <v>20240110</v>
      </c>
      <c r="D81" t="s">
        <v>20</v>
      </c>
      <c r="E81" t="s">
        <v>21</v>
      </c>
      <c r="F81" t="s">
        <v>32</v>
      </c>
      <c r="G81" t="s">
        <v>640</v>
      </c>
      <c r="H81">
        <v>290939</v>
      </c>
      <c r="I81" t="s">
        <v>24</v>
      </c>
      <c r="J81">
        <v>5.47</v>
      </c>
      <c r="K81">
        <v>1591436.33</v>
      </c>
      <c r="L81" t="s">
        <v>634</v>
      </c>
      <c r="M81" t="s">
        <v>699</v>
      </c>
      <c r="N81">
        <v>5.0362</v>
      </c>
      <c r="O81" t="s">
        <v>27</v>
      </c>
      <c r="P81" t="s">
        <v>700</v>
      </c>
      <c r="Q81">
        <v>40</v>
      </c>
      <c r="R81">
        <v>7.1094</v>
      </c>
    </row>
    <row r="82" spans="1:19">
      <c r="A82">
        <v>81</v>
      </c>
      <c r="B82">
        <v>1</v>
      </c>
      <c r="C82">
        <v>20240110</v>
      </c>
      <c r="D82" t="s">
        <v>20</v>
      </c>
      <c r="E82" t="s">
        <v>21</v>
      </c>
      <c r="F82" t="s">
        <v>29</v>
      </c>
      <c r="G82" t="s">
        <v>102</v>
      </c>
      <c r="H82">
        <v>45</v>
      </c>
      <c r="I82" t="s">
        <v>24</v>
      </c>
      <c r="J82">
        <v>5.63</v>
      </c>
      <c r="K82">
        <v>253.35</v>
      </c>
      <c r="L82" t="s">
        <v>634</v>
      </c>
      <c r="N82">
        <v>5.52</v>
      </c>
      <c r="O82" t="s">
        <v>43</v>
      </c>
      <c r="P82" t="s">
        <v>701</v>
      </c>
      <c r="Q82">
        <v>1</v>
      </c>
      <c r="S82">
        <v>4.48</v>
      </c>
    </row>
    <row r="83" spans="1:19">
      <c r="A83">
        <v>82</v>
      </c>
      <c r="B83">
        <v>1</v>
      </c>
      <c r="C83">
        <v>20240110</v>
      </c>
      <c r="D83" t="s">
        <v>20</v>
      </c>
      <c r="E83" t="s">
        <v>21</v>
      </c>
      <c r="F83" t="s">
        <v>29</v>
      </c>
      <c r="G83" t="s">
        <v>47</v>
      </c>
      <c r="H83">
        <v>1448</v>
      </c>
      <c r="I83" t="s">
        <v>24</v>
      </c>
      <c r="J83">
        <v>7.46</v>
      </c>
      <c r="K83">
        <v>10802.08</v>
      </c>
      <c r="L83" t="s">
        <v>637</v>
      </c>
      <c r="N83">
        <v>5.2</v>
      </c>
      <c r="O83" t="s">
        <v>43</v>
      </c>
      <c r="P83" t="s">
        <v>702</v>
      </c>
      <c r="Q83">
        <v>1</v>
      </c>
      <c r="R83">
        <v>5.2041</v>
      </c>
      <c r="S83">
        <v>7.46</v>
      </c>
    </row>
    <row r="84" spans="1:19">
      <c r="A84">
        <v>83</v>
      </c>
      <c r="B84">
        <v>1</v>
      </c>
      <c r="C84">
        <v>20240110</v>
      </c>
      <c r="D84" t="s">
        <v>20</v>
      </c>
      <c r="E84" t="s">
        <v>21</v>
      </c>
      <c r="F84" t="s">
        <v>29</v>
      </c>
      <c r="G84" t="s">
        <v>42</v>
      </c>
      <c r="H84">
        <v>27036</v>
      </c>
      <c r="I84" t="s">
        <v>24</v>
      </c>
      <c r="J84">
        <v>5.7</v>
      </c>
      <c r="K84">
        <v>154105.2</v>
      </c>
      <c r="L84" t="s">
        <v>634</v>
      </c>
      <c r="N84">
        <v>5.59</v>
      </c>
      <c r="O84" t="s">
        <v>43</v>
      </c>
      <c r="P84" t="s">
        <v>703</v>
      </c>
      <c r="Q84">
        <v>14</v>
      </c>
      <c r="R84">
        <v>6.9333</v>
      </c>
      <c r="S84">
        <v>4.48</v>
      </c>
    </row>
    <row r="85" spans="1:19">
      <c r="A85">
        <v>84</v>
      </c>
      <c r="B85">
        <v>1</v>
      </c>
      <c r="C85">
        <v>20240110</v>
      </c>
      <c r="D85" t="s">
        <v>28</v>
      </c>
      <c r="E85" t="s">
        <v>21</v>
      </c>
      <c r="F85" t="s">
        <v>41</v>
      </c>
      <c r="G85" t="s">
        <v>30</v>
      </c>
      <c r="H85">
        <v>39028</v>
      </c>
      <c r="I85" t="s">
        <v>24</v>
      </c>
      <c r="J85">
        <v>4.14</v>
      </c>
      <c r="K85">
        <v>161575.92</v>
      </c>
      <c r="L85" t="s">
        <v>637</v>
      </c>
      <c r="N85">
        <v>4.05</v>
      </c>
      <c r="O85" t="s">
        <v>43</v>
      </c>
      <c r="P85" t="s">
        <v>704</v>
      </c>
      <c r="Q85">
        <v>12</v>
      </c>
    </row>
    <row r="86" spans="1:19">
      <c r="A86">
        <v>85</v>
      </c>
      <c r="B86">
        <v>1</v>
      </c>
      <c r="C86">
        <v>20240110</v>
      </c>
      <c r="D86" t="s">
        <v>28</v>
      </c>
      <c r="E86" t="s">
        <v>21</v>
      </c>
      <c r="F86" t="s">
        <v>41</v>
      </c>
      <c r="G86" t="s">
        <v>37</v>
      </c>
      <c r="H86">
        <v>593</v>
      </c>
      <c r="I86" t="s">
        <v>24</v>
      </c>
      <c r="J86">
        <v>4.14</v>
      </c>
      <c r="K86">
        <v>2455.02</v>
      </c>
      <c r="L86" t="s">
        <v>637</v>
      </c>
      <c r="N86">
        <v>4.05</v>
      </c>
      <c r="O86" t="s">
        <v>43</v>
      </c>
      <c r="P86" t="s">
        <v>705</v>
      </c>
      <c r="Q86">
        <v>1</v>
      </c>
    </row>
    <row r="87" spans="1:19">
      <c r="A87">
        <v>86</v>
      </c>
      <c r="B87">
        <v>1</v>
      </c>
      <c r="C87">
        <v>20240111</v>
      </c>
      <c r="D87" t="s">
        <v>28</v>
      </c>
      <c r="E87" t="s">
        <v>21</v>
      </c>
      <c r="F87" t="s">
        <v>32</v>
      </c>
      <c r="G87" t="s">
        <v>37</v>
      </c>
      <c r="H87">
        <v>7243</v>
      </c>
      <c r="I87" t="s">
        <v>24</v>
      </c>
      <c r="J87">
        <v>4.14</v>
      </c>
      <c r="K87">
        <v>29986.02</v>
      </c>
      <c r="L87" t="s">
        <v>634</v>
      </c>
      <c r="M87" t="s">
        <v>706</v>
      </c>
      <c r="N87">
        <v>4.015</v>
      </c>
      <c r="O87" t="s">
        <v>27</v>
      </c>
      <c r="P87" t="s">
        <v>707</v>
      </c>
      <c r="Q87">
        <v>9</v>
      </c>
    </row>
    <row r="88" spans="1:19">
      <c r="A88">
        <v>87</v>
      </c>
      <c r="B88">
        <v>1</v>
      </c>
      <c r="C88">
        <v>20240111</v>
      </c>
      <c r="D88" t="s">
        <v>28</v>
      </c>
      <c r="E88" t="s">
        <v>21</v>
      </c>
      <c r="F88" t="s">
        <v>32</v>
      </c>
      <c r="G88" t="s">
        <v>30</v>
      </c>
      <c r="H88">
        <v>818605</v>
      </c>
      <c r="I88" t="s">
        <v>24</v>
      </c>
      <c r="J88">
        <v>4.14</v>
      </c>
      <c r="K88">
        <v>3389024.7</v>
      </c>
      <c r="L88" t="s">
        <v>634</v>
      </c>
      <c r="M88" t="s">
        <v>706</v>
      </c>
      <c r="N88">
        <v>4.015</v>
      </c>
      <c r="O88" t="s">
        <v>27</v>
      </c>
      <c r="P88" t="s">
        <v>708</v>
      </c>
      <c r="Q88">
        <v>90</v>
      </c>
    </row>
    <row r="89" spans="1:19">
      <c r="A89">
        <v>88</v>
      </c>
      <c r="B89">
        <v>1</v>
      </c>
      <c r="C89">
        <v>20240111</v>
      </c>
      <c r="D89" t="s">
        <v>28</v>
      </c>
      <c r="E89" t="s">
        <v>21</v>
      </c>
      <c r="F89" t="s">
        <v>32</v>
      </c>
      <c r="G89" t="s">
        <v>37</v>
      </c>
      <c r="H89">
        <v>81012</v>
      </c>
      <c r="I89" t="s">
        <v>24</v>
      </c>
      <c r="J89">
        <v>4.14</v>
      </c>
      <c r="K89">
        <v>335389.68</v>
      </c>
      <c r="L89" t="s">
        <v>654</v>
      </c>
      <c r="M89" t="s">
        <v>706</v>
      </c>
      <c r="N89">
        <v>4.015</v>
      </c>
      <c r="O89" t="s">
        <v>27</v>
      </c>
      <c r="P89" t="s">
        <v>707</v>
      </c>
      <c r="Q89">
        <v>9</v>
      </c>
    </row>
    <row r="90" spans="1:19">
      <c r="A90">
        <v>89</v>
      </c>
      <c r="B90">
        <v>1</v>
      </c>
      <c r="C90">
        <v>20240111</v>
      </c>
      <c r="D90" t="s">
        <v>28</v>
      </c>
      <c r="E90" t="s">
        <v>21</v>
      </c>
      <c r="F90" t="s">
        <v>32</v>
      </c>
      <c r="G90" t="s">
        <v>30</v>
      </c>
      <c r="H90">
        <v>22008</v>
      </c>
      <c r="I90" t="s">
        <v>24</v>
      </c>
      <c r="J90">
        <v>4.14</v>
      </c>
      <c r="K90">
        <v>91113.12</v>
      </c>
      <c r="L90" t="s">
        <v>654</v>
      </c>
      <c r="M90" t="s">
        <v>706</v>
      </c>
      <c r="N90">
        <v>4.015</v>
      </c>
      <c r="O90" t="s">
        <v>27</v>
      </c>
      <c r="P90" t="s">
        <v>708</v>
      </c>
      <c r="Q90">
        <v>11</v>
      </c>
    </row>
    <row r="91" spans="1:19">
      <c r="A91">
        <v>90</v>
      </c>
      <c r="B91">
        <v>1</v>
      </c>
      <c r="C91">
        <v>20240111</v>
      </c>
      <c r="D91" t="s">
        <v>28</v>
      </c>
      <c r="E91" t="s">
        <v>21</v>
      </c>
      <c r="F91" t="s">
        <v>32</v>
      </c>
      <c r="G91" t="s">
        <v>37</v>
      </c>
      <c r="H91">
        <v>121017</v>
      </c>
      <c r="I91" t="s">
        <v>24</v>
      </c>
      <c r="J91">
        <v>4.14</v>
      </c>
      <c r="K91">
        <v>501010.38</v>
      </c>
      <c r="L91" t="s">
        <v>637</v>
      </c>
      <c r="M91" t="s">
        <v>706</v>
      </c>
      <c r="N91">
        <v>4.015</v>
      </c>
      <c r="O91" t="s">
        <v>27</v>
      </c>
      <c r="P91" t="s">
        <v>707</v>
      </c>
      <c r="Q91">
        <v>18</v>
      </c>
    </row>
    <row r="92" spans="1:19">
      <c r="A92">
        <v>91</v>
      </c>
      <c r="B92">
        <v>1</v>
      </c>
      <c r="C92">
        <v>20240111</v>
      </c>
      <c r="D92" t="s">
        <v>28</v>
      </c>
      <c r="E92" t="s">
        <v>21</v>
      </c>
      <c r="F92" t="s">
        <v>32</v>
      </c>
      <c r="G92" t="s">
        <v>30</v>
      </c>
      <c r="H92">
        <v>708636</v>
      </c>
      <c r="I92" t="s">
        <v>24</v>
      </c>
      <c r="J92">
        <v>4.14</v>
      </c>
      <c r="K92">
        <v>2933753.04</v>
      </c>
      <c r="L92" t="s">
        <v>637</v>
      </c>
      <c r="M92" t="s">
        <v>706</v>
      </c>
      <c r="N92">
        <v>4.015</v>
      </c>
      <c r="O92" t="s">
        <v>27</v>
      </c>
      <c r="P92" t="s">
        <v>708</v>
      </c>
      <c r="Q92">
        <v>136</v>
      </c>
    </row>
    <row r="93" spans="1:19">
      <c r="A93">
        <v>92</v>
      </c>
      <c r="B93">
        <v>1</v>
      </c>
      <c r="C93">
        <v>20240111</v>
      </c>
      <c r="D93" t="s">
        <v>28</v>
      </c>
      <c r="E93" t="s">
        <v>21</v>
      </c>
      <c r="F93" t="s">
        <v>32</v>
      </c>
      <c r="G93" t="s">
        <v>30</v>
      </c>
      <c r="H93">
        <v>332</v>
      </c>
      <c r="I93" t="s">
        <v>24</v>
      </c>
      <c r="J93">
        <v>4.14</v>
      </c>
      <c r="K93">
        <v>1374.48</v>
      </c>
      <c r="L93" t="s">
        <v>637</v>
      </c>
      <c r="M93" t="s">
        <v>706</v>
      </c>
      <c r="N93">
        <v>4.021</v>
      </c>
      <c r="O93" t="s">
        <v>27</v>
      </c>
      <c r="P93" t="s">
        <v>708</v>
      </c>
    </row>
    <row r="94" spans="1:19">
      <c r="A94">
        <v>93</v>
      </c>
      <c r="B94">
        <v>1</v>
      </c>
      <c r="C94">
        <v>20240111</v>
      </c>
      <c r="D94" t="s">
        <v>20</v>
      </c>
      <c r="E94" t="s">
        <v>21</v>
      </c>
      <c r="F94" t="s">
        <v>32</v>
      </c>
      <c r="G94" t="s">
        <v>640</v>
      </c>
      <c r="H94">
        <v>474490</v>
      </c>
      <c r="I94" t="s">
        <v>24</v>
      </c>
      <c r="J94">
        <v>5.47</v>
      </c>
      <c r="K94">
        <v>2595460.3</v>
      </c>
      <c r="L94" t="s">
        <v>634</v>
      </c>
      <c r="M94" t="s">
        <v>709</v>
      </c>
      <c r="N94">
        <v>5.0362</v>
      </c>
      <c r="O94" t="s">
        <v>27</v>
      </c>
      <c r="P94" t="s">
        <v>710</v>
      </c>
      <c r="Q94">
        <v>51</v>
      </c>
      <c r="R94">
        <v>7.1094</v>
      </c>
    </row>
    <row r="95" spans="1:19">
      <c r="A95">
        <v>94</v>
      </c>
      <c r="B95">
        <v>1</v>
      </c>
      <c r="C95">
        <v>20240111</v>
      </c>
      <c r="D95" t="s">
        <v>28</v>
      </c>
      <c r="E95" t="s">
        <v>21</v>
      </c>
      <c r="F95" t="s">
        <v>22</v>
      </c>
      <c r="G95" t="s">
        <v>30</v>
      </c>
      <c r="H95">
        <v>1050795</v>
      </c>
      <c r="I95" t="s">
        <v>24</v>
      </c>
      <c r="J95">
        <v>4.14</v>
      </c>
      <c r="K95">
        <v>4350291.3</v>
      </c>
      <c r="L95" t="s">
        <v>634</v>
      </c>
      <c r="N95">
        <v>4.0616</v>
      </c>
      <c r="O95" t="s">
        <v>43</v>
      </c>
      <c r="P95" t="s">
        <v>711</v>
      </c>
      <c r="Q95">
        <v>38</v>
      </c>
    </row>
    <row r="96" spans="1:19">
      <c r="A96">
        <v>95</v>
      </c>
      <c r="B96">
        <v>1</v>
      </c>
      <c r="C96">
        <v>20240111</v>
      </c>
      <c r="D96" t="s">
        <v>28</v>
      </c>
      <c r="E96" t="s">
        <v>21</v>
      </c>
      <c r="F96" t="s">
        <v>22</v>
      </c>
      <c r="G96" t="s">
        <v>37</v>
      </c>
      <c r="H96">
        <v>66158</v>
      </c>
      <c r="I96" t="s">
        <v>24</v>
      </c>
      <c r="J96">
        <v>4.14</v>
      </c>
      <c r="K96">
        <v>273894.12</v>
      </c>
      <c r="L96" t="s">
        <v>634</v>
      </c>
      <c r="N96">
        <v>4.0574</v>
      </c>
      <c r="O96" t="s">
        <v>43</v>
      </c>
      <c r="P96" t="s">
        <v>712</v>
      </c>
      <c r="Q96">
        <v>6</v>
      </c>
    </row>
    <row r="97" spans="1:19">
      <c r="A97">
        <v>96</v>
      </c>
      <c r="B97">
        <v>1</v>
      </c>
      <c r="C97">
        <v>20240111</v>
      </c>
      <c r="D97" t="s">
        <v>28</v>
      </c>
      <c r="E97" t="s">
        <v>21</v>
      </c>
      <c r="F97" t="s">
        <v>22</v>
      </c>
      <c r="G97" t="s">
        <v>30</v>
      </c>
      <c r="H97">
        <v>1883</v>
      </c>
      <c r="I97" t="s">
        <v>24</v>
      </c>
      <c r="J97">
        <v>4.14</v>
      </c>
      <c r="K97">
        <v>7795.62</v>
      </c>
      <c r="L97" t="s">
        <v>654</v>
      </c>
      <c r="N97">
        <v>4.049</v>
      </c>
      <c r="O97" t="s">
        <v>43</v>
      </c>
      <c r="P97" t="s">
        <v>711</v>
      </c>
      <c r="Q97">
        <v>4</v>
      </c>
    </row>
    <row r="98" spans="1:19">
      <c r="A98">
        <v>97</v>
      </c>
      <c r="B98">
        <v>1</v>
      </c>
      <c r="C98">
        <v>20240111</v>
      </c>
      <c r="D98" t="s">
        <v>28</v>
      </c>
      <c r="E98" t="s">
        <v>21</v>
      </c>
      <c r="F98" t="s">
        <v>22</v>
      </c>
      <c r="G98" t="s">
        <v>37</v>
      </c>
      <c r="H98">
        <v>36683</v>
      </c>
      <c r="I98" t="s">
        <v>24</v>
      </c>
      <c r="J98">
        <v>4.14</v>
      </c>
      <c r="K98">
        <v>151867.62</v>
      </c>
      <c r="L98" t="s">
        <v>654</v>
      </c>
      <c r="N98">
        <v>4.036</v>
      </c>
      <c r="O98" t="s">
        <v>43</v>
      </c>
      <c r="P98" t="s">
        <v>712</v>
      </c>
      <c r="Q98">
        <v>5</v>
      </c>
    </row>
    <row r="99" spans="1:19">
      <c r="A99">
        <v>98</v>
      </c>
      <c r="B99">
        <v>1</v>
      </c>
      <c r="C99">
        <v>20240111</v>
      </c>
      <c r="D99" t="s">
        <v>28</v>
      </c>
      <c r="E99" t="s">
        <v>21</v>
      </c>
      <c r="F99" t="s">
        <v>22</v>
      </c>
      <c r="G99" t="s">
        <v>30</v>
      </c>
      <c r="H99">
        <v>300977</v>
      </c>
      <c r="I99" t="s">
        <v>24</v>
      </c>
      <c r="J99">
        <v>4.14</v>
      </c>
      <c r="K99">
        <v>1246044.78</v>
      </c>
      <c r="L99" t="s">
        <v>637</v>
      </c>
      <c r="N99">
        <v>3.5761</v>
      </c>
      <c r="O99" t="s">
        <v>43</v>
      </c>
      <c r="P99" t="s">
        <v>711</v>
      </c>
      <c r="Q99">
        <v>13</v>
      </c>
    </row>
    <row r="100" spans="1:19">
      <c r="A100">
        <v>99</v>
      </c>
      <c r="B100">
        <v>1</v>
      </c>
      <c r="C100">
        <v>20240111</v>
      </c>
      <c r="D100" t="s">
        <v>28</v>
      </c>
      <c r="E100" t="s">
        <v>21</v>
      </c>
      <c r="F100" t="s">
        <v>22</v>
      </c>
      <c r="G100" t="s">
        <v>30</v>
      </c>
      <c r="H100">
        <v>166058</v>
      </c>
      <c r="I100" t="s">
        <v>24</v>
      </c>
      <c r="J100">
        <v>4.14</v>
      </c>
      <c r="K100">
        <v>687480.12</v>
      </c>
      <c r="L100" t="s">
        <v>637</v>
      </c>
      <c r="N100">
        <v>3.509</v>
      </c>
      <c r="O100" t="s">
        <v>43</v>
      </c>
      <c r="P100" t="s">
        <v>711</v>
      </c>
      <c r="Q100">
        <v>10</v>
      </c>
    </row>
    <row r="101" spans="1:19">
      <c r="A101">
        <v>100</v>
      </c>
      <c r="B101">
        <v>1</v>
      </c>
      <c r="C101">
        <v>20240111</v>
      </c>
      <c r="D101" t="s">
        <v>28</v>
      </c>
      <c r="E101" t="s">
        <v>21</v>
      </c>
      <c r="F101" t="s">
        <v>22</v>
      </c>
      <c r="G101" t="s">
        <v>30</v>
      </c>
      <c r="H101">
        <v>44398</v>
      </c>
      <c r="I101" t="s">
        <v>24</v>
      </c>
      <c r="J101">
        <v>4.14</v>
      </c>
      <c r="K101">
        <v>183807.72</v>
      </c>
      <c r="L101" t="s">
        <v>637</v>
      </c>
      <c r="N101">
        <v>4.049</v>
      </c>
      <c r="O101" t="s">
        <v>43</v>
      </c>
      <c r="P101" t="s">
        <v>711</v>
      </c>
      <c r="Q101">
        <v>4</v>
      </c>
    </row>
    <row r="102" spans="1:19">
      <c r="A102">
        <v>101</v>
      </c>
      <c r="B102">
        <v>1</v>
      </c>
      <c r="C102">
        <v>20240111</v>
      </c>
      <c r="D102" t="s">
        <v>28</v>
      </c>
      <c r="E102" t="s">
        <v>21</v>
      </c>
      <c r="F102" t="s">
        <v>22</v>
      </c>
      <c r="G102" t="s">
        <v>30</v>
      </c>
      <c r="H102">
        <v>10213</v>
      </c>
      <c r="I102" t="s">
        <v>24</v>
      </c>
      <c r="J102">
        <v>4.14</v>
      </c>
      <c r="K102">
        <v>42281.82</v>
      </c>
      <c r="L102" t="s">
        <v>637</v>
      </c>
      <c r="N102">
        <v>3.5538</v>
      </c>
      <c r="O102" t="s">
        <v>43</v>
      </c>
      <c r="P102" t="s">
        <v>711</v>
      </c>
      <c r="Q102">
        <v>4</v>
      </c>
    </row>
    <row r="103" spans="1:19">
      <c r="A103">
        <v>102</v>
      </c>
      <c r="B103">
        <v>1</v>
      </c>
      <c r="C103">
        <v>20240111</v>
      </c>
      <c r="D103" t="s">
        <v>28</v>
      </c>
      <c r="E103" t="s">
        <v>21</v>
      </c>
      <c r="F103" t="s">
        <v>22</v>
      </c>
      <c r="G103" t="s">
        <v>30</v>
      </c>
      <c r="H103">
        <v>8358</v>
      </c>
      <c r="I103" t="s">
        <v>24</v>
      </c>
      <c r="J103">
        <v>4.14</v>
      </c>
      <c r="K103">
        <v>34602.12</v>
      </c>
      <c r="L103" t="s">
        <v>637</v>
      </c>
      <c r="N103">
        <v>4.049</v>
      </c>
      <c r="O103" t="s">
        <v>43</v>
      </c>
      <c r="P103" t="s">
        <v>711</v>
      </c>
      <c r="Q103">
        <v>4</v>
      </c>
    </row>
    <row r="104" spans="1:19">
      <c r="A104">
        <v>103</v>
      </c>
      <c r="B104">
        <v>1</v>
      </c>
      <c r="C104">
        <v>20240111</v>
      </c>
      <c r="D104" t="s">
        <v>28</v>
      </c>
      <c r="E104" t="s">
        <v>21</v>
      </c>
      <c r="F104" t="s">
        <v>22</v>
      </c>
      <c r="G104" t="s">
        <v>37</v>
      </c>
      <c r="H104">
        <v>57706</v>
      </c>
      <c r="I104" t="s">
        <v>24</v>
      </c>
      <c r="J104">
        <v>4.14</v>
      </c>
      <c r="K104">
        <v>238902.84</v>
      </c>
      <c r="L104" t="s">
        <v>637</v>
      </c>
      <c r="N104">
        <v>4.0586</v>
      </c>
      <c r="O104" t="s">
        <v>43</v>
      </c>
      <c r="P104" t="s">
        <v>712</v>
      </c>
      <c r="Q104">
        <v>5</v>
      </c>
    </row>
    <row r="105" spans="1:19">
      <c r="A105">
        <v>104</v>
      </c>
      <c r="B105">
        <v>1</v>
      </c>
      <c r="C105">
        <v>20240111</v>
      </c>
      <c r="D105" t="s">
        <v>28</v>
      </c>
      <c r="E105" t="s">
        <v>21</v>
      </c>
      <c r="F105" t="s">
        <v>22</v>
      </c>
      <c r="G105" t="s">
        <v>37</v>
      </c>
      <c r="H105">
        <v>9302</v>
      </c>
      <c r="I105" t="s">
        <v>24</v>
      </c>
      <c r="J105">
        <v>4.14</v>
      </c>
      <c r="K105">
        <v>38510.28</v>
      </c>
      <c r="L105" t="s">
        <v>637</v>
      </c>
      <c r="N105">
        <v>3.5193</v>
      </c>
      <c r="O105" t="s">
        <v>43</v>
      </c>
      <c r="P105" t="s">
        <v>712</v>
      </c>
      <c r="Q105">
        <v>5</v>
      </c>
    </row>
    <row r="106" spans="1:19">
      <c r="A106">
        <v>105</v>
      </c>
      <c r="B106">
        <v>1</v>
      </c>
      <c r="C106">
        <v>20240111</v>
      </c>
      <c r="D106" t="s">
        <v>28</v>
      </c>
      <c r="E106" t="s">
        <v>21</v>
      </c>
      <c r="F106" t="s">
        <v>22</v>
      </c>
      <c r="G106" t="s">
        <v>37</v>
      </c>
      <c r="H106">
        <v>74215</v>
      </c>
      <c r="I106" t="s">
        <v>24</v>
      </c>
      <c r="J106">
        <v>4.14</v>
      </c>
      <c r="K106">
        <v>307250.1</v>
      </c>
      <c r="L106" t="s">
        <v>637</v>
      </c>
      <c r="N106">
        <v>3.5725</v>
      </c>
      <c r="O106" t="s">
        <v>43</v>
      </c>
      <c r="P106" t="s">
        <v>712</v>
      </c>
      <c r="Q106">
        <v>5</v>
      </c>
    </row>
    <row r="107" spans="1:19">
      <c r="A107">
        <v>106</v>
      </c>
      <c r="B107">
        <v>1</v>
      </c>
      <c r="C107">
        <v>20240111</v>
      </c>
      <c r="D107" t="s">
        <v>28</v>
      </c>
      <c r="E107" t="s">
        <v>21</v>
      </c>
      <c r="F107" t="s">
        <v>22</v>
      </c>
      <c r="G107" t="s">
        <v>37</v>
      </c>
      <c r="H107">
        <v>8985</v>
      </c>
      <c r="I107" t="s">
        <v>24</v>
      </c>
      <c r="J107">
        <v>4.14</v>
      </c>
      <c r="K107">
        <v>37197.9</v>
      </c>
      <c r="L107" t="s">
        <v>637</v>
      </c>
      <c r="N107">
        <v>3.5065</v>
      </c>
      <c r="O107" t="s">
        <v>43</v>
      </c>
      <c r="P107" t="s">
        <v>712</v>
      </c>
      <c r="Q107">
        <v>4</v>
      </c>
    </row>
    <row r="108" spans="1:19">
      <c r="A108">
        <v>107</v>
      </c>
      <c r="B108">
        <v>1</v>
      </c>
      <c r="C108">
        <v>20240111</v>
      </c>
      <c r="D108" t="s">
        <v>20</v>
      </c>
      <c r="E108" t="s">
        <v>21</v>
      </c>
      <c r="F108" t="s">
        <v>22</v>
      </c>
      <c r="G108" t="s">
        <v>30</v>
      </c>
      <c r="H108">
        <v>56784</v>
      </c>
      <c r="I108" t="s">
        <v>24</v>
      </c>
      <c r="J108">
        <v>4.14</v>
      </c>
      <c r="K108">
        <v>235085.76</v>
      </c>
      <c r="L108" t="s">
        <v>634</v>
      </c>
      <c r="N108">
        <v>4.0195</v>
      </c>
      <c r="O108" t="s">
        <v>43</v>
      </c>
      <c r="P108" t="s">
        <v>713</v>
      </c>
      <c r="Q108">
        <v>4</v>
      </c>
      <c r="R108">
        <v>4.9338</v>
      </c>
    </row>
    <row r="109" spans="1:19">
      <c r="A109">
        <v>108</v>
      </c>
      <c r="B109">
        <v>1</v>
      </c>
      <c r="C109">
        <v>20240111</v>
      </c>
      <c r="D109" t="s">
        <v>20</v>
      </c>
      <c r="E109" t="s">
        <v>21</v>
      </c>
      <c r="F109" t="s">
        <v>22</v>
      </c>
      <c r="G109" t="s">
        <v>30</v>
      </c>
      <c r="H109">
        <v>316</v>
      </c>
      <c r="I109" t="s">
        <v>24</v>
      </c>
      <c r="J109">
        <v>4.14</v>
      </c>
      <c r="K109">
        <v>1308.24</v>
      </c>
      <c r="L109" t="s">
        <v>637</v>
      </c>
      <c r="N109">
        <v>3.5243</v>
      </c>
      <c r="O109" t="s">
        <v>43</v>
      </c>
      <c r="P109" t="s">
        <v>713</v>
      </c>
      <c r="Q109">
        <v>4</v>
      </c>
      <c r="R109">
        <v>4.9338</v>
      </c>
    </row>
    <row r="110" spans="1:19">
      <c r="A110">
        <v>109</v>
      </c>
      <c r="B110">
        <v>1</v>
      </c>
      <c r="C110">
        <v>20240111</v>
      </c>
      <c r="D110" t="s">
        <v>20</v>
      </c>
      <c r="E110" t="s">
        <v>21</v>
      </c>
      <c r="F110" t="s">
        <v>29</v>
      </c>
      <c r="G110" t="s">
        <v>42</v>
      </c>
      <c r="H110">
        <v>27848</v>
      </c>
      <c r="I110" t="s">
        <v>24</v>
      </c>
      <c r="J110">
        <v>5.7</v>
      </c>
      <c r="K110">
        <v>158733.6</v>
      </c>
      <c r="L110" t="s">
        <v>634</v>
      </c>
      <c r="M110" t="s">
        <v>714</v>
      </c>
      <c r="N110">
        <v>5.59</v>
      </c>
      <c r="O110" t="s">
        <v>27</v>
      </c>
      <c r="P110" t="s">
        <v>715</v>
      </c>
      <c r="Q110">
        <v>4</v>
      </c>
      <c r="R110">
        <v>6.9333</v>
      </c>
      <c r="S110">
        <v>4.48</v>
      </c>
    </row>
    <row r="111" spans="1:19">
      <c r="A111">
        <v>110</v>
      </c>
      <c r="B111">
        <v>1</v>
      </c>
      <c r="C111">
        <v>20240111</v>
      </c>
      <c r="D111" t="s">
        <v>20</v>
      </c>
      <c r="E111" t="s">
        <v>21</v>
      </c>
      <c r="F111" t="s">
        <v>29</v>
      </c>
      <c r="G111" t="s">
        <v>42</v>
      </c>
      <c r="H111">
        <v>34556</v>
      </c>
      <c r="I111" t="s">
        <v>24</v>
      </c>
      <c r="J111">
        <v>5.7</v>
      </c>
      <c r="K111">
        <v>196969.2</v>
      </c>
      <c r="L111" t="s">
        <v>637</v>
      </c>
      <c r="M111" t="s">
        <v>714</v>
      </c>
      <c r="N111">
        <v>5.59</v>
      </c>
      <c r="O111" t="s">
        <v>27</v>
      </c>
      <c r="P111" t="s">
        <v>715</v>
      </c>
      <c r="Q111">
        <v>6</v>
      </c>
      <c r="R111">
        <v>6.9333</v>
      </c>
      <c r="S111">
        <v>4.48</v>
      </c>
    </row>
    <row r="112" spans="1:19">
      <c r="A112">
        <v>111</v>
      </c>
      <c r="B112">
        <v>1</v>
      </c>
      <c r="C112">
        <v>20240111</v>
      </c>
      <c r="D112" t="s">
        <v>20</v>
      </c>
      <c r="E112" t="s">
        <v>21</v>
      </c>
      <c r="F112" t="s">
        <v>29</v>
      </c>
      <c r="G112" t="s">
        <v>42</v>
      </c>
      <c r="H112">
        <v>259086</v>
      </c>
      <c r="I112" t="s">
        <v>24</v>
      </c>
      <c r="J112">
        <v>5.7</v>
      </c>
      <c r="K112">
        <v>1476790.2</v>
      </c>
      <c r="L112" t="s">
        <v>634</v>
      </c>
      <c r="M112" t="s">
        <v>714</v>
      </c>
      <c r="N112">
        <v>5.59</v>
      </c>
      <c r="O112" t="s">
        <v>27</v>
      </c>
      <c r="P112" t="s">
        <v>715</v>
      </c>
      <c r="Q112">
        <v>31</v>
      </c>
      <c r="R112">
        <v>6.9333</v>
      </c>
      <c r="S112">
        <v>4.48</v>
      </c>
    </row>
    <row r="113" spans="1:19">
      <c r="A113">
        <v>112</v>
      </c>
      <c r="B113">
        <v>1</v>
      </c>
      <c r="C113">
        <v>20240112</v>
      </c>
      <c r="D113" t="s">
        <v>20</v>
      </c>
      <c r="E113" t="s">
        <v>21</v>
      </c>
      <c r="F113" t="s">
        <v>22</v>
      </c>
      <c r="G113" t="s">
        <v>42</v>
      </c>
      <c r="H113">
        <v>1776748</v>
      </c>
      <c r="I113" t="s">
        <v>24</v>
      </c>
      <c r="J113">
        <v>5.63</v>
      </c>
      <c r="K113">
        <v>10003091.24</v>
      </c>
      <c r="L113" t="s">
        <v>634</v>
      </c>
      <c r="M113" t="s">
        <v>716</v>
      </c>
      <c r="N113">
        <v>5.516</v>
      </c>
      <c r="O113" t="s">
        <v>27</v>
      </c>
      <c r="P113" t="s">
        <v>717</v>
      </c>
      <c r="Q113">
        <v>67</v>
      </c>
      <c r="R113">
        <v>6.9333</v>
      </c>
      <c r="S113">
        <v>4.48</v>
      </c>
    </row>
    <row r="114" spans="1:19">
      <c r="A114">
        <v>113</v>
      </c>
      <c r="B114">
        <v>1</v>
      </c>
      <c r="C114">
        <v>20240112</v>
      </c>
      <c r="D114" t="s">
        <v>20</v>
      </c>
      <c r="E114" t="s">
        <v>21</v>
      </c>
      <c r="F114" t="s">
        <v>22</v>
      </c>
      <c r="G114" t="s">
        <v>42</v>
      </c>
      <c r="H114">
        <v>239507</v>
      </c>
      <c r="I114" t="s">
        <v>24</v>
      </c>
      <c r="J114">
        <v>4.58</v>
      </c>
      <c r="K114">
        <v>1096942.06</v>
      </c>
      <c r="L114" t="s">
        <v>637</v>
      </c>
      <c r="M114" t="s">
        <v>716</v>
      </c>
      <c r="N114">
        <v>4.4875</v>
      </c>
      <c r="O114" t="s">
        <v>27</v>
      </c>
      <c r="P114" t="s">
        <v>718</v>
      </c>
      <c r="Q114">
        <v>11</v>
      </c>
      <c r="R114">
        <v>6.9333</v>
      </c>
      <c r="S114">
        <v>4.48</v>
      </c>
    </row>
    <row r="115" spans="1:19">
      <c r="A115">
        <v>114</v>
      </c>
      <c r="B115">
        <v>1</v>
      </c>
      <c r="C115">
        <v>20240112</v>
      </c>
      <c r="D115" t="s">
        <v>28</v>
      </c>
      <c r="E115" t="s">
        <v>21</v>
      </c>
      <c r="F115" t="s">
        <v>41</v>
      </c>
      <c r="G115" t="s">
        <v>30</v>
      </c>
      <c r="H115">
        <v>148095</v>
      </c>
      <c r="I115" t="s">
        <v>24</v>
      </c>
      <c r="J115">
        <v>4.14</v>
      </c>
      <c r="K115">
        <v>613113.3</v>
      </c>
      <c r="L115" t="s">
        <v>634</v>
      </c>
      <c r="M115" t="s">
        <v>719</v>
      </c>
      <c r="N115">
        <v>4.05</v>
      </c>
      <c r="O115" t="s">
        <v>27</v>
      </c>
      <c r="P115" t="s">
        <v>720</v>
      </c>
      <c r="Q115">
        <v>13</v>
      </c>
    </row>
    <row r="116" spans="1:19">
      <c r="A116">
        <v>115</v>
      </c>
      <c r="B116">
        <v>1</v>
      </c>
      <c r="C116">
        <v>20240112</v>
      </c>
      <c r="D116" t="s">
        <v>28</v>
      </c>
      <c r="E116" t="s">
        <v>21</v>
      </c>
      <c r="F116" t="s">
        <v>41</v>
      </c>
      <c r="G116" t="s">
        <v>37</v>
      </c>
      <c r="H116">
        <v>32473</v>
      </c>
      <c r="I116" t="s">
        <v>24</v>
      </c>
      <c r="J116">
        <v>4.14</v>
      </c>
      <c r="K116">
        <v>134438.22</v>
      </c>
      <c r="L116" t="s">
        <v>634</v>
      </c>
      <c r="M116" t="s">
        <v>719</v>
      </c>
      <c r="N116">
        <v>4.05</v>
      </c>
      <c r="O116" t="s">
        <v>27</v>
      </c>
      <c r="P116" t="s">
        <v>721</v>
      </c>
      <c r="Q116">
        <v>3</v>
      </c>
    </row>
    <row r="117" spans="1:19">
      <c r="A117">
        <v>116</v>
      </c>
      <c r="B117">
        <v>1</v>
      </c>
      <c r="C117">
        <v>20240112</v>
      </c>
      <c r="D117" t="s">
        <v>28</v>
      </c>
      <c r="E117" t="s">
        <v>21</v>
      </c>
      <c r="F117" t="s">
        <v>41</v>
      </c>
      <c r="G117" t="s">
        <v>30</v>
      </c>
      <c r="H117">
        <v>270504</v>
      </c>
      <c r="I117" t="s">
        <v>24</v>
      </c>
      <c r="J117">
        <v>4.14</v>
      </c>
      <c r="K117">
        <v>1119886.56</v>
      </c>
      <c r="L117" t="s">
        <v>637</v>
      </c>
      <c r="M117" t="s">
        <v>719</v>
      </c>
      <c r="N117">
        <v>4.05</v>
      </c>
      <c r="O117" t="s">
        <v>27</v>
      </c>
      <c r="P117" t="s">
        <v>720</v>
      </c>
      <c r="Q117">
        <v>42</v>
      </c>
    </row>
    <row r="118" spans="1:19">
      <c r="A118">
        <v>117</v>
      </c>
      <c r="B118">
        <v>1</v>
      </c>
      <c r="C118">
        <v>20240112</v>
      </c>
      <c r="D118" t="s">
        <v>28</v>
      </c>
      <c r="E118" t="s">
        <v>21</v>
      </c>
      <c r="F118" t="s">
        <v>41</v>
      </c>
      <c r="G118" t="s">
        <v>37</v>
      </c>
      <c r="H118">
        <v>87503</v>
      </c>
      <c r="I118" t="s">
        <v>24</v>
      </c>
      <c r="J118">
        <v>4.14</v>
      </c>
      <c r="K118">
        <v>362262.42</v>
      </c>
      <c r="L118" t="s">
        <v>637</v>
      </c>
      <c r="M118" t="s">
        <v>719</v>
      </c>
      <c r="N118">
        <v>4.05</v>
      </c>
      <c r="O118" t="s">
        <v>27</v>
      </c>
      <c r="P118" t="s">
        <v>721</v>
      </c>
      <c r="Q118">
        <v>12</v>
      </c>
    </row>
    <row r="119" spans="1:19">
      <c r="A119">
        <v>118</v>
      </c>
      <c r="B119">
        <v>1</v>
      </c>
      <c r="C119">
        <v>20240112</v>
      </c>
      <c r="D119" t="s">
        <v>20</v>
      </c>
      <c r="E119" t="s">
        <v>21</v>
      </c>
      <c r="F119" t="s">
        <v>46</v>
      </c>
      <c r="G119" t="s">
        <v>47</v>
      </c>
      <c r="H119">
        <v>1492</v>
      </c>
      <c r="I119" t="s">
        <v>24</v>
      </c>
      <c r="J119">
        <v>7.46</v>
      </c>
      <c r="K119">
        <v>11130.32</v>
      </c>
      <c r="L119" t="s">
        <v>634</v>
      </c>
      <c r="M119" t="s">
        <v>722</v>
      </c>
      <c r="N119">
        <v>4.93</v>
      </c>
      <c r="O119" t="s">
        <v>27</v>
      </c>
      <c r="P119" t="s">
        <v>723</v>
      </c>
      <c r="Q119">
        <v>1</v>
      </c>
      <c r="R119">
        <v>5.2041</v>
      </c>
    </row>
    <row r="120" spans="1:19">
      <c r="A120">
        <v>119</v>
      </c>
      <c r="B120">
        <v>1</v>
      </c>
      <c r="C120">
        <v>20240112</v>
      </c>
      <c r="D120" t="s">
        <v>20</v>
      </c>
      <c r="E120" t="s">
        <v>21</v>
      </c>
      <c r="F120" t="s">
        <v>46</v>
      </c>
      <c r="G120" t="s">
        <v>633</v>
      </c>
      <c r="H120">
        <v>113527</v>
      </c>
      <c r="I120" t="s">
        <v>24</v>
      </c>
      <c r="J120">
        <v>7.46</v>
      </c>
      <c r="K120">
        <v>846911.42</v>
      </c>
      <c r="L120" t="s">
        <v>634</v>
      </c>
      <c r="M120" t="s">
        <v>722</v>
      </c>
      <c r="N120">
        <v>4.93</v>
      </c>
      <c r="O120" t="s">
        <v>27</v>
      </c>
      <c r="P120" t="s">
        <v>724</v>
      </c>
      <c r="Q120">
        <v>8</v>
      </c>
    </row>
    <row r="121" spans="1:19">
      <c r="A121">
        <v>120</v>
      </c>
      <c r="B121">
        <v>1</v>
      </c>
      <c r="C121">
        <v>20240112</v>
      </c>
      <c r="D121" t="s">
        <v>20</v>
      </c>
      <c r="E121" t="s">
        <v>21</v>
      </c>
      <c r="F121" t="s">
        <v>41</v>
      </c>
      <c r="G121" t="s">
        <v>42</v>
      </c>
      <c r="H121">
        <v>467673</v>
      </c>
      <c r="I121" t="s">
        <v>24</v>
      </c>
      <c r="J121">
        <v>5.63</v>
      </c>
      <c r="K121">
        <v>2632998.99</v>
      </c>
      <c r="L121" t="s">
        <v>634</v>
      </c>
      <c r="M121" t="s">
        <v>725</v>
      </c>
      <c r="N121">
        <v>5.516</v>
      </c>
      <c r="O121" t="s">
        <v>27</v>
      </c>
      <c r="P121" t="s">
        <v>726</v>
      </c>
      <c r="Q121">
        <v>43</v>
      </c>
      <c r="S121">
        <v>4.48</v>
      </c>
    </row>
    <row r="122" spans="1:19">
      <c r="A122">
        <v>121</v>
      </c>
      <c r="B122">
        <v>1</v>
      </c>
      <c r="C122">
        <v>20240112</v>
      </c>
      <c r="D122" t="s">
        <v>20</v>
      </c>
      <c r="E122" t="s">
        <v>21</v>
      </c>
      <c r="F122" t="s">
        <v>41</v>
      </c>
      <c r="G122" t="s">
        <v>42</v>
      </c>
      <c r="H122">
        <v>29864</v>
      </c>
      <c r="I122" t="s">
        <v>24</v>
      </c>
      <c r="J122">
        <v>5.63</v>
      </c>
      <c r="K122">
        <v>168134.32</v>
      </c>
      <c r="L122" t="s">
        <v>637</v>
      </c>
      <c r="M122" t="s">
        <v>725</v>
      </c>
      <c r="N122">
        <v>5.516</v>
      </c>
      <c r="O122" t="s">
        <v>27</v>
      </c>
      <c r="P122" t="s">
        <v>726</v>
      </c>
      <c r="Q122">
        <v>4</v>
      </c>
      <c r="R122">
        <v>6.9333</v>
      </c>
      <c r="S122">
        <v>4.48</v>
      </c>
    </row>
    <row r="123" spans="1:19">
      <c r="A123">
        <v>122</v>
      </c>
      <c r="B123">
        <v>1</v>
      </c>
      <c r="C123">
        <v>20240113</v>
      </c>
      <c r="D123" t="s">
        <v>20</v>
      </c>
      <c r="E123" t="s">
        <v>21</v>
      </c>
      <c r="F123" t="s">
        <v>32</v>
      </c>
      <c r="G123" t="s">
        <v>50</v>
      </c>
      <c r="H123">
        <v>14960</v>
      </c>
      <c r="I123" t="s">
        <v>24</v>
      </c>
      <c r="J123">
        <v>5.53</v>
      </c>
      <c r="K123">
        <v>82728.8</v>
      </c>
      <c r="L123" t="s">
        <v>637</v>
      </c>
      <c r="M123" t="s">
        <v>727</v>
      </c>
      <c r="N123">
        <v>4.7765</v>
      </c>
      <c r="O123" t="s">
        <v>27</v>
      </c>
      <c r="P123" t="s">
        <v>728</v>
      </c>
      <c r="Q123">
        <v>2</v>
      </c>
      <c r="R123">
        <v>7.024</v>
      </c>
    </row>
    <row r="124" spans="1:19">
      <c r="A124">
        <v>123</v>
      </c>
      <c r="B124">
        <v>1</v>
      </c>
      <c r="C124">
        <v>20240113</v>
      </c>
      <c r="D124" t="s">
        <v>20</v>
      </c>
      <c r="E124" t="s">
        <v>21</v>
      </c>
      <c r="F124" t="s">
        <v>32</v>
      </c>
      <c r="G124" t="s">
        <v>640</v>
      </c>
      <c r="H124">
        <v>447992</v>
      </c>
      <c r="I124" t="s">
        <v>24</v>
      </c>
      <c r="J124">
        <v>5.47</v>
      </c>
      <c r="K124">
        <v>2450516.24</v>
      </c>
      <c r="L124" t="s">
        <v>634</v>
      </c>
      <c r="M124" t="s">
        <v>727</v>
      </c>
      <c r="N124">
        <v>5.0362</v>
      </c>
      <c r="O124" t="s">
        <v>27</v>
      </c>
      <c r="P124" t="s">
        <v>729</v>
      </c>
      <c r="Q124">
        <v>245</v>
      </c>
      <c r="R124">
        <v>7.1094</v>
      </c>
    </row>
    <row r="125" spans="1:19">
      <c r="A125">
        <v>124</v>
      </c>
      <c r="B125">
        <v>1</v>
      </c>
      <c r="C125">
        <v>20240113</v>
      </c>
      <c r="D125" t="s">
        <v>28</v>
      </c>
      <c r="E125" t="s">
        <v>21</v>
      </c>
      <c r="F125" t="s">
        <v>32</v>
      </c>
      <c r="G125" t="s">
        <v>30</v>
      </c>
      <c r="H125">
        <v>7480</v>
      </c>
      <c r="I125" t="s">
        <v>24</v>
      </c>
      <c r="J125">
        <v>4.14</v>
      </c>
      <c r="K125">
        <v>30967.2</v>
      </c>
      <c r="L125" t="s">
        <v>637</v>
      </c>
      <c r="M125" t="s">
        <v>730</v>
      </c>
      <c r="N125">
        <v>4.015</v>
      </c>
      <c r="O125" t="s">
        <v>27</v>
      </c>
      <c r="P125" t="s">
        <v>731</v>
      </c>
      <c r="Q125">
        <v>1</v>
      </c>
    </row>
    <row r="126" spans="1:19">
      <c r="A126">
        <v>125</v>
      </c>
      <c r="B126">
        <v>1</v>
      </c>
      <c r="C126">
        <v>20240115</v>
      </c>
      <c r="D126" t="s">
        <v>20</v>
      </c>
      <c r="E126" t="s">
        <v>21</v>
      </c>
      <c r="F126" t="s">
        <v>59</v>
      </c>
      <c r="G126" t="s">
        <v>47</v>
      </c>
      <c r="H126">
        <v>257035</v>
      </c>
      <c r="I126" t="s">
        <v>24</v>
      </c>
      <c r="J126">
        <v>7.46</v>
      </c>
      <c r="K126">
        <v>1917481.1</v>
      </c>
      <c r="L126" t="s">
        <v>637</v>
      </c>
      <c r="M126" t="s">
        <v>732</v>
      </c>
      <c r="N126">
        <v>5.1366</v>
      </c>
      <c r="O126" t="s">
        <v>27</v>
      </c>
      <c r="P126" t="s">
        <v>733</v>
      </c>
      <c r="Q126">
        <v>20</v>
      </c>
      <c r="R126">
        <v>5.2041</v>
      </c>
    </row>
    <row r="127" spans="1:19">
      <c r="A127">
        <v>126</v>
      </c>
      <c r="B127">
        <v>1</v>
      </c>
      <c r="C127">
        <v>20240116</v>
      </c>
      <c r="D127" t="s">
        <v>20</v>
      </c>
      <c r="E127" t="s">
        <v>21</v>
      </c>
      <c r="F127" t="s">
        <v>32</v>
      </c>
      <c r="G127" t="s">
        <v>50</v>
      </c>
      <c r="H127">
        <v>805640</v>
      </c>
      <c r="I127" t="s">
        <v>24</v>
      </c>
      <c r="J127">
        <v>5.53</v>
      </c>
      <c r="K127">
        <v>4455189.2</v>
      </c>
      <c r="L127" t="s">
        <v>637</v>
      </c>
      <c r="M127" t="s">
        <v>734</v>
      </c>
      <c r="N127">
        <v>4.7765</v>
      </c>
      <c r="O127" t="s">
        <v>27</v>
      </c>
      <c r="P127" t="s">
        <v>735</v>
      </c>
      <c r="Q127">
        <v>67</v>
      </c>
      <c r="R127">
        <v>7.024</v>
      </c>
    </row>
    <row r="128" spans="1:19">
      <c r="A128">
        <v>127</v>
      </c>
      <c r="B128">
        <v>1</v>
      </c>
      <c r="C128">
        <v>20240116</v>
      </c>
      <c r="D128" t="s">
        <v>20</v>
      </c>
      <c r="E128" t="s">
        <v>21</v>
      </c>
      <c r="F128" t="s">
        <v>59</v>
      </c>
      <c r="G128" t="s">
        <v>47</v>
      </c>
      <c r="H128">
        <v>64458</v>
      </c>
      <c r="I128" t="s">
        <v>24</v>
      </c>
      <c r="J128">
        <v>7.46</v>
      </c>
      <c r="K128">
        <v>480856.68</v>
      </c>
      <c r="L128" t="s">
        <v>637</v>
      </c>
      <c r="M128" t="s">
        <v>736</v>
      </c>
      <c r="N128">
        <v>5.134354</v>
      </c>
      <c r="O128" t="s">
        <v>27</v>
      </c>
      <c r="P128" t="s">
        <v>737</v>
      </c>
      <c r="Q128">
        <v>1</v>
      </c>
      <c r="R128">
        <v>5.2041</v>
      </c>
    </row>
    <row r="129" spans="1:18">
      <c r="A129">
        <v>128</v>
      </c>
      <c r="B129">
        <v>1</v>
      </c>
      <c r="C129">
        <v>20240116</v>
      </c>
      <c r="D129" t="s">
        <v>20</v>
      </c>
      <c r="E129" t="s">
        <v>21</v>
      </c>
      <c r="F129" t="s">
        <v>22</v>
      </c>
      <c r="G129" t="s">
        <v>30</v>
      </c>
      <c r="H129">
        <v>336</v>
      </c>
      <c r="I129" t="s">
        <v>24</v>
      </c>
      <c r="J129">
        <v>4.14</v>
      </c>
      <c r="K129">
        <v>1391.04</v>
      </c>
      <c r="L129" t="s">
        <v>637</v>
      </c>
      <c r="M129" t="s">
        <v>738</v>
      </c>
      <c r="N129">
        <v>3.5538</v>
      </c>
      <c r="O129" t="s">
        <v>27</v>
      </c>
      <c r="P129" t="s">
        <v>739</v>
      </c>
      <c r="Q129">
        <v>1</v>
      </c>
      <c r="R129">
        <v>4.9338</v>
      </c>
    </row>
    <row r="130" spans="1:18">
      <c r="A130">
        <v>129</v>
      </c>
      <c r="B130">
        <v>1</v>
      </c>
      <c r="C130">
        <v>20240116</v>
      </c>
      <c r="D130" t="s">
        <v>20</v>
      </c>
      <c r="E130" t="s">
        <v>21</v>
      </c>
      <c r="F130" t="s">
        <v>22</v>
      </c>
      <c r="G130" t="s">
        <v>30</v>
      </c>
      <c r="H130">
        <v>345600</v>
      </c>
      <c r="I130" t="s">
        <v>24</v>
      </c>
      <c r="J130">
        <v>4.14</v>
      </c>
      <c r="K130">
        <v>1430784</v>
      </c>
      <c r="L130" t="s">
        <v>634</v>
      </c>
      <c r="M130" t="s">
        <v>738</v>
      </c>
      <c r="N130">
        <v>4.0263</v>
      </c>
      <c r="O130" t="s">
        <v>27</v>
      </c>
      <c r="P130" t="s">
        <v>739</v>
      </c>
      <c r="Q130">
        <v>16</v>
      </c>
      <c r="R130">
        <v>4.9338</v>
      </c>
    </row>
    <row r="131" spans="1:18">
      <c r="A131">
        <v>130</v>
      </c>
      <c r="B131">
        <v>1</v>
      </c>
      <c r="C131">
        <v>20240116</v>
      </c>
      <c r="D131" t="s">
        <v>28</v>
      </c>
      <c r="E131" t="s">
        <v>21</v>
      </c>
      <c r="F131" t="s">
        <v>22</v>
      </c>
      <c r="G131" t="s">
        <v>30</v>
      </c>
      <c r="H131">
        <v>46917</v>
      </c>
      <c r="I131" t="s">
        <v>24</v>
      </c>
      <c r="J131">
        <v>4.14</v>
      </c>
      <c r="K131">
        <v>194236.38</v>
      </c>
      <c r="L131" t="s">
        <v>637</v>
      </c>
      <c r="M131" t="s">
        <v>740</v>
      </c>
      <c r="N131">
        <v>3.5538</v>
      </c>
      <c r="O131" t="s">
        <v>27</v>
      </c>
      <c r="P131" t="s">
        <v>741</v>
      </c>
      <c r="Q131">
        <v>2</v>
      </c>
    </row>
    <row r="132" spans="1:18">
      <c r="A132">
        <v>131</v>
      </c>
      <c r="B132">
        <v>1</v>
      </c>
      <c r="C132">
        <v>20240116</v>
      </c>
      <c r="D132" t="s">
        <v>28</v>
      </c>
      <c r="E132" t="s">
        <v>21</v>
      </c>
      <c r="F132" t="s">
        <v>22</v>
      </c>
      <c r="G132" t="s">
        <v>37</v>
      </c>
      <c r="H132">
        <v>3933</v>
      </c>
      <c r="I132" t="s">
        <v>24</v>
      </c>
      <c r="J132">
        <v>4.14</v>
      </c>
      <c r="K132">
        <v>16282.62</v>
      </c>
      <c r="L132" t="s">
        <v>637</v>
      </c>
      <c r="M132" t="s">
        <v>740</v>
      </c>
      <c r="N132">
        <v>3.5538</v>
      </c>
      <c r="O132" t="s">
        <v>27</v>
      </c>
      <c r="P132" t="s">
        <v>742</v>
      </c>
      <c r="Q132">
        <v>2</v>
      </c>
    </row>
    <row r="133" spans="1:18">
      <c r="A133">
        <v>132</v>
      </c>
      <c r="B133">
        <v>1</v>
      </c>
      <c r="C133">
        <v>20240116</v>
      </c>
      <c r="D133" t="s">
        <v>28</v>
      </c>
      <c r="E133" t="s">
        <v>21</v>
      </c>
      <c r="F133" t="s">
        <v>22</v>
      </c>
      <c r="G133" t="s">
        <v>30</v>
      </c>
      <c r="H133">
        <v>19613</v>
      </c>
      <c r="I133" t="s">
        <v>24</v>
      </c>
      <c r="J133">
        <v>4.14</v>
      </c>
      <c r="K133">
        <v>81197.82</v>
      </c>
      <c r="L133" t="s">
        <v>654</v>
      </c>
      <c r="M133" t="s">
        <v>740</v>
      </c>
      <c r="N133">
        <v>4.0377</v>
      </c>
      <c r="O133" t="s">
        <v>27</v>
      </c>
      <c r="P133" t="s">
        <v>741</v>
      </c>
      <c r="Q133">
        <v>6</v>
      </c>
    </row>
    <row r="134" spans="1:18">
      <c r="A134">
        <v>133</v>
      </c>
      <c r="B134">
        <v>1</v>
      </c>
      <c r="C134">
        <v>20240116</v>
      </c>
      <c r="D134" t="s">
        <v>28</v>
      </c>
      <c r="E134" t="s">
        <v>21</v>
      </c>
      <c r="F134" t="s">
        <v>22</v>
      </c>
      <c r="G134" t="s">
        <v>37</v>
      </c>
      <c r="H134">
        <v>888</v>
      </c>
      <c r="I134" t="s">
        <v>24</v>
      </c>
      <c r="J134">
        <v>4.14</v>
      </c>
      <c r="K134">
        <v>3676.32</v>
      </c>
      <c r="L134" t="s">
        <v>654</v>
      </c>
      <c r="M134" t="s">
        <v>740</v>
      </c>
      <c r="N134">
        <v>4.479</v>
      </c>
      <c r="O134" t="s">
        <v>27</v>
      </c>
      <c r="P134" t="s">
        <v>742</v>
      </c>
      <c r="Q134">
        <v>1</v>
      </c>
    </row>
    <row r="135" spans="1:18">
      <c r="A135">
        <v>134</v>
      </c>
      <c r="B135">
        <v>1</v>
      </c>
      <c r="C135">
        <v>20240116</v>
      </c>
      <c r="D135" t="s">
        <v>28</v>
      </c>
      <c r="E135" t="s">
        <v>21</v>
      </c>
      <c r="F135" t="s">
        <v>22</v>
      </c>
      <c r="G135" t="s">
        <v>37</v>
      </c>
      <c r="H135">
        <v>5937</v>
      </c>
      <c r="I135" t="s">
        <v>24</v>
      </c>
      <c r="J135">
        <v>4.14</v>
      </c>
      <c r="K135">
        <v>24579.18</v>
      </c>
      <c r="L135" t="s">
        <v>634</v>
      </c>
      <c r="M135" t="s">
        <v>740</v>
      </c>
      <c r="N135">
        <v>4.049</v>
      </c>
      <c r="O135" t="s">
        <v>27</v>
      </c>
      <c r="P135" t="s">
        <v>742</v>
      </c>
      <c r="Q135">
        <v>2</v>
      </c>
    </row>
    <row r="136" spans="1:18">
      <c r="A136">
        <v>135</v>
      </c>
      <c r="B136">
        <v>1</v>
      </c>
      <c r="C136">
        <v>20240116</v>
      </c>
      <c r="D136" t="s">
        <v>20</v>
      </c>
      <c r="E136" t="s">
        <v>21</v>
      </c>
      <c r="F136" t="s">
        <v>29</v>
      </c>
      <c r="G136" t="s">
        <v>47</v>
      </c>
      <c r="H136">
        <v>7666</v>
      </c>
      <c r="I136" t="s">
        <v>24</v>
      </c>
      <c r="J136">
        <v>7.46</v>
      </c>
      <c r="K136">
        <v>57188.36</v>
      </c>
      <c r="L136" t="s">
        <v>637</v>
      </c>
      <c r="M136" t="s">
        <v>743</v>
      </c>
      <c r="N136">
        <v>5.1911</v>
      </c>
      <c r="O136" t="s">
        <v>27</v>
      </c>
      <c r="P136" t="s">
        <v>744</v>
      </c>
      <c r="Q136">
        <v>4</v>
      </c>
      <c r="R136">
        <v>5.2041</v>
      </c>
    </row>
    <row r="137" spans="1:18">
      <c r="A137">
        <v>136</v>
      </c>
      <c r="B137">
        <v>1</v>
      </c>
      <c r="C137">
        <v>20240117</v>
      </c>
      <c r="D137" t="s">
        <v>28</v>
      </c>
      <c r="E137" t="s">
        <v>21</v>
      </c>
      <c r="F137" t="s">
        <v>22</v>
      </c>
      <c r="G137" t="s">
        <v>37</v>
      </c>
      <c r="H137">
        <v>54488</v>
      </c>
      <c r="I137" t="s">
        <v>24</v>
      </c>
      <c r="J137">
        <v>4.14</v>
      </c>
      <c r="K137">
        <v>225580.32</v>
      </c>
      <c r="L137" t="s">
        <v>637</v>
      </c>
      <c r="M137" t="s">
        <v>745</v>
      </c>
      <c r="N137">
        <v>3.3692</v>
      </c>
      <c r="O137" t="s">
        <v>27</v>
      </c>
      <c r="P137" t="s">
        <v>746</v>
      </c>
      <c r="Q137">
        <v>111</v>
      </c>
      <c r="R137" t="s">
        <v>747</v>
      </c>
    </row>
    <row r="138" spans="1:18">
      <c r="A138">
        <v>137</v>
      </c>
      <c r="B138">
        <v>1</v>
      </c>
      <c r="C138">
        <v>20240117</v>
      </c>
      <c r="D138" t="s">
        <v>28</v>
      </c>
      <c r="E138" t="s">
        <v>21</v>
      </c>
      <c r="F138" t="s">
        <v>22</v>
      </c>
      <c r="G138" t="s">
        <v>30</v>
      </c>
      <c r="H138">
        <v>662879</v>
      </c>
      <c r="I138" t="s">
        <v>24</v>
      </c>
      <c r="J138">
        <v>4.14</v>
      </c>
      <c r="K138">
        <v>2744319.06</v>
      </c>
      <c r="L138" t="s">
        <v>637</v>
      </c>
      <c r="M138" t="s">
        <v>745</v>
      </c>
      <c r="N138">
        <v>3.3692</v>
      </c>
      <c r="O138" t="s">
        <v>27</v>
      </c>
      <c r="P138" t="s">
        <v>748</v>
      </c>
      <c r="Q138">
        <v>244</v>
      </c>
      <c r="R138" t="s">
        <v>747</v>
      </c>
    </row>
    <row r="139" spans="1:18">
      <c r="A139">
        <v>138</v>
      </c>
      <c r="B139">
        <v>1</v>
      </c>
      <c r="C139">
        <v>20240117</v>
      </c>
      <c r="D139" t="s">
        <v>20</v>
      </c>
      <c r="E139" t="s">
        <v>21</v>
      </c>
      <c r="F139" t="s">
        <v>32</v>
      </c>
      <c r="G139" t="s">
        <v>50</v>
      </c>
      <c r="H139">
        <v>389627</v>
      </c>
      <c r="I139" t="s">
        <v>24</v>
      </c>
      <c r="J139">
        <v>5.53</v>
      </c>
      <c r="K139">
        <v>2154637.31</v>
      </c>
      <c r="L139" t="s">
        <v>637</v>
      </c>
      <c r="M139" t="s">
        <v>749</v>
      </c>
      <c r="N139">
        <v>4.7765</v>
      </c>
      <c r="O139" t="s">
        <v>27</v>
      </c>
      <c r="P139" t="s">
        <v>750</v>
      </c>
      <c r="Q139">
        <v>43</v>
      </c>
    </row>
    <row r="140" spans="1:18">
      <c r="A140">
        <v>139</v>
      </c>
      <c r="B140">
        <v>1</v>
      </c>
      <c r="C140">
        <v>20240117</v>
      </c>
      <c r="D140" t="s">
        <v>28</v>
      </c>
      <c r="E140" t="s">
        <v>21</v>
      </c>
      <c r="F140" t="s">
        <v>32</v>
      </c>
      <c r="G140" t="s">
        <v>30</v>
      </c>
      <c r="H140">
        <v>26025</v>
      </c>
      <c r="I140" t="s">
        <v>24</v>
      </c>
      <c r="J140">
        <v>4.14</v>
      </c>
      <c r="K140">
        <v>107743.5</v>
      </c>
      <c r="L140" t="s">
        <v>634</v>
      </c>
      <c r="M140" t="s">
        <v>751</v>
      </c>
      <c r="N140">
        <v>4.015</v>
      </c>
      <c r="O140" t="s">
        <v>27</v>
      </c>
      <c r="P140" t="s">
        <v>752</v>
      </c>
      <c r="Q140">
        <v>5</v>
      </c>
    </row>
    <row r="141" spans="1:18">
      <c r="A141">
        <v>140</v>
      </c>
      <c r="B141">
        <v>1</v>
      </c>
      <c r="C141">
        <v>20240117</v>
      </c>
      <c r="D141" t="s">
        <v>28</v>
      </c>
      <c r="E141" t="s">
        <v>21</v>
      </c>
      <c r="F141" t="s">
        <v>32</v>
      </c>
      <c r="G141" t="s">
        <v>37</v>
      </c>
      <c r="H141">
        <v>6888</v>
      </c>
      <c r="I141" t="s">
        <v>24</v>
      </c>
      <c r="J141">
        <v>4.14</v>
      </c>
      <c r="K141">
        <v>28516.32</v>
      </c>
      <c r="L141" t="s">
        <v>654</v>
      </c>
      <c r="M141" t="s">
        <v>751</v>
      </c>
      <c r="N141">
        <v>4.015</v>
      </c>
      <c r="O141" t="s">
        <v>27</v>
      </c>
      <c r="P141" t="s">
        <v>753</v>
      </c>
      <c r="Q141">
        <v>1</v>
      </c>
    </row>
    <row r="142" spans="1:18">
      <c r="A142">
        <v>141</v>
      </c>
      <c r="B142">
        <v>1</v>
      </c>
      <c r="C142">
        <v>20240117</v>
      </c>
      <c r="D142" t="s">
        <v>28</v>
      </c>
      <c r="E142" t="s">
        <v>21</v>
      </c>
      <c r="F142" t="s">
        <v>32</v>
      </c>
      <c r="G142" t="s">
        <v>37</v>
      </c>
      <c r="H142">
        <v>21922</v>
      </c>
      <c r="I142" t="s">
        <v>24</v>
      </c>
      <c r="J142">
        <v>4.14</v>
      </c>
      <c r="K142">
        <v>90757.08</v>
      </c>
      <c r="L142" t="s">
        <v>637</v>
      </c>
      <c r="M142" t="s">
        <v>751</v>
      </c>
      <c r="N142">
        <v>4.015</v>
      </c>
      <c r="O142" t="s">
        <v>27</v>
      </c>
      <c r="P142" t="s">
        <v>753</v>
      </c>
      <c r="Q142">
        <v>7</v>
      </c>
    </row>
    <row r="143" spans="1:18">
      <c r="A143">
        <v>142</v>
      </c>
      <c r="B143">
        <v>1</v>
      </c>
      <c r="C143">
        <v>20240117</v>
      </c>
      <c r="D143" t="s">
        <v>28</v>
      </c>
      <c r="E143" t="s">
        <v>21</v>
      </c>
      <c r="F143" t="s">
        <v>32</v>
      </c>
      <c r="G143" t="s">
        <v>30</v>
      </c>
      <c r="H143">
        <v>459011</v>
      </c>
      <c r="I143" t="s">
        <v>24</v>
      </c>
      <c r="J143">
        <v>4.14</v>
      </c>
      <c r="K143">
        <v>1900305.54</v>
      </c>
      <c r="L143" t="s">
        <v>637</v>
      </c>
      <c r="M143" t="s">
        <v>751</v>
      </c>
      <c r="N143">
        <v>4.015</v>
      </c>
      <c r="O143" t="s">
        <v>27</v>
      </c>
      <c r="P143" t="s">
        <v>752</v>
      </c>
      <c r="Q143">
        <v>95</v>
      </c>
    </row>
    <row r="144" spans="1:18">
      <c r="A144">
        <v>143</v>
      </c>
      <c r="B144">
        <v>1</v>
      </c>
      <c r="C144">
        <v>20240117</v>
      </c>
      <c r="D144" t="s">
        <v>28</v>
      </c>
      <c r="E144" t="s">
        <v>21</v>
      </c>
      <c r="F144" t="s">
        <v>22</v>
      </c>
      <c r="G144" t="s">
        <v>37</v>
      </c>
      <c r="H144">
        <v>69615</v>
      </c>
      <c r="I144" t="s">
        <v>24</v>
      </c>
      <c r="J144">
        <v>4.14</v>
      </c>
      <c r="K144">
        <v>288206.1</v>
      </c>
      <c r="L144" t="s">
        <v>637</v>
      </c>
      <c r="M144" t="s">
        <v>754</v>
      </c>
      <c r="N144">
        <v>4.0608</v>
      </c>
      <c r="O144" t="s">
        <v>27</v>
      </c>
      <c r="P144" t="s">
        <v>746</v>
      </c>
      <c r="Q144">
        <v>14</v>
      </c>
    </row>
    <row r="145" spans="1:17">
      <c r="A145">
        <v>144</v>
      </c>
      <c r="B145">
        <v>1</v>
      </c>
      <c r="C145">
        <v>20240117</v>
      </c>
      <c r="D145" t="s">
        <v>28</v>
      </c>
      <c r="E145" t="s">
        <v>21</v>
      </c>
      <c r="F145" t="s">
        <v>22</v>
      </c>
      <c r="G145" t="s">
        <v>37</v>
      </c>
      <c r="H145">
        <v>48767</v>
      </c>
      <c r="I145" t="s">
        <v>24</v>
      </c>
      <c r="J145">
        <v>4.14</v>
      </c>
      <c r="K145">
        <v>201895.38</v>
      </c>
      <c r="L145" t="s">
        <v>637</v>
      </c>
      <c r="M145" t="s">
        <v>754</v>
      </c>
      <c r="N145">
        <v>3.5722</v>
      </c>
      <c r="O145" t="s">
        <v>27</v>
      </c>
      <c r="P145" t="s">
        <v>746</v>
      </c>
      <c r="Q145">
        <v>14</v>
      </c>
    </row>
    <row r="146" spans="1:17">
      <c r="A146">
        <v>145</v>
      </c>
      <c r="B146">
        <v>1</v>
      </c>
      <c r="C146">
        <v>20240117</v>
      </c>
      <c r="D146" t="s">
        <v>28</v>
      </c>
      <c r="E146" t="s">
        <v>21</v>
      </c>
      <c r="F146" t="s">
        <v>22</v>
      </c>
      <c r="G146" t="s">
        <v>37</v>
      </c>
      <c r="H146">
        <v>2032</v>
      </c>
      <c r="I146" t="s">
        <v>24</v>
      </c>
      <c r="J146">
        <v>4.14</v>
      </c>
      <c r="K146">
        <v>8412.48</v>
      </c>
      <c r="L146" t="s">
        <v>637</v>
      </c>
      <c r="M146" t="s">
        <v>754</v>
      </c>
      <c r="N146">
        <v>3.5065</v>
      </c>
      <c r="O146" t="s">
        <v>27</v>
      </c>
      <c r="P146" t="s">
        <v>746</v>
      </c>
      <c r="Q146">
        <v>1</v>
      </c>
    </row>
    <row r="147" spans="1:17">
      <c r="A147">
        <v>146</v>
      </c>
      <c r="B147">
        <v>1</v>
      </c>
      <c r="C147">
        <v>20240117</v>
      </c>
      <c r="D147" t="s">
        <v>28</v>
      </c>
      <c r="E147" t="s">
        <v>21</v>
      </c>
      <c r="F147" t="s">
        <v>22</v>
      </c>
      <c r="G147" t="s">
        <v>30</v>
      </c>
      <c r="H147">
        <v>19567</v>
      </c>
      <c r="I147" t="s">
        <v>24</v>
      </c>
      <c r="J147">
        <v>4.14</v>
      </c>
      <c r="K147">
        <v>81007.38</v>
      </c>
      <c r="L147" t="s">
        <v>637</v>
      </c>
      <c r="M147" t="s">
        <v>754</v>
      </c>
      <c r="N147">
        <v>3.5538</v>
      </c>
      <c r="O147" t="s">
        <v>27</v>
      </c>
      <c r="P147" t="s">
        <v>748</v>
      </c>
      <c r="Q147">
        <v>3</v>
      </c>
    </row>
    <row r="148" spans="1:17">
      <c r="A148">
        <v>147</v>
      </c>
      <c r="B148">
        <v>1</v>
      </c>
      <c r="C148">
        <v>20240117</v>
      </c>
      <c r="D148" t="s">
        <v>28</v>
      </c>
      <c r="E148" t="s">
        <v>21</v>
      </c>
      <c r="F148" t="s">
        <v>22</v>
      </c>
      <c r="G148" t="s">
        <v>30</v>
      </c>
      <c r="H148">
        <v>16</v>
      </c>
      <c r="I148" t="s">
        <v>24</v>
      </c>
      <c r="J148">
        <v>4.14</v>
      </c>
      <c r="K148">
        <v>66.24</v>
      </c>
      <c r="L148" t="s">
        <v>637</v>
      </c>
      <c r="M148" t="s">
        <v>754</v>
      </c>
      <c r="N148">
        <v>3.5538</v>
      </c>
      <c r="O148" t="s">
        <v>27</v>
      </c>
      <c r="P148" t="s">
        <v>748</v>
      </c>
      <c r="Q148">
        <v>1</v>
      </c>
    </row>
    <row r="149" spans="1:17">
      <c r="A149">
        <v>148</v>
      </c>
      <c r="B149">
        <v>1</v>
      </c>
      <c r="C149">
        <v>20240117</v>
      </c>
      <c r="D149" t="s">
        <v>28</v>
      </c>
      <c r="E149" t="s">
        <v>21</v>
      </c>
      <c r="F149" t="s">
        <v>22</v>
      </c>
      <c r="G149" t="s">
        <v>37</v>
      </c>
      <c r="H149">
        <v>25375</v>
      </c>
      <c r="I149" t="s">
        <v>24</v>
      </c>
      <c r="J149">
        <v>4.14</v>
      </c>
      <c r="K149">
        <v>105052.5</v>
      </c>
      <c r="L149" t="s">
        <v>634</v>
      </c>
      <c r="M149" t="s">
        <v>754</v>
      </c>
      <c r="N149">
        <v>4.0626</v>
      </c>
      <c r="O149" t="s">
        <v>27</v>
      </c>
      <c r="P149" t="s">
        <v>746</v>
      </c>
      <c r="Q149">
        <v>11</v>
      </c>
    </row>
    <row r="150" spans="1:17">
      <c r="A150">
        <v>149</v>
      </c>
      <c r="B150">
        <v>1</v>
      </c>
      <c r="C150">
        <v>20240117</v>
      </c>
      <c r="D150" t="s">
        <v>28</v>
      </c>
      <c r="E150" t="s">
        <v>21</v>
      </c>
      <c r="F150" t="s">
        <v>22</v>
      </c>
      <c r="G150" t="s">
        <v>30</v>
      </c>
      <c r="H150">
        <v>36555</v>
      </c>
      <c r="I150" t="s">
        <v>24</v>
      </c>
      <c r="J150">
        <v>4.14</v>
      </c>
      <c r="K150">
        <v>151337.7</v>
      </c>
      <c r="L150" t="s">
        <v>634</v>
      </c>
      <c r="M150" t="s">
        <v>754</v>
      </c>
      <c r="N150">
        <v>4.062</v>
      </c>
      <c r="O150" t="s">
        <v>27</v>
      </c>
      <c r="P150" t="s">
        <v>748</v>
      </c>
      <c r="Q150">
        <v>6</v>
      </c>
    </row>
    <row r="151" spans="1:17">
      <c r="A151">
        <v>150</v>
      </c>
      <c r="B151">
        <v>1</v>
      </c>
      <c r="C151">
        <v>20240117</v>
      </c>
      <c r="D151" t="s">
        <v>28</v>
      </c>
      <c r="E151" t="s">
        <v>21</v>
      </c>
      <c r="F151" t="s">
        <v>22</v>
      </c>
      <c r="G151" t="s">
        <v>37</v>
      </c>
      <c r="H151">
        <v>4886</v>
      </c>
      <c r="I151" t="s">
        <v>24</v>
      </c>
      <c r="J151">
        <v>4.14</v>
      </c>
      <c r="K151">
        <v>20228.04</v>
      </c>
      <c r="L151" t="s">
        <v>654</v>
      </c>
      <c r="M151" t="s">
        <v>754</v>
      </c>
      <c r="N151">
        <v>4.5094</v>
      </c>
      <c r="O151" t="s">
        <v>27</v>
      </c>
      <c r="P151" t="s">
        <v>746</v>
      </c>
      <c r="Q151">
        <v>8</v>
      </c>
    </row>
    <row r="152" spans="1:17">
      <c r="A152">
        <v>151</v>
      </c>
      <c r="B152">
        <v>1</v>
      </c>
      <c r="C152">
        <v>20240117</v>
      </c>
      <c r="D152" t="s">
        <v>20</v>
      </c>
      <c r="E152" t="s">
        <v>21</v>
      </c>
      <c r="F152" t="s">
        <v>22</v>
      </c>
      <c r="G152" t="s">
        <v>42</v>
      </c>
      <c r="H152">
        <v>378130</v>
      </c>
      <c r="I152" t="s">
        <v>24</v>
      </c>
      <c r="J152">
        <v>5.63</v>
      </c>
      <c r="K152">
        <v>2128871.9</v>
      </c>
      <c r="L152" t="s">
        <v>634</v>
      </c>
      <c r="M152" t="s">
        <v>755</v>
      </c>
      <c r="N152">
        <v>5.516</v>
      </c>
      <c r="O152" t="s">
        <v>27</v>
      </c>
      <c r="P152" t="s">
        <v>756</v>
      </c>
      <c r="Q152">
        <v>24</v>
      </c>
    </row>
    <row r="153" spans="1:17">
      <c r="A153">
        <v>152</v>
      </c>
      <c r="B153">
        <v>1</v>
      </c>
      <c r="C153">
        <v>20240117</v>
      </c>
      <c r="D153" t="s">
        <v>20</v>
      </c>
      <c r="E153" t="s">
        <v>21</v>
      </c>
      <c r="F153" t="s">
        <v>22</v>
      </c>
      <c r="G153" t="s">
        <v>30</v>
      </c>
      <c r="H153">
        <v>137942</v>
      </c>
      <c r="I153" t="s">
        <v>24</v>
      </c>
      <c r="J153">
        <v>4.14</v>
      </c>
      <c r="K153">
        <v>571079.88</v>
      </c>
      <c r="L153" t="s">
        <v>634</v>
      </c>
      <c r="M153" t="s">
        <v>755</v>
      </c>
      <c r="N153">
        <v>4.0304</v>
      </c>
      <c r="O153" t="s">
        <v>27</v>
      </c>
      <c r="P153" t="s">
        <v>757</v>
      </c>
      <c r="Q153">
        <v>6</v>
      </c>
    </row>
    <row r="154" spans="1:17">
      <c r="A154">
        <v>153</v>
      </c>
      <c r="B154">
        <v>1</v>
      </c>
      <c r="C154">
        <v>20240117</v>
      </c>
      <c r="D154" t="s">
        <v>20</v>
      </c>
      <c r="E154" t="s">
        <v>21</v>
      </c>
      <c r="F154" t="s">
        <v>22</v>
      </c>
      <c r="G154" t="s">
        <v>42</v>
      </c>
      <c r="H154">
        <v>139770</v>
      </c>
      <c r="I154" t="s">
        <v>24</v>
      </c>
      <c r="J154">
        <v>4.58</v>
      </c>
      <c r="K154">
        <v>640146.6</v>
      </c>
      <c r="L154" t="s">
        <v>637</v>
      </c>
      <c r="M154" t="s">
        <v>755</v>
      </c>
      <c r="N154">
        <v>4.4875</v>
      </c>
      <c r="O154" t="s">
        <v>27</v>
      </c>
      <c r="P154" t="s">
        <v>758</v>
      </c>
      <c r="Q154">
        <v>8</v>
      </c>
    </row>
    <row r="155" spans="1:17">
      <c r="A155">
        <v>154</v>
      </c>
      <c r="B155">
        <v>1</v>
      </c>
      <c r="C155">
        <v>20240117</v>
      </c>
      <c r="D155" t="s">
        <v>20</v>
      </c>
      <c r="E155" t="s">
        <v>21</v>
      </c>
      <c r="F155" t="s">
        <v>22</v>
      </c>
      <c r="G155" t="s">
        <v>30</v>
      </c>
      <c r="H155">
        <v>18143</v>
      </c>
      <c r="I155" t="s">
        <v>24</v>
      </c>
      <c r="J155">
        <v>4.14</v>
      </c>
      <c r="K155">
        <v>75112.02</v>
      </c>
      <c r="L155" t="s">
        <v>637</v>
      </c>
      <c r="M155" t="s">
        <v>755</v>
      </c>
      <c r="N155">
        <v>3.5538</v>
      </c>
      <c r="O155" t="s">
        <v>27</v>
      </c>
      <c r="P155" t="s">
        <v>757</v>
      </c>
      <c r="Q155">
        <v>3</v>
      </c>
    </row>
    <row r="156" spans="1:17">
      <c r="A156">
        <v>155</v>
      </c>
      <c r="B156">
        <v>1</v>
      </c>
      <c r="C156">
        <v>20240117</v>
      </c>
      <c r="D156" t="s">
        <v>20</v>
      </c>
      <c r="E156" t="s">
        <v>21</v>
      </c>
      <c r="F156" t="s">
        <v>29</v>
      </c>
      <c r="G156" t="s">
        <v>42</v>
      </c>
      <c r="H156">
        <v>216699</v>
      </c>
      <c r="I156" t="s">
        <v>24</v>
      </c>
      <c r="J156">
        <v>5.63</v>
      </c>
      <c r="K156">
        <v>1220015.37</v>
      </c>
      <c r="L156" t="s">
        <v>634</v>
      </c>
      <c r="M156" t="s">
        <v>759</v>
      </c>
      <c r="N156">
        <v>5.51801</v>
      </c>
      <c r="O156" t="s">
        <v>27</v>
      </c>
      <c r="P156" t="s">
        <v>760</v>
      </c>
      <c r="Q156">
        <v>39</v>
      </c>
    </row>
    <row r="157" spans="1:17">
      <c r="A157">
        <v>156</v>
      </c>
      <c r="B157">
        <v>1</v>
      </c>
      <c r="C157">
        <v>20240118</v>
      </c>
      <c r="D157" t="s">
        <v>20</v>
      </c>
      <c r="E157" t="s">
        <v>21</v>
      </c>
      <c r="F157" t="s">
        <v>41</v>
      </c>
      <c r="G157" t="s">
        <v>30</v>
      </c>
      <c r="H157">
        <v>57459</v>
      </c>
      <c r="I157" t="s">
        <v>24</v>
      </c>
      <c r="J157">
        <v>4.14</v>
      </c>
      <c r="K157">
        <v>237880.26</v>
      </c>
      <c r="L157" t="s">
        <v>634</v>
      </c>
      <c r="M157" t="s">
        <v>761</v>
      </c>
      <c r="N157">
        <v>4.05</v>
      </c>
      <c r="O157" t="s">
        <v>27</v>
      </c>
      <c r="P157" t="s">
        <v>762</v>
      </c>
      <c r="Q157">
        <v>6</v>
      </c>
    </row>
    <row r="158" spans="1:17">
      <c r="A158">
        <v>157</v>
      </c>
      <c r="B158">
        <v>1</v>
      </c>
      <c r="C158">
        <v>20240118</v>
      </c>
      <c r="D158" t="s">
        <v>20</v>
      </c>
      <c r="E158" t="s">
        <v>21</v>
      </c>
      <c r="F158" t="s">
        <v>41</v>
      </c>
      <c r="G158" t="s">
        <v>30</v>
      </c>
      <c r="H158">
        <v>23546</v>
      </c>
      <c r="I158" t="s">
        <v>24</v>
      </c>
      <c r="J158">
        <v>4.14</v>
      </c>
      <c r="K158">
        <v>97480.44</v>
      </c>
      <c r="L158" t="s">
        <v>637</v>
      </c>
      <c r="M158" t="s">
        <v>761</v>
      </c>
      <c r="N158">
        <v>4.05</v>
      </c>
      <c r="O158" t="s">
        <v>27</v>
      </c>
      <c r="P158" t="s">
        <v>762</v>
      </c>
      <c r="Q158">
        <v>11</v>
      </c>
    </row>
    <row r="159" spans="1:17">
      <c r="A159">
        <v>158</v>
      </c>
      <c r="B159">
        <v>1</v>
      </c>
      <c r="C159">
        <v>20240118</v>
      </c>
      <c r="D159" t="s">
        <v>20</v>
      </c>
      <c r="E159" t="s">
        <v>21</v>
      </c>
      <c r="F159" t="s">
        <v>41</v>
      </c>
      <c r="G159" t="s">
        <v>30</v>
      </c>
      <c r="H159">
        <v>1419</v>
      </c>
      <c r="I159" t="s">
        <v>24</v>
      </c>
      <c r="J159">
        <v>4.14</v>
      </c>
      <c r="K159">
        <v>5874.66</v>
      </c>
      <c r="L159" t="s">
        <v>634</v>
      </c>
      <c r="M159" t="s">
        <v>761</v>
      </c>
      <c r="N159">
        <v>4.05</v>
      </c>
      <c r="O159" t="s">
        <v>27</v>
      </c>
      <c r="P159" t="s">
        <v>762</v>
      </c>
      <c r="Q159">
        <v>1</v>
      </c>
    </row>
    <row r="160" spans="1:17">
      <c r="A160">
        <v>159</v>
      </c>
      <c r="B160">
        <v>1</v>
      </c>
      <c r="C160">
        <v>20240118</v>
      </c>
      <c r="D160" t="s">
        <v>28</v>
      </c>
      <c r="E160" t="s">
        <v>21</v>
      </c>
      <c r="F160" t="s">
        <v>41</v>
      </c>
      <c r="G160" t="s">
        <v>30</v>
      </c>
      <c r="H160">
        <v>112732</v>
      </c>
      <c r="I160" t="s">
        <v>24</v>
      </c>
      <c r="J160">
        <v>4.14</v>
      </c>
      <c r="K160">
        <v>466710.48</v>
      </c>
      <c r="L160" t="s">
        <v>634</v>
      </c>
      <c r="M160" t="s">
        <v>763</v>
      </c>
      <c r="N160">
        <v>4.05</v>
      </c>
      <c r="O160" t="s">
        <v>27</v>
      </c>
      <c r="P160" t="s">
        <v>764</v>
      </c>
      <c r="Q160">
        <v>9</v>
      </c>
    </row>
    <row r="161" spans="1:17">
      <c r="A161">
        <v>160</v>
      </c>
      <c r="B161">
        <v>1</v>
      </c>
      <c r="C161">
        <v>20240118</v>
      </c>
      <c r="D161" t="s">
        <v>28</v>
      </c>
      <c r="E161" t="s">
        <v>21</v>
      </c>
      <c r="F161" t="s">
        <v>41</v>
      </c>
      <c r="G161" t="s">
        <v>37</v>
      </c>
      <c r="H161">
        <v>27720</v>
      </c>
      <c r="I161" t="s">
        <v>24</v>
      </c>
      <c r="J161">
        <v>4.14</v>
      </c>
      <c r="K161">
        <v>114760.8</v>
      </c>
      <c r="L161" t="s">
        <v>634</v>
      </c>
      <c r="M161" t="s">
        <v>763</v>
      </c>
      <c r="N161">
        <v>4.05</v>
      </c>
      <c r="O161" t="s">
        <v>27</v>
      </c>
      <c r="P161" t="s">
        <v>765</v>
      </c>
      <c r="Q161">
        <v>2</v>
      </c>
    </row>
    <row r="162" spans="1:17">
      <c r="A162">
        <v>161</v>
      </c>
      <c r="B162">
        <v>1</v>
      </c>
      <c r="C162">
        <v>20240118</v>
      </c>
      <c r="D162" t="s">
        <v>28</v>
      </c>
      <c r="E162" t="s">
        <v>21</v>
      </c>
      <c r="F162" t="s">
        <v>41</v>
      </c>
      <c r="G162" t="s">
        <v>37</v>
      </c>
      <c r="H162">
        <v>27010</v>
      </c>
      <c r="I162" t="s">
        <v>24</v>
      </c>
      <c r="J162">
        <v>4.14</v>
      </c>
      <c r="K162">
        <v>111821.4</v>
      </c>
      <c r="L162" t="s">
        <v>637</v>
      </c>
      <c r="M162" t="s">
        <v>763</v>
      </c>
      <c r="N162">
        <v>4.05</v>
      </c>
      <c r="O162" t="s">
        <v>27</v>
      </c>
      <c r="P162" t="s">
        <v>765</v>
      </c>
      <c r="Q162">
        <v>3</v>
      </c>
    </row>
    <row r="163" spans="1:17">
      <c r="A163">
        <v>162</v>
      </c>
      <c r="B163">
        <v>1</v>
      </c>
      <c r="C163">
        <v>20240118</v>
      </c>
      <c r="D163" t="s">
        <v>28</v>
      </c>
      <c r="E163" t="s">
        <v>21</v>
      </c>
      <c r="F163" t="s">
        <v>41</v>
      </c>
      <c r="G163" t="s">
        <v>30</v>
      </c>
      <c r="H163">
        <v>43504</v>
      </c>
      <c r="I163" t="s">
        <v>24</v>
      </c>
      <c r="J163">
        <v>4.14</v>
      </c>
      <c r="K163">
        <v>180106.56</v>
      </c>
      <c r="L163" t="s">
        <v>637</v>
      </c>
      <c r="M163" t="s">
        <v>763</v>
      </c>
      <c r="N163">
        <v>4.05</v>
      </c>
      <c r="O163" t="s">
        <v>27</v>
      </c>
      <c r="P163" t="s">
        <v>764</v>
      </c>
      <c r="Q163">
        <v>5</v>
      </c>
    </row>
    <row r="164" spans="1:17">
      <c r="A164">
        <v>163</v>
      </c>
      <c r="B164">
        <v>1</v>
      </c>
      <c r="C164">
        <v>20240118</v>
      </c>
      <c r="D164" t="s">
        <v>28</v>
      </c>
      <c r="E164" t="s">
        <v>21</v>
      </c>
      <c r="F164" t="s">
        <v>41</v>
      </c>
      <c r="G164" t="s">
        <v>30</v>
      </c>
      <c r="H164">
        <v>27501</v>
      </c>
      <c r="I164" t="s">
        <v>24</v>
      </c>
      <c r="J164">
        <v>4.14</v>
      </c>
      <c r="K164">
        <v>113854.14</v>
      </c>
      <c r="L164" t="s">
        <v>637</v>
      </c>
      <c r="M164" t="s">
        <v>763</v>
      </c>
      <c r="N164">
        <v>4.05</v>
      </c>
      <c r="O164" t="s">
        <v>27</v>
      </c>
      <c r="P164" t="s">
        <v>764</v>
      </c>
      <c r="Q164">
        <v>11</v>
      </c>
    </row>
    <row r="165" spans="1:17">
      <c r="A165">
        <v>164</v>
      </c>
      <c r="B165">
        <v>1</v>
      </c>
      <c r="C165">
        <v>20240118</v>
      </c>
      <c r="D165" t="s">
        <v>28</v>
      </c>
      <c r="E165" t="s">
        <v>21</v>
      </c>
      <c r="F165" t="s">
        <v>41</v>
      </c>
      <c r="G165" t="s">
        <v>37</v>
      </c>
      <c r="H165">
        <v>7211</v>
      </c>
      <c r="I165" t="s">
        <v>24</v>
      </c>
      <c r="J165">
        <v>4.14</v>
      </c>
      <c r="K165">
        <v>29853.54</v>
      </c>
      <c r="L165" t="s">
        <v>637</v>
      </c>
      <c r="M165" t="s">
        <v>763</v>
      </c>
      <c r="N165">
        <v>4.05</v>
      </c>
      <c r="O165" t="s">
        <v>27</v>
      </c>
      <c r="P165" t="s">
        <v>765</v>
      </c>
      <c r="Q165">
        <v>3</v>
      </c>
    </row>
    <row r="166" spans="1:17">
      <c r="A166">
        <v>165</v>
      </c>
      <c r="B166">
        <v>1</v>
      </c>
      <c r="C166">
        <v>20240118</v>
      </c>
      <c r="D166" t="s">
        <v>28</v>
      </c>
      <c r="E166" t="s">
        <v>21</v>
      </c>
      <c r="F166" t="s">
        <v>41</v>
      </c>
      <c r="G166" t="s">
        <v>37</v>
      </c>
      <c r="H166">
        <v>24725</v>
      </c>
      <c r="I166" t="s">
        <v>24</v>
      </c>
      <c r="J166">
        <v>4.14</v>
      </c>
      <c r="K166">
        <v>102361.5</v>
      </c>
      <c r="L166" t="s">
        <v>637</v>
      </c>
      <c r="M166" t="s">
        <v>763</v>
      </c>
      <c r="N166">
        <v>4.05</v>
      </c>
      <c r="O166" t="s">
        <v>27</v>
      </c>
      <c r="P166" t="s">
        <v>765</v>
      </c>
      <c r="Q166">
        <v>8</v>
      </c>
    </row>
    <row r="167" spans="1:17">
      <c r="A167">
        <v>166</v>
      </c>
      <c r="B167">
        <v>1</v>
      </c>
      <c r="C167">
        <v>20240118</v>
      </c>
      <c r="D167" t="s">
        <v>28</v>
      </c>
      <c r="E167" t="s">
        <v>21</v>
      </c>
      <c r="F167" t="s">
        <v>41</v>
      </c>
      <c r="G167" t="s">
        <v>30</v>
      </c>
      <c r="H167">
        <v>43808</v>
      </c>
      <c r="I167" t="s">
        <v>24</v>
      </c>
      <c r="J167">
        <v>4.14</v>
      </c>
      <c r="K167">
        <v>181365.12</v>
      </c>
      <c r="L167" t="s">
        <v>637</v>
      </c>
      <c r="M167" t="s">
        <v>763</v>
      </c>
      <c r="N167">
        <v>4.05</v>
      </c>
      <c r="O167" t="s">
        <v>27</v>
      </c>
      <c r="P167" t="s">
        <v>764</v>
      </c>
      <c r="Q167">
        <v>14</v>
      </c>
    </row>
    <row r="168" spans="1:17">
      <c r="A168">
        <v>167</v>
      </c>
      <c r="B168">
        <v>1</v>
      </c>
      <c r="C168">
        <v>20240118</v>
      </c>
      <c r="D168" t="s">
        <v>28</v>
      </c>
      <c r="E168" t="s">
        <v>21</v>
      </c>
      <c r="F168" t="s">
        <v>41</v>
      </c>
      <c r="G168" t="s">
        <v>37</v>
      </c>
      <c r="H168">
        <v>37544</v>
      </c>
      <c r="I168" t="s">
        <v>24</v>
      </c>
      <c r="J168">
        <v>4.14</v>
      </c>
      <c r="K168">
        <v>155432.16</v>
      </c>
      <c r="L168" t="s">
        <v>637</v>
      </c>
      <c r="M168" t="s">
        <v>763</v>
      </c>
      <c r="N168">
        <v>4.05</v>
      </c>
      <c r="O168" t="s">
        <v>27</v>
      </c>
      <c r="P168" t="s">
        <v>765</v>
      </c>
      <c r="Q168">
        <v>9</v>
      </c>
    </row>
    <row r="169" spans="1:17">
      <c r="A169">
        <v>168</v>
      </c>
      <c r="B169">
        <v>1</v>
      </c>
      <c r="C169">
        <v>20240118</v>
      </c>
      <c r="D169" t="s">
        <v>28</v>
      </c>
      <c r="E169" t="s">
        <v>21</v>
      </c>
      <c r="F169" t="s">
        <v>41</v>
      </c>
      <c r="G169" t="s">
        <v>30</v>
      </c>
      <c r="H169">
        <v>12024</v>
      </c>
      <c r="I169" t="s">
        <v>24</v>
      </c>
      <c r="J169">
        <v>4.14</v>
      </c>
      <c r="K169">
        <v>49779.36</v>
      </c>
      <c r="L169" t="s">
        <v>637</v>
      </c>
      <c r="M169" t="s">
        <v>763</v>
      </c>
      <c r="N169">
        <v>4.05</v>
      </c>
      <c r="O169" t="s">
        <v>27</v>
      </c>
      <c r="P169" t="s">
        <v>764</v>
      </c>
      <c r="Q169">
        <v>5</v>
      </c>
    </row>
    <row r="170" spans="1:17">
      <c r="A170">
        <v>169</v>
      </c>
      <c r="B170">
        <v>1</v>
      </c>
      <c r="C170">
        <v>20240118</v>
      </c>
      <c r="D170" t="s">
        <v>28</v>
      </c>
      <c r="E170" t="s">
        <v>21</v>
      </c>
      <c r="F170" t="s">
        <v>41</v>
      </c>
      <c r="G170" t="s">
        <v>30</v>
      </c>
      <c r="H170">
        <v>8032</v>
      </c>
      <c r="I170" t="s">
        <v>24</v>
      </c>
      <c r="J170">
        <v>4.14</v>
      </c>
      <c r="K170">
        <v>33252.48</v>
      </c>
      <c r="L170" t="s">
        <v>637</v>
      </c>
      <c r="M170" t="s">
        <v>763</v>
      </c>
      <c r="N170">
        <v>4.05</v>
      </c>
      <c r="O170" t="s">
        <v>27</v>
      </c>
      <c r="P170" t="s">
        <v>764</v>
      </c>
      <c r="Q170">
        <v>3</v>
      </c>
    </row>
    <row r="171" spans="1:17">
      <c r="A171">
        <v>170</v>
      </c>
      <c r="B171">
        <v>1</v>
      </c>
      <c r="C171">
        <v>20240118</v>
      </c>
      <c r="D171" t="s">
        <v>28</v>
      </c>
      <c r="E171" t="s">
        <v>21</v>
      </c>
      <c r="F171" t="s">
        <v>41</v>
      </c>
      <c r="G171" t="s">
        <v>30</v>
      </c>
      <c r="H171">
        <v>6094</v>
      </c>
      <c r="I171" t="s">
        <v>24</v>
      </c>
      <c r="J171">
        <v>4.14</v>
      </c>
      <c r="K171">
        <v>25229.16</v>
      </c>
      <c r="L171" t="s">
        <v>634</v>
      </c>
      <c r="M171" t="s">
        <v>763</v>
      </c>
      <c r="N171">
        <v>4.05</v>
      </c>
      <c r="O171" t="s">
        <v>27</v>
      </c>
      <c r="P171" t="s">
        <v>764</v>
      </c>
      <c r="Q171">
        <v>1</v>
      </c>
    </row>
    <row r="172" spans="1:17">
      <c r="A172">
        <v>171</v>
      </c>
      <c r="B172">
        <v>1</v>
      </c>
      <c r="C172">
        <v>20240118</v>
      </c>
      <c r="D172" t="s">
        <v>28</v>
      </c>
      <c r="E172" t="s">
        <v>21</v>
      </c>
      <c r="F172" t="s">
        <v>32</v>
      </c>
      <c r="G172" t="s">
        <v>37</v>
      </c>
      <c r="H172">
        <v>1427</v>
      </c>
      <c r="I172" t="s">
        <v>24</v>
      </c>
      <c r="J172">
        <v>4.14</v>
      </c>
      <c r="K172">
        <v>5907.78</v>
      </c>
      <c r="L172" t="s">
        <v>634</v>
      </c>
      <c r="M172" t="s">
        <v>766</v>
      </c>
      <c r="N172">
        <v>4.015</v>
      </c>
      <c r="O172" t="s">
        <v>27</v>
      </c>
      <c r="P172" t="s">
        <v>767</v>
      </c>
      <c r="Q172">
        <v>3</v>
      </c>
    </row>
    <row r="173" spans="1:17">
      <c r="A173">
        <v>172</v>
      </c>
      <c r="B173">
        <v>1</v>
      </c>
      <c r="C173">
        <v>20240118</v>
      </c>
      <c r="D173" t="s">
        <v>28</v>
      </c>
      <c r="E173" t="s">
        <v>21</v>
      </c>
      <c r="F173" t="s">
        <v>32</v>
      </c>
      <c r="G173" t="s">
        <v>30</v>
      </c>
      <c r="H173">
        <v>526056</v>
      </c>
      <c r="I173" t="s">
        <v>24</v>
      </c>
      <c r="J173">
        <v>4.14</v>
      </c>
      <c r="K173">
        <v>2177871.84</v>
      </c>
      <c r="L173" t="s">
        <v>634</v>
      </c>
      <c r="M173" t="s">
        <v>766</v>
      </c>
      <c r="N173">
        <v>4.015</v>
      </c>
      <c r="O173" t="s">
        <v>27</v>
      </c>
      <c r="P173" t="s">
        <v>768</v>
      </c>
      <c r="Q173">
        <v>42</v>
      </c>
    </row>
    <row r="174" spans="1:17">
      <c r="A174">
        <v>173</v>
      </c>
      <c r="B174">
        <v>1</v>
      </c>
      <c r="C174">
        <v>20240118</v>
      </c>
      <c r="D174" t="s">
        <v>28</v>
      </c>
      <c r="E174" t="s">
        <v>21</v>
      </c>
      <c r="F174" t="s">
        <v>32</v>
      </c>
      <c r="G174" t="s">
        <v>37</v>
      </c>
      <c r="H174">
        <v>52656</v>
      </c>
      <c r="I174" t="s">
        <v>24</v>
      </c>
      <c r="J174">
        <v>4.14</v>
      </c>
      <c r="K174">
        <v>217995.84</v>
      </c>
      <c r="L174" t="s">
        <v>654</v>
      </c>
      <c r="M174" t="s">
        <v>766</v>
      </c>
      <c r="N174">
        <v>4.015</v>
      </c>
      <c r="O174" t="s">
        <v>27</v>
      </c>
      <c r="P174" t="s">
        <v>767</v>
      </c>
      <c r="Q174">
        <v>3</v>
      </c>
    </row>
    <row r="175" spans="1:17">
      <c r="A175">
        <v>174</v>
      </c>
      <c r="B175">
        <v>1</v>
      </c>
      <c r="C175">
        <v>20240118</v>
      </c>
      <c r="D175" t="s">
        <v>28</v>
      </c>
      <c r="E175" t="s">
        <v>21</v>
      </c>
      <c r="F175" t="s">
        <v>32</v>
      </c>
      <c r="G175" t="s">
        <v>30</v>
      </c>
      <c r="H175">
        <v>4424</v>
      </c>
      <c r="I175" t="s">
        <v>24</v>
      </c>
      <c r="J175">
        <v>4.14</v>
      </c>
      <c r="K175">
        <v>18315.36</v>
      </c>
      <c r="L175" t="s">
        <v>654</v>
      </c>
      <c r="M175" t="s">
        <v>766</v>
      </c>
      <c r="N175">
        <v>4.015</v>
      </c>
      <c r="O175" t="s">
        <v>27</v>
      </c>
      <c r="P175" t="s">
        <v>768</v>
      </c>
      <c r="Q175">
        <v>2</v>
      </c>
    </row>
    <row r="176" spans="1:17">
      <c r="A176">
        <v>175</v>
      </c>
      <c r="B176">
        <v>1</v>
      </c>
      <c r="C176">
        <v>20240118</v>
      </c>
      <c r="D176" t="s">
        <v>28</v>
      </c>
      <c r="E176" t="s">
        <v>21</v>
      </c>
      <c r="F176" t="s">
        <v>32</v>
      </c>
      <c r="G176" t="s">
        <v>37</v>
      </c>
      <c r="H176">
        <v>110587</v>
      </c>
      <c r="I176" t="s">
        <v>24</v>
      </c>
      <c r="J176">
        <v>4.14</v>
      </c>
      <c r="K176">
        <v>457830.18</v>
      </c>
      <c r="L176" t="s">
        <v>637</v>
      </c>
      <c r="M176" t="s">
        <v>766</v>
      </c>
      <c r="N176">
        <v>4.015</v>
      </c>
      <c r="O176" t="s">
        <v>27</v>
      </c>
      <c r="P176" t="s">
        <v>767</v>
      </c>
      <c r="Q176">
        <v>11</v>
      </c>
    </row>
    <row r="177" spans="1:17">
      <c r="A177">
        <v>176</v>
      </c>
      <c r="B177">
        <v>1</v>
      </c>
      <c r="C177">
        <v>20240118</v>
      </c>
      <c r="D177" t="s">
        <v>28</v>
      </c>
      <c r="E177" t="s">
        <v>21</v>
      </c>
      <c r="F177" t="s">
        <v>32</v>
      </c>
      <c r="G177" t="s">
        <v>30</v>
      </c>
      <c r="H177">
        <v>356953</v>
      </c>
      <c r="I177" t="s">
        <v>24</v>
      </c>
      <c r="J177">
        <v>4.14</v>
      </c>
      <c r="K177">
        <v>1477785.42</v>
      </c>
      <c r="L177" t="s">
        <v>637</v>
      </c>
      <c r="M177" t="s">
        <v>766</v>
      </c>
      <c r="N177">
        <v>4.015</v>
      </c>
      <c r="O177" t="s">
        <v>27</v>
      </c>
      <c r="P177" t="s">
        <v>768</v>
      </c>
      <c r="Q177">
        <v>69</v>
      </c>
    </row>
    <row r="178" spans="1:17">
      <c r="A178">
        <v>177</v>
      </c>
      <c r="B178">
        <v>1</v>
      </c>
      <c r="C178">
        <v>20240118</v>
      </c>
      <c r="D178" t="s">
        <v>20</v>
      </c>
      <c r="E178" t="s">
        <v>21</v>
      </c>
      <c r="F178" t="s">
        <v>22</v>
      </c>
      <c r="G178" t="s">
        <v>30</v>
      </c>
      <c r="H178">
        <v>105601</v>
      </c>
      <c r="I178" t="s">
        <v>24</v>
      </c>
      <c r="J178">
        <v>4.14</v>
      </c>
      <c r="K178">
        <v>437188.14</v>
      </c>
      <c r="L178" t="s">
        <v>634</v>
      </c>
      <c r="M178" t="s">
        <v>769</v>
      </c>
      <c r="N178">
        <v>4.0239</v>
      </c>
      <c r="O178" t="s">
        <v>27</v>
      </c>
      <c r="P178" t="s">
        <v>770</v>
      </c>
      <c r="Q178">
        <v>5</v>
      </c>
    </row>
    <row r="179" spans="1:17">
      <c r="A179">
        <v>178</v>
      </c>
      <c r="B179">
        <v>1</v>
      </c>
      <c r="C179">
        <v>20240118</v>
      </c>
      <c r="D179" t="s">
        <v>20</v>
      </c>
      <c r="E179" t="s">
        <v>21</v>
      </c>
      <c r="F179" t="s">
        <v>22</v>
      </c>
      <c r="G179" t="s">
        <v>30</v>
      </c>
      <c r="H179">
        <v>52636</v>
      </c>
      <c r="I179" t="s">
        <v>24</v>
      </c>
      <c r="J179">
        <v>4.14</v>
      </c>
      <c r="K179">
        <v>217913.04</v>
      </c>
      <c r="L179" t="s">
        <v>634</v>
      </c>
      <c r="M179" t="s">
        <v>769</v>
      </c>
      <c r="N179">
        <v>4.0195</v>
      </c>
      <c r="O179" t="s">
        <v>27</v>
      </c>
      <c r="P179" t="s">
        <v>770</v>
      </c>
      <c r="Q179">
        <v>3</v>
      </c>
    </row>
    <row r="180" spans="1:17">
      <c r="A180">
        <v>179</v>
      </c>
      <c r="B180">
        <v>1</v>
      </c>
      <c r="C180">
        <v>20240118</v>
      </c>
      <c r="D180" t="s">
        <v>20</v>
      </c>
      <c r="E180" t="s">
        <v>21</v>
      </c>
      <c r="F180" t="s">
        <v>22</v>
      </c>
      <c r="G180" t="s">
        <v>30</v>
      </c>
      <c r="H180">
        <v>37630</v>
      </c>
      <c r="I180" t="s">
        <v>24</v>
      </c>
      <c r="J180">
        <v>4.14</v>
      </c>
      <c r="K180">
        <v>155788.2</v>
      </c>
      <c r="L180" t="s">
        <v>637</v>
      </c>
      <c r="M180" t="s">
        <v>769</v>
      </c>
      <c r="N180">
        <v>3.5538</v>
      </c>
      <c r="O180" t="s">
        <v>27</v>
      </c>
      <c r="P180" t="s">
        <v>770</v>
      </c>
      <c r="Q180">
        <v>2</v>
      </c>
    </row>
    <row r="181" spans="1:17">
      <c r="A181">
        <v>180</v>
      </c>
      <c r="B181">
        <v>1</v>
      </c>
      <c r="C181">
        <v>20240118</v>
      </c>
      <c r="D181" t="s">
        <v>20</v>
      </c>
      <c r="E181" t="s">
        <v>21</v>
      </c>
      <c r="F181" t="s">
        <v>22</v>
      </c>
      <c r="G181" t="s">
        <v>30</v>
      </c>
      <c r="H181">
        <v>226</v>
      </c>
      <c r="I181" t="s">
        <v>24</v>
      </c>
      <c r="J181">
        <v>4.14</v>
      </c>
      <c r="K181">
        <v>935.64</v>
      </c>
      <c r="L181" t="s">
        <v>637</v>
      </c>
      <c r="M181" t="s">
        <v>769</v>
      </c>
      <c r="N181">
        <v>3.5243</v>
      </c>
      <c r="O181" t="s">
        <v>27</v>
      </c>
      <c r="P181" t="s">
        <v>770</v>
      </c>
      <c r="Q181">
        <v>2</v>
      </c>
    </row>
    <row r="182" spans="1:17">
      <c r="A182">
        <v>181</v>
      </c>
      <c r="B182">
        <v>1</v>
      </c>
      <c r="C182">
        <v>20240118</v>
      </c>
      <c r="D182" t="s">
        <v>28</v>
      </c>
      <c r="E182" t="s">
        <v>21</v>
      </c>
      <c r="F182" t="s">
        <v>22</v>
      </c>
      <c r="G182" t="s">
        <v>37</v>
      </c>
      <c r="H182">
        <v>24152</v>
      </c>
      <c r="I182" t="s">
        <v>24</v>
      </c>
      <c r="J182">
        <v>4.14</v>
      </c>
      <c r="K182">
        <v>99989.28</v>
      </c>
      <c r="L182" t="s">
        <v>654</v>
      </c>
      <c r="M182" t="s">
        <v>771</v>
      </c>
      <c r="N182">
        <v>4.0375</v>
      </c>
      <c r="O182" t="s">
        <v>27</v>
      </c>
      <c r="P182" t="s">
        <v>772</v>
      </c>
      <c r="Q182">
        <v>2</v>
      </c>
    </row>
    <row r="183" spans="1:17">
      <c r="A183">
        <v>182</v>
      </c>
      <c r="B183">
        <v>1</v>
      </c>
      <c r="C183">
        <v>20240118</v>
      </c>
      <c r="D183" t="s">
        <v>28</v>
      </c>
      <c r="E183" t="s">
        <v>21</v>
      </c>
      <c r="F183" t="s">
        <v>22</v>
      </c>
      <c r="G183" t="s">
        <v>30</v>
      </c>
      <c r="H183">
        <v>655</v>
      </c>
      <c r="I183" t="s">
        <v>24</v>
      </c>
      <c r="J183">
        <v>4.14</v>
      </c>
      <c r="K183">
        <v>2711.7</v>
      </c>
      <c r="L183" t="s">
        <v>654</v>
      </c>
      <c r="M183" t="s">
        <v>771</v>
      </c>
      <c r="N183">
        <v>4.049</v>
      </c>
      <c r="O183" t="s">
        <v>27</v>
      </c>
      <c r="P183" t="s">
        <v>773</v>
      </c>
      <c r="Q183">
        <v>1</v>
      </c>
    </row>
    <row r="184" spans="1:17">
      <c r="A184">
        <v>183</v>
      </c>
      <c r="B184">
        <v>1</v>
      </c>
      <c r="C184">
        <v>20240118</v>
      </c>
      <c r="D184" t="s">
        <v>28</v>
      </c>
      <c r="E184" t="s">
        <v>21</v>
      </c>
      <c r="F184" t="s">
        <v>22</v>
      </c>
      <c r="G184" t="s">
        <v>37</v>
      </c>
      <c r="H184">
        <v>2452</v>
      </c>
      <c r="I184" t="s">
        <v>24</v>
      </c>
      <c r="J184">
        <v>4.14</v>
      </c>
      <c r="K184">
        <v>10151.28</v>
      </c>
      <c r="L184" t="s">
        <v>637</v>
      </c>
      <c r="M184" t="s">
        <v>771</v>
      </c>
      <c r="N184">
        <v>3.5283</v>
      </c>
      <c r="O184" t="s">
        <v>27</v>
      </c>
      <c r="P184" t="s">
        <v>772</v>
      </c>
      <c r="Q184" t="s">
        <v>774</v>
      </c>
    </row>
    <row r="185" spans="1:17">
      <c r="A185">
        <v>184</v>
      </c>
      <c r="B185">
        <v>1</v>
      </c>
      <c r="C185">
        <v>20240118</v>
      </c>
      <c r="D185" t="s">
        <v>28</v>
      </c>
      <c r="E185" t="s">
        <v>21</v>
      </c>
      <c r="F185" t="s">
        <v>22</v>
      </c>
      <c r="G185" t="s">
        <v>37</v>
      </c>
      <c r="H185">
        <v>34342</v>
      </c>
      <c r="I185" t="s">
        <v>24</v>
      </c>
      <c r="J185">
        <v>4.14</v>
      </c>
      <c r="K185">
        <v>142175.88</v>
      </c>
      <c r="L185" t="s">
        <v>637</v>
      </c>
      <c r="M185" t="s">
        <v>771</v>
      </c>
      <c r="N185">
        <v>3.5235</v>
      </c>
      <c r="O185" t="s">
        <v>27</v>
      </c>
      <c r="P185" t="s">
        <v>772</v>
      </c>
      <c r="Q185" t="s">
        <v>775</v>
      </c>
    </row>
    <row r="186" spans="1:17">
      <c r="A186">
        <v>185</v>
      </c>
      <c r="B186">
        <v>1</v>
      </c>
      <c r="C186">
        <v>20240118</v>
      </c>
      <c r="D186" t="s">
        <v>28</v>
      </c>
      <c r="E186" t="s">
        <v>21</v>
      </c>
      <c r="F186" t="s">
        <v>22</v>
      </c>
      <c r="G186" t="s">
        <v>37</v>
      </c>
      <c r="H186">
        <v>43562</v>
      </c>
      <c r="I186" t="s">
        <v>24</v>
      </c>
      <c r="J186">
        <v>4.14</v>
      </c>
      <c r="K186">
        <v>180346.68</v>
      </c>
      <c r="L186" t="s">
        <v>637</v>
      </c>
      <c r="M186" t="s">
        <v>771</v>
      </c>
      <c r="N186">
        <v>3.5707</v>
      </c>
      <c r="O186" t="s">
        <v>27</v>
      </c>
      <c r="P186" t="s">
        <v>772</v>
      </c>
      <c r="Q186" t="s">
        <v>775</v>
      </c>
    </row>
    <row r="187" spans="1:17">
      <c r="A187">
        <v>186</v>
      </c>
      <c r="B187">
        <v>1</v>
      </c>
      <c r="C187">
        <v>20240118</v>
      </c>
      <c r="D187" t="s">
        <v>28</v>
      </c>
      <c r="E187" t="s">
        <v>21</v>
      </c>
      <c r="F187" t="s">
        <v>22</v>
      </c>
      <c r="G187" t="s">
        <v>37</v>
      </c>
      <c r="H187">
        <v>2311</v>
      </c>
      <c r="I187" t="s">
        <v>24</v>
      </c>
      <c r="J187">
        <v>4.14</v>
      </c>
      <c r="K187">
        <v>9567.54</v>
      </c>
      <c r="L187" t="s">
        <v>637</v>
      </c>
      <c r="M187" t="s">
        <v>771</v>
      </c>
      <c r="N187">
        <v>3.5065</v>
      </c>
      <c r="O187" t="s">
        <v>27</v>
      </c>
      <c r="P187" t="s">
        <v>772</v>
      </c>
      <c r="Q187" t="s">
        <v>776</v>
      </c>
    </row>
    <row r="188" spans="1:17">
      <c r="A188">
        <v>187</v>
      </c>
      <c r="B188">
        <v>1</v>
      </c>
      <c r="C188">
        <v>20240118</v>
      </c>
      <c r="D188" t="s">
        <v>28</v>
      </c>
      <c r="E188" t="s">
        <v>21</v>
      </c>
      <c r="F188" t="s">
        <v>22</v>
      </c>
      <c r="G188" t="s">
        <v>30</v>
      </c>
      <c r="H188">
        <v>142558</v>
      </c>
      <c r="I188" t="s">
        <v>24</v>
      </c>
      <c r="J188">
        <v>4.14</v>
      </c>
      <c r="K188">
        <v>590190.12</v>
      </c>
      <c r="L188" t="s">
        <v>637</v>
      </c>
      <c r="M188" t="s">
        <v>771</v>
      </c>
      <c r="N188">
        <v>3.5681</v>
      </c>
      <c r="O188" t="s">
        <v>27</v>
      </c>
      <c r="P188" t="s">
        <v>773</v>
      </c>
      <c r="Q188" t="s">
        <v>777</v>
      </c>
    </row>
    <row r="189" spans="1:17">
      <c r="A189">
        <v>188</v>
      </c>
      <c r="B189">
        <v>1</v>
      </c>
      <c r="C189">
        <v>20240118</v>
      </c>
      <c r="D189" t="s">
        <v>28</v>
      </c>
      <c r="E189" t="s">
        <v>21</v>
      </c>
      <c r="F189" t="s">
        <v>22</v>
      </c>
      <c r="G189" t="s">
        <v>30</v>
      </c>
      <c r="H189">
        <v>76801</v>
      </c>
      <c r="I189" t="s">
        <v>24</v>
      </c>
      <c r="J189">
        <v>4.14</v>
      </c>
      <c r="K189">
        <v>317956.14</v>
      </c>
      <c r="L189" t="s">
        <v>637</v>
      </c>
      <c r="M189" t="s">
        <v>771</v>
      </c>
      <c r="N189">
        <v>3.5097</v>
      </c>
      <c r="O189" t="s">
        <v>27</v>
      </c>
      <c r="P189" t="s">
        <v>773</v>
      </c>
      <c r="Q189" t="s">
        <v>778</v>
      </c>
    </row>
    <row r="190" spans="1:17">
      <c r="A190">
        <v>189</v>
      </c>
      <c r="B190">
        <v>1</v>
      </c>
      <c r="C190">
        <v>20240118</v>
      </c>
      <c r="D190" t="s">
        <v>28</v>
      </c>
      <c r="E190" t="s">
        <v>21</v>
      </c>
      <c r="F190" t="s">
        <v>22</v>
      </c>
      <c r="G190" t="s">
        <v>30</v>
      </c>
      <c r="H190">
        <v>3116</v>
      </c>
      <c r="I190" t="s">
        <v>24</v>
      </c>
      <c r="J190">
        <v>4.14</v>
      </c>
      <c r="K190">
        <v>12900.24</v>
      </c>
      <c r="L190" t="s">
        <v>637</v>
      </c>
      <c r="M190" t="s">
        <v>771</v>
      </c>
      <c r="N190">
        <v>3.5538</v>
      </c>
      <c r="O190" t="s">
        <v>27</v>
      </c>
      <c r="P190" t="s">
        <v>773</v>
      </c>
      <c r="Q190" t="s">
        <v>776</v>
      </c>
    </row>
    <row r="191" spans="1:17">
      <c r="A191">
        <v>190</v>
      </c>
      <c r="B191">
        <v>1</v>
      </c>
      <c r="C191">
        <v>20240118</v>
      </c>
      <c r="D191" t="s">
        <v>28</v>
      </c>
      <c r="E191" t="s">
        <v>21</v>
      </c>
      <c r="F191" t="s">
        <v>22</v>
      </c>
      <c r="G191" t="s">
        <v>30</v>
      </c>
      <c r="H191">
        <v>20131</v>
      </c>
      <c r="I191" t="s">
        <v>24</v>
      </c>
      <c r="J191">
        <v>4.14</v>
      </c>
      <c r="K191">
        <v>83342.34</v>
      </c>
      <c r="L191" t="s">
        <v>637</v>
      </c>
      <c r="M191" t="s">
        <v>771</v>
      </c>
      <c r="N191">
        <v>3.5158</v>
      </c>
      <c r="O191" t="s">
        <v>27</v>
      </c>
      <c r="P191" t="s">
        <v>773</v>
      </c>
      <c r="Q191" t="s">
        <v>776</v>
      </c>
    </row>
    <row r="192" spans="1:17">
      <c r="A192">
        <v>191</v>
      </c>
      <c r="B192">
        <v>1</v>
      </c>
      <c r="C192">
        <v>20240118</v>
      </c>
      <c r="D192" t="s">
        <v>28</v>
      </c>
      <c r="E192" t="s">
        <v>21</v>
      </c>
      <c r="F192" t="s">
        <v>22</v>
      </c>
      <c r="G192" t="s">
        <v>30</v>
      </c>
      <c r="H192">
        <v>1904</v>
      </c>
      <c r="I192" t="s">
        <v>24</v>
      </c>
      <c r="J192">
        <v>4.14</v>
      </c>
      <c r="K192">
        <v>7882.56</v>
      </c>
      <c r="L192" t="s">
        <v>637</v>
      </c>
      <c r="M192" t="s">
        <v>771</v>
      </c>
      <c r="N192">
        <v>4.049</v>
      </c>
      <c r="O192" t="s">
        <v>27</v>
      </c>
      <c r="P192" t="s">
        <v>773</v>
      </c>
      <c r="Q192" t="s">
        <v>776</v>
      </c>
    </row>
    <row r="193" spans="1:17">
      <c r="A193">
        <v>192</v>
      </c>
      <c r="B193">
        <v>1</v>
      </c>
      <c r="C193">
        <v>20240118</v>
      </c>
      <c r="D193" t="s">
        <v>28</v>
      </c>
      <c r="E193" t="s">
        <v>21</v>
      </c>
      <c r="F193" t="s">
        <v>22</v>
      </c>
      <c r="G193" t="s">
        <v>37</v>
      </c>
      <c r="H193">
        <v>47302</v>
      </c>
      <c r="I193" t="s">
        <v>24</v>
      </c>
      <c r="J193">
        <v>4.14</v>
      </c>
      <c r="K193">
        <v>195830.28</v>
      </c>
      <c r="L193" t="s">
        <v>634</v>
      </c>
      <c r="M193" t="s">
        <v>771</v>
      </c>
      <c r="N193">
        <v>4.0575</v>
      </c>
      <c r="O193" t="s">
        <v>27</v>
      </c>
      <c r="P193" t="s">
        <v>772</v>
      </c>
      <c r="Q193">
        <v>3</v>
      </c>
    </row>
    <row r="194" spans="1:17">
      <c r="A194">
        <v>193</v>
      </c>
      <c r="B194">
        <v>1</v>
      </c>
      <c r="C194">
        <v>20240118</v>
      </c>
      <c r="D194" t="s">
        <v>28</v>
      </c>
      <c r="E194" t="s">
        <v>21</v>
      </c>
      <c r="F194" t="s">
        <v>22</v>
      </c>
      <c r="G194" t="s">
        <v>30</v>
      </c>
      <c r="H194">
        <v>614333</v>
      </c>
      <c r="I194" t="s">
        <v>24</v>
      </c>
      <c r="J194">
        <v>4.14</v>
      </c>
      <c r="K194">
        <v>2543338.62</v>
      </c>
      <c r="L194" t="s">
        <v>634</v>
      </c>
      <c r="M194" t="s">
        <v>771</v>
      </c>
      <c r="N194">
        <v>4.0601</v>
      </c>
      <c r="O194" t="s">
        <v>27</v>
      </c>
      <c r="P194" t="s">
        <v>773</v>
      </c>
      <c r="Q194">
        <v>21</v>
      </c>
    </row>
    <row r="195" spans="1:17">
      <c r="A195">
        <v>194</v>
      </c>
      <c r="B195">
        <v>1</v>
      </c>
      <c r="C195">
        <v>20240119</v>
      </c>
      <c r="D195" t="s">
        <v>28</v>
      </c>
      <c r="E195" t="s">
        <v>21</v>
      </c>
      <c r="F195" t="s">
        <v>39</v>
      </c>
      <c r="G195" t="s">
        <v>40</v>
      </c>
      <c r="H195">
        <v>6</v>
      </c>
      <c r="I195" t="s">
        <v>24</v>
      </c>
      <c r="J195">
        <v>1409.017</v>
      </c>
      <c r="K195">
        <v>8454.102</v>
      </c>
      <c r="L195" t="s">
        <v>637</v>
      </c>
      <c r="M195" t="s">
        <v>779</v>
      </c>
      <c r="N195">
        <v>1409.017</v>
      </c>
      <c r="O195" t="s">
        <v>27</v>
      </c>
      <c r="P195" t="s">
        <v>780</v>
      </c>
      <c r="Q195">
        <v>1</v>
      </c>
    </row>
    <row r="196" spans="1:17">
      <c r="A196">
        <v>195</v>
      </c>
      <c r="B196">
        <v>1</v>
      </c>
      <c r="C196">
        <v>20240119</v>
      </c>
      <c r="D196" t="s">
        <v>28</v>
      </c>
      <c r="E196" t="s">
        <v>21</v>
      </c>
      <c r="F196" t="s">
        <v>41</v>
      </c>
      <c r="G196" t="s">
        <v>30</v>
      </c>
      <c r="H196">
        <v>109563</v>
      </c>
      <c r="I196" t="s">
        <v>24</v>
      </c>
      <c r="J196">
        <v>4.14</v>
      </c>
      <c r="K196">
        <v>453590.82</v>
      </c>
      <c r="L196" t="s">
        <v>637</v>
      </c>
      <c r="M196" t="s">
        <v>781</v>
      </c>
      <c r="N196">
        <v>4.05</v>
      </c>
      <c r="O196" t="s">
        <v>27</v>
      </c>
      <c r="P196" t="s">
        <v>782</v>
      </c>
      <c r="Q196">
        <v>10</v>
      </c>
    </row>
    <row r="197" spans="1:17">
      <c r="A197">
        <v>196</v>
      </c>
      <c r="B197">
        <v>1</v>
      </c>
      <c r="C197">
        <v>20240119</v>
      </c>
      <c r="D197" t="s">
        <v>28</v>
      </c>
      <c r="E197" t="s">
        <v>21</v>
      </c>
      <c r="F197" t="s">
        <v>41</v>
      </c>
      <c r="G197" t="s">
        <v>37</v>
      </c>
      <c r="H197">
        <v>16507</v>
      </c>
      <c r="I197" t="s">
        <v>24</v>
      </c>
      <c r="J197">
        <v>4.14</v>
      </c>
      <c r="K197">
        <v>68338.98</v>
      </c>
      <c r="L197" t="s">
        <v>634</v>
      </c>
      <c r="M197" t="s">
        <v>781</v>
      </c>
      <c r="N197">
        <v>4.05</v>
      </c>
      <c r="O197" t="s">
        <v>27</v>
      </c>
      <c r="P197" t="s">
        <v>783</v>
      </c>
      <c r="Q197">
        <v>2</v>
      </c>
    </row>
    <row r="198" spans="1:17">
      <c r="A198">
        <v>197</v>
      </c>
      <c r="B198">
        <v>1</v>
      </c>
      <c r="C198">
        <v>20240119</v>
      </c>
      <c r="D198" t="s">
        <v>28</v>
      </c>
      <c r="E198" t="s">
        <v>21</v>
      </c>
      <c r="F198" t="s">
        <v>41</v>
      </c>
      <c r="G198" t="s">
        <v>30</v>
      </c>
      <c r="H198">
        <v>9295</v>
      </c>
      <c r="I198" t="s">
        <v>24</v>
      </c>
      <c r="J198">
        <v>4.14</v>
      </c>
      <c r="K198">
        <v>38481.3</v>
      </c>
      <c r="L198" t="s">
        <v>634</v>
      </c>
      <c r="M198" t="s">
        <v>781</v>
      </c>
      <c r="N198">
        <v>4.05</v>
      </c>
      <c r="O198" t="s">
        <v>27</v>
      </c>
      <c r="P198" t="s">
        <v>782</v>
      </c>
      <c r="Q198">
        <v>1</v>
      </c>
    </row>
    <row r="199" spans="1:17">
      <c r="A199">
        <v>198</v>
      </c>
      <c r="B199">
        <v>1</v>
      </c>
      <c r="C199">
        <v>20240119</v>
      </c>
      <c r="D199" t="s">
        <v>20</v>
      </c>
      <c r="E199" t="s">
        <v>21</v>
      </c>
      <c r="F199" t="s">
        <v>41</v>
      </c>
      <c r="G199" t="s">
        <v>30</v>
      </c>
      <c r="H199">
        <v>78303</v>
      </c>
      <c r="I199" t="s">
        <v>24</v>
      </c>
      <c r="J199">
        <v>4.14</v>
      </c>
      <c r="K199">
        <v>324174.42</v>
      </c>
      <c r="L199" t="s">
        <v>634</v>
      </c>
      <c r="M199" t="s">
        <v>781</v>
      </c>
      <c r="N199">
        <v>4.05</v>
      </c>
      <c r="O199" t="s">
        <v>27</v>
      </c>
      <c r="P199" t="s">
        <v>784</v>
      </c>
      <c r="Q199">
        <v>6</v>
      </c>
    </row>
    <row r="200" spans="1:17">
      <c r="A200">
        <v>199</v>
      </c>
      <c r="B200">
        <v>1</v>
      </c>
      <c r="C200">
        <v>20240119</v>
      </c>
      <c r="D200" t="s">
        <v>20</v>
      </c>
      <c r="E200" t="s">
        <v>21</v>
      </c>
      <c r="F200" t="s">
        <v>59</v>
      </c>
      <c r="G200" t="s">
        <v>42</v>
      </c>
      <c r="H200">
        <v>204594</v>
      </c>
      <c r="I200" t="s">
        <v>24</v>
      </c>
      <c r="J200">
        <v>4.58</v>
      </c>
      <c r="K200">
        <v>937040.52</v>
      </c>
      <c r="L200" t="s">
        <v>637</v>
      </c>
      <c r="M200" t="s">
        <v>785</v>
      </c>
      <c r="N200">
        <v>4.4886</v>
      </c>
      <c r="O200" t="s">
        <v>27</v>
      </c>
      <c r="P200" t="s">
        <v>786</v>
      </c>
      <c r="Q200">
        <v>25</v>
      </c>
    </row>
    <row r="201" spans="1:17">
      <c r="A201">
        <v>200</v>
      </c>
      <c r="B201">
        <v>1</v>
      </c>
      <c r="C201">
        <v>20240119</v>
      </c>
      <c r="D201" t="s">
        <v>28</v>
      </c>
      <c r="E201" t="s">
        <v>21</v>
      </c>
      <c r="F201" t="s">
        <v>29</v>
      </c>
      <c r="G201" t="s">
        <v>679</v>
      </c>
      <c r="H201">
        <v>87486</v>
      </c>
      <c r="I201" t="s">
        <v>24</v>
      </c>
      <c r="J201">
        <v>4.25</v>
      </c>
      <c r="K201">
        <v>371815.5</v>
      </c>
      <c r="L201" t="s">
        <v>634</v>
      </c>
      <c r="M201" t="s">
        <v>787</v>
      </c>
      <c r="N201">
        <v>4.1681</v>
      </c>
      <c r="O201" t="s">
        <v>27</v>
      </c>
      <c r="P201" t="s">
        <v>788</v>
      </c>
      <c r="Q201">
        <v>6</v>
      </c>
    </row>
    <row r="202" spans="1:17">
      <c r="A202">
        <v>201</v>
      </c>
      <c r="B202">
        <v>1</v>
      </c>
      <c r="C202">
        <v>20240119</v>
      </c>
      <c r="D202" t="s">
        <v>20</v>
      </c>
      <c r="E202" t="s">
        <v>21</v>
      </c>
      <c r="F202" t="s">
        <v>29</v>
      </c>
      <c r="G202" t="s">
        <v>42</v>
      </c>
      <c r="H202">
        <v>1499</v>
      </c>
      <c r="I202" t="s">
        <v>24</v>
      </c>
      <c r="J202">
        <v>5.73</v>
      </c>
      <c r="K202">
        <v>8589.27</v>
      </c>
      <c r="L202" t="s">
        <v>637</v>
      </c>
      <c r="M202" t="s">
        <v>787</v>
      </c>
      <c r="N202">
        <v>5.6157</v>
      </c>
      <c r="O202" t="s">
        <v>27</v>
      </c>
      <c r="P202" t="s">
        <v>789</v>
      </c>
      <c r="Q202">
        <v>162</v>
      </c>
    </row>
    <row r="203" spans="1:17">
      <c r="A203">
        <v>202</v>
      </c>
      <c r="B203">
        <v>1</v>
      </c>
      <c r="C203">
        <v>20240119</v>
      </c>
      <c r="D203" t="s">
        <v>20</v>
      </c>
      <c r="E203" t="s">
        <v>21</v>
      </c>
      <c r="F203" t="s">
        <v>29</v>
      </c>
      <c r="G203" t="s">
        <v>42</v>
      </c>
      <c r="H203">
        <v>576934</v>
      </c>
      <c r="I203" t="s">
        <v>24</v>
      </c>
      <c r="J203">
        <v>5.62</v>
      </c>
      <c r="K203">
        <v>3242369.08</v>
      </c>
      <c r="L203" t="s">
        <v>634</v>
      </c>
      <c r="M203" t="s">
        <v>787</v>
      </c>
      <c r="N203">
        <v>5.5003</v>
      </c>
      <c r="O203" t="s">
        <v>27</v>
      </c>
      <c r="P203" t="s">
        <v>790</v>
      </c>
    </row>
    <row r="204" spans="1:17">
      <c r="A204">
        <v>203</v>
      </c>
      <c r="B204">
        <v>1</v>
      </c>
      <c r="C204">
        <v>20240119</v>
      </c>
      <c r="D204" t="s">
        <v>28</v>
      </c>
      <c r="E204" t="s">
        <v>21</v>
      </c>
      <c r="F204" t="s">
        <v>41</v>
      </c>
      <c r="G204" t="s">
        <v>30</v>
      </c>
      <c r="H204">
        <v>247627</v>
      </c>
      <c r="I204" t="s">
        <v>24</v>
      </c>
      <c r="J204">
        <v>4.14</v>
      </c>
      <c r="K204">
        <v>1025175.78</v>
      </c>
      <c r="L204" t="s">
        <v>637</v>
      </c>
      <c r="N204">
        <v>4.05</v>
      </c>
      <c r="O204" t="s">
        <v>27</v>
      </c>
      <c r="P204" t="s">
        <v>782</v>
      </c>
      <c r="Q204">
        <v>29</v>
      </c>
    </row>
    <row r="205" spans="1:17">
      <c r="A205">
        <v>204</v>
      </c>
      <c r="B205">
        <v>1</v>
      </c>
      <c r="C205">
        <v>20240119</v>
      </c>
      <c r="D205" t="s">
        <v>28</v>
      </c>
      <c r="E205" t="s">
        <v>21</v>
      </c>
      <c r="F205" t="s">
        <v>41</v>
      </c>
      <c r="G205" t="s">
        <v>37</v>
      </c>
      <c r="H205">
        <v>73254</v>
      </c>
      <c r="I205" t="s">
        <v>24</v>
      </c>
      <c r="J205">
        <v>4.14</v>
      </c>
      <c r="K205">
        <v>303271.56</v>
      </c>
      <c r="L205" t="s">
        <v>637</v>
      </c>
      <c r="N205">
        <v>4.05</v>
      </c>
      <c r="O205" t="s">
        <v>27</v>
      </c>
      <c r="P205" t="s">
        <v>783</v>
      </c>
      <c r="Q205">
        <v>8</v>
      </c>
    </row>
    <row r="206" spans="1:17">
      <c r="A206">
        <v>205</v>
      </c>
      <c r="B206">
        <v>1</v>
      </c>
      <c r="C206">
        <v>20240119</v>
      </c>
      <c r="D206" t="s">
        <v>28</v>
      </c>
      <c r="E206" t="s">
        <v>21</v>
      </c>
      <c r="F206" t="s">
        <v>41</v>
      </c>
      <c r="G206" t="s">
        <v>30</v>
      </c>
      <c r="H206">
        <v>116870</v>
      </c>
      <c r="I206" t="s">
        <v>24</v>
      </c>
      <c r="J206">
        <v>4.14</v>
      </c>
      <c r="K206">
        <v>483841.8</v>
      </c>
      <c r="L206" t="s">
        <v>634</v>
      </c>
      <c r="N206">
        <v>4.05</v>
      </c>
      <c r="O206" t="s">
        <v>27</v>
      </c>
      <c r="P206" t="s">
        <v>782</v>
      </c>
      <c r="Q206">
        <v>10</v>
      </c>
    </row>
    <row r="207" spans="1:17">
      <c r="A207">
        <v>206</v>
      </c>
      <c r="B207">
        <v>1</v>
      </c>
      <c r="C207">
        <v>20240119</v>
      </c>
      <c r="D207" t="s">
        <v>28</v>
      </c>
      <c r="E207" t="s">
        <v>21</v>
      </c>
      <c r="F207" t="s">
        <v>41</v>
      </c>
      <c r="G207" t="s">
        <v>37</v>
      </c>
      <c r="H207">
        <v>62087</v>
      </c>
      <c r="I207" t="s">
        <v>24</v>
      </c>
      <c r="J207">
        <v>4.14</v>
      </c>
      <c r="K207">
        <v>257040.18</v>
      </c>
      <c r="L207" t="s">
        <v>634</v>
      </c>
      <c r="N207">
        <v>4.05</v>
      </c>
      <c r="O207" t="s">
        <v>27</v>
      </c>
      <c r="P207" t="s">
        <v>783</v>
      </c>
      <c r="Q207">
        <v>7</v>
      </c>
    </row>
    <row r="208" spans="1:17">
      <c r="A208">
        <v>207</v>
      </c>
      <c r="B208">
        <v>1</v>
      </c>
      <c r="C208">
        <v>20240119</v>
      </c>
      <c r="D208" t="s">
        <v>28</v>
      </c>
      <c r="E208" t="s">
        <v>21</v>
      </c>
      <c r="F208" t="s">
        <v>41</v>
      </c>
      <c r="G208" t="s">
        <v>30</v>
      </c>
      <c r="H208">
        <v>43231</v>
      </c>
      <c r="I208" t="s">
        <v>24</v>
      </c>
      <c r="J208">
        <v>4.14</v>
      </c>
      <c r="K208">
        <v>178976.34</v>
      </c>
      <c r="L208" t="s">
        <v>634</v>
      </c>
      <c r="N208">
        <v>4.05</v>
      </c>
      <c r="O208" t="s">
        <v>27</v>
      </c>
      <c r="P208" t="s">
        <v>782</v>
      </c>
      <c r="Q208">
        <v>4</v>
      </c>
    </row>
    <row r="209" spans="1:19">
      <c r="A209">
        <v>208</v>
      </c>
      <c r="B209">
        <v>1</v>
      </c>
      <c r="C209">
        <v>20240119</v>
      </c>
      <c r="D209" t="s">
        <v>28</v>
      </c>
      <c r="E209" t="s">
        <v>21</v>
      </c>
      <c r="F209" t="s">
        <v>41</v>
      </c>
      <c r="G209" t="s">
        <v>30</v>
      </c>
      <c r="H209">
        <v>46810</v>
      </c>
      <c r="I209" t="s">
        <v>24</v>
      </c>
      <c r="J209">
        <v>4.14</v>
      </c>
      <c r="K209">
        <v>193793.4</v>
      </c>
      <c r="L209" t="s">
        <v>637</v>
      </c>
      <c r="N209">
        <v>4.05</v>
      </c>
      <c r="O209" t="s">
        <v>27</v>
      </c>
      <c r="P209" t="s">
        <v>782</v>
      </c>
      <c r="Q209">
        <v>4</v>
      </c>
    </row>
    <row r="210" spans="1:19">
      <c r="A210">
        <v>209</v>
      </c>
      <c r="B210">
        <v>1</v>
      </c>
      <c r="C210">
        <v>20240119</v>
      </c>
      <c r="D210" t="s">
        <v>28</v>
      </c>
      <c r="E210" t="s">
        <v>21</v>
      </c>
      <c r="F210" t="s">
        <v>41</v>
      </c>
      <c r="G210" t="s">
        <v>37</v>
      </c>
      <c r="H210">
        <v>31679</v>
      </c>
      <c r="I210" t="s">
        <v>24</v>
      </c>
      <c r="J210">
        <v>4.14</v>
      </c>
      <c r="K210">
        <v>131151.06</v>
      </c>
      <c r="L210" t="s">
        <v>637</v>
      </c>
      <c r="N210">
        <v>4.05</v>
      </c>
      <c r="O210" t="s">
        <v>27</v>
      </c>
      <c r="P210" t="s">
        <v>783</v>
      </c>
      <c r="Q210">
        <v>3</v>
      </c>
    </row>
    <row r="211" spans="1:19">
      <c r="A211">
        <v>210</v>
      </c>
      <c r="B211">
        <v>1</v>
      </c>
      <c r="C211">
        <v>20240119</v>
      </c>
      <c r="D211" t="s">
        <v>28</v>
      </c>
      <c r="E211" t="s">
        <v>21</v>
      </c>
      <c r="F211" t="s">
        <v>41</v>
      </c>
      <c r="G211" t="s">
        <v>30</v>
      </c>
      <c r="H211">
        <v>13456</v>
      </c>
      <c r="I211" t="s">
        <v>24</v>
      </c>
      <c r="J211">
        <v>4.14</v>
      </c>
      <c r="K211">
        <v>55707.84</v>
      </c>
      <c r="L211" t="s">
        <v>637</v>
      </c>
      <c r="N211">
        <v>4.05</v>
      </c>
      <c r="O211" t="s">
        <v>27</v>
      </c>
      <c r="P211" t="s">
        <v>782</v>
      </c>
      <c r="Q211">
        <v>1</v>
      </c>
    </row>
    <row r="212" spans="1:19">
      <c r="A212">
        <v>211</v>
      </c>
      <c r="B212">
        <v>1</v>
      </c>
      <c r="C212">
        <v>20240119</v>
      </c>
      <c r="D212" t="s">
        <v>20</v>
      </c>
      <c r="E212" t="s">
        <v>21</v>
      </c>
      <c r="F212" t="s">
        <v>41</v>
      </c>
      <c r="G212" t="s">
        <v>30</v>
      </c>
      <c r="H212">
        <v>1719</v>
      </c>
      <c r="I212" t="s">
        <v>24</v>
      </c>
      <c r="J212">
        <v>4.14</v>
      </c>
      <c r="K212">
        <v>7116.66</v>
      </c>
      <c r="L212" t="s">
        <v>634</v>
      </c>
      <c r="N212">
        <v>4.05</v>
      </c>
      <c r="O212" t="s">
        <v>27</v>
      </c>
      <c r="P212" t="s">
        <v>784</v>
      </c>
      <c r="Q212">
        <v>1</v>
      </c>
    </row>
    <row r="213" spans="1:19">
      <c r="A213">
        <v>212</v>
      </c>
      <c r="B213">
        <v>1</v>
      </c>
      <c r="C213">
        <v>20240119</v>
      </c>
      <c r="D213" t="s">
        <v>20</v>
      </c>
      <c r="E213" t="s">
        <v>21</v>
      </c>
      <c r="F213" t="s">
        <v>41</v>
      </c>
      <c r="G213" t="s">
        <v>30</v>
      </c>
      <c r="H213">
        <v>1797</v>
      </c>
      <c r="I213" t="s">
        <v>24</v>
      </c>
      <c r="J213">
        <v>4.14</v>
      </c>
      <c r="K213">
        <v>7439.58</v>
      </c>
      <c r="L213" t="s">
        <v>637</v>
      </c>
      <c r="N213">
        <v>4.05</v>
      </c>
      <c r="O213" t="s">
        <v>27</v>
      </c>
      <c r="P213" t="s">
        <v>784</v>
      </c>
      <c r="Q213">
        <v>1</v>
      </c>
    </row>
    <row r="214" spans="1:19">
      <c r="A214">
        <v>213</v>
      </c>
      <c r="B214">
        <v>1</v>
      </c>
      <c r="C214">
        <v>20241019</v>
      </c>
      <c r="D214" t="s">
        <v>28</v>
      </c>
      <c r="E214" t="s">
        <v>21</v>
      </c>
      <c r="F214" t="s">
        <v>32</v>
      </c>
      <c r="G214" t="s">
        <v>56</v>
      </c>
      <c r="H214">
        <v>102009</v>
      </c>
      <c r="I214" t="s">
        <v>24</v>
      </c>
      <c r="J214">
        <v>4.53</v>
      </c>
      <c r="K214">
        <v>462100.77</v>
      </c>
      <c r="L214" t="s">
        <v>634</v>
      </c>
      <c r="N214">
        <v>4.44</v>
      </c>
      <c r="O214" t="s">
        <v>27</v>
      </c>
      <c r="P214" t="s">
        <v>791</v>
      </c>
      <c r="Q214">
        <v>37</v>
      </c>
    </row>
    <row r="215" spans="1:19">
      <c r="A215">
        <v>214</v>
      </c>
      <c r="B215">
        <v>1</v>
      </c>
      <c r="C215">
        <v>20240120</v>
      </c>
      <c r="D215" t="s">
        <v>20</v>
      </c>
      <c r="E215" t="s">
        <v>21</v>
      </c>
      <c r="F215" t="s">
        <v>41</v>
      </c>
      <c r="G215" t="s">
        <v>42</v>
      </c>
      <c r="H215">
        <v>204897</v>
      </c>
      <c r="I215" t="s">
        <v>24</v>
      </c>
      <c r="J215">
        <v>5.63</v>
      </c>
      <c r="K215">
        <v>1153570.11</v>
      </c>
      <c r="L215" t="s">
        <v>634</v>
      </c>
      <c r="N215">
        <v>5.516</v>
      </c>
      <c r="O215" t="s">
        <v>27</v>
      </c>
      <c r="P215" t="s">
        <v>792</v>
      </c>
      <c r="Q215">
        <v>16</v>
      </c>
    </row>
    <row r="216" spans="1:19">
      <c r="A216">
        <v>215</v>
      </c>
      <c r="B216">
        <v>1</v>
      </c>
      <c r="C216">
        <v>20240122</v>
      </c>
      <c r="D216" t="s">
        <v>20</v>
      </c>
      <c r="E216" t="s">
        <v>21</v>
      </c>
      <c r="F216" t="s">
        <v>32</v>
      </c>
      <c r="G216" t="s">
        <v>42</v>
      </c>
      <c r="H216">
        <v>739910</v>
      </c>
      <c r="I216" t="s">
        <v>24</v>
      </c>
      <c r="J216">
        <v>5.71</v>
      </c>
      <c r="K216">
        <v>4224886.1</v>
      </c>
      <c r="L216" t="s">
        <v>637</v>
      </c>
      <c r="M216" t="s">
        <v>793</v>
      </c>
      <c r="N216">
        <v>5.6017</v>
      </c>
      <c r="O216" t="s">
        <v>27</v>
      </c>
      <c r="P216" t="s">
        <v>794</v>
      </c>
      <c r="Q216">
        <v>103</v>
      </c>
      <c r="R216">
        <v>6.9333</v>
      </c>
      <c r="S216">
        <v>4.48</v>
      </c>
    </row>
    <row r="217" spans="1:19">
      <c r="A217">
        <v>216</v>
      </c>
      <c r="B217">
        <v>1</v>
      </c>
      <c r="C217">
        <v>20240122</v>
      </c>
      <c r="D217" t="s">
        <v>28</v>
      </c>
      <c r="E217" t="s">
        <v>21</v>
      </c>
      <c r="F217" t="s">
        <v>22</v>
      </c>
      <c r="G217" t="s">
        <v>37</v>
      </c>
      <c r="H217">
        <v>784344</v>
      </c>
      <c r="I217" t="s">
        <v>24</v>
      </c>
      <c r="J217">
        <v>5.19</v>
      </c>
      <c r="K217">
        <v>4070745.36</v>
      </c>
      <c r="L217" t="s">
        <v>637</v>
      </c>
      <c r="M217" t="s">
        <v>795</v>
      </c>
      <c r="N217">
        <v>5.0841</v>
      </c>
      <c r="O217" t="s">
        <v>27</v>
      </c>
      <c r="P217" t="s">
        <v>796</v>
      </c>
      <c r="Q217" t="s">
        <v>797</v>
      </c>
    </row>
    <row r="218" spans="1:19">
      <c r="A218">
        <v>217</v>
      </c>
      <c r="B218">
        <v>1</v>
      </c>
      <c r="C218">
        <v>20240122</v>
      </c>
      <c r="D218" t="s">
        <v>28</v>
      </c>
      <c r="E218" t="s">
        <v>21</v>
      </c>
      <c r="F218" t="s">
        <v>22</v>
      </c>
      <c r="G218" t="s">
        <v>37</v>
      </c>
      <c r="H218">
        <v>711</v>
      </c>
      <c r="I218" t="s">
        <v>24</v>
      </c>
      <c r="J218">
        <v>5.19</v>
      </c>
      <c r="K218">
        <v>3690.09</v>
      </c>
      <c r="L218" t="s">
        <v>654</v>
      </c>
      <c r="M218" t="s">
        <v>795</v>
      </c>
      <c r="N218">
        <v>5.0841</v>
      </c>
      <c r="O218" t="s">
        <v>27</v>
      </c>
      <c r="P218" t="s">
        <v>796</v>
      </c>
    </row>
    <row r="219" spans="1:19">
      <c r="A219">
        <v>218</v>
      </c>
      <c r="B219">
        <v>1</v>
      </c>
      <c r="C219">
        <v>20240122</v>
      </c>
      <c r="D219" t="s">
        <v>28</v>
      </c>
      <c r="E219" t="s">
        <v>21</v>
      </c>
      <c r="F219" t="s">
        <v>22</v>
      </c>
      <c r="G219" t="s">
        <v>30</v>
      </c>
      <c r="H219">
        <v>147951</v>
      </c>
      <c r="I219" t="s">
        <v>24</v>
      </c>
      <c r="J219">
        <v>5.19</v>
      </c>
      <c r="K219">
        <v>767865.69</v>
      </c>
      <c r="L219" t="s">
        <v>634</v>
      </c>
      <c r="M219" t="s">
        <v>795</v>
      </c>
      <c r="N219">
        <v>5.0841</v>
      </c>
      <c r="O219" t="s">
        <v>27</v>
      </c>
      <c r="P219" t="s">
        <v>798</v>
      </c>
    </row>
    <row r="220" spans="1:19">
      <c r="A220">
        <v>219</v>
      </c>
      <c r="B220">
        <v>1</v>
      </c>
      <c r="C220">
        <v>20240122</v>
      </c>
      <c r="D220" t="s">
        <v>28</v>
      </c>
      <c r="E220" t="s">
        <v>21</v>
      </c>
      <c r="F220" t="s">
        <v>22</v>
      </c>
      <c r="G220" t="s">
        <v>30</v>
      </c>
      <c r="H220">
        <v>1065228</v>
      </c>
      <c r="I220" t="s">
        <v>24</v>
      </c>
      <c r="J220">
        <v>5.19</v>
      </c>
      <c r="K220">
        <v>5528533.32</v>
      </c>
      <c r="L220" t="s">
        <v>637</v>
      </c>
      <c r="M220" t="s">
        <v>795</v>
      </c>
      <c r="N220">
        <v>5.0841</v>
      </c>
      <c r="O220" t="s">
        <v>27</v>
      </c>
      <c r="P220" t="s">
        <v>798</v>
      </c>
    </row>
    <row r="221" spans="1:19">
      <c r="A221">
        <v>220</v>
      </c>
      <c r="B221">
        <v>1</v>
      </c>
      <c r="C221">
        <v>20240122</v>
      </c>
      <c r="D221" t="s">
        <v>28</v>
      </c>
      <c r="E221" t="s">
        <v>21</v>
      </c>
      <c r="F221" t="s">
        <v>22</v>
      </c>
      <c r="G221" t="s">
        <v>30</v>
      </c>
      <c r="H221">
        <v>27573</v>
      </c>
      <c r="I221" t="s">
        <v>24</v>
      </c>
      <c r="J221">
        <v>5.19</v>
      </c>
      <c r="K221">
        <v>143103.87</v>
      </c>
      <c r="L221" t="s">
        <v>654</v>
      </c>
      <c r="M221" t="s">
        <v>795</v>
      </c>
      <c r="N221">
        <v>5.0841</v>
      </c>
      <c r="O221" t="s">
        <v>27</v>
      </c>
      <c r="P221" t="s">
        <v>798</v>
      </c>
    </row>
    <row r="222" spans="1:19">
      <c r="A222">
        <v>221</v>
      </c>
      <c r="B222">
        <v>1</v>
      </c>
      <c r="C222">
        <v>20240122</v>
      </c>
      <c r="D222" t="s">
        <v>20</v>
      </c>
      <c r="E222" t="s">
        <v>21</v>
      </c>
      <c r="F222" t="s">
        <v>59</v>
      </c>
      <c r="G222" t="s">
        <v>42</v>
      </c>
      <c r="H222">
        <v>597368</v>
      </c>
      <c r="I222" t="s">
        <v>24</v>
      </c>
      <c r="J222">
        <v>4.58</v>
      </c>
      <c r="K222">
        <v>2735945.44</v>
      </c>
      <c r="L222" t="s">
        <v>637</v>
      </c>
      <c r="M222" t="s">
        <v>799</v>
      </c>
      <c r="N222">
        <v>4.4888</v>
      </c>
      <c r="O222" t="s">
        <v>27</v>
      </c>
      <c r="P222" t="s">
        <v>800</v>
      </c>
      <c r="Q222">
        <v>32</v>
      </c>
      <c r="R222">
        <v>6.9333</v>
      </c>
      <c r="S222">
        <v>4.48</v>
      </c>
    </row>
    <row r="223" spans="1:19">
      <c r="A223">
        <v>222</v>
      </c>
      <c r="B223">
        <v>1</v>
      </c>
      <c r="C223">
        <v>20240122</v>
      </c>
      <c r="D223" t="s">
        <v>20</v>
      </c>
      <c r="E223" t="s">
        <v>21</v>
      </c>
      <c r="F223" t="s">
        <v>59</v>
      </c>
      <c r="G223" t="s">
        <v>23</v>
      </c>
      <c r="H223">
        <v>360</v>
      </c>
      <c r="I223" t="s">
        <v>24</v>
      </c>
      <c r="J223">
        <v>3.44</v>
      </c>
      <c r="K223">
        <v>1238.4</v>
      </c>
      <c r="L223" t="s">
        <v>637</v>
      </c>
      <c r="M223" t="s">
        <v>801</v>
      </c>
      <c r="N223">
        <v>3.1502</v>
      </c>
      <c r="O223" t="s">
        <v>27</v>
      </c>
      <c r="P223" t="s">
        <v>802</v>
      </c>
      <c r="Q223">
        <v>1</v>
      </c>
    </row>
    <row r="224" spans="1:19">
      <c r="A224">
        <v>223</v>
      </c>
      <c r="B224">
        <v>1</v>
      </c>
      <c r="C224">
        <v>20240122</v>
      </c>
      <c r="D224" t="s">
        <v>20</v>
      </c>
      <c r="E224" t="s">
        <v>21</v>
      </c>
      <c r="F224" t="s">
        <v>22</v>
      </c>
      <c r="G224" t="s">
        <v>42</v>
      </c>
      <c r="H224">
        <v>906891</v>
      </c>
      <c r="I224" t="s">
        <v>24</v>
      </c>
      <c r="J224">
        <v>5.63</v>
      </c>
      <c r="K224">
        <v>5105796.33</v>
      </c>
      <c r="L224" t="s">
        <v>634</v>
      </c>
      <c r="M224" t="s">
        <v>803</v>
      </c>
      <c r="N224">
        <v>5.516</v>
      </c>
      <c r="O224" t="s">
        <v>27</v>
      </c>
      <c r="P224" t="s">
        <v>804</v>
      </c>
      <c r="Q224">
        <v>32</v>
      </c>
      <c r="R224">
        <v>6.9333</v>
      </c>
      <c r="S224">
        <v>4.48</v>
      </c>
    </row>
    <row r="225" spans="1:19">
      <c r="A225">
        <v>224</v>
      </c>
      <c r="B225">
        <v>1</v>
      </c>
      <c r="C225">
        <v>20240122</v>
      </c>
      <c r="D225" t="s">
        <v>20</v>
      </c>
      <c r="E225" t="s">
        <v>21</v>
      </c>
      <c r="F225" t="s">
        <v>22</v>
      </c>
      <c r="G225" t="s">
        <v>42</v>
      </c>
      <c r="H225">
        <v>125104</v>
      </c>
      <c r="I225" t="s">
        <v>24</v>
      </c>
      <c r="J225">
        <v>4.58</v>
      </c>
      <c r="K225">
        <v>572976.32</v>
      </c>
      <c r="L225" t="s">
        <v>637</v>
      </c>
      <c r="M225" t="s">
        <v>803</v>
      </c>
      <c r="N225">
        <v>4.4875</v>
      </c>
      <c r="O225" t="s">
        <v>27</v>
      </c>
      <c r="P225" t="s">
        <v>805</v>
      </c>
      <c r="Q225">
        <v>5</v>
      </c>
      <c r="R225">
        <v>6.9333</v>
      </c>
      <c r="S225">
        <v>4.48</v>
      </c>
    </row>
    <row r="226" spans="1:19">
      <c r="A226">
        <v>225</v>
      </c>
      <c r="B226">
        <v>1</v>
      </c>
      <c r="C226">
        <v>20240122</v>
      </c>
      <c r="D226" t="s">
        <v>20</v>
      </c>
      <c r="E226" t="s">
        <v>21</v>
      </c>
      <c r="F226" t="s">
        <v>29</v>
      </c>
      <c r="G226" t="s">
        <v>42</v>
      </c>
      <c r="H226">
        <v>12465</v>
      </c>
      <c r="I226" t="s">
        <v>24</v>
      </c>
      <c r="J226">
        <v>4.48</v>
      </c>
      <c r="K226">
        <v>55843.2</v>
      </c>
      <c r="L226" t="s">
        <v>637</v>
      </c>
      <c r="M226" t="s">
        <v>806</v>
      </c>
      <c r="N226">
        <v>3.802</v>
      </c>
      <c r="O226" t="s">
        <v>27</v>
      </c>
      <c r="P226" t="s">
        <v>807</v>
      </c>
      <c r="Q226">
        <v>46</v>
      </c>
      <c r="R226">
        <v>6.9333</v>
      </c>
      <c r="S226">
        <v>4.48</v>
      </c>
    </row>
    <row r="227" spans="1:19">
      <c r="A227">
        <v>226</v>
      </c>
      <c r="B227">
        <v>1</v>
      </c>
      <c r="C227">
        <v>20240122</v>
      </c>
      <c r="D227" t="s">
        <v>20</v>
      </c>
      <c r="E227" t="s">
        <v>21</v>
      </c>
      <c r="F227" t="s">
        <v>29</v>
      </c>
      <c r="G227" t="s">
        <v>42</v>
      </c>
      <c r="H227">
        <v>498282</v>
      </c>
      <c r="I227" t="s">
        <v>24</v>
      </c>
      <c r="J227">
        <v>5.63</v>
      </c>
      <c r="K227">
        <v>2805327.66</v>
      </c>
      <c r="L227" t="s">
        <v>634</v>
      </c>
      <c r="M227" t="s">
        <v>806</v>
      </c>
      <c r="N227">
        <v>5.5245</v>
      </c>
      <c r="O227" t="s">
        <v>27</v>
      </c>
      <c r="P227" t="s">
        <v>808</v>
      </c>
      <c r="R227">
        <v>6.9333</v>
      </c>
      <c r="S227">
        <v>4.48</v>
      </c>
    </row>
    <row r="228" spans="1:19">
      <c r="A228">
        <v>226</v>
      </c>
      <c r="B228">
        <v>1</v>
      </c>
      <c r="C228">
        <v>20240123</v>
      </c>
      <c r="D228" t="s">
        <v>28</v>
      </c>
      <c r="E228" t="s">
        <v>21</v>
      </c>
      <c r="F228" t="s">
        <v>29</v>
      </c>
      <c r="G228" t="s">
        <v>30</v>
      </c>
      <c r="H228">
        <v>146221</v>
      </c>
      <c r="I228" t="s">
        <v>24</v>
      </c>
      <c r="J228">
        <v>4.14</v>
      </c>
      <c r="K228">
        <v>605354.94</v>
      </c>
      <c r="L228" t="s">
        <v>637</v>
      </c>
      <c r="M228" t="s">
        <v>809</v>
      </c>
      <c r="N228">
        <v>3.49367</v>
      </c>
      <c r="O228" t="s">
        <v>27</v>
      </c>
      <c r="P228" t="s">
        <v>810</v>
      </c>
      <c r="Q228">
        <v>60</v>
      </c>
      <c r="S228">
        <v>4.14</v>
      </c>
    </row>
    <row r="229" spans="1:19">
      <c r="A229">
        <v>226</v>
      </c>
      <c r="B229">
        <v>1</v>
      </c>
      <c r="C229">
        <v>20240123</v>
      </c>
      <c r="D229" t="s">
        <v>28</v>
      </c>
      <c r="E229" t="s">
        <v>21</v>
      </c>
      <c r="F229" t="s">
        <v>29</v>
      </c>
      <c r="G229" t="s">
        <v>37</v>
      </c>
      <c r="H229">
        <v>3532</v>
      </c>
      <c r="I229" t="s">
        <v>24</v>
      </c>
      <c r="J229">
        <v>4.14</v>
      </c>
      <c r="K229">
        <v>14622.48</v>
      </c>
      <c r="L229" t="s">
        <v>637</v>
      </c>
      <c r="M229" t="s">
        <v>811</v>
      </c>
      <c r="N229">
        <v>3.2378</v>
      </c>
      <c r="O229" t="s">
        <v>27</v>
      </c>
      <c r="P229" t="s">
        <v>812</v>
      </c>
      <c r="Q229">
        <v>17</v>
      </c>
      <c r="S229">
        <v>4.14</v>
      </c>
    </row>
    <row r="230" spans="1:19">
      <c r="A230">
        <v>226</v>
      </c>
      <c r="B230">
        <v>1</v>
      </c>
      <c r="C230">
        <v>20240123</v>
      </c>
      <c r="D230" t="s">
        <v>28</v>
      </c>
      <c r="E230" t="s">
        <v>21</v>
      </c>
      <c r="F230" t="s">
        <v>29</v>
      </c>
      <c r="G230" t="s">
        <v>37</v>
      </c>
      <c r="H230">
        <v>31</v>
      </c>
      <c r="I230" t="s">
        <v>24</v>
      </c>
      <c r="J230">
        <v>4.66</v>
      </c>
      <c r="K230">
        <v>144.46</v>
      </c>
      <c r="L230" t="s">
        <v>637</v>
      </c>
      <c r="M230" t="s">
        <v>811</v>
      </c>
      <c r="N230">
        <v>4.571</v>
      </c>
      <c r="O230" t="s">
        <v>27</v>
      </c>
      <c r="P230" t="s">
        <v>813</v>
      </c>
      <c r="S230">
        <v>4.14</v>
      </c>
    </row>
    <row r="231" spans="1:19">
      <c r="A231">
        <v>226</v>
      </c>
      <c r="B231">
        <v>1</v>
      </c>
      <c r="C231">
        <v>20240123</v>
      </c>
      <c r="D231" t="s">
        <v>20</v>
      </c>
      <c r="E231" t="s">
        <v>21</v>
      </c>
      <c r="F231" t="s">
        <v>29</v>
      </c>
      <c r="G231" t="s">
        <v>30</v>
      </c>
      <c r="H231">
        <v>208052</v>
      </c>
      <c r="I231" t="s">
        <v>24</v>
      </c>
      <c r="J231">
        <v>4.14</v>
      </c>
      <c r="K231">
        <v>861335.28</v>
      </c>
      <c r="L231" t="s">
        <v>634</v>
      </c>
      <c r="M231" t="s">
        <v>814</v>
      </c>
      <c r="N231">
        <v>4.02462</v>
      </c>
      <c r="O231" t="s">
        <v>27</v>
      </c>
      <c r="P231" t="s">
        <v>815</v>
      </c>
      <c r="Q231">
        <v>58</v>
      </c>
      <c r="R231">
        <v>4.9338</v>
      </c>
      <c r="S231">
        <v>4.14</v>
      </c>
    </row>
    <row r="232" spans="1:19">
      <c r="A232">
        <v>227</v>
      </c>
      <c r="B232">
        <v>1</v>
      </c>
      <c r="C232">
        <v>20240124</v>
      </c>
      <c r="D232" t="s">
        <v>28</v>
      </c>
      <c r="E232" t="s">
        <v>21</v>
      </c>
      <c r="F232" t="s">
        <v>32</v>
      </c>
      <c r="G232" t="s">
        <v>816</v>
      </c>
      <c r="H232">
        <v>590045</v>
      </c>
      <c r="I232" t="s">
        <v>24</v>
      </c>
      <c r="J232">
        <v>3.53</v>
      </c>
      <c r="K232">
        <v>2082858.85</v>
      </c>
      <c r="L232" t="s">
        <v>634</v>
      </c>
      <c r="M232" t="s">
        <v>817</v>
      </c>
      <c r="N232">
        <v>3.2265</v>
      </c>
      <c r="O232" t="s">
        <v>27</v>
      </c>
      <c r="P232" t="s">
        <v>818</v>
      </c>
      <c r="Q232">
        <v>259</v>
      </c>
    </row>
    <row r="233" spans="1:19">
      <c r="A233">
        <v>228</v>
      </c>
      <c r="B233">
        <v>1</v>
      </c>
      <c r="C233">
        <v>20240124</v>
      </c>
      <c r="D233" t="s">
        <v>20</v>
      </c>
      <c r="E233" t="s">
        <v>21</v>
      </c>
      <c r="F233" t="s">
        <v>32</v>
      </c>
      <c r="G233" t="s">
        <v>30</v>
      </c>
      <c r="H233">
        <v>130550</v>
      </c>
      <c r="I233" t="s">
        <v>24</v>
      </c>
      <c r="J233">
        <v>4.14</v>
      </c>
      <c r="K233">
        <v>540477</v>
      </c>
      <c r="L233" t="s">
        <v>634</v>
      </c>
      <c r="M233" t="s">
        <v>819</v>
      </c>
      <c r="N233">
        <v>4.015</v>
      </c>
      <c r="O233" t="s">
        <v>27</v>
      </c>
      <c r="P233" t="s">
        <v>820</v>
      </c>
      <c r="Q233">
        <v>18</v>
      </c>
      <c r="R233">
        <v>4.9338</v>
      </c>
    </row>
    <row r="234" spans="1:19">
      <c r="A234">
        <v>229</v>
      </c>
      <c r="B234">
        <v>1</v>
      </c>
      <c r="C234">
        <v>20240124</v>
      </c>
      <c r="D234" t="s">
        <v>20</v>
      </c>
      <c r="E234" t="s">
        <v>21</v>
      </c>
      <c r="F234" t="s">
        <v>32</v>
      </c>
      <c r="G234" t="s">
        <v>30</v>
      </c>
      <c r="H234">
        <v>90862</v>
      </c>
      <c r="I234" t="s">
        <v>24</v>
      </c>
      <c r="J234">
        <v>4.14</v>
      </c>
      <c r="K234">
        <v>376168.68</v>
      </c>
      <c r="L234" t="s">
        <v>637</v>
      </c>
      <c r="M234" t="s">
        <v>819</v>
      </c>
      <c r="N234">
        <v>4.015</v>
      </c>
      <c r="O234" t="s">
        <v>27</v>
      </c>
      <c r="P234" t="s">
        <v>820</v>
      </c>
      <c r="Q234">
        <v>10</v>
      </c>
      <c r="R234">
        <v>4.9338</v>
      </c>
    </row>
    <row r="235" spans="1:19">
      <c r="A235">
        <v>230</v>
      </c>
      <c r="B235">
        <v>1</v>
      </c>
      <c r="C235">
        <v>20240124</v>
      </c>
      <c r="D235" t="s">
        <v>20</v>
      </c>
      <c r="E235" t="s">
        <v>21</v>
      </c>
      <c r="F235" t="s">
        <v>32</v>
      </c>
      <c r="G235" t="s">
        <v>42</v>
      </c>
      <c r="H235">
        <v>737940</v>
      </c>
      <c r="I235" t="s">
        <v>24</v>
      </c>
      <c r="J235">
        <v>5.71</v>
      </c>
      <c r="K235">
        <v>4213637.4</v>
      </c>
      <c r="L235" t="s">
        <v>637</v>
      </c>
      <c r="M235" t="s">
        <v>819</v>
      </c>
      <c r="N235">
        <v>5.6017</v>
      </c>
      <c r="O235" t="s">
        <v>27</v>
      </c>
      <c r="P235" t="s">
        <v>821</v>
      </c>
      <c r="Q235">
        <v>92</v>
      </c>
      <c r="R235">
        <v>6.9333</v>
      </c>
    </row>
    <row r="236" spans="1:19">
      <c r="A236">
        <v>231</v>
      </c>
      <c r="B236">
        <v>1</v>
      </c>
      <c r="C236">
        <v>20240124</v>
      </c>
      <c r="D236" t="s">
        <v>20</v>
      </c>
      <c r="E236" t="s">
        <v>21</v>
      </c>
      <c r="F236" t="s">
        <v>32</v>
      </c>
      <c r="G236" t="s">
        <v>816</v>
      </c>
      <c r="H236">
        <v>229547</v>
      </c>
      <c r="I236" t="s">
        <v>24</v>
      </c>
      <c r="J236">
        <v>3.53</v>
      </c>
      <c r="K236">
        <v>810300.91</v>
      </c>
      <c r="L236" t="s">
        <v>634</v>
      </c>
      <c r="M236" t="s">
        <v>819</v>
      </c>
      <c r="N236">
        <v>3.2265</v>
      </c>
      <c r="O236" t="s">
        <v>27</v>
      </c>
      <c r="P236" t="s">
        <v>822</v>
      </c>
      <c r="Q236">
        <v>113</v>
      </c>
    </row>
    <row r="237" spans="1:19">
      <c r="A237">
        <v>232</v>
      </c>
      <c r="B237">
        <v>1</v>
      </c>
      <c r="C237">
        <v>20240124</v>
      </c>
      <c r="D237" t="s">
        <v>28</v>
      </c>
      <c r="E237" t="s">
        <v>21</v>
      </c>
      <c r="F237" t="s">
        <v>39</v>
      </c>
      <c r="G237" t="s">
        <v>40</v>
      </c>
      <c r="H237">
        <v>9</v>
      </c>
      <c r="I237" t="s">
        <v>24</v>
      </c>
      <c r="J237">
        <v>2106.81</v>
      </c>
      <c r="K237">
        <v>18961.29</v>
      </c>
      <c r="L237" t="s">
        <v>637</v>
      </c>
      <c r="M237" t="s">
        <v>823</v>
      </c>
      <c r="N237">
        <v>1448.621</v>
      </c>
      <c r="O237" t="s">
        <v>27</v>
      </c>
      <c r="P237" t="s">
        <v>824</v>
      </c>
      <c r="Q237">
        <v>1</v>
      </c>
    </row>
    <row r="238" spans="1:19">
      <c r="A238">
        <v>233</v>
      </c>
      <c r="B238">
        <v>1</v>
      </c>
      <c r="C238">
        <v>20240124</v>
      </c>
      <c r="D238" t="s">
        <v>20</v>
      </c>
      <c r="E238" t="s">
        <v>21</v>
      </c>
      <c r="F238" t="s">
        <v>22</v>
      </c>
      <c r="G238" t="s">
        <v>30</v>
      </c>
      <c r="H238">
        <v>1233414</v>
      </c>
      <c r="I238" t="s">
        <v>24</v>
      </c>
      <c r="J238">
        <v>4.4</v>
      </c>
      <c r="K238">
        <v>5427021.6</v>
      </c>
      <c r="L238" t="s">
        <v>634</v>
      </c>
      <c r="M238" t="s">
        <v>825</v>
      </c>
      <c r="N238">
        <v>4.3118</v>
      </c>
      <c r="O238" t="s">
        <v>27</v>
      </c>
      <c r="P238" t="s">
        <v>826</v>
      </c>
      <c r="Q238">
        <v>54</v>
      </c>
      <c r="R238">
        <v>4.9338</v>
      </c>
      <c r="S238">
        <v>4.14</v>
      </c>
    </row>
    <row r="239" spans="1:19">
      <c r="A239">
        <v>234</v>
      </c>
      <c r="B239">
        <v>1</v>
      </c>
      <c r="C239">
        <v>20240124</v>
      </c>
      <c r="D239" t="s">
        <v>20</v>
      </c>
      <c r="E239" t="s">
        <v>21</v>
      </c>
      <c r="F239" t="s">
        <v>22</v>
      </c>
      <c r="G239" t="s">
        <v>42</v>
      </c>
      <c r="H239">
        <v>509802</v>
      </c>
      <c r="I239" t="s">
        <v>24</v>
      </c>
      <c r="J239">
        <v>5.63</v>
      </c>
      <c r="K239">
        <v>2870185.26</v>
      </c>
      <c r="L239" t="s">
        <v>634</v>
      </c>
      <c r="M239" t="s">
        <v>825</v>
      </c>
      <c r="N239">
        <v>5.516</v>
      </c>
      <c r="O239" t="s">
        <v>27</v>
      </c>
      <c r="P239" t="s">
        <v>827</v>
      </c>
      <c r="Q239">
        <v>21</v>
      </c>
      <c r="R239">
        <v>6.9333</v>
      </c>
      <c r="S239">
        <v>4.48</v>
      </c>
    </row>
    <row r="240" spans="1:19">
      <c r="A240">
        <v>235</v>
      </c>
      <c r="B240">
        <v>1</v>
      </c>
      <c r="C240">
        <v>20240124</v>
      </c>
      <c r="D240" t="s">
        <v>20</v>
      </c>
      <c r="E240" t="s">
        <v>21</v>
      </c>
      <c r="F240" t="s">
        <v>22</v>
      </c>
      <c r="G240" t="s">
        <v>42</v>
      </c>
      <c r="H240">
        <v>585651</v>
      </c>
      <c r="I240" t="s">
        <v>24</v>
      </c>
      <c r="J240">
        <v>5.63</v>
      </c>
      <c r="K240">
        <v>3297215.13</v>
      </c>
      <c r="L240" t="s">
        <v>634</v>
      </c>
      <c r="M240" t="s">
        <v>825</v>
      </c>
      <c r="N240">
        <v>5.516</v>
      </c>
      <c r="O240" t="s">
        <v>27</v>
      </c>
      <c r="P240" t="s">
        <v>827</v>
      </c>
      <c r="Q240">
        <v>20</v>
      </c>
      <c r="R240">
        <v>6.9333</v>
      </c>
      <c r="S240">
        <v>4.48</v>
      </c>
    </row>
    <row r="241" spans="1:19">
      <c r="A241">
        <v>236</v>
      </c>
      <c r="B241">
        <v>1</v>
      </c>
      <c r="C241">
        <v>20240124</v>
      </c>
      <c r="D241" t="s">
        <v>20</v>
      </c>
      <c r="E241" t="s">
        <v>21</v>
      </c>
      <c r="F241" t="s">
        <v>22</v>
      </c>
      <c r="G241" t="s">
        <v>30</v>
      </c>
      <c r="H241">
        <v>86357</v>
      </c>
      <c r="I241" t="s">
        <v>24</v>
      </c>
      <c r="J241">
        <v>4.14</v>
      </c>
      <c r="K241">
        <v>357517.98</v>
      </c>
      <c r="L241" t="s">
        <v>637</v>
      </c>
      <c r="M241" t="s">
        <v>825</v>
      </c>
      <c r="N241">
        <v>3.5538</v>
      </c>
      <c r="O241" t="s">
        <v>27</v>
      </c>
      <c r="P241" t="s">
        <v>828</v>
      </c>
      <c r="Q241">
        <v>10</v>
      </c>
      <c r="R241">
        <v>4.9338</v>
      </c>
      <c r="S241">
        <v>4.14</v>
      </c>
    </row>
    <row r="242" spans="1:19">
      <c r="A242">
        <v>237</v>
      </c>
      <c r="B242">
        <v>1</v>
      </c>
      <c r="C242">
        <v>20240124</v>
      </c>
      <c r="D242" t="s">
        <v>20</v>
      </c>
      <c r="E242" t="s">
        <v>21</v>
      </c>
      <c r="F242" t="s">
        <v>22</v>
      </c>
      <c r="G242" t="s">
        <v>42</v>
      </c>
      <c r="H242">
        <v>238281</v>
      </c>
      <c r="I242" t="s">
        <v>24</v>
      </c>
      <c r="J242">
        <v>4.58</v>
      </c>
      <c r="K242">
        <v>1091326.98</v>
      </c>
      <c r="L242" t="s">
        <v>637</v>
      </c>
      <c r="M242" t="s">
        <v>825</v>
      </c>
      <c r="N242">
        <v>4.4875</v>
      </c>
      <c r="O242" t="s">
        <v>27</v>
      </c>
      <c r="P242" t="s">
        <v>829</v>
      </c>
      <c r="Q242">
        <v>9</v>
      </c>
      <c r="R242">
        <v>6.9333</v>
      </c>
      <c r="S242">
        <v>4.48</v>
      </c>
    </row>
    <row r="243" spans="1:19">
      <c r="A243">
        <v>238</v>
      </c>
      <c r="B243">
        <v>1</v>
      </c>
      <c r="C243">
        <v>20240124</v>
      </c>
      <c r="D243" t="s">
        <v>28</v>
      </c>
      <c r="E243" t="s">
        <v>21</v>
      </c>
      <c r="F243" t="s">
        <v>29</v>
      </c>
      <c r="G243" t="s">
        <v>37</v>
      </c>
      <c r="H243">
        <v>15525</v>
      </c>
      <c r="I243" t="s">
        <v>24</v>
      </c>
      <c r="J243">
        <v>4.14</v>
      </c>
      <c r="K243">
        <v>64273.5</v>
      </c>
      <c r="L243" t="s">
        <v>634</v>
      </c>
      <c r="M243" t="s">
        <v>830</v>
      </c>
      <c r="N243">
        <v>4.02856</v>
      </c>
      <c r="O243" t="s">
        <v>27</v>
      </c>
      <c r="P243" t="s">
        <v>831</v>
      </c>
      <c r="Q243">
        <v>37</v>
      </c>
    </row>
    <row r="244" spans="1:19">
      <c r="A244">
        <v>239</v>
      </c>
      <c r="B244">
        <v>1</v>
      </c>
      <c r="C244">
        <v>20240124</v>
      </c>
      <c r="D244" t="s">
        <v>28</v>
      </c>
      <c r="E244" t="s">
        <v>21</v>
      </c>
      <c r="F244" t="s">
        <v>29</v>
      </c>
      <c r="G244" t="s">
        <v>30</v>
      </c>
      <c r="H244">
        <v>22647</v>
      </c>
      <c r="I244" t="s">
        <v>24</v>
      </c>
      <c r="J244">
        <v>4.14</v>
      </c>
      <c r="K244">
        <v>93758.58</v>
      </c>
      <c r="L244" t="s">
        <v>637</v>
      </c>
      <c r="M244" t="s">
        <v>832</v>
      </c>
      <c r="N244">
        <v>3.67</v>
      </c>
      <c r="O244" t="s">
        <v>27</v>
      </c>
      <c r="P244" t="s">
        <v>833</v>
      </c>
      <c r="Q244">
        <v>154</v>
      </c>
    </row>
    <row r="245" spans="1:19">
      <c r="A245">
        <v>240</v>
      </c>
      <c r="B245">
        <v>1</v>
      </c>
      <c r="C245">
        <v>20240124</v>
      </c>
      <c r="D245" t="s">
        <v>28</v>
      </c>
      <c r="E245" t="s">
        <v>21</v>
      </c>
      <c r="F245" t="s">
        <v>29</v>
      </c>
      <c r="G245" t="s">
        <v>30</v>
      </c>
      <c r="H245">
        <v>53521</v>
      </c>
      <c r="I245" t="s">
        <v>24</v>
      </c>
      <c r="J245">
        <v>5.02</v>
      </c>
      <c r="K245">
        <v>268675.42</v>
      </c>
      <c r="L245" t="s">
        <v>637</v>
      </c>
      <c r="M245" t="s">
        <v>832</v>
      </c>
      <c r="N245">
        <v>4.917</v>
      </c>
      <c r="O245" t="s">
        <v>27</v>
      </c>
      <c r="P245" t="s">
        <v>834</v>
      </c>
    </row>
    <row r="246" spans="1:19">
      <c r="A246">
        <v>241</v>
      </c>
      <c r="B246">
        <v>1</v>
      </c>
      <c r="C246">
        <v>20240124</v>
      </c>
      <c r="D246" t="s">
        <v>28</v>
      </c>
      <c r="E246" t="s">
        <v>21</v>
      </c>
      <c r="F246" t="s">
        <v>29</v>
      </c>
      <c r="G246" t="s">
        <v>30</v>
      </c>
      <c r="H246">
        <v>476685</v>
      </c>
      <c r="I246" t="s">
        <v>24</v>
      </c>
      <c r="J246">
        <v>4.14</v>
      </c>
      <c r="K246">
        <v>1973475.9</v>
      </c>
      <c r="L246" t="s">
        <v>634</v>
      </c>
      <c r="M246" t="s">
        <v>832</v>
      </c>
      <c r="N246">
        <v>4.0268</v>
      </c>
      <c r="O246" t="s">
        <v>27</v>
      </c>
      <c r="P246" t="s">
        <v>833</v>
      </c>
    </row>
    <row r="247" spans="1:19">
      <c r="A247">
        <v>242</v>
      </c>
      <c r="B247">
        <v>1</v>
      </c>
      <c r="C247">
        <v>20240124</v>
      </c>
      <c r="D247" t="s">
        <v>28</v>
      </c>
      <c r="E247" t="s">
        <v>21</v>
      </c>
      <c r="F247" t="s">
        <v>29</v>
      </c>
      <c r="G247" t="s">
        <v>30</v>
      </c>
      <c r="H247">
        <v>3997</v>
      </c>
      <c r="I247" t="s">
        <v>24</v>
      </c>
      <c r="J247">
        <v>4.89</v>
      </c>
      <c r="K247">
        <v>19545.33</v>
      </c>
      <c r="L247" t="s">
        <v>654</v>
      </c>
      <c r="M247" t="s">
        <v>832</v>
      </c>
      <c r="N247">
        <v>4.7962</v>
      </c>
      <c r="O247" t="s">
        <v>27</v>
      </c>
      <c r="P247" t="s">
        <v>835</v>
      </c>
    </row>
    <row r="248" spans="1:19">
      <c r="A248">
        <v>243</v>
      </c>
      <c r="B248">
        <v>1</v>
      </c>
      <c r="C248">
        <v>20240125</v>
      </c>
      <c r="D248" t="s">
        <v>20</v>
      </c>
      <c r="E248" t="s">
        <v>21</v>
      </c>
      <c r="F248" t="s">
        <v>22</v>
      </c>
      <c r="G248" t="s">
        <v>74</v>
      </c>
      <c r="H248">
        <v>59904</v>
      </c>
      <c r="I248" t="s">
        <v>24</v>
      </c>
      <c r="J248">
        <v>5.61</v>
      </c>
      <c r="K248">
        <v>336061.44</v>
      </c>
      <c r="L248" t="s">
        <v>634</v>
      </c>
      <c r="M248" t="s">
        <v>836</v>
      </c>
      <c r="N248">
        <v>5.5</v>
      </c>
      <c r="O248" t="s">
        <v>27</v>
      </c>
      <c r="P248" t="s">
        <v>837</v>
      </c>
      <c r="Q248">
        <v>4</v>
      </c>
      <c r="S248">
        <v>4.48</v>
      </c>
    </row>
    <row r="249" spans="1:19">
      <c r="A249">
        <v>244</v>
      </c>
      <c r="B249">
        <v>1</v>
      </c>
      <c r="C249">
        <v>20240125</v>
      </c>
      <c r="D249" t="s">
        <v>28</v>
      </c>
      <c r="E249" t="s">
        <v>21</v>
      </c>
      <c r="F249" t="s">
        <v>29</v>
      </c>
      <c r="G249" t="s">
        <v>30</v>
      </c>
      <c r="H249">
        <v>545345</v>
      </c>
      <c r="I249" t="s">
        <v>24</v>
      </c>
      <c r="J249">
        <v>4.14</v>
      </c>
      <c r="K249">
        <v>2257728.3</v>
      </c>
      <c r="L249" t="s">
        <v>634</v>
      </c>
      <c r="M249" t="s">
        <v>838</v>
      </c>
      <c r="N249">
        <v>4.02789</v>
      </c>
      <c r="O249" t="s">
        <v>27</v>
      </c>
      <c r="P249" t="s">
        <v>839</v>
      </c>
      <c r="Q249">
        <v>122</v>
      </c>
    </row>
    <row r="250" spans="1:19">
      <c r="A250">
        <v>245</v>
      </c>
      <c r="B250">
        <v>1</v>
      </c>
      <c r="C250">
        <v>20240125</v>
      </c>
      <c r="D250" t="s">
        <v>20</v>
      </c>
      <c r="E250" t="s">
        <v>21</v>
      </c>
      <c r="F250" t="s">
        <v>32</v>
      </c>
      <c r="G250" t="s">
        <v>30</v>
      </c>
      <c r="H250">
        <v>233011</v>
      </c>
      <c r="I250" t="s">
        <v>24</v>
      </c>
      <c r="J250">
        <v>4.14</v>
      </c>
      <c r="K250">
        <v>964665.54</v>
      </c>
      <c r="L250" t="s">
        <v>634</v>
      </c>
      <c r="M250" t="s">
        <v>840</v>
      </c>
      <c r="N250">
        <v>4.015</v>
      </c>
      <c r="O250" t="s">
        <v>27</v>
      </c>
      <c r="P250" t="s">
        <v>841</v>
      </c>
      <c r="Q250">
        <v>33</v>
      </c>
      <c r="R250">
        <v>4.9338</v>
      </c>
    </row>
    <row r="251" spans="1:19">
      <c r="A251">
        <v>246</v>
      </c>
      <c r="B251">
        <v>1</v>
      </c>
      <c r="C251">
        <v>20240125</v>
      </c>
      <c r="D251" t="s">
        <v>20</v>
      </c>
      <c r="E251" t="s">
        <v>21</v>
      </c>
      <c r="F251" t="s">
        <v>32</v>
      </c>
      <c r="G251" t="s">
        <v>30</v>
      </c>
      <c r="H251">
        <v>69656</v>
      </c>
      <c r="I251" t="s">
        <v>24</v>
      </c>
      <c r="J251">
        <v>4.14</v>
      </c>
      <c r="K251">
        <v>288375.84</v>
      </c>
      <c r="L251" t="s">
        <v>637</v>
      </c>
      <c r="M251" t="s">
        <v>840</v>
      </c>
      <c r="N251">
        <v>4.015</v>
      </c>
      <c r="O251" t="s">
        <v>27</v>
      </c>
      <c r="P251" t="s">
        <v>841</v>
      </c>
      <c r="Q251">
        <v>15</v>
      </c>
    </row>
    <row r="252" spans="1:19">
      <c r="A252">
        <v>246</v>
      </c>
      <c r="B252">
        <v>1</v>
      </c>
      <c r="C252">
        <v>20240126</v>
      </c>
      <c r="D252" t="s">
        <v>20</v>
      </c>
      <c r="E252" t="s">
        <v>21</v>
      </c>
      <c r="F252" t="s">
        <v>41</v>
      </c>
      <c r="G252" t="s">
        <v>30</v>
      </c>
      <c r="H252">
        <v>2040</v>
      </c>
      <c r="I252" t="s">
        <v>24</v>
      </c>
      <c r="J252">
        <v>4.14</v>
      </c>
      <c r="K252">
        <v>8445.6</v>
      </c>
      <c r="L252" t="s">
        <v>637</v>
      </c>
      <c r="M252" t="s">
        <v>842</v>
      </c>
      <c r="N252">
        <v>4.05</v>
      </c>
      <c r="O252" t="s">
        <v>27</v>
      </c>
      <c r="P252" t="s">
        <v>843</v>
      </c>
      <c r="Q252">
        <v>1</v>
      </c>
    </row>
    <row r="253" spans="1:19">
      <c r="A253">
        <v>246</v>
      </c>
      <c r="B253">
        <v>1</v>
      </c>
      <c r="C253">
        <v>20240126</v>
      </c>
      <c r="D253" t="s">
        <v>20</v>
      </c>
      <c r="E253" t="s">
        <v>21</v>
      </c>
      <c r="F253" t="s">
        <v>41</v>
      </c>
      <c r="G253" t="s">
        <v>30</v>
      </c>
      <c r="H253">
        <v>40800</v>
      </c>
      <c r="I253" t="s">
        <v>24</v>
      </c>
      <c r="J253">
        <v>4.14</v>
      </c>
      <c r="K253">
        <v>168912</v>
      </c>
      <c r="L253" t="s">
        <v>634</v>
      </c>
      <c r="M253" t="s">
        <v>842</v>
      </c>
      <c r="N253">
        <v>4.05</v>
      </c>
      <c r="O253" t="s">
        <v>27</v>
      </c>
      <c r="P253" t="s">
        <v>843</v>
      </c>
      <c r="Q253">
        <v>4</v>
      </c>
    </row>
    <row r="254" spans="1:19">
      <c r="A254">
        <v>246</v>
      </c>
      <c r="B254">
        <v>1</v>
      </c>
      <c r="C254">
        <v>20240126</v>
      </c>
      <c r="D254" t="s">
        <v>20</v>
      </c>
      <c r="E254" t="s">
        <v>21</v>
      </c>
      <c r="F254" t="s">
        <v>41</v>
      </c>
      <c r="G254" t="s">
        <v>30</v>
      </c>
      <c r="H254">
        <v>49608</v>
      </c>
      <c r="I254" t="s">
        <v>24</v>
      </c>
      <c r="J254">
        <v>4.14</v>
      </c>
      <c r="K254">
        <v>205377.12</v>
      </c>
      <c r="L254" t="s">
        <v>637</v>
      </c>
      <c r="M254" t="s">
        <v>842</v>
      </c>
      <c r="N254">
        <v>4.05</v>
      </c>
      <c r="O254" t="s">
        <v>27</v>
      </c>
      <c r="P254" t="s">
        <v>843</v>
      </c>
      <c r="Q254">
        <v>13</v>
      </c>
    </row>
    <row r="255" spans="1:19">
      <c r="A255">
        <v>246</v>
      </c>
      <c r="B255">
        <v>1</v>
      </c>
      <c r="C255">
        <v>20240126</v>
      </c>
      <c r="D255" t="s">
        <v>28</v>
      </c>
      <c r="E255" t="s">
        <v>21</v>
      </c>
      <c r="F255" t="s">
        <v>41</v>
      </c>
      <c r="G255" t="s">
        <v>37</v>
      </c>
      <c r="H255">
        <v>58281</v>
      </c>
      <c r="I255" t="s">
        <v>24</v>
      </c>
      <c r="J255">
        <v>4.14</v>
      </c>
      <c r="K255">
        <v>241283.34</v>
      </c>
      <c r="L255" t="s">
        <v>634</v>
      </c>
      <c r="M255" t="s">
        <v>844</v>
      </c>
      <c r="N255">
        <v>4.05</v>
      </c>
      <c r="O255" t="s">
        <v>27</v>
      </c>
      <c r="P255" t="s">
        <v>845</v>
      </c>
      <c r="Q255">
        <v>8</v>
      </c>
    </row>
    <row r="256" spans="1:19">
      <c r="A256">
        <v>246</v>
      </c>
      <c r="B256">
        <v>1</v>
      </c>
      <c r="C256">
        <v>20240126</v>
      </c>
      <c r="D256" t="s">
        <v>28</v>
      </c>
      <c r="E256" t="s">
        <v>21</v>
      </c>
      <c r="F256" t="s">
        <v>41</v>
      </c>
      <c r="G256" t="s">
        <v>30</v>
      </c>
      <c r="H256">
        <v>18340</v>
      </c>
      <c r="I256" t="s">
        <v>24</v>
      </c>
      <c r="J256">
        <v>4.14</v>
      </c>
      <c r="K256">
        <v>75927.6</v>
      </c>
      <c r="L256" t="s">
        <v>634</v>
      </c>
      <c r="M256" t="s">
        <v>844</v>
      </c>
      <c r="N256">
        <v>4.05</v>
      </c>
      <c r="O256" t="s">
        <v>27</v>
      </c>
      <c r="P256" t="s">
        <v>846</v>
      </c>
      <c r="Q256">
        <v>3</v>
      </c>
    </row>
    <row r="257" spans="1:17">
      <c r="A257">
        <v>246</v>
      </c>
      <c r="B257">
        <v>1</v>
      </c>
      <c r="C257">
        <v>20240126</v>
      </c>
      <c r="D257" t="s">
        <v>28</v>
      </c>
      <c r="E257" t="s">
        <v>21</v>
      </c>
      <c r="F257" t="s">
        <v>41</v>
      </c>
      <c r="G257" t="s">
        <v>30</v>
      </c>
      <c r="H257">
        <v>69542</v>
      </c>
      <c r="I257" t="s">
        <v>24</v>
      </c>
      <c r="J257">
        <v>4.14</v>
      </c>
      <c r="K257">
        <v>287903.88</v>
      </c>
      <c r="L257" t="s">
        <v>637</v>
      </c>
      <c r="M257" t="s">
        <v>844</v>
      </c>
      <c r="N257">
        <v>4.05</v>
      </c>
      <c r="O257" t="s">
        <v>27</v>
      </c>
      <c r="P257" t="s">
        <v>846</v>
      </c>
      <c r="Q257">
        <v>9</v>
      </c>
    </row>
    <row r="258" spans="1:17">
      <c r="A258">
        <v>246</v>
      </c>
      <c r="B258">
        <v>1</v>
      </c>
      <c r="C258">
        <v>20240126</v>
      </c>
      <c r="D258" t="s">
        <v>28</v>
      </c>
      <c r="E258" t="s">
        <v>21</v>
      </c>
      <c r="F258" t="s">
        <v>41</v>
      </c>
      <c r="G258" t="s">
        <v>37</v>
      </c>
      <c r="H258">
        <v>292416</v>
      </c>
      <c r="I258" t="s">
        <v>24</v>
      </c>
      <c r="J258">
        <v>4.14</v>
      </c>
      <c r="K258">
        <v>1210602.24</v>
      </c>
      <c r="L258" t="s">
        <v>634</v>
      </c>
      <c r="M258" t="s">
        <v>844</v>
      </c>
      <c r="N258">
        <v>4.05</v>
      </c>
      <c r="O258" t="s">
        <v>27</v>
      </c>
      <c r="P258" t="s">
        <v>845</v>
      </c>
      <c r="Q258">
        <v>31</v>
      </c>
    </row>
    <row r="259" spans="1:17">
      <c r="A259">
        <v>246</v>
      </c>
      <c r="B259">
        <v>1</v>
      </c>
      <c r="C259">
        <v>20240126</v>
      </c>
      <c r="D259" t="s">
        <v>28</v>
      </c>
      <c r="E259" t="s">
        <v>21</v>
      </c>
      <c r="F259" t="s">
        <v>41</v>
      </c>
      <c r="G259" t="s">
        <v>30</v>
      </c>
      <c r="H259">
        <v>95667</v>
      </c>
      <c r="I259" t="s">
        <v>24</v>
      </c>
      <c r="J259">
        <v>4.14</v>
      </c>
      <c r="K259">
        <v>396061.38</v>
      </c>
      <c r="L259" t="s">
        <v>634</v>
      </c>
      <c r="M259" t="s">
        <v>844</v>
      </c>
      <c r="N259">
        <v>4.05</v>
      </c>
      <c r="O259" t="s">
        <v>27</v>
      </c>
      <c r="P259" t="s">
        <v>846</v>
      </c>
      <c r="Q259">
        <v>13</v>
      </c>
    </row>
    <row r="260" spans="1:17">
      <c r="A260">
        <v>246</v>
      </c>
      <c r="B260">
        <v>1</v>
      </c>
      <c r="C260">
        <v>20240126</v>
      </c>
      <c r="D260" t="s">
        <v>28</v>
      </c>
      <c r="E260" t="s">
        <v>21</v>
      </c>
      <c r="F260" t="s">
        <v>41</v>
      </c>
      <c r="G260" t="s">
        <v>30</v>
      </c>
      <c r="H260">
        <v>22234</v>
      </c>
      <c r="I260" t="s">
        <v>24</v>
      </c>
      <c r="J260">
        <v>4.14</v>
      </c>
      <c r="K260">
        <v>92048.76</v>
      </c>
      <c r="L260" t="s">
        <v>637</v>
      </c>
      <c r="M260" t="s">
        <v>844</v>
      </c>
      <c r="N260">
        <v>4.05</v>
      </c>
      <c r="O260" t="s">
        <v>27</v>
      </c>
      <c r="P260" t="s">
        <v>846</v>
      </c>
      <c r="Q260">
        <v>2</v>
      </c>
    </row>
    <row r="261" spans="1:17">
      <c r="A261">
        <v>246</v>
      </c>
      <c r="B261">
        <v>1</v>
      </c>
      <c r="C261">
        <v>20240126</v>
      </c>
      <c r="D261" t="s">
        <v>28</v>
      </c>
      <c r="E261" t="s">
        <v>21</v>
      </c>
      <c r="F261" t="s">
        <v>41</v>
      </c>
      <c r="G261" t="s">
        <v>37</v>
      </c>
      <c r="H261">
        <v>1306</v>
      </c>
      <c r="I261" t="s">
        <v>24</v>
      </c>
      <c r="J261">
        <v>4.14</v>
      </c>
      <c r="K261">
        <v>5406.84</v>
      </c>
      <c r="L261" t="s">
        <v>637</v>
      </c>
      <c r="M261" t="s">
        <v>844</v>
      </c>
      <c r="N261">
        <v>4.05</v>
      </c>
      <c r="O261" t="s">
        <v>27</v>
      </c>
      <c r="P261" t="s">
        <v>845</v>
      </c>
      <c r="Q261">
        <v>1</v>
      </c>
    </row>
    <row r="262" spans="1:17">
      <c r="A262">
        <v>246</v>
      </c>
      <c r="B262">
        <v>1</v>
      </c>
      <c r="C262">
        <v>20240126</v>
      </c>
      <c r="D262" t="s">
        <v>28</v>
      </c>
      <c r="E262" t="s">
        <v>21</v>
      </c>
      <c r="F262" t="s">
        <v>41</v>
      </c>
      <c r="G262" t="s">
        <v>30</v>
      </c>
      <c r="H262">
        <v>543433</v>
      </c>
      <c r="I262" t="s">
        <v>24</v>
      </c>
      <c r="J262">
        <v>4.14</v>
      </c>
      <c r="K262">
        <v>2249812.62</v>
      </c>
      <c r="L262" t="s">
        <v>637</v>
      </c>
      <c r="M262" t="s">
        <v>844</v>
      </c>
      <c r="N262">
        <v>4.05</v>
      </c>
      <c r="O262" t="s">
        <v>27</v>
      </c>
      <c r="P262" t="s">
        <v>846</v>
      </c>
      <c r="Q262">
        <v>92</v>
      </c>
    </row>
    <row r="263" spans="1:17">
      <c r="A263">
        <v>246</v>
      </c>
      <c r="B263">
        <v>1</v>
      </c>
      <c r="C263">
        <v>20240126</v>
      </c>
      <c r="D263" t="s">
        <v>28</v>
      </c>
      <c r="E263" t="s">
        <v>21</v>
      </c>
      <c r="F263" t="s">
        <v>41</v>
      </c>
      <c r="G263" t="s">
        <v>37</v>
      </c>
      <c r="H263">
        <v>14010</v>
      </c>
      <c r="I263" t="s">
        <v>24</v>
      </c>
      <c r="J263">
        <v>4.14</v>
      </c>
      <c r="K263">
        <v>58001.4</v>
      </c>
      <c r="L263" t="s">
        <v>637</v>
      </c>
      <c r="M263" t="s">
        <v>844</v>
      </c>
      <c r="N263">
        <v>4.05</v>
      </c>
      <c r="O263" t="s">
        <v>27</v>
      </c>
      <c r="P263" t="s">
        <v>845</v>
      </c>
      <c r="Q263">
        <v>3</v>
      </c>
    </row>
    <row r="264" spans="1:17">
      <c r="A264">
        <v>247</v>
      </c>
      <c r="B264">
        <v>1</v>
      </c>
      <c r="C264">
        <v>20240128</v>
      </c>
      <c r="D264" t="s">
        <v>20</v>
      </c>
      <c r="E264" t="s">
        <v>21</v>
      </c>
      <c r="F264" t="s">
        <v>22</v>
      </c>
      <c r="G264" t="s">
        <v>23</v>
      </c>
      <c r="H264">
        <v>8258</v>
      </c>
      <c r="I264" t="s">
        <v>24</v>
      </c>
      <c r="J264">
        <v>3.44</v>
      </c>
      <c r="K264">
        <v>28407.52</v>
      </c>
      <c r="L264" t="s">
        <v>637</v>
      </c>
      <c r="N264">
        <v>3.1683</v>
      </c>
      <c r="O264" t="s">
        <v>43</v>
      </c>
      <c r="P264" t="s">
        <v>847</v>
      </c>
      <c r="Q264">
        <v>6</v>
      </c>
    </row>
    <row r="265" spans="1:17">
      <c r="A265">
        <v>248</v>
      </c>
      <c r="B265">
        <v>1</v>
      </c>
      <c r="C265">
        <v>20240129</v>
      </c>
      <c r="D265" t="s">
        <v>20</v>
      </c>
      <c r="E265" t="s">
        <v>21</v>
      </c>
      <c r="F265" t="s">
        <v>22</v>
      </c>
      <c r="G265" t="s">
        <v>23</v>
      </c>
      <c r="H265">
        <v>17080</v>
      </c>
      <c r="I265" t="s">
        <v>24</v>
      </c>
      <c r="J265">
        <v>3.44</v>
      </c>
      <c r="K265">
        <v>58755.2</v>
      </c>
      <c r="L265" t="s">
        <v>637</v>
      </c>
      <c r="N265">
        <v>3.1853</v>
      </c>
      <c r="O265" t="s">
        <v>43</v>
      </c>
      <c r="P265" t="s">
        <v>848</v>
      </c>
      <c r="Q265">
        <v>6</v>
      </c>
    </row>
    <row r="266" spans="1:17">
      <c r="A266">
        <v>249</v>
      </c>
      <c r="B266">
        <v>1</v>
      </c>
      <c r="C266">
        <v>20240129</v>
      </c>
      <c r="D266" t="s">
        <v>20</v>
      </c>
      <c r="E266" t="s">
        <v>21</v>
      </c>
      <c r="F266" t="s">
        <v>32</v>
      </c>
      <c r="G266" t="s">
        <v>30</v>
      </c>
      <c r="H266">
        <v>906901</v>
      </c>
      <c r="I266" t="s">
        <v>24</v>
      </c>
      <c r="J266">
        <v>4.14</v>
      </c>
      <c r="K266">
        <v>3754570.14</v>
      </c>
      <c r="L266" t="s">
        <v>634</v>
      </c>
      <c r="N266">
        <v>4.015</v>
      </c>
      <c r="O266" t="s">
        <v>43</v>
      </c>
      <c r="P266" t="s">
        <v>849</v>
      </c>
      <c r="Q266">
        <v>92</v>
      </c>
    </row>
    <row r="267" spans="1:17">
      <c r="A267">
        <v>250</v>
      </c>
      <c r="B267">
        <v>1</v>
      </c>
      <c r="C267">
        <v>20240129</v>
      </c>
      <c r="D267" t="s">
        <v>20</v>
      </c>
      <c r="E267" t="s">
        <v>21</v>
      </c>
      <c r="F267" t="s">
        <v>32</v>
      </c>
      <c r="G267" t="s">
        <v>30</v>
      </c>
      <c r="H267">
        <v>14410</v>
      </c>
      <c r="I267" t="s">
        <v>24</v>
      </c>
      <c r="J267">
        <v>4.14</v>
      </c>
      <c r="K267">
        <v>59657.4</v>
      </c>
      <c r="L267" t="s">
        <v>637</v>
      </c>
      <c r="N267">
        <v>4.015</v>
      </c>
      <c r="O267" t="s">
        <v>43</v>
      </c>
      <c r="P267" t="s">
        <v>849</v>
      </c>
      <c r="Q267">
        <v>1</v>
      </c>
    </row>
    <row r="268" spans="1:17">
      <c r="A268">
        <v>251</v>
      </c>
      <c r="B268">
        <v>1</v>
      </c>
      <c r="C268">
        <v>20240129</v>
      </c>
      <c r="D268" t="s">
        <v>28</v>
      </c>
      <c r="E268" t="s">
        <v>21</v>
      </c>
      <c r="F268" t="s">
        <v>32</v>
      </c>
      <c r="G268" t="s">
        <v>37</v>
      </c>
      <c r="H268">
        <v>5</v>
      </c>
      <c r="I268" t="s">
        <v>24</v>
      </c>
      <c r="J268">
        <v>4.14</v>
      </c>
      <c r="K268">
        <v>20.7</v>
      </c>
      <c r="L268" t="s">
        <v>634</v>
      </c>
      <c r="N268">
        <v>4.015</v>
      </c>
      <c r="O268" t="s">
        <v>43</v>
      </c>
      <c r="P268" t="s">
        <v>850</v>
      </c>
      <c r="Q268">
        <v>1</v>
      </c>
    </row>
    <row r="269" spans="1:17">
      <c r="A269">
        <v>252</v>
      </c>
      <c r="B269">
        <v>1</v>
      </c>
      <c r="C269">
        <v>20240129</v>
      </c>
      <c r="D269" t="s">
        <v>28</v>
      </c>
      <c r="E269" t="s">
        <v>21</v>
      </c>
      <c r="F269" t="s">
        <v>32</v>
      </c>
      <c r="G269" t="s">
        <v>37</v>
      </c>
      <c r="H269">
        <v>6</v>
      </c>
      <c r="I269" t="s">
        <v>24</v>
      </c>
      <c r="J269">
        <v>4.14</v>
      </c>
      <c r="K269">
        <v>24.84</v>
      </c>
      <c r="L269" t="s">
        <v>654</v>
      </c>
      <c r="N269">
        <v>4.015</v>
      </c>
      <c r="O269" t="s">
        <v>43</v>
      </c>
      <c r="P269" t="s">
        <v>850</v>
      </c>
      <c r="Q269">
        <v>1</v>
      </c>
    </row>
    <row r="270" spans="1:17">
      <c r="A270">
        <v>253</v>
      </c>
      <c r="B270">
        <v>1</v>
      </c>
      <c r="C270">
        <v>20240129</v>
      </c>
      <c r="D270" t="s">
        <v>28</v>
      </c>
      <c r="E270" t="s">
        <v>21</v>
      </c>
      <c r="F270" t="s">
        <v>32</v>
      </c>
      <c r="G270" t="s">
        <v>30</v>
      </c>
      <c r="H270">
        <v>33</v>
      </c>
      <c r="I270" t="s">
        <v>24</v>
      </c>
      <c r="J270">
        <v>4.14</v>
      </c>
      <c r="K270">
        <v>136.62</v>
      </c>
      <c r="L270" t="s">
        <v>654</v>
      </c>
      <c r="N270">
        <v>4.015</v>
      </c>
      <c r="O270" t="s">
        <v>43</v>
      </c>
      <c r="P270" t="s">
        <v>851</v>
      </c>
      <c r="Q270">
        <v>2</v>
      </c>
    </row>
    <row r="271" spans="1:17">
      <c r="A271">
        <v>254</v>
      </c>
      <c r="B271">
        <v>1</v>
      </c>
      <c r="C271">
        <v>20240129</v>
      </c>
      <c r="D271" t="s">
        <v>28</v>
      </c>
      <c r="E271" t="s">
        <v>21</v>
      </c>
      <c r="F271" t="s">
        <v>32</v>
      </c>
      <c r="G271" t="s">
        <v>37</v>
      </c>
      <c r="H271">
        <v>311</v>
      </c>
      <c r="I271" t="s">
        <v>24</v>
      </c>
      <c r="J271">
        <v>4.14</v>
      </c>
      <c r="K271">
        <v>1287.54</v>
      </c>
      <c r="L271" t="s">
        <v>637</v>
      </c>
      <c r="N271">
        <v>4.015</v>
      </c>
      <c r="O271" t="s">
        <v>43</v>
      </c>
      <c r="P271" t="s">
        <v>850</v>
      </c>
      <c r="Q271">
        <v>4</v>
      </c>
    </row>
    <row r="272" spans="1:17">
      <c r="A272">
        <v>255</v>
      </c>
      <c r="B272">
        <v>1</v>
      </c>
      <c r="C272">
        <v>20240129</v>
      </c>
      <c r="D272" t="s">
        <v>28</v>
      </c>
      <c r="E272" t="s">
        <v>21</v>
      </c>
      <c r="F272" t="s">
        <v>32</v>
      </c>
      <c r="G272" t="s">
        <v>30</v>
      </c>
      <c r="H272">
        <v>162</v>
      </c>
      <c r="I272" t="s">
        <v>24</v>
      </c>
      <c r="J272">
        <v>4.14</v>
      </c>
      <c r="K272">
        <v>670.68</v>
      </c>
      <c r="L272" t="s">
        <v>637</v>
      </c>
      <c r="N272">
        <v>4.015</v>
      </c>
      <c r="O272" t="s">
        <v>43</v>
      </c>
      <c r="P272" t="s">
        <v>851</v>
      </c>
      <c r="Q272">
        <v>2</v>
      </c>
    </row>
    <row r="273" spans="1:17">
      <c r="A273">
        <v>255</v>
      </c>
      <c r="B273">
        <v>1</v>
      </c>
      <c r="C273">
        <v>20240129</v>
      </c>
      <c r="D273" t="s">
        <v>28</v>
      </c>
      <c r="E273" t="s">
        <v>21</v>
      </c>
      <c r="F273" t="s">
        <v>29</v>
      </c>
      <c r="G273" t="s">
        <v>37</v>
      </c>
      <c r="H273">
        <v>73605</v>
      </c>
      <c r="I273" t="s">
        <v>24</v>
      </c>
      <c r="J273">
        <v>4.14</v>
      </c>
      <c r="K273">
        <v>304724.7</v>
      </c>
      <c r="L273" t="s">
        <v>634</v>
      </c>
      <c r="N273">
        <v>4.02998</v>
      </c>
      <c r="O273" t="s">
        <v>43</v>
      </c>
      <c r="P273" t="s">
        <v>852</v>
      </c>
      <c r="Q273">
        <v>6</v>
      </c>
    </row>
    <row r="274" spans="1:17">
      <c r="A274">
        <v>255</v>
      </c>
      <c r="B274">
        <v>1</v>
      </c>
      <c r="C274">
        <v>20240129</v>
      </c>
      <c r="D274" t="s">
        <v>28</v>
      </c>
      <c r="E274" t="s">
        <v>21</v>
      </c>
      <c r="F274" t="s">
        <v>41</v>
      </c>
      <c r="G274" t="s">
        <v>30</v>
      </c>
      <c r="H274">
        <v>2959</v>
      </c>
      <c r="I274" t="s">
        <v>24</v>
      </c>
      <c r="J274">
        <v>4.14</v>
      </c>
      <c r="K274">
        <v>12250.26</v>
      </c>
      <c r="L274" t="s">
        <v>637</v>
      </c>
      <c r="N274">
        <v>4.05</v>
      </c>
      <c r="O274" t="s">
        <v>43</v>
      </c>
      <c r="P274" t="s">
        <v>853</v>
      </c>
      <c r="Q274">
        <v>1</v>
      </c>
    </row>
    <row r="275" spans="1:17">
      <c r="A275">
        <v>255</v>
      </c>
      <c r="B275">
        <v>1</v>
      </c>
      <c r="C275">
        <v>20240129</v>
      </c>
      <c r="D275" t="s">
        <v>28</v>
      </c>
      <c r="E275" t="s">
        <v>21</v>
      </c>
      <c r="F275" t="s">
        <v>41</v>
      </c>
      <c r="G275" t="s">
        <v>30</v>
      </c>
      <c r="H275">
        <v>1052</v>
      </c>
      <c r="I275" t="s">
        <v>24</v>
      </c>
      <c r="J275">
        <v>4.14</v>
      </c>
      <c r="K275">
        <v>4355.28</v>
      </c>
      <c r="L275" t="s">
        <v>634</v>
      </c>
      <c r="N275">
        <v>4.05</v>
      </c>
      <c r="O275" t="s">
        <v>43</v>
      </c>
      <c r="P275" t="s">
        <v>853</v>
      </c>
      <c r="Q275">
        <v>1</v>
      </c>
    </row>
    <row r="276" spans="1:17">
      <c r="A276">
        <v>255</v>
      </c>
      <c r="B276">
        <v>1</v>
      </c>
      <c r="C276">
        <v>20240129</v>
      </c>
      <c r="D276" t="s">
        <v>28</v>
      </c>
      <c r="E276" t="s">
        <v>21</v>
      </c>
      <c r="F276" t="s">
        <v>41</v>
      </c>
      <c r="G276" t="s">
        <v>37</v>
      </c>
      <c r="H276">
        <v>2211</v>
      </c>
      <c r="I276" t="s">
        <v>24</v>
      </c>
      <c r="J276">
        <v>4.14</v>
      </c>
      <c r="K276">
        <v>9153.54</v>
      </c>
      <c r="L276" t="s">
        <v>634</v>
      </c>
      <c r="N276">
        <v>4.05</v>
      </c>
      <c r="O276" t="s">
        <v>43</v>
      </c>
      <c r="P276" t="s">
        <v>854</v>
      </c>
      <c r="Q276">
        <v>2</v>
      </c>
    </row>
    <row r="277" spans="1:17">
      <c r="A277">
        <v>255</v>
      </c>
      <c r="B277">
        <v>1</v>
      </c>
      <c r="C277">
        <v>20240129</v>
      </c>
      <c r="D277" t="s">
        <v>28</v>
      </c>
      <c r="E277" t="s">
        <v>21</v>
      </c>
      <c r="F277" t="s">
        <v>41</v>
      </c>
      <c r="G277" t="s">
        <v>30</v>
      </c>
      <c r="H277">
        <v>6966</v>
      </c>
      <c r="I277" t="s">
        <v>24</v>
      </c>
      <c r="J277">
        <v>4.14</v>
      </c>
      <c r="K277">
        <v>28839.24</v>
      </c>
      <c r="L277" t="s">
        <v>637</v>
      </c>
      <c r="N277">
        <v>4.05</v>
      </c>
      <c r="O277" t="s">
        <v>43</v>
      </c>
      <c r="P277" t="s">
        <v>853</v>
      </c>
      <c r="Q277">
        <v>3</v>
      </c>
    </row>
    <row r="278" spans="1:17">
      <c r="A278">
        <v>256</v>
      </c>
      <c r="B278">
        <v>1</v>
      </c>
      <c r="C278">
        <v>20240130</v>
      </c>
      <c r="D278" t="s">
        <v>28</v>
      </c>
      <c r="E278" t="s">
        <v>21</v>
      </c>
      <c r="F278" t="s">
        <v>32</v>
      </c>
      <c r="G278" t="s">
        <v>30</v>
      </c>
      <c r="H278">
        <v>468467</v>
      </c>
      <c r="I278" t="s">
        <v>24</v>
      </c>
      <c r="J278">
        <v>4.14</v>
      </c>
      <c r="K278">
        <v>1939453.38</v>
      </c>
      <c r="L278" t="s">
        <v>634</v>
      </c>
      <c r="N278">
        <v>4.015</v>
      </c>
      <c r="O278" t="s">
        <v>43</v>
      </c>
      <c r="P278" t="s">
        <v>855</v>
      </c>
      <c r="Q278">
        <v>40</v>
      </c>
    </row>
    <row r="279" spans="1:17">
      <c r="A279">
        <v>257</v>
      </c>
      <c r="B279">
        <v>1</v>
      </c>
      <c r="C279">
        <v>20240130</v>
      </c>
      <c r="D279" t="s">
        <v>28</v>
      </c>
      <c r="E279" t="s">
        <v>21</v>
      </c>
      <c r="F279" t="s">
        <v>32</v>
      </c>
      <c r="G279" t="s">
        <v>37</v>
      </c>
      <c r="H279">
        <v>7834</v>
      </c>
      <c r="I279" t="s">
        <v>24</v>
      </c>
      <c r="J279">
        <v>4.14</v>
      </c>
      <c r="K279">
        <v>32432.76</v>
      </c>
      <c r="L279" t="s">
        <v>654</v>
      </c>
      <c r="N279">
        <v>4.015</v>
      </c>
      <c r="O279" t="s">
        <v>43</v>
      </c>
      <c r="P279" t="s">
        <v>856</v>
      </c>
      <c r="Q279">
        <v>3</v>
      </c>
    </row>
    <row r="280" spans="1:17">
      <c r="A280">
        <v>258</v>
      </c>
      <c r="B280">
        <v>1</v>
      </c>
      <c r="C280">
        <v>20240130</v>
      </c>
      <c r="D280" t="s">
        <v>28</v>
      </c>
      <c r="E280" t="s">
        <v>21</v>
      </c>
      <c r="F280" t="s">
        <v>32</v>
      </c>
      <c r="G280" t="s">
        <v>30</v>
      </c>
      <c r="H280">
        <v>5789</v>
      </c>
      <c r="I280" t="s">
        <v>24</v>
      </c>
      <c r="J280">
        <v>4.14</v>
      </c>
      <c r="K280">
        <v>23966.46</v>
      </c>
      <c r="L280" t="s">
        <v>654</v>
      </c>
      <c r="N280">
        <v>4.015</v>
      </c>
      <c r="O280" t="s">
        <v>43</v>
      </c>
      <c r="P280" t="s">
        <v>855</v>
      </c>
      <c r="Q280">
        <v>4</v>
      </c>
    </row>
    <row r="281" spans="1:17">
      <c r="A281">
        <v>259</v>
      </c>
      <c r="B281">
        <v>1</v>
      </c>
      <c r="C281">
        <v>20240130</v>
      </c>
      <c r="D281" t="s">
        <v>28</v>
      </c>
      <c r="E281" t="s">
        <v>21</v>
      </c>
      <c r="F281" t="s">
        <v>32</v>
      </c>
      <c r="G281" t="s">
        <v>37</v>
      </c>
      <c r="H281">
        <v>6852</v>
      </c>
      <c r="I281" t="s">
        <v>24</v>
      </c>
      <c r="J281">
        <v>4.14</v>
      </c>
      <c r="K281">
        <v>28367.28</v>
      </c>
      <c r="L281" t="s">
        <v>637</v>
      </c>
      <c r="N281">
        <v>4.015</v>
      </c>
      <c r="O281" t="s">
        <v>43</v>
      </c>
      <c r="P281" t="s">
        <v>856</v>
      </c>
      <c r="Q281">
        <v>3</v>
      </c>
    </row>
    <row r="282" spans="1:17">
      <c r="A282">
        <v>260</v>
      </c>
      <c r="B282">
        <v>1</v>
      </c>
      <c r="C282">
        <v>20240130</v>
      </c>
      <c r="D282" t="s">
        <v>28</v>
      </c>
      <c r="E282" t="s">
        <v>21</v>
      </c>
      <c r="F282" t="s">
        <v>32</v>
      </c>
      <c r="G282" t="s">
        <v>30</v>
      </c>
      <c r="H282">
        <v>744458</v>
      </c>
      <c r="I282" t="s">
        <v>24</v>
      </c>
      <c r="J282">
        <v>4.14</v>
      </c>
      <c r="K282">
        <v>3082056.12</v>
      </c>
      <c r="L282" t="s">
        <v>637</v>
      </c>
      <c r="N282">
        <v>4.015</v>
      </c>
      <c r="O282" t="s">
        <v>43</v>
      </c>
      <c r="P282" t="s">
        <v>855</v>
      </c>
      <c r="Q282">
        <v>93</v>
      </c>
    </row>
    <row r="283" spans="1:17">
      <c r="A283">
        <v>261</v>
      </c>
      <c r="B283">
        <v>1</v>
      </c>
      <c r="C283">
        <v>20240130</v>
      </c>
      <c r="D283" t="s">
        <v>28</v>
      </c>
      <c r="E283" t="s">
        <v>21</v>
      </c>
      <c r="F283" t="s">
        <v>32</v>
      </c>
      <c r="G283" t="s">
        <v>30</v>
      </c>
      <c r="H283">
        <v>1622</v>
      </c>
      <c r="I283" t="s">
        <v>24</v>
      </c>
      <c r="J283">
        <v>4.14</v>
      </c>
      <c r="K283">
        <v>6715.08</v>
      </c>
      <c r="L283" t="s">
        <v>637</v>
      </c>
      <c r="N283">
        <v>4.021</v>
      </c>
      <c r="O283" t="s">
        <v>43</v>
      </c>
      <c r="P283" t="s">
        <v>855</v>
      </c>
    </row>
    <row r="284" spans="1:17">
      <c r="A284">
        <v>262</v>
      </c>
      <c r="B284">
        <v>1</v>
      </c>
      <c r="C284">
        <v>20240131</v>
      </c>
      <c r="D284" t="s">
        <v>20</v>
      </c>
      <c r="E284" t="s">
        <v>21</v>
      </c>
      <c r="F284" t="s">
        <v>32</v>
      </c>
      <c r="G284" t="s">
        <v>30</v>
      </c>
      <c r="H284">
        <v>345775</v>
      </c>
      <c r="I284" t="s">
        <v>24</v>
      </c>
      <c r="J284">
        <v>4.14</v>
      </c>
      <c r="K284">
        <v>1431508.5</v>
      </c>
      <c r="L284" t="s">
        <v>634</v>
      </c>
      <c r="N284">
        <v>4.015</v>
      </c>
      <c r="O284" t="s">
        <v>43</v>
      </c>
      <c r="Q284">
        <v>45</v>
      </c>
    </row>
    <row r="285" spans="1:17">
      <c r="A285">
        <v>263</v>
      </c>
      <c r="B285">
        <v>1</v>
      </c>
      <c r="C285">
        <v>20240131</v>
      </c>
      <c r="D285" t="s">
        <v>20</v>
      </c>
      <c r="E285" t="s">
        <v>21</v>
      </c>
      <c r="F285" t="s">
        <v>32</v>
      </c>
      <c r="G285" t="s">
        <v>30</v>
      </c>
      <c r="H285">
        <v>57260</v>
      </c>
      <c r="I285" t="s">
        <v>24</v>
      </c>
      <c r="J285">
        <v>4.14</v>
      </c>
      <c r="K285">
        <v>237056.4</v>
      </c>
      <c r="L285" t="s">
        <v>637</v>
      </c>
      <c r="N285">
        <v>4.015</v>
      </c>
      <c r="O285" t="s">
        <v>43</v>
      </c>
      <c r="Q285">
        <v>8</v>
      </c>
    </row>
    <row r="286" spans="1:17">
      <c r="A286">
        <v>264</v>
      </c>
      <c r="B286">
        <v>1</v>
      </c>
      <c r="C286">
        <v>20240131</v>
      </c>
      <c r="D286" t="s">
        <v>28</v>
      </c>
      <c r="E286" t="s">
        <v>21</v>
      </c>
      <c r="F286" t="s">
        <v>32</v>
      </c>
      <c r="G286" t="s">
        <v>37</v>
      </c>
      <c r="H286">
        <v>8459</v>
      </c>
      <c r="I286" t="s">
        <v>24</v>
      </c>
      <c r="J286">
        <v>4.14</v>
      </c>
      <c r="K286">
        <v>35020.26</v>
      </c>
      <c r="L286" t="s">
        <v>634</v>
      </c>
      <c r="N286">
        <v>4.015</v>
      </c>
      <c r="O286" t="s">
        <v>43</v>
      </c>
      <c r="Q286">
        <v>8</v>
      </c>
    </row>
    <row r="287" spans="1:17">
      <c r="A287">
        <v>265</v>
      </c>
      <c r="B287">
        <v>1</v>
      </c>
      <c r="C287">
        <v>20240131</v>
      </c>
      <c r="D287" t="s">
        <v>28</v>
      </c>
      <c r="E287" t="s">
        <v>21</v>
      </c>
      <c r="F287" t="s">
        <v>32</v>
      </c>
      <c r="G287" t="s">
        <v>30</v>
      </c>
      <c r="H287">
        <v>526987</v>
      </c>
      <c r="I287" t="s">
        <v>24</v>
      </c>
      <c r="J287">
        <v>4.14</v>
      </c>
      <c r="K287">
        <v>2181726.18</v>
      </c>
      <c r="L287" t="s">
        <v>634</v>
      </c>
      <c r="N287">
        <v>4.015</v>
      </c>
      <c r="O287" t="s">
        <v>43</v>
      </c>
      <c r="Q287">
        <v>58</v>
      </c>
    </row>
    <row r="288" spans="1:17">
      <c r="A288">
        <v>266</v>
      </c>
      <c r="B288">
        <v>1</v>
      </c>
      <c r="C288">
        <v>20240131</v>
      </c>
      <c r="D288" t="s">
        <v>28</v>
      </c>
      <c r="E288" t="s">
        <v>21</v>
      </c>
      <c r="F288" t="s">
        <v>32</v>
      </c>
      <c r="G288" t="s">
        <v>37</v>
      </c>
      <c r="H288">
        <v>69674</v>
      </c>
      <c r="I288" t="s">
        <v>24</v>
      </c>
      <c r="J288">
        <v>4.14</v>
      </c>
      <c r="K288">
        <v>288450.36</v>
      </c>
      <c r="L288" t="s">
        <v>654</v>
      </c>
      <c r="N288">
        <v>4.015</v>
      </c>
      <c r="O288" t="s">
        <v>43</v>
      </c>
      <c r="Q288">
        <v>8</v>
      </c>
    </row>
    <row r="289" spans="1:19">
      <c r="A289">
        <v>267</v>
      </c>
      <c r="B289">
        <v>1</v>
      </c>
      <c r="C289">
        <v>20240131</v>
      </c>
      <c r="D289" t="s">
        <v>28</v>
      </c>
      <c r="E289" t="s">
        <v>21</v>
      </c>
      <c r="F289" t="s">
        <v>32</v>
      </c>
      <c r="G289" t="s">
        <v>30</v>
      </c>
      <c r="H289">
        <v>3907</v>
      </c>
      <c r="I289" t="s">
        <v>24</v>
      </c>
      <c r="J289">
        <v>4.14</v>
      </c>
      <c r="K289">
        <v>16174.98</v>
      </c>
      <c r="L289" t="s">
        <v>654</v>
      </c>
      <c r="N289">
        <v>4.015</v>
      </c>
      <c r="O289" t="s">
        <v>43</v>
      </c>
      <c r="Q289">
        <v>2</v>
      </c>
    </row>
    <row r="290" spans="1:19">
      <c r="A290">
        <v>268</v>
      </c>
      <c r="B290">
        <v>1</v>
      </c>
      <c r="C290">
        <v>20240131</v>
      </c>
      <c r="D290" t="s">
        <v>28</v>
      </c>
      <c r="E290" t="s">
        <v>21</v>
      </c>
      <c r="F290" t="s">
        <v>32</v>
      </c>
      <c r="G290" t="s">
        <v>37</v>
      </c>
      <c r="H290">
        <v>252756</v>
      </c>
      <c r="I290" t="s">
        <v>24</v>
      </c>
      <c r="J290">
        <v>4.14</v>
      </c>
      <c r="K290">
        <v>1046409.84</v>
      </c>
      <c r="L290" t="s">
        <v>637</v>
      </c>
      <c r="N290">
        <v>4.015</v>
      </c>
      <c r="O290" t="s">
        <v>43</v>
      </c>
      <c r="Q290">
        <v>21</v>
      </c>
    </row>
    <row r="291" spans="1:19">
      <c r="A291">
        <v>269</v>
      </c>
      <c r="B291">
        <v>1</v>
      </c>
      <c r="C291">
        <v>20240131</v>
      </c>
      <c r="D291" t="s">
        <v>28</v>
      </c>
      <c r="E291" t="s">
        <v>21</v>
      </c>
      <c r="F291" t="s">
        <v>32</v>
      </c>
      <c r="G291" t="s">
        <v>30</v>
      </c>
      <c r="H291">
        <v>205607</v>
      </c>
      <c r="I291" t="s">
        <v>24</v>
      </c>
      <c r="J291">
        <v>4.14</v>
      </c>
      <c r="K291">
        <v>851212.98</v>
      </c>
      <c r="L291" t="s">
        <v>637</v>
      </c>
      <c r="N291">
        <v>4.015</v>
      </c>
      <c r="O291" t="s">
        <v>43</v>
      </c>
      <c r="Q291">
        <v>25</v>
      </c>
    </row>
    <row r="292" spans="1:19">
      <c r="A292">
        <v>270</v>
      </c>
      <c r="B292">
        <v>1</v>
      </c>
      <c r="C292">
        <v>20240131</v>
      </c>
      <c r="D292" t="s">
        <v>20</v>
      </c>
      <c r="E292" t="s">
        <v>21</v>
      </c>
      <c r="F292" t="s">
        <v>29</v>
      </c>
      <c r="G292" t="s">
        <v>30</v>
      </c>
      <c r="H292">
        <v>480506</v>
      </c>
      <c r="I292" t="s">
        <v>24</v>
      </c>
      <c r="J292">
        <v>4.14</v>
      </c>
      <c r="K292">
        <v>1989294.84</v>
      </c>
      <c r="L292" t="s">
        <v>634</v>
      </c>
      <c r="N292">
        <v>4.02462</v>
      </c>
      <c r="O292" t="s">
        <v>43</v>
      </c>
      <c r="Q292">
        <v>146</v>
      </c>
    </row>
    <row r="293" spans="1:19">
      <c r="A293">
        <v>271</v>
      </c>
      <c r="B293">
        <v>1</v>
      </c>
      <c r="C293">
        <v>20240131</v>
      </c>
      <c r="D293" t="s">
        <v>20</v>
      </c>
      <c r="E293" t="s">
        <v>21</v>
      </c>
      <c r="F293" t="s">
        <v>22</v>
      </c>
      <c r="G293" t="s">
        <v>30</v>
      </c>
      <c r="H293">
        <v>318332</v>
      </c>
      <c r="I293" t="s">
        <v>24</v>
      </c>
      <c r="J293">
        <v>4.42</v>
      </c>
      <c r="K293">
        <v>1407027.44</v>
      </c>
      <c r="L293" t="s">
        <v>634</v>
      </c>
      <c r="N293">
        <v>4.3345</v>
      </c>
      <c r="O293" t="s">
        <v>43</v>
      </c>
      <c r="Q293">
        <v>12</v>
      </c>
      <c r="S293">
        <v>4.14</v>
      </c>
    </row>
    <row r="294" spans="1:19">
      <c r="A294">
        <v>272</v>
      </c>
      <c r="B294">
        <v>1</v>
      </c>
      <c r="C294">
        <v>20240131</v>
      </c>
      <c r="D294" t="s">
        <v>20</v>
      </c>
      <c r="E294" t="s">
        <v>21</v>
      </c>
      <c r="F294" t="s">
        <v>22</v>
      </c>
      <c r="G294" t="s">
        <v>30</v>
      </c>
      <c r="H294">
        <v>56470</v>
      </c>
      <c r="I294" t="s">
        <v>24</v>
      </c>
      <c r="J294">
        <v>4.14</v>
      </c>
      <c r="K294">
        <v>233785.8</v>
      </c>
      <c r="L294" t="s">
        <v>637</v>
      </c>
      <c r="N294">
        <v>3.5537</v>
      </c>
      <c r="O294" t="s">
        <v>43</v>
      </c>
      <c r="Q294">
        <v>5</v>
      </c>
      <c r="S294">
        <v>4.14</v>
      </c>
    </row>
    <row r="295" spans="1:19">
      <c r="A295">
        <v>273</v>
      </c>
      <c r="B295">
        <v>1</v>
      </c>
      <c r="C295">
        <v>20240131</v>
      </c>
      <c r="D295" t="s">
        <v>28</v>
      </c>
      <c r="E295" t="s">
        <v>21</v>
      </c>
      <c r="F295" t="s">
        <v>22</v>
      </c>
      <c r="G295" t="s">
        <v>30</v>
      </c>
      <c r="H295">
        <v>394206</v>
      </c>
      <c r="I295" t="s">
        <v>24</v>
      </c>
      <c r="J295">
        <v>4.14</v>
      </c>
      <c r="K295">
        <v>1632012.84</v>
      </c>
      <c r="L295" t="s">
        <v>637</v>
      </c>
      <c r="N295">
        <v>3.5135</v>
      </c>
      <c r="O295" t="s">
        <v>43</v>
      </c>
      <c r="Q295">
        <v>32</v>
      </c>
      <c r="S295">
        <v>4.14</v>
      </c>
    </row>
    <row r="296" spans="1:19">
      <c r="A296">
        <v>274</v>
      </c>
      <c r="B296">
        <v>1</v>
      </c>
      <c r="C296">
        <v>20240131</v>
      </c>
      <c r="D296" t="s">
        <v>28</v>
      </c>
      <c r="E296" t="s">
        <v>21</v>
      </c>
      <c r="F296" t="s">
        <v>22</v>
      </c>
      <c r="G296" t="s">
        <v>30</v>
      </c>
      <c r="H296">
        <v>3114</v>
      </c>
      <c r="I296" t="s">
        <v>24</v>
      </c>
      <c r="J296">
        <v>4.14</v>
      </c>
      <c r="K296">
        <v>12891.96</v>
      </c>
      <c r="L296" t="s">
        <v>637</v>
      </c>
      <c r="N296">
        <v>4.049</v>
      </c>
      <c r="O296" t="s">
        <v>43</v>
      </c>
      <c r="Q296">
        <v>2</v>
      </c>
      <c r="S296">
        <v>4.14</v>
      </c>
    </row>
    <row r="297" spans="1:19">
      <c r="A297">
        <v>275</v>
      </c>
      <c r="B297">
        <v>1</v>
      </c>
      <c r="C297">
        <v>20240131</v>
      </c>
      <c r="D297" t="s">
        <v>28</v>
      </c>
      <c r="E297" t="s">
        <v>21</v>
      </c>
      <c r="F297" t="s">
        <v>22</v>
      </c>
      <c r="G297" t="s">
        <v>37</v>
      </c>
      <c r="H297">
        <v>179585</v>
      </c>
      <c r="I297" t="s">
        <v>24</v>
      </c>
      <c r="J297">
        <v>4.47</v>
      </c>
      <c r="K297">
        <v>802744.95</v>
      </c>
      <c r="L297" t="s">
        <v>637</v>
      </c>
      <c r="N297">
        <v>4.3859</v>
      </c>
      <c r="O297" t="s">
        <v>43</v>
      </c>
      <c r="Q297">
        <v>17</v>
      </c>
      <c r="S297">
        <v>4.14</v>
      </c>
    </row>
    <row r="298" spans="1:19">
      <c r="A298">
        <v>276</v>
      </c>
      <c r="B298">
        <v>1</v>
      </c>
      <c r="C298">
        <v>20240131</v>
      </c>
      <c r="D298" t="s">
        <v>28</v>
      </c>
      <c r="E298" t="s">
        <v>21</v>
      </c>
      <c r="F298" t="s">
        <v>22</v>
      </c>
      <c r="G298" t="s">
        <v>30</v>
      </c>
      <c r="H298">
        <v>534167</v>
      </c>
      <c r="I298" t="s">
        <v>24</v>
      </c>
      <c r="J298">
        <v>4.14</v>
      </c>
      <c r="K298">
        <v>2211451.38</v>
      </c>
      <c r="L298" t="s">
        <v>634</v>
      </c>
      <c r="N298">
        <v>4.0626</v>
      </c>
      <c r="O298" t="s">
        <v>43</v>
      </c>
      <c r="Q298">
        <v>19</v>
      </c>
      <c r="S298">
        <v>4.14</v>
      </c>
    </row>
    <row r="299" spans="1:19">
      <c r="A299">
        <v>277</v>
      </c>
      <c r="B299">
        <v>1</v>
      </c>
      <c r="C299">
        <v>20240131</v>
      </c>
      <c r="D299" t="s">
        <v>28</v>
      </c>
      <c r="E299" t="s">
        <v>21</v>
      </c>
      <c r="F299" t="s">
        <v>22</v>
      </c>
      <c r="G299" t="s">
        <v>37</v>
      </c>
      <c r="H299">
        <v>14371</v>
      </c>
      <c r="I299" t="s">
        <v>24</v>
      </c>
      <c r="J299">
        <v>4.14</v>
      </c>
      <c r="K299">
        <v>59495.94</v>
      </c>
      <c r="L299" t="s">
        <v>634</v>
      </c>
      <c r="N299">
        <v>4.0584</v>
      </c>
      <c r="O299" t="s">
        <v>43</v>
      </c>
      <c r="Q299">
        <v>2</v>
      </c>
      <c r="S299">
        <v>4.14</v>
      </c>
    </row>
    <row r="300" spans="1:19">
      <c r="A300">
        <v>278</v>
      </c>
      <c r="B300">
        <v>1</v>
      </c>
      <c r="C300">
        <v>20240131</v>
      </c>
      <c r="D300" t="s">
        <v>28</v>
      </c>
      <c r="E300" t="s">
        <v>21</v>
      </c>
      <c r="F300" t="s">
        <v>22</v>
      </c>
      <c r="G300" t="s">
        <v>30</v>
      </c>
      <c r="H300">
        <v>15788</v>
      </c>
      <c r="I300" t="s">
        <v>24</v>
      </c>
      <c r="J300">
        <v>4.14</v>
      </c>
      <c r="K300">
        <v>65362.32</v>
      </c>
      <c r="L300" t="s">
        <v>654</v>
      </c>
      <c r="N300">
        <v>4.0563</v>
      </c>
      <c r="O300" t="s">
        <v>43</v>
      </c>
      <c r="Q300">
        <v>4</v>
      </c>
      <c r="S300">
        <v>4.14</v>
      </c>
    </row>
    <row r="301" spans="1:19">
      <c r="A301">
        <v>279</v>
      </c>
      <c r="B301">
        <v>1</v>
      </c>
      <c r="C301">
        <v>20240131</v>
      </c>
      <c r="D301" t="s">
        <v>28</v>
      </c>
      <c r="E301" t="s">
        <v>21</v>
      </c>
      <c r="F301" t="s">
        <v>22</v>
      </c>
      <c r="G301" t="s">
        <v>37</v>
      </c>
      <c r="H301">
        <v>9596</v>
      </c>
      <c r="I301" t="s">
        <v>24</v>
      </c>
      <c r="J301">
        <v>4.14</v>
      </c>
      <c r="K301">
        <v>39727.44</v>
      </c>
      <c r="L301" t="s">
        <v>654</v>
      </c>
      <c r="N301">
        <v>4.0822</v>
      </c>
      <c r="O301" t="s">
        <v>43</v>
      </c>
      <c r="Q301">
        <v>3</v>
      </c>
      <c r="S301">
        <v>4.14</v>
      </c>
    </row>
    <row r="302" spans="1:19">
      <c r="A302">
        <v>280</v>
      </c>
      <c r="B302">
        <v>1</v>
      </c>
      <c r="C302">
        <v>20240131</v>
      </c>
      <c r="D302" t="s">
        <v>20</v>
      </c>
      <c r="E302" t="s">
        <v>21</v>
      </c>
      <c r="F302" t="s">
        <v>41</v>
      </c>
      <c r="G302" t="s">
        <v>30</v>
      </c>
      <c r="H302">
        <v>67784</v>
      </c>
      <c r="I302" t="s">
        <v>24</v>
      </c>
      <c r="J302">
        <v>4.14</v>
      </c>
      <c r="K302">
        <v>280625.76</v>
      </c>
      <c r="L302" t="s">
        <v>637</v>
      </c>
      <c r="N302">
        <v>4.05</v>
      </c>
      <c r="O302" t="s">
        <v>43</v>
      </c>
      <c r="Q302">
        <v>14</v>
      </c>
    </row>
    <row r="303" spans="1:19">
      <c r="A303">
        <v>281</v>
      </c>
      <c r="B303">
        <v>1</v>
      </c>
      <c r="C303">
        <v>20240131</v>
      </c>
      <c r="D303" t="s">
        <v>20</v>
      </c>
      <c r="E303" t="s">
        <v>21</v>
      </c>
      <c r="F303" t="s">
        <v>41</v>
      </c>
      <c r="G303" t="s">
        <v>30</v>
      </c>
      <c r="H303">
        <v>159066</v>
      </c>
      <c r="I303" t="s">
        <v>24</v>
      </c>
      <c r="J303">
        <v>4.14</v>
      </c>
      <c r="K303">
        <v>658533.24</v>
      </c>
      <c r="L303" t="s">
        <v>634</v>
      </c>
      <c r="N303">
        <v>4.05</v>
      </c>
      <c r="O303" t="s">
        <v>43</v>
      </c>
      <c r="Q303">
        <v>15</v>
      </c>
    </row>
    <row r="304" spans="1:19">
      <c r="A304">
        <v>282</v>
      </c>
      <c r="B304">
        <v>1</v>
      </c>
      <c r="C304">
        <v>20240131</v>
      </c>
      <c r="D304" t="s">
        <v>28</v>
      </c>
      <c r="E304" t="s">
        <v>21</v>
      </c>
      <c r="F304" t="s">
        <v>41</v>
      </c>
      <c r="G304" t="s">
        <v>30</v>
      </c>
      <c r="H304">
        <v>774720</v>
      </c>
      <c r="I304" t="s">
        <v>24</v>
      </c>
      <c r="J304">
        <v>4.14</v>
      </c>
      <c r="K304">
        <v>3207340.8</v>
      </c>
      <c r="L304" t="s">
        <v>637</v>
      </c>
      <c r="N304">
        <v>4.05</v>
      </c>
      <c r="O304" t="s">
        <v>43</v>
      </c>
      <c r="Q304">
        <v>79</v>
      </c>
    </row>
    <row r="305" spans="1:17">
      <c r="A305">
        <v>283</v>
      </c>
      <c r="B305">
        <v>1</v>
      </c>
      <c r="C305">
        <v>20240131</v>
      </c>
      <c r="D305" t="s">
        <v>28</v>
      </c>
      <c r="E305" t="s">
        <v>21</v>
      </c>
      <c r="F305" t="s">
        <v>41</v>
      </c>
      <c r="G305" t="s">
        <v>37</v>
      </c>
      <c r="H305">
        <v>327203</v>
      </c>
      <c r="I305" t="s">
        <v>24</v>
      </c>
      <c r="J305">
        <v>4.14</v>
      </c>
      <c r="K305">
        <v>1354620.42</v>
      </c>
      <c r="L305" t="s">
        <v>637</v>
      </c>
      <c r="N305">
        <v>4.05</v>
      </c>
      <c r="O305" t="s">
        <v>43</v>
      </c>
      <c r="Q305">
        <v>29</v>
      </c>
    </row>
    <row r="306" spans="1:17">
      <c r="A306">
        <v>284</v>
      </c>
      <c r="B306">
        <v>1</v>
      </c>
      <c r="C306">
        <v>20240131</v>
      </c>
      <c r="D306" t="s">
        <v>28</v>
      </c>
      <c r="E306" t="s">
        <v>21</v>
      </c>
      <c r="F306" t="s">
        <v>41</v>
      </c>
      <c r="G306" t="s">
        <v>30</v>
      </c>
      <c r="H306">
        <v>37594</v>
      </c>
      <c r="I306" t="s">
        <v>24</v>
      </c>
      <c r="J306">
        <v>4.14</v>
      </c>
      <c r="K306">
        <v>155639.16</v>
      </c>
      <c r="L306" t="s">
        <v>634</v>
      </c>
      <c r="N306">
        <v>4.05</v>
      </c>
      <c r="O306" t="s">
        <v>43</v>
      </c>
      <c r="Q306">
        <v>4</v>
      </c>
    </row>
    <row r="307" spans="1:17">
      <c r="A307">
        <v>285</v>
      </c>
      <c r="B307">
        <v>1</v>
      </c>
      <c r="C307">
        <v>20240131</v>
      </c>
      <c r="D307" t="s">
        <v>28</v>
      </c>
      <c r="E307" t="s">
        <v>21</v>
      </c>
      <c r="F307" t="s">
        <v>41</v>
      </c>
      <c r="G307" t="s">
        <v>37</v>
      </c>
      <c r="H307">
        <v>25072</v>
      </c>
      <c r="I307" t="s">
        <v>24</v>
      </c>
      <c r="J307">
        <v>4.14</v>
      </c>
      <c r="K307">
        <v>103798.08</v>
      </c>
      <c r="L307" t="s">
        <v>634</v>
      </c>
      <c r="N307">
        <v>4.05</v>
      </c>
      <c r="O307" t="s">
        <v>43</v>
      </c>
      <c r="Q307">
        <v>2</v>
      </c>
    </row>
    <row r="308" spans="1:17">
      <c r="A308">
        <v>286</v>
      </c>
      <c r="B308">
        <v>1</v>
      </c>
      <c r="C308">
        <v>20240131</v>
      </c>
      <c r="D308" t="s">
        <v>28</v>
      </c>
      <c r="E308" t="s">
        <v>21</v>
      </c>
      <c r="F308" t="s">
        <v>41</v>
      </c>
      <c r="G308" t="s">
        <v>30</v>
      </c>
      <c r="H308">
        <v>465024</v>
      </c>
      <c r="I308" t="s">
        <v>24</v>
      </c>
      <c r="J308">
        <v>4.14</v>
      </c>
      <c r="K308">
        <v>1925199.36</v>
      </c>
      <c r="L308" t="s">
        <v>634</v>
      </c>
      <c r="N308">
        <v>4.05</v>
      </c>
      <c r="O308" t="s">
        <v>43</v>
      </c>
      <c r="Q308">
        <v>42</v>
      </c>
    </row>
    <row r="309" spans="1:17">
      <c r="A309">
        <v>287</v>
      </c>
      <c r="B309">
        <v>1</v>
      </c>
      <c r="C309">
        <v>20240131</v>
      </c>
      <c r="D309" t="s">
        <v>28</v>
      </c>
      <c r="E309" t="s">
        <v>21</v>
      </c>
      <c r="F309" t="s">
        <v>41</v>
      </c>
      <c r="G309" t="s">
        <v>37</v>
      </c>
      <c r="H309">
        <v>208890</v>
      </c>
      <c r="I309" t="s">
        <v>24</v>
      </c>
      <c r="J309">
        <v>4.14</v>
      </c>
      <c r="K309">
        <v>864804.6</v>
      </c>
      <c r="L309" t="s">
        <v>634</v>
      </c>
      <c r="N309">
        <v>4.05</v>
      </c>
      <c r="O309" t="s">
        <v>43</v>
      </c>
      <c r="Q309">
        <v>16</v>
      </c>
    </row>
    <row r="310" spans="1:17">
      <c r="A310">
        <v>288</v>
      </c>
      <c r="B310">
        <v>1</v>
      </c>
      <c r="C310">
        <v>20240131</v>
      </c>
      <c r="D310" t="s">
        <v>28</v>
      </c>
      <c r="E310" t="s">
        <v>21</v>
      </c>
      <c r="F310" t="s">
        <v>41</v>
      </c>
      <c r="G310" t="s">
        <v>30</v>
      </c>
      <c r="H310">
        <v>3566</v>
      </c>
      <c r="I310" t="s">
        <v>24</v>
      </c>
      <c r="J310">
        <v>4.14</v>
      </c>
      <c r="K310">
        <v>14763.24</v>
      </c>
      <c r="L310" t="s">
        <v>634</v>
      </c>
      <c r="N310">
        <v>4.05</v>
      </c>
      <c r="O310" t="s">
        <v>43</v>
      </c>
      <c r="Q310"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0"/>
  <sheetViews>
    <sheetView workbookViewId="0">
      <selection activeCell="A1" sqref="A1:S310"/>
    </sheetView>
  </sheetViews>
  <sheetFormatPr defaultColWidth="8.72727272727273" defaultRowHeight="14"/>
  <cols>
    <col min="3" max="3" width="9.54545454545454"/>
    <col min="10" max="10" width="9.54545454545454"/>
    <col min="11" max="11" width="12.8181818181818"/>
    <col min="14" max="14" width="9.5454545454545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1</v>
      </c>
      <c r="C2">
        <v>20240102</v>
      </c>
      <c r="D2" t="s">
        <v>20</v>
      </c>
      <c r="E2" t="s">
        <v>21</v>
      </c>
      <c r="F2" t="s">
        <v>46</v>
      </c>
      <c r="G2" t="s">
        <v>633</v>
      </c>
      <c r="H2">
        <v>15</v>
      </c>
      <c r="I2" t="s">
        <v>24</v>
      </c>
      <c r="J2">
        <v>7.46</v>
      </c>
      <c r="K2">
        <v>111.9</v>
      </c>
      <c r="L2" t="s">
        <v>634</v>
      </c>
      <c r="N2">
        <v>4.93</v>
      </c>
      <c r="O2" t="s">
        <v>43</v>
      </c>
      <c r="P2" t="s">
        <v>635</v>
      </c>
      <c r="Q2">
        <v>1</v>
      </c>
      <c r="R2" t="s">
        <v>89</v>
      </c>
    </row>
    <row r="3" spans="1:19">
      <c r="A3">
        <v>2</v>
      </c>
      <c r="B3">
        <v>1</v>
      </c>
      <c r="C3">
        <v>20240102</v>
      </c>
      <c r="D3" t="s">
        <v>20</v>
      </c>
      <c r="E3" t="s">
        <v>21</v>
      </c>
      <c r="F3" t="s">
        <v>22</v>
      </c>
      <c r="G3" t="s">
        <v>636</v>
      </c>
      <c r="H3">
        <v>101450</v>
      </c>
      <c r="I3" t="s">
        <v>24</v>
      </c>
      <c r="J3">
        <v>2.54</v>
      </c>
      <c r="K3">
        <v>257683</v>
      </c>
      <c r="L3" t="s">
        <v>637</v>
      </c>
      <c r="M3" t="s">
        <v>638</v>
      </c>
      <c r="N3">
        <v>2.493</v>
      </c>
      <c r="O3" t="s">
        <v>27</v>
      </c>
      <c r="P3" t="s">
        <v>639</v>
      </c>
      <c r="Q3">
        <v>13</v>
      </c>
      <c r="S3">
        <v>2.33</v>
      </c>
    </row>
    <row r="4" spans="1:19">
      <c r="A4">
        <v>3</v>
      </c>
      <c r="B4">
        <v>1</v>
      </c>
      <c r="C4">
        <v>20240102</v>
      </c>
      <c r="D4" t="s">
        <v>20</v>
      </c>
      <c r="E4" t="s">
        <v>21</v>
      </c>
      <c r="F4" t="s">
        <v>32</v>
      </c>
      <c r="G4" t="s">
        <v>640</v>
      </c>
      <c r="H4">
        <v>292332</v>
      </c>
      <c r="I4" t="s">
        <v>24</v>
      </c>
      <c r="J4">
        <v>5.47</v>
      </c>
      <c r="K4">
        <v>1599056.04</v>
      </c>
      <c r="L4" t="s">
        <v>634</v>
      </c>
      <c r="M4" t="s">
        <v>641</v>
      </c>
      <c r="N4">
        <v>5.0362</v>
      </c>
      <c r="O4" t="s">
        <v>27</v>
      </c>
      <c r="P4" t="s">
        <v>642</v>
      </c>
      <c r="Q4">
        <v>76</v>
      </c>
      <c r="R4">
        <v>7.1094</v>
      </c>
    </row>
    <row r="5" spans="1:19">
      <c r="A5">
        <v>4</v>
      </c>
      <c r="B5">
        <v>1</v>
      </c>
      <c r="C5">
        <v>20240102</v>
      </c>
      <c r="D5" t="s">
        <v>20</v>
      </c>
      <c r="E5" t="s">
        <v>21</v>
      </c>
      <c r="F5" t="s">
        <v>59</v>
      </c>
      <c r="G5" t="s">
        <v>42</v>
      </c>
      <c r="H5">
        <v>81648</v>
      </c>
      <c r="I5" t="s">
        <v>24</v>
      </c>
      <c r="J5">
        <v>4.58</v>
      </c>
      <c r="K5">
        <v>373947.84</v>
      </c>
      <c r="L5" t="s">
        <v>637</v>
      </c>
      <c r="N5">
        <v>4.4887</v>
      </c>
      <c r="O5" t="s">
        <v>43</v>
      </c>
      <c r="P5" t="s">
        <v>643</v>
      </c>
      <c r="Q5">
        <v>6</v>
      </c>
    </row>
    <row r="6" spans="1:19">
      <c r="A6">
        <v>5</v>
      </c>
      <c r="B6">
        <v>1</v>
      </c>
      <c r="C6">
        <v>20240103</v>
      </c>
      <c r="D6" t="s">
        <v>28</v>
      </c>
      <c r="E6" t="s">
        <v>21</v>
      </c>
      <c r="F6" t="s">
        <v>32</v>
      </c>
      <c r="G6" t="s">
        <v>30</v>
      </c>
      <c r="H6">
        <v>78839</v>
      </c>
      <c r="I6" t="s">
        <v>24</v>
      </c>
      <c r="J6">
        <v>4.14</v>
      </c>
      <c r="K6">
        <v>326393.46</v>
      </c>
      <c r="L6" t="s">
        <v>634</v>
      </c>
      <c r="M6" t="s">
        <v>644</v>
      </c>
      <c r="N6">
        <v>4.015</v>
      </c>
      <c r="O6" t="s">
        <v>27</v>
      </c>
      <c r="P6" t="s">
        <v>645</v>
      </c>
      <c r="Q6">
        <v>8</v>
      </c>
    </row>
    <row r="7" spans="1:19">
      <c r="A7">
        <v>6</v>
      </c>
      <c r="B7">
        <v>1</v>
      </c>
      <c r="C7">
        <v>20240103</v>
      </c>
      <c r="D7" t="s">
        <v>28</v>
      </c>
      <c r="E7" t="s">
        <v>21</v>
      </c>
      <c r="F7" t="s">
        <v>32</v>
      </c>
      <c r="G7" t="s">
        <v>37</v>
      </c>
      <c r="H7">
        <v>13271</v>
      </c>
      <c r="I7" t="s">
        <v>24</v>
      </c>
      <c r="J7">
        <v>4.14</v>
      </c>
      <c r="K7">
        <v>54941.94</v>
      </c>
      <c r="L7" t="s">
        <v>637</v>
      </c>
      <c r="M7" t="s">
        <v>644</v>
      </c>
      <c r="N7">
        <v>4.015</v>
      </c>
      <c r="O7" t="s">
        <v>27</v>
      </c>
      <c r="P7" t="s">
        <v>646</v>
      </c>
      <c r="Q7">
        <v>1</v>
      </c>
    </row>
    <row r="8" spans="1:19">
      <c r="A8">
        <v>7</v>
      </c>
      <c r="B8">
        <v>1</v>
      </c>
      <c r="C8">
        <v>20240103</v>
      </c>
      <c r="D8" t="s">
        <v>28</v>
      </c>
      <c r="E8" t="s">
        <v>21</v>
      </c>
      <c r="F8" t="s">
        <v>32</v>
      </c>
      <c r="G8" t="s">
        <v>30</v>
      </c>
      <c r="H8">
        <v>42844</v>
      </c>
      <c r="I8" t="s">
        <v>24</v>
      </c>
      <c r="J8">
        <v>4.14</v>
      </c>
      <c r="K8">
        <v>177374.16</v>
      </c>
      <c r="L8" t="s">
        <v>637</v>
      </c>
      <c r="M8" t="s">
        <v>644</v>
      </c>
      <c r="N8">
        <v>4.015</v>
      </c>
      <c r="O8" t="s">
        <v>27</v>
      </c>
      <c r="P8" t="s">
        <v>645</v>
      </c>
      <c r="Q8">
        <v>3</v>
      </c>
    </row>
    <row r="9" spans="1:19">
      <c r="A9">
        <v>8</v>
      </c>
      <c r="B9">
        <v>1</v>
      </c>
      <c r="C9">
        <v>20240103</v>
      </c>
      <c r="D9" t="s">
        <v>20</v>
      </c>
      <c r="E9" t="s">
        <v>21</v>
      </c>
      <c r="F9" t="s">
        <v>29</v>
      </c>
      <c r="G9" t="s">
        <v>42</v>
      </c>
      <c r="H9">
        <v>87742</v>
      </c>
      <c r="I9" t="s">
        <v>24</v>
      </c>
      <c r="J9">
        <v>5.7</v>
      </c>
      <c r="K9">
        <v>500129.4</v>
      </c>
      <c r="L9" t="s">
        <v>634</v>
      </c>
      <c r="M9" t="s">
        <v>647</v>
      </c>
      <c r="N9">
        <v>5.59</v>
      </c>
      <c r="O9" t="s">
        <v>27</v>
      </c>
      <c r="P9" t="s">
        <v>648</v>
      </c>
      <c r="Q9">
        <v>10</v>
      </c>
    </row>
    <row r="10" spans="1:19">
      <c r="A10">
        <v>9</v>
      </c>
      <c r="B10">
        <v>1</v>
      </c>
      <c r="C10">
        <v>20240103</v>
      </c>
      <c r="D10" t="s">
        <v>28</v>
      </c>
      <c r="E10" t="s">
        <v>21</v>
      </c>
      <c r="F10" t="s">
        <v>41</v>
      </c>
      <c r="G10" t="s">
        <v>30</v>
      </c>
      <c r="H10">
        <v>11759</v>
      </c>
      <c r="I10" t="s">
        <v>24</v>
      </c>
      <c r="J10">
        <v>4.14</v>
      </c>
      <c r="K10">
        <v>48682.26</v>
      </c>
      <c r="L10" t="s">
        <v>634</v>
      </c>
      <c r="M10" t="s">
        <v>649</v>
      </c>
      <c r="N10">
        <v>4.05</v>
      </c>
      <c r="O10" t="s">
        <v>27</v>
      </c>
      <c r="P10" t="s">
        <v>650</v>
      </c>
      <c r="Q10">
        <v>1</v>
      </c>
    </row>
    <row r="11" spans="1:19">
      <c r="A11">
        <v>10</v>
      </c>
      <c r="B11">
        <v>1</v>
      </c>
      <c r="C11">
        <v>20240103</v>
      </c>
      <c r="D11" t="s">
        <v>28</v>
      </c>
      <c r="E11" t="s">
        <v>21</v>
      </c>
      <c r="F11" t="s">
        <v>41</v>
      </c>
      <c r="G11" t="s">
        <v>30</v>
      </c>
      <c r="H11">
        <v>11587</v>
      </c>
      <c r="I11" t="s">
        <v>24</v>
      </c>
      <c r="J11">
        <v>4.14</v>
      </c>
      <c r="K11">
        <v>47970.18</v>
      </c>
      <c r="L11" t="s">
        <v>637</v>
      </c>
      <c r="M11" t="s">
        <v>649</v>
      </c>
      <c r="N11">
        <v>4.05</v>
      </c>
      <c r="O11" t="s">
        <v>27</v>
      </c>
      <c r="P11" t="s">
        <v>650</v>
      </c>
      <c r="Q11">
        <v>2</v>
      </c>
    </row>
    <row r="12" spans="1:19">
      <c r="A12">
        <v>11</v>
      </c>
      <c r="B12">
        <v>1</v>
      </c>
      <c r="C12">
        <v>20240103</v>
      </c>
      <c r="D12" t="s">
        <v>20</v>
      </c>
      <c r="E12" t="s">
        <v>21</v>
      </c>
      <c r="F12" t="s">
        <v>46</v>
      </c>
      <c r="G12" t="s">
        <v>633</v>
      </c>
      <c r="H12">
        <v>15427</v>
      </c>
      <c r="I12" t="s">
        <v>24</v>
      </c>
      <c r="J12">
        <v>7.46</v>
      </c>
      <c r="K12">
        <v>115085.42</v>
      </c>
      <c r="L12" t="s">
        <v>634</v>
      </c>
      <c r="N12">
        <v>4.93</v>
      </c>
      <c r="O12" t="s">
        <v>43</v>
      </c>
      <c r="P12" t="s">
        <v>651</v>
      </c>
      <c r="Q12">
        <v>1</v>
      </c>
      <c r="R12" t="s">
        <v>89</v>
      </c>
    </row>
    <row r="13" spans="1:19">
      <c r="A13">
        <v>12</v>
      </c>
      <c r="B13">
        <v>1</v>
      </c>
      <c r="C13">
        <v>20240104</v>
      </c>
      <c r="D13" t="s">
        <v>28</v>
      </c>
      <c r="E13" t="s">
        <v>21</v>
      </c>
      <c r="F13" t="s">
        <v>22</v>
      </c>
      <c r="G13" t="s">
        <v>37</v>
      </c>
      <c r="H13">
        <v>192</v>
      </c>
      <c r="I13" t="s">
        <v>24</v>
      </c>
      <c r="J13">
        <v>4.14</v>
      </c>
      <c r="K13">
        <v>794.88</v>
      </c>
      <c r="L13" t="s">
        <v>637</v>
      </c>
      <c r="M13" t="s">
        <v>652</v>
      </c>
      <c r="N13">
        <v>3.5473</v>
      </c>
      <c r="O13" t="s">
        <v>27</v>
      </c>
      <c r="P13" t="s">
        <v>653</v>
      </c>
      <c r="Q13">
        <v>4</v>
      </c>
    </row>
    <row r="14" spans="1:19">
      <c r="A14">
        <v>13</v>
      </c>
      <c r="B14">
        <v>1</v>
      </c>
      <c r="C14">
        <v>20240104</v>
      </c>
      <c r="D14" t="s">
        <v>28</v>
      </c>
      <c r="E14" t="s">
        <v>21</v>
      </c>
      <c r="F14" t="s">
        <v>22</v>
      </c>
      <c r="G14" t="s">
        <v>37</v>
      </c>
      <c r="H14">
        <v>5200</v>
      </c>
      <c r="I14" t="s">
        <v>24</v>
      </c>
      <c r="J14">
        <v>4.14</v>
      </c>
      <c r="K14">
        <v>21528</v>
      </c>
      <c r="L14" t="s">
        <v>637</v>
      </c>
      <c r="M14" t="s">
        <v>652</v>
      </c>
      <c r="N14">
        <v>4.062</v>
      </c>
      <c r="O14" t="s">
        <v>27</v>
      </c>
      <c r="P14" t="s">
        <v>653</v>
      </c>
      <c r="Q14">
        <v>3</v>
      </c>
    </row>
    <row r="15" spans="1:19">
      <c r="A15">
        <v>14</v>
      </c>
      <c r="B15">
        <v>1</v>
      </c>
      <c r="C15">
        <v>20240104</v>
      </c>
      <c r="D15" t="s">
        <v>28</v>
      </c>
      <c r="E15" t="s">
        <v>21</v>
      </c>
      <c r="F15" t="s">
        <v>22</v>
      </c>
      <c r="G15" t="s">
        <v>37</v>
      </c>
      <c r="H15">
        <v>6488</v>
      </c>
      <c r="I15" t="s">
        <v>24</v>
      </c>
      <c r="J15">
        <v>4.14</v>
      </c>
      <c r="K15">
        <v>26860.32</v>
      </c>
      <c r="L15" t="s">
        <v>654</v>
      </c>
      <c r="M15" t="s">
        <v>652</v>
      </c>
      <c r="N15">
        <v>4.036</v>
      </c>
      <c r="O15" t="s">
        <v>27</v>
      </c>
      <c r="P15" t="s">
        <v>653</v>
      </c>
      <c r="Q15">
        <v>2</v>
      </c>
    </row>
    <row r="16" spans="1:19">
      <c r="A16">
        <v>15</v>
      </c>
      <c r="B16">
        <v>1</v>
      </c>
      <c r="C16">
        <v>20240104</v>
      </c>
      <c r="D16" t="s">
        <v>28</v>
      </c>
      <c r="E16" t="s">
        <v>21</v>
      </c>
      <c r="F16" t="s">
        <v>22</v>
      </c>
      <c r="G16" t="s">
        <v>30</v>
      </c>
      <c r="H16">
        <v>900234</v>
      </c>
      <c r="I16" t="s">
        <v>24</v>
      </c>
      <c r="J16">
        <v>4.14</v>
      </c>
      <c r="K16">
        <v>3726968.76</v>
      </c>
      <c r="L16" t="s">
        <v>634</v>
      </c>
      <c r="M16" t="s">
        <v>652</v>
      </c>
      <c r="N16">
        <v>4.062</v>
      </c>
      <c r="O16" t="s">
        <v>27</v>
      </c>
      <c r="P16" t="s">
        <v>655</v>
      </c>
      <c r="Q16">
        <v>33</v>
      </c>
    </row>
    <row r="17" spans="1:17">
      <c r="A17">
        <v>16</v>
      </c>
      <c r="B17">
        <v>1</v>
      </c>
      <c r="C17">
        <v>20240104</v>
      </c>
      <c r="D17" t="s">
        <v>28</v>
      </c>
      <c r="E17" t="s">
        <v>21</v>
      </c>
      <c r="F17" t="s">
        <v>32</v>
      </c>
      <c r="G17" t="s">
        <v>30</v>
      </c>
      <c r="H17">
        <v>686724</v>
      </c>
      <c r="I17" t="s">
        <v>24</v>
      </c>
      <c r="J17">
        <v>4.14</v>
      </c>
      <c r="K17">
        <v>2843037.36</v>
      </c>
      <c r="L17" t="s">
        <v>634</v>
      </c>
      <c r="M17" t="s">
        <v>656</v>
      </c>
      <c r="N17">
        <v>4.015</v>
      </c>
      <c r="O17" t="s">
        <v>27</v>
      </c>
      <c r="P17" t="s">
        <v>657</v>
      </c>
      <c r="Q17">
        <v>83</v>
      </c>
    </row>
    <row r="18" spans="1:17">
      <c r="A18">
        <v>17</v>
      </c>
      <c r="B18">
        <v>1</v>
      </c>
      <c r="C18">
        <v>20240104</v>
      </c>
      <c r="D18" t="s">
        <v>28</v>
      </c>
      <c r="E18" t="s">
        <v>21</v>
      </c>
      <c r="F18" t="s">
        <v>32</v>
      </c>
      <c r="G18" t="s">
        <v>37</v>
      </c>
      <c r="H18">
        <v>1683</v>
      </c>
      <c r="I18" t="s">
        <v>24</v>
      </c>
      <c r="J18">
        <v>4.14</v>
      </c>
      <c r="K18">
        <v>6967.62</v>
      </c>
      <c r="L18" t="s">
        <v>654</v>
      </c>
      <c r="M18" t="s">
        <v>656</v>
      </c>
      <c r="N18">
        <v>4.015</v>
      </c>
      <c r="O18" t="s">
        <v>27</v>
      </c>
      <c r="P18" t="s">
        <v>658</v>
      </c>
      <c r="Q18">
        <v>5</v>
      </c>
    </row>
    <row r="19" spans="1:17">
      <c r="A19">
        <v>18</v>
      </c>
      <c r="B19">
        <v>1</v>
      </c>
      <c r="C19">
        <v>20240104</v>
      </c>
      <c r="D19" t="s">
        <v>28</v>
      </c>
      <c r="E19" t="s">
        <v>21</v>
      </c>
      <c r="F19" t="s">
        <v>32</v>
      </c>
      <c r="G19" t="s">
        <v>37</v>
      </c>
      <c r="H19">
        <v>1384</v>
      </c>
      <c r="I19" t="s">
        <v>24</v>
      </c>
      <c r="J19">
        <v>4.14</v>
      </c>
      <c r="K19">
        <v>5729.76</v>
      </c>
      <c r="L19" t="s">
        <v>637</v>
      </c>
      <c r="M19" t="s">
        <v>656</v>
      </c>
      <c r="N19">
        <v>4.015</v>
      </c>
      <c r="O19" t="s">
        <v>27</v>
      </c>
      <c r="P19" t="s">
        <v>658</v>
      </c>
      <c r="Q19">
        <v>1</v>
      </c>
    </row>
    <row r="20" spans="1:17">
      <c r="A20">
        <v>19</v>
      </c>
      <c r="B20">
        <v>1</v>
      </c>
      <c r="C20">
        <v>20240104</v>
      </c>
      <c r="D20" t="s">
        <v>28</v>
      </c>
      <c r="E20" t="s">
        <v>21</v>
      </c>
      <c r="F20" t="s">
        <v>32</v>
      </c>
      <c r="G20" t="s">
        <v>30</v>
      </c>
      <c r="H20">
        <v>563391</v>
      </c>
      <c r="I20" t="s">
        <v>24</v>
      </c>
      <c r="J20">
        <v>4.14</v>
      </c>
      <c r="K20">
        <v>2332438.74</v>
      </c>
      <c r="L20" t="s">
        <v>637</v>
      </c>
      <c r="M20" t="s">
        <v>656</v>
      </c>
      <c r="N20">
        <v>4.015</v>
      </c>
      <c r="O20" t="s">
        <v>27</v>
      </c>
      <c r="P20" t="s">
        <v>657</v>
      </c>
      <c r="Q20">
        <v>47</v>
      </c>
    </row>
    <row r="21" spans="1:17">
      <c r="A21">
        <v>20</v>
      </c>
      <c r="B21">
        <v>1</v>
      </c>
      <c r="C21">
        <v>20240104</v>
      </c>
      <c r="D21" t="s">
        <v>20</v>
      </c>
      <c r="E21" t="s">
        <v>21</v>
      </c>
      <c r="F21" t="s">
        <v>32</v>
      </c>
      <c r="G21" t="s">
        <v>640</v>
      </c>
      <c r="H21">
        <v>219823</v>
      </c>
      <c r="I21" t="s">
        <v>24</v>
      </c>
      <c r="J21">
        <v>5.47</v>
      </c>
      <c r="K21">
        <v>1202431.81</v>
      </c>
      <c r="L21" t="s">
        <v>634</v>
      </c>
      <c r="M21" t="s">
        <v>656</v>
      </c>
      <c r="N21">
        <v>5.0362</v>
      </c>
      <c r="O21" t="s">
        <v>27</v>
      </c>
      <c r="P21" t="s">
        <v>659</v>
      </c>
      <c r="Q21">
        <v>50</v>
      </c>
    </row>
    <row r="22" spans="1:17">
      <c r="A22">
        <v>21</v>
      </c>
      <c r="B22">
        <v>1</v>
      </c>
      <c r="C22">
        <v>20240105</v>
      </c>
      <c r="D22" t="s">
        <v>28</v>
      </c>
      <c r="E22" t="s">
        <v>21</v>
      </c>
      <c r="F22" t="s">
        <v>41</v>
      </c>
      <c r="G22" t="s">
        <v>30</v>
      </c>
      <c r="H22">
        <v>135904</v>
      </c>
      <c r="I22" t="s">
        <v>24</v>
      </c>
      <c r="J22">
        <v>4.14</v>
      </c>
      <c r="K22">
        <v>562642.56</v>
      </c>
      <c r="L22" t="s">
        <v>634</v>
      </c>
      <c r="N22">
        <v>4.05</v>
      </c>
      <c r="O22" t="s">
        <v>43</v>
      </c>
      <c r="P22" t="s">
        <v>660</v>
      </c>
      <c r="Q22">
        <v>14</v>
      </c>
    </row>
    <row r="23" spans="1:17">
      <c r="A23">
        <v>22</v>
      </c>
      <c r="B23">
        <v>1</v>
      </c>
      <c r="C23">
        <v>20240105</v>
      </c>
      <c r="D23" t="s">
        <v>28</v>
      </c>
      <c r="E23" t="s">
        <v>21</v>
      </c>
      <c r="F23" t="s">
        <v>41</v>
      </c>
      <c r="G23" t="s">
        <v>30</v>
      </c>
      <c r="H23">
        <v>59456</v>
      </c>
      <c r="I23" t="s">
        <v>24</v>
      </c>
      <c r="J23">
        <v>4.14</v>
      </c>
      <c r="K23">
        <v>246147.84</v>
      </c>
      <c r="L23" t="s">
        <v>637</v>
      </c>
      <c r="N23">
        <v>4.05</v>
      </c>
      <c r="O23" t="s">
        <v>43</v>
      </c>
      <c r="P23" t="s">
        <v>660</v>
      </c>
      <c r="Q23">
        <v>7</v>
      </c>
    </row>
    <row r="24" spans="1:17">
      <c r="A24">
        <v>23</v>
      </c>
      <c r="B24">
        <v>1</v>
      </c>
      <c r="C24">
        <v>20240105</v>
      </c>
      <c r="D24" t="s">
        <v>28</v>
      </c>
      <c r="E24" t="s">
        <v>21</v>
      </c>
      <c r="F24" t="s">
        <v>41</v>
      </c>
      <c r="G24" t="s">
        <v>30</v>
      </c>
      <c r="H24">
        <v>21504</v>
      </c>
      <c r="I24" t="s">
        <v>24</v>
      </c>
      <c r="J24">
        <v>4.14</v>
      </c>
      <c r="K24">
        <v>89026.56</v>
      </c>
      <c r="L24" t="s">
        <v>637</v>
      </c>
      <c r="N24">
        <v>4.05</v>
      </c>
      <c r="O24" t="s">
        <v>43</v>
      </c>
      <c r="P24" t="s">
        <v>660</v>
      </c>
      <c r="Q24">
        <v>8</v>
      </c>
    </row>
    <row r="25" spans="1:17">
      <c r="A25">
        <v>24</v>
      </c>
      <c r="B25">
        <v>1</v>
      </c>
      <c r="C25">
        <v>20240105</v>
      </c>
      <c r="D25" t="s">
        <v>28</v>
      </c>
      <c r="E25" t="s">
        <v>21</v>
      </c>
      <c r="F25" t="s">
        <v>32</v>
      </c>
      <c r="G25" t="s">
        <v>37</v>
      </c>
      <c r="H25">
        <v>16112</v>
      </c>
      <c r="I25" t="s">
        <v>24</v>
      </c>
      <c r="J25">
        <v>4.14</v>
      </c>
      <c r="K25">
        <v>66703.68</v>
      </c>
      <c r="L25" t="s">
        <v>634</v>
      </c>
      <c r="M25" t="s">
        <v>661</v>
      </c>
      <c r="N25">
        <v>4.015</v>
      </c>
      <c r="O25" t="s">
        <v>27</v>
      </c>
      <c r="P25" t="s">
        <v>662</v>
      </c>
      <c r="Q25">
        <v>6</v>
      </c>
    </row>
    <row r="26" spans="1:17">
      <c r="A26">
        <v>25</v>
      </c>
      <c r="B26">
        <v>1</v>
      </c>
      <c r="C26">
        <v>20240105</v>
      </c>
      <c r="D26" t="s">
        <v>28</v>
      </c>
      <c r="E26" t="s">
        <v>21</v>
      </c>
      <c r="F26" t="s">
        <v>32</v>
      </c>
      <c r="G26" t="s">
        <v>30</v>
      </c>
      <c r="H26">
        <v>744737</v>
      </c>
      <c r="I26" t="s">
        <v>24</v>
      </c>
      <c r="J26">
        <v>4.14</v>
      </c>
      <c r="K26">
        <v>3083211.18</v>
      </c>
      <c r="L26" t="s">
        <v>634</v>
      </c>
      <c r="M26" t="s">
        <v>661</v>
      </c>
      <c r="N26">
        <v>4.015</v>
      </c>
      <c r="O26" t="s">
        <v>27</v>
      </c>
      <c r="P26" t="s">
        <v>663</v>
      </c>
      <c r="Q26">
        <v>94</v>
      </c>
    </row>
    <row r="27" spans="1:17">
      <c r="A27">
        <v>26</v>
      </c>
      <c r="B27">
        <v>1</v>
      </c>
      <c r="C27">
        <v>20240105</v>
      </c>
      <c r="D27" t="s">
        <v>28</v>
      </c>
      <c r="E27" t="s">
        <v>21</v>
      </c>
      <c r="F27" t="s">
        <v>32</v>
      </c>
      <c r="G27" t="s">
        <v>37</v>
      </c>
      <c r="H27">
        <v>34928</v>
      </c>
      <c r="I27" t="s">
        <v>24</v>
      </c>
      <c r="J27">
        <v>4.14</v>
      </c>
      <c r="K27">
        <v>144601.92</v>
      </c>
      <c r="L27" t="s">
        <v>654</v>
      </c>
      <c r="M27" t="s">
        <v>661</v>
      </c>
      <c r="N27">
        <v>4.015</v>
      </c>
      <c r="O27" t="s">
        <v>27</v>
      </c>
      <c r="P27" t="s">
        <v>662</v>
      </c>
      <c r="Q27">
        <v>7</v>
      </c>
    </row>
    <row r="28" spans="1:17">
      <c r="A28">
        <v>27</v>
      </c>
      <c r="B28">
        <v>1</v>
      </c>
      <c r="C28">
        <v>20240105</v>
      </c>
      <c r="D28" t="s">
        <v>28</v>
      </c>
      <c r="E28" t="s">
        <v>21</v>
      </c>
      <c r="F28" t="s">
        <v>32</v>
      </c>
      <c r="G28" t="s">
        <v>30</v>
      </c>
      <c r="H28">
        <v>1096</v>
      </c>
      <c r="I28" t="s">
        <v>24</v>
      </c>
      <c r="J28">
        <v>4.14</v>
      </c>
      <c r="K28">
        <v>4537.44</v>
      </c>
      <c r="L28" t="s">
        <v>654</v>
      </c>
      <c r="M28" t="s">
        <v>661</v>
      </c>
      <c r="N28">
        <v>4.015</v>
      </c>
      <c r="O28" t="s">
        <v>27</v>
      </c>
      <c r="P28" t="s">
        <v>663</v>
      </c>
      <c r="Q28">
        <v>2</v>
      </c>
    </row>
    <row r="29" spans="1:17">
      <c r="A29">
        <v>28</v>
      </c>
      <c r="B29">
        <v>1</v>
      </c>
      <c r="C29">
        <v>20240105</v>
      </c>
      <c r="D29" t="s">
        <v>28</v>
      </c>
      <c r="E29" t="s">
        <v>21</v>
      </c>
      <c r="F29" t="s">
        <v>32</v>
      </c>
      <c r="G29" t="s">
        <v>37</v>
      </c>
      <c r="H29">
        <v>56558</v>
      </c>
      <c r="I29" t="s">
        <v>24</v>
      </c>
      <c r="J29">
        <v>4.14</v>
      </c>
      <c r="K29">
        <v>234150.12</v>
      </c>
      <c r="L29" t="s">
        <v>637</v>
      </c>
      <c r="M29" t="s">
        <v>661</v>
      </c>
      <c r="N29">
        <v>4.015</v>
      </c>
      <c r="O29" t="s">
        <v>27</v>
      </c>
      <c r="P29" t="s">
        <v>662</v>
      </c>
      <c r="Q29">
        <v>19</v>
      </c>
    </row>
    <row r="30" spans="1:17">
      <c r="A30">
        <v>29</v>
      </c>
      <c r="B30">
        <v>1</v>
      </c>
      <c r="C30">
        <v>20240105</v>
      </c>
      <c r="D30" t="s">
        <v>28</v>
      </c>
      <c r="E30" t="s">
        <v>21</v>
      </c>
      <c r="F30" t="s">
        <v>32</v>
      </c>
      <c r="G30" t="s">
        <v>30</v>
      </c>
      <c r="H30">
        <v>465919</v>
      </c>
      <c r="I30" t="s">
        <v>24</v>
      </c>
      <c r="J30">
        <v>4.14</v>
      </c>
      <c r="K30">
        <v>1928904.66</v>
      </c>
      <c r="L30" t="s">
        <v>637</v>
      </c>
      <c r="M30" t="s">
        <v>661</v>
      </c>
      <c r="N30">
        <v>4.015</v>
      </c>
      <c r="O30" t="s">
        <v>27</v>
      </c>
      <c r="P30" t="s">
        <v>663</v>
      </c>
      <c r="Q30">
        <v>57</v>
      </c>
    </row>
    <row r="31" spans="1:17">
      <c r="A31">
        <v>30</v>
      </c>
      <c r="B31">
        <v>1</v>
      </c>
      <c r="C31">
        <v>20240105</v>
      </c>
      <c r="D31" t="s">
        <v>28</v>
      </c>
      <c r="E31" t="s">
        <v>21</v>
      </c>
      <c r="F31" t="s">
        <v>32</v>
      </c>
      <c r="G31" t="s">
        <v>30</v>
      </c>
      <c r="H31">
        <v>20</v>
      </c>
      <c r="I31" t="s">
        <v>24</v>
      </c>
      <c r="J31">
        <v>4.14</v>
      </c>
      <c r="K31">
        <v>82.8</v>
      </c>
      <c r="L31" t="s">
        <v>637</v>
      </c>
      <c r="M31" t="s">
        <v>664</v>
      </c>
      <c r="N31">
        <v>4.015</v>
      </c>
      <c r="O31" t="s">
        <v>27</v>
      </c>
      <c r="P31" t="s">
        <v>663</v>
      </c>
      <c r="Q31">
        <v>4</v>
      </c>
    </row>
    <row r="32" spans="1:17">
      <c r="A32">
        <v>31</v>
      </c>
      <c r="B32">
        <v>1</v>
      </c>
      <c r="C32">
        <v>20240105</v>
      </c>
      <c r="D32" t="s">
        <v>20</v>
      </c>
      <c r="E32" t="s">
        <v>21</v>
      </c>
      <c r="F32" t="s">
        <v>32</v>
      </c>
      <c r="G32" t="s">
        <v>640</v>
      </c>
      <c r="H32">
        <v>177933</v>
      </c>
      <c r="I32" t="s">
        <v>24</v>
      </c>
      <c r="J32">
        <v>5.47</v>
      </c>
      <c r="K32">
        <v>973293.51</v>
      </c>
      <c r="L32" t="s">
        <v>634</v>
      </c>
      <c r="M32" t="s">
        <v>665</v>
      </c>
      <c r="N32">
        <v>5.0362</v>
      </c>
      <c r="O32" t="s">
        <v>27</v>
      </c>
      <c r="P32" t="s">
        <v>666</v>
      </c>
      <c r="Q32">
        <v>72</v>
      </c>
    </row>
    <row r="33" spans="1:18">
      <c r="A33">
        <v>32</v>
      </c>
      <c r="B33">
        <v>1</v>
      </c>
      <c r="C33">
        <v>20240106</v>
      </c>
      <c r="D33" t="s">
        <v>20</v>
      </c>
      <c r="E33" t="s">
        <v>21</v>
      </c>
      <c r="F33" t="s">
        <v>32</v>
      </c>
      <c r="G33" t="s">
        <v>50</v>
      </c>
      <c r="H33">
        <v>39361</v>
      </c>
      <c r="I33" t="s">
        <v>24</v>
      </c>
      <c r="J33">
        <v>5.53</v>
      </c>
      <c r="K33">
        <v>217666.33</v>
      </c>
      <c r="L33" t="s">
        <v>637</v>
      </c>
      <c r="N33">
        <v>4.7765</v>
      </c>
      <c r="O33" t="s">
        <v>27</v>
      </c>
      <c r="P33" t="s">
        <v>667</v>
      </c>
      <c r="Q33">
        <v>14</v>
      </c>
      <c r="R33">
        <v>7.024</v>
      </c>
    </row>
    <row r="34" spans="1:18">
      <c r="A34">
        <v>33</v>
      </c>
      <c r="B34">
        <v>1</v>
      </c>
      <c r="C34">
        <v>20240106</v>
      </c>
      <c r="D34" t="s">
        <v>20</v>
      </c>
      <c r="E34" t="s">
        <v>21</v>
      </c>
      <c r="F34" t="s">
        <v>32</v>
      </c>
      <c r="G34" t="s">
        <v>640</v>
      </c>
      <c r="H34">
        <v>76687</v>
      </c>
      <c r="I34" t="s">
        <v>24</v>
      </c>
      <c r="J34">
        <v>5.47</v>
      </c>
      <c r="K34">
        <v>419477.89</v>
      </c>
      <c r="L34" t="s">
        <v>634</v>
      </c>
      <c r="N34">
        <v>5.0362</v>
      </c>
      <c r="O34" t="s">
        <v>27</v>
      </c>
      <c r="P34" t="s">
        <v>668</v>
      </c>
      <c r="Q34">
        <v>44</v>
      </c>
      <c r="R34">
        <v>7.1094</v>
      </c>
    </row>
    <row r="35" spans="1:18">
      <c r="A35">
        <v>34</v>
      </c>
      <c r="B35">
        <v>1</v>
      </c>
      <c r="C35">
        <v>20240108</v>
      </c>
      <c r="D35" t="s">
        <v>20</v>
      </c>
      <c r="E35" t="s">
        <v>21</v>
      </c>
      <c r="F35" t="s">
        <v>46</v>
      </c>
      <c r="G35" t="s">
        <v>633</v>
      </c>
      <c r="H35">
        <v>25139</v>
      </c>
      <c r="I35" t="s">
        <v>24</v>
      </c>
      <c r="J35">
        <v>7.46</v>
      </c>
      <c r="K35">
        <v>187536.94</v>
      </c>
      <c r="L35" t="s">
        <v>634</v>
      </c>
      <c r="N35">
        <v>4.93</v>
      </c>
      <c r="O35" t="s">
        <v>43</v>
      </c>
      <c r="P35" t="s">
        <v>669</v>
      </c>
      <c r="Q35">
        <v>2</v>
      </c>
    </row>
    <row r="36" spans="1:18">
      <c r="A36">
        <v>35</v>
      </c>
      <c r="B36">
        <v>1</v>
      </c>
      <c r="C36">
        <v>20240108</v>
      </c>
      <c r="D36" t="s">
        <v>28</v>
      </c>
      <c r="E36" t="s">
        <v>21</v>
      </c>
      <c r="F36" t="s">
        <v>32</v>
      </c>
      <c r="G36" t="s">
        <v>30</v>
      </c>
      <c r="H36">
        <v>86607</v>
      </c>
      <c r="I36" t="s">
        <v>24</v>
      </c>
      <c r="J36">
        <v>4.14</v>
      </c>
      <c r="K36">
        <v>358552.98</v>
      </c>
      <c r="L36" t="s">
        <v>634</v>
      </c>
      <c r="N36">
        <v>4.015</v>
      </c>
      <c r="O36" t="s">
        <v>43</v>
      </c>
      <c r="P36" t="s">
        <v>670</v>
      </c>
      <c r="Q36">
        <v>25</v>
      </c>
    </row>
    <row r="37" spans="1:18">
      <c r="A37">
        <v>36</v>
      </c>
      <c r="B37">
        <v>1</v>
      </c>
      <c r="C37">
        <v>20240108</v>
      </c>
      <c r="D37" t="s">
        <v>28</v>
      </c>
      <c r="E37" t="s">
        <v>21</v>
      </c>
      <c r="F37" t="s">
        <v>32</v>
      </c>
      <c r="G37" t="s">
        <v>30</v>
      </c>
      <c r="H37">
        <v>362</v>
      </c>
      <c r="I37" t="s">
        <v>24</v>
      </c>
      <c r="J37">
        <v>4.14</v>
      </c>
      <c r="K37">
        <v>1498.68</v>
      </c>
      <c r="L37" t="s">
        <v>654</v>
      </c>
      <c r="N37">
        <v>4.015</v>
      </c>
      <c r="O37" t="s">
        <v>43</v>
      </c>
      <c r="P37" t="s">
        <v>670</v>
      </c>
      <c r="Q37">
        <v>2</v>
      </c>
    </row>
    <row r="38" spans="1:18">
      <c r="A38">
        <v>37</v>
      </c>
      <c r="B38">
        <v>1</v>
      </c>
      <c r="C38">
        <v>20240108</v>
      </c>
      <c r="D38" t="s">
        <v>28</v>
      </c>
      <c r="E38" t="s">
        <v>21</v>
      </c>
      <c r="F38" t="s">
        <v>32</v>
      </c>
      <c r="G38" t="s">
        <v>30</v>
      </c>
      <c r="H38">
        <v>49925</v>
      </c>
      <c r="I38" t="s">
        <v>24</v>
      </c>
      <c r="J38">
        <v>4.14</v>
      </c>
      <c r="K38">
        <v>206689.5</v>
      </c>
      <c r="L38" t="s">
        <v>637</v>
      </c>
      <c r="N38">
        <v>4.015</v>
      </c>
      <c r="O38" t="s">
        <v>43</v>
      </c>
      <c r="P38" t="s">
        <v>670</v>
      </c>
      <c r="Q38">
        <v>18</v>
      </c>
    </row>
    <row r="39" spans="1:18">
      <c r="A39">
        <v>38</v>
      </c>
      <c r="B39">
        <v>1</v>
      </c>
      <c r="C39">
        <v>20240108</v>
      </c>
      <c r="D39" t="s">
        <v>28</v>
      </c>
      <c r="E39" t="s">
        <v>21</v>
      </c>
      <c r="F39" t="s">
        <v>39</v>
      </c>
      <c r="G39" t="s">
        <v>40</v>
      </c>
      <c r="H39">
        <v>3</v>
      </c>
      <c r="I39" t="s">
        <v>24</v>
      </c>
      <c r="J39">
        <v>2106.81</v>
      </c>
      <c r="K39">
        <v>6320.43</v>
      </c>
      <c r="L39" t="s">
        <v>637</v>
      </c>
      <c r="N39">
        <v>1409.017</v>
      </c>
      <c r="O39" t="s">
        <v>43</v>
      </c>
      <c r="P39" t="s">
        <v>671</v>
      </c>
      <c r="Q39">
        <v>1</v>
      </c>
    </row>
    <row r="40" spans="1:18">
      <c r="A40">
        <v>39</v>
      </c>
      <c r="B40">
        <v>1</v>
      </c>
      <c r="C40">
        <v>20240108</v>
      </c>
      <c r="D40" t="s">
        <v>20</v>
      </c>
      <c r="E40" t="s">
        <v>21</v>
      </c>
      <c r="F40" t="s">
        <v>59</v>
      </c>
      <c r="G40" t="s">
        <v>47</v>
      </c>
      <c r="H40">
        <v>41152</v>
      </c>
      <c r="I40" t="s">
        <v>24</v>
      </c>
      <c r="J40">
        <v>7.46</v>
      </c>
      <c r="K40">
        <v>306993.92</v>
      </c>
      <c r="L40" t="s">
        <v>637</v>
      </c>
      <c r="N40">
        <v>5.135814</v>
      </c>
      <c r="O40" t="s">
        <v>43</v>
      </c>
      <c r="P40" t="s">
        <v>672</v>
      </c>
      <c r="Q40">
        <v>1</v>
      </c>
      <c r="R40">
        <v>5.2041</v>
      </c>
    </row>
    <row r="41" spans="1:18">
      <c r="A41">
        <v>40</v>
      </c>
      <c r="B41">
        <v>1</v>
      </c>
      <c r="C41">
        <v>20240108</v>
      </c>
      <c r="D41" t="s">
        <v>28</v>
      </c>
      <c r="E41" t="s">
        <v>21</v>
      </c>
      <c r="F41" t="s">
        <v>22</v>
      </c>
      <c r="G41" t="s">
        <v>37</v>
      </c>
      <c r="H41">
        <v>45172</v>
      </c>
      <c r="I41" t="s">
        <v>24</v>
      </c>
      <c r="J41">
        <v>4.14</v>
      </c>
      <c r="K41">
        <v>187012.08</v>
      </c>
      <c r="L41" t="s">
        <v>637</v>
      </c>
      <c r="M41" t="s">
        <v>673</v>
      </c>
      <c r="N41">
        <v>4.0727</v>
      </c>
      <c r="O41" t="s">
        <v>27</v>
      </c>
      <c r="P41" t="s">
        <v>674</v>
      </c>
      <c r="Q41">
        <v>9</v>
      </c>
    </row>
    <row r="42" spans="1:18">
      <c r="A42">
        <v>41</v>
      </c>
      <c r="B42">
        <v>1</v>
      </c>
      <c r="C42">
        <v>20240108</v>
      </c>
      <c r="D42" t="s">
        <v>28</v>
      </c>
      <c r="E42" t="s">
        <v>21</v>
      </c>
      <c r="F42" t="s">
        <v>22</v>
      </c>
      <c r="G42" t="s">
        <v>37</v>
      </c>
      <c r="H42">
        <v>64314</v>
      </c>
      <c r="I42" t="s">
        <v>24</v>
      </c>
      <c r="J42">
        <v>4.14</v>
      </c>
      <c r="K42">
        <v>266259.96</v>
      </c>
      <c r="L42" t="s">
        <v>637</v>
      </c>
      <c r="M42" t="s">
        <v>673</v>
      </c>
      <c r="N42">
        <v>3.5873</v>
      </c>
      <c r="O42" t="s">
        <v>27</v>
      </c>
      <c r="P42" t="s">
        <v>674</v>
      </c>
      <c r="Q42">
        <v>11</v>
      </c>
    </row>
    <row r="43" spans="1:18">
      <c r="A43">
        <v>42</v>
      </c>
      <c r="B43">
        <v>1</v>
      </c>
      <c r="C43">
        <v>20240108</v>
      </c>
      <c r="D43" t="s">
        <v>28</v>
      </c>
      <c r="E43" t="s">
        <v>21</v>
      </c>
      <c r="F43" t="s">
        <v>22</v>
      </c>
      <c r="G43" t="s">
        <v>37</v>
      </c>
      <c r="H43">
        <v>538</v>
      </c>
      <c r="I43" t="s">
        <v>24</v>
      </c>
      <c r="J43">
        <v>4.14</v>
      </c>
      <c r="K43">
        <v>2227.32</v>
      </c>
      <c r="L43" t="s">
        <v>637</v>
      </c>
      <c r="M43" t="s">
        <v>673</v>
      </c>
      <c r="N43">
        <v>3.5473</v>
      </c>
      <c r="O43" t="s">
        <v>27</v>
      </c>
      <c r="P43" t="s">
        <v>674</v>
      </c>
      <c r="Q43">
        <v>5</v>
      </c>
    </row>
    <row r="44" spans="1:18">
      <c r="A44">
        <v>43</v>
      </c>
      <c r="B44">
        <v>1</v>
      </c>
      <c r="C44">
        <v>20240108</v>
      </c>
      <c r="D44" t="s">
        <v>28</v>
      </c>
      <c r="E44" t="s">
        <v>21</v>
      </c>
      <c r="F44" t="s">
        <v>22</v>
      </c>
      <c r="G44" t="s">
        <v>30</v>
      </c>
      <c r="H44">
        <v>286358</v>
      </c>
      <c r="I44" t="s">
        <v>24</v>
      </c>
      <c r="J44">
        <v>4.14</v>
      </c>
      <c r="K44">
        <v>1185522.12</v>
      </c>
      <c r="L44" t="s">
        <v>637</v>
      </c>
      <c r="M44" t="s">
        <v>673</v>
      </c>
      <c r="N44">
        <v>3.5844</v>
      </c>
      <c r="O44" t="s">
        <v>27</v>
      </c>
      <c r="P44" t="s">
        <v>675</v>
      </c>
      <c r="Q44">
        <v>12</v>
      </c>
    </row>
    <row r="45" spans="1:18">
      <c r="A45">
        <v>44</v>
      </c>
      <c r="B45">
        <v>1</v>
      </c>
      <c r="C45">
        <v>20240108</v>
      </c>
      <c r="D45" t="s">
        <v>28</v>
      </c>
      <c r="E45" t="s">
        <v>21</v>
      </c>
      <c r="F45" t="s">
        <v>22</v>
      </c>
      <c r="G45" t="s">
        <v>30</v>
      </c>
      <c r="H45">
        <v>55079</v>
      </c>
      <c r="I45" t="s">
        <v>24</v>
      </c>
      <c r="J45">
        <v>4.14</v>
      </c>
      <c r="K45">
        <v>228027.06</v>
      </c>
      <c r="L45" t="s">
        <v>637</v>
      </c>
      <c r="M45" t="s">
        <v>673</v>
      </c>
      <c r="N45">
        <v>3.5065</v>
      </c>
      <c r="O45" t="s">
        <v>27</v>
      </c>
      <c r="P45" t="s">
        <v>675</v>
      </c>
      <c r="Q45">
        <v>4</v>
      </c>
    </row>
    <row r="46" spans="1:18">
      <c r="A46">
        <v>45</v>
      </c>
      <c r="B46">
        <v>1</v>
      </c>
      <c r="C46">
        <v>20240108</v>
      </c>
      <c r="D46" t="s">
        <v>28</v>
      </c>
      <c r="E46" t="s">
        <v>21</v>
      </c>
      <c r="F46" t="s">
        <v>22</v>
      </c>
      <c r="G46" t="s">
        <v>37</v>
      </c>
      <c r="H46">
        <v>30981</v>
      </c>
      <c r="I46" t="s">
        <v>24</v>
      </c>
      <c r="J46">
        <v>4.14</v>
      </c>
      <c r="K46">
        <v>128261.34</v>
      </c>
      <c r="L46" t="s">
        <v>634</v>
      </c>
      <c r="M46" t="s">
        <v>673</v>
      </c>
      <c r="N46">
        <v>4.0825</v>
      </c>
      <c r="O46" t="s">
        <v>27</v>
      </c>
      <c r="P46" t="s">
        <v>674</v>
      </c>
      <c r="Q46">
        <v>12</v>
      </c>
    </row>
    <row r="47" spans="1:18">
      <c r="A47">
        <v>46</v>
      </c>
      <c r="B47">
        <v>1</v>
      </c>
      <c r="C47">
        <v>20240108</v>
      </c>
      <c r="D47" t="s">
        <v>28</v>
      </c>
      <c r="E47" t="s">
        <v>21</v>
      </c>
      <c r="F47" t="s">
        <v>22</v>
      </c>
      <c r="G47" t="s">
        <v>30</v>
      </c>
      <c r="H47">
        <v>1179037</v>
      </c>
      <c r="I47" t="s">
        <v>24</v>
      </c>
      <c r="J47">
        <v>4.14</v>
      </c>
      <c r="K47">
        <v>4881213.18</v>
      </c>
      <c r="L47" t="s">
        <v>634</v>
      </c>
      <c r="M47" t="s">
        <v>673</v>
      </c>
      <c r="N47">
        <v>4.064</v>
      </c>
      <c r="O47" t="s">
        <v>27</v>
      </c>
      <c r="P47" t="s">
        <v>675</v>
      </c>
      <c r="Q47">
        <v>49</v>
      </c>
    </row>
    <row r="48" spans="1:18">
      <c r="A48">
        <v>47</v>
      </c>
      <c r="B48">
        <v>1</v>
      </c>
      <c r="C48">
        <v>20240108</v>
      </c>
      <c r="D48" t="s">
        <v>28</v>
      </c>
      <c r="E48" t="s">
        <v>21</v>
      </c>
      <c r="F48" t="s">
        <v>22</v>
      </c>
      <c r="G48" t="s">
        <v>37</v>
      </c>
      <c r="H48">
        <v>11756</v>
      </c>
      <c r="I48" t="s">
        <v>24</v>
      </c>
      <c r="J48">
        <v>4.14</v>
      </c>
      <c r="K48">
        <v>48669.84</v>
      </c>
      <c r="L48" t="s">
        <v>654</v>
      </c>
      <c r="M48" t="s">
        <v>673</v>
      </c>
      <c r="N48">
        <v>4.036</v>
      </c>
      <c r="O48" t="s">
        <v>27</v>
      </c>
      <c r="P48" t="s">
        <v>674</v>
      </c>
      <c r="Q48">
        <v>4</v>
      </c>
    </row>
    <row r="49" spans="1:18">
      <c r="A49">
        <v>48</v>
      </c>
      <c r="B49">
        <v>1</v>
      </c>
      <c r="C49">
        <v>20240108</v>
      </c>
      <c r="D49" t="s">
        <v>20</v>
      </c>
      <c r="E49" t="s">
        <v>21</v>
      </c>
      <c r="F49" t="s">
        <v>32</v>
      </c>
      <c r="G49" t="s">
        <v>640</v>
      </c>
      <c r="H49">
        <v>272620</v>
      </c>
      <c r="I49" t="s">
        <v>24</v>
      </c>
      <c r="J49">
        <v>5.47</v>
      </c>
      <c r="K49">
        <v>1491231.4</v>
      </c>
      <c r="L49" t="s">
        <v>634</v>
      </c>
      <c r="N49">
        <v>5.0362</v>
      </c>
      <c r="O49" t="s">
        <v>43</v>
      </c>
      <c r="P49" t="s">
        <v>676</v>
      </c>
      <c r="Q49">
        <v>57</v>
      </c>
      <c r="R49">
        <v>7.1094</v>
      </c>
    </row>
    <row r="50" spans="1:18">
      <c r="A50">
        <v>49</v>
      </c>
      <c r="B50">
        <v>1</v>
      </c>
      <c r="C50">
        <v>20240108</v>
      </c>
      <c r="D50" t="s">
        <v>28</v>
      </c>
      <c r="E50" t="s">
        <v>21</v>
      </c>
      <c r="F50" t="s">
        <v>41</v>
      </c>
      <c r="G50" t="s">
        <v>30</v>
      </c>
      <c r="H50">
        <v>20455</v>
      </c>
      <c r="I50" t="s">
        <v>24</v>
      </c>
      <c r="J50">
        <v>4.14</v>
      </c>
      <c r="K50">
        <v>84683.7</v>
      </c>
      <c r="L50" t="s">
        <v>637</v>
      </c>
      <c r="N50">
        <v>4.05</v>
      </c>
      <c r="O50" t="s">
        <v>43</v>
      </c>
      <c r="P50" t="s">
        <v>677</v>
      </c>
      <c r="Q50">
        <v>8</v>
      </c>
    </row>
    <row r="51" spans="1:18">
      <c r="A51">
        <v>50</v>
      </c>
      <c r="B51">
        <v>1</v>
      </c>
      <c r="C51">
        <v>20240108</v>
      </c>
      <c r="D51" t="s">
        <v>28</v>
      </c>
      <c r="E51" t="s">
        <v>21</v>
      </c>
      <c r="F51" t="s">
        <v>41</v>
      </c>
      <c r="G51" t="s">
        <v>37</v>
      </c>
      <c r="H51">
        <v>517</v>
      </c>
      <c r="I51" t="s">
        <v>24</v>
      </c>
      <c r="J51">
        <v>4.14</v>
      </c>
      <c r="K51">
        <v>2140.38</v>
      </c>
      <c r="L51" t="s">
        <v>637</v>
      </c>
      <c r="N51">
        <v>4.05</v>
      </c>
      <c r="O51" t="s">
        <v>43</v>
      </c>
      <c r="P51" t="s">
        <v>678</v>
      </c>
      <c r="Q51">
        <v>1</v>
      </c>
    </row>
    <row r="52" spans="1:18">
      <c r="A52">
        <v>51</v>
      </c>
      <c r="B52">
        <v>1</v>
      </c>
      <c r="C52">
        <v>20240108</v>
      </c>
      <c r="D52" t="s">
        <v>28</v>
      </c>
      <c r="E52" t="s">
        <v>21</v>
      </c>
      <c r="F52" t="s">
        <v>41</v>
      </c>
      <c r="G52" t="s">
        <v>30</v>
      </c>
      <c r="H52">
        <v>3242</v>
      </c>
      <c r="I52" t="s">
        <v>24</v>
      </c>
      <c r="J52">
        <v>4.14</v>
      </c>
      <c r="K52">
        <v>13421.88</v>
      </c>
      <c r="L52" t="s">
        <v>634</v>
      </c>
      <c r="N52">
        <v>4.05</v>
      </c>
      <c r="O52" t="s">
        <v>43</v>
      </c>
      <c r="P52" t="s">
        <v>677</v>
      </c>
      <c r="Q52">
        <v>1</v>
      </c>
    </row>
    <row r="53" spans="1:18">
      <c r="A53">
        <v>52</v>
      </c>
      <c r="B53">
        <v>1</v>
      </c>
      <c r="C53">
        <v>20240108</v>
      </c>
      <c r="D53" t="s">
        <v>28</v>
      </c>
      <c r="E53" t="s">
        <v>21</v>
      </c>
      <c r="F53" t="s">
        <v>41</v>
      </c>
      <c r="G53" t="s">
        <v>30</v>
      </c>
      <c r="H53">
        <v>6767</v>
      </c>
      <c r="I53" t="s">
        <v>24</v>
      </c>
      <c r="J53">
        <v>4.14</v>
      </c>
      <c r="K53">
        <v>28015.38</v>
      </c>
      <c r="L53" t="s">
        <v>634</v>
      </c>
      <c r="N53">
        <v>4.05</v>
      </c>
      <c r="O53" t="s">
        <v>43</v>
      </c>
      <c r="P53" t="s">
        <v>677</v>
      </c>
      <c r="Q53">
        <v>6</v>
      </c>
    </row>
    <row r="54" spans="1:18">
      <c r="A54">
        <v>53</v>
      </c>
      <c r="B54">
        <v>1</v>
      </c>
      <c r="C54">
        <v>20240108</v>
      </c>
      <c r="D54" t="s">
        <v>28</v>
      </c>
      <c r="E54" t="s">
        <v>21</v>
      </c>
      <c r="F54" t="s">
        <v>41</v>
      </c>
      <c r="G54" t="s">
        <v>37</v>
      </c>
      <c r="H54">
        <v>396</v>
      </c>
      <c r="I54" t="s">
        <v>24</v>
      </c>
      <c r="J54">
        <v>4.14</v>
      </c>
      <c r="K54">
        <v>1639.44</v>
      </c>
      <c r="L54" t="s">
        <v>634</v>
      </c>
      <c r="N54">
        <v>4.05</v>
      </c>
      <c r="O54" t="s">
        <v>43</v>
      </c>
      <c r="P54" t="s">
        <v>678</v>
      </c>
      <c r="Q54">
        <v>1</v>
      </c>
    </row>
    <row r="55" spans="1:18">
      <c r="A55">
        <v>54</v>
      </c>
      <c r="B55">
        <v>1</v>
      </c>
      <c r="C55">
        <v>20240108</v>
      </c>
      <c r="D55" t="s">
        <v>28</v>
      </c>
      <c r="E55" t="s">
        <v>21</v>
      </c>
      <c r="F55" t="s">
        <v>41</v>
      </c>
      <c r="G55" t="s">
        <v>30</v>
      </c>
      <c r="H55">
        <v>7601</v>
      </c>
      <c r="I55" t="s">
        <v>24</v>
      </c>
      <c r="J55">
        <v>4.14</v>
      </c>
      <c r="K55">
        <v>31468.14</v>
      </c>
      <c r="L55" t="s">
        <v>637</v>
      </c>
      <c r="N55">
        <v>4.05</v>
      </c>
      <c r="O55" t="s">
        <v>43</v>
      </c>
      <c r="P55" t="s">
        <v>677</v>
      </c>
      <c r="Q55">
        <v>5</v>
      </c>
    </row>
    <row r="56" spans="1:18">
      <c r="A56">
        <v>55</v>
      </c>
      <c r="B56">
        <v>1</v>
      </c>
      <c r="C56">
        <v>20240108</v>
      </c>
      <c r="D56" t="s">
        <v>28</v>
      </c>
      <c r="E56" t="s">
        <v>21</v>
      </c>
      <c r="F56" t="s">
        <v>41</v>
      </c>
      <c r="G56" t="s">
        <v>37</v>
      </c>
      <c r="H56">
        <v>2219</v>
      </c>
      <c r="I56" t="s">
        <v>24</v>
      </c>
      <c r="J56">
        <v>4.14</v>
      </c>
      <c r="K56">
        <v>9186.66</v>
      </c>
      <c r="L56" t="s">
        <v>637</v>
      </c>
      <c r="N56">
        <v>4.05</v>
      </c>
      <c r="O56" t="s">
        <v>43</v>
      </c>
      <c r="P56" t="s">
        <v>678</v>
      </c>
      <c r="Q56">
        <v>4</v>
      </c>
    </row>
    <row r="57" spans="1:18">
      <c r="A57">
        <v>56</v>
      </c>
      <c r="B57">
        <v>1</v>
      </c>
      <c r="C57">
        <v>20240108</v>
      </c>
      <c r="D57" t="s">
        <v>28</v>
      </c>
      <c r="E57" t="s">
        <v>21</v>
      </c>
      <c r="F57" t="s">
        <v>41</v>
      </c>
      <c r="G57" t="s">
        <v>30</v>
      </c>
      <c r="H57">
        <v>23801</v>
      </c>
      <c r="I57" t="s">
        <v>24</v>
      </c>
      <c r="J57">
        <v>4.14</v>
      </c>
      <c r="K57">
        <v>98536.14</v>
      </c>
      <c r="L57" t="s">
        <v>637</v>
      </c>
      <c r="N57">
        <v>4.05</v>
      </c>
      <c r="O57" t="s">
        <v>43</v>
      </c>
      <c r="P57" t="s">
        <v>677</v>
      </c>
      <c r="Q57">
        <v>5</v>
      </c>
    </row>
    <row r="58" spans="1:18">
      <c r="A58">
        <v>57</v>
      </c>
      <c r="B58">
        <v>1</v>
      </c>
      <c r="C58">
        <v>20240109</v>
      </c>
      <c r="D58" t="s">
        <v>28</v>
      </c>
      <c r="E58" t="s">
        <v>21</v>
      </c>
      <c r="F58" t="s">
        <v>29</v>
      </c>
      <c r="G58" t="s">
        <v>679</v>
      </c>
      <c r="H58">
        <v>344224</v>
      </c>
      <c r="I58" t="s">
        <v>24</v>
      </c>
      <c r="J58">
        <v>4.53</v>
      </c>
      <c r="K58">
        <v>1559334.72</v>
      </c>
      <c r="L58" t="s">
        <v>634</v>
      </c>
      <c r="N58">
        <v>4.44</v>
      </c>
      <c r="O58" t="s">
        <v>43</v>
      </c>
      <c r="P58" t="s">
        <v>680</v>
      </c>
      <c r="Q58">
        <v>39</v>
      </c>
    </row>
    <row r="59" spans="1:18">
      <c r="A59">
        <v>58</v>
      </c>
      <c r="B59">
        <v>1</v>
      </c>
      <c r="C59">
        <v>20240109</v>
      </c>
      <c r="D59" t="s">
        <v>28</v>
      </c>
      <c r="E59" t="s">
        <v>21</v>
      </c>
      <c r="F59" t="s">
        <v>29</v>
      </c>
      <c r="G59" t="s">
        <v>679</v>
      </c>
      <c r="H59">
        <v>543589</v>
      </c>
      <c r="I59" t="s">
        <v>24</v>
      </c>
      <c r="J59">
        <v>4.53</v>
      </c>
      <c r="K59">
        <v>2462458.17</v>
      </c>
      <c r="L59" t="s">
        <v>634</v>
      </c>
      <c r="N59">
        <v>4.44</v>
      </c>
      <c r="O59" t="s">
        <v>43</v>
      </c>
      <c r="P59" t="s">
        <v>680</v>
      </c>
      <c r="Q59">
        <v>54</v>
      </c>
    </row>
    <row r="60" spans="1:18">
      <c r="A60">
        <v>59</v>
      </c>
      <c r="B60">
        <v>1</v>
      </c>
      <c r="C60">
        <v>20240109</v>
      </c>
      <c r="D60" t="s">
        <v>28</v>
      </c>
      <c r="E60" t="s">
        <v>21</v>
      </c>
      <c r="F60" t="s">
        <v>29</v>
      </c>
      <c r="G60" t="s">
        <v>679</v>
      </c>
      <c r="H60">
        <v>667361</v>
      </c>
      <c r="I60" t="s">
        <v>24</v>
      </c>
      <c r="J60">
        <v>4.53</v>
      </c>
      <c r="K60">
        <v>3023145.33</v>
      </c>
      <c r="L60" t="s">
        <v>634</v>
      </c>
      <c r="N60">
        <v>4.44</v>
      </c>
      <c r="O60" t="s">
        <v>43</v>
      </c>
      <c r="P60" t="s">
        <v>680</v>
      </c>
      <c r="Q60">
        <v>122</v>
      </c>
    </row>
    <row r="61" spans="1:18">
      <c r="A61">
        <v>60</v>
      </c>
      <c r="B61">
        <v>1</v>
      </c>
      <c r="C61">
        <v>20240109</v>
      </c>
      <c r="D61" t="s">
        <v>28</v>
      </c>
      <c r="E61" t="s">
        <v>21</v>
      </c>
      <c r="F61" t="s">
        <v>32</v>
      </c>
      <c r="G61" t="s">
        <v>99</v>
      </c>
      <c r="H61">
        <v>9587</v>
      </c>
      <c r="I61" t="s">
        <v>24</v>
      </c>
      <c r="J61">
        <v>4.14</v>
      </c>
      <c r="K61">
        <v>39690.18</v>
      </c>
      <c r="L61" t="s">
        <v>634</v>
      </c>
      <c r="M61" t="s">
        <v>681</v>
      </c>
      <c r="N61">
        <v>4.015</v>
      </c>
      <c r="O61" t="s">
        <v>27</v>
      </c>
      <c r="P61" t="s">
        <v>682</v>
      </c>
      <c r="Q61">
        <v>2</v>
      </c>
    </row>
    <row r="62" spans="1:18">
      <c r="A62">
        <v>61</v>
      </c>
      <c r="B62">
        <v>1</v>
      </c>
      <c r="C62">
        <v>20240109</v>
      </c>
      <c r="D62" t="s">
        <v>28</v>
      </c>
      <c r="E62" t="s">
        <v>21</v>
      </c>
      <c r="F62" t="s">
        <v>32</v>
      </c>
      <c r="G62" t="s">
        <v>679</v>
      </c>
      <c r="H62">
        <v>138941</v>
      </c>
      <c r="I62" t="s">
        <v>24</v>
      </c>
      <c r="J62">
        <v>4.14</v>
      </c>
      <c r="K62">
        <v>575215.74</v>
      </c>
      <c r="L62" t="s">
        <v>634</v>
      </c>
      <c r="M62" t="s">
        <v>681</v>
      </c>
      <c r="N62">
        <v>4.021</v>
      </c>
      <c r="O62" t="s">
        <v>27</v>
      </c>
      <c r="P62" t="s">
        <v>683</v>
      </c>
      <c r="Q62">
        <v>133</v>
      </c>
    </row>
    <row r="63" spans="1:18">
      <c r="A63">
        <v>62</v>
      </c>
      <c r="B63">
        <v>1</v>
      </c>
      <c r="C63">
        <v>20240109</v>
      </c>
      <c r="D63" t="s">
        <v>28</v>
      </c>
      <c r="E63" t="s">
        <v>21</v>
      </c>
      <c r="F63" t="s">
        <v>32</v>
      </c>
      <c r="G63" t="s">
        <v>679</v>
      </c>
      <c r="H63">
        <v>2521</v>
      </c>
      <c r="I63" t="s">
        <v>24</v>
      </c>
      <c r="J63">
        <v>4.14</v>
      </c>
      <c r="K63">
        <v>10436.94</v>
      </c>
      <c r="L63" t="s">
        <v>634</v>
      </c>
      <c r="M63" t="s">
        <v>681</v>
      </c>
      <c r="N63">
        <v>4.015</v>
      </c>
      <c r="O63" t="s">
        <v>27</v>
      </c>
      <c r="P63" t="s">
        <v>683</v>
      </c>
    </row>
    <row r="64" spans="1:18">
      <c r="A64">
        <v>63</v>
      </c>
      <c r="B64">
        <v>1</v>
      </c>
      <c r="C64">
        <v>20240109</v>
      </c>
      <c r="D64" t="s">
        <v>28</v>
      </c>
      <c r="E64" t="s">
        <v>21</v>
      </c>
      <c r="F64" t="s">
        <v>32</v>
      </c>
      <c r="G64" t="s">
        <v>37</v>
      </c>
      <c r="H64">
        <v>590</v>
      </c>
      <c r="I64" t="s">
        <v>24</v>
      </c>
      <c r="J64">
        <v>4.14</v>
      </c>
      <c r="K64">
        <v>2442.6</v>
      </c>
      <c r="L64" t="s">
        <v>637</v>
      </c>
      <c r="M64" t="s">
        <v>681</v>
      </c>
      <c r="N64">
        <v>4.015</v>
      </c>
      <c r="O64" t="s">
        <v>27</v>
      </c>
      <c r="P64" t="s">
        <v>684</v>
      </c>
      <c r="Q64">
        <v>1</v>
      </c>
    </row>
    <row r="65" spans="1:18">
      <c r="A65">
        <v>64</v>
      </c>
      <c r="B65">
        <v>1</v>
      </c>
      <c r="C65">
        <v>20240109</v>
      </c>
      <c r="D65" t="s">
        <v>28</v>
      </c>
      <c r="E65" t="s">
        <v>21</v>
      </c>
      <c r="F65" t="s">
        <v>32</v>
      </c>
      <c r="G65" t="s">
        <v>30</v>
      </c>
      <c r="H65">
        <v>80466</v>
      </c>
      <c r="I65" t="s">
        <v>24</v>
      </c>
      <c r="J65">
        <v>4.14</v>
      </c>
      <c r="K65">
        <v>333129.24</v>
      </c>
      <c r="L65" t="s">
        <v>637</v>
      </c>
      <c r="M65" t="s">
        <v>681</v>
      </c>
      <c r="N65">
        <v>4.015</v>
      </c>
      <c r="O65" t="s">
        <v>27</v>
      </c>
      <c r="P65" t="s">
        <v>685</v>
      </c>
      <c r="Q65">
        <v>6</v>
      </c>
    </row>
    <row r="66" spans="1:18">
      <c r="A66">
        <v>65</v>
      </c>
      <c r="B66">
        <v>1</v>
      </c>
      <c r="C66">
        <v>20240109</v>
      </c>
      <c r="D66" t="s">
        <v>20</v>
      </c>
      <c r="E66" t="s">
        <v>21</v>
      </c>
      <c r="F66" t="s">
        <v>32</v>
      </c>
      <c r="G66" t="s">
        <v>50</v>
      </c>
      <c r="H66">
        <v>74105</v>
      </c>
      <c r="I66" t="s">
        <v>24</v>
      </c>
      <c r="J66">
        <v>5.53</v>
      </c>
      <c r="K66">
        <v>409800.65</v>
      </c>
      <c r="L66" t="s">
        <v>637</v>
      </c>
      <c r="M66" t="s">
        <v>686</v>
      </c>
      <c r="N66">
        <v>4.7765</v>
      </c>
      <c r="O66" t="s">
        <v>27</v>
      </c>
      <c r="P66" t="s">
        <v>687</v>
      </c>
      <c r="Q66">
        <v>23</v>
      </c>
      <c r="R66">
        <v>7.024</v>
      </c>
    </row>
    <row r="67" spans="1:18">
      <c r="A67">
        <v>66</v>
      </c>
      <c r="B67">
        <v>1</v>
      </c>
      <c r="C67">
        <v>20240109</v>
      </c>
      <c r="D67" t="s">
        <v>20</v>
      </c>
      <c r="E67" t="s">
        <v>21</v>
      </c>
      <c r="F67" t="s">
        <v>32</v>
      </c>
      <c r="G67" t="s">
        <v>640</v>
      </c>
      <c r="H67">
        <v>296977</v>
      </c>
      <c r="I67" t="s">
        <v>24</v>
      </c>
      <c r="J67">
        <v>5.47</v>
      </c>
      <c r="K67">
        <v>1624464.19</v>
      </c>
      <c r="L67" t="s">
        <v>634</v>
      </c>
      <c r="M67" t="s">
        <v>686</v>
      </c>
      <c r="N67">
        <v>5.0362</v>
      </c>
      <c r="O67" t="s">
        <v>27</v>
      </c>
      <c r="P67" t="s">
        <v>688</v>
      </c>
      <c r="Q67">
        <v>32</v>
      </c>
      <c r="R67">
        <v>7.1094</v>
      </c>
    </row>
    <row r="68" spans="1:18">
      <c r="A68">
        <v>67</v>
      </c>
      <c r="B68">
        <v>1</v>
      </c>
      <c r="C68">
        <v>20240109</v>
      </c>
      <c r="D68" t="s">
        <v>28</v>
      </c>
      <c r="E68" t="s">
        <v>21</v>
      </c>
      <c r="F68" t="s">
        <v>22</v>
      </c>
      <c r="G68" t="s">
        <v>99</v>
      </c>
      <c r="H68">
        <v>1041</v>
      </c>
      <c r="I68" t="s">
        <v>24</v>
      </c>
      <c r="J68">
        <v>4.14</v>
      </c>
      <c r="K68">
        <v>4309.74</v>
      </c>
      <c r="L68" t="s">
        <v>634</v>
      </c>
      <c r="M68" t="s">
        <v>689</v>
      </c>
      <c r="N68">
        <v>4.0295</v>
      </c>
      <c r="O68" t="s">
        <v>27</v>
      </c>
      <c r="P68" t="s">
        <v>690</v>
      </c>
      <c r="Q68">
        <v>2</v>
      </c>
    </row>
    <row r="69" spans="1:18">
      <c r="A69">
        <v>68</v>
      </c>
      <c r="B69">
        <v>1</v>
      </c>
      <c r="C69">
        <v>20240109</v>
      </c>
      <c r="D69" t="s">
        <v>28</v>
      </c>
      <c r="E69" t="s">
        <v>21</v>
      </c>
      <c r="F69" t="s">
        <v>22</v>
      </c>
      <c r="G69" t="s">
        <v>37</v>
      </c>
      <c r="H69">
        <v>5089</v>
      </c>
      <c r="I69" t="s">
        <v>24</v>
      </c>
      <c r="J69">
        <v>4.14</v>
      </c>
      <c r="K69">
        <v>21068.46</v>
      </c>
      <c r="L69" t="s">
        <v>634</v>
      </c>
      <c r="M69" t="s">
        <v>689</v>
      </c>
      <c r="N69">
        <v>4.0815</v>
      </c>
      <c r="O69" t="s">
        <v>27</v>
      </c>
      <c r="P69" t="s">
        <v>691</v>
      </c>
      <c r="Q69">
        <v>10</v>
      </c>
    </row>
    <row r="70" spans="1:18">
      <c r="A70">
        <v>69</v>
      </c>
      <c r="B70">
        <v>1</v>
      </c>
      <c r="C70">
        <v>20240109</v>
      </c>
      <c r="D70" t="s">
        <v>28</v>
      </c>
      <c r="E70" t="s">
        <v>21</v>
      </c>
      <c r="F70" t="s">
        <v>22</v>
      </c>
      <c r="G70" t="s">
        <v>30</v>
      </c>
      <c r="H70">
        <v>85274</v>
      </c>
      <c r="I70" t="s">
        <v>24</v>
      </c>
      <c r="J70">
        <v>4.14</v>
      </c>
      <c r="K70">
        <v>353034.36</v>
      </c>
      <c r="L70" t="s">
        <v>634</v>
      </c>
      <c r="M70" t="s">
        <v>689</v>
      </c>
      <c r="N70">
        <v>4.0825</v>
      </c>
      <c r="O70" t="s">
        <v>27</v>
      </c>
      <c r="P70" t="s">
        <v>692</v>
      </c>
      <c r="Q70">
        <v>7</v>
      </c>
    </row>
    <row r="71" spans="1:18">
      <c r="A71">
        <v>70</v>
      </c>
      <c r="B71">
        <v>1</v>
      </c>
      <c r="C71">
        <v>20240109</v>
      </c>
      <c r="D71" t="s">
        <v>28</v>
      </c>
      <c r="E71" t="s">
        <v>21</v>
      </c>
      <c r="F71" t="s">
        <v>22</v>
      </c>
      <c r="G71" t="s">
        <v>37</v>
      </c>
      <c r="H71">
        <v>8445</v>
      </c>
      <c r="I71" t="s">
        <v>24</v>
      </c>
      <c r="J71">
        <v>4.14</v>
      </c>
      <c r="K71">
        <v>34962.3</v>
      </c>
      <c r="L71" t="s">
        <v>654</v>
      </c>
      <c r="M71" t="s">
        <v>689</v>
      </c>
      <c r="N71">
        <v>4.0825</v>
      </c>
      <c r="O71" t="s">
        <v>27</v>
      </c>
      <c r="P71" t="s">
        <v>691</v>
      </c>
      <c r="Q71">
        <v>7</v>
      </c>
    </row>
    <row r="72" spans="1:18">
      <c r="A72">
        <v>71</v>
      </c>
      <c r="B72">
        <v>1</v>
      </c>
      <c r="C72">
        <v>20240109</v>
      </c>
      <c r="D72" t="s">
        <v>28</v>
      </c>
      <c r="E72" t="s">
        <v>21</v>
      </c>
      <c r="F72" t="s">
        <v>22</v>
      </c>
      <c r="G72" t="s">
        <v>37</v>
      </c>
      <c r="H72">
        <v>6446</v>
      </c>
      <c r="I72" t="s">
        <v>24</v>
      </c>
      <c r="J72">
        <v>4.14</v>
      </c>
      <c r="K72">
        <v>26686.44</v>
      </c>
      <c r="L72" t="s">
        <v>637</v>
      </c>
      <c r="M72" t="s">
        <v>689</v>
      </c>
      <c r="N72">
        <v>3.5873</v>
      </c>
      <c r="O72" t="s">
        <v>27</v>
      </c>
      <c r="P72" t="s">
        <v>691</v>
      </c>
      <c r="Q72">
        <v>4</v>
      </c>
    </row>
    <row r="73" spans="1:18">
      <c r="A73">
        <v>72</v>
      </c>
      <c r="B73">
        <v>1</v>
      </c>
      <c r="C73">
        <v>20240109</v>
      </c>
      <c r="D73" t="s">
        <v>28</v>
      </c>
      <c r="E73" t="s">
        <v>21</v>
      </c>
      <c r="F73" t="s">
        <v>22</v>
      </c>
      <c r="G73" t="s">
        <v>37</v>
      </c>
      <c r="H73">
        <v>134</v>
      </c>
      <c r="I73" t="s">
        <v>24</v>
      </c>
      <c r="J73">
        <v>4.14</v>
      </c>
      <c r="K73">
        <v>554.76</v>
      </c>
      <c r="L73" t="s">
        <v>637</v>
      </c>
      <c r="M73" t="s">
        <v>689</v>
      </c>
      <c r="N73">
        <v>3.5065</v>
      </c>
      <c r="O73" t="s">
        <v>27</v>
      </c>
      <c r="P73" t="s">
        <v>691</v>
      </c>
      <c r="Q73">
        <v>1</v>
      </c>
    </row>
    <row r="74" spans="1:18">
      <c r="A74">
        <v>73</v>
      </c>
      <c r="B74">
        <v>1</v>
      </c>
      <c r="C74">
        <v>20240109</v>
      </c>
      <c r="D74" t="s">
        <v>28</v>
      </c>
      <c r="E74" t="s">
        <v>21</v>
      </c>
      <c r="F74" t="s">
        <v>22</v>
      </c>
      <c r="G74" t="s">
        <v>37</v>
      </c>
      <c r="H74">
        <v>6629</v>
      </c>
      <c r="I74" t="s">
        <v>24</v>
      </c>
      <c r="J74">
        <v>4.14</v>
      </c>
      <c r="K74">
        <v>27444.06</v>
      </c>
      <c r="L74" t="s">
        <v>637</v>
      </c>
      <c r="M74" t="s">
        <v>689</v>
      </c>
      <c r="N74">
        <v>4.0801</v>
      </c>
      <c r="O74" t="s">
        <v>27</v>
      </c>
      <c r="P74" t="s">
        <v>691</v>
      </c>
      <c r="Q74">
        <v>6</v>
      </c>
    </row>
    <row r="75" spans="1:18">
      <c r="A75">
        <v>74</v>
      </c>
      <c r="B75">
        <v>1</v>
      </c>
      <c r="C75">
        <v>20240109</v>
      </c>
      <c r="D75" t="s">
        <v>28</v>
      </c>
      <c r="E75" t="s">
        <v>21</v>
      </c>
      <c r="F75" t="s">
        <v>22</v>
      </c>
      <c r="G75" t="s">
        <v>30</v>
      </c>
      <c r="H75">
        <v>20997</v>
      </c>
      <c r="I75" t="s">
        <v>24</v>
      </c>
      <c r="J75">
        <v>4.14</v>
      </c>
      <c r="K75">
        <v>86927.58</v>
      </c>
      <c r="L75" t="s">
        <v>637</v>
      </c>
      <c r="M75" t="s">
        <v>689</v>
      </c>
      <c r="N75">
        <v>3.5207</v>
      </c>
      <c r="O75" t="s">
        <v>27</v>
      </c>
      <c r="P75" t="s">
        <v>692</v>
      </c>
      <c r="Q75">
        <v>7</v>
      </c>
    </row>
    <row r="76" spans="1:18">
      <c r="A76">
        <v>75</v>
      </c>
      <c r="B76">
        <v>1</v>
      </c>
      <c r="C76">
        <v>20240109</v>
      </c>
      <c r="D76" t="s">
        <v>28</v>
      </c>
      <c r="E76" t="s">
        <v>21</v>
      </c>
      <c r="F76" t="s">
        <v>22</v>
      </c>
      <c r="G76" t="s">
        <v>30</v>
      </c>
      <c r="H76">
        <v>5702</v>
      </c>
      <c r="I76" t="s">
        <v>24</v>
      </c>
      <c r="J76">
        <v>4.14</v>
      </c>
      <c r="K76">
        <v>23606.28</v>
      </c>
      <c r="L76" t="s">
        <v>637</v>
      </c>
      <c r="M76" t="s">
        <v>689</v>
      </c>
      <c r="N76">
        <v>3.5538</v>
      </c>
      <c r="O76" t="s">
        <v>27</v>
      </c>
      <c r="P76" t="s">
        <v>692</v>
      </c>
      <c r="Q76">
        <v>1</v>
      </c>
    </row>
    <row r="77" spans="1:18">
      <c r="A77">
        <v>76</v>
      </c>
      <c r="B77">
        <v>1</v>
      </c>
      <c r="C77">
        <v>20240109</v>
      </c>
      <c r="D77" t="s">
        <v>20</v>
      </c>
      <c r="E77" t="s">
        <v>21</v>
      </c>
      <c r="F77" t="s">
        <v>22</v>
      </c>
      <c r="G77" t="s">
        <v>99</v>
      </c>
      <c r="H77">
        <v>17951</v>
      </c>
      <c r="I77" t="s">
        <v>24</v>
      </c>
      <c r="J77">
        <v>4.14</v>
      </c>
      <c r="K77">
        <v>74317.14</v>
      </c>
      <c r="L77" t="s">
        <v>634</v>
      </c>
      <c r="M77" t="s">
        <v>693</v>
      </c>
      <c r="N77">
        <v>4.033</v>
      </c>
      <c r="O77" t="s">
        <v>27</v>
      </c>
      <c r="P77" t="s">
        <v>694</v>
      </c>
      <c r="Q77">
        <v>2</v>
      </c>
      <c r="R77">
        <v>3.803</v>
      </c>
    </row>
    <row r="78" spans="1:18">
      <c r="A78">
        <v>77</v>
      </c>
      <c r="B78">
        <v>1</v>
      </c>
      <c r="C78">
        <v>20240109</v>
      </c>
      <c r="D78" t="s">
        <v>20</v>
      </c>
      <c r="E78" t="s">
        <v>21</v>
      </c>
      <c r="F78" t="s">
        <v>46</v>
      </c>
      <c r="G78" t="s">
        <v>633</v>
      </c>
      <c r="H78">
        <v>102130</v>
      </c>
      <c r="I78" t="s">
        <v>24</v>
      </c>
      <c r="J78">
        <v>7.46</v>
      </c>
      <c r="K78">
        <v>761889.8</v>
      </c>
      <c r="L78" t="s">
        <v>634</v>
      </c>
      <c r="N78">
        <v>4.93</v>
      </c>
      <c r="O78" t="s">
        <v>43</v>
      </c>
      <c r="P78" t="s">
        <v>695</v>
      </c>
      <c r="Q78">
        <v>7</v>
      </c>
      <c r="R78" t="s">
        <v>89</v>
      </c>
    </row>
    <row r="79" spans="1:18">
      <c r="A79">
        <v>78</v>
      </c>
      <c r="B79">
        <v>1</v>
      </c>
      <c r="C79">
        <v>20240110</v>
      </c>
      <c r="D79" t="s">
        <v>20</v>
      </c>
      <c r="E79" t="s">
        <v>21</v>
      </c>
      <c r="F79" t="s">
        <v>32</v>
      </c>
      <c r="G79" t="s">
        <v>50</v>
      </c>
      <c r="H79">
        <v>717255</v>
      </c>
      <c r="I79" t="s">
        <v>24</v>
      </c>
      <c r="J79">
        <v>5.53</v>
      </c>
      <c r="K79">
        <v>3966420.15</v>
      </c>
      <c r="L79" t="s">
        <v>637</v>
      </c>
      <c r="M79" t="s">
        <v>696</v>
      </c>
      <c r="N79">
        <v>4.7765</v>
      </c>
      <c r="O79" t="s">
        <v>27</v>
      </c>
      <c r="P79" t="s">
        <v>697</v>
      </c>
      <c r="Q79">
        <v>91</v>
      </c>
      <c r="R79">
        <v>7.024</v>
      </c>
    </row>
    <row r="80" spans="1:18">
      <c r="A80">
        <v>79</v>
      </c>
      <c r="B80">
        <v>1</v>
      </c>
      <c r="C80">
        <v>20240110</v>
      </c>
      <c r="D80" t="s">
        <v>20</v>
      </c>
      <c r="E80" t="s">
        <v>21</v>
      </c>
      <c r="F80" t="s">
        <v>32</v>
      </c>
      <c r="G80" t="s">
        <v>72</v>
      </c>
      <c r="H80">
        <v>262360</v>
      </c>
      <c r="I80" t="s">
        <v>24</v>
      </c>
      <c r="J80">
        <v>3.53</v>
      </c>
      <c r="K80">
        <v>926130.8</v>
      </c>
      <c r="L80" t="s">
        <v>634</v>
      </c>
      <c r="M80" t="s">
        <v>696</v>
      </c>
      <c r="N80">
        <v>3.2196</v>
      </c>
      <c r="O80" t="s">
        <v>27</v>
      </c>
      <c r="P80" t="s">
        <v>698</v>
      </c>
      <c r="Q80">
        <v>121</v>
      </c>
    </row>
    <row r="81" spans="1:19">
      <c r="A81">
        <v>80</v>
      </c>
      <c r="B81">
        <v>1</v>
      </c>
      <c r="C81">
        <v>20240110</v>
      </c>
      <c r="D81" t="s">
        <v>20</v>
      </c>
      <c r="E81" t="s">
        <v>21</v>
      </c>
      <c r="F81" t="s">
        <v>32</v>
      </c>
      <c r="G81" t="s">
        <v>640</v>
      </c>
      <c r="H81">
        <v>290939</v>
      </c>
      <c r="I81" t="s">
        <v>24</v>
      </c>
      <c r="J81">
        <v>5.47</v>
      </c>
      <c r="K81">
        <v>1591436.33</v>
      </c>
      <c r="L81" t="s">
        <v>634</v>
      </c>
      <c r="M81" t="s">
        <v>699</v>
      </c>
      <c r="N81">
        <v>5.0362</v>
      </c>
      <c r="O81" t="s">
        <v>27</v>
      </c>
      <c r="P81" t="s">
        <v>700</v>
      </c>
      <c r="Q81">
        <v>40</v>
      </c>
      <c r="R81">
        <v>7.1094</v>
      </c>
    </row>
    <row r="82" spans="1:19">
      <c r="A82">
        <v>81</v>
      </c>
      <c r="B82">
        <v>1</v>
      </c>
      <c r="C82">
        <v>20240110</v>
      </c>
      <c r="D82" t="s">
        <v>20</v>
      </c>
      <c r="E82" t="s">
        <v>21</v>
      </c>
      <c r="F82" t="s">
        <v>29</v>
      </c>
      <c r="G82" t="s">
        <v>102</v>
      </c>
      <c r="H82">
        <v>45</v>
      </c>
      <c r="I82" t="s">
        <v>24</v>
      </c>
      <c r="J82">
        <v>5.63</v>
      </c>
      <c r="K82">
        <v>253.35</v>
      </c>
      <c r="L82" t="s">
        <v>634</v>
      </c>
      <c r="N82">
        <v>5.52</v>
      </c>
      <c r="O82" t="s">
        <v>43</v>
      </c>
      <c r="P82" t="s">
        <v>701</v>
      </c>
      <c r="Q82">
        <v>1</v>
      </c>
      <c r="S82">
        <v>4.48</v>
      </c>
    </row>
    <row r="83" spans="1:19">
      <c r="A83">
        <v>82</v>
      </c>
      <c r="B83">
        <v>1</v>
      </c>
      <c r="C83">
        <v>20240110</v>
      </c>
      <c r="D83" t="s">
        <v>20</v>
      </c>
      <c r="E83" t="s">
        <v>21</v>
      </c>
      <c r="F83" t="s">
        <v>29</v>
      </c>
      <c r="G83" t="s">
        <v>47</v>
      </c>
      <c r="H83">
        <v>1448</v>
      </c>
      <c r="I83" t="s">
        <v>24</v>
      </c>
      <c r="J83">
        <v>7.46</v>
      </c>
      <c r="K83">
        <v>10802.08</v>
      </c>
      <c r="L83" t="s">
        <v>637</v>
      </c>
      <c r="N83">
        <v>5.2</v>
      </c>
      <c r="O83" t="s">
        <v>43</v>
      </c>
      <c r="P83" t="s">
        <v>702</v>
      </c>
      <c r="Q83">
        <v>1</v>
      </c>
      <c r="R83">
        <v>5.2041</v>
      </c>
      <c r="S83">
        <v>7.46</v>
      </c>
    </row>
    <row r="84" spans="1:19">
      <c r="A84">
        <v>83</v>
      </c>
      <c r="B84">
        <v>1</v>
      </c>
      <c r="C84">
        <v>20240110</v>
      </c>
      <c r="D84" t="s">
        <v>20</v>
      </c>
      <c r="E84" t="s">
        <v>21</v>
      </c>
      <c r="F84" t="s">
        <v>29</v>
      </c>
      <c r="G84" t="s">
        <v>42</v>
      </c>
      <c r="H84">
        <v>27036</v>
      </c>
      <c r="I84" t="s">
        <v>24</v>
      </c>
      <c r="J84">
        <v>5.7</v>
      </c>
      <c r="K84">
        <v>154105.2</v>
      </c>
      <c r="L84" t="s">
        <v>634</v>
      </c>
      <c r="N84">
        <v>5.59</v>
      </c>
      <c r="O84" t="s">
        <v>43</v>
      </c>
      <c r="P84" t="s">
        <v>703</v>
      </c>
      <c r="Q84">
        <v>14</v>
      </c>
      <c r="R84">
        <v>6.9333</v>
      </c>
      <c r="S84">
        <v>4.48</v>
      </c>
    </row>
    <row r="85" spans="1:19">
      <c r="A85">
        <v>84</v>
      </c>
      <c r="B85">
        <v>1</v>
      </c>
      <c r="C85">
        <v>20240110</v>
      </c>
      <c r="D85" t="s">
        <v>28</v>
      </c>
      <c r="E85" t="s">
        <v>21</v>
      </c>
      <c r="F85" t="s">
        <v>41</v>
      </c>
      <c r="G85" t="s">
        <v>30</v>
      </c>
      <c r="H85">
        <v>39028</v>
      </c>
      <c r="I85" t="s">
        <v>24</v>
      </c>
      <c r="J85">
        <v>4.14</v>
      </c>
      <c r="K85">
        <v>161575.92</v>
      </c>
      <c r="L85" t="s">
        <v>637</v>
      </c>
      <c r="N85">
        <v>4.05</v>
      </c>
      <c r="O85" t="s">
        <v>43</v>
      </c>
      <c r="P85" t="s">
        <v>704</v>
      </c>
      <c r="Q85">
        <v>12</v>
      </c>
    </row>
    <row r="86" spans="1:19">
      <c r="A86">
        <v>85</v>
      </c>
      <c r="B86">
        <v>1</v>
      </c>
      <c r="C86">
        <v>20240110</v>
      </c>
      <c r="D86" t="s">
        <v>28</v>
      </c>
      <c r="E86" t="s">
        <v>21</v>
      </c>
      <c r="F86" t="s">
        <v>41</v>
      </c>
      <c r="G86" t="s">
        <v>37</v>
      </c>
      <c r="H86">
        <v>593</v>
      </c>
      <c r="I86" t="s">
        <v>24</v>
      </c>
      <c r="J86">
        <v>4.14</v>
      </c>
      <c r="K86">
        <v>2455.02</v>
      </c>
      <c r="L86" t="s">
        <v>637</v>
      </c>
      <c r="N86">
        <v>4.05</v>
      </c>
      <c r="O86" t="s">
        <v>43</v>
      </c>
      <c r="P86" t="s">
        <v>705</v>
      </c>
      <c r="Q86">
        <v>1</v>
      </c>
    </row>
    <row r="87" spans="1:19">
      <c r="A87">
        <v>86</v>
      </c>
      <c r="B87">
        <v>1</v>
      </c>
      <c r="C87">
        <v>20240111</v>
      </c>
      <c r="D87" t="s">
        <v>28</v>
      </c>
      <c r="E87" t="s">
        <v>21</v>
      </c>
      <c r="F87" t="s">
        <v>32</v>
      </c>
      <c r="G87" t="s">
        <v>37</v>
      </c>
      <c r="H87">
        <v>7243</v>
      </c>
      <c r="I87" t="s">
        <v>24</v>
      </c>
      <c r="J87">
        <v>4.14</v>
      </c>
      <c r="K87">
        <v>29986.02</v>
      </c>
      <c r="L87" t="s">
        <v>634</v>
      </c>
      <c r="M87" t="s">
        <v>706</v>
      </c>
      <c r="N87">
        <v>4.015</v>
      </c>
      <c r="O87" t="s">
        <v>27</v>
      </c>
      <c r="P87" t="s">
        <v>707</v>
      </c>
      <c r="Q87">
        <v>9</v>
      </c>
    </row>
    <row r="88" spans="1:19">
      <c r="A88">
        <v>87</v>
      </c>
      <c r="B88">
        <v>1</v>
      </c>
      <c r="C88">
        <v>20240111</v>
      </c>
      <c r="D88" t="s">
        <v>28</v>
      </c>
      <c r="E88" t="s">
        <v>21</v>
      </c>
      <c r="F88" t="s">
        <v>32</v>
      </c>
      <c r="G88" t="s">
        <v>30</v>
      </c>
      <c r="H88">
        <v>818605</v>
      </c>
      <c r="I88" t="s">
        <v>24</v>
      </c>
      <c r="J88">
        <v>4.14</v>
      </c>
      <c r="K88">
        <v>3389024.7</v>
      </c>
      <c r="L88" t="s">
        <v>634</v>
      </c>
      <c r="M88" t="s">
        <v>706</v>
      </c>
      <c r="N88">
        <v>4.015</v>
      </c>
      <c r="O88" t="s">
        <v>27</v>
      </c>
      <c r="P88" t="s">
        <v>708</v>
      </c>
      <c r="Q88">
        <v>90</v>
      </c>
    </row>
    <row r="89" spans="1:19">
      <c r="A89">
        <v>88</v>
      </c>
      <c r="B89">
        <v>1</v>
      </c>
      <c r="C89">
        <v>20240111</v>
      </c>
      <c r="D89" t="s">
        <v>28</v>
      </c>
      <c r="E89" t="s">
        <v>21</v>
      </c>
      <c r="F89" t="s">
        <v>32</v>
      </c>
      <c r="G89" t="s">
        <v>37</v>
      </c>
      <c r="H89">
        <v>81012</v>
      </c>
      <c r="I89" t="s">
        <v>24</v>
      </c>
      <c r="J89">
        <v>4.14</v>
      </c>
      <c r="K89">
        <v>335389.68</v>
      </c>
      <c r="L89" t="s">
        <v>654</v>
      </c>
      <c r="M89" t="s">
        <v>706</v>
      </c>
      <c r="N89">
        <v>4.015</v>
      </c>
      <c r="O89" t="s">
        <v>27</v>
      </c>
      <c r="P89" t="s">
        <v>707</v>
      </c>
      <c r="Q89">
        <v>9</v>
      </c>
    </row>
    <row r="90" spans="1:19">
      <c r="A90">
        <v>89</v>
      </c>
      <c r="B90">
        <v>1</v>
      </c>
      <c r="C90">
        <v>20240111</v>
      </c>
      <c r="D90" t="s">
        <v>28</v>
      </c>
      <c r="E90" t="s">
        <v>21</v>
      </c>
      <c r="F90" t="s">
        <v>32</v>
      </c>
      <c r="G90" t="s">
        <v>30</v>
      </c>
      <c r="H90">
        <v>22008</v>
      </c>
      <c r="I90" t="s">
        <v>24</v>
      </c>
      <c r="J90">
        <v>4.14</v>
      </c>
      <c r="K90">
        <v>91113.12</v>
      </c>
      <c r="L90" t="s">
        <v>654</v>
      </c>
      <c r="M90" t="s">
        <v>706</v>
      </c>
      <c r="N90">
        <v>4.015</v>
      </c>
      <c r="O90" t="s">
        <v>27</v>
      </c>
      <c r="P90" t="s">
        <v>708</v>
      </c>
      <c r="Q90">
        <v>11</v>
      </c>
    </row>
    <row r="91" spans="1:19">
      <c r="A91">
        <v>90</v>
      </c>
      <c r="B91">
        <v>1</v>
      </c>
      <c r="C91">
        <v>20240111</v>
      </c>
      <c r="D91" t="s">
        <v>28</v>
      </c>
      <c r="E91" t="s">
        <v>21</v>
      </c>
      <c r="F91" t="s">
        <v>32</v>
      </c>
      <c r="G91" t="s">
        <v>37</v>
      </c>
      <c r="H91">
        <v>121017</v>
      </c>
      <c r="I91" t="s">
        <v>24</v>
      </c>
      <c r="J91">
        <v>4.14</v>
      </c>
      <c r="K91">
        <v>501010.38</v>
      </c>
      <c r="L91" t="s">
        <v>637</v>
      </c>
      <c r="M91" t="s">
        <v>706</v>
      </c>
      <c r="N91">
        <v>4.015</v>
      </c>
      <c r="O91" t="s">
        <v>27</v>
      </c>
      <c r="P91" t="s">
        <v>707</v>
      </c>
      <c r="Q91">
        <v>18</v>
      </c>
    </row>
    <row r="92" spans="1:19">
      <c r="A92">
        <v>91</v>
      </c>
      <c r="B92">
        <v>1</v>
      </c>
      <c r="C92">
        <v>20240111</v>
      </c>
      <c r="D92" t="s">
        <v>28</v>
      </c>
      <c r="E92" t="s">
        <v>21</v>
      </c>
      <c r="F92" t="s">
        <v>32</v>
      </c>
      <c r="G92" t="s">
        <v>30</v>
      </c>
      <c r="H92">
        <v>708636</v>
      </c>
      <c r="I92" t="s">
        <v>24</v>
      </c>
      <c r="J92">
        <v>4.14</v>
      </c>
      <c r="K92">
        <v>2933753.04</v>
      </c>
      <c r="L92" t="s">
        <v>637</v>
      </c>
      <c r="M92" t="s">
        <v>706</v>
      </c>
      <c r="N92">
        <v>4.015</v>
      </c>
      <c r="O92" t="s">
        <v>27</v>
      </c>
      <c r="P92" t="s">
        <v>708</v>
      </c>
      <c r="Q92">
        <v>136</v>
      </c>
    </row>
    <row r="93" spans="1:19">
      <c r="A93">
        <v>92</v>
      </c>
      <c r="B93">
        <v>1</v>
      </c>
      <c r="C93">
        <v>20240111</v>
      </c>
      <c r="D93" t="s">
        <v>28</v>
      </c>
      <c r="E93" t="s">
        <v>21</v>
      </c>
      <c r="F93" t="s">
        <v>32</v>
      </c>
      <c r="G93" t="s">
        <v>30</v>
      </c>
      <c r="H93">
        <v>332</v>
      </c>
      <c r="I93" t="s">
        <v>24</v>
      </c>
      <c r="J93">
        <v>4.14</v>
      </c>
      <c r="K93">
        <v>1374.48</v>
      </c>
      <c r="L93" t="s">
        <v>637</v>
      </c>
      <c r="M93" t="s">
        <v>706</v>
      </c>
      <c r="N93">
        <v>4.021</v>
      </c>
      <c r="O93" t="s">
        <v>27</v>
      </c>
      <c r="P93" t="s">
        <v>708</v>
      </c>
    </row>
    <row r="94" spans="1:19">
      <c r="A94">
        <v>93</v>
      </c>
      <c r="B94">
        <v>1</v>
      </c>
      <c r="C94">
        <v>20240111</v>
      </c>
      <c r="D94" t="s">
        <v>20</v>
      </c>
      <c r="E94" t="s">
        <v>21</v>
      </c>
      <c r="F94" t="s">
        <v>32</v>
      </c>
      <c r="G94" t="s">
        <v>640</v>
      </c>
      <c r="H94">
        <v>474490</v>
      </c>
      <c r="I94" t="s">
        <v>24</v>
      </c>
      <c r="J94">
        <v>5.47</v>
      </c>
      <c r="K94">
        <v>2595460.3</v>
      </c>
      <c r="L94" t="s">
        <v>634</v>
      </c>
      <c r="M94" t="s">
        <v>709</v>
      </c>
      <c r="N94">
        <v>5.0362</v>
      </c>
      <c r="O94" t="s">
        <v>27</v>
      </c>
      <c r="P94" t="s">
        <v>710</v>
      </c>
      <c r="Q94">
        <v>51</v>
      </c>
      <c r="R94">
        <v>7.1094</v>
      </c>
    </row>
    <row r="95" spans="1:19">
      <c r="A95">
        <v>94</v>
      </c>
      <c r="B95">
        <v>1</v>
      </c>
      <c r="C95">
        <v>20240111</v>
      </c>
      <c r="D95" t="s">
        <v>28</v>
      </c>
      <c r="E95" t="s">
        <v>21</v>
      </c>
      <c r="F95" t="s">
        <v>22</v>
      </c>
      <c r="G95" t="s">
        <v>30</v>
      </c>
      <c r="H95">
        <v>1050795</v>
      </c>
      <c r="I95" t="s">
        <v>24</v>
      </c>
      <c r="J95">
        <v>4.14</v>
      </c>
      <c r="K95">
        <v>4350291.3</v>
      </c>
      <c r="L95" t="s">
        <v>634</v>
      </c>
      <c r="N95">
        <v>4.0616</v>
      </c>
      <c r="O95" t="s">
        <v>43</v>
      </c>
      <c r="P95" t="s">
        <v>711</v>
      </c>
      <c r="Q95">
        <v>38</v>
      </c>
    </row>
    <row r="96" spans="1:19">
      <c r="A96">
        <v>95</v>
      </c>
      <c r="B96">
        <v>1</v>
      </c>
      <c r="C96">
        <v>20240111</v>
      </c>
      <c r="D96" t="s">
        <v>28</v>
      </c>
      <c r="E96" t="s">
        <v>21</v>
      </c>
      <c r="F96" t="s">
        <v>22</v>
      </c>
      <c r="G96" t="s">
        <v>37</v>
      </c>
      <c r="H96">
        <v>66158</v>
      </c>
      <c r="I96" t="s">
        <v>24</v>
      </c>
      <c r="J96">
        <v>4.14</v>
      </c>
      <c r="K96">
        <v>273894.12</v>
      </c>
      <c r="L96" t="s">
        <v>634</v>
      </c>
      <c r="N96">
        <v>4.0574</v>
      </c>
      <c r="O96" t="s">
        <v>43</v>
      </c>
      <c r="P96" t="s">
        <v>712</v>
      </c>
      <c r="Q96">
        <v>6</v>
      </c>
    </row>
    <row r="97" spans="1:19">
      <c r="A97">
        <v>96</v>
      </c>
      <c r="B97">
        <v>1</v>
      </c>
      <c r="C97">
        <v>20240111</v>
      </c>
      <c r="D97" t="s">
        <v>28</v>
      </c>
      <c r="E97" t="s">
        <v>21</v>
      </c>
      <c r="F97" t="s">
        <v>22</v>
      </c>
      <c r="G97" t="s">
        <v>30</v>
      </c>
      <c r="H97">
        <v>1883</v>
      </c>
      <c r="I97" t="s">
        <v>24</v>
      </c>
      <c r="J97">
        <v>4.14</v>
      </c>
      <c r="K97">
        <v>7795.62</v>
      </c>
      <c r="L97" t="s">
        <v>654</v>
      </c>
      <c r="N97">
        <v>4.049</v>
      </c>
      <c r="O97" t="s">
        <v>43</v>
      </c>
      <c r="P97" t="s">
        <v>711</v>
      </c>
      <c r="Q97">
        <v>4</v>
      </c>
    </row>
    <row r="98" spans="1:19">
      <c r="A98">
        <v>97</v>
      </c>
      <c r="B98">
        <v>1</v>
      </c>
      <c r="C98">
        <v>20240111</v>
      </c>
      <c r="D98" t="s">
        <v>28</v>
      </c>
      <c r="E98" t="s">
        <v>21</v>
      </c>
      <c r="F98" t="s">
        <v>22</v>
      </c>
      <c r="G98" t="s">
        <v>37</v>
      </c>
      <c r="H98">
        <v>36683</v>
      </c>
      <c r="I98" t="s">
        <v>24</v>
      </c>
      <c r="J98">
        <v>4.14</v>
      </c>
      <c r="K98">
        <v>151867.62</v>
      </c>
      <c r="L98" t="s">
        <v>654</v>
      </c>
      <c r="N98">
        <v>4.036</v>
      </c>
      <c r="O98" t="s">
        <v>43</v>
      </c>
      <c r="P98" t="s">
        <v>712</v>
      </c>
      <c r="Q98">
        <v>5</v>
      </c>
    </row>
    <row r="99" spans="1:19">
      <c r="A99">
        <v>98</v>
      </c>
      <c r="B99">
        <v>1</v>
      </c>
      <c r="C99">
        <v>20240111</v>
      </c>
      <c r="D99" t="s">
        <v>28</v>
      </c>
      <c r="E99" t="s">
        <v>21</v>
      </c>
      <c r="F99" t="s">
        <v>22</v>
      </c>
      <c r="G99" t="s">
        <v>30</v>
      </c>
      <c r="H99">
        <v>300977</v>
      </c>
      <c r="I99" t="s">
        <v>24</v>
      </c>
      <c r="J99">
        <v>4.14</v>
      </c>
      <c r="K99">
        <v>1246044.78</v>
      </c>
      <c r="L99" t="s">
        <v>637</v>
      </c>
      <c r="N99">
        <v>3.5761</v>
      </c>
      <c r="O99" t="s">
        <v>43</v>
      </c>
      <c r="P99" t="s">
        <v>711</v>
      </c>
      <c r="Q99">
        <v>13</v>
      </c>
    </row>
    <row r="100" spans="1:19">
      <c r="A100">
        <v>99</v>
      </c>
      <c r="B100">
        <v>1</v>
      </c>
      <c r="C100">
        <v>20240111</v>
      </c>
      <c r="D100" t="s">
        <v>28</v>
      </c>
      <c r="E100" t="s">
        <v>21</v>
      </c>
      <c r="F100" t="s">
        <v>22</v>
      </c>
      <c r="G100" t="s">
        <v>30</v>
      </c>
      <c r="H100">
        <v>166058</v>
      </c>
      <c r="I100" t="s">
        <v>24</v>
      </c>
      <c r="J100">
        <v>4.14</v>
      </c>
      <c r="K100">
        <v>687480.12</v>
      </c>
      <c r="L100" t="s">
        <v>637</v>
      </c>
      <c r="N100">
        <v>3.509</v>
      </c>
      <c r="O100" t="s">
        <v>43</v>
      </c>
      <c r="P100" t="s">
        <v>711</v>
      </c>
      <c r="Q100">
        <v>10</v>
      </c>
    </row>
    <row r="101" spans="1:19">
      <c r="A101">
        <v>100</v>
      </c>
      <c r="B101">
        <v>1</v>
      </c>
      <c r="C101">
        <v>20240111</v>
      </c>
      <c r="D101" t="s">
        <v>28</v>
      </c>
      <c r="E101" t="s">
        <v>21</v>
      </c>
      <c r="F101" t="s">
        <v>22</v>
      </c>
      <c r="G101" t="s">
        <v>30</v>
      </c>
      <c r="H101">
        <v>44398</v>
      </c>
      <c r="I101" t="s">
        <v>24</v>
      </c>
      <c r="J101">
        <v>4.14</v>
      </c>
      <c r="K101">
        <v>183807.72</v>
      </c>
      <c r="L101" t="s">
        <v>637</v>
      </c>
      <c r="N101">
        <v>4.049</v>
      </c>
      <c r="O101" t="s">
        <v>43</v>
      </c>
      <c r="P101" t="s">
        <v>711</v>
      </c>
      <c r="Q101">
        <v>4</v>
      </c>
    </row>
    <row r="102" spans="1:19">
      <c r="A102">
        <v>101</v>
      </c>
      <c r="B102">
        <v>1</v>
      </c>
      <c r="C102">
        <v>20240111</v>
      </c>
      <c r="D102" t="s">
        <v>28</v>
      </c>
      <c r="E102" t="s">
        <v>21</v>
      </c>
      <c r="F102" t="s">
        <v>22</v>
      </c>
      <c r="G102" t="s">
        <v>30</v>
      </c>
      <c r="H102">
        <v>10213</v>
      </c>
      <c r="I102" t="s">
        <v>24</v>
      </c>
      <c r="J102">
        <v>4.14</v>
      </c>
      <c r="K102">
        <v>42281.82</v>
      </c>
      <c r="L102" t="s">
        <v>637</v>
      </c>
      <c r="N102">
        <v>3.5538</v>
      </c>
      <c r="O102" t="s">
        <v>43</v>
      </c>
      <c r="P102" t="s">
        <v>711</v>
      </c>
      <c r="Q102">
        <v>4</v>
      </c>
    </row>
    <row r="103" spans="1:19">
      <c r="A103">
        <v>102</v>
      </c>
      <c r="B103">
        <v>1</v>
      </c>
      <c r="C103">
        <v>20240111</v>
      </c>
      <c r="D103" t="s">
        <v>28</v>
      </c>
      <c r="E103" t="s">
        <v>21</v>
      </c>
      <c r="F103" t="s">
        <v>22</v>
      </c>
      <c r="G103" t="s">
        <v>30</v>
      </c>
      <c r="H103">
        <v>8358</v>
      </c>
      <c r="I103" t="s">
        <v>24</v>
      </c>
      <c r="J103">
        <v>4.14</v>
      </c>
      <c r="K103">
        <v>34602.12</v>
      </c>
      <c r="L103" t="s">
        <v>637</v>
      </c>
      <c r="N103">
        <v>4.049</v>
      </c>
      <c r="O103" t="s">
        <v>43</v>
      </c>
      <c r="P103" t="s">
        <v>711</v>
      </c>
      <c r="Q103">
        <v>4</v>
      </c>
    </row>
    <row r="104" spans="1:19">
      <c r="A104">
        <v>103</v>
      </c>
      <c r="B104">
        <v>1</v>
      </c>
      <c r="C104">
        <v>20240111</v>
      </c>
      <c r="D104" t="s">
        <v>28</v>
      </c>
      <c r="E104" t="s">
        <v>21</v>
      </c>
      <c r="F104" t="s">
        <v>22</v>
      </c>
      <c r="G104" t="s">
        <v>37</v>
      </c>
      <c r="H104">
        <v>57706</v>
      </c>
      <c r="I104" t="s">
        <v>24</v>
      </c>
      <c r="J104">
        <v>4.14</v>
      </c>
      <c r="K104">
        <v>238902.84</v>
      </c>
      <c r="L104" t="s">
        <v>637</v>
      </c>
      <c r="N104">
        <v>4.0586</v>
      </c>
      <c r="O104" t="s">
        <v>43</v>
      </c>
      <c r="P104" t="s">
        <v>712</v>
      </c>
      <c r="Q104">
        <v>5</v>
      </c>
    </row>
    <row r="105" spans="1:19">
      <c r="A105">
        <v>104</v>
      </c>
      <c r="B105">
        <v>1</v>
      </c>
      <c r="C105">
        <v>20240111</v>
      </c>
      <c r="D105" t="s">
        <v>28</v>
      </c>
      <c r="E105" t="s">
        <v>21</v>
      </c>
      <c r="F105" t="s">
        <v>22</v>
      </c>
      <c r="G105" t="s">
        <v>37</v>
      </c>
      <c r="H105">
        <v>9302</v>
      </c>
      <c r="I105" t="s">
        <v>24</v>
      </c>
      <c r="J105">
        <v>4.14</v>
      </c>
      <c r="K105">
        <v>38510.28</v>
      </c>
      <c r="L105" t="s">
        <v>637</v>
      </c>
      <c r="N105">
        <v>3.5193</v>
      </c>
      <c r="O105" t="s">
        <v>43</v>
      </c>
      <c r="P105" t="s">
        <v>712</v>
      </c>
      <c r="Q105">
        <v>5</v>
      </c>
    </row>
    <row r="106" spans="1:19">
      <c r="A106">
        <v>105</v>
      </c>
      <c r="B106">
        <v>1</v>
      </c>
      <c r="C106">
        <v>20240111</v>
      </c>
      <c r="D106" t="s">
        <v>28</v>
      </c>
      <c r="E106" t="s">
        <v>21</v>
      </c>
      <c r="F106" t="s">
        <v>22</v>
      </c>
      <c r="G106" t="s">
        <v>37</v>
      </c>
      <c r="H106">
        <v>74215</v>
      </c>
      <c r="I106" t="s">
        <v>24</v>
      </c>
      <c r="J106">
        <v>4.14</v>
      </c>
      <c r="K106">
        <v>307250.1</v>
      </c>
      <c r="L106" t="s">
        <v>637</v>
      </c>
      <c r="N106">
        <v>3.5725</v>
      </c>
      <c r="O106" t="s">
        <v>43</v>
      </c>
      <c r="P106" t="s">
        <v>712</v>
      </c>
      <c r="Q106">
        <v>5</v>
      </c>
    </row>
    <row r="107" spans="1:19">
      <c r="A107">
        <v>106</v>
      </c>
      <c r="B107">
        <v>1</v>
      </c>
      <c r="C107">
        <v>20240111</v>
      </c>
      <c r="D107" t="s">
        <v>28</v>
      </c>
      <c r="E107" t="s">
        <v>21</v>
      </c>
      <c r="F107" t="s">
        <v>22</v>
      </c>
      <c r="G107" t="s">
        <v>37</v>
      </c>
      <c r="H107">
        <v>8985</v>
      </c>
      <c r="I107" t="s">
        <v>24</v>
      </c>
      <c r="J107">
        <v>4.14</v>
      </c>
      <c r="K107">
        <v>37197.9</v>
      </c>
      <c r="L107" t="s">
        <v>637</v>
      </c>
      <c r="N107">
        <v>3.5065</v>
      </c>
      <c r="O107" t="s">
        <v>43</v>
      </c>
      <c r="P107" t="s">
        <v>712</v>
      </c>
      <c r="Q107">
        <v>4</v>
      </c>
    </row>
    <row r="108" spans="1:19">
      <c r="A108">
        <v>107</v>
      </c>
      <c r="B108">
        <v>1</v>
      </c>
      <c r="C108">
        <v>20240111</v>
      </c>
      <c r="D108" t="s">
        <v>20</v>
      </c>
      <c r="E108" t="s">
        <v>21</v>
      </c>
      <c r="F108" t="s">
        <v>22</v>
      </c>
      <c r="G108" t="s">
        <v>30</v>
      </c>
      <c r="H108">
        <v>56784</v>
      </c>
      <c r="I108" t="s">
        <v>24</v>
      </c>
      <c r="J108">
        <v>4.14</v>
      </c>
      <c r="K108">
        <v>235085.76</v>
      </c>
      <c r="L108" t="s">
        <v>634</v>
      </c>
      <c r="N108">
        <v>4.0195</v>
      </c>
      <c r="O108" t="s">
        <v>43</v>
      </c>
      <c r="P108" t="s">
        <v>713</v>
      </c>
      <c r="Q108">
        <v>4</v>
      </c>
      <c r="R108">
        <v>4.9338</v>
      </c>
    </row>
    <row r="109" spans="1:19">
      <c r="A109">
        <v>108</v>
      </c>
      <c r="B109">
        <v>1</v>
      </c>
      <c r="C109">
        <v>20240111</v>
      </c>
      <c r="D109" t="s">
        <v>20</v>
      </c>
      <c r="E109" t="s">
        <v>21</v>
      </c>
      <c r="F109" t="s">
        <v>22</v>
      </c>
      <c r="G109" t="s">
        <v>30</v>
      </c>
      <c r="H109">
        <v>316</v>
      </c>
      <c r="I109" t="s">
        <v>24</v>
      </c>
      <c r="J109">
        <v>4.14</v>
      </c>
      <c r="K109">
        <v>1308.24</v>
      </c>
      <c r="L109" t="s">
        <v>637</v>
      </c>
      <c r="N109">
        <v>3.5243</v>
      </c>
      <c r="O109" t="s">
        <v>43</v>
      </c>
      <c r="P109" t="s">
        <v>713</v>
      </c>
      <c r="Q109">
        <v>4</v>
      </c>
      <c r="R109">
        <v>4.9338</v>
      </c>
    </row>
    <row r="110" spans="1:19">
      <c r="A110">
        <v>109</v>
      </c>
      <c r="B110">
        <v>1</v>
      </c>
      <c r="C110">
        <v>20240111</v>
      </c>
      <c r="D110" t="s">
        <v>20</v>
      </c>
      <c r="E110" t="s">
        <v>21</v>
      </c>
      <c r="F110" t="s">
        <v>29</v>
      </c>
      <c r="G110" t="s">
        <v>42</v>
      </c>
      <c r="H110">
        <v>27848</v>
      </c>
      <c r="I110" t="s">
        <v>24</v>
      </c>
      <c r="J110">
        <v>5.7</v>
      </c>
      <c r="K110">
        <v>158733.6</v>
      </c>
      <c r="L110" t="s">
        <v>634</v>
      </c>
      <c r="M110" t="s">
        <v>714</v>
      </c>
      <c r="N110">
        <v>5.59</v>
      </c>
      <c r="O110" t="s">
        <v>27</v>
      </c>
      <c r="P110" t="s">
        <v>715</v>
      </c>
      <c r="Q110">
        <v>4</v>
      </c>
      <c r="R110">
        <v>6.9333</v>
      </c>
      <c r="S110">
        <v>4.48</v>
      </c>
    </row>
    <row r="111" spans="1:19">
      <c r="A111">
        <v>110</v>
      </c>
      <c r="B111">
        <v>1</v>
      </c>
      <c r="C111">
        <v>20240111</v>
      </c>
      <c r="D111" t="s">
        <v>20</v>
      </c>
      <c r="E111" t="s">
        <v>21</v>
      </c>
      <c r="F111" t="s">
        <v>29</v>
      </c>
      <c r="G111" t="s">
        <v>42</v>
      </c>
      <c r="H111">
        <v>34556</v>
      </c>
      <c r="I111" t="s">
        <v>24</v>
      </c>
      <c r="J111">
        <v>5.7</v>
      </c>
      <c r="K111">
        <v>196969.2</v>
      </c>
      <c r="L111" t="s">
        <v>637</v>
      </c>
      <c r="M111" t="s">
        <v>714</v>
      </c>
      <c r="N111">
        <v>5.59</v>
      </c>
      <c r="O111" t="s">
        <v>27</v>
      </c>
      <c r="P111" t="s">
        <v>715</v>
      </c>
      <c r="Q111">
        <v>6</v>
      </c>
      <c r="R111">
        <v>6.9333</v>
      </c>
      <c r="S111">
        <v>4.48</v>
      </c>
    </row>
    <row r="112" spans="1:19">
      <c r="A112">
        <v>111</v>
      </c>
      <c r="B112">
        <v>1</v>
      </c>
      <c r="C112">
        <v>20240111</v>
      </c>
      <c r="D112" t="s">
        <v>20</v>
      </c>
      <c r="E112" t="s">
        <v>21</v>
      </c>
      <c r="F112" t="s">
        <v>29</v>
      </c>
      <c r="G112" t="s">
        <v>42</v>
      </c>
      <c r="H112">
        <v>259086</v>
      </c>
      <c r="I112" t="s">
        <v>24</v>
      </c>
      <c r="J112">
        <v>5.7</v>
      </c>
      <c r="K112">
        <v>1476790.2</v>
      </c>
      <c r="L112" t="s">
        <v>634</v>
      </c>
      <c r="M112" t="s">
        <v>714</v>
      </c>
      <c r="N112">
        <v>5.59</v>
      </c>
      <c r="O112" t="s">
        <v>27</v>
      </c>
      <c r="P112" t="s">
        <v>715</v>
      </c>
      <c r="Q112">
        <v>31</v>
      </c>
      <c r="R112">
        <v>6.9333</v>
      </c>
      <c r="S112">
        <v>4.48</v>
      </c>
    </row>
    <row r="113" spans="1:19">
      <c r="A113">
        <v>112</v>
      </c>
      <c r="B113">
        <v>1</v>
      </c>
      <c r="C113">
        <v>20240112</v>
      </c>
      <c r="D113" t="s">
        <v>20</v>
      </c>
      <c r="E113" t="s">
        <v>21</v>
      </c>
      <c r="F113" t="s">
        <v>22</v>
      </c>
      <c r="G113" t="s">
        <v>42</v>
      </c>
      <c r="H113">
        <v>1776748</v>
      </c>
      <c r="I113" t="s">
        <v>24</v>
      </c>
      <c r="J113">
        <v>5.63</v>
      </c>
      <c r="K113">
        <v>10003091.24</v>
      </c>
      <c r="L113" t="s">
        <v>634</v>
      </c>
      <c r="M113" t="s">
        <v>716</v>
      </c>
      <c r="N113">
        <v>5.516</v>
      </c>
      <c r="O113" t="s">
        <v>27</v>
      </c>
      <c r="P113" t="s">
        <v>717</v>
      </c>
      <c r="Q113">
        <v>67</v>
      </c>
      <c r="R113">
        <v>6.9333</v>
      </c>
      <c r="S113">
        <v>4.48</v>
      </c>
    </row>
    <row r="114" spans="1:19">
      <c r="A114">
        <v>113</v>
      </c>
      <c r="B114">
        <v>1</v>
      </c>
      <c r="C114">
        <v>20240112</v>
      </c>
      <c r="D114" t="s">
        <v>20</v>
      </c>
      <c r="E114" t="s">
        <v>21</v>
      </c>
      <c r="F114" t="s">
        <v>22</v>
      </c>
      <c r="G114" t="s">
        <v>42</v>
      </c>
      <c r="H114">
        <v>239507</v>
      </c>
      <c r="I114" t="s">
        <v>24</v>
      </c>
      <c r="J114">
        <v>4.58</v>
      </c>
      <c r="K114">
        <v>1096942.06</v>
      </c>
      <c r="L114" t="s">
        <v>637</v>
      </c>
      <c r="M114" t="s">
        <v>716</v>
      </c>
      <c r="N114">
        <v>4.4875</v>
      </c>
      <c r="O114" t="s">
        <v>27</v>
      </c>
      <c r="P114" t="s">
        <v>718</v>
      </c>
      <c r="Q114">
        <v>11</v>
      </c>
      <c r="R114">
        <v>6.9333</v>
      </c>
      <c r="S114">
        <v>4.48</v>
      </c>
    </row>
    <row r="115" spans="1:19">
      <c r="A115">
        <v>114</v>
      </c>
      <c r="B115">
        <v>1</v>
      </c>
      <c r="C115">
        <v>20240112</v>
      </c>
      <c r="D115" t="s">
        <v>28</v>
      </c>
      <c r="E115" t="s">
        <v>21</v>
      </c>
      <c r="F115" t="s">
        <v>41</v>
      </c>
      <c r="G115" t="s">
        <v>30</v>
      </c>
      <c r="H115">
        <v>148095</v>
      </c>
      <c r="I115" t="s">
        <v>24</v>
      </c>
      <c r="J115">
        <v>4.14</v>
      </c>
      <c r="K115">
        <v>613113.3</v>
      </c>
      <c r="L115" t="s">
        <v>634</v>
      </c>
      <c r="M115" t="s">
        <v>719</v>
      </c>
      <c r="N115">
        <v>4.05</v>
      </c>
      <c r="O115" t="s">
        <v>27</v>
      </c>
      <c r="P115" t="s">
        <v>720</v>
      </c>
      <c r="Q115">
        <v>13</v>
      </c>
    </row>
    <row r="116" spans="1:19">
      <c r="A116">
        <v>115</v>
      </c>
      <c r="B116">
        <v>1</v>
      </c>
      <c r="C116">
        <v>20240112</v>
      </c>
      <c r="D116" t="s">
        <v>28</v>
      </c>
      <c r="E116" t="s">
        <v>21</v>
      </c>
      <c r="F116" t="s">
        <v>41</v>
      </c>
      <c r="G116" t="s">
        <v>37</v>
      </c>
      <c r="H116">
        <v>32473</v>
      </c>
      <c r="I116" t="s">
        <v>24</v>
      </c>
      <c r="J116">
        <v>4.14</v>
      </c>
      <c r="K116">
        <v>134438.22</v>
      </c>
      <c r="L116" t="s">
        <v>634</v>
      </c>
      <c r="M116" t="s">
        <v>719</v>
      </c>
      <c r="N116">
        <v>4.05</v>
      </c>
      <c r="O116" t="s">
        <v>27</v>
      </c>
      <c r="P116" t="s">
        <v>721</v>
      </c>
      <c r="Q116">
        <v>3</v>
      </c>
    </row>
    <row r="117" spans="1:19">
      <c r="A117">
        <v>116</v>
      </c>
      <c r="B117">
        <v>1</v>
      </c>
      <c r="C117">
        <v>20240112</v>
      </c>
      <c r="D117" t="s">
        <v>28</v>
      </c>
      <c r="E117" t="s">
        <v>21</v>
      </c>
      <c r="F117" t="s">
        <v>41</v>
      </c>
      <c r="G117" t="s">
        <v>30</v>
      </c>
      <c r="H117">
        <v>270504</v>
      </c>
      <c r="I117" t="s">
        <v>24</v>
      </c>
      <c r="J117">
        <v>4.14</v>
      </c>
      <c r="K117">
        <v>1119886.56</v>
      </c>
      <c r="L117" t="s">
        <v>637</v>
      </c>
      <c r="M117" t="s">
        <v>719</v>
      </c>
      <c r="N117">
        <v>4.05</v>
      </c>
      <c r="O117" t="s">
        <v>27</v>
      </c>
      <c r="P117" t="s">
        <v>720</v>
      </c>
      <c r="Q117">
        <v>42</v>
      </c>
    </row>
    <row r="118" spans="1:19">
      <c r="A118">
        <v>117</v>
      </c>
      <c r="B118">
        <v>1</v>
      </c>
      <c r="C118">
        <v>20240112</v>
      </c>
      <c r="D118" t="s">
        <v>28</v>
      </c>
      <c r="E118" t="s">
        <v>21</v>
      </c>
      <c r="F118" t="s">
        <v>41</v>
      </c>
      <c r="G118" t="s">
        <v>37</v>
      </c>
      <c r="H118">
        <v>87503</v>
      </c>
      <c r="I118" t="s">
        <v>24</v>
      </c>
      <c r="J118">
        <v>4.14</v>
      </c>
      <c r="K118">
        <v>362262.42</v>
      </c>
      <c r="L118" t="s">
        <v>637</v>
      </c>
      <c r="M118" t="s">
        <v>719</v>
      </c>
      <c r="N118">
        <v>4.05</v>
      </c>
      <c r="O118" t="s">
        <v>27</v>
      </c>
      <c r="P118" t="s">
        <v>721</v>
      </c>
      <c r="Q118">
        <v>12</v>
      </c>
    </row>
    <row r="119" spans="1:19">
      <c r="A119">
        <v>118</v>
      </c>
      <c r="B119">
        <v>1</v>
      </c>
      <c r="C119">
        <v>20240112</v>
      </c>
      <c r="D119" t="s">
        <v>20</v>
      </c>
      <c r="E119" t="s">
        <v>21</v>
      </c>
      <c r="F119" t="s">
        <v>46</v>
      </c>
      <c r="G119" t="s">
        <v>47</v>
      </c>
      <c r="H119">
        <v>1492</v>
      </c>
      <c r="I119" t="s">
        <v>24</v>
      </c>
      <c r="J119">
        <v>7.46</v>
      </c>
      <c r="K119">
        <v>11130.32</v>
      </c>
      <c r="L119" t="s">
        <v>634</v>
      </c>
      <c r="M119" t="s">
        <v>722</v>
      </c>
      <c r="N119">
        <v>4.93</v>
      </c>
      <c r="O119" t="s">
        <v>27</v>
      </c>
      <c r="P119" t="s">
        <v>723</v>
      </c>
      <c r="Q119">
        <v>1</v>
      </c>
      <c r="R119">
        <v>5.2041</v>
      </c>
    </row>
    <row r="120" spans="1:19">
      <c r="A120">
        <v>119</v>
      </c>
      <c r="B120">
        <v>1</v>
      </c>
      <c r="C120">
        <v>20240112</v>
      </c>
      <c r="D120" t="s">
        <v>20</v>
      </c>
      <c r="E120" t="s">
        <v>21</v>
      </c>
      <c r="F120" t="s">
        <v>46</v>
      </c>
      <c r="G120" t="s">
        <v>633</v>
      </c>
      <c r="H120">
        <v>113527</v>
      </c>
      <c r="I120" t="s">
        <v>24</v>
      </c>
      <c r="J120">
        <v>7.46</v>
      </c>
      <c r="K120">
        <v>846911.42</v>
      </c>
      <c r="L120" t="s">
        <v>634</v>
      </c>
      <c r="M120" t="s">
        <v>722</v>
      </c>
      <c r="N120">
        <v>4.93</v>
      </c>
      <c r="O120" t="s">
        <v>27</v>
      </c>
      <c r="P120" t="s">
        <v>724</v>
      </c>
      <c r="Q120">
        <v>8</v>
      </c>
    </row>
    <row r="121" spans="1:19">
      <c r="A121">
        <v>120</v>
      </c>
      <c r="B121">
        <v>1</v>
      </c>
      <c r="C121">
        <v>20240112</v>
      </c>
      <c r="D121" t="s">
        <v>20</v>
      </c>
      <c r="E121" t="s">
        <v>21</v>
      </c>
      <c r="F121" t="s">
        <v>41</v>
      </c>
      <c r="G121" t="s">
        <v>42</v>
      </c>
      <c r="H121">
        <v>467673</v>
      </c>
      <c r="I121" t="s">
        <v>24</v>
      </c>
      <c r="J121">
        <v>5.63</v>
      </c>
      <c r="K121">
        <v>2632998.99</v>
      </c>
      <c r="L121" t="s">
        <v>634</v>
      </c>
      <c r="M121" t="s">
        <v>725</v>
      </c>
      <c r="N121">
        <v>5.516</v>
      </c>
      <c r="O121" t="s">
        <v>27</v>
      </c>
      <c r="P121" t="s">
        <v>726</v>
      </c>
      <c r="Q121">
        <v>43</v>
      </c>
      <c r="S121">
        <v>4.48</v>
      </c>
    </row>
    <row r="122" spans="1:19">
      <c r="A122">
        <v>121</v>
      </c>
      <c r="B122">
        <v>1</v>
      </c>
      <c r="C122">
        <v>20240112</v>
      </c>
      <c r="D122" t="s">
        <v>20</v>
      </c>
      <c r="E122" t="s">
        <v>21</v>
      </c>
      <c r="F122" t="s">
        <v>41</v>
      </c>
      <c r="G122" t="s">
        <v>42</v>
      </c>
      <c r="H122">
        <v>29864</v>
      </c>
      <c r="I122" t="s">
        <v>24</v>
      </c>
      <c r="J122">
        <v>5.63</v>
      </c>
      <c r="K122">
        <v>168134.32</v>
      </c>
      <c r="L122" t="s">
        <v>637</v>
      </c>
      <c r="M122" t="s">
        <v>725</v>
      </c>
      <c r="N122">
        <v>5.516</v>
      </c>
      <c r="O122" t="s">
        <v>27</v>
      </c>
      <c r="P122" t="s">
        <v>726</v>
      </c>
      <c r="Q122">
        <v>4</v>
      </c>
      <c r="R122">
        <v>6.9333</v>
      </c>
      <c r="S122">
        <v>4.48</v>
      </c>
    </row>
    <row r="123" spans="1:19">
      <c r="A123">
        <v>122</v>
      </c>
      <c r="B123">
        <v>1</v>
      </c>
      <c r="C123">
        <v>20240113</v>
      </c>
      <c r="D123" t="s">
        <v>20</v>
      </c>
      <c r="E123" t="s">
        <v>21</v>
      </c>
      <c r="F123" t="s">
        <v>32</v>
      </c>
      <c r="G123" t="s">
        <v>50</v>
      </c>
      <c r="H123">
        <v>14960</v>
      </c>
      <c r="I123" t="s">
        <v>24</v>
      </c>
      <c r="J123">
        <v>5.53</v>
      </c>
      <c r="K123">
        <v>82728.8</v>
      </c>
      <c r="L123" t="s">
        <v>637</v>
      </c>
      <c r="M123" t="s">
        <v>727</v>
      </c>
      <c r="N123">
        <v>4.7765</v>
      </c>
      <c r="O123" t="s">
        <v>27</v>
      </c>
      <c r="P123" t="s">
        <v>728</v>
      </c>
      <c r="Q123">
        <v>2</v>
      </c>
      <c r="R123">
        <v>7.024</v>
      </c>
    </row>
    <row r="124" spans="1:19">
      <c r="A124">
        <v>123</v>
      </c>
      <c r="B124">
        <v>1</v>
      </c>
      <c r="C124">
        <v>20240113</v>
      </c>
      <c r="D124" t="s">
        <v>20</v>
      </c>
      <c r="E124" t="s">
        <v>21</v>
      </c>
      <c r="F124" t="s">
        <v>32</v>
      </c>
      <c r="G124" t="s">
        <v>640</v>
      </c>
      <c r="H124">
        <v>447992</v>
      </c>
      <c r="I124" t="s">
        <v>24</v>
      </c>
      <c r="J124">
        <v>5.47</v>
      </c>
      <c r="K124">
        <v>2450516.24</v>
      </c>
      <c r="L124" t="s">
        <v>634</v>
      </c>
      <c r="M124" t="s">
        <v>727</v>
      </c>
      <c r="N124">
        <v>5.0362</v>
      </c>
      <c r="O124" t="s">
        <v>27</v>
      </c>
      <c r="P124" t="s">
        <v>729</v>
      </c>
      <c r="Q124">
        <v>245</v>
      </c>
      <c r="R124">
        <v>7.1094</v>
      </c>
    </row>
    <row r="125" spans="1:19">
      <c r="A125">
        <v>124</v>
      </c>
      <c r="B125">
        <v>1</v>
      </c>
      <c r="C125">
        <v>20240113</v>
      </c>
      <c r="D125" t="s">
        <v>28</v>
      </c>
      <c r="E125" t="s">
        <v>21</v>
      </c>
      <c r="F125" t="s">
        <v>32</v>
      </c>
      <c r="G125" t="s">
        <v>30</v>
      </c>
      <c r="H125">
        <v>7480</v>
      </c>
      <c r="I125" t="s">
        <v>24</v>
      </c>
      <c r="J125">
        <v>4.14</v>
      </c>
      <c r="K125">
        <v>30967.2</v>
      </c>
      <c r="L125" t="s">
        <v>637</v>
      </c>
      <c r="M125" t="s">
        <v>730</v>
      </c>
      <c r="N125">
        <v>4.015</v>
      </c>
      <c r="O125" t="s">
        <v>27</v>
      </c>
      <c r="P125" t="s">
        <v>731</v>
      </c>
      <c r="Q125">
        <v>1</v>
      </c>
    </row>
    <row r="126" spans="1:19">
      <c r="A126">
        <v>125</v>
      </c>
      <c r="B126">
        <v>1</v>
      </c>
      <c r="C126">
        <v>20240115</v>
      </c>
      <c r="D126" t="s">
        <v>20</v>
      </c>
      <c r="E126" t="s">
        <v>21</v>
      </c>
      <c r="F126" t="s">
        <v>59</v>
      </c>
      <c r="G126" t="s">
        <v>47</v>
      </c>
      <c r="H126">
        <v>257035</v>
      </c>
      <c r="I126" t="s">
        <v>24</v>
      </c>
      <c r="J126">
        <v>7.46</v>
      </c>
      <c r="K126">
        <v>1917481.1</v>
      </c>
      <c r="L126" t="s">
        <v>637</v>
      </c>
      <c r="M126" t="s">
        <v>732</v>
      </c>
      <c r="N126">
        <v>5.1366</v>
      </c>
      <c r="O126" t="s">
        <v>27</v>
      </c>
      <c r="P126" t="s">
        <v>733</v>
      </c>
      <c r="Q126">
        <v>20</v>
      </c>
      <c r="R126">
        <v>5.2041</v>
      </c>
    </row>
    <row r="127" spans="1:19">
      <c r="A127">
        <v>126</v>
      </c>
      <c r="B127">
        <v>1</v>
      </c>
      <c r="C127">
        <v>20240116</v>
      </c>
      <c r="D127" t="s">
        <v>20</v>
      </c>
      <c r="E127" t="s">
        <v>21</v>
      </c>
      <c r="F127" t="s">
        <v>32</v>
      </c>
      <c r="G127" t="s">
        <v>50</v>
      </c>
      <c r="H127">
        <v>805640</v>
      </c>
      <c r="I127" t="s">
        <v>24</v>
      </c>
      <c r="J127">
        <v>5.53</v>
      </c>
      <c r="K127">
        <v>4455189.2</v>
      </c>
      <c r="L127" t="s">
        <v>637</v>
      </c>
      <c r="M127" t="s">
        <v>734</v>
      </c>
      <c r="N127">
        <v>4.7765</v>
      </c>
      <c r="O127" t="s">
        <v>27</v>
      </c>
      <c r="P127" t="s">
        <v>735</v>
      </c>
      <c r="Q127">
        <v>67</v>
      </c>
      <c r="R127">
        <v>7.024</v>
      </c>
    </row>
    <row r="128" spans="1:19">
      <c r="A128">
        <v>127</v>
      </c>
      <c r="B128">
        <v>1</v>
      </c>
      <c r="C128">
        <v>20240116</v>
      </c>
      <c r="D128" t="s">
        <v>20</v>
      </c>
      <c r="E128" t="s">
        <v>21</v>
      </c>
      <c r="F128" t="s">
        <v>59</v>
      </c>
      <c r="G128" t="s">
        <v>47</v>
      </c>
      <c r="H128">
        <v>64458</v>
      </c>
      <c r="I128" t="s">
        <v>24</v>
      </c>
      <c r="J128">
        <v>7.46</v>
      </c>
      <c r="K128">
        <v>480856.68</v>
      </c>
      <c r="L128" t="s">
        <v>637</v>
      </c>
      <c r="M128" t="s">
        <v>736</v>
      </c>
      <c r="N128">
        <v>5.134354</v>
      </c>
      <c r="O128" t="s">
        <v>27</v>
      </c>
      <c r="P128" t="s">
        <v>737</v>
      </c>
      <c r="Q128">
        <v>1</v>
      </c>
      <c r="R128">
        <v>5.2041</v>
      </c>
    </row>
    <row r="129" spans="1:18">
      <c r="A129">
        <v>128</v>
      </c>
      <c r="B129">
        <v>1</v>
      </c>
      <c r="C129">
        <v>20240116</v>
      </c>
      <c r="D129" t="s">
        <v>20</v>
      </c>
      <c r="E129" t="s">
        <v>21</v>
      </c>
      <c r="F129" t="s">
        <v>22</v>
      </c>
      <c r="G129" t="s">
        <v>30</v>
      </c>
      <c r="H129">
        <v>336</v>
      </c>
      <c r="I129" t="s">
        <v>24</v>
      </c>
      <c r="J129">
        <v>4.14</v>
      </c>
      <c r="K129">
        <v>1391.04</v>
      </c>
      <c r="L129" t="s">
        <v>637</v>
      </c>
      <c r="M129" t="s">
        <v>738</v>
      </c>
      <c r="N129">
        <v>3.5538</v>
      </c>
      <c r="O129" t="s">
        <v>27</v>
      </c>
      <c r="P129" t="s">
        <v>739</v>
      </c>
      <c r="Q129">
        <v>1</v>
      </c>
      <c r="R129">
        <v>4.9338</v>
      </c>
    </row>
    <row r="130" spans="1:18">
      <c r="A130">
        <v>129</v>
      </c>
      <c r="B130">
        <v>1</v>
      </c>
      <c r="C130">
        <v>20240116</v>
      </c>
      <c r="D130" t="s">
        <v>20</v>
      </c>
      <c r="E130" t="s">
        <v>21</v>
      </c>
      <c r="F130" t="s">
        <v>22</v>
      </c>
      <c r="G130" t="s">
        <v>30</v>
      </c>
      <c r="H130">
        <v>345600</v>
      </c>
      <c r="I130" t="s">
        <v>24</v>
      </c>
      <c r="J130">
        <v>4.14</v>
      </c>
      <c r="K130">
        <v>1430784</v>
      </c>
      <c r="L130" t="s">
        <v>634</v>
      </c>
      <c r="M130" t="s">
        <v>738</v>
      </c>
      <c r="N130">
        <v>4.0263</v>
      </c>
      <c r="O130" t="s">
        <v>27</v>
      </c>
      <c r="P130" t="s">
        <v>739</v>
      </c>
      <c r="Q130">
        <v>16</v>
      </c>
      <c r="R130">
        <v>4.9338</v>
      </c>
    </row>
    <row r="131" spans="1:18">
      <c r="A131">
        <v>130</v>
      </c>
      <c r="B131">
        <v>1</v>
      </c>
      <c r="C131">
        <v>20240116</v>
      </c>
      <c r="D131" t="s">
        <v>28</v>
      </c>
      <c r="E131" t="s">
        <v>21</v>
      </c>
      <c r="F131" t="s">
        <v>22</v>
      </c>
      <c r="G131" t="s">
        <v>30</v>
      </c>
      <c r="H131">
        <v>46917</v>
      </c>
      <c r="I131" t="s">
        <v>24</v>
      </c>
      <c r="J131">
        <v>4.14</v>
      </c>
      <c r="K131">
        <v>194236.38</v>
      </c>
      <c r="L131" t="s">
        <v>637</v>
      </c>
      <c r="M131" t="s">
        <v>740</v>
      </c>
      <c r="N131">
        <v>3.5538</v>
      </c>
      <c r="O131" t="s">
        <v>27</v>
      </c>
      <c r="P131" t="s">
        <v>741</v>
      </c>
      <c r="Q131">
        <v>2</v>
      </c>
    </row>
    <row r="132" spans="1:18">
      <c r="A132">
        <v>131</v>
      </c>
      <c r="B132">
        <v>1</v>
      </c>
      <c r="C132">
        <v>20240116</v>
      </c>
      <c r="D132" t="s">
        <v>28</v>
      </c>
      <c r="E132" t="s">
        <v>21</v>
      </c>
      <c r="F132" t="s">
        <v>22</v>
      </c>
      <c r="G132" t="s">
        <v>37</v>
      </c>
      <c r="H132">
        <v>3933</v>
      </c>
      <c r="I132" t="s">
        <v>24</v>
      </c>
      <c r="J132">
        <v>4.14</v>
      </c>
      <c r="K132">
        <v>16282.62</v>
      </c>
      <c r="L132" t="s">
        <v>637</v>
      </c>
      <c r="M132" t="s">
        <v>740</v>
      </c>
      <c r="N132">
        <v>3.5538</v>
      </c>
      <c r="O132" t="s">
        <v>27</v>
      </c>
      <c r="P132" t="s">
        <v>742</v>
      </c>
      <c r="Q132">
        <v>2</v>
      </c>
    </row>
    <row r="133" spans="1:18">
      <c r="A133">
        <v>132</v>
      </c>
      <c r="B133">
        <v>1</v>
      </c>
      <c r="C133">
        <v>20240116</v>
      </c>
      <c r="D133" t="s">
        <v>28</v>
      </c>
      <c r="E133" t="s">
        <v>21</v>
      </c>
      <c r="F133" t="s">
        <v>22</v>
      </c>
      <c r="G133" t="s">
        <v>30</v>
      </c>
      <c r="H133">
        <v>19613</v>
      </c>
      <c r="I133" t="s">
        <v>24</v>
      </c>
      <c r="J133">
        <v>4.14</v>
      </c>
      <c r="K133">
        <v>81197.82</v>
      </c>
      <c r="L133" t="s">
        <v>654</v>
      </c>
      <c r="M133" t="s">
        <v>740</v>
      </c>
      <c r="N133">
        <v>4.0377</v>
      </c>
      <c r="O133" t="s">
        <v>27</v>
      </c>
      <c r="P133" t="s">
        <v>741</v>
      </c>
      <c r="Q133">
        <v>6</v>
      </c>
    </row>
    <row r="134" spans="1:18">
      <c r="A134">
        <v>133</v>
      </c>
      <c r="B134">
        <v>1</v>
      </c>
      <c r="C134">
        <v>20240116</v>
      </c>
      <c r="D134" t="s">
        <v>28</v>
      </c>
      <c r="E134" t="s">
        <v>21</v>
      </c>
      <c r="F134" t="s">
        <v>22</v>
      </c>
      <c r="G134" t="s">
        <v>37</v>
      </c>
      <c r="H134">
        <v>888</v>
      </c>
      <c r="I134" t="s">
        <v>24</v>
      </c>
      <c r="J134">
        <v>4.14</v>
      </c>
      <c r="K134">
        <v>3676.32</v>
      </c>
      <c r="L134" t="s">
        <v>654</v>
      </c>
      <c r="M134" t="s">
        <v>740</v>
      </c>
      <c r="N134">
        <v>4.479</v>
      </c>
      <c r="O134" t="s">
        <v>27</v>
      </c>
      <c r="P134" t="s">
        <v>742</v>
      </c>
      <c r="Q134">
        <v>1</v>
      </c>
    </row>
    <row r="135" spans="1:18">
      <c r="A135">
        <v>134</v>
      </c>
      <c r="B135">
        <v>1</v>
      </c>
      <c r="C135">
        <v>20240116</v>
      </c>
      <c r="D135" t="s">
        <v>28</v>
      </c>
      <c r="E135" t="s">
        <v>21</v>
      </c>
      <c r="F135" t="s">
        <v>22</v>
      </c>
      <c r="G135" t="s">
        <v>37</v>
      </c>
      <c r="H135">
        <v>5937</v>
      </c>
      <c r="I135" t="s">
        <v>24</v>
      </c>
      <c r="J135">
        <v>4.14</v>
      </c>
      <c r="K135">
        <v>24579.18</v>
      </c>
      <c r="L135" t="s">
        <v>634</v>
      </c>
      <c r="M135" t="s">
        <v>740</v>
      </c>
      <c r="N135">
        <v>4.049</v>
      </c>
      <c r="O135" t="s">
        <v>27</v>
      </c>
      <c r="P135" t="s">
        <v>742</v>
      </c>
      <c r="Q135">
        <v>2</v>
      </c>
    </row>
    <row r="136" spans="1:18">
      <c r="A136">
        <v>135</v>
      </c>
      <c r="B136">
        <v>1</v>
      </c>
      <c r="C136">
        <v>20240116</v>
      </c>
      <c r="D136" t="s">
        <v>20</v>
      </c>
      <c r="E136" t="s">
        <v>21</v>
      </c>
      <c r="F136" t="s">
        <v>29</v>
      </c>
      <c r="G136" t="s">
        <v>47</v>
      </c>
      <c r="H136">
        <v>7666</v>
      </c>
      <c r="I136" t="s">
        <v>24</v>
      </c>
      <c r="J136">
        <v>7.46</v>
      </c>
      <c r="K136">
        <v>57188.36</v>
      </c>
      <c r="L136" t="s">
        <v>637</v>
      </c>
      <c r="M136" t="s">
        <v>743</v>
      </c>
      <c r="N136">
        <v>5.1911</v>
      </c>
      <c r="O136" t="s">
        <v>27</v>
      </c>
      <c r="P136" t="s">
        <v>744</v>
      </c>
      <c r="Q136">
        <v>4</v>
      </c>
      <c r="R136">
        <v>5.2041</v>
      </c>
    </row>
    <row r="137" spans="1:18">
      <c r="A137">
        <v>136</v>
      </c>
      <c r="B137">
        <v>1</v>
      </c>
      <c r="C137">
        <v>20240117</v>
      </c>
      <c r="D137" t="s">
        <v>28</v>
      </c>
      <c r="E137" t="s">
        <v>21</v>
      </c>
      <c r="F137" t="s">
        <v>22</v>
      </c>
      <c r="G137" t="s">
        <v>37</v>
      </c>
      <c r="H137">
        <v>54488</v>
      </c>
      <c r="I137" t="s">
        <v>24</v>
      </c>
      <c r="J137">
        <v>4.14</v>
      </c>
      <c r="K137">
        <v>225580.32</v>
      </c>
      <c r="L137" t="s">
        <v>637</v>
      </c>
      <c r="M137" t="s">
        <v>745</v>
      </c>
      <c r="N137">
        <v>3.3692</v>
      </c>
      <c r="O137" t="s">
        <v>27</v>
      </c>
      <c r="P137" t="s">
        <v>746</v>
      </c>
      <c r="Q137">
        <v>111</v>
      </c>
      <c r="R137" t="s">
        <v>747</v>
      </c>
    </row>
    <row r="138" spans="1:18">
      <c r="A138">
        <v>137</v>
      </c>
      <c r="B138">
        <v>1</v>
      </c>
      <c r="C138">
        <v>20240117</v>
      </c>
      <c r="D138" t="s">
        <v>28</v>
      </c>
      <c r="E138" t="s">
        <v>21</v>
      </c>
      <c r="F138" t="s">
        <v>22</v>
      </c>
      <c r="G138" t="s">
        <v>30</v>
      </c>
      <c r="H138">
        <v>662879</v>
      </c>
      <c r="I138" t="s">
        <v>24</v>
      </c>
      <c r="J138">
        <v>4.14</v>
      </c>
      <c r="K138">
        <v>2744319.06</v>
      </c>
      <c r="L138" t="s">
        <v>637</v>
      </c>
      <c r="M138" t="s">
        <v>745</v>
      </c>
      <c r="N138">
        <v>3.3692</v>
      </c>
      <c r="O138" t="s">
        <v>27</v>
      </c>
      <c r="P138" t="s">
        <v>748</v>
      </c>
      <c r="Q138">
        <v>244</v>
      </c>
      <c r="R138" t="s">
        <v>747</v>
      </c>
    </row>
    <row r="139" spans="1:18">
      <c r="A139">
        <v>138</v>
      </c>
      <c r="B139">
        <v>1</v>
      </c>
      <c r="C139">
        <v>20240117</v>
      </c>
      <c r="D139" t="s">
        <v>20</v>
      </c>
      <c r="E139" t="s">
        <v>21</v>
      </c>
      <c r="F139" t="s">
        <v>32</v>
      </c>
      <c r="G139" t="s">
        <v>50</v>
      </c>
      <c r="H139">
        <v>389627</v>
      </c>
      <c r="I139" t="s">
        <v>24</v>
      </c>
      <c r="J139">
        <v>5.53</v>
      </c>
      <c r="K139">
        <v>2154637.31</v>
      </c>
      <c r="L139" t="s">
        <v>637</v>
      </c>
      <c r="M139" t="s">
        <v>749</v>
      </c>
      <c r="N139">
        <v>4.7765</v>
      </c>
      <c r="O139" t="s">
        <v>27</v>
      </c>
      <c r="P139" t="s">
        <v>750</v>
      </c>
      <c r="Q139">
        <v>43</v>
      </c>
    </row>
    <row r="140" spans="1:18">
      <c r="A140">
        <v>139</v>
      </c>
      <c r="B140">
        <v>1</v>
      </c>
      <c r="C140">
        <v>20240117</v>
      </c>
      <c r="D140" t="s">
        <v>28</v>
      </c>
      <c r="E140" t="s">
        <v>21</v>
      </c>
      <c r="F140" t="s">
        <v>32</v>
      </c>
      <c r="G140" t="s">
        <v>30</v>
      </c>
      <c r="H140">
        <v>26025</v>
      </c>
      <c r="I140" t="s">
        <v>24</v>
      </c>
      <c r="J140">
        <v>4.14</v>
      </c>
      <c r="K140">
        <v>107743.5</v>
      </c>
      <c r="L140" t="s">
        <v>634</v>
      </c>
      <c r="M140" t="s">
        <v>751</v>
      </c>
      <c r="N140">
        <v>4.015</v>
      </c>
      <c r="O140" t="s">
        <v>27</v>
      </c>
      <c r="P140" t="s">
        <v>752</v>
      </c>
      <c r="Q140">
        <v>5</v>
      </c>
    </row>
    <row r="141" spans="1:18">
      <c r="A141">
        <v>140</v>
      </c>
      <c r="B141">
        <v>1</v>
      </c>
      <c r="C141">
        <v>20240117</v>
      </c>
      <c r="D141" t="s">
        <v>28</v>
      </c>
      <c r="E141" t="s">
        <v>21</v>
      </c>
      <c r="F141" t="s">
        <v>32</v>
      </c>
      <c r="G141" t="s">
        <v>37</v>
      </c>
      <c r="H141">
        <v>6888</v>
      </c>
      <c r="I141" t="s">
        <v>24</v>
      </c>
      <c r="J141">
        <v>4.14</v>
      </c>
      <c r="K141">
        <v>28516.32</v>
      </c>
      <c r="L141" t="s">
        <v>654</v>
      </c>
      <c r="M141" t="s">
        <v>751</v>
      </c>
      <c r="N141">
        <v>4.015</v>
      </c>
      <c r="O141" t="s">
        <v>27</v>
      </c>
      <c r="P141" t="s">
        <v>753</v>
      </c>
      <c r="Q141">
        <v>1</v>
      </c>
    </row>
    <row r="142" spans="1:18">
      <c r="A142">
        <v>141</v>
      </c>
      <c r="B142">
        <v>1</v>
      </c>
      <c r="C142">
        <v>20240117</v>
      </c>
      <c r="D142" t="s">
        <v>28</v>
      </c>
      <c r="E142" t="s">
        <v>21</v>
      </c>
      <c r="F142" t="s">
        <v>32</v>
      </c>
      <c r="G142" t="s">
        <v>37</v>
      </c>
      <c r="H142">
        <v>21922</v>
      </c>
      <c r="I142" t="s">
        <v>24</v>
      </c>
      <c r="J142">
        <v>4.14</v>
      </c>
      <c r="K142">
        <v>90757.08</v>
      </c>
      <c r="L142" t="s">
        <v>637</v>
      </c>
      <c r="M142" t="s">
        <v>751</v>
      </c>
      <c r="N142">
        <v>4.015</v>
      </c>
      <c r="O142" t="s">
        <v>27</v>
      </c>
      <c r="P142" t="s">
        <v>753</v>
      </c>
      <c r="Q142">
        <v>7</v>
      </c>
    </row>
    <row r="143" spans="1:18">
      <c r="A143">
        <v>142</v>
      </c>
      <c r="B143">
        <v>1</v>
      </c>
      <c r="C143">
        <v>20240117</v>
      </c>
      <c r="D143" t="s">
        <v>28</v>
      </c>
      <c r="E143" t="s">
        <v>21</v>
      </c>
      <c r="F143" t="s">
        <v>32</v>
      </c>
      <c r="G143" t="s">
        <v>30</v>
      </c>
      <c r="H143">
        <v>459011</v>
      </c>
      <c r="I143" t="s">
        <v>24</v>
      </c>
      <c r="J143">
        <v>4.14</v>
      </c>
      <c r="K143">
        <v>1900305.54</v>
      </c>
      <c r="L143" t="s">
        <v>637</v>
      </c>
      <c r="M143" t="s">
        <v>751</v>
      </c>
      <c r="N143">
        <v>4.015</v>
      </c>
      <c r="O143" t="s">
        <v>27</v>
      </c>
      <c r="P143" t="s">
        <v>752</v>
      </c>
      <c r="Q143">
        <v>95</v>
      </c>
    </row>
    <row r="144" spans="1:18">
      <c r="A144">
        <v>143</v>
      </c>
      <c r="B144">
        <v>1</v>
      </c>
      <c r="C144">
        <v>20240117</v>
      </c>
      <c r="D144" t="s">
        <v>28</v>
      </c>
      <c r="E144" t="s">
        <v>21</v>
      </c>
      <c r="F144" t="s">
        <v>22</v>
      </c>
      <c r="G144" t="s">
        <v>37</v>
      </c>
      <c r="H144">
        <v>69615</v>
      </c>
      <c r="I144" t="s">
        <v>24</v>
      </c>
      <c r="J144">
        <v>4.14</v>
      </c>
      <c r="K144">
        <v>288206.1</v>
      </c>
      <c r="L144" t="s">
        <v>637</v>
      </c>
      <c r="M144" t="s">
        <v>754</v>
      </c>
      <c r="N144">
        <v>4.0608</v>
      </c>
      <c r="O144" t="s">
        <v>27</v>
      </c>
      <c r="P144" t="s">
        <v>746</v>
      </c>
      <c r="Q144">
        <v>14</v>
      </c>
    </row>
    <row r="145" spans="1:17">
      <c r="A145">
        <v>144</v>
      </c>
      <c r="B145">
        <v>1</v>
      </c>
      <c r="C145">
        <v>20240117</v>
      </c>
      <c r="D145" t="s">
        <v>28</v>
      </c>
      <c r="E145" t="s">
        <v>21</v>
      </c>
      <c r="F145" t="s">
        <v>22</v>
      </c>
      <c r="G145" t="s">
        <v>37</v>
      </c>
      <c r="H145">
        <v>48767</v>
      </c>
      <c r="I145" t="s">
        <v>24</v>
      </c>
      <c r="J145">
        <v>4.14</v>
      </c>
      <c r="K145">
        <v>201895.38</v>
      </c>
      <c r="L145" t="s">
        <v>637</v>
      </c>
      <c r="M145" t="s">
        <v>754</v>
      </c>
      <c r="N145">
        <v>3.5722</v>
      </c>
      <c r="O145" t="s">
        <v>27</v>
      </c>
      <c r="P145" t="s">
        <v>746</v>
      </c>
      <c r="Q145">
        <v>14</v>
      </c>
    </row>
    <row r="146" spans="1:17">
      <c r="A146">
        <v>145</v>
      </c>
      <c r="B146">
        <v>1</v>
      </c>
      <c r="C146">
        <v>20240117</v>
      </c>
      <c r="D146" t="s">
        <v>28</v>
      </c>
      <c r="E146" t="s">
        <v>21</v>
      </c>
      <c r="F146" t="s">
        <v>22</v>
      </c>
      <c r="G146" t="s">
        <v>37</v>
      </c>
      <c r="H146">
        <v>2032</v>
      </c>
      <c r="I146" t="s">
        <v>24</v>
      </c>
      <c r="J146">
        <v>4.14</v>
      </c>
      <c r="K146">
        <v>8412.48</v>
      </c>
      <c r="L146" t="s">
        <v>637</v>
      </c>
      <c r="M146" t="s">
        <v>754</v>
      </c>
      <c r="N146">
        <v>3.5065</v>
      </c>
      <c r="O146" t="s">
        <v>27</v>
      </c>
      <c r="P146" t="s">
        <v>746</v>
      </c>
      <c r="Q146">
        <v>1</v>
      </c>
    </row>
    <row r="147" spans="1:17">
      <c r="A147">
        <v>146</v>
      </c>
      <c r="B147">
        <v>1</v>
      </c>
      <c r="C147">
        <v>20240117</v>
      </c>
      <c r="D147" t="s">
        <v>28</v>
      </c>
      <c r="E147" t="s">
        <v>21</v>
      </c>
      <c r="F147" t="s">
        <v>22</v>
      </c>
      <c r="G147" t="s">
        <v>30</v>
      </c>
      <c r="H147">
        <v>19567</v>
      </c>
      <c r="I147" t="s">
        <v>24</v>
      </c>
      <c r="J147">
        <v>4.14</v>
      </c>
      <c r="K147">
        <v>81007.38</v>
      </c>
      <c r="L147" t="s">
        <v>637</v>
      </c>
      <c r="M147" t="s">
        <v>754</v>
      </c>
      <c r="N147">
        <v>3.5538</v>
      </c>
      <c r="O147" t="s">
        <v>27</v>
      </c>
      <c r="P147" t="s">
        <v>748</v>
      </c>
      <c r="Q147">
        <v>3</v>
      </c>
    </row>
    <row r="148" spans="1:17">
      <c r="A148">
        <v>147</v>
      </c>
      <c r="B148">
        <v>1</v>
      </c>
      <c r="C148">
        <v>20240117</v>
      </c>
      <c r="D148" t="s">
        <v>28</v>
      </c>
      <c r="E148" t="s">
        <v>21</v>
      </c>
      <c r="F148" t="s">
        <v>22</v>
      </c>
      <c r="G148" t="s">
        <v>30</v>
      </c>
      <c r="H148">
        <v>16</v>
      </c>
      <c r="I148" t="s">
        <v>24</v>
      </c>
      <c r="J148">
        <v>4.14</v>
      </c>
      <c r="K148">
        <v>66.24</v>
      </c>
      <c r="L148" t="s">
        <v>637</v>
      </c>
      <c r="M148" t="s">
        <v>754</v>
      </c>
      <c r="N148">
        <v>3.5538</v>
      </c>
      <c r="O148" t="s">
        <v>27</v>
      </c>
      <c r="P148" t="s">
        <v>748</v>
      </c>
      <c r="Q148">
        <v>1</v>
      </c>
    </row>
    <row r="149" spans="1:17">
      <c r="A149">
        <v>148</v>
      </c>
      <c r="B149">
        <v>1</v>
      </c>
      <c r="C149">
        <v>20240117</v>
      </c>
      <c r="D149" t="s">
        <v>28</v>
      </c>
      <c r="E149" t="s">
        <v>21</v>
      </c>
      <c r="F149" t="s">
        <v>22</v>
      </c>
      <c r="G149" t="s">
        <v>37</v>
      </c>
      <c r="H149">
        <v>25375</v>
      </c>
      <c r="I149" t="s">
        <v>24</v>
      </c>
      <c r="J149">
        <v>4.14</v>
      </c>
      <c r="K149">
        <v>105052.5</v>
      </c>
      <c r="L149" t="s">
        <v>634</v>
      </c>
      <c r="M149" t="s">
        <v>754</v>
      </c>
      <c r="N149">
        <v>4.0626</v>
      </c>
      <c r="O149" t="s">
        <v>27</v>
      </c>
      <c r="P149" t="s">
        <v>746</v>
      </c>
      <c r="Q149">
        <v>11</v>
      </c>
    </row>
    <row r="150" spans="1:17">
      <c r="A150">
        <v>149</v>
      </c>
      <c r="B150">
        <v>1</v>
      </c>
      <c r="C150">
        <v>20240117</v>
      </c>
      <c r="D150" t="s">
        <v>28</v>
      </c>
      <c r="E150" t="s">
        <v>21</v>
      </c>
      <c r="F150" t="s">
        <v>22</v>
      </c>
      <c r="G150" t="s">
        <v>30</v>
      </c>
      <c r="H150">
        <v>36555</v>
      </c>
      <c r="I150" t="s">
        <v>24</v>
      </c>
      <c r="J150">
        <v>4.14</v>
      </c>
      <c r="K150">
        <v>151337.7</v>
      </c>
      <c r="L150" t="s">
        <v>634</v>
      </c>
      <c r="M150" t="s">
        <v>754</v>
      </c>
      <c r="N150">
        <v>4.062</v>
      </c>
      <c r="O150" t="s">
        <v>27</v>
      </c>
      <c r="P150" t="s">
        <v>748</v>
      </c>
      <c r="Q150">
        <v>6</v>
      </c>
    </row>
    <row r="151" spans="1:17">
      <c r="A151">
        <v>150</v>
      </c>
      <c r="B151">
        <v>1</v>
      </c>
      <c r="C151">
        <v>20240117</v>
      </c>
      <c r="D151" t="s">
        <v>28</v>
      </c>
      <c r="E151" t="s">
        <v>21</v>
      </c>
      <c r="F151" t="s">
        <v>22</v>
      </c>
      <c r="G151" t="s">
        <v>37</v>
      </c>
      <c r="H151">
        <v>4886</v>
      </c>
      <c r="I151" t="s">
        <v>24</v>
      </c>
      <c r="J151">
        <v>4.14</v>
      </c>
      <c r="K151">
        <v>20228.04</v>
      </c>
      <c r="L151" t="s">
        <v>654</v>
      </c>
      <c r="M151" t="s">
        <v>754</v>
      </c>
      <c r="N151">
        <v>4.5094</v>
      </c>
      <c r="O151" t="s">
        <v>27</v>
      </c>
      <c r="P151" t="s">
        <v>746</v>
      </c>
      <c r="Q151">
        <v>8</v>
      </c>
    </row>
    <row r="152" spans="1:17">
      <c r="A152">
        <v>151</v>
      </c>
      <c r="B152">
        <v>1</v>
      </c>
      <c r="C152">
        <v>20240117</v>
      </c>
      <c r="D152" t="s">
        <v>20</v>
      </c>
      <c r="E152" t="s">
        <v>21</v>
      </c>
      <c r="F152" t="s">
        <v>22</v>
      </c>
      <c r="G152" t="s">
        <v>42</v>
      </c>
      <c r="H152">
        <v>378130</v>
      </c>
      <c r="I152" t="s">
        <v>24</v>
      </c>
      <c r="J152">
        <v>5.63</v>
      </c>
      <c r="K152">
        <v>2128871.9</v>
      </c>
      <c r="L152" t="s">
        <v>634</v>
      </c>
      <c r="M152" t="s">
        <v>755</v>
      </c>
      <c r="N152">
        <v>5.516</v>
      </c>
      <c r="O152" t="s">
        <v>27</v>
      </c>
      <c r="P152" t="s">
        <v>756</v>
      </c>
      <c r="Q152">
        <v>24</v>
      </c>
    </row>
    <row r="153" spans="1:17">
      <c r="A153">
        <v>152</v>
      </c>
      <c r="B153">
        <v>1</v>
      </c>
      <c r="C153">
        <v>20240117</v>
      </c>
      <c r="D153" t="s">
        <v>20</v>
      </c>
      <c r="E153" t="s">
        <v>21</v>
      </c>
      <c r="F153" t="s">
        <v>22</v>
      </c>
      <c r="G153" t="s">
        <v>30</v>
      </c>
      <c r="H153">
        <v>137942</v>
      </c>
      <c r="I153" t="s">
        <v>24</v>
      </c>
      <c r="J153">
        <v>4.14</v>
      </c>
      <c r="K153">
        <v>571079.88</v>
      </c>
      <c r="L153" t="s">
        <v>634</v>
      </c>
      <c r="M153" t="s">
        <v>755</v>
      </c>
      <c r="N153">
        <v>4.0304</v>
      </c>
      <c r="O153" t="s">
        <v>27</v>
      </c>
      <c r="P153" t="s">
        <v>757</v>
      </c>
      <c r="Q153">
        <v>6</v>
      </c>
    </row>
    <row r="154" spans="1:17">
      <c r="A154">
        <v>153</v>
      </c>
      <c r="B154">
        <v>1</v>
      </c>
      <c r="C154">
        <v>20240117</v>
      </c>
      <c r="D154" t="s">
        <v>20</v>
      </c>
      <c r="E154" t="s">
        <v>21</v>
      </c>
      <c r="F154" t="s">
        <v>22</v>
      </c>
      <c r="G154" t="s">
        <v>42</v>
      </c>
      <c r="H154">
        <v>139770</v>
      </c>
      <c r="I154" t="s">
        <v>24</v>
      </c>
      <c r="J154">
        <v>4.58</v>
      </c>
      <c r="K154">
        <v>640146.6</v>
      </c>
      <c r="L154" t="s">
        <v>637</v>
      </c>
      <c r="M154" t="s">
        <v>755</v>
      </c>
      <c r="N154">
        <v>4.4875</v>
      </c>
      <c r="O154" t="s">
        <v>27</v>
      </c>
      <c r="P154" t="s">
        <v>758</v>
      </c>
      <c r="Q154">
        <v>8</v>
      </c>
    </row>
    <row r="155" spans="1:17">
      <c r="A155">
        <v>154</v>
      </c>
      <c r="B155">
        <v>1</v>
      </c>
      <c r="C155">
        <v>20240117</v>
      </c>
      <c r="D155" t="s">
        <v>20</v>
      </c>
      <c r="E155" t="s">
        <v>21</v>
      </c>
      <c r="F155" t="s">
        <v>22</v>
      </c>
      <c r="G155" t="s">
        <v>30</v>
      </c>
      <c r="H155">
        <v>18143</v>
      </c>
      <c r="I155" t="s">
        <v>24</v>
      </c>
      <c r="J155">
        <v>4.14</v>
      </c>
      <c r="K155">
        <v>75112.02</v>
      </c>
      <c r="L155" t="s">
        <v>637</v>
      </c>
      <c r="M155" t="s">
        <v>755</v>
      </c>
      <c r="N155">
        <v>3.5538</v>
      </c>
      <c r="O155" t="s">
        <v>27</v>
      </c>
      <c r="P155" t="s">
        <v>757</v>
      </c>
      <c r="Q155">
        <v>3</v>
      </c>
    </row>
    <row r="156" spans="1:17">
      <c r="A156">
        <v>155</v>
      </c>
      <c r="B156">
        <v>1</v>
      </c>
      <c r="C156">
        <v>20240117</v>
      </c>
      <c r="D156" t="s">
        <v>20</v>
      </c>
      <c r="E156" t="s">
        <v>21</v>
      </c>
      <c r="F156" t="s">
        <v>29</v>
      </c>
      <c r="G156" t="s">
        <v>42</v>
      </c>
      <c r="H156">
        <v>216699</v>
      </c>
      <c r="I156" t="s">
        <v>24</v>
      </c>
      <c r="J156">
        <v>5.63</v>
      </c>
      <c r="K156">
        <v>1220015.37</v>
      </c>
      <c r="L156" t="s">
        <v>634</v>
      </c>
      <c r="M156" t="s">
        <v>759</v>
      </c>
      <c r="N156">
        <v>5.51801</v>
      </c>
      <c r="O156" t="s">
        <v>27</v>
      </c>
      <c r="P156" t="s">
        <v>760</v>
      </c>
      <c r="Q156">
        <v>39</v>
      </c>
    </row>
    <row r="157" spans="1:17">
      <c r="A157">
        <v>156</v>
      </c>
      <c r="B157">
        <v>1</v>
      </c>
      <c r="C157">
        <v>20240118</v>
      </c>
      <c r="D157" t="s">
        <v>20</v>
      </c>
      <c r="E157" t="s">
        <v>21</v>
      </c>
      <c r="F157" t="s">
        <v>41</v>
      </c>
      <c r="G157" t="s">
        <v>30</v>
      </c>
      <c r="H157">
        <v>57459</v>
      </c>
      <c r="I157" t="s">
        <v>24</v>
      </c>
      <c r="J157">
        <v>4.14</v>
      </c>
      <c r="K157">
        <v>237880.26</v>
      </c>
      <c r="L157" t="s">
        <v>634</v>
      </c>
      <c r="M157" t="s">
        <v>761</v>
      </c>
      <c r="N157">
        <v>4.05</v>
      </c>
      <c r="O157" t="s">
        <v>27</v>
      </c>
      <c r="P157" t="s">
        <v>762</v>
      </c>
      <c r="Q157">
        <v>6</v>
      </c>
    </row>
    <row r="158" spans="1:17">
      <c r="A158">
        <v>157</v>
      </c>
      <c r="B158">
        <v>1</v>
      </c>
      <c r="C158">
        <v>20240118</v>
      </c>
      <c r="D158" t="s">
        <v>20</v>
      </c>
      <c r="E158" t="s">
        <v>21</v>
      </c>
      <c r="F158" t="s">
        <v>41</v>
      </c>
      <c r="G158" t="s">
        <v>30</v>
      </c>
      <c r="H158">
        <v>23546</v>
      </c>
      <c r="I158" t="s">
        <v>24</v>
      </c>
      <c r="J158">
        <v>4.14</v>
      </c>
      <c r="K158">
        <v>97480.44</v>
      </c>
      <c r="L158" t="s">
        <v>637</v>
      </c>
      <c r="M158" t="s">
        <v>761</v>
      </c>
      <c r="N158">
        <v>4.05</v>
      </c>
      <c r="O158" t="s">
        <v>27</v>
      </c>
      <c r="P158" t="s">
        <v>762</v>
      </c>
      <c r="Q158">
        <v>11</v>
      </c>
    </row>
    <row r="159" spans="1:17">
      <c r="A159">
        <v>158</v>
      </c>
      <c r="B159">
        <v>1</v>
      </c>
      <c r="C159">
        <v>20240118</v>
      </c>
      <c r="D159" t="s">
        <v>20</v>
      </c>
      <c r="E159" t="s">
        <v>21</v>
      </c>
      <c r="F159" t="s">
        <v>41</v>
      </c>
      <c r="G159" t="s">
        <v>30</v>
      </c>
      <c r="H159">
        <v>1419</v>
      </c>
      <c r="I159" t="s">
        <v>24</v>
      </c>
      <c r="J159">
        <v>4.14</v>
      </c>
      <c r="K159">
        <v>5874.66</v>
      </c>
      <c r="L159" t="s">
        <v>634</v>
      </c>
      <c r="M159" t="s">
        <v>761</v>
      </c>
      <c r="N159">
        <v>4.05</v>
      </c>
      <c r="O159" t="s">
        <v>27</v>
      </c>
      <c r="P159" t="s">
        <v>762</v>
      </c>
      <c r="Q159">
        <v>1</v>
      </c>
    </row>
    <row r="160" spans="1:17">
      <c r="A160">
        <v>159</v>
      </c>
      <c r="B160">
        <v>1</v>
      </c>
      <c r="C160">
        <v>20240118</v>
      </c>
      <c r="D160" t="s">
        <v>28</v>
      </c>
      <c r="E160" t="s">
        <v>21</v>
      </c>
      <c r="F160" t="s">
        <v>41</v>
      </c>
      <c r="G160" t="s">
        <v>30</v>
      </c>
      <c r="H160">
        <v>112732</v>
      </c>
      <c r="I160" t="s">
        <v>24</v>
      </c>
      <c r="J160">
        <v>4.14</v>
      </c>
      <c r="K160">
        <v>466710.48</v>
      </c>
      <c r="L160" t="s">
        <v>634</v>
      </c>
      <c r="M160" t="s">
        <v>763</v>
      </c>
      <c r="N160">
        <v>4.05</v>
      </c>
      <c r="O160" t="s">
        <v>27</v>
      </c>
      <c r="P160" t="s">
        <v>764</v>
      </c>
      <c r="Q160">
        <v>9</v>
      </c>
    </row>
    <row r="161" spans="1:17">
      <c r="A161">
        <v>160</v>
      </c>
      <c r="B161">
        <v>1</v>
      </c>
      <c r="C161">
        <v>20240118</v>
      </c>
      <c r="D161" t="s">
        <v>28</v>
      </c>
      <c r="E161" t="s">
        <v>21</v>
      </c>
      <c r="F161" t="s">
        <v>41</v>
      </c>
      <c r="G161" t="s">
        <v>37</v>
      </c>
      <c r="H161">
        <v>27720</v>
      </c>
      <c r="I161" t="s">
        <v>24</v>
      </c>
      <c r="J161">
        <v>4.14</v>
      </c>
      <c r="K161">
        <v>114760.8</v>
      </c>
      <c r="L161" t="s">
        <v>634</v>
      </c>
      <c r="M161" t="s">
        <v>763</v>
      </c>
      <c r="N161">
        <v>4.05</v>
      </c>
      <c r="O161" t="s">
        <v>27</v>
      </c>
      <c r="P161" t="s">
        <v>765</v>
      </c>
      <c r="Q161">
        <v>2</v>
      </c>
    </row>
    <row r="162" spans="1:17">
      <c r="A162">
        <v>161</v>
      </c>
      <c r="B162">
        <v>1</v>
      </c>
      <c r="C162">
        <v>20240118</v>
      </c>
      <c r="D162" t="s">
        <v>28</v>
      </c>
      <c r="E162" t="s">
        <v>21</v>
      </c>
      <c r="F162" t="s">
        <v>41</v>
      </c>
      <c r="G162" t="s">
        <v>37</v>
      </c>
      <c r="H162">
        <v>27010</v>
      </c>
      <c r="I162" t="s">
        <v>24</v>
      </c>
      <c r="J162">
        <v>4.14</v>
      </c>
      <c r="K162">
        <v>111821.4</v>
      </c>
      <c r="L162" t="s">
        <v>637</v>
      </c>
      <c r="M162" t="s">
        <v>763</v>
      </c>
      <c r="N162">
        <v>4.05</v>
      </c>
      <c r="O162" t="s">
        <v>27</v>
      </c>
      <c r="P162" t="s">
        <v>765</v>
      </c>
      <c r="Q162">
        <v>3</v>
      </c>
    </row>
    <row r="163" spans="1:17">
      <c r="A163">
        <v>162</v>
      </c>
      <c r="B163">
        <v>1</v>
      </c>
      <c r="C163">
        <v>20240118</v>
      </c>
      <c r="D163" t="s">
        <v>28</v>
      </c>
      <c r="E163" t="s">
        <v>21</v>
      </c>
      <c r="F163" t="s">
        <v>41</v>
      </c>
      <c r="G163" t="s">
        <v>30</v>
      </c>
      <c r="H163">
        <v>43504</v>
      </c>
      <c r="I163" t="s">
        <v>24</v>
      </c>
      <c r="J163">
        <v>4.14</v>
      </c>
      <c r="K163">
        <v>180106.56</v>
      </c>
      <c r="L163" t="s">
        <v>637</v>
      </c>
      <c r="M163" t="s">
        <v>763</v>
      </c>
      <c r="N163">
        <v>4.05</v>
      </c>
      <c r="O163" t="s">
        <v>27</v>
      </c>
      <c r="P163" t="s">
        <v>764</v>
      </c>
      <c r="Q163">
        <v>5</v>
      </c>
    </row>
    <row r="164" spans="1:17">
      <c r="A164">
        <v>163</v>
      </c>
      <c r="B164">
        <v>1</v>
      </c>
      <c r="C164">
        <v>20240118</v>
      </c>
      <c r="D164" t="s">
        <v>28</v>
      </c>
      <c r="E164" t="s">
        <v>21</v>
      </c>
      <c r="F164" t="s">
        <v>41</v>
      </c>
      <c r="G164" t="s">
        <v>30</v>
      </c>
      <c r="H164">
        <v>27501</v>
      </c>
      <c r="I164" t="s">
        <v>24</v>
      </c>
      <c r="J164">
        <v>4.14</v>
      </c>
      <c r="K164">
        <v>113854.14</v>
      </c>
      <c r="L164" t="s">
        <v>637</v>
      </c>
      <c r="M164" t="s">
        <v>763</v>
      </c>
      <c r="N164">
        <v>4.05</v>
      </c>
      <c r="O164" t="s">
        <v>27</v>
      </c>
      <c r="P164" t="s">
        <v>764</v>
      </c>
      <c r="Q164">
        <v>11</v>
      </c>
    </row>
    <row r="165" spans="1:17">
      <c r="A165">
        <v>164</v>
      </c>
      <c r="B165">
        <v>1</v>
      </c>
      <c r="C165">
        <v>20240118</v>
      </c>
      <c r="D165" t="s">
        <v>28</v>
      </c>
      <c r="E165" t="s">
        <v>21</v>
      </c>
      <c r="F165" t="s">
        <v>41</v>
      </c>
      <c r="G165" t="s">
        <v>37</v>
      </c>
      <c r="H165">
        <v>7211</v>
      </c>
      <c r="I165" t="s">
        <v>24</v>
      </c>
      <c r="J165">
        <v>4.14</v>
      </c>
      <c r="K165">
        <v>29853.54</v>
      </c>
      <c r="L165" t="s">
        <v>637</v>
      </c>
      <c r="M165" t="s">
        <v>763</v>
      </c>
      <c r="N165">
        <v>4.05</v>
      </c>
      <c r="O165" t="s">
        <v>27</v>
      </c>
      <c r="P165" t="s">
        <v>765</v>
      </c>
      <c r="Q165">
        <v>3</v>
      </c>
    </row>
    <row r="166" spans="1:17">
      <c r="A166">
        <v>165</v>
      </c>
      <c r="B166">
        <v>1</v>
      </c>
      <c r="C166">
        <v>20240118</v>
      </c>
      <c r="D166" t="s">
        <v>28</v>
      </c>
      <c r="E166" t="s">
        <v>21</v>
      </c>
      <c r="F166" t="s">
        <v>41</v>
      </c>
      <c r="G166" t="s">
        <v>37</v>
      </c>
      <c r="H166">
        <v>24725</v>
      </c>
      <c r="I166" t="s">
        <v>24</v>
      </c>
      <c r="J166">
        <v>4.14</v>
      </c>
      <c r="K166">
        <v>102361.5</v>
      </c>
      <c r="L166" t="s">
        <v>637</v>
      </c>
      <c r="M166" t="s">
        <v>763</v>
      </c>
      <c r="N166">
        <v>4.05</v>
      </c>
      <c r="O166" t="s">
        <v>27</v>
      </c>
      <c r="P166" t="s">
        <v>765</v>
      </c>
      <c r="Q166">
        <v>8</v>
      </c>
    </row>
    <row r="167" spans="1:17">
      <c r="A167">
        <v>166</v>
      </c>
      <c r="B167">
        <v>1</v>
      </c>
      <c r="C167">
        <v>20240118</v>
      </c>
      <c r="D167" t="s">
        <v>28</v>
      </c>
      <c r="E167" t="s">
        <v>21</v>
      </c>
      <c r="F167" t="s">
        <v>41</v>
      </c>
      <c r="G167" t="s">
        <v>30</v>
      </c>
      <c r="H167">
        <v>43808</v>
      </c>
      <c r="I167" t="s">
        <v>24</v>
      </c>
      <c r="J167">
        <v>4.14</v>
      </c>
      <c r="K167">
        <v>181365.12</v>
      </c>
      <c r="L167" t="s">
        <v>637</v>
      </c>
      <c r="M167" t="s">
        <v>763</v>
      </c>
      <c r="N167">
        <v>4.05</v>
      </c>
      <c r="O167" t="s">
        <v>27</v>
      </c>
      <c r="P167" t="s">
        <v>764</v>
      </c>
      <c r="Q167">
        <v>14</v>
      </c>
    </row>
    <row r="168" spans="1:17">
      <c r="A168">
        <v>167</v>
      </c>
      <c r="B168">
        <v>1</v>
      </c>
      <c r="C168">
        <v>20240118</v>
      </c>
      <c r="D168" t="s">
        <v>28</v>
      </c>
      <c r="E168" t="s">
        <v>21</v>
      </c>
      <c r="F168" t="s">
        <v>41</v>
      </c>
      <c r="G168" t="s">
        <v>37</v>
      </c>
      <c r="H168">
        <v>37544</v>
      </c>
      <c r="I168" t="s">
        <v>24</v>
      </c>
      <c r="J168">
        <v>4.14</v>
      </c>
      <c r="K168">
        <v>155432.16</v>
      </c>
      <c r="L168" t="s">
        <v>637</v>
      </c>
      <c r="M168" t="s">
        <v>763</v>
      </c>
      <c r="N168">
        <v>4.05</v>
      </c>
      <c r="O168" t="s">
        <v>27</v>
      </c>
      <c r="P168" t="s">
        <v>765</v>
      </c>
      <c r="Q168">
        <v>9</v>
      </c>
    </row>
    <row r="169" spans="1:17">
      <c r="A169">
        <v>168</v>
      </c>
      <c r="B169">
        <v>1</v>
      </c>
      <c r="C169">
        <v>20240118</v>
      </c>
      <c r="D169" t="s">
        <v>28</v>
      </c>
      <c r="E169" t="s">
        <v>21</v>
      </c>
      <c r="F169" t="s">
        <v>41</v>
      </c>
      <c r="G169" t="s">
        <v>30</v>
      </c>
      <c r="H169">
        <v>12024</v>
      </c>
      <c r="I169" t="s">
        <v>24</v>
      </c>
      <c r="J169">
        <v>4.14</v>
      </c>
      <c r="K169">
        <v>49779.36</v>
      </c>
      <c r="L169" t="s">
        <v>637</v>
      </c>
      <c r="M169" t="s">
        <v>763</v>
      </c>
      <c r="N169">
        <v>4.05</v>
      </c>
      <c r="O169" t="s">
        <v>27</v>
      </c>
      <c r="P169" t="s">
        <v>764</v>
      </c>
      <c r="Q169">
        <v>5</v>
      </c>
    </row>
    <row r="170" spans="1:17">
      <c r="A170">
        <v>169</v>
      </c>
      <c r="B170">
        <v>1</v>
      </c>
      <c r="C170">
        <v>20240118</v>
      </c>
      <c r="D170" t="s">
        <v>28</v>
      </c>
      <c r="E170" t="s">
        <v>21</v>
      </c>
      <c r="F170" t="s">
        <v>41</v>
      </c>
      <c r="G170" t="s">
        <v>30</v>
      </c>
      <c r="H170">
        <v>8032</v>
      </c>
      <c r="I170" t="s">
        <v>24</v>
      </c>
      <c r="J170">
        <v>4.14</v>
      </c>
      <c r="K170">
        <v>33252.48</v>
      </c>
      <c r="L170" t="s">
        <v>637</v>
      </c>
      <c r="M170" t="s">
        <v>763</v>
      </c>
      <c r="N170">
        <v>4.05</v>
      </c>
      <c r="O170" t="s">
        <v>27</v>
      </c>
      <c r="P170" t="s">
        <v>764</v>
      </c>
      <c r="Q170">
        <v>3</v>
      </c>
    </row>
    <row r="171" spans="1:17">
      <c r="A171">
        <v>170</v>
      </c>
      <c r="B171">
        <v>1</v>
      </c>
      <c r="C171">
        <v>20240118</v>
      </c>
      <c r="D171" t="s">
        <v>28</v>
      </c>
      <c r="E171" t="s">
        <v>21</v>
      </c>
      <c r="F171" t="s">
        <v>41</v>
      </c>
      <c r="G171" t="s">
        <v>30</v>
      </c>
      <c r="H171">
        <v>6094</v>
      </c>
      <c r="I171" t="s">
        <v>24</v>
      </c>
      <c r="J171">
        <v>4.14</v>
      </c>
      <c r="K171">
        <v>25229.16</v>
      </c>
      <c r="L171" t="s">
        <v>634</v>
      </c>
      <c r="M171" t="s">
        <v>763</v>
      </c>
      <c r="N171">
        <v>4.05</v>
      </c>
      <c r="O171" t="s">
        <v>27</v>
      </c>
      <c r="P171" t="s">
        <v>764</v>
      </c>
      <c r="Q171">
        <v>1</v>
      </c>
    </row>
    <row r="172" spans="1:17">
      <c r="A172">
        <v>171</v>
      </c>
      <c r="B172">
        <v>1</v>
      </c>
      <c r="C172">
        <v>20240118</v>
      </c>
      <c r="D172" t="s">
        <v>28</v>
      </c>
      <c r="E172" t="s">
        <v>21</v>
      </c>
      <c r="F172" t="s">
        <v>32</v>
      </c>
      <c r="G172" t="s">
        <v>37</v>
      </c>
      <c r="H172">
        <v>1427</v>
      </c>
      <c r="I172" t="s">
        <v>24</v>
      </c>
      <c r="J172">
        <v>4.14</v>
      </c>
      <c r="K172">
        <v>5907.78</v>
      </c>
      <c r="L172" t="s">
        <v>634</v>
      </c>
      <c r="M172" t="s">
        <v>766</v>
      </c>
      <c r="N172">
        <v>4.015</v>
      </c>
      <c r="O172" t="s">
        <v>27</v>
      </c>
      <c r="P172" t="s">
        <v>767</v>
      </c>
      <c r="Q172">
        <v>3</v>
      </c>
    </row>
    <row r="173" spans="1:17">
      <c r="A173">
        <v>172</v>
      </c>
      <c r="B173">
        <v>1</v>
      </c>
      <c r="C173">
        <v>20240118</v>
      </c>
      <c r="D173" t="s">
        <v>28</v>
      </c>
      <c r="E173" t="s">
        <v>21</v>
      </c>
      <c r="F173" t="s">
        <v>32</v>
      </c>
      <c r="G173" t="s">
        <v>30</v>
      </c>
      <c r="H173">
        <v>526056</v>
      </c>
      <c r="I173" t="s">
        <v>24</v>
      </c>
      <c r="J173">
        <v>4.14</v>
      </c>
      <c r="K173">
        <v>2177871.84</v>
      </c>
      <c r="L173" t="s">
        <v>634</v>
      </c>
      <c r="M173" t="s">
        <v>766</v>
      </c>
      <c r="N173">
        <v>4.015</v>
      </c>
      <c r="O173" t="s">
        <v>27</v>
      </c>
      <c r="P173" t="s">
        <v>768</v>
      </c>
      <c r="Q173">
        <v>42</v>
      </c>
    </row>
    <row r="174" spans="1:17">
      <c r="A174">
        <v>173</v>
      </c>
      <c r="B174">
        <v>1</v>
      </c>
      <c r="C174">
        <v>20240118</v>
      </c>
      <c r="D174" t="s">
        <v>28</v>
      </c>
      <c r="E174" t="s">
        <v>21</v>
      </c>
      <c r="F174" t="s">
        <v>32</v>
      </c>
      <c r="G174" t="s">
        <v>37</v>
      </c>
      <c r="H174">
        <v>52656</v>
      </c>
      <c r="I174" t="s">
        <v>24</v>
      </c>
      <c r="J174">
        <v>4.14</v>
      </c>
      <c r="K174">
        <v>217995.84</v>
      </c>
      <c r="L174" t="s">
        <v>654</v>
      </c>
      <c r="M174" t="s">
        <v>766</v>
      </c>
      <c r="N174">
        <v>4.015</v>
      </c>
      <c r="O174" t="s">
        <v>27</v>
      </c>
      <c r="P174" t="s">
        <v>767</v>
      </c>
      <c r="Q174">
        <v>3</v>
      </c>
    </row>
    <row r="175" spans="1:17">
      <c r="A175">
        <v>174</v>
      </c>
      <c r="B175">
        <v>1</v>
      </c>
      <c r="C175">
        <v>20240118</v>
      </c>
      <c r="D175" t="s">
        <v>28</v>
      </c>
      <c r="E175" t="s">
        <v>21</v>
      </c>
      <c r="F175" t="s">
        <v>32</v>
      </c>
      <c r="G175" t="s">
        <v>30</v>
      </c>
      <c r="H175">
        <v>4424</v>
      </c>
      <c r="I175" t="s">
        <v>24</v>
      </c>
      <c r="J175">
        <v>4.14</v>
      </c>
      <c r="K175">
        <v>18315.36</v>
      </c>
      <c r="L175" t="s">
        <v>654</v>
      </c>
      <c r="M175" t="s">
        <v>766</v>
      </c>
      <c r="N175">
        <v>4.015</v>
      </c>
      <c r="O175" t="s">
        <v>27</v>
      </c>
      <c r="P175" t="s">
        <v>768</v>
      </c>
      <c r="Q175">
        <v>2</v>
      </c>
    </row>
    <row r="176" spans="1:17">
      <c r="A176">
        <v>175</v>
      </c>
      <c r="B176">
        <v>1</v>
      </c>
      <c r="C176">
        <v>20240118</v>
      </c>
      <c r="D176" t="s">
        <v>28</v>
      </c>
      <c r="E176" t="s">
        <v>21</v>
      </c>
      <c r="F176" t="s">
        <v>32</v>
      </c>
      <c r="G176" t="s">
        <v>37</v>
      </c>
      <c r="H176">
        <v>110587</v>
      </c>
      <c r="I176" t="s">
        <v>24</v>
      </c>
      <c r="J176">
        <v>4.14</v>
      </c>
      <c r="K176">
        <v>457830.18</v>
      </c>
      <c r="L176" t="s">
        <v>637</v>
      </c>
      <c r="M176" t="s">
        <v>766</v>
      </c>
      <c r="N176">
        <v>4.015</v>
      </c>
      <c r="O176" t="s">
        <v>27</v>
      </c>
      <c r="P176" t="s">
        <v>767</v>
      </c>
      <c r="Q176">
        <v>11</v>
      </c>
    </row>
    <row r="177" spans="1:17">
      <c r="A177">
        <v>176</v>
      </c>
      <c r="B177">
        <v>1</v>
      </c>
      <c r="C177">
        <v>20240118</v>
      </c>
      <c r="D177" t="s">
        <v>28</v>
      </c>
      <c r="E177" t="s">
        <v>21</v>
      </c>
      <c r="F177" t="s">
        <v>32</v>
      </c>
      <c r="G177" t="s">
        <v>30</v>
      </c>
      <c r="H177">
        <v>356953</v>
      </c>
      <c r="I177" t="s">
        <v>24</v>
      </c>
      <c r="J177">
        <v>4.14</v>
      </c>
      <c r="K177">
        <v>1477785.42</v>
      </c>
      <c r="L177" t="s">
        <v>637</v>
      </c>
      <c r="M177" t="s">
        <v>766</v>
      </c>
      <c r="N177">
        <v>4.015</v>
      </c>
      <c r="O177" t="s">
        <v>27</v>
      </c>
      <c r="P177" t="s">
        <v>768</v>
      </c>
      <c r="Q177">
        <v>69</v>
      </c>
    </row>
    <row r="178" spans="1:17">
      <c r="A178">
        <v>177</v>
      </c>
      <c r="B178">
        <v>1</v>
      </c>
      <c r="C178">
        <v>20240118</v>
      </c>
      <c r="D178" t="s">
        <v>20</v>
      </c>
      <c r="E178" t="s">
        <v>21</v>
      </c>
      <c r="F178" t="s">
        <v>22</v>
      </c>
      <c r="G178" t="s">
        <v>30</v>
      </c>
      <c r="H178">
        <v>105601</v>
      </c>
      <c r="I178" t="s">
        <v>24</v>
      </c>
      <c r="J178">
        <v>4.14</v>
      </c>
      <c r="K178">
        <v>437188.14</v>
      </c>
      <c r="L178" t="s">
        <v>634</v>
      </c>
      <c r="M178" t="s">
        <v>769</v>
      </c>
      <c r="N178">
        <v>4.0239</v>
      </c>
      <c r="O178" t="s">
        <v>27</v>
      </c>
      <c r="P178" t="s">
        <v>770</v>
      </c>
      <c r="Q178">
        <v>5</v>
      </c>
    </row>
    <row r="179" spans="1:17">
      <c r="A179">
        <v>178</v>
      </c>
      <c r="B179">
        <v>1</v>
      </c>
      <c r="C179">
        <v>20240118</v>
      </c>
      <c r="D179" t="s">
        <v>20</v>
      </c>
      <c r="E179" t="s">
        <v>21</v>
      </c>
      <c r="F179" t="s">
        <v>22</v>
      </c>
      <c r="G179" t="s">
        <v>30</v>
      </c>
      <c r="H179">
        <v>52636</v>
      </c>
      <c r="I179" t="s">
        <v>24</v>
      </c>
      <c r="J179">
        <v>4.14</v>
      </c>
      <c r="K179">
        <v>217913.04</v>
      </c>
      <c r="L179" t="s">
        <v>634</v>
      </c>
      <c r="M179" t="s">
        <v>769</v>
      </c>
      <c r="N179">
        <v>4.0195</v>
      </c>
      <c r="O179" t="s">
        <v>27</v>
      </c>
      <c r="P179" t="s">
        <v>770</v>
      </c>
      <c r="Q179">
        <v>3</v>
      </c>
    </row>
    <row r="180" spans="1:17">
      <c r="A180">
        <v>179</v>
      </c>
      <c r="B180">
        <v>1</v>
      </c>
      <c r="C180">
        <v>20240118</v>
      </c>
      <c r="D180" t="s">
        <v>20</v>
      </c>
      <c r="E180" t="s">
        <v>21</v>
      </c>
      <c r="F180" t="s">
        <v>22</v>
      </c>
      <c r="G180" t="s">
        <v>30</v>
      </c>
      <c r="H180">
        <v>37630</v>
      </c>
      <c r="I180" t="s">
        <v>24</v>
      </c>
      <c r="J180">
        <v>4.14</v>
      </c>
      <c r="K180">
        <v>155788.2</v>
      </c>
      <c r="L180" t="s">
        <v>637</v>
      </c>
      <c r="M180" t="s">
        <v>769</v>
      </c>
      <c r="N180">
        <v>3.5538</v>
      </c>
      <c r="O180" t="s">
        <v>27</v>
      </c>
      <c r="P180" t="s">
        <v>770</v>
      </c>
      <c r="Q180">
        <v>2</v>
      </c>
    </row>
    <row r="181" spans="1:17">
      <c r="A181">
        <v>180</v>
      </c>
      <c r="B181">
        <v>1</v>
      </c>
      <c r="C181">
        <v>20240118</v>
      </c>
      <c r="D181" t="s">
        <v>20</v>
      </c>
      <c r="E181" t="s">
        <v>21</v>
      </c>
      <c r="F181" t="s">
        <v>22</v>
      </c>
      <c r="G181" t="s">
        <v>30</v>
      </c>
      <c r="H181">
        <v>226</v>
      </c>
      <c r="I181" t="s">
        <v>24</v>
      </c>
      <c r="J181">
        <v>4.14</v>
      </c>
      <c r="K181">
        <v>935.64</v>
      </c>
      <c r="L181" t="s">
        <v>637</v>
      </c>
      <c r="M181" t="s">
        <v>769</v>
      </c>
      <c r="N181">
        <v>3.5243</v>
      </c>
      <c r="O181" t="s">
        <v>27</v>
      </c>
      <c r="P181" t="s">
        <v>770</v>
      </c>
      <c r="Q181">
        <v>2</v>
      </c>
    </row>
    <row r="182" spans="1:17">
      <c r="A182">
        <v>181</v>
      </c>
      <c r="B182">
        <v>1</v>
      </c>
      <c r="C182">
        <v>20240118</v>
      </c>
      <c r="D182" t="s">
        <v>28</v>
      </c>
      <c r="E182" t="s">
        <v>21</v>
      </c>
      <c r="F182" t="s">
        <v>22</v>
      </c>
      <c r="G182" t="s">
        <v>37</v>
      </c>
      <c r="H182">
        <v>24152</v>
      </c>
      <c r="I182" t="s">
        <v>24</v>
      </c>
      <c r="J182">
        <v>4.14</v>
      </c>
      <c r="K182">
        <v>99989.28</v>
      </c>
      <c r="L182" t="s">
        <v>654</v>
      </c>
      <c r="M182" t="s">
        <v>771</v>
      </c>
      <c r="N182">
        <v>4.0375</v>
      </c>
      <c r="O182" t="s">
        <v>27</v>
      </c>
      <c r="P182" t="s">
        <v>772</v>
      </c>
      <c r="Q182">
        <v>2</v>
      </c>
    </row>
    <row r="183" spans="1:17">
      <c r="A183">
        <v>182</v>
      </c>
      <c r="B183">
        <v>1</v>
      </c>
      <c r="C183">
        <v>20240118</v>
      </c>
      <c r="D183" t="s">
        <v>28</v>
      </c>
      <c r="E183" t="s">
        <v>21</v>
      </c>
      <c r="F183" t="s">
        <v>22</v>
      </c>
      <c r="G183" t="s">
        <v>30</v>
      </c>
      <c r="H183">
        <v>655</v>
      </c>
      <c r="I183" t="s">
        <v>24</v>
      </c>
      <c r="J183">
        <v>4.14</v>
      </c>
      <c r="K183">
        <v>2711.7</v>
      </c>
      <c r="L183" t="s">
        <v>654</v>
      </c>
      <c r="M183" t="s">
        <v>771</v>
      </c>
      <c r="N183">
        <v>4.049</v>
      </c>
      <c r="O183" t="s">
        <v>27</v>
      </c>
      <c r="P183" t="s">
        <v>773</v>
      </c>
      <c r="Q183">
        <v>1</v>
      </c>
    </row>
    <row r="184" spans="1:17">
      <c r="A184">
        <v>183</v>
      </c>
      <c r="B184">
        <v>1</v>
      </c>
      <c r="C184">
        <v>20240118</v>
      </c>
      <c r="D184" t="s">
        <v>28</v>
      </c>
      <c r="E184" t="s">
        <v>21</v>
      </c>
      <c r="F184" t="s">
        <v>22</v>
      </c>
      <c r="G184" t="s">
        <v>37</v>
      </c>
      <c r="H184">
        <v>2452</v>
      </c>
      <c r="I184" t="s">
        <v>24</v>
      </c>
      <c r="J184">
        <v>4.14</v>
      </c>
      <c r="K184">
        <v>10151.28</v>
      </c>
      <c r="L184" t="s">
        <v>637</v>
      </c>
      <c r="M184" t="s">
        <v>771</v>
      </c>
      <c r="N184">
        <v>3.5283</v>
      </c>
      <c r="O184" t="s">
        <v>27</v>
      </c>
      <c r="P184" t="s">
        <v>772</v>
      </c>
      <c r="Q184" t="s">
        <v>774</v>
      </c>
    </row>
    <row r="185" spans="1:17">
      <c r="A185">
        <v>184</v>
      </c>
      <c r="B185">
        <v>1</v>
      </c>
      <c r="C185">
        <v>20240118</v>
      </c>
      <c r="D185" t="s">
        <v>28</v>
      </c>
      <c r="E185" t="s">
        <v>21</v>
      </c>
      <c r="F185" t="s">
        <v>22</v>
      </c>
      <c r="G185" t="s">
        <v>37</v>
      </c>
      <c r="H185">
        <v>34342</v>
      </c>
      <c r="I185" t="s">
        <v>24</v>
      </c>
      <c r="J185">
        <v>4.14</v>
      </c>
      <c r="K185">
        <v>142175.88</v>
      </c>
      <c r="L185" t="s">
        <v>637</v>
      </c>
      <c r="M185" t="s">
        <v>771</v>
      </c>
      <c r="N185">
        <v>3.5235</v>
      </c>
      <c r="O185" t="s">
        <v>27</v>
      </c>
      <c r="P185" t="s">
        <v>772</v>
      </c>
      <c r="Q185" t="s">
        <v>775</v>
      </c>
    </row>
    <row r="186" spans="1:17">
      <c r="A186">
        <v>185</v>
      </c>
      <c r="B186">
        <v>1</v>
      </c>
      <c r="C186">
        <v>20240118</v>
      </c>
      <c r="D186" t="s">
        <v>28</v>
      </c>
      <c r="E186" t="s">
        <v>21</v>
      </c>
      <c r="F186" t="s">
        <v>22</v>
      </c>
      <c r="G186" t="s">
        <v>37</v>
      </c>
      <c r="H186">
        <v>43562</v>
      </c>
      <c r="I186" t="s">
        <v>24</v>
      </c>
      <c r="J186">
        <v>4.14</v>
      </c>
      <c r="K186">
        <v>180346.68</v>
      </c>
      <c r="L186" t="s">
        <v>637</v>
      </c>
      <c r="M186" t="s">
        <v>771</v>
      </c>
      <c r="N186">
        <v>3.5707</v>
      </c>
      <c r="O186" t="s">
        <v>27</v>
      </c>
      <c r="P186" t="s">
        <v>772</v>
      </c>
      <c r="Q186" t="s">
        <v>775</v>
      </c>
    </row>
    <row r="187" spans="1:17">
      <c r="A187">
        <v>186</v>
      </c>
      <c r="B187">
        <v>1</v>
      </c>
      <c r="C187">
        <v>20240118</v>
      </c>
      <c r="D187" t="s">
        <v>28</v>
      </c>
      <c r="E187" t="s">
        <v>21</v>
      </c>
      <c r="F187" t="s">
        <v>22</v>
      </c>
      <c r="G187" t="s">
        <v>37</v>
      </c>
      <c r="H187">
        <v>2311</v>
      </c>
      <c r="I187" t="s">
        <v>24</v>
      </c>
      <c r="J187">
        <v>4.14</v>
      </c>
      <c r="K187">
        <v>9567.54</v>
      </c>
      <c r="L187" t="s">
        <v>637</v>
      </c>
      <c r="M187" t="s">
        <v>771</v>
      </c>
      <c r="N187">
        <v>3.5065</v>
      </c>
      <c r="O187" t="s">
        <v>27</v>
      </c>
      <c r="P187" t="s">
        <v>772</v>
      </c>
      <c r="Q187" t="s">
        <v>776</v>
      </c>
    </row>
    <row r="188" spans="1:17">
      <c r="A188">
        <v>187</v>
      </c>
      <c r="B188">
        <v>1</v>
      </c>
      <c r="C188">
        <v>20240118</v>
      </c>
      <c r="D188" t="s">
        <v>28</v>
      </c>
      <c r="E188" t="s">
        <v>21</v>
      </c>
      <c r="F188" t="s">
        <v>22</v>
      </c>
      <c r="G188" t="s">
        <v>30</v>
      </c>
      <c r="H188">
        <v>142558</v>
      </c>
      <c r="I188" t="s">
        <v>24</v>
      </c>
      <c r="J188">
        <v>4.14</v>
      </c>
      <c r="K188">
        <v>590190.12</v>
      </c>
      <c r="L188" t="s">
        <v>637</v>
      </c>
      <c r="M188" t="s">
        <v>771</v>
      </c>
      <c r="N188">
        <v>3.5681</v>
      </c>
      <c r="O188" t="s">
        <v>27</v>
      </c>
      <c r="P188" t="s">
        <v>773</v>
      </c>
      <c r="Q188" t="s">
        <v>777</v>
      </c>
    </row>
    <row r="189" spans="1:17">
      <c r="A189">
        <v>188</v>
      </c>
      <c r="B189">
        <v>1</v>
      </c>
      <c r="C189">
        <v>20240118</v>
      </c>
      <c r="D189" t="s">
        <v>28</v>
      </c>
      <c r="E189" t="s">
        <v>21</v>
      </c>
      <c r="F189" t="s">
        <v>22</v>
      </c>
      <c r="G189" t="s">
        <v>30</v>
      </c>
      <c r="H189">
        <v>76801</v>
      </c>
      <c r="I189" t="s">
        <v>24</v>
      </c>
      <c r="J189">
        <v>4.14</v>
      </c>
      <c r="K189">
        <v>317956.14</v>
      </c>
      <c r="L189" t="s">
        <v>637</v>
      </c>
      <c r="M189" t="s">
        <v>771</v>
      </c>
      <c r="N189">
        <v>3.5097</v>
      </c>
      <c r="O189" t="s">
        <v>27</v>
      </c>
      <c r="P189" t="s">
        <v>773</v>
      </c>
      <c r="Q189" t="s">
        <v>778</v>
      </c>
    </row>
    <row r="190" spans="1:17">
      <c r="A190">
        <v>189</v>
      </c>
      <c r="B190">
        <v>1</v>
      </c>
      <c r="C190">
        <v>20240118</v>
      </c>
      <c r="D190" t="s">
        <v>28</v>
      </c>
      <c r="E190" t="s">
        <v>21</v>
      </c>
      <c r="F190" t="s">
        <v>22</v>
      </c>
      <c r="G190" t="s">
        <v>30</v>
      </c>
      <c r="H190">
        <v>3116</v>
      </c>
      <c r="I190" t="s">
        <v>24</v>
      </c>
      <c r="J190">
        <v>4.14</v>
      </c>
      <c r="K190">
        <v>12900.24</v>
      </c>
      <c r="L190" t="s">
        <v>637</v>
      </c>
      <c r="M190" t="s">
        <v>771</v>
      </c>
      <c r="N190">
        <v>3.5538</v>
      </c>
      <c r="O190" t="s">
        <v>27</v>
      </c>
      <c r="P190" t="s">
        <v>773</v>
      </c>
      <c r="Q190" t="s">
        <v>776</v>
      </c>
    </row>
    <row r="191" spans="1:17">
      <c r="A191">
        <v>190</v>
      </c>
      <c r="B191">
        <v>1</v>
      </c>
      <c r="C191">
        <v>20240118</v>
      </c>
      <c r="D191" t="s">
        <v>28</v>
      </c>
      <c r="E191" t="s">
        <v>21</v>
      </c>
      <c r="F191" t="s">
        <v>22</v>
      </c>
      <c r="G191" t="s">
        <v>30</v>
      </c>
      <c r="H191">
        <v>20131</v>
      </c>
      <c r="I191" t="s">
        <v>24</v>
      </c>
      <c r="J191">
        <v>4.14</v>
      </c>
      <c r="K191">
        <v>83342.34</v>
      </c>
      <c r="L191" t="s">
        <v>637</v>
      </c>
      <c r="M191" t="s">
        <v>771</v>
      </c>
      <c r="N191">
        <v>3.5158</v>
      </c>
      <c r="O191" t="s">
        <v>27</v>
      </c>
      <c r="P191" t="s">
        <v>773</v>
      </c>
      <c r="Q191" t="s">
        <v>776</v>
      </c>
    </row>
    <row r="192" spans="1:17">
      <c r="A192">
        <v>191</v>
      </c>
      <c r="B192">
        <v>1</v>
      </c>
      <c r="C192">
        <v>20240118</v>
      </c>
      <c r="D192" t="s">
        <v>28</v>
      </c>
      <c r="E192" t="s">
        <v>21</v>
      </c>
      <c r="F192" t="s">
        <v>22</v>
      </c>
      <c r="G192" t="s">
        <v>30</v>
      </c>
      <c r="H192">
        <v>1904</v>
      </c>
      <c r="I192" t="s">
        <v>24</v>
      </c>
      <c r="J192">
        <v>4.14</v>
      </c>
      <c r="K192">
        <v>7882.56</v>
      </c>
      <c r="L192" t="s">
        <v>637</v>
      </c>
      <c r="M192" t="s">
        <v>771</v>
      </c>
      <c r="N192">
        <v>4.049</v>
      </c>
      <c r="O192" t="s">
        <v>27</v>
      </c>
      <c r="P192" t="s">
        <v>773</v>
      </c>
      <c r="Q192" t="s">
        <v>776</v>
      </c>
    </row>
    <row r="193" spans="1:17">
      <c r="A193">
        <v>192</v>
      </c>
      <c r="B193">
        <v>1</v>
      </c>
      <c r="C193">
        <v>20240118</v>
      </c>
      <c r="D193" t="s">
        <v>28</v>
      </c>
      <c r="E193" t="s">
        <v>21</v>
      </c>
      <c r="F193" t="s">
        <v>22</v>
      </c>
      <c r="G193" t="s">
        <v>37</v>
      </c>
      <c r="H193">
        <v>47302</v>
      </c>
      <c r="I193" t="s">
        <v>24</v>
      </c>
      <c r="J193">
        <v>4.14</v>
      </c>
      <c r="K193">
        <v>195830.28</v>
      </c>
      <c r="L193" t="s">
        <v>634</v>
      </c>
      <c r="M193" t="s">
        <v>771</v>
      </c>
      <c r="N193">
        <v>4.0575</v>
      </c>
      <c r="O193" t="s">
        <v>27</v>
      </c>
      <c r="P193" t="s">
        <v>772</v>
      </c>
      <c r="Q193">
        <v>3</v>
      </c>
    </row>
    <row r="194" spans="1:17">
      <c r="A194">
        <v>193</v>
      </c>
      <c r="B194">
        <v>1</v>
      </c>
      <c r="C194">
        <v>20240118</v>
      </c>
      <c r="D194" t="s">
        <v>28</v>
      </c>
      <c r="E194" t="s">
        <v>21</v>
      </c>
      <c r="F194" t="s">
        <v>22</v>
      </c>
      <c r="G194" t="s">
        <v>30</v>
      </c>
      <c r="H194">
        <v>614333</v>
      </c>
      <c r="I194" t="s">
        <v>24</v>
      </c>
      <c r="J194">
        <v>4.14</v>
      </c>
      <c r="K194">
        <v>2543338.62</v>
      </c>
      <c r="L194" t="s">
        <v>634</v>
      </c>
      <c r="M194" t="s">
        <v>771</v>
      </c>
      <c r="N194">
        <v>4.0601</v>
      </c>
      <c r="O194" t="s">
        <v>27</v>
      </c>
      <c r="P194" t="s">
        <v>773</v>
      </c>
      <c r="Q194">
        <v>21</v>
      </c>
    </row>
    <row r="195" spans="1:17">
      <c r="A195">
        <v>194</v>
      </c>
      <c r="B195">
        <v>1</v>
      </c>
      <c r="C195">
        <v>20240119</v>
      </c>
      <c r="D195" t="s">
        <v>28</v>
      </c>
      <c r="E195" t="s">
        <v>21</v>
      </c>
      <c r="F195" t="s">
        <v>39</v>
      </c>
      <c r="G195" t="s">
        <v>40</v>
      </c>
      <c r="H195">
        <v>6</v>
      </c>
      <c r="I195" t="s">
        <v>24</v>
      </c>
      <c r="J195">
        <v>1409.017</v>
      </c>
      <c r="K195">
        <v>8454.102</v>
      </c>
      <c r="L195" t="s">
        <v>637</v>
      </c>
      <c r="M195" t="s">
        <v>779</v>
      </c>
      <c r="N195">
        <v>1409.017</v>
      </c>
      <c r="O195" t="s">
        <v>27</v>
      </c>
      <c r="P195" t="s">
        <v>780</v>
      </c>
      <c r="Q195">
        <v>1</v>
      </c>
    </row>
    <row r="196" spans="1:17">
      <c r="A196">
        <v>195</v>
      </c>
      <c r="B196">
        <v>1</v>
      </c>
      <c r="C196">
        <v>20240119</v>
      </c>
      <c r="D196" t="s">
        <v>28</v>
      </c>
      <c r="E196" t="s">
        <v>21</v>
      </c>
      <c r="F196" t="s">
        <v>41</v>
      </c>
      <c r="G196" t="s">
        <v>30</v>
      </c>
      <c r="H196">
        <v>109563</v>
      </c>
      <c r="I196" t="s">
        <v>24</v>
      </c>
      <c r="J196">
        <v>4.14</v>
      </c>
      <c r="K196">
        <v>453590.82</v>
      </c>
      <c r="L196" t="s">
        <v>637</v>
      </c>
      <c r="M196" t="s">
        <v>781</v>
      </c>
      <c r="N196">
        <v>4.05</v>
      </c>
      <c r="O196" t="s">
        <v>27</v>
      </c>
      <c r="P196" t="s">
        <v>782</v>
      </c>
      <c r="Q196">
        <v>10</v>
      </c>
    </row>
    <row r="197" spans="1:17">
      <c r="A197">
        <v>196</v>
      </c>
      <c r="B197">
        <v>1</v>
      </c>
      <c r="C197">
        <v>20240119</v>
      </c>
      <c r="D197" t="s">
        <v>28</v>
      </c>
      <c r="E197" t="s">
        <v>21</v>
      </c>
      <c r="F197" t="s">
        <v>41</v>
      </c>
      <c r="G197" t="s">
        <v>37</v>
      </c>
      <c r="H197">
        <v>16507</v>
      </c>
      <c r="I197" t="s">
        <v>24</v>
      </c>
      <c r="J197">
        <v>4.14</v>
      </c>
      <c r="K197">
        <v>68338.98</v>
      </c>
      <c r="L197" t="s">
        <v>634</v>
      </c>
      <c r="M197" t="s">
        <v>781</v>
      </c>
      <c r="N197">
        <v>4.05</v>
      </c>
      <c r="O197" t="s">
        <v>27</v>
      </c>
      <c r="P197" t="s">
        <v>783</v>
      </c>
      <c r="Q197">
        <v>2</v>
      </c>
    </row>
    <row r="198" spans="1:17">
      <c r="A198">
        <v>197</v>
      </c>
      <c r="B198">
        <v>1</v>
      </c>
      <c r="C198">
        <v>20240119</v>
      </c>
      <c r="D198" t="s">
        <v>28</v>
      </c>
      <c r="E198" t="s">
        <v>21</v>
      </c>
      <c r="F198" t="s">
        <v>41</v>
      </c>
      <c r="G198" t="s">
        <v>30</v>
      </c>
      <c r="H198">
        <v>9295</v>
      </c>
      <c r="I198" t="s">
        <v>24</v>
      </c>
      <c r="J198">
        <v>4.14</v>
      </c>
      <c r="K198">
        <v>38481.3</v>
      </c>
      <c r="L198" t="s">
        <v>634</v>
      </c>
      <c r="M198" t="s">
        <v>781</v>
      </c>
      <c r="N198">
        <v>4.05</v>
      </c>
      <c r="O198" t="s">
        <v>27</v>
      </c>
      <c r="P198" t="s">
        <v>782</v>
      </c>
      <c r="Q198">
        <v>1</v>
      </c>
    </row>
    <row r="199" spans="1:17">
      <c r="A199">
        <v>198</v>
      </c>
      <c r="B199">
        <v>1</v>
      </c>
      <c r="C199">
        <v>20240119</v>
      </c>
      <c r="D199" t="s">
        <v>20</v>
      </c>
      <c r="E199" t="s">
        <v>21</v>
      </c>
      <c r="F199" t="s">
        <v>41</v>
      </c>
      <c r="G199" t="s">
        <v>30</v>
      </c>
      <c r="H199">
        <v>78303</v>
      </c>
      <c r="I199" t="s">
        <v>24</v>
      </c>
      <c r="J199">
        <v>4.14</v>
      </c>
      <c r="K199">
        <v>324174.42</v>
      </c>
      <c r="L199" t="s">
        <v>634</v>
      </c>
      <c r="M199" t="s">
        <v>781</v>
      </c>
      <c r="N199">
        <v>4.05</v>
      </c>
      <c r="O199" t="s">
        <v>27</v>
      </c>
      <c r="P199" t="s">
        <v>784</v>
      </c>
      <c r="Q199">
        <v>6</v>
      </c>
    </row>
    <row r="200" spans="1:17">
      <c r="A200">
        <v>199</v>
      </c>
      <c r="B200">
        <v>1</v>
      </c>
      <c r="C200">
        <v>20240119</v>
      </c>
      <c r="D200" t="s">
        <v>20</v>
      </c>
      <c r="E200" t="s">
        <v>21</v>
      </c>
      <c r="F200" t="s">
        <v>59</v>
      </c>
      <c r="G200" t="s">
        <v>42</v>
      </c>
      <c r="H200">
        <v>204594</v>
      </c>
      <c r="I200" t="s">
        <v>24</v>
      </c>
      <c r="J200">
        <v>4.58</v>
      </c>
      <c r="K200">
        <v>937040.52</v>
      </c>
      <c r="L200" t="s">
        <v>637</v>
      </c>
      <c r="M200" t="s">
        <v>785</v>
      </c>
      <c r="N200">
        <v>4.4886</v>
      </c>
      <c r="O200" t="s">
        <v>27</v>
      </c>
      <c r="P200" t="s">
        <v>786</v>
      </c>
      <c r="Q200">
        <v>25</v>
      </c>
    </row>
    <row r="201" spans="1:17">
      <c r="A201">
        <v>200</v>
      </c>
      <c r="B201">
        <v>1</v>
      </c>
      <c r="C201">
        <v>20240119</v>
      </c>
      <c r="D201" t="s">
        <v>28</v>
      </c>
      <c r="E201" t="s">
        <v>21</v>
      </c>
      <c r="F201" t="s">
        <v>29</v>
      </c>
      <c r="G201" t="s">
        <v>679</v>
      </c>
      <c r="H201">
        <v>87486</v>
      </c>
      <c r="I201" t="s">
        <v>24</v>
      </c>
      <c r="J201">
        <v>4.25</v>
      </c>
      <c r="K201">
        <v>371815.5</v>
      </c>
      <c r="L201" t="s">
        <v>634</v>
      </c>
      <c r="M201" t="s">
        <v>787</v>
      </c>
      <c r="N201">
        <v>4.1681</v>
      </c>
      <c r="O201" t="s">
        <v>27</v>
      </c>
      <c r="P201" t="s">
        <v>788</v>
      </c>
      <c r="Q201">
        <v>6</v>
      </c>
    </row>
    <row r="202" spans="1:17">
      <c r="A202">
        <v>201</v>
      </c>
      <c r="B202">
        <v>1</v>
      </c>
      <c r="C202">
        <v>20240119</v>
      </c>
      <c r="D202" t="s">
        <v>20</v>
      </c>
      <c r="E202" t="s">
        <v>21</v>
      </c>
      <c r="F202" t="s">
        <v>29</v>
      </c>
      <c r="G202" t="s">
        <v>42</v>
      </c>
      <c r="H202">
        <v>1499</v>
      </c>
      <c r="I202" t="s">
        <v>24</v>
      </c>
      <c r="J202">
        <v>5.73</v>
      </c>
      <c r="K202">
        <v>8589.27</v>
      </c>
      <c r="L202" t="s">
        <v>637</v>
      </c>
      <c r="M202" t="s">
        <v>787</v>
      </c>
      <c r="N202">
        <v>5.6157</v>
      </c>
      <c r="O202" t="s">
        <v>27</v>
      </c>
      <c r="P202" t="s">
        <v>789</v>
      </c>
      <c r="Q202">
        <v>162</v>
      </c>
    </row>
    <row r="203" spans="1:17">
      <c r="A203">
        <v>202</v>
      </c>
      <c r="B203">
        <v>1</v>
      </c>
      <c r="C203">
        <v>20240119</v>
      </c>
      <c r="D203" t="s">
        <v>20</v>
      </c>
      <c r="E203" t="s">
        <v>21</v>
      </c>
      <c r="F203" t="s">
        <v>29</v>
      </c>
      <c r="G203" t="s">
        <v>42</v>
      </c>
      <c r="H203">
        <v>576934</v>
      </c>
      <c r="I203" t="s">
        <v>24</v>
      </c>
      <c r="J203">
        <v>5.62</v>
      </c>
      <c r="K203">
        <v>3242369.08</v>
      </c>
      <c r="L203" t="s">
        <v>634</v>
      </c>
      <c r="M203" t="s">
        <v>787</v>
      </c>
      <c r="N203">
        <v>5.5003</v>
      </c>
      <c r="O203" t="s">
        <v>27</v>
      </c>
      <c r="P203" t="s">
        <v>790</v>
      </c>
    </row>
    <row r="204" spans="1:17">
      <c r="A204">
        <v>203</v>
      </c>
      <c r="B204">
        <v>1</v>
      </c>
      <c r="C204">
        <v>20240119</v>
      </c>
      <c r="D204" t="s">
        <v>28</v>
      </c>
      <c r="E204" t="s">
        <v>21</v>
      </c>
      <c r="F204" t="s">
        <v>41</v>
      </c>
      <c r="G204" t="s">
        <v>30</v>
      </c>
      <c r="H204">
        <v>247627</v>
      </c>
      <c r="I204" t="s">
        <v>24</v>
      </c>
      <c r="J204">
        <v>4.14</v>
      </c>
      <c r="K204">
        <v>1025175.78</v>
      </c>
      <c r="L204" t="s">
        <v>637</v>
      </c>
      <c r="N204">
        <v>4.05</v>
      </c>
      <c r="O204" t="s">
        <v>27</v>
      </c>
      <c r="P204" t="s">
        <v>782</v>
      </c>
      <c r="Q204">
        <v>29</v>
      </c>
    </row>
    <row r="205" spans="1:17">
      <c r="A205">
        <v>204</v>
      </c>
      <c r="B205">
        <v>1</v>
      </c>
      <c r="C205">
        <v>20240119</v>
      </c>
      <c r="D205" t="s">
        <v>28</v>
      </c>
      <c r="E205" t="s">
        <v>21</v>
      </c>
      <c r="F205" t="s">
        <v>41</v>
      </c>
      <c r="G205" t="s">
        <v>37</v>
      </c>
      <c r="H205">
        <v>73254</v>
      </c>
      <c r="I205" t="s">
        <v>24</v>
      </c>
      <c r="J205">
        <v>4.14</v>
      </c>
      <c r="K205">
        <v>303271.56</v>
      </c>
      <c r="L205" t="s">
        <v>637</v>
      </c>
      <c r="N205">
        <v>4.05</v>
      </c>
      <c r="O205" t="s">
        <v>27</v>
      </c>
      <c r="P205" t="s">
        <v>783</v>
      </c>
      <c r="Q205">
        <v>8</v>
      </c>
    </row>
    <row r="206" spans="1:17">
      <c r="A206">
        <v>205</v>
      </c>
      <c r="B206">
        <v>1</v>
      </c>
      <c r="C206">
        <v>20240119</v>
      </c>
      <c r="D206" t="s">
        <v>28</v>
      </c>
      <c r="E206" t="s">
        <v>21</v>
      </c>
      <c r="F206" t="s">
        <v>41</v>
      </c>
      <c r="G206" t="s">
        <v>30</v>
      </c>
      <c r="H206">
        <v>116870</v>
      </c>
      <c r="I206" t="s">
        <v>24</v>
      </c>
      <c r="J206">
        <v>4.14</v>
      </c>
      <c r="K206">
        <v>483841.8</v>
      </c>
      <c r="L206" t="s">
        <v>634</v>
      </c>
      <c r="N206">
        <v>4.05</v>
      </c>
      <c r="O206" t="s">
        <v>27</v>
      </c>
      <c r="P206" t="s">
        <v>782</v>
      </c>
      <c r="Q206">
        <v>10</v>
      </c>
    </row>
    <row r="207" spans="1:17">
      <c r="A207">
        <v>206</v>
      </c>
      <c r="B207">
        <v>1</v>
      </c>
      <c r="C207">
        <v>20240119</v>
      </c>
      <c r="D207" t="s">
        <v>28</v>
      </c>
      <c r="E207" t="s">
        <v>21</v>
      </c>
      <c r="F207" t="s">
        <v>41</v>
      </c>
      <c r="G207" t="s">
        <v>37</v>
      </c>
      <c r="H207">
        <v>62087</v>
      </c>
      <c r="I207" t="s">
        <v>24</v>
      </c>
      <c r="J207">
        <v>4.14</v>
      </c>
      <c r="K207">
        <v>257040.18</v>
      </c>
      <c r="L207" t="s">
        <v>634</v>
      </c>
      <c r="N207">
        <v>4.05</v>
      </c>
      <c r="O207" t="s">
        <v>27</v>
      </c>
      <c r="P207" t="s">
        <v>783</v>
      </c>
      <c r="Q207">
        <v>7</v>
      </c>
    </row>
    <row r="208" spans="1:17">
      <c r="A208">
        <v>207</v>
      </c>
      <c r="B208">
        <v>1</v>
      </c>
      <c r="C208">
        <v>20240119</v>
      </c>
      <c r="D208" t="s">
        <v>28</v>
      </c>
      <c r="E208" t="s">
        <v>21</v>
      </c>
      <c r="F208" t="s">
        <v>41</v>
      </c>
      <c r="G208" t="s">
        <v>30</v>
      </c>
      <c r="H208">
        <v>43231</v>
      </c>
      <c r="I208" t="s">
        <v>24</v>
      </c>
      <c r="J208">
        <v>4.14</v>
      </c>
      <c r="K208">
        <v>178976.34</v>
      </c>
      <c r="L208" t="s">
        <v>634</v>
      </c>
      <c r="N208">
        <v>4.05</v>
      </c>
      <c r="O208" t="s">
        <v>27</v>
      </c>
      <c r="P208" t="s">
        <v>782</v>
      </c>
      <c r="Q208">
        <v>4</v>
      </c>
    </row>
    <row r="209" spans="1:19">
      <c r="A209">
        <v>208</v>
      </c>
      <c r="B209">
        <v>1</v>
      </c>
      <c r="C209">
        <v>20240119</v>
      </c>
      <c r="D209" t="s">
        <v>28</v>
      </c>
      <c r="E209" t="s">
        <v>21</v>
      </c>
      <c r="F209" t="s">
        <v>41</v>
      </c>
      <c r="G209" t="s">
        <v>30</v>
      </c>
      <c r="H209">
        <v>46810</v>
      </c>
      <c r="I209" t="s">
        <v>24</v>
      </c>
      <c r="J209">
        <v>4.14</v>
      </c>
      <c r="K209">
        <v>193793.4</v>
      </c>
      <c r="L209" t="s">
        <v>637</v>
      </c>
      <c r="N209">
        <v>4.05</v>
      </c>
      <c r="O209" t="s">
        <v>27</v>
      </c>
      <c r="P209" t="s">
        <v>782</v>
      </c>
      <c r="Q209">
        <v>4</v>
      </c>
    </row>
    <row r="210" spans="1:19">
      <c r="A210">
        <v>209</v>
      </c>
      <c r="B210">
        <v>1</v>
      </c>
      <c r="C210">
        <v>20240119</v>
      </c>
      <c r="D210" t="s">
        <v>28</v>
      </c>
      <c r="E210" t="s">
        <v>21</v>
      </c>
      <c r="F210" t="s">
        <v>41</v>
      </c>
      <c r="G210" t="s">
        <v>37</v>
      </c>
      <c r="H210">
        <v>31679</v>
      </c>
      <c r="I210" t="s">
        <v>24</v>
      </c>
      <c r="J210">
        <v>4.14</v>
      </c>
      <c r="K210">
        <v>131151.06</v>
      </c>
      <c r="L210" t="s">
        <v>637</v>
      </c>
      <c r="N210">
        <v>4.05</v>
      </c>
      <c r="O210" t="s">
        <v>27</v>
      </c>
      <c r="P210" t="s">
        <v>783</v>
      </c>
      <c r="Q210">
        <v>3</v>
      </c>
    </row>
    <row r="211" spans="1:19">
      <c r="A211">
        <v>210</v>
      </c>
      <c r="B211">
        <v>1</v>
      </c>
      <c r="C211">
        <v>20240119</v>
      </c>
      <c r="D211" t="s">
        <v>28</v>
      </c>
      <c r="E211" t="s">
        <v>21</v>
      </c>
      <c r="F211" t="s">
        <v>41</v>
      </c>
      <c r="G211" t="s">
        <v>30</v>
      </c>
      <c r="H211">
        <v>13456</v>
      </c>
      <c r="I211" t="s">
        <v>24</v>
      </c>
      <c r="J211">
        <v>4.14</v>
      </c>
      <c r="K211">
        <v>55707.84</v>
      </c>
      <c r="L211" t="s">
        <v>637</v>
      </c>
      <c r="N211">
        <v>4.05</v>
      </c>
      <c r="O211" t="s">
        <v>27</v>
      </c>
      <c r="P211" t="s">
        <v>782</v>
      </c>
      <c r="Q211">
        <v>1</v>
      </c>
    </row>
    <row r="212" spans="1:19">
      <c r="A212">
        <v>211</v>
      </c>
      <c r="B212">
        <v>1</v>
      </c>
      <c r="C212">
        <v>20240119</v>
      </c>
      <c r="D212" t="s">
        <v>20</v>
      </c>
      <c r="E212" t="s">
        <v>21</v>
      </c>
      <c r="F212" t="s">
        <v>41</v>
      </c>
      <c r="G212" t="s">
        <v>30</v>
      </c>
      <c r="H212">
        <v>1719</v>
      </c>
      <c r="I212" t="s">
        <v>24</v>
      </c>
      <c r="J212">
        <v>4.14</v>
      </c>
      <c r="K212">
        <v>7116.66</v>
      </c>
      <c r="L212" t="s">
        <v>634</v>
      </c>
      <c r="N212">
        <v>4.05</v>
      </c>
      <c r="O212" t="s">
        <v>27</v>
      </c>
      <c r="P212" t="s">
        <v>784</v>
      </c>
      <c r="Q212">
        <v>1</v>
      </c>
    </row>
    <row r="213" spans="1:19">
      <c r="A213">
        <v>212</v>
      </c>
      <c r="B213">
        <v>1</v>
      </c>
      <c r="C213">
        <v>20240119</v>
      </c>
      <c r="D213" t="s">
        <v>20</v>
      </c>
      <c r="E213" t="s">
        <v>21</v>
      </c>
      <c r="F213" t="s">
        <v>41</v>
      </c>
      <c r="G213" t="s">
        <v>30</v>
      </c>
      <c r="H213">
        <v>1797</v>
      </c>
      <c r="I213" t="s">
        <v>24</v>
      </c>
      <c r="J213">
        <v>4.14</v>
      </c>
      <c r="K213">
        <v>7439.58</v>
      </c>
      <c r="L213" t="s">
        <v>637</v>
      </c>
      <c r="N213">
        <v>4.05</v>
      </c>
      <c r="O213" t="s">
        <v>27</v>
      </c>
      <c r="P213" t="s">
        <v>784</v>
      </c>
      <c r="Q213">
        <v>1</v>
      </c>
    </row>
    <row r="214" spans="1:19">
      <c r="A214">
        <v>213</v>
      </c>
      <c r="B214">
        <v>1</v>
      </c>
      <c r="C214">
        <v>20241019</v>
      </c>
      <c r="D214" t="s">
        <v>28</v>
      </c>
      <c r="E214" t="s">
        <v>21</v>
      </c>
      <c r="F214" t="s">
        <v>32</v>
      </c>
      <c r="G214" t="s">
        <v>56</v>
      </c>
      <c r="H214">
        <v>102009</v>
      </c>
      <c r="I214" t="s">
        <v>24</v>
      </c>
      <c r="J214">
        <v>4.53</v>
      </c>
      <c r="K214">
        <v>462100.77</v>
      </c>
      <c r="L214" t="s">
        <v>634</v>
      </c>
      <c r="N214">
        <v>4.44</v>
      </c>
      <c r="O214" t="s">
        <v>27</v>
      </c>
      <c r="P214" t="s">
        <v>791</v>
      </c>
      <c r="Q214">
        <v>37</v>
      </c>
    </row>
    <row r="215" spans="1:19">
      <c r="A215">
        <v>214</v>
      </c>
      <c r="B215">
        <v>1</v>
      </c>
      <c r="C215">
        <v>20240120</v>
      </c>
      <c r="D215" t="s">
        <v>20</v>
      </c>
      <c r="E215" t="s">
        <v>21</v>
      </c>
      <c r="F215" t="s">
        <v>41</v>
      </c>
      <c r="G215" t="s">
        <v>42</v>
      </c>
      <c r="H215">
        <v>204897</v>
      </c>
      <c r="I215" t="s">
        <v>24</v>
      </c>
      <c r="J215">
        <v>5.63</v>
      </c>
      <c r="K215">
        <v>1153570.11</v>
      </c>
      <c r="L215" t="s">
        <v>634</v>
      </c>
      <c r="N215">
        <v>5.516</v>
      </c>
      <c r="O215" t="s">
        <v>27</v>
      </c>
      <c r="P215" t="s">
        <v>792</v>
      </c>
      <c r="Q215">
        <v>16</v>
      </c>
    </row>
    <row r="216" spans="1:19">
      <c r="A216">
        <v>215</v>
      </c>
      <c r="B216">
        <v>1</v>
      </c>
      <c r="C216">
        <v>20240122</v>
      </c>
      <c r="D216" t="s">
        <v>20</v>
      </c>
      <c r="E216" t="s">
        <v>21</v>
      </c>
      <c r="F216" t="s">
        <v>32</v>
      </c>
      <c r="G216" t="s">
        <v>42</v>
      </c>
      <c r="H216">
        <v>739910</v>
      </c>
      <c r="I216" t="s">
        <v>24</v>
      </c>
      <c r="J216">
        <v>5.71</v>
      </c>
      <c r="K216">
        <v>4224886.1</v>
      </c>
      <c r="L216" t="s">
        <v>637</v>
      </c>
      <c r="M216" t="s">
        <v>793</v>
      </c>
      <c r="N216">
        <v>5.6017</v>
      </c>
      <c r="O216" t="s">
        <v>27</v>
      </c>
      <c r="P216" t="s">
        <v>794</v>
      </c>
      <c r="Q216">
        <v>103</v>
      </c>
      <c r="R216">
        <v>6.9333</v>
      </c>
      <c r="S216">
        <v>4.48</v>
      </c>
    </row>
    <row r="217" spans="1:19">
      <c r="A217">
        <v>216</v>
      </c>
      <c r="B217">
        <v>1</v>
      </c>
      <c r="C217">
        <v>20240122</v>
      </c>
      <c r="D217" t="s">
        <v>28</v>
      </c>
      <c r="E217" t="s">
        <v>21</v>
      </c>
      <c r="F217" t="s">
        <v>22</v>
      </c>
      <c r="G217" t="s">
        <v>37</v>
      </c>
      <c r="H217">
        <v>784344</v>
      </c>
      <c r="I217" t="s">
        <v>24</v>
      </c>
      <c r="J217">
        <v>5.19</v>
      </c>
      <c r="K217">
        <v>4070745.36</v>
      </c>
      <c r="L217" t="s">
        <v>637</v>
      </c>
      <c r="M217" t="s">
        <v>795</v>
      </c>
      <c r="N217">
        <v>5.0841</v>
      </c>
      <c r="O217" t="s">
        <v>27</v>
      </c>
      <c r="P217" t="s">
        <v>796</v>
      </c>
      <c r="Q217" t="s">
        <v>797</v>
      </c>
    </row>
    <row r="218" spans="1:19">
      <c r="A218">
        <v>217</v>
      </c>
      <c r="B218">
        <v>1</v>
      </c>
      <c r="C218">
        <v>20240122</v>
      </c>
      <c r="D218" t="s">
        <v>28</v>
      </c>
      <c r="E218" t="s">
        <v>21</v>
      </c>
      <c r="F218" t="s">
        <v>22</v>
      </c>
      <c r="G218" t="s">
        <v>37</v>
      </c>
      <c r="H218">
        <v>711</v>
      </c>
      <c r="I218" t="s">
        <v>24</v>
      </c>
      <c r="J218">
        <v>5.19</v>
      </c>
      <c r="K218">
        <v>3690.09</v>
      </c>
      <c r="L218" t="s">
        <v>654</v>
      </c>
      <c r="M218" t="s">
        <v>795</v>
      </c>
      <c r="N218">
        <v>5.0841</v>
      </c>
      <c r="O218" t="s">
        <v>27</v>
      </c>
      <c r="P218" t="s">
        <v>796</v>
      </c>
    </row>
    <row r="219" spans="1:19">
      <c r="A219">
        <v>218</v>
      </c>
      <c r="B219">
        <v>1</v>
      </c>
      <c r="C219">
        <v>20240122</v>
      </c>
      <c r="D219" t="s">
        <v>28</v>
      </c>
      <c r="E219" t="s">
        <v>21</v>
      </c>
      <c r="F219" t="s">
        <v>22</v>
      </c>
      <c r="G219" t="s">
        <v>30</v>
      </c>
      <c r="H219">
        <v>147951</v>
      </c>
      <c r="I219" t="s">
        <v>24</v>
      </c>
      <c r="J219">
        <v>5.19</v>
      </c>
      <c r="K219">
        <v>767865.69</v>
      </c>
      <c r="L219" t="s">
        <v>634</v>
      </c>
      <c r="M219" t="s">
        <v>795</v>
      </c>
      <c r="N219">
        <v>5.0841</v>
      </c>
      <c r="O219" t="s">
        <v>27</v>
      </c>
      <c r="P219" t="s">
        <v>798</v>
      </c>
    </row>
    <row r="220" spans="1:19">
      <c r="A220">
        <v>219</v>
      </c>
      <c r="B220">
        <v>1</v>
      </c>
      <c r="C220">
        <v>20240122</v>
      </c>
      <c r="D220" t="s">
        <v>28</v>
      </c>
      <c r="E220" t="s">
        <v>21</v>
      </c>
      <c r="F220" t="s">
        <v>22</v>
      </c>
      <c r="G220" t="s">
        <v>30</v>
      </c>
      <c r="H220">
        <v>1065228</v>
      </c>
      <c r="I220" t="s">
        <v>24</v>
      </c>
      <c r="J220">
        <v>5.19</v>
      </c>
      <c r="K220">
        <v>5528533.32</v>
      </c>
      <c r="L220" t="s">
        <v>637</v>
      </c>
      <c r="M220" t="s">
        <v>795</v>
      </c>
      <c r="N220">
        <v>5.0841</v>
      </c>
      <c r="O220" t="s">
        <v>27</v>
      </c>
      <c r="P220" t="s">
        <v>798</v>
      </c>
    </row>
    <row r="221" spans="1:19">
      <c r="A221">
        <v>220</v>
      </c>
      <c r="B221">
        <v>1</v>
      </c>
      <c r="C221">
        <v>20240122</v>
      </c>
      <c r="D221" t="s">
        <v>28</v>
      </c>
      <c r="E221" t="s">
        <v>21</v>
      </c>
      <c r="F221" t="s">
        <v>22</v>
      </c>
      <c r="G221" t="s">
        <v>30</v>
      </c>
      <c r="H221">
        <v>27573</v>
      </c>
      <c r="I221" t="s">
        <v>24</v>
      </c>
      <c r="J221">
        <v>5.19</v>
      </c>
      <c r="K221">
        <v>143103.87</v>
      </c>
      <c r="L221" t="s">
        <v>654</v>
      </c>
      <c r="M221" t="s">
        <v>795</v>
      </c>
      <c r="N221">
        <v>5.0841</v>
      </c>
      <c r="O221" t="s">
        <v>27</v>
      </c>
      <c r="P221" t="s">
        <v>798</v>
      </c>
    </row>
    <row r="222" spans="1:19">
      <c r="A222">
        <v>221</v>
      </c>
      <c r="B222">
        <v>1</v>
      </c>
      <c r="C222">
        <v>20240122</v>
      </c>
      <c r="D222" t="s">
        <v>20</v>
      </c>
      <c r="E222" t="s">
        <v>21</v>
      </c>
      <c r="F222" t="s">
        <v>59</v>
      </c>
      <c r="G222" t="s">
        <v>42</v>
      </c>
      <c r="H222">
        <v>597368</v>
      </c>
      <c r="I222" t="s">
        <v>24</v>
      </c>
      <c r="J222">
        <v>4.58</v>
      </c>
      <c r="K222">
        <v>2735945.44</v>
      </c>
      <c r="L222" t="s">
        <v>637</v>
      </c>
      <c r="M222" t="s">
        <v>799</v>
      </c>
      <c r="N222">
        <v>4.4888</v>
      </c>
      <c r="O222" t="s">
        <v>27</v>
      </c>
      <c r="P222" t="s">
        <v>800</v>
      </c>
      <c r="Q222">
        <v>32</v>
      </c>
      <c r="R222">
        <v>6.9333</v>
      </c>
      <c r="S222">
        <v>4.48</v>
      </c>
    </row>
    <row r="223" spans="1:19">
      <c r="A223">
        <v>222</v>
      </c>
      <c r="B223">
        <v>1</v>
      </c>
      <c r="C223">
        <v>20240122</v>
      </c>
      <c r="D223" t="s">
        <v>20</v>
      </c>
      <c r="E223" t="s">
        <v>21</v>
      </c>
      <c r="F223" t="s">
        <v>59</v>
      </c>
      <c r="G223" t="s">
        <v>23</v>
      </c>
      <c r="H223">
        <v>360</v>
      </c>
      <c r="I223" t="s">
        <v>24</v>
      </c>
      <c r="J223">
        <v>3.44</v>
      </c>
      <c r="K223">
        <v>1238.4</v>
      </c>
      <c r="L223" t="s">
        <v>637</v>
      </c>
      <c r="M223" t="s">
        <v>801</v>
      </c>
      <c r="N223">
        <v>3.1502</v>
      </c>
      <c r="O223" t="s">
        <v>27</v>
      </c>
      <c r="P223" t="s">
        <v>802</v>
      </c>
      <c r="Q223">
        <v>1</v>
      </c>
    </row>
    <row r="224" spans="1:19">
      <c r="A224">
        <v>223</v>
      </c>
      <c r="B224">
        <v>1</v>
      </c>
      <c r="C224">
        <v>20240122</v>
      </c>
      <c r="D224" t="s">
        <v>20</v>
      </c>
      <c r="E224" t="s">
        <v>21</v>
      </c>
      <c r="F224" t="s">
        <v>22</v>
      </c>
      <c r="G224" t="s">
        <v>42</v>
      </c>
      <c r="H224">
        <v>906891</v>
      </c>
      <c r="I224" t="s">
        <v>24</v>
      </c>
      <c r="J224">
        <v>5.63</v>
      </c>
      <c r="K224">
        <v>5105796.33</v>
      </c>
      <c r="L224" t="s">
        <v>634</v>
      </c>
      <c r="M224" t="s">
        <v>803</v>
      </c>
      <c r="N224">
        <v>5.516</v>
      </c>
      <c r="O224" t="s">
        <v>27</v>
      </c>
      <c r="P224" t="s">
        <v>804</v>
      </c>
      <c r="Q224">
        <v>32</v>
      </c>
      <c r="R224">
        <v>6.9333</v>
      </c>
      <c r="S224">
        <v>4.48</v>
      </c>
    </row>
    <row r="225" spans="1:19">
      <c r="A225">
        <v>224</v>
      </c>
      <c r="B225">
        <v>1</v>
      </c>
      <c r="C225">
        <v>20240122</v>
      </c>
      <c r="D225" t="s">
        <v>20</v>
      </c>
      <c r="E225" t="s">
        <v>21</v>
      </c>
      <c r="F225" t="s">
        <v>22</v>
      </c>
      <c r="G225" t="s">
        <v>42</v>
      </c>
      <c r="H225">
        <v>125104</v>
      </c>
      <c r="I225" t="s">
        <v>24</v>
      </c>
      <c r="J225">
        <v>4.58</v>
      </c>
      <c r="K225">
        <v>572976.32</v>
      </c>
      <c r="L225" t="s">
        <v>637</v>
      </c>
      <c r="M225" t="s">
        <v>803</v>
      </c>
      <c r="N225">
        <v>4.4875</v>
      </c>
      <c r="O225" t="s">
        <v>27</v>
      </c>
      <c r="P225" t="s">
        <v>805</v>
      </c>
      <c r="Q225">
        <v>5</v>
      </c>
      <c r="R225">
        <v>6.9333</v>
      </c>
      <c r="S225">
        <v>4.48</v>
      </c>
    </row>
    <row r="226" spans="1:19">
      <c r="A226">
        <v>225</v>
      </c>
      <c r="B226">
        <v>1</v>
      </c>
      <c r="C226">
        <v>20240122</v>
      </c>
      <c r="D226" t="s">
        <v>20</v>
      </c>
      <c r="E226" t="s">
        <v>21</v>
      </c>
      <c r="F226" t="s">
        <v>29</v>
      </c>
      <c r="G226" t="s">
        <v>42</v>
      </c>
      <c r="H226">
        <v>12465</v>
      </c>
      <c r="I226" t="s">
        <v>24</v>
      </c>
      <c r="J226">
        <v>4.48</v>
      </c>
      <c r="K226">
        <v>55843.2</v>
      </c>
      <c r="L226" t="s">
        <v>637</v>
      </c>
      <c r="M226" t="s">
        <v>806</v>
      </c>
      <c r="N226">
        <v>3.802</v>
      </c>
      <c r="O226" t="s">
        <v>27</v>
      </c>
      <c r="P226" t="s">
        <v>807</v>
      </c>
      <c r="Q226">
        <v>46</v>
      </c>
      <c r="R226">
        <v>6.9333</v>
      </c>
      <c r="S226">
        <v>4.48</v>
      </c>
    </row>
    <row r="227" spans="1:19">
      <c r="A227">
        <v>226</v>
      </c>
      <c r="B227">
        <v>1</v>
      </c>
      <c r="C227">
        <v>20240122</v>
      </c>
      <c r="D227" t="s">
        <v>20</v>
      </c>
      <c r="E227" t="s">
        <v>21</v>
      </c>
      <c r="F227" t="s">
        <v>29</v>
      </c>
      <c r="G227" t="s">
        <v>42</v>
      </c>
      <c r="H227">
        <v>498282</v>
      </c>
      <c r="I227" t="s">
        <v>24</v>
      </c>
      <c r="J227">
        <v>5.63</v>
      </c>
      <c r="K227">
        <v>2805327.66</v>
      </c>
      <c r="L227" t="s">
        <v>634</v>
      </c>
      <c r="M227" t="s">
        <v>806</v>
      </c>
      <c r="N227">
        <v>5.5245</v>
      </c>
      <c r="O227" t="s">
        <v>27</v>
      </c>
      <c r="P227" t="s">
        <v>808</v>
      </c>
      <c r="R227">
        <v>6.9333</v>
      </c>
      <c r="S227">
        <v>4.48</v>
      </c>
    </row>
    <row r="228" spans="1:19">
      <c r="A228">
        <v>226</v>
      </c>
      <c r="B228">
        <v>1</v>
      </c>
      <c r="C228">
        <v>20240123</v>
      </c>
      <c r="D228" t="s">
        <v>28</v>
      </c>
      <c r="E228" t="s">
        <v>21</v>
      </c>
      <c r="F228" t="s">
        <v>29</v>
      </c>
      <c r="G228" t="s">
        <v>30</v>
      </c>
      <c r="H228">
        <v>146221</v>
      </c>
      <c r="I228" t="s">
        <v>24</v>
      </c>
      <c r="J228">
        <v>4.14</v>
      </c>
      <c r="K228">
        <v>605354.94</v>
      </c>
      <c r="L228" t="s">
        <v>637</v>
      </c>
      <c r="M228" t="s">
        <v>809</v>
      </c>
      <c r="N228">
        <v>3.49367</v>
      </c>
      <c r="O228" t="s">
        <v>27</v>
      </c>
      <c r="P228" t="s">
        <v>810</v>
      </c>
      <c r="Q228">
        <v>60</v>
      </c>
      <c r="S228">
        <v>4.14</v>
      </c>
    </row>
    <row r="229" spans="1:19">
      <c r="A229">
        <v>226</v>
      </c>
      <c r="B229">
        <v>1</v>
      </c>
      <c r="C229">
        <v>20240123</v>
      </c>
      <c r="D229" t="s">
        <v>28</v>
      </c>
      <c r="E229" t="s">
        <v>21</v>
      </c>
      <c r="F229" t="s">
        <v>29</v>
      </c>
      <c r="G229" t="s">
        <v>37</v>
      </c>
      <c r="H229">
        <v>3532</v>
      </c>
      <c r="I229" t="s">
        <v>24</v>
      </c>
      <c r="J229">
        <v>4.14</v>
      </c>
      <c r="K229">
        <v>14622.48</v>
      </c>
      <c r="L229" t="s">
        <v>637</v>
      </c>
      <c r="M229" t="s">
        <v>811</v>
      </c>
      <c r="N229">
        <v>3.2378</v>
      </c>
      <c r="O229" t="s">
        <v>27</v>
      </c>
      <c r="P229" t="s">
        <v>812</v>
      </c>
      <c r="Q229">
        <v>17</v>
      </c>
      <c r="S229">
        <v>4.14</v>
      </c>
    </row>
    <row r="230" spans="1:19">
      <c r="A230">
        <v>226</v>
      </c>
      <c r="B230">
        <v>1</v>
      </c>
      <c r="C230">
        <v>20240123</v>
      </c>
      <c r="D230" t="s">
        <v>28</v>
      </c>
      <c r="E230" t="s">
        <v>21</v>
      </c>
      <c r="F230" t="s">
        <v>29</v>
      </c>
      <c r="G230" t="s">
        <v>37</v>
      </c>
      <c r="H230">
        <v>31</v>
      </c>
      <c r="I230" t="s">
        <v>24</v>
      </c>
      <c r="J230">
        <v>4.66</v>
      </c>
      <c r="K230">
        <v>144.46</v>
      </c>
      <c r="L230" t="s">
        <v>637</v>
      </c>
      <c r="M230" t="s">
        <v>811</v>
      </c>
      <c r="N230">
        <v>4.571</v>
      </c>
      <c r="O230" t="s">
        <v>27</v>
      </c>
      <c r="P230" t="s">
        <v>813</v>
      </c>
      <c r="S230">
        <v>4.14</v>
      </c>
    </row>
    <row r="231" spans="1:19">
      <c r="A231">
        <v>226</v>
      </c>
      <c r="B231">
        <v>1</v>
      </c>
      <c r="C231">
        <v>20240123</v>
      </c>
      <c r="D231" t="s">
        <v>20</v>
      </c>
      <c r="E231" t="s">
        <v>21</v>
      </c>
      <c r="F231" t="s">
        <v>29</v>
      </c>
      <c r="G231" t="s">
        <v>30</v>
      </c>
      <c r="H231">
        <v>208052</v>
      </c>
      <c r="I231" t="s">
        <v>24</v>
      </c>
      <c r="J231">
        <v>4.14</v>
      </c>
      <c r="K231">
        <v>861335.28</v>
      </c>
      <c r="L231" t="s">
        <v>634</v>
      </c>
      <c r="M231" t="s">
        <v>814</v>
      </c>
      <c r="N231">
        <v>4.02462</v>
      </c>
      <c r="O231" t="s">
        <v>27</v>
      </c>
      <c r="P231" t="s">
        <v>815</v>
      </c>
      <c r="Q231">
        <v>58</v>
      </c>
      <c r="R231">
        <v>4.9338</v>
      </c>
      <c r="S231">
        <v>4.14</v>
      </c>
    </row>
    <row r="232" spans="1:19">
      <c r="A232">
        <v>227</v>
      </c>
      <c r="B232">
        <v>1</v>
      </c>
      <c r="C232">
        <v>20240124</v>
      </c>
      <c r="D232" t="s">
        <v>28</v>
      </c>
      <c r="E232" t="s">
        <v>21</v>
      </c>
      <c r="F232" t="s">
        <v>32</v>
      </c>
      <c r="G232" t="s">
        <v>816</v>
      </c>
      <c r="H232">
        <v>590045</v>
      </c>
      <c r="I232" t="s">
        <v>24</v>
      </c>
      <c r="J232">
        <v>3.53</v>
      </c>
      <c r="K232">
        <v>2082858.85</v>
      </c>
      <c r="L232" t="s">
        <v>634</v>
      </c>
      <c r="M232" t="s">
        <v>817</v>
      </c>
      <c r="N232">
        <v>3.2265</v>
      </c>
      <c r="O232" t="s">
        <v>27</v>
      </c>
      <c r="P232" t="s">
        <v>818</v>
      </c>
      <c r="Q232">
        <v>259</v>
      </c>
    </row>
    <row r="233" spans="1:19">
      <c r="A233">
        <v>228</v>
      </c>
      <c r="B233">
        <v>1</v>
      </c>
      <c r="C233">
        <v>20240124</v>
      </c>
      <c r="D233" t="s">
        <v>20</v>
      </c>
      <c r="E233" t="s">
        <v>21</v>
      </c>
      <c r="F233" t="s">
        <v>32</v>
      </c>
      <c r="G233" t="s">
        <v>30</v>
      </c>
      <c r="H233">
        <v>130550</v>
      </c>
      <c r="I233" t="s">
        <v>24</v>
      </c>
      <c r="J233">
        <v>4.14</v>
      </c>
      <c r="K233">
        <v>540477</v>
      </c>
      <c r="L233" t="s">
        <v>634</v>
      </c>
      <c r="M233" t="s">
        <v>819</v>
      </c>
      <c r="N233">
        <v>4.015</v>
      </c>
      <c r="O233" t="s">
        <v>27</v>
      </c>
      <c r="P233" t="s">
        <v>820</v>
      </c>
      <c r="Q233">
        <v>18</v>
      </c>
      <c r="R233">
        <v>4.9338</v>
      </c>
    </row>
    <row r="234" spans="1:19">
      <c r="A234">
        <v>229</v>
      </c>
      <c r="B234">
        <v>1</v>
      </c>
      <c r="C234">
        <v>20240124</v>
      </c>
      <c r="D234" t="s">
        <v>20</v>
      </c>
      <c r="E234" t="s">
        <v>21</v>
      </c>
      <c r="F234" t="s">
        <v>32</v>
      </c>
      <c r="G234" t="s">
        <v>30</v>
      </c>
      <c r="H234">
        <v>90862</v>
      </c>
      <c r="I234" t="s">
        <v>24</v>
      </c>
      <c r="J234">
        <v>4.14</v>
      </c>
      <c r="K234">
        <v>376168.68</v>
      </c>
      <c r="L234" t="s">
        <v>637</v>
      </c>
      <c r="M234" t="s">
        <v>819</v>
      </c>
      <c r="N234">
        <v>4.015</v>
      </c>
      <c r="O234" t="s">
        <v>27</v>
      </c>
      <c r="P234" t="s">
        <v>820</v>
      </c>
      <c r="Q234">
        <v>10</v>
      </c>
      <c r="R234">
        <v>4.9338</v>
      </c>
    </row>
    <row r="235" spans="1:19">
      <c r="A235">
        <v>230</v>
      </c>
      <c r="B235">
        <v>1</v>
      </c>
      <c r="C235">
        <v>20240124</v>
      </c>
      <c r="D235" t="s">
        <v>20</v>
      </c>
      <c r="E235" t="s">
        <v>21</v>
      </c>
      <c r="F235" t="s">
        <v>32</v>
      </c>
      <c r="G235" t="s">
        <v>42</v>
      </c>
      <c r="H235">
        <v>737940</v>
      </c>
      <c r="I235" t="s">
        <v>24</v>
      </c>
      <c r="J235">
        <v>5.71</v>
      </c>
      <c r="K235">
        <v>4213637.4</v>
      </c>
      <c r="L235" t="s">
        <v>637</v>
      </c>
      <c r="M235" t="s">
        <v>819</v>
      </c>
      <c r="N235">
        <v>5.6017</v>
      </c>
      <c r="O235" t="s">
        <v>27</v>
      </c>
      <c r="P235" t="s">
        <v>821</v>
      </c>
      <c r="Q235">
        <v>92</v>
      </c>
      <c r="R235">
        <v>6.9333</v>
      </c>
    </row>
    <row r="236" spans="1:19">
      <c r="A236">
        <v>231</v>
      </c>
      <c r="B236">
        <v>1</v>
      </c>
      <c r="C236">
        <v>20240124</v>
      </c>
      <c r="D236" t="s">
        <v>20</v>
      </c>
      <c r="E236" t="s">
        <v>21</v>
      </c>
      <c r="F236" t="s">
        <v>32</v>
      </c>
      <c r="G236" t="s">
        <v>816</v>
      </c>
      <c r="H236">
        <v>229547</v>
      </c>
      <c r="I236" t="s">
        <v>24</v>
      </c>
      <c r="J236">
        <v>3.53</v>
      </c>
      <c r="K236">
        <v>810300.91</v>
      </c>
      <c r="L236" t="s">
        <v>634</v>
      </c>
      <c r="M236" t="s">
        <v>819</v>
      </c>
      <c r="N236">
        <v>3.2265</v>
      </c>
      <c r="O236" t="s">
        <v>27</v>
      </c>
      <c r="P236" t="s">
        <v>822</v>
      </c>
      <c r="Q236">
        <v>113</v>
      </c>
    </row>
    <row r="237" spans="1:19">
      <c r="A237">
        <v>232</v>
      </c>
      <c r="B237">
        <v>1</v>
      </c>
      <c r="C237">
        <v>20240124</v>
      </c>
      <c r="D237" t="s">
        <v>28</v>
      </c>
      <c r="E237" t="s">
        <v>21</v>
      </c>
      <c r="F237" t="s">
        <v>39</v>
      </c>
      <c r="G237" t="s">
        <v>40</v>
      </c>
      <c r="H237">
        <v>9</v>
      </c>
      <c r="I237" t="s">
        <v>24</v>
      </c>
      <c r="J237">
        <v>2106.81</v>
      </c>
      <c r="K237">
        <v>18961.29</v>
      </c>
      <c r="L237" t="s">
        <v>637</v>
      </c>
      <c r="M237" t="s">
        <v>823</v>
      </c>
      <c r="N237">
        <v>1448.621</v>
      </c>
      <c r="O237" t="s">
        <v>27</v>
      </c>
      <c r="P237" t="s">
        <v>824</v>
      </c>
      <c r="Q237">
        <v>1</v>
      </c>
    </row>
    <row r="238" spans="1:19">
      <c r="A238">
        <v>233</v>
      </c>
      <c r="B238">
        <v>1</v>
      </c>
      <c r="C238">
        <v>20240124</v>
      </c>
      <c r="D238" t="s">
        <v>20</v>
      </c>
      <c r="E238" t="s">
        <v>21</v>
      </c>
      <c r="F238" t="s">
        <v>22</v>
      </c>
      <c r="G238" t="s">
        <v>30</v>
      </c>
      <c r="H238">
        <v>1233414</v>
      </c>
      <c r="I238" t="s">
        <v>24</v>
      </c>
      <c r="J238">
        <v>4.4</v>
      </c>
      <c r="K238">
        <v>5427021.6</v>
      </c>
      <c r="L238" t="s">
        <v>634</v>
      </c>
      <c r="M238" t="s">
        <v>825</v>
      </c>
      <c r="N238">
        <v>4.3118</v>
      </c>
      <c r="O238" t="s">
        <v>27</v>
      </c>
      <c r="P238" t="s">
        <v>826</v>
      </c>
      <c r="Q238">
        <v>54</v>
      </c>
      <c r="R238">
        <v>4.9338</v>
      </c>
      <c r="S238">
        <v>4.14</v>
      </c>
    </row>
    <row r="239" spans="1:19">
      <c r="A239">
        <v>234</v>
      </c>
      <c r="B239">
        <v>1</v>
      </c>
      <c r="C239">
        <v>20240124</v>
      </c>
      <c r="D239" t="s">
        <v>20</v>
      </c>
      <c r="E239" t="s">
        <v>21</v>
      </c>
      <c r="F239" t="s">
        <v>22</v>
      </c>
      <c r="G239" t="s">
        <v>42</v>
      </c>
      <c r="H239">
        <v>509802</v>
      </c>
      <c r="I239" t="s">
        <v>24</v>
      </c>
      <c r="J239">
        <v>5.63</v>
      </c>
      <c r="K239">
        <v>2870185.26</v>
      </c>
      <c r="L239" t="s">
        <v>634</v>
      </c>
      <c r="M239" t="s">
        <v>825</v>
      </c>
      <c r="N239">
        <v>5.516</v>
      </c>
      <c r="O239" t="s">
        <v>27</v>
      </c>
      <c r="P239" t="s">
        <v>827</v>
      </c>
      <c r="Q239">
        <v>21</v>
      </c>
      <c r="R239">
        <v>6.9333</v>
      </c>
      <c r="S239">
        <v>4.48</v>
      </c>
    </row>
    <row r="240" spans="1:19">
      <c r="A240">
        <v>235</v>
      </c>
      <c r="B240">
        <v>1</v>
      </c>
      <c r="C240">
        <v>20240124</v>
      </c>
      <c r="D240" t="s">
        <v>20</v>
      </c>
      <c r="E240" t="s">
        <v>21</v>
      </c>
      <c r="F240" t="s">
        <v>22</v>
      </c>
      <c r="G240" t="s">
        <v>42</v>
      </c>
      <c r="H240">
        <v>585651</v>
      </c>
      <c r="I240" t="s">
        <v>24</v>
      </c>
      <c r="J240">
        <v>5.63</v>
      </c>
      <c r="K240">
        <v>3297215.13</v>
      </c>
      <c r="L240" t="s">
        <v>634</v>
      </c>
      <c r="M240" t="s">
        <v>825</v>
      </c>
      <c r="N240">
        <v>5.516</v>
      </c>
      <c r="O240" t="s">
        <v>27</v>
      </c>
      <c r="P240" t="s">
        <v>827</v>
      </c>
      <c r="Q240">
        <v>20</v>
      </c>
      <c r="R240">
        <v>6.9333</v>
      </c>
      <c r="S240">
        <v>4.48</v>
      </c>
    </row>
    <row r="241" spans="1:19">
      <c r="A241">
        <v>236</v>
      </c>
      <c r="B241">
        <v>1</v>
      </c>
      <c r="C241">
        <v>20240124</v>
      </c>
      <c r="D241" t="s">
        <v>20</v>
      </c>
      <c r="E241" t="s">
        <v>21</v>
      </c>
      <c r="F241" t="s">
        <v>22</v>
      </c>
      <c r="G241" t="s">
        <v>30</v>
      </c>
      <c r="H241">
        <v>86357</v>
      </c>
      <c r="I241" t="s">
        <v>24</v>
      </c>
      <c r="J241">
        <v>4.14</v>
      </c>
      <c r="K241">
        <v>357517.98</v>
      </c>
      <c r="L241" t="s">
        <v>637</v>
      </c>
      <c r="M241" t="s">
        <v>825</v>
      </c>
      <c r="N241">
        <v>3.5538</v>
      </c>
      <c r="O241" t="s">
        <v>27</v>
      </c>
      <c r="P241" t="s">
        <v>828</v>
      </c>
      <c r="Q241">
        <v>10</v>
      </c>
      <c r="R241">
        <v>4.9338</v>
      </c>
      <c r="S241">
        <v>4.14</v>
      </c>
    </row>
    <row r="242" spans="1:19">
      <c r="A242">
        <v>237</v>
      </c>
      <c r="B242">
        <v>1</v>
      </c>
      <c r="C242">
        <v>20240124</v>
      </c>
      <c r="D242" t="s">
        <v>20</v>
      </c>
      <c r="E242" t="s">
        <v>21</v>
      </c>
      <c r="F242" t="s">
        <v>22</v>
      </c>
      <c r="G242" t="s">
        <v>42</v>
      </c>
      <c r="H242">
        <v>238281</v>
      </c>
      <c r="I242" t="s">
        <v>24</v>
      </c>
      <c r="J242">
        <v>4.58</v>
      </c>
      <c r="K242">
        <v>1091326.98</v>
      </c>
      <c r="L242" t="s">
        <v>637</v>
      </c>
      <c r="M242" t="s">
        <v>825</v>
      </c>
      <c r="N242">
        <v>4.4875</v>
      </c>
      <c r="O242" t="s">
        <v>27</v>
      </c>
      <c r="P242" t="s">
        <v>829</v>
      </c>
      <c r="Q242">
        <v>9</v>
      </c>
      <c r="R242">
        <v>6.9333</v>
      </c>
      <c r="S242">
        <v>4.48</v>
      </c>
    </row>
    <row r="243" spans="1:19">
      <c r="A243">
        <v>238</v>
      </c>
      <c r="B243">
        <v>1</v>
      </c>
      <c r="C243">
        <v>20240124</v>
      </c>
      <c r="D243" t="s">
        <v>28</v>
      </c>
      <c r="E243" t="s">
        <v>21</v>
      </c>
      <c r="F243" t="s">
        <v>29</v>
      </c>
      <c r="G243" t="s">
        <v>37</v>
      </c>
      <c r="H243">
        <v>15525</v>
      </c>
      <c r="I243" t="s">
        <v>24</v>
      </c>
      <c r="J243">
        <v>4.14</v>
      </c>
      <c r="K243">
        <v>64273.5</v>
      </c>
      <c r="L243" t="s">
        <v>634</v>
      </c>
      <c r="M243" t="s">
        <v>830</v>
      </c>
      <c r="N243">
        <v>4.02856</v>
      </c>
      <c r="O243" t="s">
        <v>27</v>
      </c>
      <c r="P243" t="s">
        <v>831</v>
      </c>
      <c r="Q243">
        <v>37</v>
      </c>
    </row>
    <row r="244" spans="1:19">
      <c r="A244">
        <v>239</v>
      </c>
      <c r="B244">
        <v>1</v>
      </c>
      <c r="C244">
        <v>20240124</v>
      </c>
      <c r="D244" t="s">
        <v>28</v>
      </c>
      <c r="E244" t="s">
        <v>21</v>
      </c>
      <c r="F244" t="s">
        <v>29</v>
      </c>
      <c r="G244" t="s">
        <v>30</v>
      </c>
      <c r="H244">
        <v>22647</v>
      </c>
      <c r="I244" t="s">
        <v>24</v>
      </c>
      <c r="J244">
        <v>4.14</v>
      </c>
      <c r="K244">
        <v>93758.58</v>
      </c>
      <c r="L244" t="s">
        <v>637</v>
      </c>
      <c r="M244" t="s">
        <v>832</v>
      </c>
      <c r="N244">
        <v>3.67</v>
      </c>
      <c r="O244" t="s">
        <v>27</v>
      </c>
      <c r="P244" t="s">
        <v>833</v>
      </c>
      <c r="Q244">
        <v>154</v>
      </c>
    </row>
    <row r="245" spans="1:19">
      <c r="A245">
        <v>240</v>
      </c>
      <c r="B245">
        <v>1</v>
      </c>
      <c r="C245">
        <v>20240124</v>
      </c>
      <c r="D245" t="s">
        <v>28</v>
      </c>
      <c r="E245" t="s">
        <v>21</v>
      </c>
      <c r="F245" t="s">
        <v>29</v>
      </c>
      <c r="G245" t="s">
        <v>30</v>
      </c>
      <c r="H245">
        <v>53521</v>
      </c>
      <c r="I245" t="s">
        <v>24</v>
      </c>
      <c r="J245">
        <v>5.02</v>
      </c>
      <c r="K245">
        <v>268675.42</v>
      </c>
      <c r="L245" t="s">
        <v>637</v>
      </c>
      <c r="M245" t="s">
        <v>832</v>
      </c>
      <c r="N245">
        <v>4.917</v>
      </c>
      <c r="O245" t="s">
        <v>27</v>
      </c>
      <c r="P245" t="s">
        <v>834</v>
      </c>
    </row>
    <row r="246" spans="1:19">
      <c r="A246">
        <v>241</v>
      </c>
      <c r="B246">
        <v>1</v>
      </c>
      <c r="C246">
        <v>20240124</v>
      </c>
      <c r="D246" t="s">
        <v>28</v>
      </c>
      <c r="E246" t="s">
        <v>21</v>
      </c>
      <c r="F246" t="s">
        <v>29</v>
      </c>
      <c r="G246" t="s">
        <v>30</v>
      </c>
      <c r="H246">
        <v>476685</v>
      </c>
      <c r="I246" t="s">
        <v>24</v>
      </c>
      <c r="J246">
        <v>4.14</v>
      </c>
      <c r="K246">
        <v>1973475.9</v>
      </c>
      <c r="L246" t="s">
        <v>634</v>
      </c>
      <c r="M246" t="s">
        <v>832</v>
      </c>
      <c r="N246">
        <v>4.0268</v>
      </c>
      <c r="O246" t="s">
        <v>27</v>
      </c>
      <c r="P246" t="s">
        <v>833</v>
      </c>
    </row>
    <row r="247" spans="1:19">
      <c r="A247">
        <v>242</v>
      </c>
      <c r="B247">
        <v>1</v>
      </c>
      <c r="C247">
        <v>20240124</v>
      </c>
      <c r="D247" t="s">
        <v>28</v>
      </c>
      <c r="E247" t="s">
        <v>21</v>
      </c>
      <c r="F247" t="s">
        <v>29</v>
      </c>
      <c r="G247" t="s">
        <v>30</v>
      </c>
      <c r="H247">
        <v>3997</v>
      </c>
      <c r="I247" t="s">
        <v>24</v>
      </c>
      <c r="J247">
        <v>4.89</v>
      </c>
      <c r="K247">
        <v>19545.33</v>
      </c>
      <c r="L247" t="s">
        <v>654</v>
      </c>
      <c r="M247" t="s">
        <v>832</v>
      </c>
      <c r="N247">
        <v>4.7962</v>
      </c>
      <c r="O247" t="s">
        <v>27</v>
      </c>
      <c r="P247" t="s">
        <v>835</v>
      </c>
    </row>
    <row r="248" spans="1:19">
      <c r="A248">
        <v>243</v>
      </c>
      <c r="B248">
        <v>1</v>
      </c>
      <c r="C248">
        <v>20240125</v>
      </c>
      <c r="D248" t="s">
        <v>20</v>
      </c>
      <c r="E248" t="s">
        <v>21</v>
      </c>
      <c r="F248" t="s">
        <v>22</v>
      </c>
      <c r="G248" t="s">
        <v>74</v>
      </c>
      <c r="H248">
        <v>59904</v>
      </c>
      <c r="I248" t="s">
        <v>24</v>
      </c>
      <c r="J248">
        <v>5.61</v>
      </c>
      <c r="K248">
        <v>336061.44</v>
      </c>
      <c r="L248" t="s">
        <v>634</v>
      </c>
      <c r="M248" t="s">
        <v>836</v>
      </c>
      <c r="N248">
        <v>5.5</v>
      </c>
      <c r="O248" t="s">
        <v>27</v>
      </c>
      <c r="P248" t="s">
        <v>837</v>
      </c>
      <c r="Q248">
        <v>4</v>
      </c>
      <c r="S248">
        <v>4.48</v>
      </c>
    </row>
    <row r="249" spans="1:19">
      <c r="A249">
        <v>244</v>
      </c>
      <c r="B249">
        <v>1</v>
      </c>
      <c r="C249">
        <v>20240125</v>
      </c>
      <c r="D249" t="s">
        <v>28</v>
      </c>
      <c r="E249" t="s">
        <v>21</v>
      </c>
      <c r="F249" t="s">
        <v>29</v>
      </c>
      <c r="G249" t="s">
        <v>30</v>
      </c>
      <c r="H249">
        <v>545345</v>
      </c>
      <c r="I249" t="s">
        <v>24</v>
      </c>
      <c r="J249">
        <v>4.14</v>
      </c>
      <c r="K249">
        <v>2257728.3</v>
      </c>
      <c r="L249" t="s">
        <v>634</v>
      </c>
      <c r="M249" t="s">
        <v>838</v>
      </c>
      <c r="N249">
        <v>4.02789</v>
      </c>
      <c r="O249" t="s">
        <v>27</v>
      </c>
      <c r="P249" t="s">
        <v>839</v>
      </c>
      <c r="Q249">
        <v>122</v>
      </c>
    </row>
    <row r="250" spans="1:19">
      <c r="A250">
        <v>245</v>
      </c>
      <c r="B250">
        <v>1</v>
      </c>
      <c r="C250">
        <v>20240125</v>
      </c>
      <c r="D250" t="s">
        <v>20</v>
      </c>
      <c r="E250" t="s">
        <v>21</v>
      </c>
      <c r="F250" t="s">
        <v>32</v>
      </c>
      <c r="G250" t="s">
        <v>30</v>
      </c>
      <c r="H250">
        <v>233011</v>
      </c>
      <c r="I250" t="s">
        <v>24</v>
      </c>
      <c r="J250">
        <v>4.14</v>
      </c>
      <c r="K250">
        <v>964665.54</v>
      </c>
      <c r="L250" t="s">
        <v>634</v>
      </c>
      <c r="M250" t="s">
        <v>840</v>
      </c>
      <c r="N250">
        <v>4.015</v>
      </c>
      <c r="O250" t="s">
        <v>27</v>
      </c>
      <c r="P250" t="s">
        <v>841</v>
      </c>
      <c r="Q250">
        <v>33</v>
      </c>
      <c r="R250">
        <v>4.9338</v>
      </c>
    </row>
    <row r="251" spans="1:19">
      <c r="A251">
        <v>246</v>
      </c>
      <c r="B251">
        <v>1</v>
      </c>
      <c r="C251">
        <v>20240125</v>
      </c>
      <c r="D251" t="s">
        <v>20</v>
      </c>
      <c r="E251" t="s">
        <v>21</v>
      </c>
      <c r="F251" t="s">
        <v>32</v>
      </c>
      <c r="G251" t="s">
        <v>30</v>
      </c>
      <c r="H251">
        <v>69656</v>
      </c>
      <c r="I251" t="s">
        <v>24</v>
      </c>
      <c r="J251">
        <v>4.14</v>
      </c>
      <c r="K251">
        <v>288375.84</v>
      </c>
      <c r="L251" t="s">
        <v>637</v>
      </c>
      <c r="M251" t="s">
        <v>840</v>
      </c>
      <c r="N251">
        <v>4.015</v>
      </c>
      <c r="O251" t="s">
        <v>27</v>
      </c>
      <c r="P251" t="s">
        <v>841</v>
      </c>
      <c r="Q251">
        <v>15</v>
      </c>
    </row>
    <row r="252" spans="1:19">
      <c r="A252">
        <v>246</v>
      </c>
      <c r="B252">
        <v>1</v>
      </c>
      <c r="C252">
        <v>20240126</v>
      </c>
      <c r="D252" t="s">
        <v>20</v>
      </c>
      <c r="E252" t="s">
        <v>21</v>
      </c>
      <c r="F252" t="s">
        <v>41</v>
      </c>
      <c r="G252" t="s">
        <v>30</v>
      </c>
      <c r="H252">
        <v>2040</v>
      </c>
      <c r="I252" t="s">
        <v>24</v>
      </c>
      <c r="J252">
        <v>4.14</v>
      </c>
      <c r="K252">
        <v>8445.6</v>
      </c>
      <c r="L252" t="s">
        <v>637</v>
      </c>
      <c r="M252" t="s">
        <v>842</v>
      </c>
      <c r="N252">
        <v>4.05</v>
      </c>
      <c r="O252" t="s">
        <v>27</v>
      </c>
      <c r="P252" t="s">
        <v>843</v>
      </c>
      <c r="Q252">
        <v>1</v>
      </c>
    </row>
    <row r="253" spans="1:19">
      <c r="A253">
        <v>246</v>
      </c>
      <c r="B253">
        <v>1</v>
      </c>
      <c r="C253">
        <v>20240126</v>
      </c>
      <c r="D253" t="s">
        <v>20</v>
      </c>
      <c r="E253" t="s">
        <v>21</v>
      </c>
      <c r="F253" t="s">
        <v>41</v>
      </c>
      <c r="G253" t="s">
        <v>30</v>
      </c>
      <c r="H253">
        <v>40800</v>
      </c>
      <c r="I253" t="s">
        <v>24</v>
      </c>
      <c r="J253">
        <v>4.14</v>
      </c>
      <c r="K253">
        <v>168912</v>
      </c>
      <c r="L253" t="s">
        <v>634</v>
      </c>
      <c r="M253" t="s">
        <v>842</v>
      </c>
      <c r="N253">
        <v>4.05</v>
      </c>
      <c r="O253" t="s">
        <v>27</v>
      </c>
      <c r="P253" t="s">
        <v>843</v>
      </c>
      <c r="Q253">
        <v>4</v>
      </c>
    </row>
    <row r="254" spans="1:19">
      <c r="A254">
        <v>246</v>
      </c>
      <c r="B254">
        <v>1</v>
      </c>
      <c r="C254">
        <v>20240126</v>
      </c>
      <c r="D254" t="s">
        <v>20</v>
      </c>
      <c r="E254" t="s">
        <v>21</v>
      </c>
      <c r="F254" t="s">
        <v>41</v>
      </c>
      <c r="G254" t="s">
        <v>30</v>
      </c>
      <c r="H254">
        <v>49608</v>
      </c>
      <c r="I254" t="s">
        <v>24</v>
      </c>
      <c r="J254">
        <v>4.14</v>
      </c>
      <c r="K254">
        <v>205377.12</v>
      </c>
      <c r="L254" t="s">
        <v>637</v>
      </c>
      <c r="M254" t="s">
        <v>842</v>
      </c>
      <c r="N254">
        <v>4.05</v>
      </c>
      <c r="O254" t="s">
        <v>27</v>
      </c>
      <c r="P254" t="s">
        <v>843</v>
      </c>
      <c r="Q254">
        <v>13</v>
      </c>
    </row>
    <row r="255" spans="1:19">
      <c r="A255">
        <v>246</v>
      </c>
      <c r="B255">
        <v>1</v>
      </c>
      <c r="C255">
        <v>20240126</v>
      </c>
      <c r="D255" t="s">
        <v>28</v>
      </c>
      <c r="E255" t="s">
        <v>21</v>
      </c>
      <c r="F255" t="s">
        <v>41</v>
      </c>
      <c r="G255" t="s">
        <v>37</v>
      </c>
      <c r="H255">
        <v>58281</v>
      </c>
      <c r="I255" t="s">
        <v>24</v>
      </c>
      <c r="J255">
        <v>4.14</v>
      </c>
      <c r="K255">
        <v>241283.34</v>
      </c>
      <c r="L255" t="s">
        <v>634</v>
      </c>
      <c r="M255" t="s">
        <v>844</v>
      </c>
      <c r="N255">
        <v>4.05</v>
      </c>
      <c r="O255" t="s">
        <v>27</v>
      </c>
      <c r="P255" t="s">
        <v>845</v>
      </c>
      <c r="Q255">
        <v>8</v>
      </c>
    </row>
    <row r="256" spans="1:19">
      <c r="A256">
        <v>246</v>
      </c>
      <c r="B256">
        <v>1</v>
      </c>
      <c r="C256">
        <v>20240126</v>
      </c>
      <c r="D256" t="s">
        <v>28</v>
      </c>
      <c r="E256" t="s">
        <v>21</v>
      </c>
      <c r="F256" t="s">
        <v>41</v>
      </c>
      <c r="G256" t="s">
        <v>30</v>
      </c>
      <c r="H256">
        <v>18340</v>
      </c>
      <c r="I256" t="s">
        <v>24</v>
      </c>
      <c r="J256">
        <v>4.14</v>
      </c>
      <c r="K256">
        <v>75927.6</v>
      </c>
      <c r="L256" t="s">
        <v>634</v>
      </c>
      <c r="M256" t="s">
        <v>844</v>
      </c>
      <c r="N256">
        <v>4.05</v>
      </c>
      <c r="O256" t="s">
        <v>27</v>
      </c>
      <c r="P256" t="s">
        <v>846</v>
      </c>
      <c r="Q256">
        <v>3</v>
      </c>
    </row>
    <row r="257" spans="1:17">
      <c r="A257">
        <v>246</v>
      </c>
      <c r="B257">
        <v>1</v>
      </c>
      <c r="C257">
        <v>20240126</v>
      </c>
      <c r="D257" t="s">
        <v>28</v>
      </c>
      <c r="E257" t="s">
        <v>21</v>
      </c>
      <c r="F257" t="s">
        <v>41</v>
      </c>
      <c r="G257" t="s">
        <v>30</v>
      </c>
      <c r="H257">
        <v>69542</v>
      </c>
      <c r="I257" t="s">
        <v>24</v>
      </c>
      <c r="J257">
        <v>4.14</v>
      </c>
      <c r="K257">
        <v>287903.88</v>
      </c>
      <c r="L257" t="s">
        <v>637</v>
      </c>
      <c r="M257" t="s">
        <v>844</v>
      </c>
      <c r="N257">
        <v>4.05</v>
      </c>
      <c r="O257" t="s">
        <v>27</v>
      </c>
      <c r="P257" t="s">
        <v>846</v>
      </c>
      <c r="Q257">
        <v>9</v>
      </c>
    </row>
    <row r="258" spans="1:17">
      <c r="A258">
        <v>246</v>
      </c>
      <c r="B258">
        <v>1</v>
      </c>
      <c r="C258">
        <v>20240126</v>
      </c>
      <c r="D258" t="s">
        <v>28</v>
      </c>
      <c r="E258" t="s">
        <v>21</v>
      </c>
      <c r="F258" t="s">
        <v>41</v>
      </c>
      <c r="G258" t="s">
        <v>37</v>
      </c>
      <c r="H258">
        <v>292416</v>
      </c>
      <c r="I258" t="s">
        <v>24</v>
      </c>
      <c r="J258">
        <v>4.14</v>
      </c>
      <c r="K258">
        <v>1210602.24</v>
      </c>
      <c r="L258" t="s">
        <v>634</v>
      </c>
      <c r="M258" t="s">
        <v>844</v>
      </c>
      <c r="N258">
        <v>4.05</v>
      </c>
      <c r="O258" t="s">
        <v>27</v>
      </c>
      <c r="P258" t="s">
        <v>845</v>
      </c>
      <c r="Q258">
        <v>31</v>
      </c>
    </row>
    <row r="259" spans="1:17">
      <c r="A259">
        <v>246</v>
      </c>
      <c r="B259">
        <v>1</v>
      </c>
      <c r="C259">
        <v>20240126</v>
      </c>
      <c r="D259" t="s">
        <v>28</v>
      </c>
      <c r="E259" t="s">
        <v>21</v>
      </c>
      <c r="F259" t="s">
        <v>41</v>
      </c>
      <c r="G259" t="s">
        <v>30</v>
      </c>
      <c r="H259">
        <v>95667</v>
      </c>
      <c r="I259" t="s">
        <v>24</v>
      </c>
      <c r="J259">
        <v>4.14</v>
      </c>
      <c r="K259">
        <v>396061.38</v>
      </c>
      <c r="L259" t="s">
        <v>634</v>
      </c>
      <c r="M259" t="s">
        <v>844</v>
      </c>
      <c r="N259">
        <v>4.05</v>
      </c>
      <c r="O259" t="s">
        <v>27</v>
      </c>
      <c r="P259" t="s">
        <v>846</v>
      </c>
      <c r="Q259">
        <v>13</v>
      </c>
    </row>
    <row r="260" spans="1:17">
      <c r="A260">
        <v>246</v>
      </c>
      <c r="B260">
        <v>1</v>
      </c>
      <c r="C260">
        <v>20240126</v>
      </c>
      <c r="D260" t="s">
        <v>28</v>
      </c>
      <c r="E260" t="s">
        <v>21</v>
      </c>
      <c r="F260" t="s">
        <v>41</v>
      </c>
      <c r="G260" t="s">
        <v>30</v>
      </c>
      <c r="H260">
        <v>22234</v>
      </c>
      <c r="I260" t="s">
        <v>24</v>
      </c>
      <c r="J260">
        <v>4.14</v>
      </c>
      <c r="K260">
        <v>92048.76</v>
      </c>
      <c r="L260" t="s">
        <v>637</v>
      </c>
      <c r="M260" t="s">
        <v>844</v>
      </c>
      <c r="N260">
        <v>4.05</v>
      </c>
      <c r="O260" t="s">
        <v>27</v>
      </c>
      <c r="P260" t="s">
        <v>846</v>
      </c>
      <c r="Q260">
        <v>2</v>
      </c>
    </row>
    <row r="261" spans="1:17">
      <c r="A261">
        <v>246</v>
      </c>
      <c r="B261">
        <v>1</v>
      </c>
      <c r="C261">
        <v>20240126</v>
      </c>
      <c r="D261" t="s">
        <v>28</v>
      </c>
      <c r="E261" t="s">
        <v>21</v>
      </c>
      <c r="F261" t="s">
        <v>41</v>
      </c>
      <c r="G261" t="s">
        <v>37</v>
      </c>
      <c r="H261">
        <v>1306</v>
      </c>
      <c r="I261" t="s">
        <v>24</v>
      </c>
      <c r="J261">
        <v>4.14</v>
      </c>
      <c r="K261">
        <v>5406.84</v>
      </c>
      <c r="L261" t="s">
        <v>637</v>
      </c>
      <c r="M261" t="s">
        <v>844</v>
      </c>
      <c r="N261">
        <v>4.05</v>
      </c>
      <c r="O261" t="s">
        <v>27</v>
      </c>
      <c r="P261" t="s">
        <v>845</v>
      </c>
      <c r="Q261">
        <v>1</v>
      </c>
    </row>
    <row r="262" spans="1:17">
      <c r="A262">
        <v>246</v>
      </c>
      <c r="B262">
        <v>1</v>
      </c>
      <c r="C262">
        <v>20240126</v>
      </c>
      <c r="D262" t="s">
        <v>28</v>
      </c>
      <c r="E262" t="s">
        <v>21</v>
      </c>
      <c r="F262" t="s">
        <v>41</v>
      </c>
      <c r="G262" t="s">
        <v>30</v>
      </c>
      <c r="H262">
        <v>543433</v>
      </c>
      <c r="I262" t="s">
        <v>24</v>
      </c>
      <c r="J262">
        <v>4.14</v>
      </c>
      <c r="K262">
        <v>2249812.62</v>
      </c>
      <c r="L262" t="s">
        <v>637</v>
      </c>
      <c r="M262" t="s">
        <v>844</v>
      </c>
      <c r="N262">
        <v>4.05</v>
      </c>
      <c r="O262" t="s">
        <v>27</v>
      </c>
      <c r="P262" t="s">
        <v>846</v>
      </c>
      <c r="Q262">
        <v>92</v>
      </c>
    </row>
    <row r="263" spans="1:17">
      <c r="A263">
        <v>246</v>
      </c>
      <c r="B263">
        <v>1</v>
      </c>
      <c r="C263">
        <v>20240126</v>
      </c>
      <c r="D263" t="s">
        <v>28</v>
      </c>
      <c r="E263" t="s">
        <v>21</v>
      </c>
      <c r="F263" t="s">
        <v>41</v>
      </c>
      <c r="G263" t="s">
        <v>37</v>
      </c>
      <c r="H263">
        <v>14010</v>
      </c>
      <c r="I263" t="s">
        <v>24</v>
      </c>
      <c r="J263">
        <v>4.14</v>
      </c>
      <c r="K263">
        <v>58001.4</v>
      </c>
      <c r="L263" t="s">
        <v>637</v>
      </c>
      <c r="M263" t="s">
        <v>844</v>
      </c>
      <c r="N263">
        <v>4.05</v>
      </c>
      <c r="O263" t="s">
        <v>27</v>
      </c>
      <c r="P263" t="s">
        <v>845</v>
      </c>
      <c r="Q263">
        <v>3</v>
      </c>
    </row>
    <row r="264" spans="1:17">
      <c r="A264">
        <v>247</v>
      </c>
      <c r="B264">
        <v>1</v>
      </c>
      <c r="C264">
        <v>20240128</v>
      </c>
      <c r="D264" t="s">
        <v>20</v>
      </c>
      <c r="E264" t="s">
        <v>21</v>
      </c>
      <c r="F264" t="s">
        <v>22</v>
      </c>
      <c r="G264" t="s">
        <v>23</v>
      </c>
      <c r="H264">
        <v>8258</v>
      </c>
      <c r="I264" t="s">
        <v>24</v>
      </c>
      <c r="J264">
        <v>3.44</v>
      </c>
      <c r="K264">
        <v>28407.52</v>
      </c>
      <c r="L264" t="s">
        <v>637</v>
      </c>
      <c r="N264">
        <v>3.1683</v>
      </c>
      <c r="O264" t="s">
        <v>43</v>
      </c>
      <c r="P264" t="s">
        <v>847</v>
      </c>
      <c r="Q264">
        <v>6</v>
      </c>
    </row>
    <row r="265" spans="1:17">
      <c r="A265">
        <v>248</v>
      </c>
      <c r="B265">
        <v>1</v>
      </c>
      <c r="C265">
        <v>20240129</v>
      </c>
      <c r="D265" t="s">
        <v>20</v>
      </c>
      <c r="E265" t="s">
        <v>21</v>
      </c>
      <c r="F265" t="s">
        <v>22</v>
      </c>
      <c r="G265" t="s">
        <v>23</v>
      </c>
      <c r="H265">
        <v>17080</v>
      </c>
      <c r="I265" t="s">
        <v>24</v>
      </c>
      <c r="J265">
        <v>3.44</v>
      </c>
      <c r="K265">
        <v>58755.2</v>
      </c>
      <c r="L265" t="s">
        <v>637</v>
      </c>
      <c r="N265">
        <v>3.1853</v>
      </c>
      <c r="O265" t="s">
        <v>43</v>
      </c>
      <c r="P265" t="s">
        <v>848</v>
      </c>
      <c r="Q265">
        <v>6</v>
      </c>
    </row>
    <row r="266" spans="1:17">
      <c r="A266">
        <v>249</v>
      </c>
      <c r="B266">
        <v>1</v>
      </c>
      <c r="C266">
        <v>20240129</v>
      </c>
      <c r="D266" t="s">
        <v>20</v>
      </c>
      <c r="E266" t="s">
        <v>21</v>
      </c>
      <c r="F266" t="s">
        <v>32</v>
      </c>
      <c r="G266" t="s">
        <v>30</v>
      </c>
      <c r="H266">
        <v>906901</v>
      </c>
      <c r="I266" t="s">
        <v>24</v>
      </c>
      <c r="J266">
        <v>4.14</v>
      </c>
      <c r="K266">
        <v>3754570.14</v>
      </c>
      <c r="L266" t="s">
        <v>634</v>
      </c>
      <c r="N266">
        <v>4.015</v>
      </c>
      <c r="O266" t="s">
        <v>43</v>
      </c>
      <c r="P266" t="s">
        <v>849</v>
      </c>
      <c r="Q266">
        <v>92</v>
      </c>
    </row>
    <row r="267" spans="1:17">
      <c r="A267">
        <v>250</v>
      </c>
      <c r="B267">
        <v>1</v>
      </c>
      <c r="C267">
        <v>20240129</v>
      </c>
      <c r="D267" t="s">
        <v>20</v>
      </c>
      <c r="E267" t="s">
        <v>21</v>
      </c>
      <c r="F267" t="s">
        <v>32</v>
      </c>
      <c r="G267" t="s">
        <v>30</v>
      </c>
      <c r="H267">
        <v>14410</v>
      </c>
      <c r="I267" t="s">
        <v>24</v>
      </c>
      <c r="J267">
        <v>4.14</v>
      </c>
      <c r="K267">
        <v>59657.4</v>
      </c>
      <c r="L267" t="s">
        <v>637</v>
      </c>
      <c r="N267">
        <v>4.015</v>
      </c>
      <c r="O267" t="s">
        <v>43</v>
      </c>
      <c r="P267" t="s">
        <v>849</v>
      </c>
      <c r="Q267">
        <v>1</v>
      </c>
    </row>
    <row r="268" spans="1:17">
      <c r="A268">
        <v>251</v>
      </c>
      <c r="B268">
        <v>1</v>
      </c>
      <c r="C268">
        <v>20240129</v>
      </c>
      <c r="D268" t="s">
        <v>28</v>
      </c>
      <c r="E268" t="s">
        <v>21</v>
      </c>
      <c r="F268" t="s">
        <v>32</v>
      </c>
      <c r="G268" t="s">
        <v>37</v>
      </c>
      <c r="H268">
        <v>5</v>
      </c>
      <c r="I268" t="s">
        <v>24</v>
      </c>
      <c r="J268">
        <v>4.14</v>
      </c>
      <c r="K268">
        <v>20.7</v>
      </c>
      <c r="L268" t="s">
        <v>634</v>
      </c>
      <c r="N268">
        <v>4.015</v>
      </c>
      <c r="O268" t="s">
        <v>43</v>
      </c>
      <c r="P268" t="s">
        <v>850</v>
      </c>
      <c r="Q268">
        <v>1</v>
      </c>
    </row>
    <row r="269" spans="1:17">
      <c r="A269">
        <v>252</v>
      </c>
      <c r="B269">
        <v>1</v>
      </c>
      <c r="C269">
        <v>20240129</v>
      </c>
      <c r="D269" t="s">
        <v>28</v>
      </c>
      <c r="E269" t="s">
        <v>21</v>
      </c>
      <c r="F269" t="s">
        <v>32</v>
      </c>
      <c r="G269" t="s">
        <v>37</v>
      </c>
      <c r="H269">
        <v>6</v>
      </c>
      <c r="I269" t="s">
        <v>24</v>
      </c>
      <c r="J269">
        <v>4.14</v>
      </c>
      <c r="K269">
        <v>24.84</v>
      </c>
      <c r="L269" t="s">
        <v>654</v>
      </c>
      <c r="N269">
        <v>4.015</v>
      </c>
      <c r="O269" t="s">
        <v>43</v>
      </c>
      <c r="P269" t="s">
        <v>850</v>
      </c>
      <c r="Q269">
        <v>1</v>
      </c>
    </row>
    <row r="270" spans="1:17">
      <c r="A270">
        <v>253</v>
      </c>
      <c r="B270">
        <v>1</v>
      </c>
      <c r="C270">
        <v>20240129</v>
      </c>
      <c r="D270" t="s">
        <v>28</v>
      </c>
      <c r="E270" t="s">
        <v>21</v>
      </c>
      <c r="F270" t="s">
        <v>32</v>
      </c>
      <c r="G270" t="s">
        <v>30</v>
      </c>
      <c r="H270">
        <v>33</v>
      </c>
      <c r="I270" t="s">
        <v>24</v>
      </c>
      <c r="J270">
        <v>4.14</v>
      </c>
      <c r="K270">
        <v>136.62</v>
      </c>
      <c r="L270" t="s">
        <v>654</v>
      </c>
      <c r="N270">
        <v>4.015</v>
      </c>
      <c r="O270" t="s">
        <v>43</v>
      </c>
      <c r="P270" t="s">
        <v>851</v>
      </c>
      <c r="Q270">
        <v>2</v>
      </c>
    </row>
    <row r="271" spans="1:17">
      <c r="A271">
        <v>254</v>
      </c>
      <c r="B271">
        <v>1</v>
      </c>
      <c r="C271">
        <v>20240129</v>
      </c>
      <c r="D271" t="s">
        <v>28</v>
      </c>
      <c r="E271" t="s">
        <v>21</v>
      </c>
      <c r="F271" t="s">
        <v>32</v>
      </c>
      <c r="G271" t="s">
        <v>37</v>
      </c>
      <c r="H271">
        <v>311</v>
      </c>
      <c r="I271" t="s">
        <v>24</v>
      </c>
      <c r="J271">
        <v>4.14</v>
      </c>
      <c r="K271">
        <v>1287.54</v>
      </c>
      <c r="L271" t="s">
        <v>637</v>
      </c>
      <c r="N271">
        <v>4.015</v>
      </c>
      <c r="O271" t="s">
        <v>43</v>
      </c>
      <c r="P271" t="s">
        <v>850</v>
      </c>
      <c r="Q271">
        <v>4</v>
      </c>
    </row>
    <row r="272" spans="1:17">
      <c r="A272">
        <v>255</v>
      </c>
      <c r="B272">
        <v>1</v>
      </c>
      <c r="C272">
        <v>20240129</v>
      </c>
      <c r="D272" t="s">
        <v>28</v>
      </c>
      <c r="E272" t="s">
        <v>21</v>
      </c>
      <c r="F272" t="s">
        <v>32</v>
      </c>
      <c r="G272" t="s">
        <v>30</v>
      </c>
      <c r="H272">
        <v>162</v>
      </c>
      <c r="I272" t="s">
        <v>24</v>
      </c>
      <c r="J272">
        <v>4.14</v>
      </c>
      <c r="K272">
        <v>670.68</v>
      </c>
      <c r="L272" t="s">
        <v>637</v>
      </c>
      <c r="N272">
        <v>4.015</v>
      </c>
      <c r="O272" t="s">
        <v>43</v>
      </c>
      <c r="P272" t="s">
        <v>851</v>
      </c>
      <c r="Q272">
        <v>2</v>
      </c>
    </row>
    <row r="273" spans="1:17">
      <c r="A273">
        <v>255</v>
      </c>
      <c r="B273">
        <v>1</v>
      </c>
      <c r="C273">
        <v>20240129</v>
      </c>
      <c r="D273" t="s">
        <v>28</v>
      </c>
      <c r="E273" t="s">
        <v>21</v>
      </c>
      <c r="F273" t="s">
        <v>29</v>
      </c>
      <c r="G273" t="s">
        <v>37</v>
      </c>
      <c r="H273">
        <v>73605</v>
      </c>
      <c r="I273" t="s">
        <v>24</v>
      </c>
      <c r="J273">
        <v>4.14</v>
      </c>
      <c r="K273">
        <v>304724.7</v>
      </c>
      <c r="L273" t="s">
        <v>634</v>
      </c>
      <c r="N273">
        <v>4.02998</v>
      </c>
      <c r="O273" t="s">
        <v>43</v>
      </c>
      <c r="P273" t="s">
        <v>852</v>
      </c>
      <c r="Q273">
        <v>6</v>
      </c>
    </row>
    <row r="274" spans="1:17">
      <c r="A274">
        <v>255</v>
      </c>
      <c r="B274">
        <v>1</v>
      </c>
      <c r="C274">
        <v>20240129</v>
      </c>
      <c r="D274" t="s">
        <v>28</v>
      </c>
      <c r="E274" t="s">
        <v>21</v>
      </c>
      <c r="F274" t="s">
        <v>41</v>
      </c>
      <c r="G274" t="s">
        <v>30</v>
      </c>
      <c r="H274">
        <v>2959</v>
      </c>
      <c r="I274" t="s">
        <v>24</v>
      </c>
      <c r="J274">
        <v>4.14</v>
      </c>
      <c r="K274">
        <v>12250.26</v>
      </c>
      <c r="L274" t="s">
        <v>637</v>
      </c>
      <c r="N274">
        <v>4.05</v>
      </c>
      <c r="O274" t="s">
        <v>43</v>
      </c>
      <c r="P274" t="s">
        <v>853</v>
      </c>
      <c r="Q274">
        <v>1</v>
      </c>
    </row>
    <row r="275" spans="1:17">
      <c r="A275">
        <v>255</v>
      </c>
      <c r="B275">
        <v>1</v>
      </c>
      <c r="C275">
        <v>20240129</v>
      </c>
      <c r="D275" t="s">
        <v>28</v>
      </c>
      <c r="E275" t="s">
        <v>21</v>
      </c>
      <c r="F275" t="s">
        <v>41</v>
      </c>
      <c r="G275" t="s">
        <v>30</v>
      </c>
      <c r="H275">
        <v>1052</v>
      </c>
      <c r="I275" t="s">
        <v>24</v>
      </c>
      <c r="J275">
        <v>4.14</v>
      </c>
      <c r="K275">
        <v>4355.28</v>
      </c>
      <c r="L275" t="s">
        <v>634</v>
      </c>
      <c r="N275">
        <v>4.05</v>
      </c>
      <c r="O275" t="s">
        <v>43</v>
      </c>
      <c r="P275" t="s">
        <v>853</v>
      </c>
      <c r="Q275">
        <v>1</v>
      </c>
    </row>
    <row r="276" spans="1:17">
      <c r="A276">
        <v>255</v>
      </c>
      <c r="B276">
        <v>1</v>
      </c>
      <c r="C276">
        <v>20240129</v>
      </c>
      <c r="D276" t="s">
        <v>28</v>
      </c>
      <c r="E276" t="s">
        <v>21</v>
      </c>
      <c r="F276" t="s">
        <v>41</v>
      </c>
      <c r="G276" t="s">
        <v>37</v>
      </c>
      <c r="H276">
        <v>2211</v>
      </c>
      <c r="I276" t="s">
        <v>24</v>
      </c>
      <c r="J276">
        <v>4.14</v>
      </c>
      <c r="K276">
        <v>9153.54</v>
      </c>
      <c r="L276" t="s">
        <v>634</v>
      </c>
      <c r="N276">
        <v>4.05</v>
      </c>
      <c r="O276" t="s">
        <v>43</v>
      </c>
      <c r="P276" t="s">
        <v>854</v>
      </c>
      <c r="Q276">
        <v>2</v>
      </c>
    </row>
    <row r="277" spans="1:17">
      <c r="A277">
        <v>255</v>
      </c>
      <c r="B277">
        <v>1</v>
      </c>
      <c r="C277">
        <v>20240129</v>
      </c>
      <c r="D277" t="s">
        <v>28</v>
      </c>
      <c r="E277" t="s">
        <v>21</v>
      </c>
      <c r="F277" t="s">
        <v>41</v>
      </c>
      <c r="G277" t="s">
        <v>30</v>
      </c>
      <c r="H277">
        <v>6966</v>
      </c>
      <c r="I277" t="s">
        <v>24</v>
      </c>
      <c r="J277">
        <v>4.14</v>
      </c>
      <c r="K277">
        <v>28839.24</v>
      </c>
      <c r="L277" t="s">
        <v>637</v>
      </c>
      <c r="N277">
        <v>4.05</v>
      </c>
      <c r="O277" t="s">
        <v>43</v>
      </c>
      <c r="P277" t="s">
        <v>853</v>
      </c>
      <c r="Q277">
        <v>3</v>
      </c>
    </row>
    <row r="278" spans="1:17">
      <c r="A278">
        <v>256</v>
      </c>
      <c r="B278">
        <v>1</v>
      </c>
      <c r="C278">
        <v>20240130</v>
      </c>
      <c r="D278" t="s">
        <v>28</v>
      </c>
      <c r="E278" t="s">
        <v>21</v>
      </c>
      <c r="F278" t="s">
        <v>32</v>
      </c>
      <c r="G278" t="s">
        <v>30</v>
      </c>
      <c r="H278">
        <v>468467</v>
      </c>
      <c r="I278" t="s">
        <v>24</v>
      </c>
      <c r="J278">
        <v>4.14</v>
      </c>
      <c r="K278">
        <v>1939453.38</v>
      </c>
      <c r="L278" t="s">
        <v>634</v>
      </c>
      <c r="N278">
        <v>4.015</v>
      </c>
      <c r="O278" t="s">
        <v>43</v>
      </c>
      <c r="P278" t="s">
        <v>855</v>
      </c>
      <c r="Q278">
        <v>40</v>
      </c>
    </row>
    <row r="279" spans="1:17">
      <c r="A279">
        <v>257</v>
      </c>
      <c r="B279">
        <v>1</v>
      </c>
      <c r="C279">
        <v>20240130</v>
      </c>
      <c r="D279" t="s">
        <v>28</v>
      </c>
      <c r="E279" t="s">
        <v>21</v>
      </c>
      <c r="F279" t="s">
        <v>32</v>
      </c>
      <c r="G279" t="s">
        <v>37</v>
      </c>
      <c r="H279">
        <v>7834</v>
      </c>
      <c r="I279" t="s">
        <v>24</v>
      </c>
      <c r="J279">
        <v>4.14</v>
      </c>
      <c r="K279">
        <v>32432.76</v>
      </c>
      <c r="L279" t="s">
        <v>654</v>
      </c>
      <c r="N279">
        <v>4.015</v>
      </c>
      <c r="O279" t="s">
        <v>43</v>
      </c>
      <c r="P279" t="s">
        <v>856</v>
      </c>
      <c r="Q279">
        <v>3</v>
      </c>
    </row>
    <row r="280" spans="1:17">
      <c r="A280">
        <v>258</v>
      </c>
      <c r="B280">
        <v>1</v>
      </c>
      <c r="C280">
        <v>20240130</v>
      </c>
      <c r="D280" t="s">
        <v>28</v>
      </c>
      <c r="E280" t="s">
        <v>21</v>
      </c>
      <c r="F280" t="s">
        <v>32</v>
      </c>
      <c r="G280" t="s">
        <v>30</v>
      </c>
      <c r="H280">
        <v>5789</v>
      </c>
      <c r="I280" t="s">
        <v>24</v>
      </c>
      <c r="J280">
        <v>4.14</v>
      </c>
      <c r="K280">
        <v>23966.46</v>
      </c>
      <c r="L280" t="s">
        <v>654</v>
      </c>
      <c r="N280">
        <v>4.015</v>
      </c>
      <c r="O280" t="s">
        <v>43</v>
      </c>
      <c r="P280" t="s">
        <v>855</v>
      </c>
      <c r="Q280">
        <v>4</v>
      </c>
    </row>
    <row r="281" spans="1:17">
      <c r="A281">
        <v>259</v>
      </c>
      <c r="B281">
        <v>1</v>
      </c>
      <c r="C281">
        <v>20240130</v>
      </c>
      <c r="D281" t="s">
        <v>28</v>
      </c>
      <c r="E281" t="s">
        <v>21</v>
      </c>
      <c r="F281" t="s">
        <v>32</v>
      </c>
      <c r="G281" t="s">
        <v>37</v>
      </c>
      <c r="H281">
        <v>6852</v>
      </c>
      <c r="I281" t="s">
        <v>24</v>
      </c>
      <c r="J281">
        <v>4.14</v>
      </c>
      <c r="K281">
        <v>28367.28</v>
      </c>
      <c r="L281" t="s">
        <v>637</v>
      </c>
      <c r="N281">
        <v>4.015</v>
      </c>
      <c r="O281" t="s">
        <v>43</v>
      </c>
      <c r="P281" t="s">
        <v>856</v>
      </c>
      <c r="Q281">
        <v>3</v>
      </c>
    </row>
    <row r="282" spans="1:17">
      <c r="A282">
        <v>260</v>
      </c>
      <c r="B282">
        <v>1</v>
      </c>
      <c r="C282">
        <v>20240130</v>
      </c>
      <c r="D282" t="s">
        <v>28</v>
      </c>
      <c r="E282" t="s">
        <v>21</v>
      </c>
      <c r="F282" t="s">
        <v>32</v>
      </c>
      <c r="G282" t="s">
        <v>30</v>
      </c>
      <c r="H282">
        <v>744458</v>
      </c>
      <c r="I282" t="s">
        <v>24</v>
      </c>
      <c r="J282">
        <v>4.14</v>
      </c>
      <c r="K282">
        <v>3082056.12</v>
      </c>
      <c r="L282" t="s">
        <v>637</v>
      </c>
      <c r="N282">
        <v>4.015</v>
      </c>
      <c r="O282" t="s">
        <v>43</v>
      </c>
      <c r="P282" t="s">
        <v>855</v>
      </c>
      <c r="Q282">
        <v>93</v>
      </c>
    </row>
    <row r="283" spans="1:17">
      <c r="A283">
        <v>261</v>
      </c>
      <c r="B283">
        <v>1</v>
      </c>
      <c r="C283">
        <v>20240130</v>
      </c>
      <c r="D283" t="s">
        <v>28</v>
      </c>
      <c r="E283" t="s">
        <v>21</v>
      </c>
      <c r="F283" t="s">
        <v>32</v>
      </c>
      <c r="G283" t="s">
        <v>30</v>
      </c>
      <c r="H283">
        <v>1622</v>
      </c>
      <c r="I283" t="s">
        <v>24</v>
      </c>
      <c r="J283">
        <v>4.14</v>
      </c>
      <c r="K283">
        <v>6715.08</v>
      </c>
      <c r="L283" t="s">
        <v>637</v>
      </c>
      <c r="N283">
        <v>4.021</v>
      </c>
      <c r="O283" t="s">
        <v>43</v>
      </c>
      <c r="P283" t="s">
        <v>855</v>
      </c>
    </row>
    <row r="284" spans="1:17">
      <c r="A284">
        <v>262</v>
      </c>
      <c r="B284">
        <v>1</v>
      </c>
      <c r="C284">
        <v>20240131</v>
      </c>
      <c r="D284" t="s">
        <v>20</v>
      </c>
      <c r="E284" t="s">
        <v>21</v>
      </c>
      <c r="F284" t="s">
        <v>32</v>
      </c>
      <c r="G284" t="s">
        <v>30</v>
      </c>
      <c r="H284">
        <v>345775</v>
      </c>
      <c r="I284" t="s">
        <v>24</v>
      </c>
      <c r="J284">
        <v>4.14</v>
      </c>
      <c r="K284">
        <v>1431508.5</v>
      </c>
      <c r="L284" t="s">
        <v>634</v>
      </c>
      <c r="N284">
        <v>4.015</v>
      </c>
      <c r="O284" t="s">
        <v>43</v>
      </c>
      <c r="P284" t="s">
        <v>857</v>
      </c>
      <c r="Q284">
        <v>45</v>
      </c>
    </row>
    <row r="285" spans="1:17">
      <c r="A285">
        <v>263</v>
      </c>
      <c r="B285">
        <v>1</v>
      </c>
      <c r="C285">
        <v>20240131</v>
      </c>
      <c r="D285" t="s">
        <v>20</v>
      </c>
      <c r="E285" t="s">
        <v>21</v>
      </c>
      <c r="F285" t="s">
        <v>32</v>
      </c>
      <c r="G285" t="s">
        <v>30</v>
      </c>
      <c r="H285">
        <v>57260</v>
      </c>
      <c r="I285" t="s">
        <v>24</v>
      </c>
      <c r="J285">
        <v>4.14</v>
      </c>
      <c r="K285">
        <v>237056.4</v>
      </c>
      <c r="L285" t="s">
        <v>637</v>
      </c>
      <c r="N285">
        <v>4.015</v>
      </c>
      <c r="O285" t="s">
        <v>43</v>
      </c>
      <c r="P285" t="s">
        <v>857</v>
      </c>
      <c r="Q285">
        <v>8</v>
      </c>
    </row>
    <row r="286" spans="1:17">
      <c r="A286">
        <v>264</v>
      </c>
      <c r="B286">
        <v>1</v>
      </c>
      <c r="C286">
        <v>20240131</v>
      </c>
      <c r="D286" t="s">
        <v>28</v>
      </c>
      <c r="E286" t="s">
        <v>21</v>
      </c>
      <c r="F286" t="s">
        <v>32</v>
      </c>
      <c r="G286" t="s">
        <v>37</v>
      </c>
      <c r="H286">
        <v>8459</v>
      </c>
      <c r="I286" t="s">
        <v>24</v>
      </c>
      <c r="J286">
        <v>4.14</v>
      </c>
      <c r="K286">
        <v>35020.26</v>
      </c>
      <c r="L286" t="s">
        <v>634</v>
      </c>
      <c r="N286">
        <v>4.015</v>
      </c>
      <c r="O286" t="s">
        <v>43</v>
      </c>
      <c r="P286" t="s">
        <v>858</v>
      </c>
      <c r="Q286">
        <v>8</v>
      </c>
    </row>
    <row r="287" spans="1:17">
      <c r="A287">
        <v>265</v>
      </c>
      <c r="B287">
        <v>1</v>
      </c>
      <c r="C287">
        <v>20240131</v>
      </c>
      <c r="D287" t="s">
        <v>28</v>
      </c>
      <c r="E287" t="s">
        <v>21</v>
      </c>
      <c r="F287" t="s">
        <v>32</v>
      </c>
      <c r="G287" t="s">
        <v>30</v>
      </c>
      <c r="H287">
        <v>526987</v>
      </c>
      <c r="I287" t="s">
        <v>24</v>
      </c>
      <c r="J287">
        <v>4.14</v>
      </c>
      <c r="K287">
        <v>2181726.18</v>
      </c>
      <c r="L287" t="s">
        <v>634</v>
      </c>
      <c r="N287">
        <v>4.015</v>
      </c>
      <c r="O287" t="s">
        <v>43</v>
      </c>
      <c r="P287" t="s">
        <v>859</v>
      </c>
      <c r="Q287">
        <v>58</v>
      </c>
    </row>
    <row r="288" spans="1:17">
      <c r="A288">
        <v>266</v>
      </c>
      <c r="B288">
        <v>1</v>
      </c>
      <c r="C288">
        <v>20240131</v>
      </c>
      <c r="D288" t="s">
        <v>28</v>
      </c>
      <c r="E288" t="s">
        <v>21</v>
      </c>
      <c r="F288" t="s">
        <v>32</v>
      </c>
      <c r="G288" t="s">
        <v>37</v>
      </c>
      <c r="H288">
        <v>69674</v>
      </c>
      <c r="I288" t="s">
        <v>24</v>
      </c>
      <c r="J288">
        <v>4.14</v>
      </c>
      <c r="K288">
        <v>288450.36</v>
      </c>
      <c r="L288" t="s">
        <v>654</v>
      </c>
      <c r="N288">
        <v>4.015</v>
      </c>
      <c r="O288" t="s">
        <v>43</v>
      </c>
      <c r="P288" t="s">
        <v>858</v>
      </c>
      <c r="Q288">
        <v>8</v>
      </c>
    </row>
    <row r="289" spans="1:19">
      <c r="A289">
        <v>267</v>
      </c>
      <c r="B289">
        <v>1</v>
      </c>
      <c r="C289">
        <v>20240131</v>
      </c>
      <c r="D289" t="s">
        <v>28</v>
      </c>
      <c r="E289" t="s">
        <v>21</v>
      </c>
      <c r="F289" t="s">
        <v>32</v>
      </c>
      <c r="G289" t="s">
        <v>30</v>
      </c>
      <c r="H289">
        <v>3907</v>
      </c>
      <c r="I289" t="s">
        <v>24</v>
      </c>
      <c r="J289">
        <v>4.14</v>
      </c>
      <c r="K289">
        <v>16174.98</v>
      </c>
      <c r="L289" t="s">
        <v>654</v>
      </c>
      <c r="N289">
        <v>4.015</v>
      </c>
      <c r="O289" t="s">
        <v>43</v>
      </c>
      <c r="P289" t="s">
        <v>859</v>
      </c>
      <c r="Q289">
        <v>2</v>
      </c>
    </row>
    <row r="290" spans="1:19">
      <c r="A290">
        <v>268</v>
      </c>
      <c r="B290">
        <v>1</v>
      </c>
      <c r="C290">
        <v>20240131</v>
      </c>
      <c r="D290" t="s">
        <v>28</v>
      </c>
      <c r="E290" t="s">
        <v>21</v>
      </c>
      <c r="F290" t="s">
        <v>32</v>
      </c>
      <c r="G290" t="s">
        <v>37</v>
      </c>
      <c r="H290">
        <v>252756</v>
      </c>
      <c r="I290" t="s">
        <v>24</v>
      </c>
      <c r="J290">
        <v>4.14</v>
      </c>
      <c r="K290">
        <v>1046409.84</v>
      </c>
      <c r="L290" t="s">
        <v>637</v>
      </c>
      <c r="N290">
        <v>4.015</v>
      </c>
      <c r="O290" t="s">
        <v>43</v>
      </c>
      <c r="P290" t="s">
        <v>858</v>
      </c>
      <c r="Q290">
        <v>21</v>
      </c>
    </row>
    <row r="291" spans="1:19">
      <c r="A291">
        <v>269</v>
      </c>
      <c r="B291">
        <v>1</v>
      </c>
      <c r="C291">
        <v>20240131</v>
      </c>
      <c r="D291" t="s">
        <v>28</v>
      </c>
      <c r="E291" t="s">
        <v>21</v>
      </c>
      <c r="F291" t="s">
        <v>32</v>
      </c>
      <c r="G291" t="s">
        <v>30</v>
      </c>
      <c r="H291">
        <v>205607</v>
      </c>
      <c r="I291" t="s">
        <v>24</v>
      </c>
      <c r="J291">
        <v>4.14</v>
      </c>
      <c r="K291">
        <v>851212.98</v>
      </c>
      <c r="L291" t="s">
        <v>637</v>
      </c>
      <c r="N291">
        <v>4.015</v>
      </c>
      <c r="O291" t="s">
        <v>43</v>
      </c>
      <c r="P291" t="s">
        <v>859</v>
      </c>
      <c r="Q291">
        <v>25</v>
      </c>
    </row>
    <row r="292" spans="1:19">
      <c r="A292">
        <v>270</v>
      </c>
      <c r="B292">
        <v>1</v>
      </c>
      <c r="C292">
        <v>20240131</v>
      </c>
      <c r="D292" t="s">
        <v>20</v>
      </c>
      <c r="E292" t="s">
        <v>21</v>
      </c>
      <c r="F292" t="s">
        <v>29</v>
      </c>
      <c r="G292" t="s">
        <v>30</v>
      </c>
      <c r="H292">
        <v>480506</v>
      </c>
      <c r="I292" t="s">
        <v>24</v>
      </c>
      <c r="J292">
        <v>4.14</v>
      </c>
      <c r="K292">
        <v>1989294.84</v>
      </c>
      <c r="L292" t="s">
        <v>634</v>
      </c>
      <c r="N292">
        <v>4.02462</v>
      </c>
      <c r="O292" t="s">
        <v>43</v>
      </c>
      <c r="P292" t="s">
        <v>860</v>
      </c>
      <c r="Q292">
        <v>146</v>
      </c>
    </row>
    <row r="293" spans="1:19">
      <c r="A293">
        <v>271</v>
      </c>
      <c r="B293">
        <v>1</v>
      </c>
      <c r="C293">
        <v>20240131</v>
      </c>
      <c r="D293" t="s">
        <v>20</v>
      </c>
      <c r="E293" t="s">
        <v>21</v>
      </c>
      <c r="F293" t="s">
        <v>22</v>
      </c>
      <c r="G293" t="s">
        <v>30</v>
      </c>
      <c r="H293">
        <v>318332</v>
      </c>
      <c r="I293" t="s">
        <v>24</v>
      </c>
      <c r="J293">
        <v>4.42</v>
      </c>
      <c r="K293">
        <v>1407027.44</v>
      </c>
      <c r="L293" t="s">
        <v>634</v>
      </c>
      <c r="N293">
        <v>4.3345</v>
      </c>
      <c r="O293" t="s">
        <v>43</v>
      </c>
      <c r="P293" t="s">
        <v>861</v>
      </c>
      <c r="Q293">
        <v>12</v>
      </c>
      <c r="S293">
        <v>4.14</v>
      </c>
    </row>
    <row r="294" spans="1:19">
      <c r="A294">
        <v>272</v>
      </c>
      <c r="B294">
        <v>1</v>
      </c>
      <c r="C294">
        <v>20240131</v>
      </c>
      <c r="D294" t="s">
        <v>20</v>
      </c>
      <c r="E294" t="s">
        <v>21</v>
      </c>
      <c r="F294" t="s">
        <v>22</v>
      </c>
      <c r="G294" t="s">
        <v>30</v>
      </c>
      <c r="H294">
        <v>56470</v>
      </c>
      <c r="I294" t="s">
        <v>24</v>
      </c>
      <c r="J294">
        <v>4.14</v>
      </c>
      <c r="K294">
        <v>233785.8</v>
      </c>
      <c r="L294" t="s">
        <v>637</v>
      </c>
      <c r="N294">
        <v>3.5537</v>
      </c>
      <c r="O294" t="s">
        <v>43</v>
      </c>
      <c r="P294" t="s">
        <v>862</v>
      </c>
      <c r="Q294">
        <v>5</v>
      </c>
      <c r="S294">
        <v>4.14</v>
      </c>
    </row>
    <row r="295" spans="1:19">
      <c r="A295">
        <v>273</v>
      </c>
      <c r="B295">
        <v>1</v>
      </c>
      <c r="C295">
        <v>20240131</v>
      </c>
      <c r="D295" t="s">
        <v>28</v>
      </c>
      <c r="E295" t="s">
        <v>21</v>
      </c>
      <c r="F295" t="s">
        <v>22</v>
      </c>
      <c r="G295" t="s">
        <v>30</v>
      </c>
      <c r="H295">
        <v>394206</v>
      </c>
      <c r="I295" t="s">
        <v>24</v>
      </c>
      <c r="J295">
        <v>4.14</v>
      </c>
      <c r="K295">
        <v>1632012.84</v>
      </c>
      <c r="L295" t="s">
        <v>637</v>
      </c>
      <c r="N295">
        <v>3.5135</v>
      </c>
      <c r="O295" t="s">
        <v>43</v>
      </c>
      <c r="P295" t="s">
        <v>863</v>
      </c>
      <c r="Q295">
        <v>32</v>
      </c>
      <c r="S295">
        <v>4.14</v>
      </c>
    </row>
    <row r="296" spans="1:19">
      <c r="A296">
        <v>274</v>
      </c>
      <c r="B296">
        <v>1</v>
      </c>
      <c r="C296">
        <v>20240131</v>
      </c>
      <c r="D296" t="s">
        <v>28</v>
      </c>
      <c r="E296" t="s">
        <v>21</v>
      </c>
      <c r="F296" t="s">
        <v>22</v>
      </c>
      <c r="G296" t="s">
        <v>30</v>
      </c>
      <c r="H296">
        <v>3114</v>
      </c>
      <c r="I296" t="s">
        <v>24</v>
      </c>
      <c r="J296">
        <v>4.14</v>
      </c>
      <c r="K296">
        <v>12891.96</v>
      </c>
      <c r="L296" t="s">
        <v>637</v>
      </c>
      <c r="N296">
        <v>4.049</v>
      </c>
      <c r="O296" t="s">
        <v>43</v>
      </c>
      <c r="P296" t="s">
        <v>863</v>
      </c>
      <c r="Q296">
        <v>2</v>
      </c>
      <c r="S296">
        <v>4.14</v>
      </c>
    </row>
    <row r="297" spans="1:19">
      <c r="A297">
        <v>275</v>
      </c>
      <c r="B297">
        <v>1</v>
      </c>
      <c r="C297">
        <v>20240131</v>
      </c>
      <c r="D297" t="s">
        <v>28</v>
      </c>
      <c r="E297" t="s">
        <v>21</v>
      </c>
      <c r="F297" t="s">
        <v>22</v>
      </c>
      <c r="G297" t="s">
        <v>37</v>
      </c>
      <c r="H297">
        <v>179585</v>
      </c>
      <c r="I297" t="s">
        <v>24</v>
      </c>
      <c r="J297">
        <v>4.47</v>
      </c>
      <c r="K297">
        <v>802744.95</v>
      </c>
      <c r="L297" t="s">
        <v>637</v>
      </c>
      <c r="N297">
        <v>4.3859</v>
      </c>
      <c r="O297" t="s">
        <v>43</v>
      </c>
      <c r="P297" t="s">
        <v>864</v>
      </c>
      <c r="Q297">
        <v>17</v>
      </c>
      <c r="S297">
        <v>4.14</v>
      </c>
    </row>
    <row r="298" spans="1:19">
      <c r="A298">
        <v>276</v>
      </c>
      <c r="B298">
        <v>1</v>
      </c>
      <c r="C298">
        <v>20240131</v>
      </c>
      <c r="D298" t="s">
        <v>28</v>
      </c>
      <c r="E298" t="s">
        <v>21</v>
      </c>
      <c r="F298" t="s">
        <v>22</v>
      </c>
      <c r="G298" t="s">
        <v>30</v>
      </c>
      <c r="H298">
        <v>534167</v>
      </c>
      <c r="I298" t="s">
        <v>24</v>
      </c>
      <c r="J298">
        <v>4.14</v>
      </c>
      <c r="K298">
        <v>2211451.38</v>
      </c>
      <c r="L298" t="s">
        <v>634</v>
      </c>
      <c r="N298">
        <v>4.0626</v>
      </c>
      <c r="O298" t="s">
        <v>43</v>
      </c>
      <c r="P298" t="s">
        <v>863</v>
      </c>
      <c r="Q298">
        <v>19</v>
      </c>
      <c r="S298">
        <v>4.14</v>
      </c>
    </row>
    <row r="299" spans="1:19">
      <c r="A299">
        <v>277</v>
      </c>
      <c r="B299">
        <v>1</v>
      </c>
      <c r="C299">
        <v>20240131</v>
      </c>
      <c r="D299" t="s">
        <v>28</v>
      </c>
      <c r="E299" t="s">
        <v>21</v>
      </c>
      <c r="F299" t="s">
        <v>22</v>
      </c>
      <c r="G299" t="s">
        <v>37</v>
      </c>
      <c r="H299">
        <v>14371</v>
      </c>
      <c r="I299" t="s">
        <v>24</v>
      </c>
      <c r="J299">
        <v>4.14</v>
      </c>
      <c r="K299">
        <v>59495.94</v>
      </c>
      <c r="L299" t="s">
        <v>634</v>
      </c>
      <c r="N299">
        <v>4.0584</v>
      </c>
      <c r="O299" t="s">
        <v>43</v>
      </c>
      <c r="P299" t="s">
        <v>865</v>
      </c>
      <c r="Q299">
        <v>2</v>
      </c>
      <c r="S299">
        <v>4.14</v>
      </c>
    </row>
    <row r="300" spans="1:19">
      <c r="A300">
        <v>278</v>
      </c>
      <c r="B300">
        <v>1</v>
      </c>
      <c r="C300">
        <v>20240131</v>
      </c>
      <c r="D300" t="s">
        <v>28</v>
      </c>
      <c r="E300" t="s">
        <v>21</v>
      </c>
      <c r="F300" t="s">
        <v>22</v>
      </c>
      <c r="G300" t="s">
        <v>30</v>
      </c>
      <c r="H300">
        <v>15788</v>
      </c>
      <c r="I300" t="s">
        <v>24</v>
      </c>
      <c r="J300">
        <v>4.14</v>
      </c>
      <c r="K300">
        <v>65362.32</v>
      </c>
      <c r="L300" t="s">
        <v>654</v>
      </c>
      <c r="N300">
        <v>4.0563</v>
      </c>
      <c r="O300" t="s">
        <v>43</v>
      </c>
      <c r="P300" t="s">
        <v>863</v>
      </c>
      <c r="Q300">
        <v>4</v>
      </c>
      <c r="S300">
        <v>4.14</v>
      </c>
    </row>
    <row r="301" spans="1:19">
      <c r="A301">
        <v>279</v>
      </c>
      <c r="B301">
        <v>1</v>
      </c>
      <c r="C301">
        <v>20240131</v>
      </c>
      <c r="D301" t="s">
        <v>28</v>
      </c>
      <c r="E301" t="s">
        <v>21</v>
      </c>
      <c r="F301" t="s">
        <v>22</v>
      </c>
      <c r="G301" t="s">
        <v>37</v>
      </c>
      <c r="H301">
        <v>9596</v>
      </c>
      <c r="I301" t="s">
        <v>24</v>
      </c>
      <c r="J301">
        <v>4.14</v>
      </c>
      <c r="K301">
        <v>39727.44</v>
      </c>
      <c r="L301" t="s">
        <v>654</v>
      </c>
      <c r="N301">
        <v>4.0822</v>
      </c>
      <c r="O301" t="s">
        <v>43</v>
      </c>
      <c r="P301" t="s">
        <v>865</v>
      </c>
      <c r="Q301">
        <v>3</v>
      </c>
      <c r="S301">
        <v>4.14</v>
      </c>
    </row>
    <row r="302" spans="1:19">
      <c r="A302">
        <v>280</v>
      </c>
      <c r="B302">
        <v>1</v>
      </c>
      <c r="C302">
        <v>20240131</v>
      </c>
      <c r="D302" t="s">
        <v>20</v>
      </c>
      <c r="E302" t="s">
        <v>21</v>
      </c>
      <c r="F302" t="s">
        <v>41</v>
      </c>
      <c r="G302" t="s">
        <v>30</v>
      </c>
      <c r="H302">
        <v>67784</v>
      </c>
      <c r="I302" t="s">
        <v>24</v>
      </c>
      <c r="J302">
        <v>4.14</v>
      </c>
      <c r="K302">
        <v>280625.76</v>
      </c>
      <c r="L302" t="s">
        <v>637</v>
      </c>
      <c r="N302">
        <v>4.05</v>
      </c>
      <c r="O302" t="s">
        <v>43</v>
      </c>
      <c r="P302" t="s">
        <v>866</v>
      </c>
      <c r="Q302">
        <v>14</v>
      </c>
      <c r="R302" t="s">
        <v>867</v>
      </c>
    </row>
    <row r="303" spans="1:19">
      <c r="A303">
        <v>281</v>
      </c>
      <c r="B303">
        <v>1</v>
      </c>
      <c r="C303">
        <v>20240131</v>
      </c>
      <c r="D303" t="s">
        <v>20</v>
      </c>
      <c r="E303" t="s">
        <v>21</v>
      </c>
      <c r="F303" t="s">
        <v>41</v>
      </c>
      <c r="G303" t="s">
        <v>30</v>
      </c>
      <c r="H303">
        <v>159066</v>
      </c>
      <c r="I303" t="s">
        <v>24</v>
      </c>
      <c r="J303">
        <v>4.14</v>
      </c>
      <c r="K303">
        <v>658533.24</v>
      </c>
      <c r="L303" t="s">
        <v>634</v>
      </c>
      <c r="N303">
        <v>4.05</v>
      </c>
      <c r="O303" t="s">
        <v>43</v>
      </c>
      <c r="P303" t="s">
        <v>866</v>
      </c>
      <c r="Q303">
        <v>15</v>
      </c>
    </row>
    <row r="304" spans="1:19">
      <c r="A304">
        <v>282</v>
      </c>
      <c r="B304">
        <v>1</v>
      </c>
      <c r="C304">
        <v>20240131</v>
      </c>
      <c r="D304" t="s">
        <v>28</v>
      </c>
      <c r="E304" t="s">
        <v>21</v>
      </c>
      <c r="F304" t="s">
        <v>41</v>
      </c>
      <c r="G304" t="s">
        <v>30</v>
      </c>
      <c r="H304">
        <v>774720</v>
      </c>
      <c r="I304" t="s">
        <v>24</v>
      </c>
      <c r="J304">
        <v>4.14</v>
      </c>
      <c r="K304">
        <v>3207340.8</v>
      </c>
      <c r="L304" t="s">
        <v>637</v>
      </c>
      <c r="N304">
        <v>4.05</v>
      </c>
      <c r="O304" t="s">
        <v>43</v>
      </c>
      <c r="P304" t="s">
        <v>868</v>
      </c>
      <c r="Q304">
        <v>79</v>
      </c>
    </row>
    <row r="305" spans="1:17">
      <c r="A305">
        <v>283</v>
      </c>
      <c r="B305">
        <v>1</v>
      </c>
      <c r="C305">
        <v>20240131</v>
      </c>
      <c r="D305" t="s">
        <v>28</v>
      </c>
      <c r="E305" t="s">
        <v>21</v>
      </c>
      <c r="F305" t="s">
        <v>41</v>
      </c>
      <c r="G305" t="s">
        <v>37</v>
      </c>
      <c r="H305">
        <v>327203</v>
      </c>
      <c r="I305" t="s">
        <v>24</v>
      </c>
      <c r="J305">
        <v>4.14</v>
      </c>
      <c r="K305">
        <v>1354620.42</v>
      </c>
      <c r="L305" t="s">
        <v>637</v>
      </c>
      <c r="N305">
        <v>4.05</v>
      </c>
      <c r="O305" t="s">
        <v>43</v>
      </c>
      <c r="P305" t="s">
        <v>869</v>
      </c>
      <c r="Q305">
        <v>29</v>
      </c>
    </row>
    <row r="306" spans="1:17">
      <c r="A306">
        <v>284</v>
      </c>
      <c r="B306">
        <v>1</v>
      </c>
      <c r="C306">
        <v>20240131</v>
      </c>
      <c r="D306" t="s">
        <v>28</v>
      </c>
      <c r="E306" t="s">
        <v>21</v>
      </c>
      <c r="F306" t="s">
        <v>41</v>
      </c>
      <c r="G306" t="s">
        <v>30</v>
      </c>
      <c r="H306">
        <v>37594</v>
      </c>
      <c r="I306" t="s">
        <v>24</v>
      </c>
      <c r="J306">
        <v>4.14</v>
      </c>
      <c r="K306">
        <v>155639.16</v>
      </c>
      <c r="L306" t="s">
        <v>634</v>
      </c>
      <c r="N306">
        <v>4.05</v>
      </c>
      <c r="O306" t="s">
        <v>43</v>
      </c>
      <c r="P306" t="s">
        <v>868</v>
      </c>
      <c r="Q306">
        <v>4</v>
      </c>
    </row>
    <row r="307" spans="1:17">
      <c r="A307">
        <v>285</v>
      </c>
      <c r="B307">
        <v>1</v>
      </c>
      <c r="C307">
        <v>20240131</v>
      </c>
      <c r="D307" t="s">
        <v>28</v>
      </c>
      <c r="E307" t="s">
        <v>21</v>
      </c>
      <c r="F307" t="s">
        <v>41</v>
      </c>
      <c r="G307" t="s">
        <v>37</v>
      </c>
      <c r="H307">
        <v>25072</v>
      </c>
      <c r="I307" t="s">
        <v>24</v>
      </c>
      <c r="J307">
        <v>4.14</v>
      </c>
      <c r="K307">
        <v>103798.08</v>
      </c>
      <c r="L307" t="s">
        <v>634</v>
      </c>
      <c r="N307">
        <v>4.05</v>
      </c>
      <c r="O307" t="s">
        <v>43</v>
      </c>
      <c r="P307" t="s">
        <v>869</v>
      </c>
      <c r="Q307">
        <v>2</v>
      </c>
    </row>
    <row r="308" spans="1:17">
      <c r="A308">
        <v>286</v>
      </c>
      <c r="B308">
        <v>1</v>
      </c>
      <c r="C308">
        <v>20240131</v>
      </c>
      <c r="D308" t="s">
        <v>28</v>
      </c>
      <c r="E308" t="s">
        <v>21</v>
      </c>
      <c r="F308" t="s">
        <v>41</v>
      </c>
      <c r="G308" t="s">
        <v>30</v>
      </c>
      <c r="H308">
        <v>465024</v>
      </c>
      <c r="I308" t="s">
        <v>24</v>
      </c>
      <c r="J308">
        <v>4.14</v>
      </c>
      <c r="K308">
        <v>1925199.36</v>
      </c>
      <c r="L308" t="s">
        <v>634</v>
      </c>
      <c r="N308">
        <v>4.05</v>
      </c>
      <c r="O308" t="s">
        <v>43</v>
      </c>
      <c r="P308" t="s">
        <v>868</v>
      </c>
      <c r="Q308">
        <v>42</v>
      </c>
    </row>
    <row r="309" spans="1:17">
      <c r="A309">
        <v>287</v>
      </c>
      <c r="B309">
        <v>1</v>
      </c>
      <c r="C309">
        <v>20240131</v>
      </c>
      <c r="D309" t="s">
        <v>28</v>
      </c>
      <c r="E309" t="s">
        <v>21</v>
      </c>
      <c r="F309" t="s">
        <v>41</v>
      </c>
      <c r="G309" t="s">
        <v>37</v>
      </c>
      <c r="H309">
        <v>208890</v>
      </c>
      <c r="I309" t="s">
        <v>24</v>
      </c>
      <c r="J309">
        <v>4.14</v>
      </c>
      <c r="K309">
        <v>864804.6</v>
      </c>
      <c r="L309" t="s">
        <v>634</v>
      </c>
      <c r="N309">
        <v>4.05</v>
      </c>
      <c r="O309" t="s">
        <v>43</v>
      </c>
      <c r="P309" t="s">
        <v>869</v>
      </c>
      <c r="Q309">
        <v>16</v>
      </c>
    </row>
    <row r="310" spans="1:17">
      <c r="A310">
        <v>288</v>
      </c>
      <c r="B310">
        <v>1</v>
      </c>
      <c r="C310">
        <v>20240131</v>
      </c>
      <c r="D310" t="s">
        <v>28</v>
      </c>
      <c r="E310" t="s">
        <v>21</v>
      </c>
      <c r="F310" t="s">
        <v>41</v>
      </c>
      <c r="G310" t="s">
        <v>30</v>
      </c>
      <c r="H310">
        <v>3566</v>
      </c>
      <c r="I310" t="s">
        <v>24</v>
      </c>
      <c r="J310">
        <v>4.14</v>
      </c>
      <c r="K310">
        <v>14763.24</v>
      </c>
      <c r="L310" t="s">
        <v>634</v>
      </c>
      <c r="N310">
        <v>4.05</v>
      </c>
      <c r="O310" t="s">
        <v>43</v>
      </c>
      <c r="P310" t="s">
        <v>868</v>
      </c>
      <c r="Q310"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0"/>
  <sheetViews>
    <sheetView workbookViewId="0">
      <selection activeCell="A1" sqref="A1:S310"/>
    </sheetView>
  </sheetViews>
  <sheetFormatPr defaultColWidth="8.72727272727273" defaultRowHeight="14"/>
  <cols>
    <col min="3" max="3" width="9.54545454545454"/>
    <col min="10" max="10" width="9.54545454545454"/>
    <col min="11" max="11" width="12.8181818181818"/>
    <col min="14" max="14" width="9.5454545454545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1</v>
      </c>
      <c r="C2">
        <v>20240102</v>
      </c>
      <c r="D2" t="s">
        <v>20</v>
      </c>
      <c r="E2" t="s">
        <v>21</v>
      </c>
      <c r="F2" t="s">
        <v>46</v>
      </c>
      <c r="G2" t="s">
        <v>633</v>
      </c>
      <c r="H2">
        <v>15</v>
      </c>
      <c r="I2" t="s">
        <v>24</v>
      </c>
      <c r="J2">
        <v>7.46</v>
      </c>
      <c r="K2">
        <v>111.9</v>
      </c>
      <c r="L2" t="s">
        <v>634</v>
      </c>
      <c r="N2">
        <v>4.93</v>
      </c>
      <c r="O2" t="s">
        <v>43</v>
      </c>
      <c r="P2" t="s">
        <v>635</v>
      </c>
      <c r="Q2">
        <v>1</v>
      </c>
      <c r="R2" t="s">
        <v>89</v>
      </c>
    </row>
    <row r="3" spans="1:19">
      <c r="A3">
        <v>2</v>
      </c>
      <c r="B3">
        <v>1</v>
      </c>
      <c r="C3">
        <v>20240102</v>
      </c>
      <c r="D3" t="s">
        <v>20</v>
      </c>
      <c r="E3" t="s">
        <v>21</v>
      </c>
      <c r="F3" t="s">
        <v>22</v>
      </c>
      <c r="G3" t="s">
        <v>636</v>
      </c>
      <c r="H3">
        <v>101450</v>
      </c>
      <c r="I3" t="s">
        <v>24</v>
      </c>
      <c r="J3">
        <v>2.54</v>
      </c>
      <c r="K3">
        <v>257683</v>
      </c>
      <c r="L3" t="s">
        <v>637</v>
      </c>
      <c r="M3" t="s">
        <v>638</v>
      </c>
      <c r="N3">
        <v>2.493</v>
      </c>
      <c r="O3" t="s">
        <v>27</v>
      </c>
      <c r="P3" t="s">
        <v>639</v>
      </c>
      <c r="Q3">
        <v>13</v>
      </c>
      <c r="S3">
        <v>2.33</v>
      </c>
    </row>
    <row r="4" spans="1:19">
      <c r="A4">
        <v>3</v>
      </c>
      <c r="B4">
        <v>1</v>
      </c>
      <c r="C4">
        <v>20240102</v>
      </c>
      <c r="D4" t="s">
        <v>20</v>
      </c>
      <c r="E4" t="s">
        <v>21</v>
      </c>
      <c r="F4" t="s">
        <v>32</v>
      </c>
      <c r="G4" t="s">
        <v>640</v>
      </c>
      <c r="H4">
        <v>292332</v>
      </c>
      <c r="I4" t="s">
        <v>24</v>
      </c>
      <c r="J4">
        <v>5.47</v>
      </c>
      <c r="K4">
        <v>1599056.04</v>
      </c>
      <c r="L4" t="s">
        <v>634</v>
      </c>
      <c r="M4" t="s">
        <v>641</v>
      </c>
      <c r="N4">
        <v>5.0362</v>
      </c>
      <c r="O4" t="s">
        <v>27</v>
      </c>
      <c r="P4" t="s">
        <v>642</v>
      </c>
      <c r="Q4">
        <v>76</v>
      </c>
      <c r="R4">
        <v>7.1094</v>
      </c>
    </row>
    <row r="5" spans="1:19">
      <c r="A5">
        <v>4</v>
      </c>
      <c r="B5">
        <v>1</v>
      </c>
      <c r="C5">
        <v>20240102</v>
      </c>
      <c r="D5" t="s">
        <v>20</v>
      </c>
      <c r="E5" t="s">
        <v>21</v>
      </c>
      <c r="F5" t="s">
        <v>59</v>
      </c>
      <c r="G5" t="s">
        <v>42</v>
      </c>
      <c r="H5">
        <v>81648</v>
      </c>
      <c r="I5" t="s">
        <v>24</v>
      </c>
      <c r="J5">
        <v>4.58</v>
      </c>
      <c r="K5">
        <v>373947.84</v>
      </c>
      <c r="L5" t="s">
        <v>637</v>
      </c>
      <c r="N5">
        <v>4.4887</v>
      </c>
      <c r="O5" t="s">
        <v>43</v>
      </c>
      <c r="P5" t="s">
        <v>643</v>
      </c>
      <c r="Q5">
        <v>6</v>
      </c>
    </row>
    <row r="6" spans="1:19">
      <c r="A6">
        <v>5</v>
      </c>
      <c r="B6">
        <v>1</v>
      </c>
      <c r="C6">
        <v>20240103</v>
      </c>
      <c r="D6" t="s">
        <v>28</v>
      </c>
      <c r="E6" t="s">
        <v>21</v>
      </c>
      <c r="F6" t="s">
        <v>32</v>
      </c>
      <c r="G6" t="s">
        <v>30</v>
      </c>
      <c r="H6">
        <v>78839</v>
      </c>
      <c r="I6" t="s">
        <v>24</v>
      </c>
      <c r="J6">
        <v>4.14</v>
      </c>
      <c r="K6">
        <v>326393.46</v>
      </c>
      <c r="L6" t="s">
        <v>634</v>
      </c>
      <c r="M6" t="s">
        <v>644</v>
      </c>
      <c r="N6">
        <v>4.015</v>
      </c>
      <c r="O6" t="s">
        <v>27</v>
      </c>
      <c r="P6" t="s">
        <v>645</v>
      </c>
      <c r="Q6">
        <v>8</v>
      </c>
    </row>
    <row r="7" spans="1:19">
      <c r="A7">
        <v>6</v>
      </c>
      <c r="B7">
        <v>1</v>
      </c>
      <c r="C7">
        <v>20240103</v>
      </c>
      <c r="D7" t="s">
        <v>28</v>
      </c>
      <c r="E7" t="s">
        <v>21</v>
      </c>
      <c r="F7" t="s">
        <v>32</v>
      </c>
      <c r="G7" t="s">
        <v>37</v>
      </c>
      <c r="H7">
        <v>13271</v>
      </c>
      <c r="I7" t="s">
        <v>24</v>
      </c>
      <c r="J7">
        <v>4.14</v>
      </c>
      <c r="K7">
        <v>54941.94</v>
      </c>
      <c r="L7" t="s">
        <v>637</v>
      </c>
      <c r="M7" t="s">
        <v>644</v>
      </c>
      <c r="N7">
        <v>4.015</v>
      </c>
      <c r="O7" t="s">
        <v>27</v>
      </c>
      <c r="P7" t="s">
        <v>646</v>
      </c>
      <c r="Q7">
        <v>1</v>
      </c>
    </row>
    <row r="8" spans="1:19">
      <c r="A8">
        <v>7</v>
      </c>
      <c r="B8">
        <v>1</v>
      </c>
      <c r="C8">
        <v>20240103</v>
      </c>
      <c r="D8" t="s">
        <v>28</v>
      </c>
      <c r="E8" t="s">
        <v>21</v>
      </c>
      <c r="F8" t="s">
        <v>32</v>
      </c>
      <c r="G8" t="s">
        <v>30</v>
      </c>
      <c r="H8">
        <v>42844</v>
      </c>
      <c r="I8" t="s">
        <v>24</v>
      </c>
      <c r="J8">
        <v>4.14</v>
      </c>
      <c r="K8">
        <v>177374.16</v>
      </c>
      <c r="L8" t="s">
        <v>637</v>
      </c>
      <c r="M8" t="s">
        <v>644</v>
      </c>
      <c r="N8">
        <v>4.015</v>
      </c>
      <c r="O8" t="s">
        <v>27</v>
      </c>
      <c r="P8" t="s">
        <v>645</v>
      </c>
      <c r="Q8">
        <v>3</v>
      </c>
    </row>
    <row r="9" spans="1:19">
      <c r="A9">
        <v>8</v>
      </c>
      <c r="B9">
        <v>1</v>
      </c>
      <c r="C9">
        <v>20240103</v>
      </c>
      <c r="D9" t="s">
        <v>20</v>
      </c>
      <c r="E9" t="s">
        <v>21</v>
      </c>
      <c r="F9" t="s">
        <v>29</v>
      </c>
      <c r="G9" t="s">
        <v>42</v>
      </c>
      <c r="H9">
        <v>87742</v>
      </c>
      <c r="I9" t="s">
        <v>24</v>
      </c>
      <c r="J9">
        <v>5.7</v>
      </c>
      <c r="K9">
        <v>500129.4</v>
      </c>
      <c r="L9" t="s">
        <v>634</v>
      </c>
      <c r="M9" t="s">
        <v>647</v>
      </c>
      <c r="N9">
        <v>5.59</v>
      </c>
      <c r="O9" t="s">
        <v>27</v>
      </c>
      <c r="P9" t="s">
        <v>648</v>
      </c>
      <c r="Q9">
        <v>10</v>
      </c>
    </row>
    <row r="10" spans="1:19">
      <c r="A10">
        <v>9</v>
      </c>
      <c r="B10">
        <v>1</v>
      </c>
      <c r="C10">
        <v>20240103</v>
      </c>
      <c r="D10" t="s">
        <v>28</v>
      </c>
      <c r="E10" t="s">
        <v>21</v>
      </c>
      <c r="F10" t="s">
        <v>41</v>
      </c>
      <c r="G10" t="s">
        <v>30</v>
      </c>
      <c r="H10">
        <v>11759</v>
      </c>
      <c r="I10" t="s">
        <v>24</v>
      </c>
      <c r="J10">
        <v>4.14</v>
      </c>
      <c r="K10">
        <v>48682.26</v>
      </c>
      <c r="L10" t="s">
        <v>634</v>
      </c>
      <c r="M10" t="s">
        <v>649</v>
      </c>
      <c r="N10">
        <v>4.05</v>
      </c>
      <c r="O10" t="s">
        <v>27</v>
      </c>
      <c r="P10" t="s">
        <v>650</v>
      </c>
      <c r="Q10">
        <v>1</v>
      </c>
    </row>
    <row r="11" spans="1:19">
      <c r="A11">
        <v>10</v>
      </c>
      <c r="B11">
        <v>1</v>
      </c>
      <c r="C11">
        <v>20240103</v>
      </c>
      <c r="D11" t="s">
        <v>28</v>
      </c>
      <c r="E11" t="s">
        <v>21</v>
      </c>
      <c r="F11" t="s">
        <v>41</v>
      </c>
      <c r="G11" t="s">
        <v>30</v>
      </c>
      <c r="H11">
        <v>11587</v>
      </c>
      <c r="I11" t="s">
        <v>24</v>
      </c>
      <c r="J11">
        <v>4.14</v>
      </c>
      <c r="K11">
        <v>47970.18</v>
      </c>
      <c r="L11" t="s">
        <v>637</v>
      </c>
      <c r="M11" t="s">
        <v>649</v>
      </c>
      <c r="N11">
        <v>4.05</v>
      </c>
      <c r="O11" t="s">
        <v>27</v>
      </c>
      <c r="P11" t="s">
        <v>650</v>
      </c>
      <c r="Q11">
        <v>2</v>
      </c>
    </row>
    <row r="12" spans="1:19">
      <c r="A12">
        <v>11</v>
      </c>
      <c r="B12">
        <v>1</v>
      </c>
      <c r="C12">
        <v>20240103</v>
      </c>
      <c r="D12" t="s">
        <v>20</v>
      </c>
      <c r="E12" t="s">
        <v>21</v>
      </c>
      <c r="F12" t="s">
        <v>46</v>
      </c>
      <c r="G12" t="s">
        <v>633</v>
      </c>
      <c r="H12">
        <v>15427</v>
      </c>
      <c r="I12" t="s">
        <v>24</v>
      </c>
      <c r="J12">
        <v>7.46</v>
      </c>
      <c r="K12">
        <v>115085.42</v>
      </c>
      <c r="L12" t="s">
        <v>634</v>
      </c>
      <c r="N12">
        <v>4.93</v>
      </c>
      <c r="O12" t="s">
        <v>43</v>
      </c>
      <c r="P12" t="s">
        <v>651</v>
      </c>
      <c r="Q12">
        <v>1</v>
      </c>
      <c r="R12" t="s">
        <v>89</v>
      </c>
    </row>
    <row r="13" spans="1:19">
      <c r="A13">
        <v>12</v>
      </c>
      <c r="B13">
        <v>1</v>
      </c>
      <c r="C13">
        <v>20240104</v>
      </c>
      <c r="D13" t="s">
        <v>28</v>
      </c>
      <c r="E13" t="s">
        <v>21</v>
      </c>
      <c r="F13" t="s">
        <v>22</v>
      </c>
      <c r="G13" t="s">
        <v>37</v>
      </c>
      <c r="H13">
        <v>192</v>
      </c>
      <c r="I13" t="s">
        <v>24</v>
      </c>
      <c r="J13">
        <v>4.14</v>
      </c>
      <c r="K13">
        <v>794.88</v>
      </c>
      <c r="L13" t="s">
        <v>637</v>
      </c>
      <c r="M13" t="s">
        <v>652</v>
      </c>
      <c r="N13">
        <v>3.5473</v>
      </c>
      <c r="O13" t="s">
        <v>27</v>
      </c>
      <c r="P13" t="s">
        <v>653</v>
      </c>
      <c r="Q13">
        <v>4</v>
      </c>
    </row>
    <row r="14" spans="1:19">
      <c r="A14">
        <v>13</v>
      </c>
      <c r="B14">
        <v>1</v>
      </c>
      <c r="C14">
        <v>20240104</v>
      </c>
      <c r="D14" t="s">
        <v>28</v>
      </c>
      <c r="E14" t="s">
        <v>21</v>
      </c>
      <c r="F14" t="s">
        <v>22</v>
      </c>
      <c r="G14" t="s">
        <v>37</v>
      </c>
      <c r="H14">
        <v>5200</v>
      </c>
      <c r="I14" t="s">
        <v>24</v>
      </c>
      <c r="J14">
        <v>4.14</v>
      </c>
      <c r="K14">
        <v>21528</v>
      </c>
      <c r="L14" t="s">
        <v>637</v>
      </c>
      <c r="M14" t="s">
        <v>652</v>
      </c>
      <c r="N14">
        <v>4.062</v>
      </c>
      <c r="O14" t="s">
        <v>27</v>
      </c>
      <c r="P14" t="s">
        <v>653</v>
      </c>
      <c r="Q14">
        <v>3</v>
      </c>
    </row>
    <row r="15" spans="1:19">
      <c r="A15">
        <v>14</v>
      </c>
      <c r="B15">
        <v>1</v>
      </c>
      <c r="C15">
        <v>20240104</v>
      </c>
      <c r="D15" t="s">
        <v>28</v>
      </c>
      <c r="E15" t="s">
        <v>21</v>
      </c>
      <c r="F15" t="s">
        <v>22</v>
      </c>
      <c r="G15" t="s">
        <v>37</v>
      </c>
      <c r="H15">
        <v>6488</v>
      </c>
      <c r="I15" t="s">
        <v>24</v>
      </c>
      <c r="J15">
        <v>4.14</v>
      </c>
      <c r="K15">
        <v>26860.32</v>
      </c>
      <c r="L15" t="s">
        <v>654</v>
      </c>
      <c r="M15" t="s">
        <v>652</v>
      </c>
      <c r="N15">
        <v>4.036</v>
      </c>
      <c r="O15" t="s">
        <v>27</v>
      </c>
      <c r="P15" t="s">
        <v>653</v>
      </c>
      <c r="Q15">
        <v>2</v>
      </c>
    </row>
    <row r="16" spans="1:19">
      <c r="A16">
        <v>15</v>
      </c>
      <c r="B16">
        <v>1</v>
      </c>
      <c r="C16">
        <v>20240104</v>
      </c>
      <c r="D16" t="s">
        <v>28</v>
      </c>
      <c r="E16" t="s">
        <v>21</v>
      </c>
      <c r="F16" t="s">
        <v>22</v>
      </c>
      <c r="G16" t="s">
        <v>30</v>
      </c>
      <c r="H16">
        <v>900234</v>
      </c>
      <c r="I16" t="s">
        <v>24</v>
      </c>
      <c r="J16">
        <v>4.14</v>
      </c>
      <c r="K16">
        <v>3726968.76</v>
      </c>
      <c r="L16" t="s">
        <v>634</v>
      </c>
      <c r="M16" t="s">
        <v>652</v>
      </c>
      <c r="N16">
        <v>4.062</v>
      </c>
      <c r="O16" t="s">
        <v>27</v>
      </c>
      <c r="P16" t="s">
        <v>655</v>
      </c>
      <c r="Q16">
        <v>33</v>
      </c>
    </row>
    <row r="17" spans="1:17">
      <c r="A17">
        <v>16</v>
      </c>
      <c r="B17">
        <v>1</v>
      </c>
      <c r="C17">
        <v>20240104</v>
      </c>
      <c r="D17" t="s">
        <v>28</v>
      </c>
      <c r="E17" t="s">
        <v>21</v>
      </c>
      <c r="F17" t="s">
        <v>32</v>
      </c>
      <c r="G17" t="s">
        <v>30</v>
      </c>
      <c r="H17">
        <v>686724</v>
      </c>
      <c r="I17" t="s">
        <v>24</v>
      </c>
      <c r="J17">
        <v>4.14</v>
      </c>
      <c r="K17">
        <v>2843037.36</v>
      </c>
      <c r="L17" t="s">
        <v>634</v>
      </c>
      <c r="M17" t="s">
        <v>656</v>
      </c>
      <c r="N17">
        <v>4.015</v>
      </c>
      <c r="O17" t="s">
        <v>27</v>
      </c>
      <c r="P17" t="s">
        <v>657</v>
      </c>
      <c r="Q17">
        <v>83</v>
      </c>
    </row>
    <row r="18" spans="1:17">
      <c r="A18">
        <v>17</v>
      </c>
      <c r="B18">
        <v>1</v>
      </c>
      <c r="C18">
        <v>20240104</v>
      </c>
      <c r="D18" t="s">
        <v>28</v>
      </c>
      <c r="E18" t="s">
        <v>21</v>
      </c>
      <c r="F18" t="s">
        <v>32</v>
      </c>
      <c r="G18" t="s">
        <v>37</v>
      </c>
      <c r="H18">
        <v>1683</v>
      </c>
      <c r="I18" t="s">
        <v>24</v>
      </c>
      <c r="J18">
        <v>4.14</v>
      </c>
      <c r="K18">
        <v>6967.62</v>
      </c>
      <c r="L18" t="s">
        <v>654</v>
      </c>
      <c r="M18" t="s">
        <v>656</v>
      </c>
      <c r="N18">
        <v>4.015</v>
      </c>
      <c r="O18" t="s">
        <v>27</v>
      </c>
      <c r="P18" t="s">
        <v>658</v>
      </c>
      <c r="Q18">
        <v>5</v>
      </c>
    </row>
    <row r="19" spans="1:17">
      <c r="A19">
        <v>18</v>
      </c>
      <c r="B19">
        <v>1</v>
      </c>
      <c r="C19">
        <v>20240104</v>
      </c>
      <c r="D19" t="s">
        <v>28</v>
      </c>
      <c r="E19" t="s">
        <v>21</v>
      </c>
      <c r="F19" t="s">
        <v>32</v>
      </c>
      <c r="G19" t="s">
        <v>37</v>
      </c>
      <c r="H19">
        <v>1384</v>
      </c>
      <c r="I19" t="s">
        <v>24</v>
      </c>
      <c r="J19">
        <v>4.14</v>
      </c>
      <c r="K19">
        <v>5729.76</v>
      </c>
      <c r="L19" t="s">
        <v>637</v>
      </c>
      <c r="M19" t="s">
        <v>656</v>
      </c>
      <c r="N19">
        <v>4.015</v>
      </c>
      <c r="O19" t="s">
        <v>27</v>
      </c>
      <c r="P19" t="s">
        <v>658</v>
      </c>
      <c r="Q19">
        <v>1</v>
      </c>
    </row>
    <row r="20" spans="1:17">
      <c r="A20">
        <v>19</v>
      </c>
      <c r="B20">
        <v>1</v>
      </c>
      <c r="C20">
        <v>20240104</v>
      </c>
      <c r="D20" t="s">
        <v>28</v>
      </c>
      <c r="E20" t="s">
        <v>21</v>
      </c>
      <c r="F20" t="s">
        <v>32</v>
      </c>
      <c r="G20" t="s">
        <v>30</v>
      </c>
      <c r="H20">
        <v>563391</v>
      </c>
      <c r="I20" t="s">
        <v>24</v>
      </c>
      <c r="J20">
        <v>4.14</v>
      </c>
      <c r="K20">
        <v>2332438.74</v>
      </c>
      <c r="L20" t="s">
        <v>637</v>
      </c>
      <c r="M20" t="s">
        <v>656</v>
      </c>
      <c r="N20">
        <v>4.015</v>
      </c>
      <c r="O20" t="s">
        <v>27</v>
      </c>
      <c r="P20" t="s">
        <v>657</v>
      </c>
      <c r="Q20">
        <v>47</v>
      </c>
    </row>
    <row r="21" spans="1:17">
      <c r="A21">
        <v>20</v>
      </c>
      <c r="B21">
        <v>1</v>
      </c>
      <c r="C21">
        <v>20240104</v>
      </c>
      <c r="D21" t="s">
        <v>20</v>
      </c>
      <c r="E21" t="s">
        <v>21</v>
      </c>
      <c r="F21" t="s">
        <v>32</v>
      </c>
      <c r="G21" t="s">
        <v>640</v>
      </c>
      <c r="H21">
        <v>219823</v>
      </c>
      <c r="I21" t="s">
        <v>24</v>
      </c>
      <c r="J21">
        <v>5.47</v>
      </c>
      <c r="K21">
        <v>1202431.81</v>
      </c>
      <c r="L21" t="s">
        <v>634</v>
      </c>
      <c r="M21" t="s">
        <v>656</v>
      </c>
      <c r="N21">
        <v>5.0362</v>
      </c>
      <c r="O21" t="s">
        <v>27</v>
      </c>
      <c r="P21" t="s">
        <v>659</v>
      </c>
      <c r="Q21">
        <v>50</v>
      </c>
    </row>
    <row r="22" spans="1:17">
      <c r="A22">
        <v>21</v>
      </c>
      <c r="B22">
        <v>1</v>
      </c>
      <c r="C22">
        <v>20240105</v>
      </c>
      <c r="D22" t="s">
        <v>28</v>
      </c>
      <c r="E22" t="s">
        <v>21</v>
      </c>
      <c r="F22" t="s">
        <v>41</v>
      </c>
      <c r="G22" t="s">
        <v>30</v>
      </c>
      <c r="H22">
        <v>135904</v>
      </c>
      <c r="I22" t="s">
        <v>24</v>
      </c>
      <c r="J22">
        <v>4.14</v>
      </c>
      <c r="K22">
        <v>562642.56</v>
      </c>
      <c r="L22" t="s">
        <v>634</v>
      </c>
      <c r="N22">
        <v>4.05</v>
      </c>
      <c r="O22" t="s">
        <v>43</v>
      </c>
      <c r="P22" t="s">
        <v>660</v>
      </c>
      <c r="Q22">
        <v>14</v>
      </c>
    </row>
    <row r="23" spans="1:17">
      <c r="A23">
        <v>22</v>
      </c>
      <c r="B23">
        <v>1</v>
      </c>
      <c r="C23">
        <v>20240105</v>
      </c>
      <c r="D23" t="s">
        <v>28</v>
      </c>
      <c r="E23" t="s">
        <v>21</v>
      </c>
      <c r="F23" t="s">
        <v>41</v>
      </c>
      <c r="G23" t="s">
        <v>30</v>
      </c>
      <c r="H23">
        <v>59456</v>
      </c>
      <c r="I23" t="s">
        <v>24</v>
      </c>
      <c r="J23">
        <v>4.14</v>
      </c>
      <c r="K23">
        <v>246147.84</v>
      </c>
      <c r="L23" t="s">
        <v>637</v>
      </c>
      <c r="N23">
        <v>4.05</v>
      </c>
      <c r="O23" t="s">
        <v>43</v>
      </c>
      <c r="P23" t="s">
        <v>660</v>
      </c>
      <c r="Q23">
        <v>7</v>
      </c>
    </row>
    <row r="24" spans="1:17">
      <c r="A24">
        <v>23</v>
      </c>
      <c r="B24">
        <v>1</v>
      </c>
      <c r="C24">
        <v>20240105</v>
      </c>
      <c r="D24" t="s">
        <v>28</v>
      </c>
      <c r="E24" t="s">
        <v>21</v>
      </c>
      <c r="F24" t="s">
        <v>41</v>
      </c>
      <c r="G24" t="s">
        <v>30</v>
      </c>
      <c r="H24">
        <v>21504</v>
      </c>
      <c r="I24" t="s">
        <v>24</v>
      </c>
      <c r="J24">
        <v>4.14</v>
      </c>
      <c r="K24">
        <v>89026.56</v>
      </c>
      <c r="L24" t="s">
        <v>637</v>
      </c>
      <c r="N24">
        <v>4.05</v>
      </c>
      <c r="O24" t="s">
        <v>43</v>
      </c>
      <c r="P24" t="s">
        <v>660</v>
      </c>
      <c r="Q24">
        <v>8</v>
      </c>
    </row>
    <row r="25" spans="1:17">
      <c r="A25">
        <v>24</v>
      </c>
      <c r="B25">
        <v>1</v>
      </c>
      <c r="C25">
        <v>20240105</v>
      </c>
      <c r="D25" t="s">
        <v>28</v>
      </c>
      <c r="E25" t="s">
        <v>21</v>
      </c>
      <c r="F25" t="s">
        <v>32</v>
      </c>
      <c r="G25" t="s">
        <v>37</v>
      </c>
      <c r="H25">
        <v>16112</v>
      </c>
      <c r="I25" t="s">
        <v>24</v>
      </c>
      <c r="J25">
        <v>4.14</v>
      </c>
      <c r="K25">
        <v>66703.68</v>
      </c>
      <c r="L25" t="s">
        <v>634</v>
      </c>
      <c r="M25" t="s">
        <v>661</v>
      </c>
      <c r="N25">
        <v>4.015</v>
      </c>
      <c r="O25" t="s">
        <v>27</v>
      </c>
      <c r="P25" t="s">
        <v>662</v>
      </c>
      <c r="Q25">
        <v>6</v>
      </c>
    </row>
    <row r="26" spans="1:17">
      <c r="A26">
        <v>25</v>
      </c>
      <c r="B26">
        <v>1</v>
      </c>
      <c r="C26">
        <v>20240105</v>
      </c>
      <c r="D26" t="s">
        <v>28</v>
      </c>
      <c r="E26" t="s">
        <v>21</v>
      </c>
      <c r="F26" t="s">
        <v>32</v>
      </c>
      <c r="G26" t="s">
        <v>30</v>
      </c>
      <c r="H26">
        <v>744737</v>
      </c>
      <c r="I26" t="s">
        <v>24</v>
      </c>
      <c r="J26">
        <v>4.14</v>
      </c>
      <c r="K26">
        <v>3083211.18</v>
      </c>
      <c r="L26" t="s">
        <v>634</v>
      </c>
      <c r="M26" t="s">
        <v>661</v>
      </c>
      <c r="N26">
        <v>4.015</v>
      </c>
      <c r="O26" t="s">
        <v>27</v>
      </c>
      <c r="P26" t="s">
        <v>663</v>
      </c>
      <c r="Q26">
        <v>94</v>
      </c>
    </row>
    <row r="27" spans="1:17">
      <c r="A27">
        <v>26</v>
      </c>
      <c r="B27">
        <v>1</v>
      </c>
      <c r="C27">
        <v>20240105</v>
      </c>
      <c r="D27" t="s">
        <v>28</v>
      </c>
      <c r="E27" t="s">
        <v>21</v>
      </c>
      <c r="F27" t="s">
        <v>32</v>
      </c>
      <c r="G27" t="s">
        <v>37</v>
      </c>
      <c r="H27">
        <v>34928</v>
      </c>
      <c r="I27" t="s">
        <v>24</v>
      </c>
      <c r="J27">
        <v>4.14</v>
      </c>
      <c r="K27">
        <v>144601.92</v>
      </c>
      <c r="L27" t="s">
        <v>654</v>
      </c>
      <c r="M27" t="s">
        <v>661</v>
      </c>
      <c r="N27">
        <v>4.015</v>
      </c>
      <c r="O27" t="s">
        <v>27</v>
      </c>
      <c r="P27" t="s">
        <v>662</v>
      </c>
      <c r="Q27">
        <v>7</v>
      </c>
    </row>
    <row r="28" spans="1:17">
      <c r="A28">
        <v>27</v>
      </c>
      <c r="B28">
        <v>1</v>
      </c>
      <c r="C28">
        <v>20240105</v>
      </c>
      <c r="D28" t="s">
        <v>28</v>
      </c>
      <c r="E28" t="s">
        <v>21</v>
      </c>
      <c r="F28" t="s">
        <v>32</v>
      </c>
      <c r="G28" t="s">
        <v>30</v>
      </c>
      <c r="H28">
        <v>1096</v>
      </c>
      <c r="I28" t="s">
        <v>24</v>
      </c>
      <c r="J28">
        <v>4.14</v>
      </c>
      <c r="K28">
        <v>4537.44</v>
      </c>
      <c r="L28" t="s">
        <v>654</v>
      </c>
      <c r="M28" t="s">
        <v>661</v>
      </c>
      <c r="N28">
        <v>4.015</v>
      </c>
      <c r="O28" t="s">
        <v>27</v>
      </c>
      <c r="P28" t="s">
        <v>663</v>
      </c>
      <c r="Q28">
        <v>2</v>
      </c>
    </row>
    <row r="29" spans="1:17">
      <c r="A29">
        <v>28</v>
      </c>
      <c r="B29">
        <v>1</v>
      </c>
      <c r="C29">
        <v>20240105</v>
      </c>
      <c r="D29" t="s">
        <v>28</v>
      </c>
      <c r="E29" t="s">
        <v>21</v>
      </c>
      <c r="F29" t="s">
        <v>32</v>
      </c>
      <c r="G29" t="s">
        <v>37</v>
      </c>
      <c r="H29">
        <v>56558</v>
      </c>
      <c r="I29" t="s">
        <v>24</v>
      </c>
      <c r="J29">
        <v>4.14</v>
      </c>
      <c r="K29">
        <v>234150.12</v>
      </c>
      <c r="L29" t="s">
        <v>637</v>
      </c>
      <c r="M29" t="s">
        <v>661</v>
      </c>
      <c r="N29">
        <v>4.015</v>
      </c>
      <c r="O29" t="s">
        <v>27</v>
      </c>
      <c r="P29" t="s">
        <v>662</v>
      </c>
      <c r="Q29">
        <v>19</v>
      </c>
    </row>
    <row r="30" spans="1:17">
      <c r="A30">
        <v>29</v>
      </c>
      <c r="B30">
        <v>1</v>
      </c>
      <c r="C30">
        <v>20240105</v>
      </c>
      <c r="D30" t="s">
        <v>28</v>
      </c>
      <c r="E30" t="s">
        <v>21</v>
      </c>
      <c r="F30" t="s">
        <v>32</v>
      </c>
      <c r="G30" t="s">
        <v>30</v>
      </c>
      <c r="H30">
        <v>465919</v>
      </c>
      <c r="I30" t="s">
        <v>24</v>
      </c>
      <c r="J30">
        <v>4.14</v>
      </c>
      <c r="K30">
        <v>1928904.66</v>
      </c>
      <c r="L30" t="s">
        <v>637</v>
      </c>
      <c r="M30" t="s">
        <v>661</v>
      </c>
      <c r="N30">
        <v>4.015</v>
      </c>
      <c r="O30" t="s">
        <v>27</v>
      </c>
      <c r="P30" t="s">
        <v>663</v>
      </c>
      <c r="Q30">
        <v>57</v>
      </c>
    </row>
    <row r="31" spans="1:17">
      <c r="A31">
        <v>30</v>
      </c>
      <c r="B31">
        <v>1</v>
      </c>
      <c r="C31">
        <v>20240105</v>
      </c>
      <c r="D31" t="s">
        <v>28</v>
      </c>
      <c r="E31" t="s">
        <v>21</v>
      </c>
      <c r="F31" t="s">
        <v>32</v>
      </c>
      <c r="G31" t="s">
        <v>30</v>
      </c>
      <c r="H31">
        <v>20</v>
      </c>
      <c r="I31" t="s">
        <v>24</v>
      </c>
      <c r="J31">
        <v>4.14</v>
      </c>
      <c r="K31">
        <v>82.8</v>
      </c>
      <c r="L31" t="s">
        <v>637</v>
      </c>
      <c r="M31" t="s">
        <v>664</v>
      </c>
      <c r="N31">
        <v>4.015</v>
      </c>
      <c r="O31" t="s">
        <v>27</v>
      </c>
      <c r="P31" t="s">
        <v>663</v>
      </c>
      <c r="Q31">
        <v>4</v>
      </c>
    </row>
    <row r="32" spans="1:17">
      <c r="A32">
        <v>31</v>
      </c>
      <c r="B32">
        <v>1</v>
      </c>
      <c r="C32">
        <v>20240105</v>
      </c>
      <c r="D32" t="s">
        <v>20</v>
      </c>
      <c r="E32" t="s">
        <v>21</v>
      </c>
      <c r="F32" t="s">
        <v>32</v>
      </c>
      <c r="G32" t="s">
        <v>640</v>
      </c>
      <c r="H32">
        <v>177933</v>
      </c>
      <c r="I32" t="s">
        <v>24</v>
      </c>
      <c r="J32">
        <v>5.47</v>
      </c>
      <c r="K32">
        <v>973293.51</v>
      </c>
      <c r="L32" t="s">
        <v>634</v>
      </c>
      <c r="M32" t="s">
        <v>665</v>
      </c>
      <c r="N32">
        <v>5.0362</v>
      </c>
      <c r="O32" t="s">
        <v>27</v>
      </c>
      <c r="P32" t="s">
        <v>666</v>
      </c>
      <c r="Q32">
        <v>72</v>
      </c>
    </row>
    <row r="33" spans="1:18">
      <c r="A33">
        <v>32</v>
      </c>
      <c r="B33">
        <v>1</v>
      </c>
      <c r="C33">
        <v>20240106</v>
      </c>
      <c r="D33" t="s">
        <v>20</v>
      </c>
      <c r="E33" t="s">
        <v>21</v>
      </c>
      <c r="F33" t="s">
        <v>32</v>
      </c>
      <c r="G33" t="s">
        <v>50</v>
      </c>
      <c r="H33">
        <v>39361</v>
      </c>
      <c r="I33" t="s">
        <v>24</v>
      </c>
      <c r="J33">
        <v>5.53</v>
      </c>
      <c r="K33">
        <v>217666.33</v>
      </c>
      <c r="L33" t="s">
        <v>637</v>
      </c>
      <c r="N33">
        <v>4.7765</v>
      </c>
      <c r="O33" t="s">
        <v>27</v>
      </c>
      <c r="P33" t="s">
        <v>667</v>
      </c>
      <c r="Q33">
        <v>14</v>
      </c>
      <c r="R33">
        <v>7.024</v>
      </c>
    </row>
    <row r="34" spans="1:18">
      <c r="A34">
        <v>33</v>
      </c>
      <c r="B34">
        <v>1</v>
      </c>
      <c r="C34">
        <v>20240106</v>
      </c>
      <c r="D34" t="s">
        <v>20</v>
      </c>
      <c r="E34" t="s">
        <v>21</v>
      </c>
      <c r="F34" t="s">
        <v>32</v>
      </c>
      <c r="G34" t="s">
        <v>640</v>
      </c>
      <c r="H34">
        <v>76687</v>
      </c>
      <c r="I34" t="s">
        <v>24</v>
      </c>
      <c r="J34">
        <v>5.47</v>
      </c>
      <c r="K34">
        <v>419477.89</v>
      </c>
      <c r="L34" t="s">
        <v>634</v>
      </c>
      <c r="N34">
        <v>5.0362</v>
      </c>
      <c r="O34" t="s">
        <v>27</v>
      </c>
      <c r="P34" t="s">
        <v>668</v>
      </c>
      <c r="Q34">
        <v>44</v>
      </c>
      <c r="R34">
        <v>7.1094</v>
      </c>
    </row>
    <row r="35" spans="1:18">
      <c r="A35">
        <v>34</v>
      </c>
      <c r="B35">
        <v>1</v>
      </c>
      <c r="C35">
        <v>20240108</v>
      </c>
      <c r="D35" t="s">
        <v>20</v>
      </c>
      <c r="E35" t="s">
        <v>21</v>
      </c>
      <c r="F35" t="s">
        <v>46</v>
      </c>
      <c r="G35" t="s">
        <v>633</v>
      </c>
      <c r="H35">
        <v>25139</v>
      </c>
      <c r="I35" t="s">
        <v>24</v>
      </c>
      <c r="J35">
        <v>7.46</v>
      </c>
      <c r="K35">
        <v>187536.94</v>
      </c>
      <c r="L35" t="s">
        <v>634</v>
      </c>
      <c r="N35">
        <v>4.93</v>
      </c>
      <c r="O35" t="s">
        <v>43</v>
      </c>
      <c r="P35" t="s">
        <v>669</v>
      </c>
      <c r="Q35">
        <v>2</v>
      </c>
    </row>
    <row r="36" spans="1:18">
      <c r="A36">
        <v>35</v>
      </c>
      <c r="B36">
        <v>1</v>
      </c>
      <c r="C36">
        <v>20240108</v>
      </c>
      <c r="D36" t="s">
        <v>28</v>
      </c>
      <c r="E36" t="s">
        <v>21</v>
      </c>
      <c r="F36" t="s">
        <v>32</v>
      </c>
      <c r="G36" t="s">
        <v>30</v>
      </c>
      <c r="H36">
        <v>86607</v>
      </c>
      <c r="I36" t="s">
        <v>24</v>
      </c>
      <c r="J36">
        <v>4.14</v>
      </c>
      <c r="K36">
        <v>358552.98</v>
      </c>
      <c r="L36" t="s">
        <v>634</v>
      </c>
      <c r="N36">
        <v>4.015</v>
      </c>
      <c r="O36" t="s">
        <v>43</v>
      </c>
      <c r="P36" t="s">
        <v>670</v>
      </c>
      <c r="Q36">
        <v>25</v>
      </c>
    </row>
    <row r="37" spans="1:18">
      <c r="A37">
        <v>36</v>
      </c>
      <c r="B37">
        <v>1</v>
      </c>
      <c r="C37">
        <v>20240108</v>
      </c>
      <c r="D37" t="s">
        <v>28</v>
      </c>
      <c r="E37" t="s">
        <v>21</v>
      </c>
      <c r="F37" t="s">
        <v>32</v>
      </c>
      <c r="G37" t="s">
        <v>30</v>
      </c>
      <c r="H37">
        <v>362</v>
      </c>
      <c r="I37" t="s">
        <v>24</v>
      </c>
      <c r="J37">
        <v>4.14</v>
      </c>
      <c r="K37">
        <v>1498.68</v>
      </c>
      <c r="L37" t="s">
        <v>654</v>
      </c>
      <c r="N37">
        <v>4.015</v>
      </c>
      <c r="O37" t="s">
        <v>43</v>
      </c>
      <c r="P37" t="s">
        <v>670</v>
      </c>
      <c r="Q37">
        <v>2</v>
      </c>
    </row>
    <row r="38" spans="1:18">
      <c r="A38">
        <v>37</v>
      </c>
      <c r="B38">
        <v>1</v>
      </c>
      <c r="C38">
        <v>20240108</v>
      </c>
      <c r="D38" t="s">
        <v>28</v>
      </c>
      <c r="E38" t="s">
        <v>21</v>
      </c>
      <c r="F38" t="s">
        <v>32</v>
      </c>
      <c r="G38" t="s">
        <v>30</v>
      </c>
      <c r="H38">
        <v>49925</v>
      </c>
      <c r="I38" t="s">
        <v>24</v>
      </c>
      <c r="J38">
        <v>4.14</v>
      </c>
      <c r="K38">
        <v>206689.5</v>
      </c>
      <c r="L38" t="s">
        <v>637</v>
      </c>
      <c r="N38">
        <v>4.015</v>
      </c>
      <c r="O38" t="s">
        <v>43</v>
      </c>
      <c r="P38" t="s">
        <v>670</v>
      </c>
      <c r="Q38">
        <v>18</v>
      </c>
    </row>
    <row r="39" spans="1:18">
      <c r="A39">
        <v>38</v>
      </c>
      <c r="B39">
        <v>1</v>
      </c>
      <c r="C39">
        <v>20240108</v>
      </c>
      <c r="D39" t="s">
        <v>28</v>
      </c>
      <c r="E39" t="s">
        <v>21</v>
      </c>
      <c r="F39" t="s">
        <v>39</v>
      </c>
      <c r="G39" t="s">
        <v>40</v>
      </c>
      <c r="H39">
        <v>3</v>
      </c>
      <c r="I39" t="s">
        <v>24</v>
      </c>
      <c r="J39">
        <v>2106.81</v>
      </c>
      <c r="K39">
        <v>6320.43</v>
      </c>
      <c r="L39" t="s">
        <v>637</v>
      </c>
      <c r="N39">
        <v>1409.017</v>
      </c>
      <c r="O39" t="s">
        <v>43</v>
      </c>
      <c r="P39" t="s">
        <v>671</v>
      </c>
      <c r="Q39">
        <v>1</v>
      </c>
    </row>
    <row r="40" spans="1:18">
      <c r="A40">
        <v>39</v>
      </c>
      <c r="B40">
        <v>1</v>
      </c>
      <c r="C40">
        <v>20240108</v>
      </c>
      <c r="D40" t="s">
        <v>20</v>
      </c>
      <c r="E40" t="s">
        <v>21</v>
      </c>
      <c r="F40" t="s">
        <v>59</v>
      </c>
      <c r="G40" t="s">
        <v>47</v>
      </c>
      <c r="H40">
        <v>41152</v>
      </c>
      <c r="I40" t="s">
        <v>24</v>
      </c>
      <c r="J40">
        <v>7.46</v>
      </c>
      <c r="K40">
        <v>306993.92</v>
      </c>
      <c r="L40" t="s">
        <v>637</v>
      </c>
      <c r="N40">
        <v>5.135814</v>
      </c>
      <c r="O40" t="s">
        <v>43</v>
      </c>
      <c r="P40" t="s">
        <v>672</v>
      </c>
      <c r="Q40">
        <v>1</v>
      </c>
      <c r="R40">
        <v>5.2041</v>
      </c>
    </row>
    <row r="41" spans="1:18">
      <c r="A41">
        <v>40</v>
      </c>
      <c r="B41">
        <v>1</v>
      </c>
      <c r="C41">
        <v>20240108</v>
      </c>
      <c r="D41" t="s">
        <v>28</v>
      </c>
      <c r="E41" t="s">
        <v>21</v>
      </c>
      <c r="F41" t="s">
        <v>22</v>
      </c>
      <c r="G41" t="s">
        <v>37</v>
      </c>
      <c r="H41">
        <v>45172</v>
      </c>
      <c r="I41" t="s">
        <v>24</v>
      </c>
      <c r="J41">
        <v>4.14</v>
      </c>
      <c r="K41">
        <v>187012.08</v>
      </c>
      <c r="L41" t="s">
        <v>637</v>
      </c>
      <c r="M41" t="s">
        <v>673</v>
      </c>
      <c r="N41">
        <v>4.0727</v>
      </c>
      <c r="O41" t="s">
        <v>27</v>
      </c>
      <c r="P41" t="s">
        <v>674</v>
      </c>
      <c r="Q41">
        <v>9</v>
      </c>
    </row>
    <row r="42" spans="1:18">
      <c r="A42">
        <v>41</v>
      </c>
      <c r="B42">
        <v>1</v>
      </c>
      <c r="C42">
        <v>20240108</v>
      </c>
      <c r="D42" t="s">
        <v>28</v>
      </c>
      <c r="E42" t="s">
        <v>21</v>
      </c>
      <c r="F42" t="s">
        <v>22</v>
      </c>
      <c r="G42" t="s">
        <v>37</v>
      </c>
      <c r="H42">
        <v>64314</v>
      </c>
      <c r="I42" t="s">
        <v>24</v>
      </c>
      <c r="J42">
        <v>4.14</v>
      </c>
      <c r="K42">
        <v>266259.96</v>
      </c>
      <c r="L42" t="s">
        <v>637</v>
      </c>
      <c r="M42" t="s">
        <v>673</v>
      </c>
      <c r="N42">
        <v>3.5873</v>
      </c>
      <c r="O42" t="s">
        <v>27</v>
      </c>
      <c r="P42" t="s">
        <v>674</v>
      </c>
      <c r="Q42">
        <v>11</v>
      </c>
    </row>
    <row r="43" spans="1:18">
      <c r="A43">
        <v>42</v>
      </c>
      <c r="B43">
        <v>1</v>
      </c>
      <c r="C43">
        <v>20240108</v>
      </c>
      <c r="D43" t="s">
        <v>28</v>
      </c>
      <c r="E43" t="s">
        <v>21</v>
      </c>
      <c r="F43" t="s">
        <v>22</v>
      </c>
      <c r="G43" t="s">
        <v>37</v>
      </c>
      <c r="H43">
        <v>538</v>
      </c>
      <c r="I43" t="s">
        <v>24</v>
      </c>
      <c r="J43">
        <v>4.14</v>
      </c>
      <c r="K43">
        <v>2227.32</v>
      </c>
      <c r="L43" t="s">
        <v>637</v>
      </c>
      <c r="M43" t="s">
        <v>673</v>
      </c>
      <c r="N43">
        <v>3.5473</v>
      </c>
      <c r="O43" t="s">
        <v>27</v>
      </c>
      <c r="P43" t="s">
        <v>674</v>
      </c>
      <c r="Q43">
        <v>5</v>
      </c>
    </row>
    <row r="44" spans="1:18">
      <c r="A44">
        <v>43</v>
      </c>
      <c r="B44">
        <v>1</v>
      </c>
      <c r="C44">
        <v>20240108</v>
      </c>
      <c r="D44" t="s">
        <v>28</v>
      </c>
      <c r="E44" t="s">
        <v>21</v>
      </c>
      <c r="F44" t="s">
        <v>22</v>
      </c>
      <c r="G44" t="s">
        <v>30</v>
      </c>
      <c r="H44">
        <v>286358</v>
      </c>
      <c r="I44" t="s">
        <v>24</v>
      </c>
      <c r="J44">
        <v>4.14</v>
      </c>
      <c r="K44">
        <v>1185522.12</v>
      </c>
      <c r="L44" t="s">
        <v>637</v>
      </c>
      <c r="M44" t="s">
        <v>673</v>
      </c>
      <c r="N44">
        <v>3.5844</v>
      </c>
      <c r="O44" t="s">
        <v>27</v>
      </c>
      <c r="P44" t="s">
        <v>675</v>
      </c>
      <c r="Q44">
        <v>12</v>
      </c>
    </row>
    <row r="45" spans="1:18">
      <c r="A45">
        <v>44</v>
      </c>
      <c r="B45">
        <v>1</v>
      </c>
      <c r="C45">
        <v>20240108</v>
      </c>
      <c r="D45" t="s">
        <v>28</v>
      </c>
      <c r="E45" t="s">
        <v>21</v>
      </c>
      <c r="F45" t="s">
        <v>22</v>
      </c>
      <c r="G45" t="s">
        <v>30</v>
      </c>
      <c r="H45">
        <v>55079</v>
      </c>
      <c r="I45" t="s">
        <v>24</v>
      </c>
      <c r="J45">
        <v>4.14</v>
      </c>
      <c r="K45">
        <v>228027.06</v>
      </c>
      <c r="L45" t="s">
        <v>637</v>
      </c>
      <c r="M45" t="s">
        <v>673</v>
      </c>
      <c r="N45">
        <v>3.5065</v>
      </c>
      <c r="O45" t="s">
        <v>27</v>
      </c>
      <c r="P45" t="s">
        <v>675</v>
      </c>
      <c r="Q45">
        <v>4</v>
      </c>
    </row>
    <row r="46" spans="1:18">
      <c r="A46">
        <v>45</v>
      </c>
      <c r="B46">
        <v>1</v>
      </c>
      <c r="C46">
        <v>20240108</v>
      </c>
      <c r="D46" t="s">
        <v>28</v>
      </c>
      <c r="E46" t="s">
        <v>21</v>
      </c>
      <c r="F46" t="s">
        <v>22</v>
      </c>
      <c r="G46" t="s">
        <v>37</v>
      </c>
      <c r="H46">
        <v>30981</v>
      </c>
      <c r="I46" t="s">
        <v>24</v>
      </c>
      <c r="J46">
        <v>4.14</v>
      </c>
      <c r="K46">
        <v>128261.34</v>
      </c>
      <c r="L46" t="s">
        <v>634</v>
      </c>
      <c r="M46" t="s">
        <v>673</v>
      </c>
      <c r="N46">
        <v>4.0825</v>
      </c>
      <c r="O46" t="s">
        <v>27</v>
      </c>
      <c r="P46" t="s">
        <v>674</v>
      </c>
      <c r="Q46">
        <v>12</v>
      </c>
    </row>
    <row r="47" spans="1:18">
      <c r="A47">
        <v>46</v>
      </c>
      <c r="B47">
        <v>1</v>
      </c>
      <c r="C47">
        <v>20240108</v>
      </c>
      <c r="D47" t="s">
        <v>28</v>
      </c>
      <c r="E47" t="s">
        <v>21</v>
      </c>
      <c r="F47" t="s">
        <v>22</v>
      </c>
      <c r="G47" t="s">
        <v>30</v>
      </c>
      <c r="H47">
        <v>1179037</v>
      </c>
      <c r="I47" t="s">
        <v>24</v>
      </c>
      <c r="J47">
        <v>4.14</v>
      </c>
      <c r="K47">
        <v>4881213.18</v>
      </c>
      <c r="L47" t="s">
        <v>634</v>
      </c>
      <c r="M47" t="s">
        <v>673</v>
      </c>
      <c r="N47">
        <v>4.064</v>
      </c>
      <c r="O47" t="s">
        <v>27</v>
      </c>
      <c r="P47" t="s">
        <v>675</v>
      </c>
      <c r="Q47">
        <v>49</v>
      </c>
    </row>
    <row r="48" spans="1:18">
      <c r="A48">
        <v>47</v>
      </c>
      <c r="B48">
        <v>1</v>
      </c>
      <c r="C48">
        <v>20240108</v>
      </c>
      <c r="D48" t="s">
        <v>28</v>
      </c>
      <c r="E48" t="s">
        <v>21</v>
      </c>
      <c r="F48" t="s">
        <v>22</v>
      </c>
      <c r="G48" t="s">
        <v>37</v>
      </c>
      <c r="H48">
        <v>11756</v>
      </c>
      <c r="I48" t="s">
        <v>24</v>
      </c>
      <c r="J48">
        <v>4.14</v>
      </c>
      <c r="K48">
        <v>48669.84</v>
      </c>
      <c r="L48" t="s">
        <v>654</v>
      </c>
      <c r="M48" t="s">
        <v>673</v>
      </c>
      <c r="N48">
        <v>4.036</v>
      </c>
      <c r="O48" t="s">
        <v>27</v>
      </c>
      <c r="P48" t="s">
        <v>674</v>
      </c>
      <c r="Q48">
        <v>4</v>
      </c>
    </row>
    <row r="49" spans="1:18">
      <c r="A49">
        <v>48</v>
      </c>
      <c r="B49">
        <v>1</v>
      </c>
      <c r="C49">
        <v>20240108</v>
      </c>
      <c r="D49" t="s">
        <v>20</v>
      </c>
      <c r="E49" t="s">
        <v>21</v>
      </c>
      <c r="F49" t="s">
        <v>32</v>
      </c>
      <c r="G49" t="s">
        <v>640</v>
      </c>
      <c r="H49">
        <v>272620</v>
      </c>
      <c r="I49" t="s">
        <v>24</v>
      </c>
      <c r="J49">
        <v>5.47</v>
      </c>
      <c r="K49">
        <v>1491231.4</v>
      </c>
      <c r="L49" t="s">
        <v>634</v>
      </c>
      <c r="N49">
        <v>5.0362</v>
      </c>
      <c r="O49" t="s">
        <v>43</v>
      </c>
      <c r="P49" t="s">
        <v>676</v>
      </c>
      <c r="Q49">
        <v>57</v>
      </c>
      <c r="R49">
        <v>7.1094</v>
      </c>
    </row>
    <row r="50" spans="1:18">
      <c r="A50">
        <v>49</v>
      </c>
      <c r="B50">
        <v>1</v>
      </c>
      <c r="C50">
        <v>20240108</v>
      </c>
      <c r="D50" t="s">
        <v>28</v>
      </c>
      <c r="E50" t="s">
        <v>21</v>
      </c>
      <c r="F50" t="s">
        <v>41</v>
      </c>
      <c r="G50" t="s">
        <v>30</v>
      </c>
      <c r="H50">
        <v>20455</v>
      </c>
      <c r="I50" t="s">
        <v>24</v>
      </c>
      <c r="J50">
        <v>4.14</v>
      </c>
      <c r="K50">
        <v>84683.7</v>
      </c>
      <c r="L50" t="s">
        <v>637</v>
      </c>
      <c r="N50">
        <v>4.05</v>
      </c>
      <c r="O50" t="s">
        <v>43</v>
      </c>
      <c r="P50" t="s">
        <v>677</v>
      </c>
      <c r="Q50">
        <v>8</v>
      </c>
    </row>
    <row r="51" spans="1:18">
      <c r="A51">
        <v>50</v>
      </c>
      <c r="B51">
        <v>1</v>
      </c>
      <c r="C51">
        <v>20240108</v>
      </c>
      <c r="D51" t="s">
        <v>28</v>
      </c>
      <c r="E51" t="s">
        <v>21</v>
      </c>
      <c r="F51" t="s">
        <v>41</v>
      </c>
      <c r="G51" t="s">
        <v>37</v>
      </c>
      <c r="H51">
        <v>517</v>
      </c>
      <c r="I51" t="s">
        <v>24</v>
      </c>
      <c r="J51">
        <v>4.14</v>
      </c>
      <c r="K51">
        <v>2140.38</v>
      </c>
      <c r="L51" t="s">
        <v>637</v>
      </c>
      <c r="N51">
        <v>4.05</v>
      </c>
      <c r="O51" t="s">
        <v>43</v>
      </c>
      <c r="P51" t="s">
        <v>678</v>
      </c>
      <c r="Q51">
        <v>1</v>
      </c>
    </row>
    <row r="52" spans="1:18">
      <c r="A52">
        <v>51</v>
      </c>
      <c r="B52">
        <v>1</v>
      </c>
      <c r="C52">
        <v>20240108</v>
      </c>
      <c r="D52" t="s">
        <v>28</v>
      </c>
      <c r="E52" t="s">
        <v>21</v>
      </c>
      <c r="F52" t="s">
        <v>41</v>
      </c>
      <c r="G52" t="s">
        <v>30</v>
      </c>
      <c r="H52">
        <v>3242</v>
      </c>
      <c r="I52" t="s">
        <v>24</v>
      </c>
      <c r="J52">
        <v>4.14</v>
      </c>
      <c r="K52">
        <v>13421.88</v>
      </c>
      <c r="L52" t="s">
        <v>634</v>
      </c>
      <c r="N52">
        <v>4.05</v>
      </c>
      <c r="O52" t="s">
        <v>43</v>
      </c>
      <c r="P52" t="s">
        <v>677</v>
      </c>
      <c r="Q52">
        <v>1</v>
      </c>
    </row>
    <row r="53" spans="1:18">
      <c r="A53">
        <v>52</v>
      </c>
      <c r="B53">
        <v>1</v>
      </c>
      <c r="C53">
        <v>20240108</v>
      </c>
      <c r="D53" t="s">
        <v>28</v>
      </c>
      <c r="E53" t="s">
        <v>21</v>
      </c>
      <c r="F53" t="s">
        <v>41</v>
      </c>
      <c r="G53" t="s">
        <v>30</v>
      </c>
      <c r="H53">
        <v>6767</v>
      </c>
      <c r="I53" t="s">
        <v>24</v>
      </c>
      <c r="J53">
        <v>4.14</v>
      </c>
      <c r="K53">
        <v>28015.38</v>
      </c>
      <c r="L53" t="s">
        <v>634</v>
      </c>
      <c r="N53">
        <v>4.05</v>
      </c>
      <c r="O53" t="s">
        <v>43</v>
      </c>
      <c r="P53" t="s">
        <v>677</v>
      </c>
      <c r="Q53">
        <v>6</v>
      </c>
    </row>
    <row r="54" spans="1:18">
      <c r="A54">
        <v>53</v>
      </c>
      <c r="B54">
        <v>1</v>
      </c>
      <c r="C54">
        <v>20240108</v>
      </c>
      <c r="D54" t="s">
        <v>28</v>
      </c>
      <c r="E54" t="s">
        <v>21</v>
      </c>
      <c r="F54" t="s">
        <v>41</v>
      </c>
      <c r="G54" t="s">
        <v>37</v>
      </c>
      <c r="H54">
        <v>396</v>
      </c>
      <c r="I54" t="s">
        <v>24</v>
      </c>
      <c r="J54">
        <v>4.14</v>
      </c>
      <c r="K54">
        <v>1639.44</v>
      </c>
      <c r="L54" t="s">
        <v>634</v>
      </c>
      <c r="N54">
        <v>4.05</v>
      </c>
      <c r="O54" t="s">
        <v>43</v>
      </c>
      <c r="P54" t="s">
        <v>678</v>
      </c>
      <c r="Q54">
        <v>1</v>
      </c>
    </row>
    <row r="55" spans="1:18">
      <c r="A55">
        <v>54</v>
      </c>
      <c r="B55">
        <v>1</v>
      </c>
      <c r="C55">
        <v>20240108</v>
      </c>
      <c r="D55" t="s">
        <v>28</v>
      </c>
      <c r="E55" t="s">
        <v>21</v>
      </c>
      <c r="F55" t="s">
        <v>41</v>
      </c>
      <c r="G55" t="s">
        <v>30</v>
      </c>
      <c r="H55">
        <v>7601</v>
      </c>
      <c r="I55" t="s">
        <v>24</v>
      </c>
      <c r="J55">
        <v>4.14</v>
      </c>
      <c r="K55">
        <v>31468.14</v>
      </c>
      <c r="L55" t="s">
        <v>637</v>
      </c>
      <c r="N55">
        <v>4.05</v>
      </c>
      <c r="O55" t="s">
        <v>43</v>
      </c>
      <c r="P55" t="s">
        <v>677</v>
      </c>
      <c r="Q55">
        <v>5</v>
      </c>
    </row>
    <row r="56" spans="1:18">
      <c r="A56">
        <v>55</v>
      </c>
      <c r="B56">
        <v>1</v>
      </c>
      <c r="C56">
        <v>20240108</v>
      </c>
      <c r="D56" t="s">
        <v>28</v>
      </c>
      <c r="E56" t="s">
        <v>21</v>
      </c>
      <c r="F56" t="s">
        <v>41</v>
      </c>
      <c r="G56" t="s">
        <v>37</v>
      </c>
      <c r="H56">
        <v>2219</v>
      </c>
      <c r="I56" t="s">
        <v>24</v>
      </c>
      <c r="J56">
        <v>4.14</v>
      </c>
      <c r="K56">
        <v>9186.66</v>
      </c>
      <c r="L56" t="s">
        <v>637</v>
      </c>
      <c r="N56">
        <v>4.05</v>
      </c>
      <c r="O56" t="s">
        <v>43</v>
      </c>
      <c r="P56" t="s">
        <v>678</v>
      </c>
      <c r="Q56">
        <v>4</v>
      </c>
    </row>
    <row r="57" spans="1:18">
      <c r="A57">
        <v>56</v>
      </c>
      <c r="B57">
        <v>1</v>
      </c>
      <c r="C57">
        <v>20240108</v>
      </c>
      <c r="D57" t="s">
        <v>28</v>
      </c>
      <c r="E57" t="s">
        <v>21</v>
      </c>
      <c r="F57" t="s">
        <v>41</v>
      </c>
      <c r="G57" t="s">
        <v>30</v>
      </c>
      <c r="H57">
        <v>23801</v>
      </c>
      <c r="I57" t="s">
        <v>24</v>
      </c>
      <c r="J57">
        <v>4.14</v>
      </c>
      <c r="K57">
        <v>98536.14</v>
      </c>
      <c r="L57" t="s">
        <v>637</v>
      </c>
      <c r="N57">
        <v>4.05</v>
      </c>
      <c r="O57" t="s">
        <v>43</v>
      </c>
      <c r="P57" t="s">
        <v>677</v>
      </c>
      <c r="Q57">
        <v>5</v>
      </c>
    </row>
    <row r="58" spans="1:18">
      <c r="A58">
        <v>57</v>
      </c>
      <c r="B58">
        <v>1</v>
      </c>
      <c r="C58">
        <v>20240109</v>
      </c>
      <c r="D58" t="s">
        <v>28</v>
      </c>
      <c r="E58" t="s">
        <v>21</v>
      </c>
      <c r="F58" t="s">
        <v>29</v>
      </c>
      <c r="G58" t="s">
        <v>679</v>
      </c>
      <c r="H58">
        <v>344224</v>
      </c>
      <c r="I58" t="s">
        <v>24</v>
      </c>
      <c r="J58">
        <v>4.53</v>
      </c>
      <c r="K58">
        <v>1559334.72</v>
      </c>
      <c r="L58" t="s">
        <v>634</v>
      </c>
      <c r="N58">
        <v>4.44</v>
      </c>
      <c r="O58" t="s">
        <v>43</v>
      </c>
      <c r="P58" t="s">
        <v>680</v>
      </c>
      <c r="Q58">
        <v>39</v>
      </c>
    </row>
    <row r="59" spans="1:18">
      <c r="A59">
        <v>58</v>
      </c>
      <c r="B59">
        <v>1</v>
      </c>
      <c r="C59">
        <v>20240109</v>
      </c>
      <c r="D59" t="s">
        <v>28</v>
      </c>
      <c r="E59" t="s">
        <v>21</v>
      </c>
      <c r="F59" t="s">
        <v>29</v>
      </c>
      <c r="G59" t="s">
        <v>679</v>
      </c>
      <c r="H59">
        <v>543589</v>
      </c>
      <c r="I59" t="s">
        <v>24</v>
      </c>
      <c r="J59">
        <v>4.53</v>
      </c>
      <c r="K59">
        <v>2462458.17</v>
      </c>
      <c r="L59" t="s">
        <v>634</v>
      </c>
      <c r="N59">
        <v>4.44</v>
      </c>
      <c r="O59" t="s">
        <v>43</v>
      </c>
      <c r="P59" t="s">
        <v>680</v>
      </c>
      <c r="Q59">
        <v>54</v>
      </c>
    </row>
    <row r="60" spans="1:18">
      <c r="A60">
        <v>59</v>
      </c>
      <c r="B60">
        <v>1</v>
      </c>
      <c r="C60">
        <v>20240109</v>
      </c>
      <c r="D60" t="s">
        <v>28</v>
      </c>
      <c r="E60" t="s">
        <v>21</v>
      </c>
      <c r="F60" t="s">
        <v>29</v>
      </c>
      <c r="G60" t="s">
        <v>679</v>
      </c>
      <c r="H60">
        <v>667361</v>
      </c>
      <c r="I60" t="s">
        <v>24</v>
      </c>
      <c r="J60">
        <v>4.53</v>
      </c>
      <c r="K60">
        <v>3023145.33</v>
      </c>
      <c r="L60" t="s">
        <v>634</v>
      </c>
      <c r="N60">
        <v>4.44</v>
      </c>
      <c r="O60" t="s">
        <v>43</v>
      </c>
      <c r="P60" t="s">
        <v>680</v>
      </c>
      <c r="Q60">
        <v>122</v>
      </c>
    </row>
    <row r="61" spans="1:18">
      <c r="A61">
        <v>60</v>
      </c>
      <c r="B61">
        <v>1</v>
      </c>
      <c r="C61">
        <v>20240109</v>
      </c>
      <c r="D61" t="s">
        <v>28</v>
      </c>
      <c r="E61" t="s">
        <v>21</v>
      </c>
      <c r="F61" t="s">
        <v>32</v>
      </c>
      <c r="G61" t="s">
        <v>99</v>
      </c>
      <c r="H61">
        <v>9587</v>
      </c>
      <c r="I61" t="s">
        <v>24</v>
      </c>
      <c r="J61">
        <v>4.14</v>
      </c>
      <c r="K61">
        <v>39690.18</v>
      </c>
      <c r="L61" t="s">
        <v>634</v>
      </c>
      <c r="M61" t="s">
        <v>681</v>
      </c>
      <c r="N61">
        <v>4.015</v>
      </c>
      <c r="O61" t="s">
        <v>27</v>
      </c>
      <c r="P61" t="s">
        <v>682</v>
      </c>
      <c r="Q61">
        <v>2</v>
      </c>
    </row>
    <row r="62" spans="1:18">
      <c r="A62">
        <v>61</v>
      </c>
      <c r="B62">
        <v>1</v>
      </c>
      <c r="C62">
        <v>20240109</v>
      </c>
      <c r="D62" t="s">
        <v>28</v>
      </c>
      <c r="E62" t="s">
        <v>21</v>
      </c>
      <c r="F62" t="s">
        <v>32</v>
      </c>
      <c r="G62" t="s">
        <v>679</v>
      </c>
      <c r="H62">
        <v>138941</v>
      </c>
      <c r="I62" t="s">
        <v>24</v>
      </c>
      <c r="J62">
        <v>4.14</v>
      </c>
      <c r="K62">
        <v>575215.74</v>
      </c>
      <c r="L62" t="s">
        <v>634</v>
      </c>
      <c r="M62" t="s">
        <v>681</v>
      </c>
      <c r="N62">
        <v>4.021</v>
      </c>
      <c r="O62" t="s">
        <v>27</v>
      </c>
      <c r="P62" t="s">
        <v>683</v>
      </c>
      <c r="Q62">
        <v>133</v>
      </c>
    </row>
    <row r="63" spans="1:18">
      <c r="A63">
        <v>62</v>
      </c>
      <c r="B63">
        <v>1</v>
      </c>
      <c r="C63">
        <v>20240109</v>
      </c>
      <c r="D63" t="s">
        <v>28</v>
      </c>
      <c r="E63" t="s">
        <v>21</v>
      </c>
      <c r="F63" t="s">
        <v>32</v>
      </c>
      <c r="G63" t="s">
        <v>679</v>
      </c>
      <c r="H63">
        <v>2521</v>
      </c>
      <c r="I63" t="s">
        <v>24</v>
      </c>
      <c r="J63">
        <v>4.14</v>
      </c>
      <c r="K63">
        <v>10436.94</v>
      </c>
      <c r="L63" t="s">
        <v>634</v>
      </c>
      <c r="M63" t="s">
        <v>681</v>
      </c>
      <c r="N63">
        <v>4.015</v>
      </c>
      <c r="O63" t="s">
        <v>27</v>
      </c>
      <c r="P63" t="s">
        <v>683</v>
      </c>
    </row>
    <row r="64" spans="1:18">
      <c r="A64">
        <v>63</v>
      </c>
      <c r="B64">
        <v>1</v>
      </c>
      <c r="C64">
        <v>20240109</v>
      </c>
      <c r="D64" t="s">
        <v>28</v>
      </c>
      <c r="E64" t="s">
        <v>21</v>
      </c>
      <c r="F64" t="s">
        <v>32</v>
      </c>
      <c r="G64" t="s">
        <v>37</v>
      </c>
      <c r="H64">
        <v>590</v>
      </c>
      <c r="I64" t="s">
        <v>24</v>
      </c>
      <c r="J64">
        <v>4.14</v>
      </c>
      <c r="K64">
        <v>2442.6</v>
      </c>
      <c r="L64" t="s">
        <v>637</v>
      </c>
      <c r="M64" t="s">
        <v>681</v>
      </c>
      <c r="N64">
        <v>4.015</v>
      </c>
      <c r="O64" t="s">
        <v>27</v>
      </c>
      <c r="P64" t="s">
        <v>684</v>
      </c>
      <c r="Q64">
        <v>1</v>
      </c>
    </row>
    <row r="65" spans="1:18">
      <c r="A65">
        <v>64</v>
      </c>
      <c r="B65">
        <v>1</v>
      </c>
      <c r="C65">
        <v>20240109</v>
      </c>
      <c r="D65" t="s">
        <v>28</v>
      </c>
      <c r="E65" t="s">
        <v>21</v>
      </c>
      <c r="F65" t="s">
        <v>32</v>
      </c>
      <c r="G65" t="s">
        <v>30</v>
      </c>
      <c r="H65">
        <v>80466</v>
      </c>
      <c r="I65" t="s">
        <v>24</v>
      </c>
      <c r="J65">
        <v>4.14</v>
      </c>
      <c r="K65">
        <v>333129.24</v>
      </c>
      <c r="L65" t="s">
        <v>637</v>
      </c>
      <c r="M65" t="s">
        <v>681</v>
      </c>
      <c r="N65">
        <v>4.015</v>
      </c>
      <c r="O65" t="s">
        <v>27</v>
      </c>
      <c r="P65" t="s">
        <v>685</v>
      </c>
      <c r="Q65">
        <v>6</v>
      </c>
    </row>
    <row r="66" spans="1:18">
      <c r="A66">
        <v>65</v>
      </c>
      <c r="B66">
        <v>1</v>
      </c>
      <c r="C66">
        <v>20240109</v>
      </c>
      <c r="D66" t="s">
        <v>20</v>
      </c>
      <c r="E66" t="s">
        <v>21</v>
      </c>
      <c r="F66" t="s">
        <v>32</v>
      </c>
      <c r="G66" t="s">
        <v>50</v>
      </c>
      <c r="H66">
        <v>74105</v>
      </c>
      <c r="I66" t="s">
        <v>24</v>
      </c>
      <c r="J66">
        <v>5.53</v>
      </c>
      <c r="K66">
        <v>409800.65</v>
      </c>
      <c r="L66" t="s">
        <v>637</v>
      </c>
      <c r="M66" t="s">
        <v>686</v>
      </c>
      <c r="N66">
        <v>4.7765</v>
      </c>
      <c r="O66" t="s">
        <v>27</v>
      </c>
      <c r="P66" t="s">
        <v>687</v>
      </c>
      <c r="Q66">
        <v>23</v>
      </c>
      <c r="R66">
        <v>7.024</v>
      </c>
    </row>
    <row r="67" spans="1:18">
      <c r="A67">
        <v>66</v>
      </c>
      <c r="B67">
        <v>1</v>
      </c>
      <c r="C67">
        <v>20240109</v>
      </c>
      <c r="D67" t="s">
        <v>20</v>
      </c>
      <c r="E67" t="s">
        <v>21</v>
      </c>
      <c r="F67" t="s">
        <v>32</v>
      </c>
      <c r="G67" t="s">
        <v>640</v>
      </c>
      <c r="H67">
        <v>296977</v>
      </c>
      <c r="I67" t="s">
        <v>24</v>
      </c>
      <c r="J67">
        <v>5.47</v>
      </c>
      <c r="K67">
        <v>1624464.19</v>
      </c>
      <c r="L67" t="s">
        <v>634</v>
      </c>
      <c r="M67" t="s">
        <v>686</v>
      </c>
      <c r="N67">
        <v>5.0362</v>
      </c>
      <c r="O67" t="s">
        <v>27</v>
      </c>
      <c r="P67" t="s">
        <v>688</v>
      </c>
      <c r="Q67">
        <v>32</v>
      </c>
      <c r="R67">
        <v>7.1094</v>
      </c>
    </row>
    <row r="68" spans="1:18">
      <c r="A68">
        <v>67</v>
      </c>
      <c r="B68">
        <v>1</v>
      </c>
      <c r="C68">
        <v>20240109</v>
      </c>
      <c r="D68" t="s">
        <v>28</v>
      </c>
      <c r="E68" t="s">
        <v>21</v>
      </c>
      <c r="F68" t="s">
        <v>22</v>
      </c>
      <c r="G68" t="s">
        <v>99</v>
      </c>
      <c r="H68">
        <v>1041</v>
      </c>
      <c r="I68" t="s">
        <v>24</v>
      </c>
      <c r="J68">
        <v>4.14</v>
      </c>
      <c r="K68">
        <v>4309.74</v>
      </c>
      <c r="L68" t="s">
        <v>634</v>
      </c>
      <c r="M68" t="s">
        <v>689</v>
      </c>
      <c r="N68">
        <v>4.0295</v>
      </c>
      <c r="O68" t="s">
        <v>27</v>
      </c>
      <c r="P68" t="s">
        <v>690</v>
      </c>
      <c r="Q68">
        <v>2</v>
      </c>
    </row>
    <row r="69" spans="1:18">
      <c r="A69">
        <v>68</v>
      </c>
      <c r="B69">
        <v>1</v>
      </c>
      <c r="C69">
        <v>20240109</v>
      </c>
      <c r="D69" t="s">
        <v>28</v>
      </c>
      <c r="E69" t="s">
        <v>21</v>
      </c>
      <c r="F69" t="s">
        <v>22</v>
      </c>
      <c r="G69" t="s">
        <v>37</v>
      </c>
      <c r="H69">
        <v>5089</v>
      </c>
      <c r="I69" t="s">
        <v>24</v>
      </c>
      <c r="J69">
        <v>4.14</v>
      </c>
      <c r="K69">
        <v>21068.46</v>
      </c>
      <c r="L69" t="s">
        <v>634</v>
      </c>
      <c r="M69" t="s">
        <v>689</v>
      </c>
      <c r="N69">
        <v>4.0815</v>
      </c>
      <c r="O69" t="s">
        <v>27</v>
      </c>
      <c r="P69" t="s">
        <v>691</v>
      </c>
      <c r="Q69">
        <v>10</v>
      </c>
    </row>
    <row r="70" spans="1:18">
      <c r="A70">
        <v>69</v>
      </c>
      <c r="B70">
        <v>1</v>
      </c>
      <c r="C70">
        <v>20240109</v>
      </c>
      <c r="D70" t="s">
        <v>28</v>
      </c>
      <c r="E70" t="s">
        <v>21</v>
      </c>
      <c r="F70" t="s">
        <v>22</v>
      </c>
      <c r="G70" t="s">
        <v>30</v>
      </c>
      <c r="H70">
        <v>85274</v>
      </c>
      <c r="I70" t="s">
        <v>24</v>
      </c>
      <c r="J70">
        <v>4.14</v>
      </c>
      <c r="K70">
        <v>353034.36</v>
      </c>
      <c r="L70" t="s">
        <v>634</v>
      </c>
      <c r="M70" t="s">
        <v>689</v>
      </c>
      <c r="N70">
        <v>4.0825</v>
      </c>
      <c r="O70" t="s">
        <v>27</v>
      </c>
      <c r="P70" t="s">
        <v>692</v>
      </c>
      <c r="Q70">
        <v>7</v>
      </c>
    </row>
    <row r="71" spans="1:18">
      <c r="A71">
        <v>70</v>
      </c>
      <c r="B71">
        <v>1</v>
      </c>
      <c r="C71">
        <v>20240109</v>
      </c>
      <c r="D71" t="s">
        <v>28</v>
      </c>
      <c r="E71" t="s">
        <v>21</v>
      </c>
      <c r="F71" t="s">
        <v>22</v>
      </c>
      <c r="G71" t="s">
        <v>37</v>
      </c>
      <c r="H71">
        <v>8445</v>
      </c>
      <c r="I71" t="s">
        <v>24</v>
      </c>
      <c r="J71">
        <v>4.14</v>
      </c>
      <c r="K71">
        <v>34962.3</v>
      </c>
      <c r="L71" t="s">
        <v>654</v>
      </c>
      <c r="M71" t="s">
        <v>689</v>
      </c>
      <c r="N71">
        <v>4.0825</v>
      </c>
      <c r="O71" t="s">
        <v>27</v>
      </c>
      <c r="P71" t="s">
        <v>691</v>
      </c>
      <c r="Q71">
        <v>7</v>
      </c>
    </row>
    <row r="72" spans="1:18">
      <c r="A72">
        <v>71</v>
      </c>
      <c r="B72">
        <v>1</v>
      </c>
      <c r="C72">
        <v>20240109</v>
      </c>
      <c r="D72" t="s">
        <v>28</v>
      </c>
      <c r="E72" t="s">
        <v>21</v>
      </c>
      <c r="F72" t="s">
        <v>22</v>
      </c>
      <c r="G72" t="s">
        <v>37</v>
      </c>
      <c r="H72">
        <v>6446</v>
      </c>
      <c r="I72" t="s">
        <v>24</v>
      </c>
      <c r="J72">
        <v>4.14</v>
      </c>
      <c r="K72">
        <v>26686.44</v>
      </c>
      <c r="L72" t="s">
        <v>637</v>
      </c>
      <c r="M72" t="s">
        <v>689</v>
      </c>
      <c r="N72">
        <v>3.5873</v>
      </c>
      <c r="O72" t="s">
        <v>27</v>
      </c>
      <c r="P72" t="s">
        <v>691</v>
      </c>
      <c r="Q72">
        <v>4</v>
      </c>
    </row>
    <row r="73" spans="1:18">
      <c r="A73">
        <v>72</v>
      </c>
      <c r="B73">
        <v>1</v>
      </c>
      <c r="C73">
        <v>20240109</v>
      </c>
      <c r="D73" t="s">
        <v>28</v>
      </c>
      <c r="E73" t="s">
        <v>21</v>
      </c>
      <c r="F73" t="s">
        <v>22</v>
      </c>
      <c r="G73" t="s">
        <v>37</v>
      </c>
      <c r="H73">
        <v>134</v>
      </c>
      <c r="I73" t="s">
        <v>24</v>
      </c>
      <c r="J73">
        <v>4.14</v>
      </c>
      <c r="K73">
        <v>554.76</v>
      </c>
      <c r="L73" t="s">
        <v>637</v>
      </c>
      <c r="M73" t="s">
        <v>689</v>
      </c>
      <c r="N73">
        <v>3.5065</v>
      </c>
      <c r="O73" t="s">
        <v>27</v>
      </c>
      <c r="P73" t="s">
        <v>691</v>
      </c>
      <c r="Q73">
        <v>1</v>
      </c>
    </row>
    <row r="74" spans="1:18">
      <c r="A74">
        <v>73</v>
      </c>
      <c r="B74">
        <v>1</v>
      </c>
      <c r="C74">
        <v>20240109</v>
      </c>
      <c r="D74" t="s">
        <v>28</v>
      </c>
      <c r="E74" t="s">
        <v>21</v>
      </c>
      <c r="F74" t="s">
        <v>22</v>
      </c>
      <c r="G74" t="s">
        <v>37</v>
      </c>
      <c r="H74">
        <v>6629</v>
      </c>
      <c r="I74" t="s">
        <v>24</v>
      </c>
      <c r="J74">
        <v>4.14</v>
      </c>
      <c r="K74">
        <v>27444.06</v>
      </c>
      <c r="L74" t="s">
        <v>637</v>
      </c>
      <c r="M74" t="s">
        <v>689</v>
      </c>
      <c r="N74">
        <v>4.0801</v>
      </c>
      <c r="O74" t="s">
        <v>27</v>
      </c>
      <c r="P74" t="s">
        <v>691</v>
      </c>
      <c r="Q74">
        <v>6</v>
      </c>
    </row>
    <row r="75" spans="1:18">
      <c r="A75">
        <v>74</v>
      </c>
      <c r="B75">
        <v>1</v>
      </c>
      <c r="C75">
        <v>20240109</v>
      </c>
      <c r="D75" t="s">
        <v>28</v>
      </c>
      <c r="E75" t="s">
        <v>21</v>
      </c>
      <c r="F75" t="s">
        <v>22</v>
      </c>
      <c r="G75" t="s">
        <v>30</v>
      </c>
      <c r="H75">
        <v>20997</v>
      </c>
      <c r="I75" t="s">
        <v>24</v>
      </c>
      <c r="J75">
        <v>4.14</v>
      </c>
      <c r="K75">
        <v>86927.58</v>
      </c>
      <c r="L75" t="s">
        <v>637</v>
      </c>
      <c r="M75" t="s">
        <v>689</v>
      </c>
      <c r="N75">
        <v>3.5207</v>
      </c>
      <c r="O75" t="s">
        <v>27</v>
      </c>
      <c r="P75" t="s">
        <v>692</v>
      </c>
      <c r="Q75">
        <v>7</v>
      </c>
    </row>
    <row r="76" spans="1:18">
      <c r="A76">
        <v>75</v>
      </c>
      <c r="B76">
        <v>1</v>
      </c>
      <c r="C76">
        <v>20240109</v>
      </c>
      <c r="D76" t="s">
        <v>28</v>
      </c>
      <c r="E76" t="s">
        <v>21</v>
      </c>
      <c r="F76" t="s">
        <v>22</v>
      </c>
      <c r="G76" t="s">
        <v>30</v>
      </c>
      <c r="H76">
        <v>5702</v>
      </c>
      <c r="I76" t="s">
        <v>24</v>
      </c>
      <c r="J76">
        <v>4.14</v>
      </c>
      <c r="K76">
        <v>23606.28</v>
      </c>
      <c r="L76" t="s">
        <v>637</v>
      </c>
      <c r="M76" t="s">
        <v>689</v>
      </c>
      <c r="N76">
        <v>3.5538</v>
      </c>
      <c r="O76" t="s">
        <v>27</v>
      </c>
      <c r="P76" t="s">
        <v>692</v>
      </c>
      <c r="Q76">
        <v>1</v>
      </c>
    </row>
    <row r="77" spans="1:18">
      <c r="A77">
        <v>76</v>
      </c>
      <c r="B77">
        <v>1</v>
      </c>
      <c r="C77">
        <v>20240109</v>
      </c>
      <c r="D77" t="s">
        <v>20</v>
      </c>
      <c r="E77" t="s">
        <v>21</v>
      </c>
      <c r="F77" t="s">
        <v>22</v>
      </c>
      <c r="G77" t="s">
        <v>99</v>
      </c>
      <c r="H77">
        <v>17951</v>
      </c>
      <c r="I77" t="s">
        <v>24</v>
      </c>
      <c r="J77">
        <v>4.14</v>
      </c>
      <c r="K77">
        <v>74317.14</v>
      </c>
      <c r="L77" t="s">
        <v>634</v>
      </c>
      <c r="M77" t="s">
        <v>693</v>
      </c>
      <c r="N77">
        <v>4.033</v>
      </c>
      <c r="O77" t="s">
        <v>27</v>
      </c>
      <c r="P77" t="s">
        <v>694</v>
      </c>
      <c r="Q77">
        <v>2</v>
      </c>
      <c r="R77">
        <v>3.803</v>
      </c>
    </row>
    <row r="78" spans="1:18">
      <c r="A78">
        <v>77</v>
      </c>
      <c r="B78">
        <v>1</v>
      </c>
      <c r="C78">
        <v>20240109</v>
      </c>
      <c r="D78" t="s">
        <v>20</v>
      </c>
      <c r="E78" t="s">
        <v>21</v>
      </c>
      <c r="F78" t="s">
        <v>46</v>
      </c>
      <c r="G78" t="s">
        <v>633</v>
      </c>
      <c r="H78">
        <v>102130</v>
      </c>
      <c r="I78" t="s">
        <v>24</v>
      </c>
      <c r="J78">
        <v>7.46</v>
      </c>
      <c r="K78">
        <v>761889.8</v>
      </c>
      <c r="L78" t="s">
        <v>634</v>
      </c>
      <c r="N78">
        <v>4.93</v>
      </c>
      <c r="O78" t="s">
        <v>43</v>
      </c>
      <c r="P78" t="s">
        <v>695</v>
      </c>
      <c r="Q78">
        <v>7</v>
      </c>
      <c r="R78" t="s">
        <v>89</v>
      </c>
    </row>
    <row r="79" spans="1:18">
      <c r="A79">
        <v>78</v>
      </c>
      <c r="B79">
        <v>1</v>
      </c>
      <c r="C79">
        <v>20240110</v>
      </c>
      <c r="D79" t="s">
        <v>20</v>
      </c>
      <c r="E79" t="s">
        <v>21</v>
      </c>
      <c r="F79" t="s">
        <v>32</v>
      </c>
      <c r="G79" t="s">
        <v>50</v>
      </c>
      <c r="H79">
        <v>717255</v>
      </c>
      <c r="I79" t="s">
        <v>24</v>
      </c>
      <c r="J79">
        <v>5.53</v>
      </c>
      <c r="K79">
        <v>3966420.15</v>
      </c>
      <c r="L79" t="s">
        <v>637</v>
      </c>
      <c r="M79" t="s">
        <v>696</v>
      </c>
      <c r="N79">
        <v>4.7765</v>
      </c>
      <c r="O79" t="s">
        <v>27</v>
      </c>
      <c r="P79" t="s">
        <v>697</v>
      </c>
      <c r="Q79">
        <v>91</v>
      </c>
      <c r="R79">
        <v>7.024</v>
      </c>
    </row>
    <row r="80" spans="1:18">
      <c r="A80">
        <v>79</v>
      </c>
      <c r="B80">
        <v>1</v>
      </c>
      <c r="C80">
        <v>20240110</v>
      </c>
      <c r="D80" t="s">
        <v>20</v>
      </c>
      <c r="E80" t="s">
        <v>21</v>
      </c>
      <c r="F80" t="s">
        <v>32</v>
      </c>
      <c r="G80" t="s">
        <v>72</v>
      </c>
      <c r="H80">
        <v>262360</v>
      </c>
      <c r="I80" t="s">
        <v>24</v>
      </c>
      <c r="J80">
        <v>3.53</v>
      </c>
      <c r="K80">
        <v>926130.8</v>
      </c>
      <c r="L80" t="s">
        <v>634</v>
      </c>
      <c r="M80" t="s">
        <v>696</v>
      </c>
      <c r="N80">
        <v>3.2196</v>
      </c>
      <c r="O80" t="s">
        <v>27</v>
      </c>
      <c r="P80" t="s">
        <v>698</v>
      </c>
      <c r="Q80">
        <v>121</v>
      </c>
    </row>
    <row r="81" spans="1:19">
      <c r="A81">
        <v>80</v>
      </c>
      <c r="B81">
        <v>1</v>
      </c>
      <c r="C81">
        <v>20240110</v>
      </c>
      <c r="D81" t="s">
        <v>20</v>
      </c>
      <c r="E81" t="s">
        <v>21</v>
      </c>
      <c r="F81" t="s">
        <v>32</v>
      </c>
      <c r="G81" t="s">
        <v>640</v>
      </c>
      <c r="H81">
        <v>290939</v>
      </c>
      <c r="I81" t="s">
        <v>24</v>
      </c>
      <c r="J81">
        <v>5.47</v>
      </c>
      <c r="K81">
        <v>1591436.33</v>
      </c>
      <c r="L81" t="s">
        <v>634</v>
      </c>
      <c r="M81" t="s">
        <v>699</v>
      </c>
      <c r="N81">
        <v>5.0362</v>
      </c>
      <c r="O81" t="s">
        <v>27</v>
      </c>
      <c r="P81" t="s">
        <v>700</v>
      </c>
      <c r="Q81">
        <v>40</v>
      </c>
      <c r="R81">
        <v>7.1094</v>
      </c>
    </row>
    <row r="82" spans="1:19">
      <c r="A82">
        <v>81</v>
      </c>
      <c r="B82">
        <v>1</v>
      </c>
      <c r="C82">
        <v>20240110</v>
      </c>
      <c r="D82" t="s">
        <v>20</v>
      </c>
      <c r="E82" t="s">
        <v>21</v>
      </c>
      <c r="F82" t="s">
        <v>29</v>
      </c>
      <c r="G82" t="s">
        <v>102</v>
      </c>
      <c r="H82">
        <v>45</v>
      </c>
      <c r="I82" t="s">
        <v>24</v>
      </c>
      <c r="J82">
        <v>5.63</v>
      </c>
      <c r="K82">
        <v>253.35</v>
      </c>
      <c r="L82" t="s">
        <v>634</v>
      </c>
      <c r="N82">
        <v>5.52</v>
      </c>
      <c r="O82" t="s">
        <v>43</v>
      </c>
      <c r="P82" t="s">
        <v>701</v>
      </c>
      <c r="Q82">
        <v>1</v>
      </c>
      <c r="S82">
        <v>4.48</v>
      </c>
    </row>
    <row r="83" spans="1:19">
      <c r="A83">
        <v>82</v>
      </c>
      <c r="B83">
        <v>1</v>
      </c>
      <c r="C83">
        <v>20240110</v>
      </c>
      <c r="D83" t="s">
        <v>20</v>
      </c>
      <c r="E83" t="s">
        <v>21</v>
      </c>
      <c r="F83" t="s">
        <v>29</v>
      </c>
      <c r="G83" t="s">
        <v>47</v>
      </c>
      <c r="H83">
        <v>1448</v>
      </c>
      <c r="I83" t="s">
        <v>24</v>
      </c>
      <c r="J83">
        <v>7.46</v>
      </c>
      <c r="K83">
        <v>10802.08</v>
      </c>
      <c r="L83" t="s">
        <v>637</v>
      </c>
      <c r="N83">
        <v>5.2</v>
      </c>
      <c r="O83" t="s">
        <v>43</v>
      </c>
      <c r="P83" t="s">
        <v>702</v>
      </c>
      <c r="Q83">
        <v>1</v>
      </c>
      <c r="R83">
        <v>5.2041</v>
      </c>
      <c r="S83">
        <v>7.46</v>
      </c>
    </row>
    <row r="84" spans="1:19">
      <c r="A84">
        <v>83</v>
      </c>
      <c r="B84">
        <v>1</v>
      </c>
      <c r="C84">
        <v>20240110</v>
      </c>
      <c r="D84" t="s">
        <v>20</v>
      </c>
      <c r="E84" t="s">
        <v>21</v>
      </c>
      <c r="F84" t="s">
        <v>29</v>
      </c>
      <c r="G84" t="s">
        <v>42</v>
      </c>
      <c r="H84">
        <v>27036</v>
      </c>
      <c r="I84" t="s">
        <v>24</v>
      </c>
      <c r="J84">
        <v>5.7</v>
      </c>
      <c r="K84">
        <v>154105.2</v>
      </c>
      <c r="L84" t="s">
        <v>634</v>
      </c>
      <c r="N84">
        <v>5.59</v>
      </c>
      <c r="O84" t="s">
        <v>43</v>
      </c>
      <c r="P84" t="s">
        <v>703</v>
      </c>
      <c r="Q84">
        <v>14</v>
      </c>
      <c r="R84">
        <v>6.9333</v>
      </c>
      <c r="S84">
        <v>4.48</v>
      </c>
    </row>
    <row r="85" spans="1:19">
      <c r="A85">
        <v>84</v>
      </c>
      <c r="B85">
        <v>1</v>
      </c>
      <c r="C85">
        <v>20240110</v>
      </c>
      <c r="D85" t="s">
        <v>28</v>
      </c>
      <c r="E85" t="s">
        <v>21</v>
      </c>
      <c r="F85" t="s">
        <v>41</v>
      </c>
      <c r="G85" t="s">
        <v>30</v>
      </c>
      <c r="H85">
        <v>39028</v>
      </c>
      <c r="I85" t="s">
        <v>24</v>
      </c>
      <c r="J85">
        <v>4.14</v>
      </c>
      <c r="K85">
        <v>161575.92</v>
      </c>
      <c r="L85" t="s">
        <v>637</v>
      </c>
      <c r="N85">
        <v>4.05</v>
      </c>
      <c r="O85" t="s">
        <v>43</v>
      </c>
      <c r="P85" t="s">
        <v>704</v>
      </c>
      <c r="Q85">
        <v>12</v>
      </c>
    </row>
    <row r="86" spans="1:19">
      <c r="A86">
        <v>85</v>
      </c>
      <c r="B86">
        <v>1</v>
      </c>
      <c r="C86">
        <v>20240110</v>
      </c>
      <c r="D86" t="s">
        <v>28</v>
      </c>
      <c r="E86" t="s">
        <v>21</v>
      </c>
      <c r="F86" t="s">
        <v>41</v>
      </c>
      <c r="G86" t="s">
        <v>37</v>
      </c>
      <c r="H86">
        <v>593</v>
      </c>
      <c r="I86" t="s">
        <v>24</v>
      </c>
      <c r="J86">
        <v>4.14</v>
      </c>
      <c r="K86">
        <v>2455.02</v>
      </c>
      <c r="L86" t="s">
        <v>637</v>
      </c>
      <c r="N86">
        <v>4.05</v>
      </c>
      <c r="O86" t="s">
        <v>43</v>
      </c>
      <c r="P86" t="s">
        <v>705</v>
      </c>
      <c r="Q86">
        <v>1</v>
      </c>
    </row>
    <row r="87" spans="1:19">
      <c r="A87">
        <v>86</v>
      </c>
      <c r="B87">
        <v>1</v>
      </c>
      <c r="C87">
        <v>20240111</v>
      </c>
      <c r="D87" t="s">
        <v>28</v>
      </c>
      <c r="E87" t="s">
        <v>21</v>
      </c>
      <c r="F87" t="s">
        <v>32</v>
      </c>
      <c r="G87" t="s">
        <v>37</v>
      </c>
      <c r="H87">
        <v>7243</v>
      </c>
      <c r="I87" t="s">
        <v>24</v>
      </c>
      <c r="J87">
        <v>4.14</v>
      </c>
      <c r="K87">
        <v>29986.02</v>
      </c>
      <c r="L87" t="s">
        <v>634</v>
      </c>
      <c r="M87" t="s">
        <v>706</v>
      </c>
      <c r="N87">
        <v>4.015</v>
      </c>
      <c r="O87" t="s">
        <v>27</v>
      </c>
      <c r="P87" t="s">
        <v>707</v>
      </c>
      <c r="Q87">
        <v>9</v>
      </c>
    </row>
    <row r="88" spans="1:19">
      <c r="A88">
        <v>87</v>
      </c>
      <c r="B88">
        <v>1</v>
      </c>
      <c r="C88">
        <v>20240111</v>
      </c>
      <c r="D88" t="s">
        <v>28</v>
      </c>
      <c r="E88" t="s">
        <v>21</v>
      </c>
      <c r="F88" t="s">
        <v>32</v>
      </c>
      <c r="G88" t="s">
        <v>30</v>
      </c>
      <c r="H88">
        <v>818605</v>
      </c>
      <c r="I88" t="s">
        <v>24</v>
      </c>
      <c r="J88">
        <v>4.14</v>
      </c>
      <c r="K88">
        <v>3389024.7</v>
      </c>
      <c r="L88" t="s">
        <v>634</v>
      </c>
      <c r="M88" t="s">
        <v>706</v>
      </c>
      <c r="N88">
        <v>4.015</v>
      </c>
      <c r="O88" t="s">
        <v>27</v>
      </c>
      <c r="P88" t="s">
        <v>708</v>
      </c>
      <c r="Q88">
        <v>90</v>
      </c>
    </row>
    <row r="89" spans="1:19">
      <c r="A89">
        <v>88</v>
      </c>
      <c r="B89">
        <v>1</v>
      </c>
      <c r="C89">
        <v>20240111</v>
      </c>
      <c r="D89" t="s">
        <v>28</v>
      </c>
      <c r="E89" t="s">
        <v>21</v>
      </c>
      <c r="F89" t="s">
        <v>32</v>
      </c>
      <c r="G89" t="s">
        <v>37</v>
      </c>
      <c r="H89">
        <v>81012</v>
      </c>
      <c r="I89" t="s">
        <v>24</v>
      </c>
      <c r="J89">
        <v>4.14</v>
      </c>
      <c r="K89">
        <v>335389.68</v>
      </c>
      <c r="L89" t="s">
        <v>654</v>
      </c>
      <c r="M89" t="s">
        <v>706</v>
      </c>
      <c r="N89">
        <v>4.015</v>
      </c>
      <c r="O89" t="s">
        <v>27</v>
      </c>
      <c r="P89" t="s">
        <v>707</v>
      </c>
      <c r="Q89">
        <v>9</v>
      </c>
    </row>
    <row r="90" spans="1:19">
      <c r="A90">
        <v>89</v>
      </c>
      <c r="B90">
        <v>1</v>
      </c>
      <c r="C90">
        <v>20240111</v>
      </c>
      <c r="D90" t="s">
        <v>28</v>
      </c>
      <c r="E90" t="s">
        <v>21</v>
      </c>
      <c r="F90" t="s">
        <v>32</v>
      </c>
      <c r="G90" t="s">
        <v>30</v>
      </c>
      <c r="H90">
        <v>22008</v>
      </c>
      <c r="I90" t="s">
        <v>24</v>
      </c>
      <c r="J90">
        <v>4.14</v>
      </c>
      <c r="K90">
        <v>91113.12</v>
      </c>
      <c r="L90" t="s">
        <v>654</v>
      </c>
      <c r="M90" t="s">
        <v>706</v>
      </c>
      <c r="N90">
        <v>4.015</v>
      </c>
      <c r="O90" t="s">
        <v>27</v>
      </c>
      <c r="P90" t="s">
        <v>708</v>
      </c>
      <c r="Q90">
        <v>11</v>
      </c>
    </row>
    <row r="91" spans="1:19">
      <c r="A91">
        <v>90</v>
      </c>
      <c r="B91">
        <v>1</v>
      </c>
      <c r="C91">
        <v>20240111</v>
      </c>
      <c r="D91" t="s">
        <v>28</v>
      </c>
      <c r="E91" t="s">
        <v>21</v>
      </c>
      <c r="F91" t="s">
        <v>32</v>
      </c>
      <c r="G91" t="s">
        <v>37</v>
      </c>
      <c r="H91">
        <v>121017</v>
      </c>
      <c r="I91" t="s">
        <v>24</v>
      </c>
      <c r="J91">
        <v>4.14</v>
      </c>
      <c r="K91">
        <v>501010.38</v>
      </c>
      <c r="L91" t="s">
        <v>637</v>
      </c>
      <c r="M91" t="s">
        <v>706</v>
      </c>
      <c r="N91">
        <v>4.015</v>
      </c>
      <c r="O91" t="s">
        <v>27</v>
      </c>
      <c r="P91" t="s">
        <v>707</v>
      </c>
      <c r="Q91">
        <v>18</v>
      </c>
    </row>
    <row r="92" spans="1:19">
      <c r="A92">
        <v>91</v>
      </c>
      <c r="B92">
        <v>1</v>
      </c>
      <c r="C92">
        <v>20240111</v>
      </c>
      <c r="D92" t="s">
        <v>28</v>
      </c>
      <c r="E92" t="s">
        <v>21</v>
      </c>
      <c r="F92" t="s">
        <v>32</v>
      </c>
      <c r="G92" t="s">
        <v>30</v>
      </c>
      <c r="H92">
        <v>708636</v>
      </c>
      <c r="I92" t="s">
        <v>24</v>
      </c>
      <c r="J92">
        <v>4.14</v>
      </c>
      <c r="K92">
        <v>2933753.04</v>
      </c>
      <c r="L92" t="s">
        <v>637</v>
      </c>
      <c r="M92" t="s">
        <v>706</v>
      </c>
      <c r="N92">
        <v>4.015</v>
      </c>
      <c r="O92" t="s">
        <v>27</v>
      </c>
      <c r="P92" t="s">
        <v>708</v>
      </c>
      <c r="Q92">
        <v>136</v>
      </c>
    </row>
    <row r="93" spans="1:19">
      <c r="A93">
        <v>92</v>
      </c>
      <c r="B93">
        <v>1</v>
      </c>
      <c r="C93">
        <v>20240111</v>
      </c>
      <c r="D93" t="s">
        <v>28</v>
      </c>
      <c r="E93" t="s">
        <v>21</v>
      </c>
      <c r="F93" t="s">
        <v>32</v>
      </c>
      <c r="G93" t="s">
        <v>30</v>
      </c>
      <c r="H93">
        <v>332</v>
      </c>
      <c r="I93" t="s">
        <v>24</v>
      </c>
      <c r="J93">
        <v>4.14</v>
      </c>
      <c r="K93">
        <v>1374.48</v>
      </c>
      <c r="L93" t="s">
        <v>637</v>
      </c>
      <c r="M93" t="s">
        <v>706</v>
      </c>
      <c r="N93">
        <v>4.021</v>
      </c>
      <c r="O93" t="s">
        <v>27</v>
      </c>
      <c r="P93" t="s">
        <v>708</v>
      </c>
    </row>
    <row r="94" spans="1:19">
      <c r="A94">
        <v>93</v>
      </c>
      <c r="B94">
        <v>1</v>
      </c>
      <c r="C94">
        <v>20240111</v>
      </c>
      <c r="D94" t="s">
        <v>20</v>
      </c>
      <c r="E94" t="s">
        <v>21</v>
      </c>
      <c r="F94" t="s">
        <v>32</v>
      </c>
      <c r="G94" t="s">
        <v>640</v>
      </c>
      <c r="H94">
        <v>474490</v>
      </c>
      <c r="I94" t="s">
        <v>24</v>
      </c>
      <c r="J94">
        <v>5.47</v>
      </c>
      <c r="K94">
        <v>2595460.3</v>
      </c>
      <c r="L94" t="s">
        <v>634</v>
      </c>
      <c r="M94" t="s">
        <v>709</v>
      </c>
      <c r="N94">
        <v>5.0362</v>
      </c>
      <c r="O94" t="s">
        <v>27</v>
      </c>
      <c r="P94" t="s">
        <v>710</v>
      </c>
      <c r="Q94">
        <v>51</v>
      </c>
      <c r="R94">
        <v>7.1094</v>
      </c>
    </row>
    <row r="95" spans="1:19">
      <c r="A95">
        <v>94</v>
      </c>
      <c r="B95">
        <v>1</v>
      </c>
      <c r="C95">
        <v>20240111</v>
      </c>
      <c r="D95" t="s">
        <v>28</v>
      </c>
      <c r="E95" t="s">
        <v>21</v>
      </c>
      <c r="F95" t="s">
        <v>22</v>
      </c>
      <c r="G95" t="s">
        <v>30</v>
      </c>
      <c r="H95">
        <v>1050795</v>
      </c>
      <c r="I95" t="s">
        <v>24</v>
      </c>
      <c r="J95">
        <v>4.14</v>
      </c>
      <c r="K95">
        <v>4350291.3</v>
      </c>
      <c r="L95" t="s">
        <v>634</v>
      </c>
      <c r="N95">
        <v>4.0616</v>
      </c>
      <c r="O95" t="s">
        <v>43</v>
      </c>
      <c r="P95" t="s">
        <v>711</v>
      </c>
      <c r="Q95">
        <v>38</v>
      </c>
    </row>
    <row r="96" spans="1:19">
      <c r="A96">
        <v>95</v>
      </c>
      <c r="B96">
        <v>1</v>
      </c>
      <c r="C96">
        <v>20240111</v>
      </c>
      <c r="D96" t="s">
        <v>28</v>
      </c>
      <c r="E96" t="s">
        <v>21</v>
      </c>
      <c r="F96" t="s">
        <v>22</v>
      </c>
      <c r="G96" t="s">
        <v>37</v>
      </c>
      <c r="H96">
        <v>66158</v>
      </c>
      <c r="I96" t="s">
        <v>24</v>
      </c>
      <c r="J96">
        <v>4.14</v>
      </c>
      <c r="K96">
        <v>273894.12</v>
      </c>
      <c r="L96" t="s">
        <v>634</v>
      </c>
      <c r="N96">
        <v>4.0574</v>
      </c>
      <c r="O96" t="s">
        <v>43</v>
      </c>
      <c r="P96" t="s">
        <v>712</v>
      </c>
      <c r="Q96">
        <v>6</v>
      </c>
    </row>
    <row r="97" spans="1:19">
      <c r="A97">
        <v>96</v>
      </c>
      <c r="B97">
        <v>1</v>
      </c>
      <c r="C97">
        <v>20240111</v>
      </c>
      <c r="D97" t="s">
        <v>28</v>
      </c>
      <c r="E97" t="s">
        <v>21</v>
      </c>
      <c r="F97" t="s">
        <v>22</v>
      </c>
      <c r="G97" t="s">
        <v>30</v>
      </c>
      <c r="H97">
        <v>1883</v>
      </c>
      <c r="I97" t="s">
        <v>24</v>
      </c>
      <c r="J97">
        <v>4.14</v>
      </c>
      <c r="K97">
        <v>7795.62</v>
      </c>
      <c r="L97" t="s">
        <v>654</v>
      </c>
      <c r="N97">
        <v>4.049</v>
      </c>
      <c r="O97" t="s">
        <v>43</v>
      </c>
      <c r="P97" t="s">
        <v>711</v>
      </c>
      <c r="Q97">
        <v>4</v>
      </c>
    </row>
    <row r="98" spans="1:19">
      <c r="A98">
        <v>97</v>
      </c>
      <c r="B98">
        <v>1</v>
      </c>
      <c r="C98">
        <v>20240111</v>
      </c>
      <c r="D98" t="s">
        <v>28</v>
      </c>
      <c r="E98" t="s">
        <v>21</v>
      </c>
      <c r="F98" t="s">
        <v>22</v>
      </c>
      <c r="G98" t="s">
        <v>37</v>
      </c>
      <c r="H98">
        <v>36683</v>
      </c>
      <c r="I98" t="s">
        <v>24</v>
      </c>
      <c r="J98">
        <v>4.14</v>
      </c>
      <c r="K98">
        <v>151867.62</v>
      </c>
      <c r="L98" t="s">
        <v>654</v>
      </c>
      <c r="N98">
        <v>4.036</v>
      </c>
      <c r="O98" t="s">
        <v>43</v>
      </c>
      <c r="P98" t="s">
        <v>712</v>
      </c>
      <c r="Q98">
        <v>5</v>
      </c>
    </row>
    <row r="99" spans="1:19">
      <c r="A99">
        <v>98</v>
      </c>
      <c r="B99">
        <v>1</v>
      </c>
      <c r="C99">
        <v>20240111</v>
      </c>
      <c r="D99" t="s">
        <v>28</v>
      </c>
      <c r="E99" t="s">
        <v>21</v>
      </c>
      <c r="F99" t="s">
        <v>22</v>
      </c>
      <c r="G99" t="s">
        <v>30</v>
      </c>
      <c r="H99">
        <v>300977</v>
      </c>
      <c r="I99" t="s">
        <v>24</v>
      </c>
      <c r="J99">
        <v>4.14</v>
      </c>
      <c r="K99">
        <v>1246044.78</v>
      </c>
      <c r="L99" t="s">
        <v>637</v>
      </c>
      <c r="N99">
        <v>3.5761</v>
      </c>
      <c r="O99" t="s">
        <v>43</v>
      </c>
      <c r="P99" t="s">
        <v>711</v>
      </c>
      <c r="Q99">
        <v>13</v>
      </c>
    </row>
    <row r="100" spans="1:19">
      <c r="A100">
        <v>99</v>
      </c>
      <c r="B100">
        <v>1</v>
      </c>
      <c r="C100">
        <v>20240111</v>
      </c>
      <c r="D100" t="s">
        <v>28</v>
      </c>
      <c r="E100" t="s">
        <v>21</v>
      </c>
      <c r="F100" t="s">
        <v>22</v>
      </c>
      <c r="G100" t="s">
        <v>30</v>
      </c>
      <c r="H100">
        <v>166058</v>
      </c>
      <c r="I100" t="s">
        <v>24</v>
      </c>
      <c r="J100">
        <v>4.14</v>
      </c>
      <c r="K100">
        <v>687480.12</v>
      </c>
      <c r="L100" t="s">
        <v>637</v>
      </c>
      <c r="N100">
        <v>3.509</v>
      </c>
      <c r="O100" t="s">
        <v>43</v>
      </c>
      <c r="P100" t="s">
        <v>711</v>
      </c>
      <c r="Q100">
        <v>10</v>
      </c>
    </row>
    <row r="101" spans="1:19">
      <c r="A101">
        <v>100</v>
      </c>
      <c r="B101">
        <v>1</v>
      </c>
      <c r="C101">
        <v>20240111</v>
      </c>
      <c r="D101" t="s">
        <v>28</v>
      </c>
      <c r="E101" t="s">
        <v>21</v>
      </c>
      <c r="F101" t="s">
        <v>22</v>
      </c>
      <c r="G101" t="s">
        <v>30</v>
      </c>
      <c r="H101">
        <v>44398</v>
      </c>
      <c r="I101" t="s">
        <v>24</v>
      </c>
      <c r="J101">
        <v>4.14</v>
      </c>
      <c r="K101">
        <v>183807.72</v>
      </c>
      <c r="L101" t="s">
        <v>637</v>
      </c>
      <c r="N101">
        <v>4.049</v>
      </c>
      <c r="O101" t="s">
        <v>43</v>
      </c>
      <c r="P101" t="s">
        <v>711</v>
      </c>
      <c r="Q101">
        <v>4</v>
      </c>
    </row>
    <row r="102" spans="1:19">
      <c r="A102">
        <v>101</v>
      </c>
      <c r="B102">
        <v>1</v>
      </c>
      <c r="C102">
        <v>20240111</v>
      </c>
      <c r="D102" t="s">
        <v>28</v>
      </c>
      <c r="E102" t="s">
        <v>21</v>
      </c>
      <c r="F102" t="s">
        <v>22</v>
      </c>
      <c r="G102" t="s">
        <v>30</v>
      </c>
      <c r="H102">
        <v>10213</v>
      </c>
      <c r="I102" t="s">
        <v>24</v>
      </c>
      <c r="J102">
        <v>4.14</v>
      </c>
      <c r="K102">
        <v>42281.82</v>
      </c>
      <c r="L102" t="s">
        <v>637</v>
      </c>
      <c r="N102">
        <v>3.5538</v>
      </c>
      <c r="O102" t="s">
        <v>43</v>
      </c>
      <c r="P102" t="s">
        <v>711</v>
      </c>
      <c r="Q102">
        <v>4</v>
      </c>
    </row>
    <row r="103" spans="1:19">
      <c r="A103">
        <v>102</v>
      </c>
      <c r="B103">
        <v>1</v>
      </c>
      <c r="C103">
        <v>20240111</v>
      </c>
      <c r="D103" t="s">
        <v>28</v>
      </c>
      <c r="E103" t="s">
        <v>21</v>
      </c>
      <c r="F103" t="s">
        <v>22</v>
      </c>
      <c r="G103" t="s">
        <v>30</v>
      </c>
      <c r="H103">
        <v>8358</v>
      </c>
      <c r="I103" t="s">
        <v>24</v>
      </c>
      <c r="J103">
        <v>4.14</v>
      </c>
      <c r="K103">
        <v>34602.12</v>
      </c>
      <c r="L103" t="s">
        <v>637</v>
      </c>
      <c r="N103">
        <v>4.049</v>
      </c>
      <c r="O103" t="s">
        <v>43</v>
      </c>
      <c r="P103" t="s">
        <v>711</v>
      </c>
      <c r="Q103">
        <v>4</v>
      </c>
    </row>
    <row r="104" spans="1:19">
      <c r="A104">
        <v>103</v>
      </c>
      <c r="B104">
        <v>1</v>
      </c>
      <c r="C104">
        <v>20240111</v>
      </c>
      <c r="D104" t="s">
        <v>28</v>
      </c>
      <c r="E104" t="s">
        <v>21</v>
      </c>
      <c r="F104" t="s">
        <v>22</v>
      </c>
      <c r="G104" t="s">
        <v>37</v>
      </c>
      <c r="H104">
        <v>57706</v>
      </c>
      <c r="I104" t="s">
        <v>24</v>
      </c>
      <c r="J104">
        <v>4.14</v>
      </c>
      <c r="K104">
        <v>238902.84</v>
      </c>
      <c r="L104" t="s">
        <v>637</v>
      </c>
      <c r="N104">
        <v>4.0586</v>
      </c>
      <c r="O104" t="s">
        <v>43</v>
      </c>
      <c r="P104" t="s">
        <v>712</v>
      </c>
      <c r="Q104">
        <v>5</v>
      </c>
    </row>
    <row r="105" spans="1:19">
      <c r="A105">
        <v>104</v>
      </c>
      <c r="B105">
        <v>1</v>
      </c>
      <c r="C105">
        <v>20240111</v>
      </c>
      <c r="D105" t="s">
        <v>28</v>
      </c>
      <c r="E105" t="s">
        <v>21</v>
      </c>
      <c r="F105" t="s">
        <v>22</v>
      </c>
      <c r="G105" t="s">
        <v>37</v>
      </c>
      <c r="H105">
        <v>9302</v>
      </c>
      <c r="I105" t="s">
        <v>24</v>
      </c>
      <c r="J105">
        <v>4.14</v>
      </c>
      <c r="K105">
        <v>38510.28</v>
      </c>
      <c r="L105" t="s">
        <v>637</v>
      </c>
      <c r="N105">
        <v>3.5193</v>
      </c>
      <c r="O105" t="s">
        <v>43</v>
      </c>
      <c r="P105" t="s">
        <v>712</v>
      </c>
      <c r="Q105">
        <v>5</v>
      </c>
    </row>
    <row r="106" spans="1:19">
      <c r="A106">
        <v>105</v>
      </c>
      <c r="B106">
        <v>1</v>
      </c>
      <c r="C106">
        <v>20240111</v>
      </c>
      <c r="D106" t="s">
        <v>28</v>
      </c>
      <c r="E106" t="s">
        <v>21</v>
      </c>
      <c r="F106" t="s">
        <v>22</v>
      </c>
      <c r="G106" t="s">
        <v>37</v>
      </c>
      <c r="H106">
        <v>74215</v>
      </c>
      <c r="I106" t="s">
        <v>24</v>
      </c>
      <c r="J106">
        <v>4.14</v>
      </c>
      <c r="K106">
        <v>307250.1</v>
      </c>
      <c r="L106" t="s">
        <v>637</v>
      </c>
      <c r="N106">
        <v>3.5725</v>
      </c>
      <c r="O106" t="s">
        <v>43</v>
      </c>
      <c r="P106" t="s">
        <v>712</v>
      </c>
      <c r="Q106">
        <v>5</v>
      </c>
    </row>
    <row r="107" spans="1:19">
      <c r="A107">
        <v>106</v>
      </c>
      <c r="B107">
        <v>1</v>
      </c>
      <c r="C107">
        <v>20240111</v>
      </c>
      <c r="D107" t="s">
        <v>28</v>
      </c>
      <c r="E107" t="s">
        <v>21</v>
      </c>
      <c r="F107" t="s">
        <v>22</v>
      </c>
      <c r="G107" t="s">
        <v>37</v>
      </c>
      <c r="H107">
        <v>8985</v>
      </c>
      <c r="I107" t="s">
        <v>24</v>
      </c>
      <c r="J107">
        <v>4.14</v>
      </c>
      <c r="K107">
        <v>37197.9</v>
      </c>
      <c r="L107" t="s">
        <v>637</v>
      </c>
      <c r="N107">
        <v>3.5065</v>
      </c>
      <c r="O107" t="s">
        <v>43</v>
      </c>
      <c r="P107" t="s">
        <v>712</v>
      </c>
      <c r="Q107">
        <v>4</v>
      </c>
    </row>
    <row r="108" spans="1:19">
      <c r="A108">
        <v>107</v>
      </c>
      <c r="B108">
        <v>1</v>
      </c>
      <c r="C108">
        <v>20240111</v>
      </c>
      <c r="D108" t="s">
        <v>20</v>
      </c>
      <c r="E108" t="s">
        <v>21</v>
      </c>
      <c r="F108" t="s">
        <v>22</v>
      </c>
      <c r="G108" t="s">
        <v>30</v>
      </c>
      <c r="H108">
        <v>56784</v>
      </c>
      <c r="I108" t="s">
        <v>24</v>
      </c>
      <c r="J108">
        <v>4.14</v>
      </c>
      <c r="K108">
        <v>235085.76</v>
      </c>
      <c r="L108" t="s">
        <v>634</v>
      </c>
      <c r="N108">
        <v>4.0195</v>
      </c>
      <c r="O108" t="s">
        <v>43</v>
      </c>
      <c r="P108" t="s">
        <v>713</v>
      </c>
      <c r="Q108">
        <v>4</v>
      </c>
      <c r="R108">
        <v>4.9338</v>
      </c>
    </row>
    <row r="109" spans="1:19">
      <c r="A109">
        <v>108</v>
      </c>
      <c r="B109">
        <v>1</v>
      </c>
      <c r="C109">
        <v>20240111</v>
      </c>
      <c r="D109" t="s">
        <v>20</v>
      </c>
      <c r="E109" t="s">
        <v>21</v>
      </c>
      <c r="F109" t="s">
        <v>22</v>
      </c>
      <c r="G109" t="s">
        <v>30</v>
      </c>
      <c r="H109">
        <v>316</v>
      </c>
      <c r="I109" t="s">
        <v>24</v>
      </c>
      <c r="J109">
        <v>4.14</v>
      </c>
      <c r="K109">
        <v>1308.24</v>
      </c>
      <c r="L109" t="s">
        <v>637</v>
      </c>
      <c r="N109">
        <v>3.5243</v>
      </c>
      <c r="O109" t="s">
        <v>43</v>
      </c>
      <c r="P109" t="s">
        <v>713</v>
      </c>
      <c r="Q109">
        <v>4</v>
      </c>
      <c r="R109">
        <v>4.9338</v>
      </c>
    </row>
    <row r="110" spans="1:19">
      <c r="A110">
        <v>109</v>
      </c>
      <c r="B110">
        <v>1</v>
      </c>
      <c r="C110">
        <v>20240111</v>
      </c>
      <c r="D110" t="s">
        <v>20</v>
      </c>
      <c r="E110" t="s">
        <v>21</v>
      </c>
      <c r="F110" t="s">
        <v>29</v>
      </c>
      <c r="G110" t="s">
        <v>42</v>
      </c>
      <c r="H110">
        <v>27848</v>
      </c>
      <c r="I110" t="s">
        <v>24</v>
      </c>
      <c r="J110">
        <v>5.7</v>
      </c>
      <c r="K110">
        <v>158733.6</v>
      </c>
      <c r="L110" t="s">
        <v>634</v>
      </c>
      <c r="M110" t="s">
        <v>714</v>
      </c>
      <c r="N110">
        <v>5.59</v>
      </c>
      <c r="O110" t="s">
        <v>27</v>
      </c>
      <c r="P110" t="s">
        <v>715</v>
      </c>
      <c r="Q110">
        <v>4</v>
      </c>
      <c r="R110">
        <v>6.9333</v>
      </c>
      <c r="S110">
        <v>4.48</v>
      </c>
    </row>
    <row r="111" spans="1:19">
      <c r="A111">
        <v>110</v>
      </c>
      <c r="B111">
        <v>1</v>
      </c>
      <c r="C111">
        <v>20240111</v>
      </c>
      <c r="D111" t="s">
        <v>20</v>
      </c>
      <c r="E111" t="s">
        <v>21</v>
      </c>
      <c r="F111" t="s">
        <v>29</v>
      </c>
      <c r="G111" t="s">
        <v>42</v>
      </c>
      <c r="H111">
        <v>34556</v>
      </c>
      <c r="I111" t="s">
        <v>24</v>
      </c>
      <c r="J111">
        <v>5.7</v>
      </c>
      <c r="K111">
        <v>196969.2</v>
      </c>
      <c r="L111" t="s">
        <v>637</v>
      </c>
      <c r="M111" t="s">
        <v>714</v>
      </c>
      <c r="N111">
        <v>5.59</v>
      </c>
      <c r="O111" t="s">
        <v>27</v>
      </c>
      <c r="P111" t="s">
        <v>715</v>
      </c>
      <c r="Q111">
        <v>6</v>
      </c>
      <c r="R111">
        <v>6.9333</v>
      </c>
      <c r="S111">
        <v>4.48</v>
      </c>
    </row>
    <row r="112" spans="1:19">
      <c r="A112">
        <v>111</v>
      </c>
      <c r="B112">
        <v>1</v>
      </c>
      <c r="C112">
        <v>20240111</v>
      </c>
      <c r="D112" t="s">
        <v>20</v>
      </c>
      <c r="E112" t="s">
        <v>21</v>
      </c>
      <c r="F112" t="s">
        <v>29</v>
      </c>
      <c r="G112" t="s">
        <v>42</v>
      </c>
      <c r="H112">
        <v>259086</v>
      </c>
      <c r="I112" t="s">
        <v>24</v>
      </c>
      <c r="J112">
        <v>5.7</v>
      </c>
      <c r="K112">
        <v>1476790.2</v>
      </c>
      <c r="L112" t="s">
        <v>634</v>
      </c>
      <c r="M112" t="s">
        <v>714</v>
      </c>
      <c r="N112">
        <v>5.59</v>
      </c>
      <c r="O112" t="s">
        <v>27</v>
      </c>
      <c r="P112" t="s">
        <v>715</v>
      </c>
      <c r="Q112">
        <v>31</v>
      </c>
      <c r="R112">
        <v>6.9333</v>
      </c>
      <c r="S112">
        <v>4.48</v>
      </c>
    </row>
    <row r="113" spans="1:19">
      <c r="A113">
        <v>112</v>
      </c>
      <c r="B113">
        <v>1</v>
      </c>
      <c r="C113">
        <v>20240112</v>
      </c>
      <c r="D113" t="s">
        <v>20</v>
      </c>
      <c r="E113" t="s">
        <v>21</v>
      </c>
      <c r="F113" t="s">
        <v>22</v>
      </c>
      <c r="G113" t="s">
        <v>42</v>
      </c>
      <c r="H113">
        <v>1776748</v>
      </c>
      <c r="I113" t="s">
        <v>24</v>
      </c>
      <c r="J113">
        <v>5.63</v>
      </c>
      <c r="K113">
        <v>10003091.24</v>
      </c>
      <c r="L113" t="s">
        <v>634</v>
      </c>
      <c r="M113" t="s">
        <v>716</v>
      </c>
      <c r="N113">
        <v>5.516</v>
      </c>
      <c r="O113" t="s">
        <v>27</v>
      </c>
      <c r="P113" t="s">
        <v>717</v>
      </c>
      <c r="Q113">
        <v>67</v>
      </c>
      <c r="R113">
        <v>6.9333</v>
      </c>
      <c r="S113">
        <v>4.48</v>
      </c>
    </row>
    <row r="114" spans="1:19">
      <c r="A114">
        <v>113</v>
      </c>
      <c r="B114">
        <v>1</v>
      </c>
      <c r="C114">
        <v>20240112</v>
      </c>
      <c r="D114" t="s">
        <v>20</v>
      </c>
      <c r="E114" t="s">
        <v>21</v>
      </c>
      <c r="F114" t="s">
        <v>22</v>
      </c>
      <c r="G114" t="s">
        <v>42</v>
      </c>
      <c r="H114">
        <v>239507</v>
      </c>
      <c r="I114" t="s">
        <v>24</v>
      </c>
      <c r="J114">
        <v>4.58</v>
      </c>
      <c r="K114">
        <v>1096942.06</v>
      </c>
      <c r="L114" t="s">
        <v>637</v>
      </c>
      <c r="M114" t="s">
        <v>716</v>
      </c>
      <c r="N114">
        <v>4.4875</v>
      </c>
      <c r="O114" t="s">
        <v>27</v>
      </c>
      <c r="P114" t="s">
        <v>718</v>
      </c>
      <c r="Q114">
        <v>11</v>
      </c>
      <c r="R114">
        <v>6.9333</v>
      </c>
      <c r="S114">
        <v>4.48</v>
      </c>
    </row>
    <row r="115" spans="1:19">
      <c r="A115">
        <v>114</v>
      </c>
      <c r="B115">
        <v>1</v>
      </c>
      <c r="C115">
        <v>20240112</v>
      </c>
      <c r="D115" t="s">
        <v>28</v>
      </c>
      <c r="E115" t="s">
        <v>21</v>
      </c>
      <c r="F115" t="s">
        <v>41</v>
      </c>
      <c r="G115" t="s">
        <v>30</v>
      </c>
      <c r="H115">
        <v>148095</v>
      </c>
      <c r="I115" t="s">
        <v>24</v>
      </c>
      <c r="J115">
        <v>4.14</v>
      </c>
      <c r="K115">
        <v>613113.3</v>
      </c>
      <c r="L115" t="s">
        <v>634</v>
      </c>
      <c r="M115" t="s">
        <v>719</v>
      </c>
      <c r="N115">
        <v>4.05</v>
      </c>
      <c r="O115" t="s">
        <v>27</v>
      </c>
      <c r="P115" t="s">
        <v>720</v>
      </c>
      <c r="Q115">
        <v>13</v>
      </c>
    </row>
    <row r="116" spans="1:19">
      <c r="A116">
        <v>115</v>
      </c>
      <c r="B116">
        <v>1</v>
      </c>
      <c r="C116">
        <v>20240112</v>
      </c>
      <c r="D116" t="s">
        <v>28</v>
      </c>
      <c r="E116" t="s">
        <v>21</v>
      </c>
      <c r="F116" t="s">
        <v>41</v>
      </c>
      <c r="G116" t="s">
        <v>37</v>
      </c>
      <c r="H116">
        <v>32473</v>
      </c>
      <c r="I116" t="s">
        <v>24</v>
      </c>
      <c r="J116">
        <v>4.14</v>
      </c>
      <c r="K116">
        <v>134438.22</v>
      </c>
      <c r="L116" t="s">
        <v>634</v>
      </c>
      <c r="M116" t="s">
        <v>719</v>
      </c>
      <c r="N116">
        <v>4.05</v>
      </c>
      <c r="O116" t="s">
        <v>27</v>
      </c>
      <c r="P116" t="s">
        <v>721</v>
      </c>
      <c r="Q116">
        <v>3</v>
      </c>
    </row>
    <row r="117" spans="1:19">
      <c r="A117">
        <v>116</v>
      </c>
      <c r="B117">
        <v>1</v>
      </c>
      <c r="C117">
        <v>20240112</v>
      </c>
      <c r="D117" t="s">
        <v>28</v>
      </c>
      <c r="E117" t="s">
        <v>21</v>
      </c>
      <c r="F117" t="s">
        <v>41</v>
      </c>
      <c r="G117" t="s">
        <v>30</v>
      </c>
      <c r="H117">
        <v>270504</v>
      </c>
      <c r="I117" t="s">
        <v>24</v>
      </c>
      <c r="J117">
        <v>4.14</v>
      </c>
      <c r="K117">
        <v>1119886.56</v>
      </c>
      <c r="L117" t="s">
        <v>637</v>
      </c>
      <c r="M117" t="s">
        <v>719</v>
      </c>
      <c r="N117">
        <v>4.05</v>
      </c>
      <c r="O117" t="s">
        <v>27</v>
      </c>
      <c r="P117" t="s">
        <v>720</v>
      </c>
      <c r="Q117">
        <v>42</v>
      </c>
    </row>
    <row r="118" spans="1:19">
      <c r="A118">
        <v>117</v>
      </c>
      <c r="B118">
        <v>1</v>
      </c>
      <c r="C118">
        <v>20240112</v>
      </c>
      <c r="D118" t="s">
        <v>28</v>
      </c>
      <c r="E118" t="s">
        <v>21</v>
      </c>
      <c r="F118" t="s">
        <v>41</v>
      </c>
      <c r="G118" t="s">
        <v>37</v>
      </c>
      <c r="H118">
        <v>87503</v>
      </c>
      <c r="I118" t="s">
        <v>24</v>
      </c>
      <c r="J118">
        <v>4.14</v>
      </c>
      <c r="K118">
        <v>362262.42</v>
      </c>
      <c r="L118" t="s">
        <v>637</v>
      </c>
      <c r="M118" t="s">
        <v>719</v>
      </c>
      <c r="N118">
        <v>4.05</v>
      </c>
      <c r="O118" t="s">
        <v>27</v>
      </c>
      <c r="P118" t="s">
        <v>721</v>
      </c>
      <c r="Q118">
        <v>12</v>
      </c>
    </row>
    <row r="119" spans="1:19">
      <c r="A119">
        <v>118</v>
      </c>
      <c r="B119">
        <v>1</v>
      </c>
      <c r="C119">
        <v>20240112</v>
      </c>
      <c r="D119" t="s">
        <v>20</v>
      </c>
      <c r="E119" t="s">
        <v>21</v>
      </c>
      <c r="F119" t="s">
        <v>46</v>
      </c>
      <c r="G119" t="s">
        <v>47</v>
      </c>
      <c r="H119">
        <v>1492</v>
      </c>
      <c r="I119" t="s">
        <v>24</v>
      </c>
      <c r="J119">
        <v>7.46</v>
      </c>
      <c r="K119">
        <v>11130.32</v>
      </c>
      <c r="L119" t="s">
        <v>634</v>
      </c>
      <c r="M119" t="s">
        <v>722</v>
      </c>
      <c r="N119">
        <v>4.93</v>
      </c>
      <c r="O119" t="s">
        <v>27</v>
      </c>
      <c r="P119" t="s">
        <v>723</v>
      </c>
      <c r="Q119">
        <v>1</v>
      </c>
      <c r="R119">
        <v>5.2041</v>
      </c>
    </row>
    <row r="120" spans="1:19">
      <c r="A120">
        <v>119</v>
      </c>
      <c r="B120">
        <v>1</v>
      </c>
      <c r="C120">
        <v>20240112</v>
      </c>
      <c r="D120" t="s">
        <v>20</v>
      </c>
      <c r="E120" t="s">
        <v>21</v>
      </c>
      <c r="F120" t="s">
        <v>46</v>
      </c>
      <c r="G120" t="s">
        <v>633</v>
      </c>
      <c r="H120">
        <v>113527</v>
      </c>
      <c r="I120" t="s">
        <v>24</v>
      </c>
      <c r="J120">
        <v>7.46</v>
      </c>
      <c r="K120">
        <v>846911.42</v>
      </c>
      <c r="L120" t="s">
        <v>634</v>
      </c>
      <c r="M120" t="s">
        <v>722</v>
      </c>
      <c r="N120">
        <v>4.93</v>
      </c>
      <c r="O120" t="s">
        <v>27</v>
      </c>
      <c r="P120" t="s">
        <v>724</v>
      </c>
      <c r="Q120">
        <v>8</v>
      </c>
    </row>
    <row r="121" spans="1:19">
      <c r="A121">
        <v>120</v>
      </c>
      <c r="B121">
        <v>1</v>
      </c>
      <c r="C121">
        <v>20240112</v>
      </c>
      <c r="D121" t="s">
        <v>20</v>
      </c>
      <c r="E121" t="s">
        <v>21</v>
      </c>
      <c r="F121" t="s">
        <v>41</v>
      </c>
      <c r="G121" t="s">
        <v>42</v>
      </c>
      <c r="H121">
        <v>467673</v>
      </c>
      <c r="I121" t="s">
        <v>24</v>
      </c>
      <c r="J121">
        <v>5.63</v>
      </c>
      <c r="K121">
        <v>2632998.99</v>
      </c>
      <c r="L121" t="s">
        <v>634</v>
      </c>
      <c r="M121" t="s">
        <v>725</v>
      </c>
      <c r="N121">
        <v>5.516</v>
      </c>
      <c r="O121" t="s">
        <v>27</v>
      </c>
      <c r="P121" t="s">
        <v>726</v>
      </c>
      <c r="Q121">
        <v>43</v>
      </c>
      <c r="S121">
        <v>4.48</v>
      </c>
    </row>
    <row r="122" spans="1:19">
      <c r="A122">
        <v>121</v>
      </c>
      <c r="B122">
        <v>1</v>
      </c>
      <c r="C122">
        <v>20240112</v>
      </c>
      <c r="D122" t="s">
        <v>20</v>
      </c>
      <c r="E122" t="s">
        <v>21</v>
      </c>
      <c r="F122" t="s">
        <v>41</v>
      </c>
      <c r="G122" t="s">
        <v>42</v>
      </c>
      <c r="H122">
        <v>29864</v>
      </c>
      <c r="I122" t="s">
        <v>24</v>
      </c>
      <c r="J122">
        <v>5.63</v>
      </c>
      <c r="K122">
        <v>168134.32</v>
      </c>
      <c r="L122" t="s">
        <v>637</v>
      </c>
      <c r="M122" t="s">
        <v>725</v>
      </c>
      <c r="N122">
        <v>5.516</v>
      </c>
      <c r="O122" t="s">
        <v>27</v>
      </c>
      <c r="P122" t="s">
        <v>726</v>
      </c>
      <c r="Q122">
        <v>4</v>
      </c>
      <c r="R122">
        <v>6.9333</v>
      </c>
      <c r="S122">
        <v>4.48</v>
      </c>
    </row>
    <row r="123" spans="1:19">
      <c r="A123">
        <v>122</v>
      </c>
      <c r="B123">
        <v>1</v>
      </c>
      <c r="C123">
        <v>20240113</v>
      </c>
      <c r="D123" t="s">
        <v>20</v>
      </c>
      <c r="E123" t="s">
        <v>21</v>
      </c>
      <c r="F123" t="s">
        <v>32</v>
      </c>
      <c r="G123" t="s">
        <v>50</v>
      </c>
      <c r="H123">
        <v>14960</v>
      </c>
      <c r="I123" t="s">
        <v>24</v>
      </c>
      <c r="J123">
        <v>5.53</v>
      </c>
      <c r="K123">
        <v>82728.8</v>
      </c>
      <c r="L123" t="s">
        <v>637</v>
      </c>
      <c r="M123" t="s">
        <v>727</v>
      </c>
      <c r="N123">
        <v>4.7765</v>
      </c>
      <c r="O123" t="s">
        <v>27</v>
      </c>
      <c r="P123" t="s">
        <v>728</v>
      </c>
      <c r="Q123">
        <v>2</v>
      </c>
      <c r="R123">
        <v>7.024</v>
      </c>
    </row>
    <row r="124" spans="1:19">
      <c r="A124">
        <v>123</v>
      </c>
      <c r="B124">
        <v>1</v>
      </c>
      <c r="C124">
        <v>20240113</v>
      </c>
      <c r="D124" t="s">
        <v>20</v>
      </c>
      <c r="E124" t="s">
        <v>21</v>
      </c>
      <c r="F124" t="s">
        <v>32</v>
      </c>
      <c r="G124" t="s">
        <v>640</v>
      </c>
      <c r="H124">
        <v>447992</v>
      </c>
      <c r="I124" t="s">
        <v>24</v>
      </c>
      <c r="J124">
        <v>5.47</v>
      </c>
      <c r="K124">
        <v>2450516.24</v>
      </c>
      <c r="L124" t="s">
        <v>634</v>
      </c>
      <c r="M124" t="s">
        <v>727</v>
      </c>
      <c r="N124">
        <v>5.0362</v>
      </c>
      <c r="O124" t="s">
        <v>27</v>
      </c>
      <c r="P124" t="s">
        <v>729</v>
      </c>
      <c r="Q124">
        <v>245</v>
      </c>
      <c r="R124">
        <v>7.1094</v>
      </c>
    </row>
    <row r="125" spans="1:19">
      <c r="A125">
        <v>124</v>
      </c>
      <c r="B125">
        <v>1</v>
      </c>
      <c r="C125">
        <v>20240113</v>
      </c>
      <c r="D125" t="s">
        <v>28</v>
      </c>
      <c r="E125" t="s">
        <v>21</v>
      </c>
      <c r="F125" t="s">
        <v>32</v>
      </c>
      <c r="G125" t="s">
        <v>30</v>
      </c>
      <c r="H125">
        <v>7480</v>
      </c>
      <c r="I125" t="s">
        <v>24</v>
      </c>
      <c r="J125">
        <v>4.14</v>
      </c>
      <c r="K125">
        <v>30967.2</v>
      </c>
      <c r="L125" t="s">
        <v>637</v>
      </c>
      <c r="M125" t="s">
        <v>730</v>
      </c>
      <c r="N125">
        <v>4.015</v>
      </c>
      <c r="O125" t="s">
        <v>27</v>
      </c>
      <c r="P125" t="s">
        <v>731</v>
      </c>
      <c r="Q125">
        <v>1</v>
      </c>
    </row>
    <row r="126" spans="1:19">
      <c r="A126">
        <v>125</v>
      </c>
      <c r="B126">
        <v>1</v>
      </c>
      <c r="C126">
        <v>20240115</v>
      </c>
      <c r="D126" t="s">
        <v>20</v>
      </c>
      <c r="E126" t="s">
        <v>21</v>
      </c>
      <c r="F126" t="s">
        <v>59</v>
      </c>
      <c r="G126" t="s">
        <v>47</v>
      </c>
      <c r="H126">
        <v>257035</v>
      </c>
      <c r="I126" t="s">
        <v>24</v>
      </c>
      <c r="J126">
        <v>7.46</v>
      </c>
      <c r="K126">
        <v>1917481.1</v>
      </c>
      <c r="L126" t="s">
        <v>637</v>
      </c>
      <c r="M126" t="s">
        <v>732</v>
      </c>
      <c r="N126">
        <v>5.1366</v>
      </c>
      <c r="O126" t="s">
        <v>27</v>
      </c>
      <c r="P126" t="s">
        <v>733</v>
      </c>
      <c r="Q126">
        <v>20</v>
      </c>
      <c r="R126">
        <v>5.2041</v>
      </c>
    </row>
    <row r="127" spans="1:19">
      <c r="A127">
        <v>126</v>
      </c>
      <c r="B127">
        <v>1</v>
      </c>
      <c r="C127">
        <v>20240116</v>
      </c>
      <c r="D127" t="s">
        <v>20</v>
      </c>
      <c r="E127" t="s">
        <v>21</v>
      </c>
      <c r="F127" t="s">
        <v>32</v>
      </c>
      <c r="G127" t="s">
        <v>50</v>
      </c>
      <c r="H127">
        <v>805640</v>
      </c>
      <c r="I127" t="s">
        <v>24</v>
      </c>
      <c r="J127">
        <v>5.53</v>
      </c>
      <c r="K127">
        <v>4455189.2</v>
      </c>
      <c r="L127" t="s">
        <v>637</v>
      </c>
      <c r="M127" t="s">
        <v>734</v>
      </c>
      <c r="N127">
        <v>4.7765</v>
      </c>
      <c r="O127" t="s">
        <v>27</v>
      </c>
      <c r="P127" t="s">
        <v>735</v>
      </c>
      <c r="Q127">
        <v>67</v>
      </c>
      <c r="R127">
        <v>7.024</v>
      </c>
    </row>
    <row r="128" spans="1:19">
      <c r="A128">
        <v>127</v>
      </c>
      <c r="B128">
        <v>1</v>
      </c>
      <c r="C128">
        <v>20240116</v>
      </c>
      <c r="D128" t="s">
        <v>20</v>
      </c>
      <c r="E128" t="s">
        <v>21</v>
      </c>
      <c r="F128" t="s">
        <v>59</v>
      </c>
      <c r="G128" t="s">
        <v>47</v>
      </c>
      <c r="H128">
        <v>64458</v>
      </c>
      <c r="I128" t="s">
        <v>24</v>
      </c>
      <c r="J128">
        <v>7.46</v>
      </c>
      <c r="K128">
        <v>480856.68</v>
      </c>
      <c r="L128" t="s">
        <v>637</v>
      </c>
      <c r="M128" t="s">
        <v>736</v>
      </c>
      <c r="N128">
        <v>5.134354</v>
      </c>
      <c r="O128" t="s">
        <v>27</v>
      </c>
      <c r="P128" t="s">
        <v>737</v>
      </c>
      <c r="Q128">
        <v>1</v>
      </c>
      <c r="R128">
        <v>5.2041</v>
      </c>
    </row>
    <row r="129" spans="1:18">
      <c r="A129">
        <v>128</v>
      </c>
      <c r="B129">
        <v>1</v>
      </c>
      <c r="C129">
        <v>20240116</v>
      </c>
      <c r="D129" t="s">
        <v>20</v>
      </c>
      <c r="E129" t="s">
        <v>21</v>
      </c>
      <c r="F129" t="s">
        <v>22</v>
      </c>
      <c r="G129" t="s">
        <v>30</v>
      </c>
      <c r="H129">
        <v>336</v>
      </c>
      <c r="I129" t="s">
        <v>24</v>
      </c>
      <c r="J129">
        <v>4.14</v>
      </c>
      <c r="K129">
        <v>1391.04</v>
      </c>
      <c r="L129" t="s">
        <v>637</v>
      </c>
      <c r="M129" t="s">
        <v>738</v>
      </c>
      <c r="N129">
        <v>3.5538</v>
      </c>
      <c r="O129" t="s">
        <v>27</v>
      </c>
      <c r="P129" t="s">
        <v>739</v>
      </c>
      <c r="Q129">
        <v>1</v>
      </c>
      <c r="R129">
        <v>4.9338</v>
      </c>
    </row>
    <row r="130" spans="1:18">
      <c r="A130">
        <v>129</v>
      </c>
      <c r="B130">
        <v>1</v>
      </c>
      <c r="C130">
        <v>20240116</v>
      </c>
      <c r="D130" t="s">
        <v>20</v>
      </c>
      <c r="E130" t="s">
        <v>21</v>
      </c>
      <c r="F130" t="s">
        <v>22</v>
      </c>
      <c r="G130" t="s">
        <v>30</v>
      </c>
      <c r="H130">
        <v>345600</v>
      </c>
      <c r="I130" t="s">
        <v>24</v>
      </c>
      <c r="J130">
        <v>4.14</v>
      </c>
      <c r="K130">
        <v>1430784</v>
      </c>
      <c r="L130" t="s">
        <v>634</v>
      </c>
      <c r="M130" t="s">
        <v>738</v>
      </c>
      <c r="N130">
        <v>4.0263</v>
      </c>
      <c r="O130" t="s">
        <v>27</v>
      </c>
      <c r="P130" t="s">
        <v>739</v>
      </c>
      <c r="Q130">
        <v>16</v>
      </c>
      <c r="R130">
        <v>4.9338</v>
      </c>
    </row>
    <row r="131" spans="1:18">
      <c r="A131">
        <v>130</v>
      </c>
      <c r="B131">
        <v>1</v>
      </c>
      <c r="C131">
        <v>20240116</v>
      </c>
      <c r="D131" t="s">
        <v>28</v>
      </c>
      <c r="E131" t="s">
        <v>21</v>
      </c>
      <c r="F131" t="s">
        <v>22</v>
      </c>
      <c r="G131" t="s">
        <v>30</v>
      </c>
      <c r="H131">
        <v>46917</v>
      </c>
      <c r="I131" t="s">
        <v>24</v>
      </c>
      <c r="J131">
        <v>4.14</v>
      </c>
      <c r="K131">
        <v>194236.38</v>
      </c>
      <c r="L131" t="s">
        <v>637</v>
      </c>
      <c r="M131" t="s">
        <v>740</v>
      </c>
      <c r="N131">
        <v>3.5538</v>
      </c>
      <c r="O131" t="s">
        <v>27</v>
      </c>
      <c r="P131" t="s">
        <v>741</v>
      </c>
      <c r="Q131">
        <v>2</v>
      </c>
    </row>
    <row r="132" spans="1:18">
      <c r="A132">
        <v>131</v>
      </c>
      <c r="B132">
        <v>1</v>
      </c>
      <c r="C132">
        <v>20240116</v>
      </c>
      <c r="D132" t="s">
        <v>28</v>
      </c>
      <c r="E132" t="s">
        <v>21</v>
      </c>
      <c r="F132" t="s">
        <v>22</v>
      </c>
      <c r="G132" t="s">
        <v>37</v>
      </c>
      <c r="H132">
        <v>3933</v>
      </c>
      <c r="I132" t="s">
        <v>24</v>
      </c>
      <c r="J132">
        <v>4.14</v>
      </c>
      <c r="K132">
        <v>16282.62</v>
      </c>
      <c r="L132" t="s">
        <v>637</v>
      </c>
      <c r="M132" t="s">
        <v>740</v>
      </c>
      <c r="N132">
        <v>3.5538</v>
      </c>
      <c r="O132" t="s">
        <v>27</v>
      </c>
      <c r="P132" t="s">
        <v>742</v>
      </c>
      <c r="Q132">
        <v>2</v>
      </c>
    </row>
    <row r="133" spans="1:18">
      <c r="A133">
        <v>132</v>
      </c>
      <c r="B133">
        <v>1</v>
      </c>
      <c r="C133">
        <v>20240116</v>
      </c>
      <c r="D133" t="s">
        <v>28</v>
      </c>
      <c r="E133" t="s">
        <v>21</v>
      </c>
      <c r="F133" t="s">
        <v>22</v>
      </c>
      <c r="G133" t="s">
        <v>30</v>
      </c>
      <c r="H133">
        <v>19613</v>
      </c>
      <c r="I133" t="s">
        <v>24</v>
      </c>
      <c r="J133">
        <v>4.14</v>
      </c>
      <c r="K133">
        <v>81197.82</v>
      </c>
      <c r="L133" t="s">
        <v>654</v>
      </c>
      <c r="M133" t="s">
        <v>740</v>
      </c>
      <c r="N133">
        <v>4.0377</v>
      </c>
      <c r="O133" t="s">
        <v>27</v>
      </c>
      <c r="P133" t="s">
        <v>741</v>
      </c>
      <c r="Q133">
        <v>6</v>
      </c>
    </row>
    <row r="134" spans="1:18">
      <c r="A134">
        <v>133</v>
      </c>
      <c r="B134">
        <v>1</v>
      </c>
      <c r="C134">
        <v>20240116</v>
      </c>
      <c r="D134" t="s">
        <v>28</v>
      </c>
      <c r="E134" t="s">
        <v>21</v>
      </c>
      <c r="F134" t="s">
        <v>22</v>
      </c>
      <c r="G134" t="s">
        <v>37</v>
      </c>
      <c r="H134">
        <v>888</v>
      </c>
      <c r="I134" t="s">
        <v>24</v>
      </c>
      <c r="J134">
        <v>4.14</v>
      </c>
      <c r="K134">
        <v>3676.32</v>
      </c>
      <c r="L134" t="s">
        <v>654</v>
      </c>
      <c r="M134" t="s">
        <v>740</v>
      </c>
      <c r="N134">
        <v>4.479</v>
      </c>
      <c r="O134" t="s">
        <v>27</v>
      </c>
      <c r="P134" t="s">
        <v>742</v>
      </c>
      <c r="Q134">
        <v>1</v>
      </c>
    </row>
    <row r="135" spans="1:18">
      <c r="A135">
        <v>134</v>
      </c>
      <c r="B135">
        <v>1</v>
      </c>
      <c r="C135">
        <v>20240116</v>
      </c>
      <c r="D135" t="s">
        <v>28</v>
      </c>
      <c r="E135" t="s">
        <v>21</v>
      </c>
      <c r="F135" t="s">
        <v>22</v>
      </c>
      <c r="G135" t="s">
        <v>37</v>
      </c>
      <c r="H135">
        <v>5937</v>
      </c>
      <c r="I135" t="s">
        <v>24</v>
      </c>
      <c r="J135">
        <v>4.14</v>
      </c>
      <c r="K135">
        <v>24579.18</v>
      </c>
      <c r="L135" t="s">
        <v>634</v>
      </c>
      <c r="M135" t="s">
        <v>740</v>
      </c>
      <c r="N135">
        <v>4.049</v>
      </c>
      <c r="O135" t="s">
        <v>27</v>
      </c>
      <c r="P135" t="s">
        <v>742</v>
      </c>
      <c r="Q135">
        <v>2</v>
      </c>
    </row>
    <row r="136" spans="1:18">
      <c r="A136">
        <v>135</v>
      </c>
      <c r="B136">
        <v>1</v>
      </c>
      <c r="C136">
        <v>20240116</v>
      </c>
      <c r="D136" t="s">
        <v>20</v>
      </c>
      <c r="E136" t="s">
        <v>21</v>
      </c>
      <c r="F136" t="s">
        <v>29</v>
      </c>
      <c r="G136" t="s">
        <v>47</v>
      </c>
      <c r="H136">
        <v>7666</v>
      </c>
      <c r="I136" t="s">
        <v>24</v>
      </c>
      <c r="J136">
        <v>7.46</v>
      </c>
      <c r="K136">
        <v>57188.36</v>
      </c>
      <c r="L136" t="s">
        <v>637</v>
      </c>
      <c r="M136" t="s">
        <v>743</v>
      </c>
      <c r="N136">
        <v>5.1911</v>
      </c>
      <c r="O136" t="s">
        <v>27</v>
      </c>
      <c r="P136" t="s">
        <v>744</v>
      </c>
      <c r="Q136">
        <v>4</v>
      </c>
      <c r="R136">
        <v>5.2041</v>
      </c>
    </row>
    <row r="137" spans="1:18">
      <c r="A137">
        <v>136</v>
      </c>
      <c r="B137">
        <v>1</v>
      </c>
      <c r="C137">
        <v>20240117</v>
      </c>
      <c r="D137" t="s">
        <v>28</v>
      </c>
      <c r="E137" t="s">
        <v>21</v>
      </c>
      <c r="F137" t="s">
        <v>22</v>
      </c>
      <c r="G137" t="s">
        <v>37</v>
      </c>
      <c r="H137">
        <v>54488</v>
      </c>
      <c r="I137" t="s">
        <v>24</v>
      </c>
      <c r="J137">
        <v>4.14</v>
      </c>
      <c r="K137">
        <v>225580.32</v>
      </c>
      <c r="L137" t="s">
        <v>637</v>
      </c>
      <c r="M137" t="s">
        <v>745</v>
      </c>
      <c r="N137">
        <v>3.3692</v>
      </c>
      <c r="O137" t="s">
        <v>27</v>
      </c>
      <c r="P137" t="s">
        <v>746</v>
      </c>
      <c r="Q137">
        <v>111</v>
      </c>
      <c r="R137" t="s">
        <v>747</v>
      </c>
    </row>
    <row r="138" spans="1:18">
      <c r="A138">
        <v>137</v>
      </c>
      <c r="B138">
        <v>1</v>
      </c>
      <c r="C138">
        <v>20240117</v>
      </c>
      <c r="D138" t="s">
        <v>28</v>
      </c>
      <c r="E138" t="s">
        <v>21</v>
      </c>
      <c r="F138" t="s">
        <v>22</v>
      </c>
      <c r="G138" t="s">
        <v>30</v>
      </c>
      <c r="H138">
        <v>662879</v>
      </c>
      <c r="I138" t="s">
        <v>24</v>
      </c>
      <c r="J138">
        <v>4.14</v>
      </c>
      <c r="K138">
        <v>2744319.06</v>
      </c>
      <c r="L138" t="s">
        <v>637</v>
      </c>
      <c r="M138" t="s">
        <v>745</v>
      </c>
      <c r="N138">
        <v>3.3692</v>
      </c>
      <c r="O138" t="s">
        <v>27</v>
      </c>
      <c r="P138" t="s">
        <v>748</v>
      </c>
      <c r="Q138">
        <v>244</v>
      </c>
      <c r="R138" t="s">
        <v>747</v>
      </c>
    </row>
    <row r="139" spans="1:18">
      <c r="A139">
        <v>138</v>
      </c>
      <c r="B139">
        <v>1</v>
      </c>
      <c r="C139">
        <v>20240117</v>
      </c>
      <c r="D139" t="s">
        <v>20</v>
      </c>
      <c r="E139" t="s">
        <v>21</v>
      </c>
      <c r="F139" t="s">
        <v>32</v>
      </c>
      <c r="G139" t="s">
        <v>50</v>
      </c>
      <c r="H139">
        <v>389627</v>
      </c>
      <c r="I139" t="s">
        <v>24</v>
      </c>
      <c r="J139">
        <v>5.53</v>
      </c>
      <c r="K139">
        <v>2154637.31</v>
      </c>
      <c r="L139" t="s">
        <v>637</v>
      </c>
      <c r="M139" t="s">
        <v>749</v>
      </c>
      <c r="N139">
        <v>4.7765</v>
      </c>
      <c r="O139" t="s">
        <v>27</v>
      </c>
      <c r="P139" t="s">
        <v>750</v>
      </c>
      <c r="Q139">
        <v>43</v>
      </c>
    </row>
    <row r="140" spans="1:18">
      <c r="A140">
        <v>139</v>
      </c>
      <c r="B140">
        <v>1</v>
      </c>
      <c r="C140">
        <v>20240117</v>
      </c>
      <c r="D140" t="s">
        <v>28</v>
      </c>
      <c r="E140" t="s">
        <v>21</v>
      </c>
      <c r="F140" t="s">
        <v>32</v>
      </c>
      <c r="G140" t="s">
        <v>30</v>
      </c>
      <c r="H140">
        <v>26025</v>
      </c>
      <c r="I140" t="s">
        <v>24</v>
      </c>
      <c r="J140">
        <v>4.14</v>
      </c>
      <c r="K140">
        <v>107743.5</v>
      </c>
      <c r="L140" t="s">
        <v>634</v>
      </c>
      <c r="M140" t="s">
        <v>751</v>
      </c>
      <c r="N140">
        <v>4.015</v>
      </c>
      <c r="O140" t="s">
        <v>27</v>
      </c>
      <c r="P140" t="s">
        <v>752</v>
      </c>
      <c r="Q140">
        <v>5</v>
      </c>
    </row>
    <row r="141" spans="1:18">
      <c r="A141">
        <v>140</v>
      </c>
      <c r="B141">
        <v>1</v>
      </c>
      <c r="C141">
        <v>20240117</v>
      </c>
      <c r="D141" t="s">
        <v>28</v>
      </c>
      <c r="E141" t="s">
        <v>21</v>
      </c>
      <c r="F141" t="s">
        <v>32</v>
      </c>
      <c r="G141" t="s">
        <v>37</v>
      </c>
      <c r="H141">
        <v>6888</v>
      </c>
      <c r="I141" t="s">
        <v>24</v>
      </c>
      <c r="J141">
        <v>4.14</v>
      </c>
      <c r="K141">
        <v>28516.32</v>
      </c>
      <c r="L141" t="s">
        <v>654</v>
      </c>
      <c r="M141" t="s">
        <v>751</v>
      </c>
      <c r="N141">
        <v>4.015</v>
      </c>
      <c r="O141" t="s">
        <v>27</v>
      </c>
      <c r="P141" t="s">
        <v>753</v>
      </c>
      <c r="Q141">
        <v>1</v>
      </c>
    </row>
    <row r="142" spans="1:18">
      <c r="A142">
        <v>141</v>
      </c>
      <c r="B142">
        <v>1</v>
      </c>
      <c r="C142">
        <v>20240117</v>
      </c>
      <c r="D142" t="s">
        <v>28</v>
      </c>
      <c r="E142" t="s">
        <v>21</v>
      </c>
      <c r="F142" t="s">
        <v>32</v>
      </c>
      <c r="G142" t="s">
        <v>37</v>
      </c>
      <c r="H142">
        <v>21922</v>
      </c>
      <c r="I142" t="s">
        <v>24</v>
      </c>
      <c r="J142">
        <v>4.14</v>
      </c>
      <c r="K142">
        <v>90757.08</v>
      </c>
      <c r="L142" t="s">
        <v>637</v>
      </c>
      <c r="M142" t="s">
        <v>751</v>
      </c>
      <c r="N142">
        <v>4.015</v>
      </c>
      <c r="O142" t="s">
        <v>27</v>
      </c>
      <c r="P142" t="s">
        <v>753</v>
      </c>
      <c r="Q142">
        <v>7</v>
      </c>
    </row>
    <row r="143" spans="1:18">
      <c r="A143">
        <v>142</v>
      </c>
      <c r="B143">
        <v>1</v>
      </c>
      <c r="C143">
        <v>20240117</v>
      </c>
      <c r="D143" t="s">
        <v>28</v>
      </c>
      <c r="E143" t="s">
        <v>21</v>
      </c>
      <c r="F143" t="s">
        <v>32</v>
      </c>
      <c r="G143" t="s">
        <v>30</v>
      </c>
      <c r="H143">
        <v>459011</v>
      </c>
      <c r="I143" t="s">
        <v>24</v>
      </c>
      <c r="J143">
        <v>4.14</v>
      </c>
      <c r="K143">
        <v>1900305.54</v>
      </c>
      <c r="L143" t="s">
        <v>637</v>
      </c>
      <c r="M143" t="s">
        <v>751</v>
      </c>
      <c r="N143">
        <v>4.015</v>
      </c>
      <c r="O143" t="s">
        <v>27</v>
      </c>
      <c r="P143" t="s">
        <v>752</v>
      </c>
      <c r="Q143">
        <v>95</v>
      </c>
    </row>
    <row r="144" spans="1:18">
      <c r="A144">
        <v>143</v>
      </c>
      <c r="B144">
        <v>1</v>
      </c>
      <c r="C144">
        <v>20240117</v>
      </c>
      <c r="D144" t="s">
        <v>28</v>
      </c>
      <c r="E144" t="s">
        <v>21</v>
      </c>
      <c r="F144" t="s">
        <v>22</v>
      </c>
      <c r="G144" t="s">
        <v>37</v>
      </c>
      <c r="H144">
        <v>69615</v>
      </c>
      <c r="I144" t="s">
        <v>24</v>
      </c>
      <c r="J144">
        <v>4.14</v>
      </c>
      <c r="K144">
        <v>288206.1</v>
      </c>
      <c r="L144" t="s">
        <v>637</v>
      </c>
      <c r="M144" t="s">
        <v>754</v>
      </c>
      <c r="N144">
        <v>4.0608</v>
      </c>
      <c r="O144" t="s">
        <v>27</v>
      </c>
      <c r="P144" t="s">
        <v>746</v>
      </c>
      <c r="Q144">
        <v>14</v>
      </c>
    </row>
    <row r="145" spans="1:17">
      <c r="A145">
        <v>144</v>
      </c>
      <c r="B145">
        <v>1</v>
      </c>
      <c r="C145">
        <v>20240117</v>
      </c>
      <c r="D145" t="s">
        <v>28</v>
      </c>
      <c r="E145" t="s">
        <v>21</v>
      </c>
      <c r="F145" t="s">
        <v>22</v>
      </c>
      <c r="G145" t="s">
        <v>37</v>
      </c>
      <c r="H145">
        <v>48767</v>
      </c>
      <c r="I145" t="s">
        <v>24</v>
      </c>
      <c r="J145">
        <v>4.14</v>
      </c>
      <c r="K145">
        <v>201895.38</v>
      </c>
      <c r="L145" t="s">
        <v>637</v>
      </c>
      <c r="M145" t="s">
        <v>754</v>
      </c>
      <c r="N145">
        <v>3.5722</v>
      </c>
      <c r="O145" t="s">
        <v>27</v>
      </c>
      <c r="P145" t="s">
        <v>746</v>
      </c>
      <c r="Q145">
        <v>14</v>
      </c>
    </row>
    <row r="146" spans="1:17">
      <c r="A146">
        <v>145</v>
      </c>
      <c r="B146">
        <v>1</v>
      </c>
      <c r="C146">
        <v>20240117</v>
      </c>
      <c r="D146" t="s">
        <v>28</v>
      </c>
      <c r="E146" t="s">
        <v>21</v>
      </c>
      <c r="F146" t="s">
        <v>22</v>
      </c>
      <c r="G146" t="s">
        <v>37</v>
      </c>
      <c r="H146">
        <v>2032</v>
      </c>
      <c r="I146" t="s">
        <v>24</v>
      </c>
      <c r="J146">
        <v>4.14</v>
      </c>
      <c r="K146">
        <v>8412.48</v>
      </c>
      <c r="L146" t="s">
        <v>637</v>
      </c>
      <c r="M146" t="s">
        <v>754</v>
      </c>
      <c r="N146">
        <v>3.5065</v>
      </c>
      <c r="O146" t="s">
        <v>27</v>
      </c>
      <c r="P146" t="s">
        <v>746</v>
      </c>
      <c r="Q146">
        <v>1</v>
      </c>
    </row>
    <row r="147" spans="1:17">
      <c r="A147">
        <v>146</v>
      </c>
      <c r="B147">
        <v>1</v>
      </c>
      <c r="C147">
        <v>20240117</v>
      </c>
      <c r="D147" t="s">
        <v>28</v>
      </c>
      <c r="E147" t="s">
        <v>21</v>
      </c>
      <c r="F147" t="s">
        <v>22</v>
      </c>
      <c r="G147" t="s">
        <v>30</v>
      </c>
      <c r="H147">
        <v>19567</v>
      </c>
      <c r="I147" t="s">
        <v>24</v>
      </c>
      <c r="J147">
        <v>4.14</v>
      </c>
      <c r="K147">
        <v>81007.38</v>
      </c>
      <c r="L147" t="s">
        <v>637</v>
      </c>
      <c r="M147" t="s">
        <v>754</v>
      </c>
      <c r="N147">
        <v>3.5538</v>
      </c>
      <c r="O147" t="s">
        <v>27</v>
      </c>
      <c r="P147" t="s">
        <v>748</v>
      </c>
      <c r="Q147">
        <v>3</v>
      </c>
    </row>
    <row r="148" spans="1:17">
      <c r="A148">
        <v>147</v>
      </c>
      <c r="B148">
        <v>1</v>
      </c>
      <c r="C148">
        <v>20240117</v>
      </c>
      <c r="D148" t="s">
        <v>28</v>
      </c>
      <c r="E148" t="s">
        <v>21</v>
      </c>
      <c r="F148" t="s">
        <v>22</v>
      </c>
      <c r="G148" t="s">
        <v>30</v>
      </c>
      <c r="H148">
        <v>16</v>
      </c>
      <c r="I148" t="s">
        <v>24</v>
      </c>
      <c r="J148">
        <v>4.14</v>
      </c>
      <c r="K148">
        <v>66.24</v>
      </c>
      <c r="L148" t="s">
        <v>637</v>
      </c>
      <c r="M148" t="s">
        <v>754</v>
      </c>
      <c r="N148">
        <v>3.5538</v>
      </c>
      <c r="O148" t="s">
        <v>27</v>
      </c>
      <c r="P148" t="s">
        <v>748</v>
      </c>
      <c r="Q148">
        <v>1</v>
      </c>
    </row>
    <row r="149" spans="1:17">
      <c r="A149">
        <v>148</v>
      </c>
      <c r="B149">
        <v>1</v>
      </c>
      <c r="C149">
        <v>20240117</v>
      </c>
      <c r="D149" t="s">
        <v>28</v>
      </c>
      <c r="E149" t="s">
        <v>21</v>
      </c>
      <c r="F149" t="s">
        <v>22</v>
      </c>
      <c r="G149" t="s">
        <v>37</v>
      </c>
      <c r="H149">
        <v>25375</v>
      </c>
      <c r="I149" t="s">
        <v>24</v>
      </c>
      <c r="J149">
        <v>4.14</v>
      </c>
      <c r="K149">
        <v>105052.5</v>
      </c>
      <c r="L149" t="s">
        <v>634</v>
      </c>
      <c r="M149" t="s">
        <v>754</v>
      </c>
      <c r="N149">
        <v>4.0626</v>
      </c>
      <c r="O149" t="s">
        <v>27</v>
      </c>
      <c r="P149" t="s">
        <v>746</v>
      </c>
      <c r="Q149">
        <v>11</v>
      </c>
    </row>
    <row r="150" spans="1:17">
      <c r="A150">
        <v>149</v>
      </c>
      <c r="B150">
        <v>1</v>
      </c>
      <c r="C150">
        <v>20240117</v>
      </c>
      <c r="D150" t="s">
        <v>28</v>
      </c>
      <c r="E150" t="s">
        <v>21</v>
      </c>
      <c r="F150" t="s">
        <v>22</v>
      </c>
      <c r="G150" t="s">
        <v>30</v>
      </c>
      <c r="H150">
        <v>36555</v>
      </c>
      <c r="I150" t="s">
        <v>24</v>
      </c>
      <c r="J150">
        <v>4.14</v>
      </c>
      <c r="K150">
        <v>151337.7</v>
      </c>
      <c r="L150" t="s">
        <v>634</v>
      </c>
      <c r="M150" t="s">
        <v>754</v>
      </c>
      <c r="N150">
        <v>4.062</v>
      </c>
      <c r="O150" t="s">
        <v>27</v>
      </c>
      <c r="P150" t="s">
        <v>748</v>
      </c>
      <c r="Q150">
        <v>6</v>
      </c>
    </row>
    <row r="151" spans="1:17">
      <c r="A151">
        <v>150</v>
      </c>
      <c r="B151">
        <v>1</v>
      </c>
      <c r="C151">
        <v>20240117</v>
      </c>
      <c r="D151" t="s">
        <v>28</v>
      </c>
      <c r="E151" t="s">
        <v>21</v>
      </c>
      <c r="F151" t="s">
        <v>22</v>
      </c>
      <c r="G151" t="s">
        <v>37</v>
      </c>
      <c r="H151">
        <v>4886</v>
      </c>
      <c r="I151" t="s">
        <v>24</v>
      </c>
      <c r="J151">
        <v>4.14</v>
      </c>
      <c r="K151">
        <v>20228.04</v>
      </c>
      <c r="L151" t="s">
        <v>654</v>
      </c>
      <c r="M151" t="s">
        <v>754</v>
      </c>
      <c r="N151">
        <v>4.5094</v>
      </c>
      <c r="O151" t="s">
        <v>27</v>
      </c>
      <c r="P151" t="s">
        <v>746</v>
      </c>
      <c r="Q151">
        <v>8</v>
      </c>
    </row>
    <row r="152" spans="1:17">
      <c r="A152">
        <v>151</v>
      </c>
      <c r="B152">
        <v>1</v>
      </c>
      <c r="C152">
        <v>20240117</v>
      </c>
      <c r="D152" t="s">
        <v>20</v>
      </c>
      <c r="E152" t="s">
        <v>21</v>
      </c>
      <c r="F152" t="s">
        <v>22</v>
      </c>
      <c r="G152" t="s">
        <v>42</v>
      </c>
      <c r="H152">
        <v>378130</v>
      </c>
      <c r="I152" t="s">
        <v>24</v>
      </c>
      <c r="J152">
        <v>5.63</v>
      </c>
      <c r="K152">
        <v>2128871.9</v>
      </c>
      <c r="L152" t="s">
        <v>634</v>
      </c>
      <c r="M152" t="s">
        <v>755</v>
      </c>
      <c r="N152">
        <v>5.516</v>
      </c>
      <c r="O152" t="s">
        <v>27</v>
      </c>
      <c r="P152" t="s">
        <v>756</v>
      </c>
      <c r="Q152">
        <v>24</v>
      </c>
    </row>
    <row r="153" spans="1:17">
      <c r="A153">
        <v>152</v>
      </c>
      <c r="B153">
        <v>1</v>
      </c>
      <c r="C153">
        <v>20240117</v>
      </c>
      <c r="D153" t="s">
        <v>20</v>
      </c>
      <c r="E153" t="s">
        <v>21</v>
      </c>
      <c r="F153" t="s">
        <v>22</v>
      </c>
      <c r="G153" t="s">
        <v>30</v>
      </c>
      <c r="H153">
        <v>137942</v>
      </c>
      <c r="I153" t="s">
        <v>24</v>
      </c>
      <c r="J153">
        <v>4.14</v>
      </c>
      <c r="K153">
        <v>571079.88</v>
      </c>
      <c r="L153" t="s">
        <v>634</v>
      </c>
      <c r="M153" t="s">
        <v>755</v>
      </c>
      <c r="N153">
        <v>4.0304</v>
      </c>
      <c r="O153" t="s">
        <v>27</v>
      </c>
      <c r="P153" t="s">
        <v>757</v>
      </c>
      <c r="Q153">
        <v>6</v>
      </c>
    </row>
    <row r="154" spans="1:17">
      <c r="A154">
        <v>153</v>
      </c>
      <c r="B154">
        <v>1</v>
      </c>
      <c r="C154">
        <v>20240117</v>
      </c>
      <c r="D154" t="s">
        <v>20</v>
      </c>
      <c r="E154" t="s">
        <v>21</v>
      </c>
      <c r="F154" t="s">
        <v>22</v>
      </c>
      <c r="G154" t="s">
        <v>42</v>
      </c>
      <c r="H154">
        <v>139770</v>
      </c>
      <c r="I154" t="s">
        <v>24</v>
      </c>
      <c r="J154">
        <v>4.58</v>
      </c>
      <c r="K154">
        <v>640146.6</v>
      </c>
      <c r="L154" t="s">
        <v>637</v>
      </c>
      <c r="M154" t="s">
        <v>755</v>
      </c>
      <c r="N154">
        <v>4.4875</v>
      </c>
      <c r="O154" t="s">
        <v>27</v>
      </c>
      <c r="P154" t="s">
        <v>758</v>
      </c>
      <c r="Q154">
        <v>8</v>
      </c>
    </row>
    <row r="155" spans="1:17">
      <c r="A155">
        <v>154</v>
      </c>
      <c r="B155">
        <v>1</v>
      </c>
      <c r="C155">
        <v>20240117</v>
      </c>
      <c r="D155" t="s">
        <v>20</v>
      </c>
      <c r="E155" t="s">
        <v>21</v>
      </c>
      <c r="F155" t="s">
        <v>22</v>
      </c>
      <c r="G155" t="s">
        <v>30</v>
      </c>
      <c r="H155">
        <v>18143</v>
      </c>
      <c r="I155" t="s">
        <v>24</v>
      </c>
      <c r="J155">
        <v>4.14</v>
      </c>
      <c r="K155">
        <v>75112.02</v>
      </c>
      <c r="L155" t="s">
        <v>637</v>
      </c>
      <c r="M155" t="s">
        <v>755</v>
      </c>
      <c r="N155">
        <v>3.5538</v>
      </c>
      <c r="O155" t="s">
        <v>27</v>
      </c>
      <c r="P155" t="s">
        <v>757</v>
      </c>
      <c r="Q155">
        <v>3</v>
      </c>
    </row>
    <row r="156" spans="1:17">
      <c r="A156">
        <v>155</v>
      </c>
      <c r="B156">
        <v>1</v>
      </c>
      <c r="C156">
        <v>20240117</v>
      </c>
      <c r="D156" t="s">
        <v>20</v>
      </c>
      <c r="E156" t="s">
        <v>21</v>
      </c>
      <c r="F156" t="s">
        <v>29</v>
      </c>
      <c r="G156" t="s">
        <v>42</v>
      </c>
      <c r="H156">
        <v>216699</v>
      </c>
      <c r="I156" t="s">
        <v>24</v>
      </c>
      <c r="J156">
        <v>5.63</v>
      </c>
      <c r="K156">
        <v>1220015.37</v>
      </c>
      <c r="L156" t="s">
        <v>634</v>
      </c>
      <c r="M156" t="s">
        <v>759</v>
      </c>
      <c r="N156">
        <v>5.51801</v>
      </c>
      <c r="O156" t="s">
        <v>27</v>
      </c>
      <c r="P156" t="s">
        <v>760</v>
      </c>
      <c r="Q156">
        <v>39</v>
      </c>
    </row>
    <row r="157" spans="1:17">
      <c r="A157">
        <v>156</v>
      </c>
      <c r="B157">
        <v>1</v>
      </c>
      <c r="C157">
        <v>20240118</v>
      </c>
      <c r="D157" t="s">
        <v>20</v>
      </c>
      <c r="E157" t="s">
        <v>21</v>
      </c>
      <c r="F157" t="s">
        <v>41</v>
      </c>
      <c r="G157" t="s">
        <v>30</v>
      </c>
      <c r="H157">
        <v>57459</v>
      </c>
      <c r="I157" t="s">
        <v>24</v>
      </c>
      <c r="J157">
        <v>4.14</v>
      </c>
      <c r="K157">
        <v>237880.26</v>
      </c>
      <c r="L157" t="s">
        <v>634</v>
      </c>
      <c r="M157" t="s">
        <v>761</v>
      </c>
      <c r="N157">
        <v>4.05</v>
      </c>
      <c r="O157" t="s">
        <v>27</v>
      </c>
      <c r="P157" t="s">
        <v>762</v>
      </c>
      <c r="Q157">
        <v>6</v>
      </c>
    </row>
    <row r="158" spans="1:17">
      <c r="A158">
        <v>157</v>
      </c>
      <c r="B158">
        <v>1</v>
      </c>
      <c r="C158">
        <v>20240118</v>
      </c>
      <c r="D158" t="s">
        <v>20</v>
      </c>
      <c r="E158" t="s">
        <v>21</v>
      </c>
      <c r="F158" t="s">
        <v>41</v>
      </c>
      <c r="G158" t="s">
        <v>30</v>
      </c>
      <c r="H158">
        <v>23546</v>
      </c>
      <c r="I158" t="s">
        <v>24</v>
      </c>
      <c r="J158">
        <v>4.14</v>
      </c>
      <c r="K158">
        <v>97480.44</v>
      </c>
      <c r="L158" t="s">
        <v>637</v>
      </c>
      <c r="M158" t="s">
        <v>761</v>
      </c>
      <c r="N158">
        <v>4.05</v>
      </c>
      <c r="O158" t="s">
        <v>27</v>
      </c>
      <c r="P158" t="s">
        <v>762</v>
      </c>
      <c r="Q158">
        <v>11</v>
      </c>
    </row>
    <row r="159" spans="1:17">
      <c r="A159">
        <v>158</v>
      </c>
      <c r="B159">
        <v>1</v>
      </c>
      <c r="C159">
        <v>20240118</v>
      </c>
      <c r="D159" t="s">
        <v>20</v>
      </c>
      <c r="E159" t="s">
        <v>21</v>
      </c>
      <c r="F159" t="s">
        <v>41</v>
      </c>
      <c r="G159" t="s">
        <v>30</v>
      </c>
      <c r="H159">
        <v>1419</v>
      </c>
      <c r="I159" t="s">
        <v>24</v>
      </c>
      <c r="J159">
        <v>4.14</v>
      </c>
      <c r="K159">
        <v>5874.66</v>
      </c>
      <c r="L159" t="s">
        <v>634</v>
      </c>
      <c r="M159" t="s">
        <v>761</v>
      </c>
      <c r="N159">
        <v>4.05</v>
      </c>
      <c r="O159" t="s">
        <v>27</v>
      </c>
      <c r="P159" t="s">
        <v>762</v>
      </c>
      <c r="Q159">
        <v>1</v>
      </c>
    </row>
    <row r="160" spans="1:17">
      <c r="A160">
        <v>159</v>
      </c>
      <c r="B160">
        <v>1</v>
      </c>
      <c r="C160">
        <v>20240118</v>
      </c>
      <c r="D160" t="s">
        <v>28</v>
      </c>
      <c r="E160" t="s">
        <v>21</v>
      </c>
      <c r="F160" t="s">
        <v>41</v>
      </c>
      <c r="G160" t="s">
        <v>30</v>
      </c>
      <c r="H160">
        <v>112732</v>
      </c>
      <c r="I160" t="s">
        <v>24</v>
      </c>
      <c r="J160">
        <v>4.14</v>
      </c>
      <c r="K160">
        <v>466710.48</v>
      </c>
      <c r="L160" t="s">
        <v>634</v>
      </c>
      <c r="M160" t="s">
        <v>763</v>
      </c>
      <c r="N160">
        <v>4.05</v>
      </c>
      <c r="O160" t="s">
        <v>27</v>
      </c>
      <c r="P160" t="s">
        <v>764</v>
      </c>
      <c r="Q160">
        <v>9</v>
      </c>
    </row>
    <row r="161" spans="1:17">
      <c r="A161">
        <v>160</v>
      </c>
      <c r="B161">
        <v>1</v>
      </c>
      <c r="C161">
        <v>20240118</v>
      </c>
      <c r="D161" t="s">
        <v>28</v>
      </c>
      <c r="E161" t="s">
        <v>21</v>
      </c>
      <c r="F161" t="s">
        <v>41</v>
      </c>
      <c r="G161" t="s">
        <v>37</v>
      </c>
      <c r="H161">
        <v>27720</v>
      </c>
      <c r="I161" t="s">
        <v>24</v>
      </c>
      <c r="J161">
        <v>4.14</v>
      </c>
      <c r="K161">
        <v>114760.8</v>
      </c>
      <c r="L161" t="s">
        <v>634</v>
      </c>
      <c r="M161" t="s">
        <v>763</v>
      </c>
      <c r="N161">
        <v>4.05</v>
      </c>
      <c r="O161" t="s">
        <v>27</v>
      </c>
      <c r="P161" t="s">
        <v>765</v>
      </c>
      <c r="Q161">
        <v>2</v>
      </c>
    </row>
    <row r="162" spans="1:17">
      <c r="A162">
        <v>161</v>
      </c>
      <c r="B162">
        <v>1</v>
      </c>
      <c r="C162">
        <v>20240118</v>
      </c>
      <c r="D162" t="s">
        <v>28</v>
      </c>
      <c r="E162" t="s">
        <v>21</v>
      </c>
      <c r="F162" t="s">
        <v>41</v>
      </c>
      <c r="G162" t="s">
        <v>37</v>
      </c>
      <c r="H162">
        <v>27010</v>
      </c>
      <c r="I162" t="s">
        <v>24</v>
      </c>
      <c r="J162">
        <v>4.14</v>
      </c>
      <c r="K162">
        <v>111821.4</v>
      </c>
      <c r="L162" t="s">
        <v>637</v>
      </c>
      <c r="M162" t="s">
        <v>763</v>
      </c>
      <c r="N162">
        <v>4.05</v>
      </c>
      <c r="O162" t="s">
        <v>27</v>
      </c>
      <c r="P162" t="s">
        <v>765</v>
      </c>
      <c r="Q162">
        <v>3</v>
      </c>
    </row>
    <row r="163" spans="1:17">
      <c r="A163">
        <v>162</v>
      </c>
      <c r="B163">
        <v>1</v>
      </c>
      <c r="C163">
        <v>20240118</v>
      </c>
      <c r="D163" t="s">
        <v>28</v>
      </c>
      <c r="E163" t="s">
        <v>21</v>
      </c>
      <c r="F163" t="s">
        <v>41</v>
      </c>
      <c r="G163" t="s">
        <v>30</v>
      </c>
      <c r="H163">
        <v>43504</v>
      </c>
      <c r="I163" t="s">
        <v>24</v>
      </c>
      <c r="J163">
        <v>4.14</v>
      </c>
      <c r="K163">
        <v>180106.56</v>
      </c>
      <c r="L163" t="s">
        <v>637</v>
      </c>
      <c r="M163" t="s">
        <v>763</v>
      </c>
      <c r="N163">
        <v>4.05</v>
      </c>
      <c r="O163" t="s">
        <v>27</v>
      </c>
      <c r="P163" t="s">
        <v>764</v>
      </c>
      <c r="Q163">
        <v>5</v>
      </c>
    </row>
    <row r="164" spans="1:17">
      <c r="A164">
        <v>163</v>
      </c>
      <c r="B164">
        <v>1</v>
      </c>
      <c r="C164">
        <v>20240118</v>
      </c>
      <c r="D164" t="s">
        <v>28</v>
      </c>
      <c r="E164" t="s">
        <v>21</v>
      </c>
      <c r="F164" t="s">
        <v>41</v>
      </c>
      <c r="G164" t="s">
        <v>30</v>
      </c>
      <c r="H164">
        <v>27501</v>
      </c>
      <c r="I164" t="s">
        <v>24</v>
      </c>
      <c r="J164">
        <v>4.14</v>
      </c>
      <c r="K164">
        <v>113854.14</v>
      </c>
      <c r="L164" t="s">
        <v>637</v>
      </c>
      <c r="M164" t="s">
        <v>763</v>
      </c>
      <c r="N164">
        <v>4.05</v>
      </c>
      <c r="O164" t="s">
        <v>27</v>
      </c>
      <c r="P164" t="s">
        <v>764</v>
      </c>
      <c r="Q164">
        <v>11</v>
      </c>
    </row>
    <row r="165" spans="1:17">
      <c r="A165">
        <v>164</v>
      </c>
      <c r="B165">
        <v>1</v>
      </c>
      <c r="C165">
        <v>20240118</v>
      </c>
      <c r="D165" t="s">
        <v>28</v>
      </c>
      <c r="E165" t="s">
        <v>21</v>
      </c>
      <c r="F165" t="s">
        <v>41</v>
      </c>
      <c r="G165" t="s">
        <v>37</v>
      </c>
      <c r="H165">
        <v>7211</v>
      </c>
      <c r="I165" t="s">
        <v>24</v>
      </c>
      <c r="J165">
        <v>4.14</v>
      </c>
      <c r="K165">
        <v>29853.54</v>
      </c>
      <c r="L165" t="s">
        <v>637</v>
      </c>
      <c r="M165" t="s">
        <v>763</v>
      </c>
      <c r="N165">
        <v>4.05</v>
      </c>
      <c r="O165" t="s">
        <v>27</v>
      </c>
      <c r="P165" t="s">
        <v>765</v>
      </c>
      <c r="Q165">
        <v>3</v>
      </c>
    </row>
    <row r="166" spans="1:17">
      <c r="A166">
        <v>165</v>
      </c>
      <c r="B166">
        <v>1</v>
      </c>
      <c r="C166">
        <v>20240118</v>
      </c>
      <c r="D166" t="s">
        <v>28</v>
      </c>
      <c r="E166" t="s">
        <v>21</v>
      </c>
      <c r="F166" t="s">
        <v>41</v>
      </c>
      <c r="G166" t="s">
        <v>37</v>
      </c>
      <c r="H166">
        <v>24725</v>
      </c>
      <c r="I166" t="s">
        <v>24</v>
      </c>
      <c r="J166">
        <v>4.14</v>
      </c>
      <c r="K166">
        <v>102361.5</v>
      </c>
      <c r="L166" t="s">
        <v>637</v>
      </c>
      <c r="M166" t="s">
        <v>763</v>
      </c>
      <c r="N166">
        <v>4.05</v>
      </c>
      <c r="O166" t="s">
        <v>27</v>
      </c>
      <c r="P166" t="s">
        <v>765</v>
      </c>
      <c r="Q166">
        <v>8</v>
      </c>
    </row>
    <row r="167" spans="1:17">
      <c r="A167">
        <v>166</v>
      </c>
      <c r="B167">
        <v>1</v>
      </c>
      <c r="C167">
        <v>20240118</v>
      </c>
      <c r="D167" t="s">
        <v>28</v>
      </c>
      <c r="E167" t="s">
        <v>21</v>
      </c>
      <c r="F167" t="s">
        <v>41</v>
      </c>
      <c r="G167" t="s">
        <v>30</v>
      </c>
      <c r="H167">
        <v>43808</v>
      </c>
      <c r="I167" t="s">
        <v>24</v>
      </c>
      <c r="J167">
        <v>4.14</v>
      </c>
      <c r="K167">
        <v>181365.12</v>
      </c>
      <c r="L167" t="s">
        <v>637</v>
      </c>
      <c r="M167" t="s">
        <v>763</v>
      </c>
      <c r="N167">
        <v>4.05</v>
      </c>
      <c r="O167" t="s">
        <v>27</v>
      </c>
      <c r="P167" t="s">
        <v>764</v>
      </c>
      <c r="Q167">
        <v>14</v>
      </c>
    </row>
    <row r="168" spans="1:17">
      <c r="A168">
        <v>167</v>
      </c>
      <c r="B168">
        <v>1</v>
      </c>
      <c r="C168">
        <v>20240118</v>
      </c>
      <c r="D168" t="s">
        <v>28</v>
      </c>
      <c r="E168" t="s">
        <v>21</v>
      </c>
      <c r="F168" t="s">
        <v>41</v>
      </c>
      <c r="G168" t="s">
        <v>37</v>
      </c>
      <c r="H168">
        <v>37544</v>
      </c>
      <c r="I168" t="s">
        <v>24</v>
      </c>
      <c r="J168">
        <v>4.14</v>
      </c>
      <c r="K168">
        <v>155432.16</v>
      </c>
      <c r="L168" t="s">
        <v>637</v>
      </c>
      <c r="M168" t="s">
        <v>763</v>
      </c>
      <c r="N168">
        <v>4.05</v>
      </c>
      <c r="O168" t="s">
        <v>27</v>
      </c>
      <c r="P168" t="s">
        <v>765</v>
      </c>
      <c r="Q168">
        <v>9</v>
      </c>
    </row>
    <row r="169" spans="1:17">
      <c r="A169">
        <v>168</v>
      </c>
      <c r="B169">
        <v>1</v>
      </c>
      <c r="C169">
        <v>20240118</v>
      </c>
      <c r="D169" t="s">
        <v>28</v>
      </c>
      <c r="E169" t="s">
        <v>21</v>
      </c>
      <c r="F169" t="s">
        <v>41</v>
      </c>
      <c r="G169" t="s">
        <v>30</v>
      </c>
      <c r="H169">
        <v>12024</v>
      </c>
      <c r="I169" t="s">
        <v>24</v>
      </c>
      <c r="J169">
        <v>4.14</v>
      </c>
      <c r="K169">
        <v>49779.36</v>
      </c>
      <c r="L169" t="s">
        <v>637</v>
      </c>
      <c r="M169" t="s">
        <v>763</v>
      </c>
      <c r="N169">
        <v>4.05</v>
      </c>
      <c r="O169" t="s">
        <v>27</v>
      </c>
      <c r="P169" t="s">
        <v>764</v>
      </c>
      <c r="Q169">
        <v>5</v>
      </c>
    </row>
    <row r="170" spans="1:17">
      <c r="A170">
        <v>169</v>
      </c>
      <c r="B170">
        <v>1</v>
      </c>
      <c r="C170">
        <v>20240118</v>
      </c>
      <c r="D170" t="s">
        <v>28</v>
      </c>
      <c r="E170" t="s">
        <v>21</v>
      </c>
      <c r="F170" t="s">
        <v>41</v>
      </c>
      <c r="G170" t="s">
        <v>30</v>
      </c>
      <c r="H170">
        <v>8032</v>
      </c>
      <c r="I170" t="s">
        <v>24</v>
      </c>
      <c r="J170">
        <v>4.14</v>
      </c>
      <c r="K170">
        <v>33252.48</v>
      </c>
      <c r="L170" t="s">
        <v>637</v>
      </c>
      <c r="M170" t="s">
        <v>763</v>
      </c>
      <c r="N170">
        <v>4.05</v>
      </c>
      <c r="O170" t="s">
        <v>27</v>
      </c>
      <c r="P170" t="s">
        <v>764</v>
      </c>
      <c r="Q170">
        <v>3</v>
      </c>
    </row>
    <row r="171" spans="1:17">
      <c r="A171">
        <v>170</v>
      </c>
      <c r="B171">
        <v>1</v>
      </c>
      <c r="C171">
        <v>20240118</v>
      </c>
      <c r="D171" t="s">
        <v>28</v>
      </c>
      <c r="E171" t="s">
        <v>21</v>
      </c>
      <c r="F171" t="s">
        <v>41</v>
      </c>
      <c r="G171" t="s">
        <v>30</v>
      </c>
      <c r="H171">
        <v>6094</v>
      </c>
      <c r="I171" t="s">
        <v>24</v>
      </c>
      <c r="J171">
        <v>4.14</v>
      </c>
      <c r="K171">
        <v>25229.16</v>
      </c>
      <c r="L171" t="s">
        <v>634</v>
      </c>
      <c r="M171" t="s">
        <v>763</v>
      </c>
      <c r="N171">
        <v>4.05</v>
      </c>
      <c r="O171" t="s">
        <v>27</v>
      </c>
      <c r="P171" t="s">
        <v>764</v>
      </c>
      <c r="Q171">
        <v>1</v>
      </c>
    </row>
    <row r="172" spans="1:17">
      <c r="A172">
        <v>171</v>
      </c>
      <c r="B172">
        <v>1</v>
      </c>
      <c r="C172">
        <v>20240118</v>
      </c>
      <c r="D172" t="s">
        <v>28</v>
      </c>
      <c r="E172" t="s">
        <v>21</v>
      </c>
      <c r="F172" t="s">
        <v>32</v>
      </c>
      <c r="G172" t="s">
        <v>37</v>
      </c>
      <c r="H172">
        <v>1427</v>
      </c>
      <c r="I172" t="s">
        <v>24</v>
      </c>
      <c r="J172">
        <v>4.14</v>
      </c>
      <c r="K172">
        <v>5907.78</v>
      </c>
      <c r="L172" t="s">
        <v>634</v>
      </c>
      <c r="M172" t="s">
        <v>766</v>
      </c>
      <c r="N172">
        <v>4.015</v>
      </c>
      <c r="O172" t="s">
        <v>27</v>
      </c>
      <c r="P172" t="s">
        <v>767</v>
      </c>
      <c r="Q172">
        <v>3</v>
      </c>
    </row>
    <row r="173" spans="1:17">
      <c r="A173">
        <v>172</v>
      </c>
      <c r="B173">
        <v>1</v>
      </c>
      <c r="C173">
        <v>20240118</v>
      </c>
      <c r="D173" t="s">
        <v>28</v>
      </c>
      <c r="E173" t="s">
        <v>21</v>
      </c>
      <c r="F173" t="s">
        <v>32</v>
      </c>
      <c r="G173" t="s">
        <v>30</v>
      </c>
      <c r="H173">
        <v>526056</v>
      </c>
      <c r="I173" t="s">
        <v>24</v>
      </c>
      <c r="J173">
        <v>4.14</v>
      </c>
      <c r="K173">
        <v>2177871.84</v>
      </c>
      <c r="L173" t="s">
        <v>634</v>
      </c>
      <c r="M173" t="s">
        <v>766</v>
      </c>
      <c r="N173">
        <v>4.015</v>
      </c>
      <c r="O173" t="s">
        <v>27</v>
      </c>
      <c r="P173" t="s">
        <v>768</v>
      </c>
      <c r="Q173">
        <v>42</v>
      </c>
    </row>
    <row r="174" spans="1:17">
      <c r="A174">
        <v>173</v>
      </c>
      <c r="B174">
        <v>1</v>
      </c>
      <c r="C174">
        <v>20240118</v>
      </c>
      <c r="D174" t="s">
        <v>28</v>
      </c>
      <c r="E174" t="s">
        <v>21</v>
      </c>
      <c r="F174" t="s">
        <v>32</v>
      </c>
      <c r="G174" t="s">
        <v>37</v>
      </c>
      <c r="H174">
        <v>52656</v>
      </c>
      <c r="I174" t="s">
        <v>24</v>
      </c>
      <c r="J174">
        <v>4.14</v>
      </c>
      <c r="K174">
        <v>217995.84</v>
      </c>
      <c r="L174" t="s">
        <v>654</v>
      </c>
      <c r="M174" t="s">
        <v>766</v>
      </c>
      <c r="N174">
        <v>4.015</v>
      </c>
      <c r="O174" t="s">
        <v>27</v>
      </c>
      <c r="P174" t="s">
        <v>767</v>
      </c>
      <c r="Q174">
        <v>3</v>
      </c>
    </row>
    <row r="175" spans="1:17">
      <c r="A175">
        <v>174</v>
      </c>
      <c r="B175">
        <v>1</v>
      </c>
      <c r="C175">
        <v>20240118</v>
      </c>
      <c r="D175" t="s">
        <v>28</v>
      </c>
      <c r="E175" t="s">
        <v>21</v>
      </c>
      <c r="F175" t="s">
        <v>32</v>
      </c>
      <c r="G175" t="s">
        <v>30</v>
      </c>
      <c r="H175">
        <v>4424</v>
      </c>
      <c r="I175" t="s">
        <v>24</v>
      </c>
      <c r="J175">
        <v>4.14</v>
      </c>
      <c r="K175">
        <v>18315.36</v>
      </c>
      <c r="L175" t="s">
        <v>654</v>
      </c>
      <c r="M175" t="s">
        <v>766</v>
      </c>
      <c r="N175">
        <v>4.015</v>
      </c>
      <c r="O175" t="s">
        <v>27</v>
      </c>
      <c r="P175" t="s">
        <v>768</v>
      </c>
      <c r="Q175">
        <v>2</v>
      </c>
    </row>
    <row r="176" spans="1:17">
      <c r="A176">
        <v>175</v>
      </c>
      <c r="B176">
        <v>1</v>
      </c>
      <c r="C176">
        <v>20240118</v>
      </c>
      <c r="D176" t="s">
        <v>28</v>
      </c>
      <c r="E176" t="s">
        <v>21</v>
      </c>
      <c r="F176" t="s">
        <v>32</v>
      </c>
      <c r="G176" t="s">
        <v>37</v>
      </c>
      <c r="H176">
        <v>110587</v>
      </c>
      <c r="I176" t="s">
        <v>24</v>
      </c>
      <c r="J176">
        <v>4.14</v>
      </c>
      <c r="K176">
        <v>457830.18</v>
      </c>
      <c r="L176" t="s">
        <v>637</v>
      </c>
      <c r="M176" t="s">
        <v>766</v>
      </c>
      <c r="N176">
        <v>4.015</v>
      </c>
      <c r="O176" t="s">
        <v>27</v>
      </c>
      <c r="P176" t="s">
        <v>767</v>
      </c>
      <c r="Q176">
        <v>11</v>
      </c>
    </row>
    <row r="177" spans="1:17">
      <c r="A177">
        <v>176</v>
      </c>
      <c r="B177">
        <v>1</v>
      </c>
      <c r="C177">
        <v>20240118</v>
      </c>
      <c r="D177" t="s">
        <v>28</v>
      </c>
      <c r="E177" t="s">
        <v>21</v>
      </c>
      <c r="F177" t="s">
        <v>32</v>
      </c>
      <c r="G177" t="s">
        <v>30</v>
      </c>
      <c r="H177">
        <v>356953</v>
      </c>
      <c r="I177" t="s">
        <v>24</v>
      </c>
      <c r="J177">
        <v>4.14</v>
      </c>
      <c r="K177">
        <v>1477785.42</v>
      </c>
      <c r="L177" t="s">
        <v>637</v>
      </c>
      <c r="M177" t="s">
        <v>766</v>
      </c>
      <c r="N177">
        <v>4.015</v>
      </c>
      <c r="O177" t="s">
        <v>27</v>
      </c>
      <c r="P177" t="s">
        <v>768</v>
      </c>
      <c r="Q177">
        <v>69</v>
      </c>
    </row>
    <row r="178" spans="1:17">
      <c r="A178">
        <v>177</v>
      </c>
      <c r="B178">
        <v>1</v>
      </c>
      <c r="C178">
        <v>20240118</v>
      </c>
      <c r="D178" t="s">
        <v>20</v>
      </c>
      <c r="E178" t="s">
        <v>21</v>
      </c>
      <c r="F178" t="s">
        <v>22</v>
      </c>
      <c r="G178" t="s">
        <v>30</v>
      </c>
      <c r="H178">
        <v>105601</v>
      </c>
      <c r="I178" t="s">
        <v>24</v>
      </c>
      <c r="J178">
        <v>4.14</v>
      </c>
      <c r="K178">
        <v>437188.14</v>
      </c>
      <c r="L178" t="s">
        <v>634</v>
      </c>
      <c r="M178" t="s">
        <v>769</v>
      </c>
      <c r="N178">
        <v>4.0239</v>
      </c>
      <c r="O178" t="s">
        <v>27</v>
      </c>
      <c r="P178" t="s">
        <v>770</v>
      </c>
      <c r="Q178">
        <v>5</v>
      </c>
    </row>
    <row r="179" spans="1:17">
      <c r="A179">
        <v>178</v>
      </c>
      <c r="B179">
        <v>1</v>
      </c>
      <c r="C179">
        <v>20240118</v>
      </c>
      <c r="D179" t="s">
        <v>20</v>
      </c>
      <c r="E179" t="s">
        <v>21</v>
      </c>
      <c r="F179" t="s">
        <v>22</v>
      </c>
      <c r="G179" t="s">
        <v>30</v>
      </c>
      <c r="H179">
        <v>52636</v>
      </c>
      <c r="I179" t="s">
        <v>24</v>
      </c>
      <c r="J179">
        <v>4.14</v>
      </c>
      <c r="K179">
        <v>217913.04</v>
      </c>
      <c r="L179" t="s">
        <v>634</v>
      </c>
      <c r="M179" t="s">
        <v>769</v>
      </c>
      <c r="N179">
        <v>4.0195</v>
      </c>
      <c r="O179" t="s">
        <v>27</v>
      </c>
      <c r="P179" t="s">
        <v>770</v>
      </c>
      <c r="Q179">
        <v>3</v>
      </c>
    </row>
    <row r="180" spans="1:17">
      <c r="A180">
        <v>179</v>
      </c>
      <c r="B180">
        <v>1</v>
      </c>
      <c r="C180">
        <v>20240118</v>
      </c>
      <c r="D180" t="s">
        <v>20</v>
      </c>
      <c r="E180" t="s">
        <v>21</v>
      </c>
      <c r="F180" t="s">
        <v>22</v>
      </c>
      <c r="G180" t="s">
        <v>30</v>
      </c>
      <c r="H180">
        <v>37630</v>
      </c>
      <c r="I180" t="s">
        <v>24</v>
      </c>
      <c r="J180">
        <v>4.14</v>
      </c>
      <c r="K180">
        <v>155788.2</v>
      </c>
      <c r="L180" t="s">
        <v>637</v>
      </c>
      <c r="M180" t="s">
        <v>769</v>
      </c>
      <c r="N180">
        <v>3.5538</v>
      </c>
      <c r="O180" t="s">
        <v>27</v>
      </c>
      <c r="P180" t="s">
        <v>770</v>
      </c>
      <c r="Q180">
        <v>2</v>
      </c>
    </row>
    <row r="181" spans="1:17">
      <c r="A181">
        <v>180</v>
      </c>
      <c r="B181">
        <v>1</v>
      </c>
      <c r="C181">
        <v>20240118</v>
      </c>
      <c r="D181" t="s">
        <v>20</v>
      </c>
      <c r="E181" t="s">
        <v>21</v>
      </c>
      <c r="F181" t="s">
        <v>22</v>
      </c>
      <c r="G181" t="s">
        <v>30</v>
      </c>
      <c r="H181">
        <v>226</v>
      </c>
      <c r="I181" t="s">
        <v>24</v>
      </c>
      <c r="J181">
        <v>4.14</v>
      </c>
      <c r="K181">
        <v>935.64</v>
      </c>
      <c r="L181" t="s">
        <v>637</v>
      </c>
      <c r="M181" t="s">
        <v>769</v>
      </c>
      <c r="N181">
        <v>3.5243</v>
      </c>
      <c r="O181" t="s">
        <v>27</v>
      </c>
      <c r="P181" t="s">
        <v>770</v>
      </c>
      <c r="Q181">
        <v>2</v>
      </c>
    </row>
    <row r="182" spans="1:17">
      <c r="A182">
        <v>181</v>
      </c>
      <c r="B182">
        <v>1</v>
      </c>
      <c r="C182">
        <v>20240118</v>
      </c>
      <c r="D182" t="s">
        <v>28</v>
      </c>
      <c r="E182" t="s">
        <v>21</v>
      </c>
      <c r="F182" t="s">
        <v>22</v>
      </c>
      <c r="G182" t="s">
        <v>37</v>
      </c>
      <c r="H182">
        <v>24152</v>
      </c>
      <c r="I182" t="s">
        <v>24</v>
      </c>
      <c r="J182">
        <v>4.14</v>
      </c>
      <c r="K182">
        <v>99989.28</v>
      </c>
      <c r="L182" t="s">
        <v>654</v>
      </c>
      <c r="M182" t="s">
        <v>771</v>
      </c>
      <c r="N182">
        <v>4.0375</v>
      </c>
      <c r="O182" t="s">
        <v>27</v>
      </c>
      <c r="P182" t="s">
        <v>772</v>
      </c>
      <c r="Q182">
        <v>2</v>
      </c>
    </row>
    <row r="183" spans="1:17">
      <c r="A183">
        <v>182</v>
      </c>
      <c r="B183">
        <v>1</v>
      </c>
      <c r="C183">
        <v>20240118</v>
      </c>
      <c r="D183" t="s">
        <v>28</v>
      </c>
      <c r="E183" t="s">
        <v>21</v>
      </c>
      <c r="F183" t="s">
        <v>22</v>
      </c>
      <c r="G183" t="s">
        <v>30</v>
      </c>
      <c r="H183">
        <v>655</v>
      </c>
      <c r="I183" t="s">
        <v>24</v>
      </c>
      <c r="J183">
        <v>4.14</v>
      </c>
      <c r="K183">
        <v>2711.7</v>
      </c>
      <c r="L183" t="s">
        <v>654</v>
      </c>
      <c r="M183" t="s">
        <v>771</v>
      </c>
      <c r="N183">
        <v>4.049</v>
      </c>
      <c r="O183" t="s">
        <v>27</v>
      </c>
      <c r="P183" t="s">
        <v>773</v>
      </c>
      <c r="Q183">
        <v>1</v>
      </c>
    </row>
    <row r="184" spans="1:17">
      <c r="A184">
        <v>183</v>
      </c>
      <c r="B184">
        <v>1</v>
      </c>
      <c r="C184">
        <v>20240118</v>
      </c>
      <c r="D184" t="s">
        <v>28</v>
      </c>
      <c r="E184" t="s">
        <v>21</v>
      </c>
      <c r="F184" t="s">
        <v>22</v>
      </c>
      <c r="G184" t="s">
        <v>37</v>
      </c>
      <c r="H184">
        <v>2452</v>
      </c>
      <c r="I184" t="s">
        <v>24</v>
      </c>
      <c r="J184">
        <v>4.14</v>
      </c>
      <c r="K184">
        <v>10151.28</v>
      </c>
      <c r="L184" t="s">
        <v>637</v>
      </c>
      <c r="M184" t="s">
        <v>771</v>
      </c>
      <c r="N184">
        <v>3.5283</v>
      </c>
      <c r="O184" t="s">
        <v>27</v>
      </c>
      <c r="P184" t="s">
        <v>772</v>
      </c>
      <c r="Q184" t="s">
        <v>774</v>
      </c>
    </row>
    <row r="185" spans="1:17">
      <c r="A185">
        <v>184</v>
      </c>
      <c r="B185">
        <v>1</v>
      </c>
      <c r="C185">
        <v>20240118</v>
      </c>
      <c r="D185" t="s">
        <v>28</v>
      </c>
      <c r="E185" t="s">
        <v>21</v>
      </c>
      <c r="F185" t="s">
        <v>22</v>
      </c>
      <c r="G185" t="s">
        <v>37</v>
      </c>
      <c r="H185">
        <v>34342</v>
      </c>
      <c r="I185" t="s">
        <v>24</v>
      </c>
      <c r="J185">
        <v>4.14</v>
      </c>
      <c r="K185">
        <v>142175.88</v>
      </c>
      <c r="L185" t="s">
        <v>637</v>
      </c>
      <c r="M185" t="s">
        <v>771</v>
      </c>
      <c r="N185">
        <v>3.5235</v>
      </c>
      <c r="O185" t="s">
        <v>27</v>
      </c>
      <c r="P185" t="s">
        <v>772</v>
      </c>
      <c r="Q185" t="s">
        <v>775</v>
      </c>
    </row>
    <row r="186" spans="1:17">
      <c r="A186">
        <v>185</v>
      </c>
      <c r="B186">
        <v>1</v>
      </c>
      <c r="C186">
        <v>20240118</v>
      </c>
      <c r="D186" t="s">
        <v>28</v>
      </c>
      <c r="E186" t="s">
        <v>21</v>
      </c>
      <c r="F186" t="s">
        <v>22</v>
      </c>
      <c r="G186" t="s">
        <v>37</v>
      </c>
      <c r="H186">
        <v>43562</v>
      </c>
      <c r="I186" t="s">
        <v>24</v>
      </c>
      <c r="J186">
        <v>4.14</v>
      </c>
      <c r="K186">
        <v>180346.68</v>
      </c>
      <c r="L186" t="s">
        <v>637</v>
      </c>
      <c r="M186" t="s">
        <v>771</v>
      </c>
      <c r="N186">
        <v>3.5707</v>
      </c>
      <c r="O186" t="s">
        <v>27</v>
      </c>
      <c r="P186" t="s">
        <v>772</v>
      </c>
      <c r="Q186" t="s">
        <v>775</v>
      </c>
    </row>
    <row r="187" spans="1:17">
      <c r="A187">
        <v>186</v>
      </c>
      <c r="B187">
        <v>1</v>
      </c>
      <c r="C187">
        <v>20240118</v>
      </c>
      <c r="D187" t="s">
        <v>28</v>
      </c>
      <c r="E187" t="s">
        <v>21</v>
      </c>
      <c r="F187" t="s">
        <v>22</v>
      </c>
      <c r="G187" t="s">
        <v>37</v>
      </c>
      <c r="H187">
        <v>2311</v>
      </c>
      <c r="I187" t="s">
        <v>24</v>
      </c>
      <c r="J187">
        <v>4.14</v>
      </c>
      <c r="K187">
        <v>9567.54</v>
      </c>
      <c r="L187" t="s">
        <v>637</v>
      </c>
      <c r="M187" t="s">
        <v>771</v>
      </c>
      <c r="N187">
        <v>3.5065</v>
      </c>
      <c r="O187" t="s">
        <v>27</v>
      </c>
      <c r="P187" t="s">
        <v>772</v>
      </c>
      <c r="Q187" t="s">
        <v>776</v>
      </c>
    </row>
    <row r="188" spans="1:17">
      <c r="A188">
        <v>187</v>
      </c>
      <c r="B188">
        <v>1</v>
      </c>
      <c r="C188">
        <v>20240118</v>
      </c>
      <c r="D188" t="s">
        <v>28</v>
      </c>
      <c r="E188" t="s">
        <v>21</v>
      </c>
      <c r="F188" t="s">
        <v>22</v>
      </c>
      <c r="G188" t="s">
        <v>30</v>
      </c>
      <c r="H188">
        <v>142558</v>
      </c>
      <c r="I188" t="s">
        <v>24</v>
      </c>
      <c r="J188">
        <v>4.14</v>
      </c>
      <c r="K188">
        <v>590190.12</v>
      </c>
      <c r="L188" t="s">
        <v>637</v>
      </c>
      <c r="M188" t="s">
        <v>771</v>
      </c>
      <c r="N188">
        <v>3.5681</v>
      </c>
      <c r="O188" t="s">
        <v>27</v>
      </c>
      <c r="P188" t="s">
        <v>773</v>
      </c>
      <c r="Q188" t="s">
        <v>777</v>
      </c>
    </row>
    <row r="189" spans="1:17">
      <c r="A189">
        <v>188</v>
      </c>
      <c r="B189">
        <v>1</v>
      </c>
      <c r="C189">
        <v>20240118</v>
      </c>
      <c r="D189" t="s">
        <v>28</v>
      </c>
      <c r="E189" t="s">
        <v>21</v>
      </c>
      <c r="F189" t="s">
        <v>22</v>
      </c>
      <c r="G189" t="s">
        <v>30</v>
      </c>
      <c r="H189">
        <v>76801</v>
      </c>
      <c r="I189" t="s">
        <v>24</v>
      </c>
      <c r="J189">
        <v>4.14</v>
      </c>
      <c r="K189">
        <v>317956.14</v>
      </c>
      <c r="L189" t="s">
        <v>637</v>
      </c>
      <c r="M189" t="s">
        <v>771</v>
      </c>
      <c r="N189">
        <v>3.5097</v>
      </c>
      <c r="O189" t="s">
        <v>27</v>
      </c>
      <c r="P189" t="s">
        <v>773</v>
      </c>
      <c r="Q189" t="s">
        <v>778</v>
      </c>
    </row>
    <row r="190" spans="1:17">
      <c r="A190">
        <v>189</v>
      </c>
      <c r="B190">
        <v>1</v>
      </c>
      <c r="C190">
        <v>20240118</v>
      </c>
      <c r="D190" t="s">
        <v>28</v>
      </c>
      <c r="E190" t="s">
        <v>21</v>
      </c>
      <c r="F190" t="s">
        <v>22</v>
      </c>
      <c r="G190" t="s">
        <v>30</v>
      </c>
      <c r="H190">
        <v>3116</v>
      </c>
      <c r="I190" t="s">
        <v>24</v>
      </c>
      <c r="J190">
        <v>4.14</v>
      </c>
      <c r="K190">
        <v>12900.24</v>
      </c>
      <c r="L190" t="s">
        <v>637</v>
      </c>
      <c r="M190" t="s">
        <v>771</v>
      </c>
      <c r="N190">
        <v>3.5538</v>
      </c>
      <c r="O190" t="s">
        <v>27</v>
      </c>
      <c r="P190" t="s">
        <v>773</v>
      </c>
      <c r="Q190" t="s">
        <v>776</v>
      </c>
    </row>
    <row r="191" spans="1:17">
      <c r="A191">
        <v>190</v>
      </c>
      <c r="B191">
        <v>1</v>
      </c>
      <c r="C191">
        <v>20240118</v>
      </c>
      <c r="D191" t="s">
        <v>28</v>
      </c>
      <c r="E191" t="s">
        <v>21</v>
      </c>
      <c r="F191" t="s">
        <v>22</v>
      </c>
      <c r="G191" t="s">
        <v>30</v>
      </c>
      <c r="H191">
        <v>20131</v>
      </c>
      <c r="I191" t="s">
        <v>24</v>
      </c>
      <c r="J191">
        <v>4.14</v>
      </c>
      <c r="K191">
        <v>83342.34</v>
      </c>
      <c r="L191" t="s">
        <v>637</v>
      </c>
      <c r="M191" t="s">
        <v>771</v>
      </c>
      <c r="N191">
        <v>3.5158</v>
      </c>
      <c r="O191" t="s">
        <v>27</v>
      </c>
      <c r="P191" t="s">
        <v>773</v>
      </c>
      <c r="Q191" t="s">
        <v>776</v>
      </c>
    </row>
    <row r="192" spans="1:17">
      <c r="A192">
        <v>191</v>
      </c>
      <c r="B192">
        <v>1</v>
      </c>
      <c r="C192">
        <v>20240118</v>
      </c>
      <c r="D192" t="s">
        <v>28</v>
      </c>
      <c r="E192" t="s">
        <v>21</v>
      </c>
      <c r="F192" t="s">
        <v>22</v>
      </c>
      <c r="G192" t="s">
        <v>30</v>
      </c>
      <c r="H192">
        <v>1904</v>
      </c>
      <c r="I192" t="s">
        <v>24</v>
      </c>
      <c r="J192">
        <v>4.14</v>
      </c>
      <c r="K192">
        <v>7882.56</v>
      </c>
      <c r="L192" t="s">
        <v>637</v>
      </c>
      <c r="M192" t="s">
        <v>771</v>
      </c>
      <c r="N192">
        <v>4.049</v>
      </c>
      <c r="O192" t="s">
        <v>27</v>
      </c>
      <c r="P192" t="s">
        <v>773</v>
      </c>
      <c r="Q192" t="s">
        <v>776</v>
      </c>
    </row>
    <row r="193" spans="1:17">
      <c r="A193">
        <v>192</v>
      </c>
      <c r="B193">
        <v>1</v>
      </c>
      <c r="C193">
        <v>20240118</v>
      </c>
      <c r="D193" t="s">
        <v>28</v>
      </c>
      <c r="E193" t="s">
        <v>21</v>
      </c>
      <c r="F193" t="s">
        <v>22</v>
      </c>
      <c r="G193" t="s">
        <v>37</v>
      </c>
      <c r="H193">
        <v>47302</v>
      </c>
      <c r="I193" t="s">
        <v>24</v>
      </c>
      <c r="J193">
        <v>4.14</v>
      </c>
      <c r="K193">
        <v>195830.28</v>
      </c>
      <c r="L193" t="s">
        <v>634</v>
      </c>
      <c r="M193" t="s">
        <v>771</v>
      </c>
      <c r="N193">
        <v>4.0575</v>
      </c>
      <c r="O193" t="s">
        <v>27</v>
      </c>
      <c r="P193" t="s">
        <v>772</v>
      </c>
      <c r="Q193">
        <v>3</v>
      </c>
    </row>
    <row r="194" spans="1:17">
      <c r="A194">
        <v>193</v>
      </c>
      <c r="B194">
        <v>1</v>
      </c>
      <c r="C194">
        <v>20240118</v>
      </c>
      <c r="D194" t="s">
        <v>28</v>
      </c>
      <c r="E194" t="s">
        <v>21</v>
      </c>
      <c r="F194" t="s">
        <v>22</v>
      </c>
      <c r="G194" t="s">
        <v>30</v>
      </c>
      <c r="H194">
        <v>614333</v>
      </c>
      <c r="I194" t="s">
        <v>24</v>
      </c>
      <c r="J194">
        <v>4.14</v>
      </c>
      <c r="K194">
        <v>2543338.62</v>
      </c>
      <c r="L194" t="s">
        <v>634</v>
      </c>
      <c r="M194" t="s">
        <v>771</v>
      </c>
      <c r="N194">
        <v>4.0601</v>
      </c>
      <c r="O194" t="s">
        <v>27</v>
      </c>
      <c r="P194" t="s">
        <v>773</v>
      </c>
      <c r="Q194">
        <v>21</v>
      </c>
    </row>
    <row r="195" spans="1:17">
      <c r="A195">
        <v>194</v>
      </c>
      <c r="B195">
        <v>1</v>
      </c>
      <c r="C195">
        <v>20240119</v>
      </c>
      <c r="D195" t="s">
        <v>28</v>
      </c>
      <c r="E195" t="s">
        <v>21</v>
      </c>
      <c r="F195" t="s">
        <v>39</v>
      </c>
      <c r="G195" t="s">
        <v>40</v>
      </c>
      <c r="H195">
        <v>6</v>
      </c>
      <c r="I195" t="s">
        <v>24</v>
      </c>
      <c r="J195">
        <v>1409.017</v>
      </c>
      <c r="K195">
        <v>8454.102</v>
      </c>
      <c r="L195" t="s">
        <v>637</v>
      </c>
      <c r="M195" t="s">
        <v>779</v>
      </c>
      <c r="N195">
        <v>1409.017</v>
      </c>
      <c r="O195" t="s">
        <v>27</v>
      </c>
      <c r="P195" t="s">
        <v>780</v>
      </c>
      <c r="Q195">
        <v>1</v>
      </c>
    </row>
    <row r="196" spans="1:17">
      <c r="A196">
        <v>195</v>
      </c>
      <c r="B196">
        <v>1</v>
      </c>
      <c r="C196">
        <v>20240119</v>
      </c>
      <c r="D196" t="s">
        <v>28</v>
      </c>
      <c r="E196" t="s">
        <v>21</v>
      </c>
      <c r="F196" t="s">
        <v>41</v>
      </c>
      <c r="G196" t="s">
        <v>30</v>
      </c>
      <c r="H196">
        <v>109563</v>
      </c>
      <c r="I196" t="s">
        <v>24</v>
      </c>
      <c r="J196">
        <v>4.14</v>
      </c>
      <c r="K196">
        <v>453590.82</v>
      </c>
      <c r="L196" t="s">
        <v>637</v>
      </c>
      <c r="M196" t="s">
        <v>781</v>
      </c>
      <c r="N196">
        <v>4.05</v>
      </c>
      <c r="O196" t="s">
        <v>27</v>
      </c>
      <c r="P196" t="s">
        <v>782</v>
      </c>
      <c r="Q196">
        <v>10</v>
      </c>
    </row>
    <row r="197" spans="1:17">
      <c r="A197">
        <v>196</v>
      </c>
      <c r="B197">
        <v>1</v>
      </c>
      <c r="C197">
        <v>20240119</v>
      </c>
      <c r="D197" t="s">
        <v>28</v>
      </c>
      <c r="E197" t="s">
        <v>21</v>
      </c>
      <c r="F197" t="s">
        <v>41</v>
      </c>
      <c r="G197" t="s">
        <v>37</v>
      </c>
      <c r="H197">
        <v>16507</v>
      </c>
      <c r="I197" t="s">
        <v>24</v>
      </c>
      <c r="J197">
        <v>4.14</v>
      </c>
      <c r="K197">
        <v>68338.98</v>
      </c>
      <c r="L197" t="s">
        <v>634</v>
      </c>
      <c r="M197" t="s">
        <v>781</v>
      </c>
      <c r="N197">
        <v>4.05</v>
      </c>
      <c r="O197" t="s">
        <v>27</v>
      </c>
      <c r="P197" t="s">
        <v>783</v>
      </c>
      <c r="Q197">
        <v>2</v>
      </c>
    </row>
    <row r="198" spans="1:17">
      <c r="A198">
        <v>197</v>
      </c>
      <c r="B198">
        <v>1</v>
      </c>
      <c r="C198">
        <v>20240119</v>
      </c>
      <c r="D198" t="s">
        <v>28</v>
      </c>
      <c r="E198" t="s">
        <v>21</v>
      </c>
      <c r="F198" t="s">
        <v>41</v>
      </c>
      <c r="G198" t="s">
        <v>30</v>
      </c>
      <c r="H198">
        <v>9295</v>
      </c>
      <c r="I198" t="s">
        <v>24</v>
      </c>
      <c r="J198">
        <v>4.14</v>
      </c>
      <c r="K198">
        <v>38481.3</v>
      </c>
      <c r="L198" t="s">
        <v>634</v>
      </c>
      <c r="M198" t="s">
        <v>781</v>
      </c>
      <c r="N198">
        <v>4.05</v>
      </c>
      <c r="O198" t="s">
        <v>27</v>
      </c>
      <c r="P198" t="s">
        <v>782</v>
      </c>
      <c r="Q198">
        <v>1</v>
      </c>
    </row>
    <row r="199" spans="1:17">
      <c r="A199">
        <v>198</v>
      </c>
      <c r="B199">
        <v>1</v>
      </c>
      <c r="C199">
        <v>20240119</v>
      </c>
      <c r="D199" t="s">
        <v>20</v>
      </c>
      <c r="E199" t="s">
        <v>21</v>
      </c>
      <c r="F199" t="s">
        <v>41</v>
      </c>
      <c r="G199" t="s">
        <v>30</v>
      </c>
      <c r="H199">
        <v>78303</v>
      </c>
      <c r="I199" t="s">
        <v>24</v>
      </c>
      <c r="J199">
        <v>4.14</v>
      </c>
      <c r="K199">
        <v>324174.42</v>
      </c>
      <c r="L199" t="s">
        <v>634</v>
      </c>
      <c r="M199" t="s">
        <v>781</v>
      </c>
      <c r="N199">
        <v>4.05</v>
      </c>
      <c r="O199" t="s">
        <v>27</v>
      </c>
      <c r="P199" t="s">
        <v>784</v>
      </c>
      <c r="Q199">
        <v>6</v>
      </c>
    </row>
    <row r="200" spans="1:17">
      <c r="A200">
        <v>199</v>
      </c>
      <c r="B200">
        <v>1</v>
      </c>
      <c r="C200">
        <v>20240119</v>
      </c>
      <c r="D200" t="s">
        <v>20</v>
      </c>
      <c r="E200" t="s">
        <v>21</v>
      </c>
      <c r="F200" t="s">
        <v>59</v>
      </c>
      <c r="G200" t="s">
        <v>42</v>
      </c>
      <c r="H200">
        <v>204594</v>
      </c>
      <c r="I200" t="s">
        <v>24</v>
      </c>
      <c r="J200">
        <v>4.58</v>
      </c>
      <c r="K200">
        <v>937040.52</v>
      </c>
      <c r="L200" t="s">
        <v>637</v>
      </c>
      <c r="M200" t="s">
        <v>785</v>
      </c>
      <c r="N200">
        <v>4.4886</v>
      </c>
      <c r="O200" t="s">
        <v>27</v>
      </c>
      <c r="P200" t="s">
        <v>786</v>
      </c>
      <c r="Q200">
        <v>25</v>
      </c>
    </row>
    <row r="201" spans="1:17">
      <c r="A201">
        <v>200</v>
      </c>
      <c r="B201">
        <v>1</v>
      </c>
      <c r="C201">
        <v>20240119</v>
      </c>
      <c r="D201" t="s">
        <v>28</v>
      </c>
      <c r="E201" t="s">
        <v>21</v>
      </c>
      <c r="F201" t="s">
        <v>29</v>
      </c>
      <c r="G201" t="s">
        <v>679</v>
      </c>
      <c r="H201">
        <v>87486</v>
      </c>
      <c r="I201" t="s">
        <v>24</v>
      </c>
      <c r="J201">
        <v>4.25</v>
      </c>
      <c r="K201">
        <v>371815.5</v>
      </c>
      <c r="L201" t="s">
        <v>634</v>
      </c>
      <c r="M201" t="s">
        <v>787</v>
      </c>
      <c r="N201">
        <v>4.1681</v>
      </c>
      <c r="O201" t="s">
        <v>27</v>
      </c>
      <c r="P201" t="s">
        <v>788</v>
      </c>
      <c r="Q201">
        <v>6</v>
      </c>
    </row>
    <row r="202" spans="1:17">
      <c r="A202">
        <v>201</v>
      </c>
      <c r="B202">
        <v>1</v>
      </c>
      <c r="C202">
        <v>20240119</v>
      </c>
      <c r="D202" t="s">
        <v>20</v>
      </c>
      <c r="E202" t="s">
        <v>21</v>
      </c>
      <c r="F202" t="s">
        <v>29</v>
      </c>
      <c r="G202" t="s">
        <v>42</v>
      </c>
      <c r="H202">
        <v>1499</v>
      </c>
      <c r="I202" t="s">
        <v>24</v>
      </c>
      <c r="J202">
        <v>5.73</v>
      </c>
      <c r="K202">
        <v>8589.27</v>
      </c>
      <c r="L202" t="s">
        <v>637</v>
      </c>
      <c r="M202" t="s">
        <v>787</v>
      </c>
      <c r="N202">
        <v>5.6157</v>
      </c>
      <c r="O202" t="s">
        <v>27</v>
      </c>
      <c r="P202" t="s">
        <v>789</v>
      </c>
      <c r="Q202">
        <v>162</v>
      </c>
    </row>
    <row r="203" spans="1:17">
      <c r="A203">
        <v>202</v>
      </c>
      <c r="B203">
        <v>1</v>
      </c>
      <c r="C203">
        <v>20240119</v>
      </c>
      <c r="D203" t="s">
        <v>20</v>
      </c>
      <c r="E203" t="s">
        <v>21</v>
      </c>
      <c r="F203" t="s">
        <v>29</v>
      </c>
      <c r="G203" t="s">
        <v>42</v>
      </c>
      <c r="H203">
        <v>576934</v>
      </c>
      <c r="I203" t="s">
        <v>24</v>
      </c>
      <c r="J203">
        <v>5.62</v>
      </c>
      <c r="K203">
        <v>3242369.08</v>
      </c>
      <c r="L203" t="s">
        <v>634</v>
      </c>
      <c r="M203" t="s">
        <v>787</v>
      </c>
      <c r="N203">
        <v>5.5003</v>
      </c>
      <c r="O203" t="s">
        <v>27</v>
      </c>
      <c r="P203" t="s">
        <v>790</v>
      </c>
    </row>
    <row r="204" spans="1:17">
      <c r="A204">
        <v>203</v>
      </c>
      <c r="B204">
        <v>1</v>
      </c>
      <c r="C204">
        <v>20240119</v>
      </c>
      <c r="D204" t="s">
        <v>28</v>
      </c>
      <c r="E204" t="s">
        <v>21</v>
      </c>
      <c r="F204" t="s">
        <v>41</v>
      </c>
      <c r="G204" t="s">
        <v>30</v>
      </c>
      <c r="H204">
        <v>247627</v>
      </c>
      <c r="I204" t="s">
        <v>24</v>
      </c>
      <c r="J204">
        <v>4.14</v>
      </c>
      <c r="K204">
        <v>1025175.78</v>
      </c>
      <c r="L204" t="s">
        <v>637</v>
      </c>
      <c r="N204">
        <v>4.05</v>
      </c>
      <c r="O204" t="s">
        <v>27</v>
      </c>
      <c r="P204" t="s">
        <v>782</v>
      </c>
      <c r="Q204">
        <v>29</v>
      </c>
    </row>
    <row r="205" spans="1:17">
      <c r="A205">
        <v>204</v>
      </c>
      <c r="B205">
        <v>1</v>
      </c>
      <c r="C205">
        <v>20240119</v>
      </c>
      <c r="D205" t="s">
        <v>28</v>
      </c>
      <c r="E205" t="s">
        <v>21</v>
      </c>
      <c r="F205" t="s">
        <v>41</v>
      </c>
      <c r="G205" t="s">
        <v>37</v>
      </c>
      <c r="H205">
        <v>73254</v>
      </c>
      <c r="I205" t="s">
        <v>24</v>
      </c>
      <c r="J205">
        <v>4.14</v>
      </c>
      <c r="K205">
        <v>303271.56</v>
      </c>
      <c r="L205" t="s">
        <v>637</v>
      </c>
      <c r="N205">
        <v>4.05</v>
      </c>
      <c r="O205" t="s">
        <v>27</v>
      </c>
      <c r="P205" t="s">
        <v>783</v>
      </c>
      <c r="Q205">
        <v>8</v>
      </c>
    </row>
    <row r="206" spans="1:17">
      <c r="A206">
        <v>205</v>
      </c>
      <c r="B206">
        <v>1</v>
      </c>
      <c r="C206">
        <v>20240119</v>
      </c>
      <c r="D206" t="s">
        <v>28</v>
      </c>
      <c r="E206" t="s">
        <v>21</v>
      </c>
      <c r="F206" t="s">
        <v>41</v>
      </c>
      <c r="G206" t="s">
        <v>30</v>
      </c>
      <c r="H206">
        <v>116870</v>
      </c>
      <c r="I206" t="s">
        <v>24</v>
      </c>
      <c r="J206">
        <v>4.14</v>
      </c>
      <c r="K206">
        <v>483841.8</v>
      </c>
      <c r="L206" t="s">
        <v>634</v>
      </c>
      <c r="N206">
        <v>4.05</v>
      </c>
      <c r="O206" t="s">
        <v>27</v>
      </c>
      <c r="P206" t="s">
        <v>782</v>
      </c>
      <c r="Q206">
        <v>10</v>
      </c>
    </row>
    <row r="207" spans="1:17">
      <c r="A207">
        <v>206</v>
      </c>
      <c r="B207">
        <v>1</v>
      </c>
      <c r="C207">
        <v>20240119</v>
      </c>
      <c r="D207" t="s">
        <v>28</v>
      </c>
      <c r="E207" t="s">
        <v>21</v>
      </c>
      <c r="F207" t="s">
        <v>41</v>
      </c>
      <c r="G207" t="s">
        <v>37</v>
      </c>
      <c r="H207">
        <v>62087</v>
      </c>
      <c r="I207" t="s">
        <v>24</v>
      </c>
      <c r="J207">
        <v>4.14</v>
      </c>
      <c r="K207">
        <v>257040.18</v>
      </c>
      <c r="L207" t="s">
        <v>634</v>
      </c>
      <c r="N207">
        <v>4.05</v>
      </c>
      <c r="O207" t="s">
        <v>27</v>
      </c>
      <c r="P207" t="s">
        <v>783</v>
      </c>
      <c r="Q207">
        <v>7</v>
      </c>
    </row>
    <row r="208" spans="1:17">
      <c r="A208">
        <v>207</v>
      </c>
      <c r="B208">
        <v>1</v>
      </c>
      <c r="C208">
        <v>20240119</v>
      </c>
      <c r="D208" t="s">
        <v>28</v>
      </c>
      <c r="E208" t="s">
        <v>21</v>
      </c>
      <c r="F208" t="s">
        <v>41</v>
      </c>
      <c r="G208" t="s">
        <v>30</v>
      </c>
      <c r="H208">
        <v>43231</v>
      </c>
      <c r="I208" t="s">
        <v>24</v>
      </c>
      <c r="J208">
        <v>4.14</v>
      </c>
      <c r="K208">
        <v>178976.34</v>
      </c>
      <c r="L208" t="s">
        <v>634</v>
      </c>
      <c r="N208">
        <v>4.05</v>
      </c>
      <c r="O208" t="s">
        <v>27</v>
      </c>
      <c r="P208" t="s">
        <v>782</v>
      </c>
      <c r="Q208">
        <v>4</v>
      </c>
    </row>
    <row r="209" spans="1:19">
      <c r="A209">
        <v>208</v>
      </c>
      <c r="B209">
        <v>1</v>
      </c>
      <c r="C209">
        <v>20240119</v>
      </c>
      <c r="D209" t="s">
        <v>28</v>
      </c>
      <c r="E209" t="s">
        <v>21</v>
      </c>
      <c r="F209" t="s">
        <v>41</v>
      </c>
      <c r="G209" t="s">
        <v>30</v>
      </c>
      <c r="H209">
        <v>46810</v>
      </c>
      <c r="I209" t="s">
        <v>24</v>
      </c>
      <c r="J209">
        <v>4.14</v>
      </c>
      <c r="K209">
        <v>193793.4</v>
      </c>
      <c r="L209" t="s">
        <v>637</v>
      </c>
      <c r="N209">
        <v>4.05</v>
      </c>
      <c r="O209" t="s">
        <v>27</v>
      </c>
      <c r="P209" t="s">
        <v>782</v>
      </c>
      <c r="Q209">
        <v>4</v>
      </c>
    </row>
    <row r="210" spans="1:19">
      <c r="A210">
        <v>209</v>
      </c>
      <c r="B210">
        <v>1</v>
      </c>
      <c r="C210">
        <v>20240119</v>
      </c>
      <c r="D210" t="s">
        <v>28</v>
      </c>
      <c r="E210" t="s">
        <v>21</v>
      </c>
      <c r="F210" t="s">
        <v>41</v>
      </c>
      <c r="G210" t="s">
        <v>37</v>
      </c>
      <c r="H210">
        <v>31679</v>
      </c>
      <c r="I210" t="s">
        <v>24</v>
      </c>
      <c r="J210">
        <v>4.14</v>
      </c>
      <c r="K210">
        <v>131151.06</v>
      </c>
      <c r="L210" t="s">
        <v>637</v>
      </c>
      <c r="N210">
        <v>4.05</v>
      </c>
      <c r="O210" t="s">
        <v>27</v>
      </c>
      <c r="P210" t="s">
        <v>783</v>
      </c>
      <c r="Q210">
        <v>3</v>
      </c>
    </row>
    <row r="211" spans="1:19">
      <c r="A211">
        <v>210</v>
      </c>
      <c r="B211">
        <v>1</v>
      </c>
      <c r="C211">
        <v>20240119</v>
      </c>
      <c r="D211" t="s">
        <v>28</v>
      </c>
      <c r="E211" t="s">
        <v>21</v>
      </c>
      <c r="F211" t="s">
        <v>41</v>
      </c>
      <c r="G211" t="s">
        <v>30</v>
      </c>
      <c r="H211">
        <v>13456</v>
      </c>
      <c r="I211" t="s">
        <v>24</v>
      </c>
      <c r="J211">
        <v>4.14</v>
      </c>
      <c r="K211">
        <v>55707.84</v>
      </c>
      <c r="L211" t="s">
        <v>637</v>
      </c>
      <c r="N211">
        <v>4.05</v>
      </c>
      <c r="O211" t="s">
        <v>27</v>
      </c>
      <c r="P211" t="s">
        <v>782</v>
      </c>
      <c r="Q211">
        <v>1</v>
      </c>
    </row>
    <row r="212" spans="1:19">
      <c r="A212">
        <v>211</v>
      </c>
      <c r="B212">
        <v>1</v>
      </c>
      <c r="C212">
        <v>20240119</v>
      </c>
      <c r="D212" t="s">
        <v>20</v>
      </c>
      <c r="E212" t="s">
        <v>21</v>
      </c>
      <c r="F212" t="s">
        <v>41</v>
      </c>
      <c r="G212" t="s">
        <v>30</v>
      </c>
      <c r="H212">
        <v>1719</v>
      </c>
      <c r="I212" t="s">
        <v>24</v>
      </c>
      <c r="J212">
        <v>4.14</v>
      </c>
      <c r="K212">
        <v>7116.66</v>
      </c>
      <c r="L212" t="s">
        <v>634</v>
      </c>
      <c r="N212">
        <v>4.05</v>
      </c>
      <c r="O212" t="s">
        <v>27</v>
      </c>
      <c r="P212" t="s">
        <v>784</v>
      </c>
      <c r="Q212">
        <v>1</v>
      </c>
    </row>
    <row r="213" spans="1:19">
      <c r="A213">
        <v>212</v>
      </c>
      <c r="B213">
        <v>1</v>
      </c>
      <c r="C213">
        <v>20240119</v>
      </c>
      <c r="D213" t="s">
        <v>20</v>
      </c>
      <c r="E213" t="s">
        <v>21</v>
      </c>
      <c r="F213" t="s">
        <v>41</v>
      </c>
      <c r="G213" t="s">
        <v>30</v>
      </c>
      <c r="H213">
        <v>1797</v>
      </c>
      <c r="I213" t="s">
        <v>24</v>
      </c>
      <c r="J213">
        <v>4.14</v>
      </c>
      <c r="K213">
        <v>7439.58</v>
      </c>
      <c r="L213" t="s">
        <v>637</v>
      </c>
      <c r="N213">
        <v>4.05</v>
      </c>
      <c r="O213" t="s">
        <v>27</v>
      </c>
      <c r="P213" t="s">
        <v>784</v>
      </c>
      <c r="Q213">
        <v>1</v>
      </c>
    </row>
    <row r="214" spans="1:19">
      <c r="A214">
        <v>213</v>
      </c>
      <c r="B214">
        <v>1</v>
      </c>
      <c r="C214">
        <v>20241019</v>
      </c>
      <c r="D214" t="s">
        <v>28</v>
      </c>
      <c r="E214" t="s">
        <v>21</v>
      </c>
      <c r="F214" t="s">
        <v>32</v>
      </c>
      <c r="G214" t="s">
        <v>56</v>
      </c>
      <c r="H214">
        <v>102009</v>
      </c>
      <c r="I214" t="s">
        <v>24</v>
      </c>
      <c r="J214">
        <v>4.53</v>
      </c>
      <c r="K214">
        <v>462100.77</v>
      </c>
      <c r="L214" t="s">
        <v>634</v>
      </c>
      <c r="N214">
        <v>4.44</v>
      </c>
      <c r="O214" t="s">
        <v>27</v>
      </c>
      <c r="P214" t="s">
        <v>791</v>
      </c>
      <c r="Q214">
        <v>37</v>
      </c>
    </row>
    <row r="215" spans="1:19">
      <c r="A215">
        <v>214</v>
      </c>
      <c r="B215">
        <v>1</v>
      </c>
      <c r="C215">
        <v>20240120</v>
      </c>
      <c r="D215" t="s">
        <v>20</v>
      </c>
      <c r="E215" t="s">
        <v>21</v>
      </c>
      <c r="F215" t="s">
        <v>41</v>
      </c>
      <c r="G215" t="s">
        <v>42</v>
      </c>
      <c r="H215">
        <v>204897</v>
      </c>
      <c r="I215" t="s">
        <v>24</v>
      </c>
      <c r="J215">
        <v>5.63</v>
      </c>
      <c r="K215">
        <v>1153570.11</v>
      </c>
      <c r="L215" t="s">
        <v>634</v>
      </c>
      <c r="N215">
        <v>5.516</v>
      </c>
      <c r="O215" t="s">
        <v>27</v>
      </c>
      <c r="P215" t="s">
        <v>792</v>
      </c>
      <c r="Q215">
        <v>16</v>
      </c>
    </row>
    <row r="216" spans="1:19">
      <c r="A216">
        <v>215</v>
      </c>
      <c r="B216">
        <v>1</v>
      </c>
      <c r="C216">
        <v>20240122</v>
      </c>
      <c r="D216" t="s">
        <v>20</v>
      </c>
      <c r="E216" t="s">
        <v>21</v>
      </c>
      <c r="F216" t="s">
        <v>32</v>
      </c>
      <c r="G216" t="s">
        <v>42</v>
      </c>
      <c r="H216">
        <v>739910</v>
      </c>
      <c r="I216" t="s">
        <v>24</v>
      </c>
      <c r="J216">
        <v>5.71</v>
      </c>
      <c r="K216">
        <v>4224886.1</v>
      </c>
      <c r="L216" t="s">
        <v>637</v>
      </c>
      <c r="M216" t="s">
        <v>793</v>
      </c>
      <c r="N216">
        <v>5.6017</v>
      </c>
      <c r="O216" t="s">
        <v>27</v>
      </c>
      <c r="P216" t="s">
        <v>794</v>
      </c>
      <c r="Q216">
        <v>103</v>
      </c>
      <c r="R216">
        <v>6.9333</v>
      </c>
      <c r="S216">
        <v>4.48</v>
      </c>
    </row>
    <row r="217" spans="1:19">
      <c r="A217">
        <v>216</v>
      </c>
      <c r="B217">
        <v>1</v>
      </c>
      <c r="C217">
        <v>20240122</v>
      </c>
      <c r="D217" t="s">
        <v>28</v>
      </c>
      <c r="E217" t="s">
        <v>21</v>
      </c>
      <c r="F217" t="s">
        <v>22</v>
      </c>
      <c r="G217" t="s">
        <v>37</v>
      </c>
      <c r="H217">
        <v>784344</v>
      </c>
      <c r="I217" t="s">
        <v>24</v>
      </c>
      <c r="J217">
        <v>5.19</v>
      </c>
      <c r="K217">
        <v>4070745.36</v>
      </c>
      <c r="L217" t="s">
        <v>637</v>
      </c>
      <c r="M217" t="s">
        <v>795</v>
      </c>
      <c r="N217">
        <v>5.0841</v>
      </c>
      <c r="O217" t="s">
        <v>27</v>
      </c>
      <c r="P217" t="s">
        <v>796</v>
      </c>
      <c r="Q217" t="s">
        <v>797</v>
      </c>
    </row>
    <row r="218" spans="1:19">
      <c r="A218">
        <v>217</v>
      </c>
      <c r="B218">
        <v>1</v>
      </c>
      <c r="C218">
        <v>20240122</v>
      </c>
      <c r="D218" t="s">
        <v>28</v>
      </c>
      <c r="E218" t="s">
        <v>21</v>
      </c>
      <c r="F218" t="s">
        <v>22</v>
      </c>
      <c r="G218" t="s">
        <v>37</v>
      </c>
      <c r="H218">
        <v>711</v>
      </c>
      <c r="I218" t="s">
        <v>24</v>
      </c>
      <c r="J218">
        <v>5.19</v>
      </c>
      <c r="K218">
        <v>3690.09</v>
      </c>
      <c r="L218" t="s">
        <v>654</v>
      </c>
      <c r="M218" t="s">
        <v>795</v>
      </c>
      <c r="N218">
        <v>5.0841</v>
      </c>
      <c r="O218" t="s">
        <v>27</v>
      </c>
      <c r="P218" t="s">
        <v>796</v>
      </c>
    </row>
    <row r="219" spans="1:19">
      <c r="A219">
        <v>218</v>
      </c>
      <c r="B219">
        <v>1</v>
      </c>
      <c r="C219">
        <v>20240122</v>
      </c>
      <c r="D219" t="s">
        <v>28</v>
      </c>
      <c r="E219" t="s">
        <v>21</v>
      </c>
      <c r="F219" t="s">
        <v>22</v>
      </c>
      <c r="G219" t="s">
        <v>30</v>
      </c>
      <c r="H219">
        <v>147951</v>
      </c>
      <c r="I219" t="s">
        <v>24</v>
      </c>
      <c r="J219">
        <v>5.19</v>
      </c>
      <c r="K219">
        <v>767865.69</v>
      </c>
      <c r="L219" t="s">
        <v>634</v>
      </c>
      <c r="M219" t="s">
        <v>795</v>
      </c>
      <c r="N219">
        <v>5.0841</v>
      </c>
      <c r="O219" t="s">
        <v>27</v>
      </c>
      <c r="P219" t="s">
        <v>798</v>
      </c>
    </row>
    <row r="220" spans="1:19">
      <c r="A220">
        <v>219</v>
      </c>
      <c r="B220">
        <v>1</v>
      </c>
      <c r="C220">
        <v>20240122</v>
      </c>
      <c r="D220" t="s">
        <v>28</v>
      </c>
      <c r="E220" t="s">
        <v>21</v>
      </c>
      <c r="F220" t="s">
        <v>22</v>
      </c>
      <c r="G220" t="s">
        <v>30</v>
      </c>
      <c r="H220">
        <v>1065228</v>
      </c>
      <c r="I220" t="s">
        <v>24</v>
      </c>
      <c r="J220">
        <v>5.19</v>
      </c>
      <c r="K220">
        <v>5528533.32</v>
      </c>
      <c r="L220" t="s">
        <v>637</v>
      </c>
      <c r="M220" t="s">
        <v>795</v>
      </c>
      <c r="N220">
        <v>5.0841</v>
      </c>
      <c r="O220" t="s">
        <v>27</v>
      </c>
      <c r="P220" t="s">
        <v>798</v>
      </c>
    </row>
    <row r="221" spans="1:19">
      <c r="A221">
        <v>220</v>
      </c>
      <c r="B221">
        <v>1</v>
      </c>
      <c r="C221">
        <v>20240122</v>
      </c>
      <c r="D221" t="s">
        <v>28</v>
      </c>
      <c r="E221" t="s">
        <v>21</v>
      </c>
      <c r="F221" t="s">
        <v>22</v>
      </c>
      <c r="G221" t="s">
        <v>30</v>
      </c>
      <c r="H221">
        <v>27573</v>
      </c>
      <c r="I221" t="s">
        <v>24</v>
      </c>
      <c r="J221">
        <v>5.19</v>
      </c>
      <c r="K221">
        <v>143103.87</v>
      </c>
      <c r="L221" t="s">
        <v>654</v>
      </c>
      <c r="M221" t="s">
        <v>795</v>
      </c>
      <c r="N221">
        <v>5.0841</v>
      </c>
      <c r="O221" t="s">
        <v>27</v>
      </c>
      <c r="P221" t="s">
        <v>798</v>
      </c>
    </row>
    <row r="222" spans="1:19">
      <c r="A222">
        <v>221</v>
      </c>
      <c r="B222">
        <v>1</v>
      </c>
      <c r="C222">
        <v>20240122</v>
      </c>
      <c r="D222" t="s">
        <v>20</v>
      </c>
      <c r="E222" t="s">
        <v>21</v>
      </c>
      <c r="F222" t="s">
        <v>59</v>
      </c>
      <c r="G222" t="s">
        <v>42</v>
      </c>
      <c r="H222">
        <v>597368</v>
      </c>
      <c r="I222" t="s">
        <v>24</v>
      </c>
      <c r="J222">
        <v>4.58</v>
      </c>
      <c r="K222">
        <v>2735945.44</v>
      </c>
      <c r="L222" t="s">
        <v>637</v>
      </c>
      <c r="M222" t="s">
        <v>799</v>
      </c>
      <c r="N222">
        <v>4.4888</v>
      </c>
      <c r="O222" t="s">
        <v>27</v>
      </c>
      <c r="P222" t="s">
        <v>800</v>
      </c>
      <c r="Q222">
        <v>32</v>
      </c>
      <c r="R222">
        <v>6.9333</v>
      </c>
      <c r="S222">
        <v>4.48</v>
      </c>
    </row>
    <row r="223" spans="1:19">
      <c r="A223">
        <v>222</v>
      </c>
      <c r="B223">
        <v>1</v>
      </c>
      <c r="C223">
        <v>20240122</v>
      </c>
      <c r="D223" t="s">
        <v>20</v>
      </c>
      <c r="E223" t="s">
        <v>21</v>
      </c>
      <c r="F223" t="s">
        <v>59</v>
      </c>
      <c r="G223" t="s">
        <v>23</v>
      </c>
      <c r="H223">
        <v>360</v>
      </c>
      <c r="I223" t="s">
        <v>24</v>
      </c>
      <c r="J223">
        <v>3.44</v>
      </c>
      <c r="K223">
        <v>1238.4</v>
      </c>
      <c r="L223" t="s">
        <v>637</v>
      </c>
      <c r="M223" t="s">
        <v>801</v>
      </c>
      <c r="N223">
        <v>3.1502</v>
      </c>
      <c r="O223" t="s">
        <v>27</v>
      </c>
      <c r="P223" t="s">
        <v>802</v>
      </c>
      <c r="Q223">
        <v>1</v>
      </c>
    </row>
    <row r="224" spans="1:19">
      <c r="A224">
        <v>223</v>
      </c>
      <c r="B224">
        <v>1</v>
      </c>
      <c r="C224">
        <v>20240122</v>
      </c>
      <c r="D224" t="s">
        <v>20</v>
      </c>
      <c r="E224" t="s">
        <v>21</v>
      </c>
      <c r="F224" t="s">
        <v>22</v>
      </c>
      <c r="G224" t="s">
        <v>42</v>
      </c>
      <c r="H224">
        <v>906891</v>
      </c>
      <c r="I224" t="s">
        <v>24</v>
      </c>
      <c r="J224">
        <v>5.63</v>
      </c>
      <c r="K224">
        <v>5105796.33</v>
      </c>
      <c r="L224" t="s">
        <v>634</v>
      </c>
      <c r="M224" t="s">
        <v>803</v>
      </c>
      <c r="N224">
        <v>5.516</v>
      </c>
      <c r="O224" t="s">
        <v>27</v>
      </c>
      <c r="P224" t="s">
        <v>804</v>
      </c>
      <c r="Q224">
        <v>32</v>
      </c>
      <c r="R224">
        <v>6.9333</v>
      </c>
      <c r="S224">
        <v>4.48</v>
      </c>
    </row>
    <row r="225" spans="1:19">
      <c r="A225">
        <v>224</v>
      </c>
      <c r="B225">
        <v>1</v>
      </c>
      <c r="C225">
        <v>20240122</v>
      </c>
      <c r="D225" t="s">
        <v>20</v>
      </c>
      <c r="E225" t="s">
        <v>21</v>
      </c>
      <c r="F225" t="s">
        <v>22</v>
      </c>
      <c r="G225" t="s">
        <v>42</v>
      </c>
      <c r="H225">
        <v>125104</v>
      </c>
      <c r="I225" t="s">
        <v>24</v>
      </c>
      <c r="J225">
        <v>4.58</v>
      </c>
      <c r="K225">
        <v>572976.32</v>
      </c>
      <c r="L225" t="s">
        <v>637</v>
      </c>
      <c r="M225" t="s">
        <v>803</v>
      </c>
      <c r="N225">
        <v>4.4875</v>
      </c>
      <c r="O225" t="s">
        <v>27</v>
      </c>
      <c r="P225" t="s">
        <v>805</v>
      </c>
      <c r="Q225">
        <v>5</v>
      </c>
      <c r="R225">
        <v>6.9333</v>
      </c>
      <c r="S225">
        <v>4.48</v>
      </c>
    </row>
    <row r="226" spans="1:19">
      <c r="A226">
        <v>225</v>
      </c>
      <c r="B226">
        <v>1</v>
      </c>
      <c r="C226">
        <v>20240122</v>
      </c>
      <c r="D226" t="s">
        <v>20</v>
      </c>
      <c r="E226" t="s">
        <v>21</v>
      </c>
      <c r="F226" t="s">
        <v>29</v>
      </c>
      <c r="G226" t="s">
        <v>42</v>
      </c>
      <c r="H226">
        <v>12465</v>
      </c>
      <c r="I226" t="s">
        <v>24</v>
      </c>
      <c r="J226">
        <v>4.48</v>
      </c>
      <c r="K226">
        <v>55843.2</v>
      </c>
      <c r="L226" t="s">
        <v>637</v>
      </c>
      <c r="M226" t="s">
        <v>806</v>
      </c>
      <c r="N226">
        <v>3.802</v>
      </c>
      <c r="O226" t="s">
        <v>27</v>
      </c>
      <c r="P226" t="s">
        <v>807</v>
      </c>
      <c r="Q226">
        <v>46</v>
      </c>
      <c r="R226">
        <v>6.9333</v>
      </c>
      <c r="S226">
        <v>4.48</v>
      </c>
    </row>
    <row r="227" spans="1:19">
      <c r="A227">
        <v>226</v>
      </c>
      <c r="B227">
        <v>1</v>
      </c>
      <c r="C227">
        <v>20240122</v>
      </c>
      <c r="D227" t="s">
        <v>20</v>
      </c>
      <c r="E227" t="s">
        <v>21</v>
      </c>
      <c r="F227" t="s">
        <v>29</v>
      </c>
      <c r="G227" t="s">
        <v>42</v>
      </c>
      <c r="H227">
        <v>498282</v>
      </c>
      <c r="I227" t="s">
        <v>24</v>
      </c>
      <c r="J227">
        <v>5.63</v>
      </c>
      <c r="K227">
        <v>2805327.66</v>
      </c>
      <c r="L227" t="s">
        <v>634</v>
      </c>
      <c r="M227" t="s">
        <v>806</v>
      </c>
      <c r="N227">
        <v>5.5245</v>
      </c>
      <c r="O227" t="s">
        <v>27</v>
      </c>
      <c r="P227" t="s">
        <v>808</v>
      </c>
      <c r="R227">
        <v>6.9333</v>
      </c>
      <c r="S227">
        <v>4.48</v>
      </c>
    </row>
    <row r="228" spans="1:19">
      <c r="A228">
        <v>226</v>
      </c>
      <c r="B228">
        <v>1</v>
      </c>
      <c r="C228">
        <v>20240123</v>
      </c>
      <c r="D228" t="s">
        <v>28</v>
      </c>
      <c r="E228" t="s">
        <v>21</v>
      </c>
      <c r="F228" t="s">
        <v>29</v>
      </c>
      <c r="G228" t="s">
        <v>30</v>
      </c>
      <c r="H228">
        <v>146221</v>
      </c>
      <c r="I228" t="s">
        <v>24</v>
      </c>
      <c r="J228">
        <v>4.14</v>
      </c>
      <c r="K228">
        <v>605354.94</v>
      </c>
      <c r="L228" t="s">
        <v>637</v>
      </c>
      <c r="M228" t="s">
        <v>809</v>
      </c>
      <c r="N228">
        <v>3.49367</v>
      </c>
      <c r="O228" t="s">
        <v>27</v>
      </c>
      <c r="P228" t="s">
        <v>810</v>
      </c>
      <c r="Q228">
        <v>60</v>
      </c>
      <c r="S228">
        <v>4.14</v>
      </c>
    </row>
    <row r="229" spans="1:19">
      <c r="A229">
        <v>226</v>
      </c>
      <c r="B229">
        <v>1</v>
      </c>
      <c r="C229">
        <v>20240123</v>
      </c>
      <c r="D229" t="s">
        <v>28</v>
      </c>
      <c r="E229" t="s">
        <v>21</v>
      </c>
      <c r="F229" t="s">
        <v>29</v>
      </c>
      <c r="G229" t="s">
        <v>37</v>
      </c>
      <c r="H229">
        <v>3532</v>
      </c>
      <c r="I229" t="s">
        <v>24</v>
      </c>
      <c r="J229">
        <v>4.14</v>
      </c>
      <c r="K229">
        <v>14622.48</v>
      </c>
      <c r="L229" t="s">
        <v>637</v>
      </c>
      <c r="M229" t="s">
        <v>811</v>
      </c>
      <c r="N229">
        <v>3.2378</v>
      </c>
      <c r="O229" t="s">
        <v>27</v>
      </c>
      <c r="P229" t="s">
        <v>812</v>
      </c>
      <c r="Q229">
        <v>17</v>
      </c>
      <c r="S229">
        <v>4.14</v>
      </c>
    </row>
    <row r="230" spans="1:19">
      <c r="A230">
        <v>226</v>
      </c>
      <c r="B230">
        <v>1</v>
      </c>
      <c r="C230">
        <v>20240123</v>
      </c>
      <c r="D230" t="s">
        <v>28</v>
      </c>
      <c r="E230" t="s">
        <v>21</v>
      </c>
      <c r="F230" t="s">
        <v>29</v>
      </c>
      <c r="G230" t="s">
        <v>37</v>
      </c>
      <c r="H230">
        <v>31</v>
      </c>
      <c r="I230" t="s">
        <v>24</v>
      </c>
      <c r="J230">
        <v>4.66</v>
      </c>
      <c r="K230">
        <v>144.46</v>
      </c>
      <c r="L230" t="s">
        <v>637</v>
      </c>
      <c r="M230" t="s">
        <v>811</v>
      </c>
      <c r="N230">
        <v>4.571</v>
      </c>
      <c r="O230" t="s">
        <v>27</v>
      </c>
      <c r="P230" t="s">
        <v>813</v>
      </c>
      <c r="S230">
        <v>4.14</v>
      </c>
    </row>
    <row r="231" spans="1:19">
      <c r="A231">
        <v>226</v>
      </c>
      <c r="B231">
        <v>1</v>
      </c>
      <c r="C231">
        <v>20240123</v>
      </c>
      <c r="D231" t="s">
        <v>20</v>
      </c>
      <c r="E231" t="s">
        <v>21</v>
      </c>
      <c r="F231" t="s">
        <v>29</v>
      </c>
      <c r="G231" t="s">
        <v>30</v>
      </c>
      <c r="H231">
        <v>208052</v>
      </c>
      <c r="I231" t="s">
        <v>24</v>
      </c>
      <c r="J231">
        <v>4.14</v>
      </c>
      <c r="K231">
        <v>861335.28</v>
      </c>
      <c r="L231" t="s">
        <v>634</v>
      </c>
      <c r="M231" t="s">
        <v>814</v>
      </c>
      <c r="N231">
        <v>4.02462</v>
      </c>
      <c r="O231" t="s">
        <v>27</v>
      </c>
      <c r="P231" t="s">
        <v>815</v>
      </c>
      <c r="Q231">
        <v>58</v>
      </c>
      <c r="R231">
        <v>4.9338</v>
      </c>
      <c r="S231">
        <v>4.14</v>
      </c>
    </row>
    <row r="232" spans="1:19">
      <c r="A232">
        <v>227</v>
      </c>
      <c r="B232">
        <v>1</v>
      </c>
      <c r="C232">
        <v>20240124</v>
      </c>
      <c r="D232" t="s">
        <v>28</v>
      </c>
      <c r="E232" t="s">
        <v>21</v>
      </c>
      <c r="F232" t="s">
        <v>32</v>
      </c>
      <c r="G232" t="s">
        <v>816</v>
      </c>
      <c r="H232">
        <v>590045</v>
      </c>
      <c r="I232" t="s">
        <v>24</v>
      </c>
      <c r="J232">
        <v>3.53</v>
      </c>
      <c r="K232">
        <v>2082858.85</v>
      </c>
      <c r="L232" t="s">
        <v>634</v>
      </c>
      <c r="M232" t="s">
        <v>817</v>
      </c>
      <c r="N232">
        <v>3.2265</v>
      </c>
      <c r="O232" t="s">
        <v>27</v>
      </c>
      <c r="P232" t="s">
        <v>818</v>
      </c>
      <c r="Q232">
        <v>259</v>
      </c>
    </row>
    <row r="233" spans="1:19">
      <c r="A233">
        <v>228</v>
      </c>
      <c r="B233">
        <v>1</v>
      </c>
      <c r="C233">
        <v>20240124</v>
      </c>
      <c r="D233" t="s">
        <v>20</v>
      </c>
      <c r="E233" t="s">
        <v>21</v>
      </c>
      <c r="F233" t="s">
        <v>32</v>
      </c>
      <c r="G233" t="s">
        <v>30</v>
      </c>
      <c r="H233">
        <v>130550</v>
      </c>
      <c r="I233" t="s">
        <v>24</v>
      </c>
      <c r="J233">
        <v>4.14</v>
      </c>
      <c r="K233">
        <v>540477</v>
      </c>
      <c r="L233" t="s">
        <v>634</v>
      </c>
      <c r="M233" t="s">
        <v>819</v>
      </c>
      <c r="N233">
        <v>4.015</v>
      </c>
      <c r="O233" t="s">
        <v>27</v>
      </c>
      <c r="P233" t="s">
        <v>820</v>
      </c>
      <c r="Q233">
        <v>18</v>
      </c>
      <c r="R233">
        <v>4.9338</v>
      </c>
    </row>
    <row r="234" spans="1:19">
      <c r="A234">
        <v>229</v>
      </c>
      <c r="B234">
        <v>1</v>
      </c>
      <c r="C234">
        <v>20240124</v>
      </c>
      <c r="D234" t="s">
        <v>20</v>
      </c>
      <c r="E234" t="s">
        <v>21</v>
      </c>
      <c r="F234" t="s">
        <v>32</v>
      </c>
      <c r="G234" t="s">
        <v>30</v>
      </c>
      <c r="H234">
        <v>90862</v>
      </c>
      <c r="I234" t="s">
        <v>24</v>
      </c>
      <c r="J234">
        <v>4.14</v>
      </c>
      <c r="K234">
        <v>376168.68</v>
      </c>
      <c r="L234" t="s">
        <v>637</v>
      </c>
      <c r="M234" t="s">
        <v>819</v>
      </c>
      <c r="N234">
        <v>4.015</v>
      </c>
      <c r="O234" t="s">
        <v>27</v>
      </c>
      <c r="P234" t="s">
        <v>820</v>
      </c>
      <c r="Q234">
        <v>10</v>
      </c>
      <c r="R234">
        <v>4.9338</v>
      </c>
    </row>
    <row r="235" spans="1:19">
      <c r="A235">
        <v>230</v>
      </c>
      <c r="B235">
        <v>1</v>
      </c>
      <c r="C235">
        <v>20240124</v>
      </c>
      <c r="D235" t="s">
        <v>20</v>
      </c>
      <c r="E235" t="s">
        <v>21</v>
      </c>
      <c r="F235" t="s">
        <v>32</v>
      </c>
      <c r="G235" t="s">
        <v>42</v>
      </c>
      <c r="H235">
        <v>737940</v>
      </c>
      <c r="I235" t="s">
        <v>24</v>
      </c>
      <c r="J235">
        <v>5.71</v>
      </c>
      <c r="K235">
        <v>4213637.4</v>
      </c>
      <c r="L235" t="s">
        <v>637</v>
      </c>
      <c r="M235" t="s">
        <v>819</v>
      </c>
      <c r="N235">
        <v>5.6017</v>
      </c>
      <c r="O235" t="s">
        <v>27</v>
      </c>
      <c r="P235" t="s">
        <v>821</v>
      </c>
      <c r="Q235">
        <v>92</v>
      </c>
      <c r="R235">
        <v>6.9333</v>
      </c>
    </row>
    <row r="236" spans="1:19">
      <c r="A236">
        <v>231</v>
      </c>
      <c r="B236">
        <v>1</v>
      </c>
      <c r="C236">
        <v>20240124</v>
      </c>
      <c r="D236" t="s">
        <v>20</v>
      </c>
      <c r="E236" t="s">
        <v>21</v>
      </c>
      <c r="F236" t="s">
        <v>32</v>
      </c>
      <c r="G236" t="s">
        <v>816</v>
      </c>
      <c r="H236">
        <v>229547</v>
      </c>
      <c r="I236" t="s">
        <v>24</v>
      </c>
      <c r="J236">
        <v>3.53</v>
      </c>
      <c r="K236">
        <v>810300.91</v>
      </c>
      <c r="L236" t="s">
        <v>634</v>
      </c>
      <c r="M236" t="s">
        <v>819</v>
      </c>
      <c r="N236">
        <v>3.2265</v>
      </c>
      <c r="O236" t="s">
        <v>27</v>
      </c>
      <c r="P236" t="s">
        <v>822</v>
      </c>
      <c r="Q236">
        <v>113</v>
      </c>
    </row>
    <row r="237" spans="1:19">
      <c r="A237">
        <v>232</v>
      </c>
      <c r="B237">
        <v>1</v>
      </c>
      <c r="C237">
        <v>20240124</v>
      </c>
      <c r="D237" t="s">
        <v>28</v>
      </c>
      <c r="E237" t="s">
        <v>21</v>
      </c>
      <c r="F237" t="s">
        <v>39</v>
      </c>
      <c r="G237" t="s">
        <v>40</v>
      </c>
      <c r="H237">
        <v>9</v>
      </c>
      <c r="I237" t="s">
        <v>24</v>
      </c>
      <c r="J237">
        <v>2106.81</v>
      </c>
      <c r="K237">
        <v>18961.29</v>
      </c>
      <c r="L237" t="s">
        <v>637</v>
      </c>
      <c r="M237" t="s">
        <v>823</v>
      </c>
      <c r="N237">
        <v>1448.621</v>
      </c>
      <c r="O237" t="s">
        <v>27</v>
      </c>
      <c r="P237" t="s">
        <v>824</v>
      </c>
      <c r="Q237">
        <v>1</v>
      </c>
    </row>
    <row r="238" spans="1:19">
      <c r="A238">
        <v>233</v>
      </c>
      <c r="B238">
        <v>1</v>
      </c>
      <c r="C238">
        <v>20240124</v>
      </c>
      <c r="D238" t="s">
        <v>20</v>
      </c>
      <c r="E238" t="s">
        <v>21</v>
      </c>
      <c r="F238" t="s">
        <v>22</v>
      </c>
      <c r="G238" t="s">
        <v>30</v>
      </c>
      <c r="H238">
        <v>1233414</v>
      </c>
      <c r="I238" t="s">
        <v>24</v>
      </c>
      <c r="J238">
        <v>4.4</v>
      </c>
      <c r="K238">
        <v>5427021.6</v>
      </c>
      <c r="L238" t="s">
        <v>634</v>
      </c>
      <c r="M238" t="s">
        <v>825</v>
      </c>
      <c r="N238">
        <v>4.3118</v>
      </c>
      <c r="O238" t="s">
        <v>27</v>
      </c>
      <c r="P238" t="s">
        <v>826</v>
      </c>
      <c r="Q238">
        <v>54</v>
      </c>
      <c r="R238">
        <v>4.9338</v>
      </c>
      <c r="S238">
        <v>4.14</v>
      </c>
    </row>
    <row r="239" spans="1:19">
      <c r="A239">
        <v>234</v>
      </c>
      <c r="B239">
        <v>1</v>
      </c>
      <c r="C239">
        <v>20240124</v>
      </c>
      <c r="D239" t="s">
        <v>20</v>
      </c>
      <c r="E239" t="s">
        <v>21</v>
      </c>
      <c r="F239" t="s">
        <v>22</v>
      </c>
      <c r="G239" t="s">
        <v>42</v>
      </c>
      <c r="H239">
        <v>509802</v>
      </c>
      <c r="I239" t="s">
        <v>24</v>
      </c>
      <c r="J239">
        <v>5.63</v>
      </c>
      <c r="K239">
        <v>2870185.26</v>
      </c>
      <c r="L239" t="s">
        <v>634</v>
      </c>
      <c r="M239" t="s">
        <v>825</v>
      </c>
      <c r="N239">
        <v>5.516</v>
      </c>
      <c r="O239" t="s">
        <v>27</v>
      </c>
      <c r="P239" t="s">
        <v>827</v>
      </c>
      <c r="Q239">
        <v>21</v>
      </c>
      <c r="R239">
        <v>6.9333</v>
      </c>
      <c r="S239">
        <v>4.48</v>
      </c>
    </row>
    <row r="240" spans="1:19">
      <c r="A240">
        <v>235</v>
      </c>
      <c r="B240">
        <v>1</v>
      </c>
      <c r="C240">
        <v>20240124</v>
      </c>
      <c r="D240" t="s">
        <v>20</v>
      </c>
      <c r="E240" t="s">
        <v>21</v>
      </c>
      <c r="F240" t="s">
        <v>22</v>
      </c>
      <c r="G240" t="s">
        <v>42</v>
      </c>
      <c r="H240">
        <v>585651</v>
      </c>
      <c r="I240" t="s">
        <v>24</v>
      </c>
      <c r="J240">
        <v>5.63</v>
      </c>
      <c r="K240">
        <v>3297215.13</v>
      </c>
      <c r="L240" t="s">
        <v>634</v>
      </c>
      <c r="M240" t="s">
        <v>825</v>
      </c>
      <c r="N240">
        <v>5.516</v>
      </c>
      <c r="O240" t="s">
        <v>27</v>
      </c>
      <c r="P240" t="s">
        <v>827</v>
      </c>
      <c r="Q240">
        <v>20</v>
      </c>
      <c r="R240">
        <v>6.9333</v>
      </c>
      <c r="S240">
        <v>4.48</v>
      </c>
    </row>
    <row r="241" spans="1:19">
      <c r="A241">
        <v>236</v>
      </c>
      <c r="B241">
        <v>1</v>
      </c>
      <c r="C241">
        <v>20240124</v>
      </c>
      <c r="D241" t="s">
        <v>20</v>
      </c>
      <c r="E241" t="s">
        <v>21</v>
      </c>
      <c r="F241" t="s">
        <v>22</v>
      </c>
      <c r="G241" t="s">
        <v>30</v>
      </c>
      <c r="H241">
        <v>86357</v>
      </c>
      <c r="I241" t="s">
        <v>24</v>
      </c>
      <c r="J241">
        <v>4.14</v>
      </c>
      <c r="K241">
        <v>357517.98</v>
      </c>
      <c r="L241" t="s">
        <v>637</v>
      </c>
      <c r="M241" t="s">
        <v>825</v>
      </c>
      <c r="N241">
        <v>3.5538</v>
      </c>
      <c r="O241" t="s">
        <v>27</v>
      </c>
      <c r="P241" t="s">
        <v>828</v>
      </c>
      <c r="Q241">
        <v>10</v>
      </c>
      <c r="R241">
        <v>4.9338</v>
      </c>
      <c r="S241">
        <v>4.14</v>
      </c>
    </row>
    <row r="242" spans="1:19">
      <c r="A242">
        <v>237</v>
      </c>
      <c r="B242">
        <v>1</v>
      </c>
      <c r="C242">
        <v>20240124</v>
      </c>
      <c r="D242" t="s">
        <v>20</v>
      </c>
      <c r="E242" t="s">
        <v>21</v>
      </c>
      <c r="F242" t="s">
        <v>22</v>
      </c>
      <c r="G242" t="s">
        <v>42</v>
      </c>
      <c r="H242">
        <v>238281</v>
      </c>
      <c r="I242" t="s">
        <v>24</v>
      </c>
      <c r="J242">
        <v>4.58</v>
      </c>
      <c r="K242">
        <v>1091326.98</v>
      </c>
      <c r="L242" t="s">
        <v>637</v>
      </c>
      <c r="M242" t="s">
        <v>825</v>
      </c>
      <c r="N242">
        <v>4.4875</v>
      </c>
      <c r="O242" t="s">
        <v>27</v>
      </c>
      <c r="P242" t="s">
        <v>829</v>
      </c>
      <c r="Q242">
        <v>9</v>
      </c>
      <c r="R242">
        <v>6.9333</v>
      </c>
      <c r="S242">
        <v>4.48</v>
      </c>
    </row>
    <row r="243" spans="1:19">
      <c r="A243">
        <v>238</v>
      </c>
      <c r="B243">
        <v>1</v>
      </c>
      <c r="C243">
        <v>20240124</v>
      </c>
      <c r="D243" t="s">
        <v>28</v>
      </c>
      <c r="E243" t="s">
        <v>21</v>
      </c>
      <c r="F243" t="s">
        <v>29</v>
      </c>
      <c r="G243" t="s">
        <v>37</v>
      </c>
      <c r="H243">
        <v>15525</v>
      </c>
      <c r="I243" t="s">
        <v>24</v>
      </c>
      <c r="J243">
        <v>4.14</v>
      </c>
      <c r="K243">
        <v>64273.5</v>
      </c>
      <c r="L243" t="s">
        <v>634</v>
      </c>
      <c r="M243" t="s">
        <v>830</v>
      </c>
      <c r="N243">
        <v>4.02856</v>
      </c>
      <c r="O243" t="s">
        <v>27</v>
      </c>
      <c r="P243" t="s">
        <v>831</v>
      </c>
      <c r="Q243">
        <v>37</v>
      </c>
    </row>
    <row r="244" spans="1:19">
      <c r="A244">
        <v>239</v>
      </c>
      <c r="B244">
        <v>1</v>
      </c>
      <c r="C244">
        <v>20240124</v>
      </c>
      <c r="D244" t="s">
        <v>28</v>
      </c>
      <c r="E244" t="s">
        <v>21</v>
      </c>
      <c r="F244" t="s">
        <v>29</v>
      </c>
      <c r="G244" t="s">
        <v>30</v>
      </c>
      <c r="H244">
        <v>22647</v>
      </c>
      <c r="I244" t="s">
        <v>24</v>
      </c>
      <c r="J244">
        <v>4.14</v>
      </c>
      <c r="K244">
        <v>93758.58</v>
      </c>
      <c r="L244" t="s">
        <v>637</v>
      </c>
      <c r="M244" t="s">
        <v>832</v>
      </c>
      <c r="N244">
        <v>3.67</v>
      </c>
      <c r="O244" t="s">
        <v>27</v>
      </c>
      <c r="P244" t="s">
        <v>833</v>
      </c>
      <c r="Q244">
        <v>154</v>
      </c>
    </row>
    <row r="245" spans="1:19">
      <c r="A245">
        <v>240</v>
      </c>
      <c r="B245">
        <v>1</v>
      </c>
      <c r="C245">
        <v>20240124</v>
      </c>
      <c r="D245" t="s">
        <v>28</v>
      </c>
      <c r="E245" t="s">
        <v>21</v>
      </c>
      <c r="F245" t="s">
        <v>29</v>
      </c>
      <c r="G245" t="s">
        <v>30</v>
      </c>
      <c r="H245">
        <v>53521</v>
      </c>
      <c r="I245" t="s">
        <v>24</v>
      </c>
      <c r="J245">
        <v>5.02</v>
      </c>
      <c r="K245">
        <v>268675.42</v>
      </c>
      <c r="L245" t="s">
        <v>637</v>
      </c>
      <c r="M245" t="s">
        <v>832</v>
      </c>
      <c r="N245">
        <v>4.917</v>
      </c>
      <c r="O245" t="s">
        <v>27</v>
      </c>
      <c r="P245" t="s">
        <v>834</v>
      </c>
    </row>
    <row r="246" spans="1:19">
      <c r="A246">
        <v>241</v>
      </c>
      <c r="B246">
        <v>1</v>
      </c>
      <c r="C246">
        <v>20240124</v>
      </c>
      <c r="D246" t="s">
        <v>28</v>
      </c>
      <c r="E246" t="s">
        <v>21</v>
      </c>
      <c r="F246" t="s">
        <v>29</v>
      </c>
      <c r="G246" t="s">
        <v>30</v>
      </c>
      <c r="H246">
        <v>476685</v>
      </c>
      <c r="I246" t="s">
        <v>24</v>
      </c>
      <c r="J246">
        <v>4.14</v>
      </c>
      <c r="K246">
        <v>1973475.9</v>
      </c>
      <c r="L246" t="s">
        <v>634</v>
      </c>
      <c r="M246" t="s">
        <v>832</v>
      </c>
      <c r="N246">
        <v>4.0268</v>
      </c>
      <c r="O246" t="s">
        <v>27</v>
      </c>
      <c r="P246" t="s">
        <v>833</v>
      </c>
    </row>
    <row r="247" spans="1:19">
      <c r="A247">
        <v>242</v>
      </c>
      <c r="B247">
        <v>1</v>
      </c>
      <c r="C247">
        <v>20240124</v>
      </c>
      <c r="D247" t="s">
        <v>28</v>
      </c>
      <c r="E247" t="s">
        <v>21</v>
      </c>
      <c r="F247" t="s">
        <v>29</v>
      </c>
      <c r="G247" t="s">
        <v>30</v>
      </c>
      <c r="H247">
        <v>3997</v>
      </c>
      <c r="I247" t="s">
        <v>24</v>
      </c>
      <c r="J247">
        <v>4.89</v>
      </c>
      <c r="K247">
        <v>19545.33</v>
      </c>
      <c r="L247" t="s">
        <v>654</v>
      </c>
      <c r="M247" t="s">
        <v>832</v>
      </c>
      <c r="N247">
        <v>4.7962</v>
      </c>
      <c r="O247" t="s">
        <v>27</v>
      </c>
      <c r="P247" t="s">
        <v>835</v>
      </c>
    </row>
    <row r="248" spans="1:19">
      <c r="A248">
        <v>243</v>
      </c>
      <c r="B248">
        <v>1</v>
      </c>
      <c r="C248">
        <v>20240125</v>
      </c>
      <c r="D248" t="s">
        <v>20</v>
      </c>
      <c r="E248" t="s">
        <v>21</v>
      </c>
      <c r="F248" t="s">
        <v>22</v>
      </c>
      <c r="G248" t="s">
        <v>74</v>
      </c>
      <c r="H248">
        <v>59904</v>
      </c>
      <c r="I248" t="s">
        <v>24</v>
      </c>
      <c r="J248">
        <v>5.61</v>
      </c>
      <c r="K248">
        <v>336061.44</v>
      </c>
      <c r="L248" t="s">
        <v>634</v>
      </c>
      <c r="M248" t="s">
        <v>836</v>
      </c>
      <c r="N248">
        <v>5.5</v>
      </c>
      <c r="O248" t="s">
        <v>27</v>
      </c>
      <c r="P248" t="s">
        <v>837</v>
      </c>
      <c r="Q248">
        <v>4</v>
      </c>
      <c r="S248">
        <v>4.48</v>
      </c>
    </row>
    <row r="249" spans="1:19">
      <c r="A249">
        <v>244</v>
      </c>
      <c r="B249">
        <v>1</v>
      </c>
      <c r="C249">
        <v>20240125</v>
      </c>
      <c r="D249" t="s">
        <v>28</v>
      </c>
      <c r="E249" t="s">
        <v>21</v>
      </c>
      <c r="F249" t="s">
        <v>29</v>
      </c>
      <c r="G249" t="s">
        <v>30</v>
      </c>
      <c r="H249">
        <v>545345</v>
      </c>
      <c r="I249" t="s">
        <v>24</v>
      </c>
      <c r="J249">
        <v>4.14</v>
      </c>
      <c r="K249">
        <v>2257728.3</v>
      </c>
      <c r="L249" t="s">
        <v>634</v>
      </c>
      <c r="M249" t="s">
        <v>838</v>
      </c>
      <c r="N249">
        <v>4.02789</v>
      </c>
      <c r="O249" t="s">
        <v>27</v>
      </c>
      <c r="P249" t="s">
        <v>839</v>
      </c>
      <c r="Q249">
        <v>122</v>
      </c>
    </row>
    <row r="250" spans="1:19">
      <c r="A250">
        <v>245</v>
      </c>
      <c r="B250">
        <v>1</v>
      </c>
      <c r="C250">
        <v>20240125</v>
      </c>
      <c r="D250" t="s">
        <v>20</v>
      </c>
      <c r="E250" t="s">
        <v>21</v>
      </c>
      <c r="F250" t="s">
        <v>32</v>
      </c>
      <c r="G250" t="s">
        <v>30</v>
      </c>
      <c r="H250">
        <v>233011</v>
      </c>
      <c r="I250" t="s">
        <v>24</v>
      </c>
      <c r="J250">
        <v>4.14</v>
      </c>
      <c r="K250">
        <v>964665.54</v>
      </c>
      <c r="L250" t="s">
        <v>634</v>
      </c>
      <c r="M250" t="s">
        <v>840</v>
      </c>
      <c r="N250">
        <v>4.015</v>
      </c>
      <c r="O250" t="s">
        <v>27</v>
      </c>
      <c r="P250" t="s">
        <v>841</v>
      </c>
      <c r="Q250">
        <v>33</v>
      </c>
      <c r="R250">
        <v>4.9338</v>
      </c>
    </row>
    <row r="251" spans="1:19">
      <c r="A251">
        <v>246</v>
      </c>
      <c r="B251">
        <v>1</v>
      </c>
      <c r="C251">
        <v>20240125</v>
      </c>
      <c r="D251" t="s">
        <v>20</v>
      </c>
      <c r="E251" t="s">
        <v>21</v>
      </c>
      <c r="F251" t="s">
        <v>32</v>
      </c>
      <c r="G251" t="s">
        <v>30</v>
      </c>
      <c r="H251">
        <v>69656</v>
      </c>
      <c r="I251" t="s">
        <v>24</v>
      </c>
      <c r="J251">
        <v>4.14</v>
      </c>
      <c r="K251">
        <v>288375.84</v>
      </c>
      <c r="L251" t="s">
        <v>637</v>
      </c>
      <c r="M251" t="s">
        <v>840</v>
      </c>
      <c r="N251">
        <v>4.015</v>
      </c>
      <c r="O251" t="s">
        <v>27</v>
      </c>
      <c r="P251" t="s">
        <v>841</v>
      </c>
      <c r="Q251">
        <v>15</v>
      </c>
    </row>
    <row r="252" spans="1:19">
      <c r="A252">
        <v>246</v>
      </c>
      <c r="B252">
        <v>1</v>
      </c>
      <c r="C252">
        <v>20240126</v>
      </c>
      <c r="D252" t="s">
        <v>20</v>
      </c>
      <c r="E252" t="s">
        <v>21</v>
      </c>
      <c r="F252" t="s">
        <v>41</v>
      </c>
      <c r="G252" t="s">
        <v>30</v>
      </c>
      <c r="H252">
        <v>2040</v>
      </c>
      <c r="I252" t="s">
        <v>24</v>
      </c>
      <c r="J252">
        <v>4.14</v>
      </c>
      <c r="K252">
        <v>8445.6</v>
      </c>
      <c r="L252" t="s">
        <v>637</v>
      </c>
      <c r="M252" t="s">
        <v>842</v>
      </c>
      <c r="N252">
        <v>4.05</v>
      </c>
      <c r="O252" t="s">
        <v>27</v>
      </c>
      <c r="P252" t="s">
        <v>843</v>
      </c>
      <c r="Q252">
        <v>1</v>
      </c>
    </row>
    <row r="253" spans="1:19">
      <c r="A253">
        <v>246</v>
      </c>
      <c r="B253">
        <v>1</v>
      </c>
      <c r="C253">
        <v>20240126</v>
      </c>
      <c r="D253" t="s">
        <v>20</v>
      </c>
      <c r="E253" t="s">
        <v>21</v>
      </c>
      <c r="F253" t="s">
        <v>41</v>
      </c>
      <c r="G253" t="s">
        <v>30</v>
      </c>
      <c r="H253">
        <v>40800</v>
      </c>
      <c r="I253" t="s">
        <v>24</v>
      </c>
      <c r="J253">
        <v>4.14</v>
      </c>
      <c r="K253">
        <v>168912</v>
      </c>
      <c r="L253" t="s">
        <v>634</v>
      </c>
      <c r="M253" t="s">
        <v>842</v>
      </c>
      <c r="N253">
        <v>4.05</v>
      </c>
      <c r="O253" t="s">
        <v>27</v>
      </c>
      <c r="P253" t="s">
        <v>843</v>
      </c>
      <c r="Q253">
        <v>4</v>
      </c>
    </row>
    <row r="254" spans="1:19">
      <c r="A254">
        <v>246</v>
      </c>
      <c r="B254">
        <v>1</v>
      </c>
      <c r="C254">
        <v>20240126</v>
      </c>
      <c r="D254" t="s">
        <v>20</v>
      </c>
      <c r="E254" t="s">
        <v>21</v>
      </c>
      <c r="F254" t="s">
        <v>41</v>
      </c>
      <c r="G254" t="s">
        <v>30</v>
      </c>
      <c r="H254">
        <v>49608</v>
      </c>
      <c r="I254" t="s">
        <v>24</v>
      </c>
      <c r="J254">
        <v>4.14</v>
      </c>
      <c r="K254">
        <v>205377.12</v>
      </c>
      <c r="L254" t="s">
        <v>637</v>
      </c>
      <c r="M254" t="s">
        <v>842</v>
      </c>
      <c r="N254">
        <v>4.05</v>
      </c>
      <c r="O254" t="s">
        <v>27</v>
      </c>
      <c r="P254" t="s">
        <v>843</v>
      </c>
      <c r="Q254">
        <v>13</v>
      </c>
    </row>
    <row r="255" spans="1:19">
      <c r="A255">
        <v>246</v>
      </c>
      <c r="B255">
        <v>1</v>
      </c>
      <c r="C255">
        <v>20240126</v>
      </c>
      <c r="D255" t="s">
        <v>28</v>
      </c>
      <c r="E255" t="s">
        <v>21</v>
      </c>
      <c r="F255" t="s">
        <v>41</v>
      </c>
      <c r="G255" t="s">
        <v>37</v>
      </c>
      <c r="H255">
        <v>58281</v>
      </c>
      <c r="I255" t="s">
        <v>24</v>
      </c>
      <c r="J255">
        <v>4.14</v>
      </c>
      <c r="K255">
        <v>241283.34</v>
      </c>
      <c r="L255" t="s">
        <v>634</v>
      </c>
      <c r="M255" t="s">
        <v>844</v>
      </c>
      <c r="N255">
        <v>4.05</v>
      </c>
      <c r="O255" t="s">
        <v>27</v>
      </c>
      <c r="P255" t="s">
        <v>845</v>
      </c>
      <c r="Q255">
        <v>8</v>
      </c>
    </row>
    <row r="256" spans="1:19">
      <c r="A256">
        <v>246</v>
      </c>
      <c r="B256">
        <v>1</v>
      </c>
      <c r="C256">
        <v>20240126</v>
      </c>
      <c r="D256" t="s">
        <v>28</v>
      </c>
      <c r="E256" t="s">
        <v>21</v>
      </c>
      <c r="F256" t="s">
        <v>41</v>
      </c>
      <c r="G256" t="s">
        <v>30</v>
      </c>
      <c r="H256">
        <v>18340</v>
      </c>
      <c r="I256" t="s">
        <v>24</v>
      </c>
      <c r="J256">
        <v>4.14</v>
      </c>
      <c r="K256">
        <v>75927.6</v>
      </c>
      <c r="L256" t="s">
        <v>634</v>
      </c>
      <c r="M256" t="s">
        <v>844</v>
      </c>
      <c r="N256">
        <v>4.05</v>
      </c>
      <c r="O256" t="s">
        <v>27</v>
      </c>
      <c r="P256" t="s">
        <v>846</v>
      </c>
      <c r="Q256">
        <v>3</v>
      </c>
    </row>
    <row r="257" spans="1:17">
      <c r="A257">
        <v>246</v>
      </c>
      <c r="B257">
        <v>1</v>
      </c>
      <c r="C257">
        <v>20240126</v>
      </c>
      <c r="D257" t="s">
        <v>28</v>
      </c>
      <c r="E257" t="s">
        <v>21</v>
      </c>
      <c r="F257" t="s">
        <v>41</v>
      </c>
      <c r="G257" t="s">
        <v>30</v>
      </c>
      <c r="H257">
        <v>69542</v>
      </c>
      <c r="I257" t="s">
        <v>24</v>
      </c>
      <c r="J257">
        <v>4.14</v>
      </c>
      <c r="K257">
        <v>287903.88</v>
      </c>
      <c r="L257" t="s">
        <v>637</v>
      </c>
      <c r="M257" t="s">
        <v>844</v>
      </c>
      <c r="N257">
        <v>4.05</v>
      </c>
      <c r="O257" t="s">
        <v>27</v>
      </c>
      <c r="P257" t="s">
        <v>846</v>
      </c>
      <c r="Q257">
        <v>9</v>
      </c>
    </row>
    <row r="258" spans="1:17">
      <c r="A258">
        <v>246</v>
      </c>
      <c r="B258">
        <v>1</v>
      </c>
      <c r="C258">
        <v>20240126</v>
      </c>
      <c r="D258" t="s">
        <v>28</v>
      </c>
      <c r="E258" t="s">
        <v>21</v>
      </c>
      <c r="F258" t="s">
        <v>41</v>
      </c>
      <c r="G258" t="s">
        <v>37</v>
      </c>
      <c r="H258">
        <v>292416</v>
      </c>
      <c r="I258" t="s">
        <v>24</v>
      </c>
      <c r="J258">
        <v>4.14</v>
      </c>
      <c r="K258">
        <v>1210602.24</v>
      </c>
      <c r="L258" t="s">
        <v>634</v>
      </c>
      <c r="M258" t="s">
        <v>844</v>
      </c>
      <c r="N258">
        <v>4.05</v>
      </c>
      <c r="O258" t="s">
        <v>27</v>
      </c>
      <c r="P258" t="s">
        <v>845</v>
      </c>
      <c r="Q258">
        <v>31</v>
      </c>
    </row>
    <row r="259" spans="1:17">
      <c r="A259">
        <v>246</v>
      </c>
      <c r="B259">
        <v>1</v>
      </c>
      <c r="C259">
        <v>20240126</v>
      </c>
      <c r="D259" t="s">
        <v>28</v>
      </c>
      <c r="E259" t="s">
        <v>21</v>
      </c>
      <c r="F259" t="s">
        <v>41</v>
      </c>
      <c r="G259" t="s">
        <v>30</v>
      </c>
      <c r="H259">
        <v>95667</v>
      </c>
      <c r="I259" t="s">
        <v>24</v>
      </c>
      <c r="J259">
        <v>4.14</v>
      </c>
      <c r="K259">
        <v>396061.38</v>
      </c>
      <c r="L259" t="s">
        <v>634</v>
      </c>
      <c r="M259" t="s">
        <v>844</v>
      </c>
      <c r="N259">
        <v>4.05</v>
      </c>
      <c r="O259" t="s">
        <v>27</v>
      </c>
      <c r="P259" t="s">
        <v>846</v>
      </c>
      <c r="Q259">
        <v>13</v>
      </c>
    </row>
    <row r="260" spans="1:17">
      <c r="A260">
        <v>246</v>
      </c>
      <c r="B260">
        <v>1</v>
      </c>
      <c r="C260">
        <v>20240126</v>
      </c>
      <c r="D260" t="s">
        <v>28</v>
      </c>
      <c r="E260" t="s">
        <v>21</v>
      </c>
      <c r="F260" t="s">
        <v>41</v>
      </c>
      <c r="G260" t="s">
        <v>30</v>
      </c>
      <c r="H260">
        <v>22234</v>
      </c>
      <c r="I260" t="s">
        <v>24</v>
      </c>
      <c r="J260">
        <v>4.14</v>
      </c>
      <c r="K260">
        <v>92048.76</v>
      </c>
      <c r="L260" t="s">
        <v>637</v>
      </c>
      <c r="M260" t="s">
        <v>844</v>
      </c>
      <c r="N260">
        <v>4.05</v>
      </c>
      <c r="O260" t="s">
        <v>27</v>
      </c>
      <c r="P260" t="s">
        <v>846</v>
      </c>
      <c r="Q260">
        <v>2</v>
      </c>
    </row>
    <row r="261" spans="1:17">
      <c r="A261">
        <v>246</v>
      </c>
      <c r="B261">
        <v>1</v>
      </c>
      <c r="C261">
        <v>20240126</v>
      </c>
      <c r="D261" t="s">
        <v>28</v>
      </c>
      <c r="E261" t="s">
        <v>21</v>
      </c>
      <c r="F261" t="s">
        <v>41</v>
      </c>
      <c r="G261" t="s">
        <v>37</v>
      </c>
      <c r="H261">
        <v>1306</v>
      </c>
      <c r="I261" t="s">
        <v>24</v>
      </c>
      <c r="J261">
        <v>4.14</v>
      </c>
      <c r="K261">
        <v>5406.84</v>
      </c>
      <c r="L261" t="s">
        <v>637</v>
      </c>
      <c r="M261" t="s">
        <v>844</v>
      </c>
      <c r="N261">
        <v>4.05</v>
      </c>
      <c r="O261" t="s">
        <v>27</v>
      </c>
      <c r="P261" t="s">
        <v>845</v>
      </c>
      <c r="Q261">
        <v>1</v>
      </c>
    </row>
    <row r="262" spans="1:17">
      <c r="A262">
        <v>246</v>
      </c>
      <c r="B262">
        <v>1</v>
      </c>
      <c r="C262">
        <v>20240126</v>
      </c>
      <c r="D262" t="s">
        <v>28</v>
      </c>
      <c r="E262" t="s">
        <v>21</v>
      </c>
      <c r="F262" t="s">
        <v>41</v>
      </c>
      <c r="G262" t="s">
        <v>30</v>
      </c>
      <c r="H262">
        <v>543433</v>
      </c>
      <c r="I262" t="s">
        <v>24</v>
      </c>
      <c r="J262">
        <v>4.14</v>
      </c>
      <c r="K262">
        <v>2249812.62</v>
      </c>
      <c r="L262" t="s">
        <v>637</v>
      </c>
      <c r="M262" t="s">
        <v>844</v>
      </c>
      <c r="N262">
        <v>4.05</v>
      </c>
      <c r="O262" t="s">
        <v>27</v>
      </c>
      <c r="P262" t="s">
        <v>846</v>
      </c>
      <c r="Q262">
        <v>92</v>
      </c>
    </row>
    <row r="263" spans="1:17">
      <c r="A263">
        <v>246</v>
      </c>
      <c r="B263">
        <v>1</v>
      </c>
      <c r="C263">
        <v>20240126</v>
      </c>
      <c r="D263" t="s">
        <v>28</v>
      </c>
      <c r="E263" t="s">
        <v>21</v>
      </c>
      <c r="F263" t="s">
        <v>41</v>
      </c>
      <c r="G263" t="s">
        <v>37</v>
      </c>
      <c r="H263">
        <v>14010</v>
      </c>
      <c r="I263" t="s">
        <v>24</v>
      </c>
      <c r="J263">
        <v>4.14</v>
      </c>
      <c r="K263">
        <v>58001.4</v>
      </c>
      <c r="L263" t="s">
        <v>637</v>
      </c>
      <c r="M263" t="s">
        <v>844</v>
      </c>
      <c r="N263">
        <v>4.05</v>
      </c>
      <c r="O263" t="s">
        <v>27</v>
      </c>
      <c r="P263" t="s">
        <v>845</v>
      </c>
      <c r="Q263">
        <v>3</v>
      </c>
    </row>
    <row r="264" spans="1:17">
      <c r="A264">
        <v>247</v>
      </c>
      <c r="B264">
        <v>1</v>
      </c>
      <c r="C264">
        <v>20240128</v>
      </c>
      <c r="D264" t="s">
        <v>20</v>
      </c>
      <c r="E264" t="s">
        <v>21</v>
      </c>
      <c r="F264" t="s">
        <v>22</v>
      </c>
      <c r="G264" t="s">
        <v>23</v>
      </c>
      <c r="H264">
        <v>8258</v>
      </c>
      <c r="I264" t="s">
        <v>24</v>
      </c>
      <c r="J264">
        <v>3.44</v>
      </c>
      <c r="K264">
        <v>28407.52</v>
      </c>
      <c r="L264" t="s">
        <v>637</v>
      </c>
      <c r="N264">
        <v>3.1683</v>
      </c>
      <c r="O264" t="s">
        <v>43</v>
      </c>
      <c r="P264" t="s">
        <v>847</v>
      </c>
      <c r="Q264">
        <v>6</v>
      </c>
    </row>
    <row r="265" spans="1:17">
      <c r="A265">
        <v>248</v>
      </c>
      <c r="B265">
        <v>1</v>
      </c>
      <c r="C265">
        <v>20240129</v>
      </c>
      <c r="D265" t="s">
        <v>20</v>
      </c>
      <c r="E265" t="s">
        <v>21</v>
      </c>
      <c r="F265" t="s">
        <v>22</v>
      </c>
      <c r="G265" t="s">
        <v>23</v>
      </c>
      <c r="H265">
        <v>17080</v>
      </c>
      <c r="I265" t="s">
        <v>24</v>
      </c>
      <c r="J265">
        <v>3.44</v>
      </c>
      <c r="K265">
        <v>58755.2</v>
      </c>
      <c r="L265" t="s">
        <v>637</v>
      </c>
      <c r="N265">
        <v>3.1853</v>
      </c>
      <c r="O265" t="s">
        <v>43</v>
      </c>
      <c r="P265" t="s">
        <v>848</v>
      </c>
      <c r="Q265">
        <v>6</v>
      </c>
    </row>
    <row r="266" spans="1:17">
      <c r="A266">
        <v>249</v>
      </c>
      <c r="B266">
        <v>1</v>
      </c>
      <c r="C266">
        <v>20240129</v>
      </c>
      <c r="D266" t="s">
        <v>20</v>
      </c>
      <c r="E266" t="s">
        <v>21</v>
      </c>
      <c r="F266" t="s">
        <v>32</v>
      </c>
      <c r="G266" t="s">
        <v>30</v>
      </c>
      <c r="H266">
        <v>906901</v>
      </c>
      <c r="I266" t="s">
        <v>24</v>
      </c>
      <c r="J266">
        <v>4.14</v>
      </c>
      <c r="K266">
        <v>3754570.14</v>
      </c>
      <c r="L266" t="s">
        <v>634</v>
      </c>
      <c r="N266">
        <v>4.015</v>
      </c>
      <c r="O266" t="s">
        <v>43</v>
      </c>
      <c r="P266" t="s">
        <v>849</v>
      </c>
      <c r="Q266">
        <v>92</v>
      </c>
    </row>
    <row r="267" spans="1:17">
      <c r="A267">
        <v>250</v>
      </c>
      <c r="B267">
        <v>1</v>
      </c>
      <c r="C267">
        <v>20240129</v>
      </c>
      <c r="D267" t="s">
        <v>20</v>
      </c>
      <c r="E267" t="s">
        <v>21</v>
      </c>
      <c r="F267" t="s">
        <v>32</v>
      </c>
      <c r="G267" t="s">
        <v>30</v>
      </c>
      <c r="H267">
        <v>14410</v>
      </c>
      <c r="I267" t="s">
        <v>24</v>
      </c>
      <c r="J267">
        <v>4.14</v>
      </c>
      <c r="K267">
        <v>59657.4</v>
      </c>
      <c r="L267" t="s">
        <v>637</v>
      </c>
      <c r="N267">
        <v>4.015</v>
      </c>
      <c r="O267" t="s">
        <v>43</v>
      </c>
      <c r="P267" t="s">
        <v>849</v>
      </c>
      <c r="Q267">
        <v>1</v>
      </c>
    </row>
    <row r="268" spans="1:17">
      <c r="A268">
        <v>251</v>
      </c>
      <c r="B268">
        <v>1</v>
      </c>
      <c r="C268">
        <v>20240129</v>
      </c>
      <c r="D268" t="s">
        <v>28</v>
      </c>
      <c r="E268" t="s">
        <v>21</v>
      </c>
      <c r="F268" t="s">
        <v>32</v>
      </c>
      <c r="G268" t="s">
        <v>37</v>
      </c>
      <c r="H268">
        <v>5</v>
      </c>
      <c r="I268" t="s">
        <v>24</v>
      </c>
      <c r="J268">
        <v>4.14</v>
      </c>
      <c r="K268">
        <v>20.7</v>
      </c>
      <c r="L268" t="s">
        <v>634</v>
      </c>
      <c r="N268">
        <v>4.015</v>
      </c>
      <c r="O268" t="s">
        <v>43</v>
      </c>
      <c r="P268" t="s">
        <v>850</v>
      </c>
      <c r="Q268">
        <v>1</v>
      </c>
    </row>
    <row r="269" spans="1:17">
      <c r="A269">
        <v>252</v>
      </c>
      <c r="B269">
        <v>1</v>
      </c>
      <c r="C269">
        <v>20240129</v>
      </c>
      <c r="D269" t="s">
        <v>28</v>
      </c>
      <c r="E269" t="s">
        <v>21</v>
      </c>
      <c r="F269" t="s">
        <v>32</v>
      </c>
      <c r="G269" t="s">
        <v>37</v>
      </c>
      <c r="H269">
        <v>6</v>
      </c>
      <c r="I269" t="s">
        <v>24</v>
      </c>
      <c r="J269">
        <v>4.14</v>
      </c>
      <c r="K269">
        <v>24.84</v>
      </c>
      <c r="L269" t="s">
        <v>654</v>
      </c>
      <c r="N269">
        <v>4.015</v>
      </c>
      <c r="O269" t="s">
        <v>43</v>
      </c>
      <c r="P269" t="s">
        <v>850</v>
      </c>
      <c r="Q269">
        <v>1</v>
      </c>
    </row>
    <row r="270" spans="1:17">
      <c r="A270">
        <v>253</v>
      </c>
      <c r="B270">
        <v>1</v>
      </c>
      <c r="C270">
        <v>20240129</v>
      </c>
      <c r="D270" t="s">
        <v>28</v>
      </c>
      <c r="E270" t="s">
        <v>21</v>
      </c>
      <c r="F270" t="s">
        <v>32</v>
      </c>
      <c r="G270" t="s">
        <v>30</v>
      </c>
      <c r="H270">
        <v>33</v>
      </c>
      <c r="I270" t="s">
        <v>24</v>
      </c>
      <c r="J270">
        <v>4.14</v>
      </c>
      <c r="K270">
        <v>136.62</v>
      </c>
      <c r="L270" t="s">
        <v>654</v>
      </c>
      <c r="N270">
        <v>4.015</v>
      </c>
      <c r="O270" t="s">
        <v>43</v>
      </c>
      <c r="P270" t="s">
        <v>851</v>
      </c>
      <c r="Q270">
        <v>2</v>
      </c>
    </row>
    <row r="271" spans="1:17">
      <c r="A271">
        <v>254</v>
      </c>
      <c r="B271">
        <v>1</v>
      </c>
      <c r="C271">
        <v>20240129</v>
      </c>
      <c r="D271" t="s">
        <v>28</v>
      </c>
      <c r="E271" t="s">
        <v>21</v>
      </c>
      <c r="F271" t="s">
        <v>32</v>
      </c>
      <c r="G271" t="s">
        <v>37</v>
      </c>
      <c r="H271">
        <v>311</v>
      </c>
      <c r="I271" t="s">
        <v>24</v>
      </c>
      <c r="J271">
        <v>4.14</v>
      </c>
      <c r="K271">
        <v>1287.54</v>
      </c>
      <c r="L271" t="s">
        <v>637</v>
      </c>
      <c r="N271">
        <v>4.015</v>
      </c>
      <c r="O271" t="s">
        <v>43</v>
      </c>
      <c r="P271" t="s">
        <v>850</v>
      </c>
      <c r="Q271">
        <v>4</v>
      </c>
    </row>
    <row r="272" spans="1:17">
      <c r="A272">
        <v>255</v>
      </c>
      <c r="B272">
        <v>1</v>
      </c>
      <c r="C272">
        <v>20240129</v>
      </c>
      <c r="D272" t="s">
        <v>28</v>
      </c>
      <c r="E272" t="s">
        <v>21</v>
      </c>
      <c r="F272" t="s">
        <v>32</v>
      </c>
      <c r="G272" t="s">
        <v>30</v>
      </c>
      <c r="H272">
        <v>162</v>
      </c>
      <c r="I272" t="s">
        <v>24</v>
      </c>
      <c r="J272">
        <v>4.14</v>
      </c>
      <c r="K272">
        <v>670.68</v>
      </c>
      <c r="L272" t="s">
        <v>637</v>
      </c>
      <c r="N272">
        <v>4.015</v>
      </c>
      <c r="O272" t="s">
        <v>43</v>
      </c>
      <c r="P272" t="s">
        <v>851</v>
      </c>
      <c r="Q272">
        <v>2</v>
      </c>
    </row>
    <row r="273" spans="1:17">
      <c r="A273">
        <v>255</v>
      </c>
      <c r="B273">
        <v>1</v>
      </c>
      <c r="C273">
        <v>20240129</v>
      </c>
      <c r="D273" t="s">
        <v>28</v>
      </c>
      <c r="E273" t="s">
        <v>21</v>
      </c>
      <c r="F273" t="s">
        <v>29</v>
      </c>
      <c r="G273" t="s">
        <v>37</v>
      </c>
      <c r="H273">
        <v>73605</v>
      </c>
      <c r="I273" t="s">
        <v>24</v>
      </c>
      <c r="J273">
        <v>4.14</v>
      </c>
      <c r="K273">
        <v>304724.7</v>
      </c>
      <c r="L273" t="s">
        <v>634</v>
      </c>
      <c r="N273">
        <v>4.02998</v>
      </c>
      <c r="O273" t="s">
        <v>43</v>
      </c>
      <c r="P273" t="s">
        <v>852</v>
      </c>
      <c r="Q273">
        <v>6</v>
      </c>
    </row>
    <row r="274" spans="1:17">
      <c r="A274">
        <v>255</v>
      </c>
      <c r="B274">
        <v>1</v>
      </c>
      <c r="C274">
        <v>20240129</v>
      </c>
      <c r="D274" t="s">
        <v>28</v>
      </c>
      <c r="E274" t="s">
        <v>21</v>
      </c>
      <c r="F274" t="s">
        <v>41</v>
      </c>
      <c r="G274" t="s">
        <v>30</v>
      </c>
      <c r="H274">
        <v>2959</v>
      </c>
      <c r="I274" t="s">
        <v>24</v>
      </c>
      <c r="J274">
        <v>4.14</v>
      </c>
      <c r="K274">
        <v>12250.26</v>
      </c>
      <c r="L274" t="s">
        <v>637</v>
      </c>
      <c r="N274">
        <v>4.05</v>
      </c>
      <c r="O274" t="s">
        <v>43</v>
      </c>
      <c r="P274" t="s">
        <v>853</v>
      </c>
      <c r="Q274">
        <v>1</v>
      </c>
    </row>
    <row r="275" spans="1:17">
      <c r="A275">
        <v>255</v>
      </c>
      <c r="B275">
        <v>1</v>
      </c>
      <c r="C275">
        <v>20240129</v>
      </c>
      <c r="D275" t="s">
        <v>28</v>
      </c>
      <c r="E275" t="s">
        <v>21</v>
      </c>
      <c r="F275" t="s">
        <v>41</v>
      </c>
      <c r="G275" t="s">
        <v>30</v>
      </c>
      <c r="H275">
        <v>1052</v>
      </c>
      <c r="I275" t="s">
        <v>24</v>
      </c>
      <c r="J275">
        <v>4.14</v>
      </c>
      <c r="K275">
        <v>4355.28</v>
      </c>
      <c r="L275" t="s">
        <v>634</v>
      </c>
      <c r="N275">
        <v>4.05</v>
      </c>
      <c r="O275" t="s">
        <v>43</v>
      </c>
      <c r="P275" t="s">
        <v>853</v>
      </c>
      <c r="Q275">
        <v>1</v>
      </c>
    </row>
    <row r="276" spans="1:17">
      <c r="A276">
        <v>255</v>
      </c>
      <c r="B276">
        <v>1</v>
      </c>
      <c r="C276">
        <v>20240129</v>
      </c>
      <c r="D276" t="s">
        <v>28</v>
      </c>
      <c r="E276" t="s">
        <v>21</v>
      </c>
      <c r="F276" t="s">
        <v>41</v>
      </c>
      <c r="G276" t="s">
        <v>37</v>
      </c>
      <c r="H276">
        <v>2211</v>
      </c>
      <c r="I276" t="s">
        <v>24</v>
      </c>
      <c r="J276">
        <v>4.14</v>
      </c>
      <c r="K276">
        <v>9153.54</v>
      </c>
      <c r="L276" t="s">
        <v>634</v>
      </c>
      <c r="N276">
        <v>4.05</v>
      </c>
      <c r="O276" t="s">
        <v>43</v>
      </c>
      <c r="P276" t="s">
        <v>854</v>
      </c>
      <c r="Q276">
        <v>2</v>
      </c>
    </row>
    <row r="277" spans="1:17">
      <c r="A277">
        <v>255</v>
      </c>
      <c r="B277">
        <v>1</v>
      </c>
      <c r="C277">
        <v>20240129</v>
      </c>
      <c r="D277" t="s">
        <v>28</v>
      </c>
      <c r="E277" t="s">
        <v>21</v>
      </c>
      <c r="F277" t="s">
        <v>41</v>
      </c>
      <c r="G277" t="s">
        <v>30</v>
      </c>
      <c r="H277">
        <v>6966</v>
      </c>
      <c r="I277" t="s">
        <v>24</v>
      </c>
      <c r="J277">
        <v>4.14</v>
      </c>
      <c r="K277">
        <v>28839.24</v>
      </c>
      <c r="L277" t="s">
        <v>637</v>
      </c>
      <c r="N277">
        <v>4.05</v>
      </c>
      <c r="O277" t="s">
        <v>43</v>
      </c>
      <c r="P277" t="s">
        <v>853</v>
      </c>
      <c r="Q277">
        <v>3</v>
      </c>
    </row>
    <row r="278" spans="1:17">
      <c r="A278">
        <v>256</v>
      </c>
      <c r="B278">
        <v>1</v>
      </c>
      <c r="C278">
        <v>20240130</v>
      </c>
      <c r="D278" t="s">
        <v>28</v>
      </c>
      <c r="E278" t="s">
        <v>21</v>
      </c>
      <c r="F278" t="s">
        <v>32</v>
      </c>
      <c r="G278" t="s">
        <v>30</v>
      </c>
      <c r="H278">
        <v>468467</v>
      </c>
      <c r="I278" t="s">
        <v>24</v>
      </c>
      <c r="J278">
        <v>4.14</v>
      </c>
      <c r="K278">
        <v>1939453.38</v>
      </c>
      <c r="L278" t="s">
        <v>634</v>
      </c>
      <c r="N278">
        <v>4.015</v>
      </c>
      <c r="O278" t="s">
        <v>43</v>
      </c>
      <c r="P278" t="s">
        <v>855</v>
      </c>
      <c r="Q278">
        <v>40</v>
      </c>
    </row>
    <row r="279" spans="1:17">
      <c r="A279">
        <v>257</v>
      </c>
      <c r="B279">
        <v>1</v>
      </c>
      <c r="C279">
        <v>20240130</v>
      </c>
      <c r="D279" t="s">
        <v>28</v>
      </c>
      <c r="E279" t="s">
        <v>21</v>
      </c>
      <c r="F279" t="s">
        <v>32</v>
      </c>
      <c r="G279" t="s">
        <v>37</v>
      </c>
      <c r="H279">
        <v>7834</v>
      </c>
      <c r="I279" t="s">
        <v>24</v>
      </c>
      <c r="J279">
        <v>4.14</v>
      </c>
      <c r="K279">
        <v>32432.76</v>
      </c>
      <c r="L279" t="s">
        <v>654</v>
      </c>
      <c r="N279">
        <v>4.015</v>
      </c>
      <c r="O279" t="s">
        <v>43</v>
      </c>
      <c r="P279" t="s">
        <v>856</v>
      </c>
      <c r="Q279">
        <v>3</v>
      </c>
    </row>
    <row r="280" spans="1:17">
      <c r="A280">
        <v>258</v>
      </c>
      <c r="B280">
        <v>1</v>
      </c>
      <c r="C280">
        <v>20240130</v>
      </c>
      <c r="D280" t="s">
        <v>28</v>
      </c>
      <c r="E280" t="s">
        <v>21</v>
      </c>
      <c r="F280" t="s">
        <v>32</v>
      </c>
      <c r="G280" t="s">
        <v>30</v>
      </c>
      <c r="H280">
        <v>5789</v>
      </c>
      <c r="I280" t="s">
        <v>24</v>
      </c>
      <c r="J280">
        <v>4.14</v>
      </c>
      <c r="K280">
        <v>23966.46</v>
      </c>
      <c r="L280" t="s">
        <v>654</v>
      </c>
      <c r="N280">
        <v>4.015</v>
      </c>
      <c r="O280" t="s">
        <v>43</v>
      </c>
      <c r="P280" t="s">
        <v>855</v>
      </c>
      <c r="Q280">
        <v>4</v>
      </c>
    </row>
    <row r="281" spans="1:17">
      <c r="A281">
        <v>259</v>
      </c>
      <c r="B281">
        <v>1</v>
      </c>
      <c r="C281">
        <v>20240130</v>
      </c>
      <c r="D281" t="s">
        <v>28</v>
      </c>
      <c r="E281" t="s">
        <v>21</v>
      </c>
      <c r="F281" t="s">
        <v>32</v>
      </c>
      <c r="G281" t="s">
        <v>37</v>
      </c>
      <c r="H281">
        <v>6852</v>
      </c>
      <c r="I281" t="s">
        <v>24</v>
      </c>
      <c r="J281">
        <v>4.14</v>
      </c>
      <c r="K281">
        <v>28367.28</v>
      </c>
      <c r="L281" t="s">
        <v>637</v>
      </c>
      <c r="N281">
        <v>4.015</v>
      </c>
      <c r="O281" t="s">
        <v>43</v>
      </c>
      <c r="P281" t="s">
        <v>856</v>
      </c>
      <c r="Q281">
        <v>3</v>
      </c>
    </row>
    <row r="282" spans="1:17">
      <c r="A282">
        <v>260</v>
      </c>
      <c r="B282">
        <v>1</v>
      </c>
      <c r="C282">
        <v>20240130</v>
      </c>
      <c r="D282" t="s">
        <v>28</v>
      </c>
      <c r="E282" t="s">
        <v>21</v>
      </c>
      <c r="F282" t="s">
        <v>32</v>
      </c>
      <c r="G282" t="s">
        <v>30</v>
      </c>
      <c r="H282">
        <v>744458</v>
      </c>
      <c r="I282" t="s">
        <v>24</v>
      </c>
      <c r="J282">
        <v>4.14</v>
      </c>
      <c r="K282">
        <v>3082056.12</v>
      </c>
      <c r="L282" t="s">
        <v>637</v>
      </c>
      <c r="N282">
        <v>4.015</v>
      </c>
      <c r="O282" t="s">
        <v>43</v>
      </c>
      <c r="P282" t="s">
        <v>855</v>
      </c>
      <c r="Q282">
        <v>93</v>
      </c>
    </row>
    <row r="283" spans="1:17">
      <c r="A283">
        <v>261</v>
      </c>
      <c r="B283">
        <v>1</v>
      </c>
      <c r="C283">
        <v>20240130</v>
      </c>
      <c r="D283" t="s">
        <v>28</v>
      </c>
      <c r="E283" t="s">
        <v>21</v>
      </c>
      <c r="F283" t="s">
        <v>32</v>
      </c>
      <c r="G283" t="s">
        <v>30</v>
      </c>
      <c r="H283">
        <v>1622</v>
      </c>
      <c r="I283" t="s">
        <v>24</v>
      </c>
      <c r="J283">
        <v>4.14</v>
      </c>
      <c r="K283">
        <v>6715.08</v>
      </c>
      <c r="L283" t="s">
        <v>637</v>
      </c>
      <c r="N283">
        <v>4.021</v>
      </c>
      <c r="O283" t="s">
        <v>43</v>
      </c>
      <c r="P283" t="s">
        <v>855</v>
      </c>
    </row>
    <row r="284" spans="1:17">
      <c r="A284">
        <v>262</v>
      </c>
      <c r="B284">
        <v>1</v>
      </c>
      <c r="C284">
        <v>20240131</v>
      </c>
      <c r="D284" t="s">
        <v>20</v>
      </c>
      <c r="E284" t="s">
        <v>21</v>
      </c>
      <c r="F284" t="s">
        <v>32</v>
      </c>
      <c r="G284" t="s">
        <v>30</v>
      </c>
      <c r="H284">
        <v>345775</v>
      </c>
      <c r="I284" t="s">
        <v>24</v>
      </c>
      <c r="J284">
        <v>4.14</v>
      </c>
      <c r="K284">
        <v>1431508.5</v>
      </c>
      <c r="L284" t="s">
        <v>634</v>
      </c>
      <c r="N284">
        <v>4.015</v>
      </c>
      <c r="O284" t="s">
        <v>43</v>
      </c>
      <c r="P284" t="s">
        <v>857</v>
      </c>
      <c r="Q284">
        <v>45</v>
      </c>
    </row>
    <row r="285" spans="1:17">
      <c r="A285">
        <v>263</v>
      </c>
      <c r="B285">
        <v>1</v>
      </c>
      <c r="C285">
        <v>20240131</v>
      </c>
      <c r="D285" t="s">
        <v>20</v>
      </c>
      <c r="E285" t="s">
        <v>21</v>
      </c>
      <c r="F285" t="s">
        <v>32</v>
      </c>
      <c r="G285" t="s">
        <v>30</v>
      </c>
      <c r="H285">
        <v>57260</v>
      </c>
      <c r="I285" t="s">
        <v>24</v>
      </c>
      <c r="J285">
        <v>4.14</v>
      </c>
      <c r="K285">
        <v>237056.4</v>
      </c>
      <c r="L285" t="s">
        <v>637</v>
      </c>
      <c r="N285">
        <v>4.015</v>
      </c>
      <c r="O285" t="s">
        <v>43</v>
      </c>
      <c r="P285" t="s">
        <v>857</v>
      </c>
      <c r="Q285">
        <v>8</v>
      </c>
    </row>
    <row r="286" spans="1:17">
      <c r="A286">
        <v>264</v>
      </c>
      <c r="B286">
        <v>1</v>
      </c>
      <c r="C286">
        <v>20240131</v>
      </c>
      <c r="D286" t="s">
        <v>28</v>
      </c>
      <c r="E286" t="s">
        <v>21</v>
      </c>
      <c r="F286" t="s">
        <v>32</v>
      </c>
      <c r="G286" t="s">
        <v>37</v>
      </c>
      <c r="H286">
        <v>8459</v>
      </c>
      <c r="I286" t="s">
        <v>24</v>
      </c>
      <c r="J286">
        <v>4.14</v>
      </c>
      <c r="K286">
        <v>35020.26</v>
      </c>
      <c r="L286" t="s">
        <v>634</v>
      </c>
      <c r="N286">
        <v>4.015</v>
      </c>
      <c r="O286" t="s">
        <v>43</v>
      </c>
      <c r="P286" t="s">
        <v>858</v>
      </c>
      <c r="Q286">
        <v>8</v>
      </c>
    </row>
    <row r="287" spans="1:17">
      <c r="A287">
        <v>265</v>
      </c>
      <c r="B287">
        <v>1</v>
      </c>
      <c r="C287">
        <v>20240131</v>
      </c>
      <c r="D287" t="s">
        <v>28</v>
      </c>
      <c r="E287" t="s">
        <v>21</v>
      </c>
      <c r="F287" t="s">
        <v>32</v>
      </c>
      <c r="G287" t="s">
        <v>30</v>
      </c>
      <c r="H287">
        <v>526987</v>
      </c>
      <c r="I287" t="s">
        <v>24</v>
      </c>
      <c r="J287">
        <v>4.14</v>
      </c>
      <c r="K287">
        <v>2181726.18</v>
      </c>
      <c r="L287" t="s">
        <v>634</v>
      </c>
      <c r="N287">
        <v>4.015</v>
      </c>
      <c r="O287" t="s">
        <v>43</v>
      </c>
      <c r="P287" t="s">
        <v>859</v>
      </c>
      <c r="Q287">
        <v>58</v>
      </c>
    </row>
    <row r="288" spans="1:17">
      <c r="A288">
        <v>266</v>
      </c>
      <c r="B288">
        <v>1</v>
      </c>
      <c r="C288">
        <v>20240131</v>
      </c>
      <c r="D288" t="s">
        <v>28</v>
      </c>
      <c r="E288" t="s">
        <v>21</v>
      </c>
      <c r="F288" t="s">
        <v>32</v>
      </c>
      <c r="G288" t="s">
        <v>37</v>
      </c>
      <c r="H288">
        <v>69674</v>
      </c>
      <c r="I288" t="s">
        <v>24</v>
      </c>
      <c r="J288">
        <v>4.14</v>
      </c>
      <c r="K288">
        <v>288450.36</v>
      </c>
      <c r="L288" t="s">
        <v>654</v>
      </c>
      <c r="N288">
        <v>4.015</v>
      </c>
      <c r="O288" t="s">
        <v>43</v>
      </c>
      <c r="P288" t="s">
        <v>858</v>
      </c>
      <c r="Q288">
        <v>8</v>
      </c>
    </row>
    <row r="289" spans="1:19">
      <c r="A289">
        <v>267</v>
      </c>
      <c r="B289">
        <v>1</v>
      </c>
      <c r="C289">
        <v>20240131</v>
      </c>
      <c r="D289" t="s">
        <v>28</v>
      </c>
      <c r="E289" t="s">
        <v>21</v>
      </c>
      <c r="F289" t="s">
        <v>32</v>
      </c>
      <c r="G289" t="s">
        <v>30</v>
      </c>
      <c r="H289">
        <v>3907</v>
      </c>
      <c r="I289" t="s">
        <v>24</v>
      </c>
      <c r="J289">
        <v>4.14</v>
      </c>
      <c r="K289">
        <v>16174.98</v>
      </c>
      <c r="L289" t="s">
        <v>654</v>
      </c>
      <c r="N289">
        <v>4.015</v>
      </c>
      <c r="O289" t="s">
        <v>43</v>
      </c>
      <c r="P289" t="s">
        <v>859</v>
      </c>
      <c r="Q289">
        <v>2</v>
      </c>
    </row>
    <row r="290" spans="1:19">
      <c r="A290">
        <v>268</v>
      </c>
      <c r="B290">
        <v>1</v>
      </c>
      <c r="C290">
        <v>20240131</v>
      </c>
      <c r="D290" t="s">
        <v>28</v>
      </c>
      <c r="E290" t="s">
        <v>21</v>
      </c>
      <c r="F290" t="s">
        <v>32</v>
      </c>
      <c r="G290" t="s">
        <v>37</v>
      </c>
      <c r="H290">
        <v>252756</v>
      </c>
      <c r="I290" t="s">
        <v>24</v>
      </c>
      <c r="J290">
        <v>4.14</v>
      </c>
      <c r="K290">
        <v>1046409.84</v>
      </c>
      <c r="L290" t="s">
        <v>637</v>
      </c>
      <c r="N290">
        <v>4.015</v>
      </c>
      <c r="O290" t="s">
        <v>43</v>
      </c>
      <c r="P290" t="s">
        <v>858</v>
      </c>
      <c r="Q290">
        <v>21</v>
      </c>
    </row>
    <row r="291" spans="1:19">
      <c r="A291">
        <v>269</v>
      </c>
      <c r="B291">
        <v>1</v>
      </c>
      <c r="C291">
        <v>20240131</v>
      </c>
      <c r="D291" t="s">
        <v>28</v>
      </c>
      <c r="E291" t="s">
        <v>21</v>
      </c>
      <c r="F291" t="s">
        <v>32</v>
      </c>
      <c r="G291" t="s">
        <v>30</v>
      </c>
      <c r="H291">
        <v>205607</v>
      </c>
      <c r="I291" t="s">
        <v>24</v>
      </c>
      <c r="J291">
        <v>4.14</v>
      </c>
      <c r="K291">
        <v>851212.98</v>
      </c>
      <c r="L291" t="s">
        <v>637</v>
      </c>
      <c r="N291">
        <v>4.015</v>
      </c>
      <c r="O291" t="s">
        <v>43</v>
      </c>
      <c r="P291" t="s">
        <v>859</v>
      </c>
      <c r="Q291">
        <v>25</v>
      </c>
    </row>
    <row r="292" spans="1:19">
      <c r="A292">
        <v>270</v>
      </c>
      <c r="B292">
        <v>1</v>
      </c>
      <c r="C292">
        <v>20240131</v>
      </c>
      <c r="D292" t="s">
        <v>20</v>
      </c>
      <c r="E292" t="s">
        <v>21</v>
      </c>
      <c r="F292" t="s">
        <v>29</v>
      </c>
      <c r="G292" t="s">
        <v>30</v>
      </c>
      <c r="H292">
        <v>480506</v>
      </c>
      <c r="I292" t="s">
        <v>24</v>
      </c>
      <c r="J292">
        <v>4.14</v>
      </c>
      <c r="K292">
        <v>1989294.84</v>
      </c>
      <c r="L292" t="s">
        <v>634</v>
      </c>
      <c r="N292">
        <v>4.02462</v>
      </c>
      <c r="O292" t="s">
        <v>43</v>
      </c>
      <c r="P292" t="s">
        <v>860</v>
      </c>
      <c r="Q292">
        <v>146</v>
      </c>
    </row>
    <row r="293" spans="1:19">
      <c r="A293">
        <v>271</v>
      </c>
      <c r="B293">
        <v>1</v>
      </c>
      <c r="C293">
        <v>20240131</v>
      </c>
      <c r="D293" t="s">
        <v>20</v>
      </c>
      <c r="E293" t="s">
        <v>21</v>
      </c>
      <c r="F293" t="s">
        <v>22</v>
      </c>
      <c r="G293" t="s">
        <v>30</v>
      </c>
      <c r="H293">
        <v>318332</v>
      </c>
      <c r="I293" t="s">
        <v>24</v>
      </c>
      <c r="J293">
        <v>4.42</v>
      </c>
      <c r="K293">
        <v>1407027.44</v>
      </c>
      <c r="L293" t="s">
        <v>634</v>
      </c>
      <c r="N293">
        <v>4.3345</v>
      </c>
      <c r="O293" t="s">
        <v>43</v>
      </c>
      <c r="P293" t="s">
        <v>861</v>
      </c>
      <c r="Q293">
        <v>12</v>
      </c>
      <c r="S293">
        <v>4.14</v>
      </c>
    </row>
    <row r="294" spans="1:19">
      <c r="A294">
        <v>272</v>
      </c>
      <c r="B294">
        <v>1</v>
      </c>
      <c r="C294">
        <v>20240131</v>
      </c>
      <c r="D294" t="s">
        <v>20</v>
      </c>
      <c r="E294" t="s">
        <v>21</v>
      </c>
      <c r="F294" t="s">
        <v>22</v>
      </c>
      <c r="G294" t="s">
        <v>30</v>
      </c>
      <c r="H294">
        <v>56470</v>
      </c>
      <c r="I294" t="s">
        <v>24</v>
      </c>
      <c r="J294">
        <v>4.14</v>
      </c>
      <c r="K294">
        <v>233785.8</v>
      </c>
      <c r="L294" t="s">
        <v>637</v>
      </c>
      <c r="N294">
        <v>3.5537</v>
      </c>
      <c r="O294" t="s">
        <v>43</v>
      </c>
      <c r="P294" t="s">
        <v>862</v>
      </c>
      <c r="Q294">
        <v>5</v>
      </c>
      <c r="S294">
        <v>4.14</v>
      </c>
    </row>
    <row r="295" spans="1:19">
      <c r="A295">
        <v>273</v>
      </c>
      <c r="B295">
        <v>1</v>
      </c>
      <c r="C295">
        <v>20240131</v>
      </c>
      <c r="D295" t="s">
        <v>28</v>
      </c>
      <c r="E295" t="s">
        <v>21</v>
      </c>
      <c r="F295" t="s">
        <v>22</v>
      </c>
      <c r="G295" t="s">
        <v>30</v>
      </c>
      <c r="H295">
        <v>394206</v>
      </c>
      <c r="I295" t="s">
        <v>24</v>
      </c>
      <c r="J295">
        <v>4.14</v>
      </c>
      <c r="K295">
        <v>1632012.84</v>
      </c>
      <c r="L295" t="s">
        <v>637</v>
      </c>
      <c r="N295">
        <v>3.5135</v>
      </c>
      <c r="O295" t="s">
        <v>43</v>
      </c>
      <c r="P295" t="s">
        <v>863</v>
      </c>
      <c r="Q295">
        <v>32</v>
      </c>
      <c r="S295">
        <v>4.14</v>
      </c>
    </row>
    <row r="296" spans="1:19">
      <c r="A296">
        <v>274</v>
      </c>
      <c r="B296">
        <v>1</v>
      </c>
      <c r="C296">
        <v>20240131</v>
      </c>
      <c r="D296" t="s">
        <v>28</v>
      </c>
      <c r="E296" t="s">
        <v>21</v>
      </c>
      <c r="F296" t="s">
        <v>22</v>
      </c>
      <c r="G296" t="s">
        <v>30</v>
      </c>
      <c r="H296">
        <v>3114</v>
      </c>
      <c r="I296" t="s">
        <v>24</v>
      </c>
      <c r="J296">
        <v>4.14</v>
      </c>
      <c r="K296">
        <v>12891.96</v>
      </c>
      <c r="L296" t="s">
        <v>637</v>
      </c>
      <c r="N296">
        <v>4.049</v>
      </c>
      <c r="O296" t="s">
        <v>43</v>
      </c>
      <c r="P296" t="s">
        <v>863</v>
      </c>
      <c r="Q296">
        <v>2</v>
      </c>
      <c r="S296">
        <v>4.14</v>
      </c>
    </row>
    <row r="297" spans="1:19">
      <c r="A297">
        <v>275</v>
      </c>
      <c r="B297">
        <v>1</v>
      </c>
      <c r="C297">
        <v>20240131</v>
      </c>
      <c r="D297" t="s">
        <v>28</v>
      </c>
      <c r="E297" t="s">
        <v>21</v>
      </c>
      <c r="F297" t="s">
        <v>22</v>
      </c>
      <c r="G297" t="s">
        <v>37</v>
      </c>
      <c r="H297">
        <v>179585</v>
      </c>
      <c r="I297" t="s">
        <v>24</v>
      </c>
      <c r="J297">
        <v>4.47</v>
      </c>
      <c r="K297">
        <v>802744.95</v>
      </c>
      <c r="L297" t="s">
        <v>637</v>
      </c>
      <c r="N297">
        <v>4.3859</v>
      </c>
      <c r="O297" t="s">
        <v>43</v>
      </c>
      <c r="P297" t="s">
        <v>864</v>
      </c>
      <c r="Q297">
        <v>17</v>
      </c>
      <c r="S297">
        <v>4.14</v>
      </c>
    </row>
    <row r="298" spans="1:19">
      <c r="A298">
        <v>276</v>
      </c>
      <c r="B298">
        <v>1</v>
      </c>
      <c r="C298">
        <v>20240131</v>
      </c>
      <c r="D298" t="s">
        <v>28</v>
      </c>
      <c r="E298" t="s">
        <v>21</v>
      </c>
      <c r="F298" t="s">
        <v>22</v>
      </c>
      <c r="G298" t="s">
        <v>30</v>
      </c>
      <c r="H298">
        <v>534167</v>
      </c>
      <c r="I298" t="s">
        <v>24</v>
      </c>
      <c r="J298">
        <v>4.14</v>
      </c>
      <c r="K298">
        <v>2211451.38</v>
      </c>
      <c r="L298" t="s">
        <v>634</v>
      </c>
      <c r="N298">
        <v>4.0626</v>
      </c>
      <c r="O298" t="s">
        <v>43</v>
      </c>
      <c r="P298" t="s">
        <v>863</v>
      </c>
      <c r="Q298">
        <v>19</v>
      </c>
      <c r="S298">
        <v>4.14</v>
      </c>
    </row>
    <row r="299" spans="1:19">
      <c r="A299">
        <v>277</v>
      </c>
      <c r="B299">
        <v>1</v>
      </c>
      <c r="C299">
        <v>20240131</v>
      </c>
      <c r="D299" t="s">
        <v>28</v>
      </c>
      <c r="E299" t="s">
        <v>21</v>
      </c>
      <c r="F299" t="s">
        <v>22</v>
      </c>
      <c r="G299" t="s">
        <v>37</v>
      </c>
      <c r="H299">
        <v>14371</v>
      </c>
      <c r="I299" t="s">
        <v>24</v>
      </c>
      <c r="J299">
        <v>4.14</v>
      </c>
      <c r="K299">
        <v>59495.94</v>
      </c>
      <c r="L299" t="s">
        <v>634</v>
      </c>
      <c r="N299">
        <v>4.0584</v>
      </c>
      <c r="O299" t="s">
        <v>43</v>
      </c>
      <c r="P299" t="s">
        <v>865</v>
      </c>
      <c r="Q299">
        <v>2</v>
      </c>
      <c r="S299">
        <v>4.14</v>
      </c>
    </row>
    <row r="300" spans="1:19">
      <c r="A300">
        <v>278</v>
      </c>
      <c r="B300">
        <v>1</v>
      </c>
      <c r="C300">
        <v>20240131</v>
      </c>
      <c r="D300" t="s">
        <v>28</v>
      </c>
      <c r="E300" t="s">
        <v>21</v>
      </c>
      <c r="F300" t="s">
        <v>22</v>
      </c>
      <c r="G300" t="s">
        <v>30</v>
      </c>
      <c r="H300">
        <v>15788</v>
      </c>
      <c r="I300" t="s">
        <v>24</v>
      </c>
      <c r="J300">
        <v>4.14</v>
      </c>
      <c r="K300">
        <v>65362.32</v>
      </c>
      <c r="L300" t="s">
        <v>654</v>
      </c>
      <c r="N300">
        <v>4.0563</v>
      </c>
      <c r="O300" t="s">
        <v>43</v>
      </c>
      <c r="P300" t="s">
        <v>863</v>
      </c>
      <c r="Q300">
        <v>4</v>
      </c>
      <c r="S300">
        <v>4.14</v>
      </c>
    </row>
    <row r="301" spans="1:19">
      <c r="A301">
        <v>279</v>
      </c>
      <c r="B301">
        <v>1</v>
      </c>
      <c r="C301">
        <v>20240131</v>
      </c>
      <c r="D301" t="s">
        <v>28</v>
      </c>
      <c r="E301" t="s">
        <v>21</v>
      </c>
      <c r="F301" t="s">
        <v>22</v>
      </c>
      <c r="G301" t="s">
        <v>37</v>
      </c>
      <c r="H301">
        <v>9596</v>
      </c>
      <c r="I301" t="s">
        <v>24</v>
      </c>
      <c r="J301">
        <v>4.14</v>
      </c>
      <c r="K301">
        <v>39727.44</v>
      </c>
      <c r="L301" t="s">
        <v>654</v>
      </c>
      <c r="N301">
        <v>4.0822</v>
      </c>
      <c r="O301" t="s">
        <v>43</v>
      </c>
      <c r="P301" t="s">
        <v>865</v>
      </c>
      <c r="Q301">
        <v>3</v>
      </c>
      <c r="S301">
        <v>4.14</v>
      </c>
    </row>
    <row r="302" spans="1:19">
      <c r="A302">
        <v>280</v>
      </c>
      <c r="B302">
        <v>1</v>
      </c>
      <c r="C302">
        <v>20240131</v>
      </c>
      <c r="D302" t="s">
        <v>20</v>
      </c>
      <c r="E302" t="s">
        <v>21</v>
      </c>
      <c r="F302" t="s">
        <v>41</v>
      </c>
      <c r="G302" t="s">
        <v>30</v>
      </c>
      <c r="H302">
        <v>67784</v>
      </c>
      <c r="I302" t="s">
        <v>24</v>
      </c>
      <c r="J302">
        <v>4.14</v>
      </c>
      <c r="K302">
        <v>280625.76</v>
      </c>
      <c r="L302" t="s">
        <v>637</v>
      </c>
      <c r="N302">
        <v>4.05</v>
      </c>
      <c r="O302" t="s">
        <v>43</v>
      </c>
      <c r="P302" t="s">
        <v>866</v>
      </c>
      <c r="Q302">
        <v>14</v>
      </c>
      <c r="R302" t="s">
        <v>867</v>
      </c>
    </row>
    <row r="303" spans="1:19">
      <c r="A303">
        <v>281</v>
      </c>
      <c r="B303">
        <v>1</v>
      </c>
      <c r="C303">
        <v>20240131</v>
      </c>
      <c r="D303" t="s">
        <v>20</v>
      </c>
      <c r="E303" t="s">
        <v>21</v>
      </c>
      <c r="F303" t="s">
        <v>41</v>
      </c>
      <c r="G303" t="s">
        <v>30</v>
      </c>
      <c r="H303">
        <v>159066</v>
      </c>
      <c r="I303" t="s">
        <v>24</v>
      </c>
      <c r="J303">
        <v>4.14</v>
      </c>
      <c r="K303">
        <v>658533.24</v>
      </c>
      <c r="L303" t="s">
        <v>634</v>
      </c>
      <c r="N303">
        <v>4.05</v>
      </c>
      <c r="O303" t="s">
        <v>43</v>
      </c>
      <c r="P303" t="s">
        <v>866</v>
      </c>
      <c r="Q303">
        <v>15</v>
      </c>
    </row>
    <row r="304" spans="1:19">
      <c r="A304">
        <v>282</v>
      </c>
      <c r="B304">
        <v>1</v>
      </c>
      <c r="C304">
        <v>20240131</v>
      </c>
      <c r="D304" t="s">
        <v>28</v>
      </c>
      <c r="E304" t="s">
        <v>21</v>
      </c>
      <c r="F304" t="s">
        <v>41</v>
      </c>
      <c r="G304" t="s">
        <v>30</v>
      </c>
      <c r="H304">
        <v>774720</v>
      </c>
      <c r="I304" t="s">
        <v>24</v>
      </c>
      <c r="J304">
        <v>4.14</v>
      </c>
      <c r="K304">
        <v>3207340.8</v>
      </c>
      <c r="L304" t="s">
        <v>637</v>
      </c>
      <c r="N304">
        <v>4.05</v>
      </c>
      <c r="O304" t="s">
        <v>43</v>
      </c>
      <c r="P304" t="s">
        <v>868</v>
      </c>
      <c r="Q304">
        <v>79</v>
      </c>
    </row>
    <row r="305" spans="1:17">
      <c r="A305">
        <v>283</v>
      </c>
      <c r="B305">
        <v>1</v>
      </c>
      <c r="C305">
        <v>20240131</v>
      </c>
      <c r="D305" t="s">
        <v>28</v>
      </c>
      <c r="E305" t="s">
        <v>21</v>
      </c>
      <c r="F305" t="s">
        <v>41</v>
      </c>
      <c r="G305" t="s">
        <v>37</v>
      </c>
      <c r="H305">
        <v>327203</v>
      </c>
      <c r="I305" t="s">
        <v>24</v>
      </c>
      <c r="J305">
        <v>4.14</v>
      </c>
      <c r="K305">
        <v>1354620.42</v>
      </c>
      <c r="L305" t="s">
        <v>637</v>
      </c>
      <c r="N305">
        <v>4.05</v>
      </c>
      <c r="O305" t="s">
        <v>43</v>
      </c>
      <c r="P305" t="s">
        <v>869</v>
      </c>
      <c r="Q305">
        <v>29</v>
      </c>
    </row>
    <row r="306" spans="1:17">
      <c r="A306">
        <v>284</v>
      </c>
      <c r="B306">
        <v>1</v>
      </c>
      <c r="C306">
        <v>20240131</v>
      </c>
      <c r="D306" t="s">
        <v>28</v>
      </c>
      <c r="E306" t="s">
        <v>21</v>
      </c>
      <c r="F306" t="s">
        <v>41</v>
      </c>
      <c r="G306" t="s">
        <v>30</v>
      </c>
      <c r="H306">
        <v>37594</v>
      </c>
      <c r="I306" t="s">
        <v>24</v>
      </c>
      <c r="J306">
        <v>4.14</v>
      </c>
      <c r="K306">
        <v>155639.16</v>
      </c>
      <c r="L306" t="s">
        <v>634</v>
      </c>
      <c r="N306">
        <v>4.05</v>
      </c>
      <c r="O306" t="s">
        <v>43</v>
      </c>
      <c r="P306" t="s">
        <v>868</v>
      </c>
      <c r="Q306">
        <v>4</v>
      </c>
    </row>
    <row r="307" spans="1:17">
      <c r="A307">
        <v>285</v>
      </c>
      <c r="B307">
        <v>1</v>
      </c>
      <c r="C307">
        <v>20240131</v>
      </c>
      <c r="D307" t="s">
        <v>28</v>
      </c>
      <c r="E307" t="s">
        <v>21</v>
      </c>
      <c r="F307" t="s">
        <v>41</v>
      </c>
      <c r="G307" t="s">
        <v>37</v>
      </c>
      <c r="H307">
        <v>25072</v>
      </c>
      <c r="I307" t="s">
        <v>24</v>
      </c>
      <c r="J307">
        <v>4.14</v>
      </c>
      <c r="K307">
        <v>103798.08</v>
      </c>
      <c r="L307" t="s">
        <v>634</v>
      </c>
      <c r="N307">
        <v>4.05</v>
      </c>
      <c r="O307" t="s">
        <v>43</v>
      </c>
      <c r="P307" t="s">
        <v>869</v>
      </c>
      <c r="Q307">
        <v>2</v>
      </c>
    </row>
    <row r="308" spans="1:17">
      <c r="A308">
        <v>286</v>
      </c>
      <c r="B308">
        <v>1</v>
      </c>
      <c r="C308">
        <v>20240131</v>
      </c>
      <c r="D308" t="s">
        <v>28</v>
      </c>
      <c r="E308" t="s">
        <v>21</v>
      </c>
      <c r="F308" t="s">
        <v>41</v>
      </c>
      <c r="G308" t="s">
        <v>30</v>
      </c>
      <c r="H308">
        <v>465024</v>
      </c>
      <c r="I308" t="s">
        <v>24</v>
      </c>
      <c r="J308">
        <v>4.14</v>
      </c>
      <c r="K308">
        <v>1925199.36</v>
      </c>
      <c r="L308" t="s">
        <v>634</v>
      </c>
      <c r="N308">
        <v>4.05</v>
      </c>
      <c r="O308" t="s">
        <v>43</v>
      </c>
      <c r="P308" t="s">
        <v>868</v>
      </c>
      <c r="Q308">
        <v>42</v>
      </c>
    </row>
    <row r="309" spans="1:17">
      <c r="A309">
        <v>287</v>
      </c>
      <c r="B309">
        <v>1</v>
      </c>
      <c r="C309">
        <v>20240131</v>
      </c>
      <c r="D309" t="s">
        <v>28</v>
      </c>
      <c r="E309" t="s">
        <v>21</v>
      </c>
      <c r="F309" t="s">
        <v>41</v>
      </c>
      <c r="G309" t="s">
        <v>37</v>
      </c>
      <c r="H309">
        <v>208890</v>
      </c>
      <c r="I309" t="s">
        <v>24</v>
      </c>
      <c r="J309">
        <v>4.14</v>
      </c>
      <c r="K309">
        <v>864804.6</v>
      </c>
      <c r="L309" t="s">
        <v>634</v>
      </c>
      <c r="N309">
        <v>4.05</v>
      </c>
      <c r="O309" t="s">
        <v>43</v>
      </c>
      <c r="P309" t="s">
        <v>869</v>
      </c>
      <c r="Q309">
        <v>16</v>
      </c>
    </row>
    <row r="310" spans="1:17">
      <c r="A310">
        <v>288</v>
      </c>
      <c r="B310">
        <v>1</v>
      </c>
      <c r="C310">
        <v>20240131</v>
      </c>
      <c r="D310" t="s">
        <v>28</v>
      </c>
      <c r="E310" t="s">
        <v>21</v>
      </c>
      <c r="F310" t="s">
        <v>41</v>
      </c>
      <c r="G310" t="s">
        <v>30</v>
      </c>
      <c r="H310">
        <v>3566</v>
      </c>
      <c r="I310" t="s">
        <v>24</v>
      </c>
      <c r="J310">
        <v>4.14</v>
      </c>
      <c r="K310">
        <v>14763.24</v>
      </c>
      <c r="L310" t="s">
        <v>634</v>
      </c>
      <c r="N310">
        <v>4.05</v>
      </c>
      <c r="O310" t="s">
        <v>43</v>
      </c>
      <c r="P310" t="s">
        <v>868</v>
      </c>
      <c r="Q310"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Sheet4</vt:lpstr>
      <vt:lpstr>Sheet5</vt:lpstr>
      <vt:lpstr>Sheet6</vt:lpstr>
      <vt:lpstr>Sheet7</vt:lpstr>
      <vt:lpstr>Sheet9</vt:lpstr>
      <vt:lpstr>比特方舟</vt:lpstr>
      <vt:lpstr>海口世纪透视</vt:lpstr>
      <vt:lpstr>海口世纪</vt:lpstr>
      <vt:lpstr>世纪透视</vt:lpstr>
      <vt:lpstr>世纪云芯</vt:lpstr>
      <vt:lpstr>智能云芯</vt:lpstr>
      <vt:lpstr>Sheet2</vt:lpstr>
      <vt:lpstr>Sheet3</vt:lpstr>
      <vt:lpstr>Sheet1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</dc:creator>
  <cp:lastModifiedBy>goddess♡</cp:lastModifiedBy>
  <dcterms:created xsi:type="dcterms:W3CDTF">2023-12-04T02:35:00Z</dcterms:created>
  <dcterms:modified xsi:type="dcterms:W3CDTF">2026-05-22T06:02:08Z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87CBE89CF2D243B1A76D2B1703B1466D_13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