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325" tabRatio="600" firstSheet="12" activeTab="12" autoFilterDateGrouping="1"/>
  </bookViews>
  <sheets>
    <sheet xmlns:r="http://schemas.openxmlformats.org/officeDocument/2006/relationships" name="统计表" sheetId="1" state="hidden" r:id="rId1"/>
    <sheet xmlns:r="http://schemas.openxmlformats.org/officeDocument/2006/relationships" name="2月" sheetId="2" state="hidden" r:id="rId2"/>
    <sheet xmlns:r="http://schemas.openxmlformats.org/officeDocument/2006/relationships" name="3月" sheetId="3" state="hidden" r:id="rId3"/>
    <sheet xmlns:r="http://schemas.openxmlformats.org/officeDocument/2006/relationships" name="4月" sheetId="4" state="hidden" r:id="rId4"/>
    <sheet xmlns:r="http://schemas.openxmlformats.org/officeDocument/2006/relationships" name="5月" sheetId="5" state="hidden" r:id="rId5"/>
    <sheet xmlns:r="http://schemas.openxmlformats.org/officeDocument/2006/relationships" name="5月（海南）" sheetId="6" state="hidden" r:id="rId6"/>
    <sheet xmlns:r="http://schemas.openxmlformats.org/officeDocument/2006/relationships" name="6月（海南）" sheetId="7" state="hidden" r:id="rId7"/>
    <sheet xmlns:r="http://schemas.openxmlformats.org/officeDocument/2006/relationships" name="7月（香港）" sheetId="8" state="hidden" r:id="rId8"/>
    <sheet xmlns:r="http://schemas.openxmlformats.org/officeDocument/2006/relationships" name="2023（香港）" sheetId="9" state="hidden" r:id="rId9"/>
    <sheet xmlns:r="http://schemas.openxmlformats.org/officeDocument/2006/relationships" name="2024（香港）" sheetId="10" state="hidden" r:id="rId10"/>
    <sheet xmlns:r="http://schemas.openxmlformats.org/officeDocument/2006/relationships" name="2025（香港） " sheetId="11" state="hidden" r:id="rId11"/>
    <sheet xmlns:r="http://schemas.openxmlformats.org/officeDocument/2006/relationships" name="编码对账表" sheetId="12" state="hidden" r:id="rId12"/>
    <sheet xmlns:r="http://schemas.openxmlformats.org/officeDocument/2006/relationships" name="2025-2026" sheetId="13" state="visible" r:id="rId13"/>
    <sheet xmlns:r="http://schemas.openxmlformats.org/officeDocument/2006/relationships" name="芯片退运SO" sheetId="14" state="visible" r:id="rId14"/>
    <sheet xmlns:r="http://schemas.openxmlformats.org/officeDocument/2006/relationships" name="Sheet1" sheetId="15" state="visible" r:id="rId15"/>
    <sheet xmlns:r="http://schemas.openxmlformats.org/officeDocument/2006/relationships" name="2月价目表" sheetId="16" state="visible" r:id="rId16"/>
    <sheet xmlns:r="http://schemas.openxmlformats.org/officeDocument/2006/relationships" name="Sheet2" sheetId="17" state="visible" r:id="rId17"/>
    <sheet xmlns:r="http://schemas.openxmlformats.org/officeDocument/2006/relationships" name="2025-09" sheetId="18" state="hidden" r:id="rId18"/>
  </sheets>
  <externalReferences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_xlnm._FilterDatabase" localSheetId="0" hidden="1">'统计表'!$A$1:$XFD$71</definedName>
    <definedName name="_xlnm._FilterDatabase" localSheetId="1" hidden="1">'2月'!$A$1:$XFD$70</definedName>
    <definedName name="_xlnm._FilterDatabase" localSheetId="2" hidden="1">'3月'!$A$1:$XFD$95</definedName>
    <definedName name="_xlnm._FilterDatabase" localSheetId="4" hidden="1">'5月'!$A$1:$M$10</definedName>
    <definedName name="_xlnm._FilterDatabase" localSheetId="5" hidden="1">'5月（海南）'!$A$1:$M$78</definedName>
    <definedName name="_xlnm._FilterDatabase" localSheetId="7" hidden="1">'7月（香港）'!$A$1:$L$50</definedName>
    <definedName name="_xlnm._FilterDatabase" localSheetId="8" hidden="1">'2023（香港）'!$A$1:$K$47</definedName>
    <definedName name="_xlnm._FilterDatabase" localSheetId="9" hidden="1">'2024（香港）'!$A$1:$N$591</definedName>
    <definedName name="_xlnm._FilterDatabase" localSheetId="10" hidden="1">'2025（香港） '!$A$1:$AC$644</definedName>
    <definedName name="_xlnm._FilterDatabase" localSheetId="11" hidden="1">'编码对账表'!$A$1:$XFD$307</definedName>
    <definedName name="_xlnm._FilterDatabase" localSheetId="12" hidden="1">'2025-2026'!$A$1:$Y$373</definedName>
    <definedName name="_xlnm._FilterDatabase" localSheetId="13" hidden="1">'芯片退运SO'!$A$1:$M$48</definedName>
    <definedName name="_xlnm._FilterDatabase" localSheetId="16" hidden="1">'Sheet2'!$A$3:$I$13</definedName>
    <definedName name="_xlnm._FilterDatabase" localSheetId="17" hidden="1">'2025-09'!$A$2:$P$57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[$-F400]h:mm:ss\ AM/PM"/>
    <numFmt numFmtId="165" formatCode="0.0000_ "/>
    <numFmt numFmtId="166" formatCode="yyyy/m/d;@"/>
    <numFmt numFmtId="167" formatCode="_-[$€-2]* #,##0.00_-;\-[$€-2]* #,##0.00_-;_-[$€-2]* &quot;-&quot;??_-"/>
    <numFmt numFmtId="168" formatCode="0.00_);[Red]\(0.00\)"/>
    <numFmt numFmtId="169" formatCode="_ * #,##0_ ;_ * \-#,##0_ ;_ * &quot;-&quot;??_ ;_ @_ "/>
    <numFmt numFmtId="170" formatCode="0_ "/>
    <numFmt numFmtId="171" formatCode="0.00_ "/>
    <numFmt numFmtId="172" formatCode="#\ ?/?"/>
    <numFmt numFmtId="173" formatCode="m&quot;月&quot;d&quot;日&quot;;@"/>
    <numFmt numFmtId="174" formatCode="0_);[Red]\(0\)"/>
    <numFmt numFmtId="175" formatCode="m/d;@"/>
    <numFmt numFmtId="176" formatCode="0.0000000_ "/>
    <numFmt numFmtId="177" formatCode="0.000_ "/>
    <numFmt numFmtId="178" formatCode="0_ ;[Red]\-0\ "/>
    <numFmt numFmtId="179" formatCode="_ * #,##0.00_ ;_ * \-#,##0.00_ ;_ * &quot;-&quot;??_ ;_ @_ "/>
    <numFmt numFmtId="180" formatCode="000000"/>
    <numFmt numFmtId="181" formatCode="YYYY-MM-DD"/>
    <numFmt numFmtId="182" formatCode="yyyy/mm/dd"/>
    <numFmt numFmtId="183" formatCode="_-* #,##0.00_-;\-* #,##0.00_-;_-* &quot;-&quot;??_-;_-@_-"/>
    <numFmt numFmtId="184" formatCode="_-* #,##0_-;\-* #,##0_-;_-* &quot;-&quot;_-;_-@_-"/>
  </numFmts>
  <fonts count="140">
    <font>
      <name val="等线"/>
      <charset val="134"/>
      <color theme="1"/>
      <sz val="11"/>
      <scheme val="minor"/>
    </font>
    <font>
      <name val="Microsoft YaHei"/>
      <charset val="134"/>
      <color theme="1"/>
      <sz val="10"/>
    </font>
    <font>
      <name val="宋体"/>
      <charset val="134"/>
      <color theme="1"/>
      <sz val="12"/>
    </font>
    <font>
      <name val="Microsoft YaHei"/>
      <charset val="134"/>
      <b val="1"/>
      <color theme="1"/>
      <sz val="11"/>
    </font>
    <font>
      <name val="Microsoft YaHei"/>
      <charset val="134"/>
      <b val="1"/>
      <color theme="1"/>
      <sz val="14"/>
    </font>
    <font>
      <name val="宋体"/>
      <charset val="134"/>
      <color theme="1"/>
      <sz val="11"/>
    </font>
    <font>
      <name val="宋体"/>
      <charset val="134"/>
      <sz val="12"/>
    </font>
    <font>
      <name val="宋体"/>
      <charset val="134"/>
      <color rgb="FF000000"/>
      <sz val="12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等线"/>
      <charset val="134"/>
      <color rgb="FF000000"/>
      <sz val="11"/>
    </font>
    <font>
      <name val="Calibri"/>
      <charset val="134"/>
      <sz val="12"/>
    </font>
    <font>
      <name val="宋体"/>
      <charset val="134"/>
      <color theme="1"/>
      <sz val="10"/>
    </font>
    <font>
      <name val="宋体"/>
      <charset val="134"/>
      <sz val="10"/>
    </font>
    <font>
      <name val="宋体"/>
      <charset val="134"/>
      <b val="1"/>
      <color theme="1"/>
      <sz val="10"/>
    </font>
    <font>
      <name val="等线"/>
      <charset val="134"/>
      <sz val="11"/>
    </font>
    <font>
      <name val="等线"/>
      <charset val="134"/>
      <color indexed="8"/>
      <sz val="11"/>
      <scheme val="minor"/>
    </font>
    <font>
      <name val="宋体"/>
      <charset val="134"/>
      <color rgb="FF000000"/>
      <sz val="11"/>
    </font>
    <font>
      <name val="等线"/>
      <charset val="134"/>
      <color theme="1"/>
      <sz val="9"/>
      <scheme val="minor"/>
    </font>
    <font>
      <name val="等线"/>
      <charset val="134"/>
      <sz val="11"/>
      <scheme val="minor"/>
    </font>
    <font>
      <name val="Microsoft YaHei UI"/>
      <charset val="134"/>
      <color theme="1"/>
      <sz val="10"/>
    </font>
    <font>
      <name val="等线"/>
      <charset val="134"/>
      <strike val="1"/>
      <color theme="1"/>
      <sz val="11"/>
      <scheme val="minor"/>
    </font>
    <font>
      <name val="等线"/>
      <charset val="134"/>
      <color theme="1"/>
      <sz val="14"/>
      <scheme val="minor"/>
    </font>
    <font>
      <name val="宋体"/>
      <charset val="134"/>
      <sz val="11"/>
    </font>
    <font>
      <name val="Microsoft YaHei UI"/>
      <charset val="134"/>
      <color rgb="FF000000"/>
      <sz val="10"/>
    </font>
    <font>
      <name val="等线"/>
      <charset val="134"/>
      <color rgb="FFE53333"/>
      <sz val="11"/>
    </font>
    <font>
      <name val="宋体"/>
      <charset val="134"/>
      <strike val="1"/>
      <color theme="1"/>
      <sz val="12"/>
    </font>
    <font>
      <name val="宋体"/>
      <charset val="134"/>
      <strike val="1"/>
      <sz val="12"/>
    </font>
    <font>
      <name val="Arial"/>
      <charset val="134"/>
      <strike val="1"/>
      <sz val="10"/>
    </font>
    <font>
      <name val="等线"/>
      <charset val="134"/>
      <color rgb="FFFF0000"/>
      <sz val="11"/>
    </font>
    <font>
      <name val="Tahoma"/>
      <charset val="0"/>
      <color rgb="FF333333"/>
      <sz val="9"/>
    </font>
    <font>
      <name val="宋体"/>
      <charset val="134"/>
      <color rgb="FF000000"/>
      <sz val="10"/>
    </font>
    <font>
      <name val="Arial Unicode MS"/>
      <charset val="134"/>
      <color theme="1"/>
      <sz val="10"/>
    </font>
    <font>
      <name val="宋体"/>
      <charset val="134"/>
      <color indexed="8"/>
      <sz val="11"/>
    </font>
    <font>
      <name val="Microsoft YaHei UI Light"/>
      <charset val="134"/>
      <color rgb="FF000000"/>
      <sz val="11"/>
    </font>
    <font>
      <name val="Microsoft YaHei UI"/>
      <charset val="134"/>
      <color rgb="FF000000"/>
      <sz val="11"/>
    </font>
    <font>
      <name val="Microsoft YaHei UI Light"/>
      <charset val="134"/>
      <color rgb="FFFF0000"/>
      <sz val="10.5"/>
    </font>
    <font>
      <name val="宋体"/>
      <charset val="134"/>
      <color rgb="FF000000"/>
      <sz val="10.5"/>
    </font>
    <font>
      <name val="Microsoft YaHei UI"/>
      <charset val="134"/>
      <color rgb="FF000000"/>
      <sz val="10.5"/>
    </font>
    <font>
      <name val="Microsoft YaHei UI"/>
      <charset val="134"/>
      <color rgb="FF000000"/>
      <sz val="7"/>
    </font>
    <font>
      <name val="宋体"/>
      <charset val="134"/>
      <color rgb="FF000000"/>
      <sz val="7"/>
    </font>
    <font>
      <name val="宋体"/>
      <charset val="134"/>
      <color rgb="FF000000"/>
      <sz val="6"/>
    </font>
    <font>
      <name val="Microsoft YaHei UI"/>
      <charset val="134"/>
      <b val="1"/>
      <color rgb="FF3F464D"/>
      <sz val="8"/>
    </font>
    <font>
      <name val="宋体"/>
      <charset val="134"/>
      <b val="1"/>
      <color rgb="FF3F464D"/>
      <sz val="6"/>
    </font>
    <font>
      <name val="等线"/>
      <charset val="134"/>
      <color theme="1"/>
      <sz val="12"/>
      <scheme val="minor"/>
    </font>
    <font>
      <name val="等线"/>
      <charset val="134"/>
      <color theme="0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sz val="12"/>
      <scheme val="minor"/>
    </font>
    <font>
      <name val="等线"/>
      <charset val="134"/>
      <color rgb="FFFF0000"/>
      <sz val="12"/>
      <scheme val="minor"/>
    </font>
    <font>
      <name val="等线"/>
      <charset val="134"/>
      <color rgb="FF0000FF"/>
      <sz val="11"/>
      <scheme val="minor"/>
    </font>
    <font>
      <name val="等线"/>
      <charset val="134"/>
      <sz val="12"/>
    </font>
    <font>
      <name val="等线"/>
      <charset val="134"/>
      <color rgb="FF222222"/>
      <sz val="11"/>
    </font>
    <font>
      <name val="等线"/>
      <charset val="134"/>
      <color rgb="FF222222"/>
      <sz val="12"/>
    </font>
    <font>
      <name val="等线"/>
      <charset val="134"/>
      <color rgb="FF000000"/>
      <sz val="12"/>
    </font>
    <font>
      <name val="等线"/>
      <charset val="134"/>
      <color rgb="FFFF0000"/>
      <sz val="11"/>
      <scheme val="minor"/>
    </font>
    <font>
      <name val="等线"/>
      <charset val="134"/>
      <color rgb="FF000000"/>
      <sz val="11"/>
      <scheme val="minor"/>
    </font>
    <font>
      <name val="Helvetica"/>
      <charset val="134"/>
      <color rgb="FF515A6E"/>
      <sz val="9"/>
    </font>
    <font>
      <name val="等线"/>
      <charset val="134"/>
      <strike val="1"/>
      <color theme="9"/>
      <sz val="9"/>
      <scheme val="minor"/>
    </font>
    <font>
      <name val="等线"/>
      <charset val="134"/>
      <color theme="9"/>
      <sz val="9"/>
      <scheme val="minor"/>
    </font>
    <font>
      <name val="等线"/>
      <charset val="134"/>
      <strike val="1"/>
      <color theme="1"/>
      <sz val="9"/>
      <scheme val="minor"/>
    </font>
    <font>
      <name val="Calibri"/>
      <charset val="134"/>
      <sz val="9"/>
    </font>
    <font>
      <name val="等线"/>
      <charset val="134"/>
      <sz val="14"/>
      <scheme val="minor"/>
    </font>
    <font>
      <name val="Microsoft YaHei"/>
      <charset val="134"/>
      <strike val="1"/>
      <color theme="1"/>
      <sz val="10"/>
    </font>
    <font>
      <name val="等线"/>
      <charset val="134"/>
      <strike val="1"/>
      <color theme="9"/>
      <sz val="11"/>
      <scheme val="minor"/>
    </font>
    <font>
      <name val="Microsoft YaHei"/>
      <charset val="134"/>
      <strike val="1"/>
      <color theme="9"/>
      <sz val="10"/>
    </font>
    <font>
      <name val="等线"/>
      <charset val="134"/>
      <strike val="1"/>
      <sz val="11"/>
      <scheme val="minor"/>
    </font>
    <font>
      <name val="Microsoft YaHei UI"/>
      <charset val="134"/>
      <strike val="1"/>
      <color theme="9"/>
      <sz val="10"/>
    </font>
    <font>
      <name val="等线"/>
      <charset val="134"/>
      <strike val="1"/>
      <color theme="9"/>
      <sz val="14"/>
      <scheme val="minor"/>
    </font>
    <font>
      <name val="宋体"/>
      <charset val="134"/>
      <strike val="1"/>
      <color theme="9"/>
      <sz val="11"/>
    </font>
    <font>
      <name val="等线"/>
      <charset val="134"/>
      <color theme="9"/>
      <sz val="11"/>
      <scheme val="minor"/>
    </font>
    <font>
      <name val="Microsoft YaHei"/>
      <charset val="134"/>
      <color theme="9"/>
      <sz val="10"/>
    </font>
    <font>
      <name val="Microsoft YaHei UI"/>
      <charset val="134"/>
      <color theme="9"/>
      <sz val="10"/>
    </font>
    <font>
      <name val="等线"/>
      <charset val="134"/>
      <color theme="9"/>
      <sz val="14"/>
      <scheme val="minor"/>
    </font>
    <font>
      <name val="宋体"/>
      <charset val="134"/>
      <color theme="9"/>
      <sz val="11"/>
    </font>
    <font>
      <name val="Calibri"/>
      <charset val="0"/>
      <color theme="1"/>
      <sz val="9"/>
    </font>
    <font>
      <name val="Microsoft YaHei UI"/>
      <charset val="134"/>
      <strike val="1"/>
      <color theme="1"/>
      <sz val="10"/>
    </font>
    <font>
      <name val="等线"/>
      <charset val="134"/>
      <strike val="1"/>
      <color theme="1"/>
      <sz val="14"/>
      <scheme val="minor"/>
    </font>
    <font>
      <name val="宋体"/>
      <charset val="134"/>
      <strike val="1"/>
      <color theme="1"/>
      <sz val="11"/>
    </font>
    <font>
      <name val="宋体"/>
      <charset val="134"/>
      <color theme="1"/>
      <sz val="9"/>
    </font>
    <font>
      <name val="等线"/>
      <charset val="134"/>
      <color rgb="FFFF0000"/>
      <sz val="14"/>
      <scheme val="minor"/>
    </font>
    <font>
      <name val="等线"/>
      <charset val="134"/>
      <color rgb="FFFF0000"/>
      <sz val="9"/>
      <scheme val="minor"/>
    </font>
    <font>
      <name val="Microsoft YaHei"/>
      <charset val="134"/>
      <sz val="10"/>
    </font>
    <font>
      <name val="黑体"/>
      <charset val="134"/>
      <color theme="1"/>
      <sz val="9"/>
    </font>
    <font>
      <name val="Microsoft YaHei UI"/>
      <charset val="134"/>
      <b val="1"/>
      <color theme="1"/>
      <sz val="10"/>
    </font>
    <font>
      <name val="微软雅黑"/>
      <charset val="134"/>
      <color theme="1"/>
      <sz val="9"/>
    </font>
    <font>
      <name val="Microsoft YaHei UI"/>
      <charset val="134"/>
      <sz val="10"/>
    </font>
    <font>
      <name val="微软雅黑"/>
      <charset val="134"/>
      <sz val="9"/>
    </font>
    <font>
      <name val="Microsoft YaHei"/>
      <charset val="134"/>
      <color rgb="FF000000"/>
      <sz val="10"/>
    </font>
    <font>
      <name val="微软雅黑"/>
      <charset val="134"/>
      <color rgb="FFFF0000"/>
      <sz val="9"/>
    </font>
    <font>
      <name val="黑体"/>
      <charset val="134"/>
      <color theme="1"/>
      <sz val="11"/>
    </font>
    <font>
      <name val="黑体"/>
      <charset val="134"/>
      <color rgb="FFFF0000"/>
      <sz val="11"/>
    </font>
    <font>
      <name val="黑体"/>
      <charset val="134"/>
      <sz val="11"/>
    </font>
    <font>
      <name val="微软雅黑"/>
      <charset val="134"/>
      <b val="1"/>
      <color rgb="FFFF0000"/>
      <sz val="9"/>
    </font>
    <font>
      <name val="Calibri"/>
      <charset val="134"/>
      <color theme="1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imes New Roman"/>
      <charset val="134"/>
      <sz val="12"/>
    </font>
    <font>
      <name val="等线"/>
      <charset val="134"/>
      <color theme="0"/>
      <sz val="11"/>
      <scheme val="minor"/>
    </font>
    <font>
      <name val="新細明體"/>
      <charset val="134"/>
      <color indexed="8"/>
      <sz val="12"/>
    </font>
    <font>
      <name val="新細明體"/>
      <charset val="134"/>
      <sz val="12"/>
    </font>
    <font>
      <name val="等线 Light"/>
      <charset val="134"/>
      <color theme="3"/>
      <sz val="18"/>
      <scheme val="major"/>
    </font>
    <font>
      <name val="等线"/>
      <charset val="134"/>
      <color rgb="FF9C0006"/>
      <sz val="11"/>
      <scheme val="minor"/>
    </font>
    <font>
      <name val="Arial"/>
      <charset val="134"/>
      <color theme="1"/>
      <sz val="10"/>
    </font>
    <font>
      <name val="宋体"/>
      <charset val="134"/>
      <color indexed="12"/>
      <sz val="11"/>
      <u val="single"/>
    </font>
    <font>
      <name val="等线"/>
      <charset val="134"/>
      <color rgb="FF006100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i val="1"/>
      <color rgb="FF7F7F7F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color rgb="FF9C6500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color theme="1"/>
      <sz val="11"/>
    </font>
    <font>
      <name val="等线"/>
      <charset val="134"/>
      <color rgb="FFFF0000"/>
      <sz val="12"/>
    </font>
    <font>
      <name val="等线"/>
      <charset val="134"/>
      <color theme="1"/>
      <sz val="12"/>
    </font>
    <font>
      <name val="等线"/>
      <charset val="134"/>
      <color theme="1" tint="0.0499893185216834"/>
      <sz val="10"/>
    </font>
    <font>
      <name val="宋体"/>
      <charset val="0"/>
      <color theme="1"/>
      <sz val="9"/>
    </font>
    <font>
      <name val="等线"/>
      <charset val="134"/>
      <b val="1"/>
      <color rgb="FFFF0000"/>
      <sz val="12"/>
    </font>
    <font>
      <name val="Arial"/>
      <charset val="134"/>
      <color rgb="FFFF0000"/>
      <sz val="9"/>
    </font>
    <font>
      <name val="Arial"/>
      <charset val="134"/>
      <color rgb="FF000000"/>
      <sz val="9"/>
    </font>
    <font>
      <name val="Microsoft YaHei UI"/>
      <charset val="134"/>
      <b val="1"/>
      <color rgb="FF000000"/>
      <sz val="10"/>
    </font>
    <font>
      <name val="等线"/>
      <charset val="0"/>
      <b val="1"/>
      <color rgb="FF000000"/>
      <sz val="10"/>
      <scheme val="minor"/>
    </font>
    <font>
      <name val="等线"/>
      <charset val="134"/>
      <color rgb="FF000000"/>
      <sz val="10"/>
    </font>
  </fonts>
  <fills count="6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8" tint="0.399792474135563"/>
        <bgColor indexed="64"/>
      </patternFill>
    </fill>
    <fill>
      <patternFill patternType="solid">
        <fgColor theme="9" tint="0.39979247413556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4506668294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92474135563"/>
      </bottom>
      <diagonal/>
    </border>
  </borders>
  <cellStyleXfs count="111">
    <xf numFmtId="164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4" fillId="0" borderId="0" applyAlignment="1">
      <alignment vertical="center"/>
    </xf>
    <xf numFmtId="0" fontId="95" fillId="0" borderId="0" applyAlignment="1">
      <alignment vertical="center"/>
    </xf>
    <xf numFmtId="0" fontId="0" fillId="20" borderId="17" applyAlignment="1">
      <alignment vertical="center"/>
    </xf>
    <xf numFmtId="0" fontId="96" fillId="0" borderId="0" applyAlignment="1">
      <alignment vertical="center"/>
    </xf>
    <xf numFmtId="0" fontId="97" fillId="0" borderId="0" applyAlignment="1">
      <alignment vertical="center"/>
    </xf>
    <xf numFmtId="0" fontId="98" fillId="0" borderId="0" applyAlignment="1">
      <alignment vertical="center"/>
    </xf>
    <xf numFmtId="0" fontId="99" fillId="0" borderId="18" applyAlignment="1">
      <alignment vertical="center"/>
    </xf>
    <xf numFmtId="0" fontId="100" fillId="0" borderId="18" applyAlignment="1">
      <alignment vertical="center"/>
    </xf>
    <xf numFmtId="0" fontId="101" fillId="0" borderId="19" applyAlignment="1">
      <alignment vertical="center"/>
    </xf>
    <xf numFmtId="0" fontId="101" fillId="0" borderId="0" applyAlignment="1">
      <alignment vertical="center"/>
    </xf>
    <xf numFmtId="0" fontId="102" fillId="21" borderId="20" applyAlignment="1">
      <alignment vertical="center"/>
    </xf>
    <xf numFmtId="0" fontId="103" fillId="22" borderId="21" applyAlignment="1">
      <alignment vertical="center"/>
    </xf>
    <xf numFmtId="0" fontId="104" fillId="22" borderId="20" applyAlignment="1">
      <alignment vertical="center"/>
    </xf>
    <xf numFmtId="0" fontId="105" fillId="23" borderId="22" applyAlignment="1">
      <alignment vertical="center"/>
    </xf>
    <xf numFmtId="0" fontId="106" fillId="0" borderId="23" applyAlignment="1">
      <alignment vertical="center"/>
    </xf>
    <xf numFmtId="0" fontId="107" fillId="0" borderId="24" applyAlignment="1">
      <alignment vertical="center"/>
    </xf>
    <xf numFmtId="0" fontId="108" fillId="24" borderId="0" applyAlignment="1">
      <alignment vertical="center"/>
    </xf>
    <xf numFmtId="0" fontId="109" fillId="25" borderId="0" applyAlignment="1">
      <alignment vertical="center"/>
    </xf>
    <xf numFmtId="0" fontId="110" fillId="26" borderId="0" applyAlignment="1">
      <alignment vertical="center"/>
    </xf>
    <xf numFmtId="0" fontId="111" fillId="27" borderId="0" applyAlignment="1">
      <alignment vertical="center"/>
    </xf>
    <xf numFmtId="0" fontId="112" fillId="28" borderId="0" applyAlignment="1">
      <alignment vertical="center"/>
    </xf>
    <xf numFmtId="0" fontId="112" fillId="29" borderId="0" applyAlignment="1">
      <alignment vertical="center"/>
    </xf>
    <xf numFmtId="0" fontId="111" fillId="30" borderId="0" applyAlignment="1">
      <alignment vertical="center"/>
    </xf>
    <xf numFmtId="0" fontId="111" fillId="31" borderId="0" applyAlignment="1">
      <alignment vertical="center"/>
    </xf>
    <xf numFmtId="0" fontId="112" fillId="32" borderId="0" applyAlignment="1">
      <alignment vertical="center"/>
    </xf>
    <xf numFmtId="0" fontId="112" fillId="33" borderId="0" applyAlignment="1">
      <alignment vertical="center"/>
    </xf>
    <xf numFmtId="0" fontId="111" fillId="34" borderId="0" applyAlignment="1">
      <alignment vertical="center"/>
    </xf>
    <xf numFmtId="0" fontId="111" fillId="35" borderId="0" applyAlignment="1">
      <alignment vertical="center"/>
    </xf>
    <xf numFmtId="0" fontId="112" fillId="36" borderId="0" applyAlignment="1">
      <alignment vertical="center"/>
    </xf>
    <xf numFmtId="0" fontId="112" fillId="37" borderId="0" applyAlignment="1">
      <alignment vertical="center"/>
    </xf>
    <xf numFmtId="0" fontId="111" fillId="38" borderId="0" applyAlignment="1">
      <alignment vertical="center"/>
    </xf>
    <xf numFmtId="0" fontId="111" fillId="18" borderId="0" applyAlignment="1">
      <alignment vertical="center"/>
    </xf>
    <xf numFmtId="0" fontId="112" fillId="39" borderId="0" applyAlignment="1">
      <alignment vertical="center"/>
    </xf>
    <xf numFmtId="0" fontId="112" fillId="40" borderId="0" applyAlignment="1">
      <alignment vertical="center"/>
    </xf>
    <xf numFmtId="0" fontId="111" fillId="41" borderId="0" applyAlignment="1">
      <alignment vertical="center"/>
    </xf>
    <xf numFmtId="0" fontId="111" fillId="9" borderId="0" applyAlignment="1">
      <alignment vertical="center"/>
    </xf>
    <xf numFmtId="0" fontId="112" fillId="42" borderId="0" applyAlignment="1">
      <alignment vertical="center"/>
    </xf>
    <xf numFmtId="0" fontId="112" fillId="43" borderId="0" applyAlignment="1">
      <alignment vertical="center"/>
    </xf>
    <xf numFmtId="0" fontId="111" fillId="44" borderId="0" applyAlignment="1">
      <alignment vertical="center"/>
    </xf>
    <xf numFmtId="0" fontId="111" fillId="45" borderId="0" applyAlignment="1">
      <alignment vertical="center"/>
    </xf>
    <xf numFmtId="0" fontId="112" fillId="46" borderId="0" applyAlignment="1">
      <alignment vertical="center"/>
    </xf>
    <xf numFmtId="0" fontId="112" fillId="47" borderId="0" applyAlignment="1">
      <alignment vertical="center"/>
    </xf>
    <xf numFmtId="0" fontId="111" fillId="48" borderId="0" applyAlignment="1">
      <alignment vertical="center"/>
    </xf>
    <xf numFmtId="164" fontId="6" fillId="0" borderId="0"/>
    <xf numFmtId="164" fontId="113" fillId="0" borderId="0"/>
    <xf numFmtId="164" fontId="0" fillId="49" borderId="0" applyAlignment="1">
      <alignment vertical="center"/>
    </xf>
    <xf numFmtId="164" fontId="0" fillId="50" borderId="0" applyAlignment="1">
      <alignment vertical="center"/>
    </xf>
    <xf numFmtId="164" fontId="0" fillId="51" borderId="0" applyAlignment="1">
      <alignment vertical="center"/>
    </xf>
    <xf numFmtId="164" fontId="0" fillId="52" borderId="0" applyAlignment="1">
      <alignment vertical="center"/>
    </xf>
    <xf numFmtId="164" fontId="0" fillId="53" borderId="0" applyAlignment="1">
      <alignment vertical="center"/>
    </xf>
    <xf numFmtId="164" fontId="0" fillId="54" borderId="0" applyAlignment="1">
      <alignment vertical="center"/>
    </xf>
    <xf numFmtId="164" fontId="0" fillId="29" borderId="0" applyAlignment="1">
      <alignment vertical="center"/>
    </xf>
    <xf numFmtId="164" fontId="0" fillId="33" borderId="0" applyAlignment="1">
      <alignment vertical="center"/>
    </xf>
    <xf numFmtId="164" fontId="0" fillId="37" borderId="0" applyAlignment="1">
      <alignment vertical="center"/>
    </xf>
    <xf numFmtId="164" fontId="0" fillId="40" borderId="0" applyAlignment="1">
      <alignment vertical="center"/>
    </xf>
    <xf numFmtId="164" fontId="0" fillId="43" borderId="0" applyAlignment="1">
      <alignment vertical="center"/>
    </xf>
    <xf numFmtId="164" fontId="0" fillId="47" borderId="0" applyAlignment="1">
      <alignment vertical="center"/>
    </xf>
    <xf numFmtId="164" fontId="114" fillId="55" borderId="0" applyAlignment="1">
      <alignment vertical="center"/>
    </xf>
    <xf numFmtId="164" fontId="114" fillId="8" borderId="0" applyAlignment="1">
      <alignment vertical="center"/>
    </xf>
    <xf numFmtId="164" fontId="114" fillId="56" borderId="0" applyAlignment="1">
      <alignment vertical="center"/>
    </xf>
    <xf numFmtId="164" fontId="114" fillId="57" borderId="0" applyAlignment="1">
      <alignment vertical="center"/>
    </xf>
    <xf numFmtId="164" fontId="114" fillId="58" borderId="0" applyAlignment="1">
      <alignment vertical="center"/>
    </xf>
    <xf numFmtId="164" fontId="114" fillId="59" borderId="0" applyAlignment="1">
      <alignment vertical="center"/>
    </xf>
    <xf numFmtId="0" fontId="0" fillId="0" borderId="0" applyAlignment="1">
      <alignment vertical="center"/>
    </xf>
    <xf numFmtId="49" fontId="115" fillId="0" borderId="0" applyAlignment="1">
      <alignment horizontal="left"/>
    </xf>
    <xf numFmtId="182" fontId="115" fillId="0" borderId="0" applyAlignment="1">
      <alignment horizontal="left"/>
    </xf>
    <xf numFmtId="164" fontId="115" fillId="0" borderId="0" applyAlignment="1">
      <alignment horizontal="right"/>
    </xf>
    <xf numFmtId="9" fontId="33" fillId="0" borderId="0" applyAlignment="1">
      <alignment vertical="center"/>
    </xf>
    <xf numFmtId="9" fontId="116" fillId="0" borderId="0"/>
    <xf numFmtId="164" fontId="99" fillId="0" borderId="25" applyAlignment="1">
      <alignment vertical="center"/>
    </xf>
    <xf numFmtId="164" fontId="100" fillId="0" borderId="26" applyAlignment="1">
      <alignment vertical="center"/>
    </xf>
    <xf numFmtId="164" fontId="101" fillId="0" borderId="27" applyAlignment="1">
      <alignment vertical="center"/>
    </xf>
    <xf numFmtId="164" fontId="101" fillId="0" borderId="0" applyAlignment="1">
      <alignment vertical="center"/>
    </xf>
    <xf numFmtId="164" fontId="117" fillId="0" borderId="0" applyAlignment="1">
      <alignment vertical="center"/>
    </xf>
    <xf numFmtId="164" fontId="118" fillId="25" borderId="0" applyAlignment="1">
      <alignment vertical="center"/>
    </xf>
    <xf numFmtId="164" fontId="33" fillId="0" borderId="0" applyAlignment="1">
      <alignment vertical="center"/>
    </xf>
    <xf numFmtId="164" fontId="119" fillId="0" borderId="0" applyAlignment="1">
      <alignment vertical="center"/>
    </xf>
    <xf numFmtId="164" fontId="9" fillId="0" borderId="0"/>
    <xf numFmtId="164" fontId="0" fillId="0" borderId="0" applyAlignment="1">
      <alignment vertical="center"/>
    </xf>
    <xf numFmtId="164" fontId="0" fillId="0" borderId="0"/>
    <xf numFmtId="164" fontId="120" fillId="0" borderId="0" applyAlignment="1">
      <alignment vertical="center"/>
    </xf>
    <xf numFmtId="164" fontId="121" fillId="24" borderId="0" applyAlignment="1">
      <alignment vertical="center"/>
    </xf>
    <xf numFmtId="164" fontId="8" fillId="0" borderId="24" applyAlignment="1">
      <alignment vertical="center"/>
    </xf>
    <xf numFmtId="164" fontId="122" fillId="22" borderId="20" applyAlignment="1">
      <alignment vertical="center"/>
    </xf>
    <xf numFmtId="164" fontId="123" fillId="23" borderId="22" applyAlignment="1">
      <alignment vertical="center"/>
    </xf>
    <xf numFmtId="164" fontId="124" fillId="0" borderId="0" applyAlignment="1">
      <alignment vertical="center"/>
    </xf>
    <xf numFmtId="164" fontId="54" fillId="0" borderId="0" applyAlignment="1">
      <alignment vertical="center"/>
    </xf>
    <xf numFmtId="164" fontId="125" fillId="0" borderId="23" applyAlignment="1">
      <alignment vertical="center"/>
    </xf>
    <xf numFmtId="183" fontId="116" fillId="0" borderId="0"/>
    <xf numFmtId="43" fontId="6" fillId="0" borderId="0" applyAlignment="1">
      <alignment vertical="center"/>
    </xf>
    <xf numFmtId="164" fontId="126" fillId="26" borderId="0" applyAlignment="1">
      <alignment vertical="center"/>
    </xf>
    <xf numFmtId="164" fontId="127" fillId="22" borderId="21" applyAlignment="1">
      <alignment vertical="center"/>
    </xf>
    <xf numFmtId="164" fontId="128" fillId="21" borderId="20" applyAlignment="1">
      <alignment vertical="center"/>
    </xf>
    <xf numFmtId="164" fontId="116" fillId="0" borderId="0"/>
    <xf numFmtId="9" fontId="9" fillId="0" borderId="0"/>
    <xf numFmtId="164" fontId="114" fillId="27" borderId="0" applyAlignment="1">
      <alignment vertical="center"/>
    </xf>
    <xf numFmtId="164" fontId="114" fillId="31" borderId="0" applyAlignment="1">
      <alignment vertical="center"/>
    </xf>
    <xf numFmtId="164" fontId="114" fillId="35" borderId="0" applyAlignment="1">
      <alignment vertical="center"/>
    </xf>
    <xf numFmtId="164" fontId="114" fillId="18" borderId="0" applyAlignment="1">
      <alignment vertical="center"/>
    </xf>
    <xf numFmtId="164" fontId="114" fillId="9" borderId="0" applyAlignment="1">
      <alignment vertical="center"/>
    </xf>
    <xf numFmtId="164" fontId="114" fillId="45" borderId="0" applyAlignment="1">
      <alignment vertical="center"/>
    </xf>
    <xf numFmtId="164" fontId="0" fillId="20" borderId="17" applyAlignment="1">
      <alignment vertical="center"/>
    </xf>
    <xf numFmtId="184" fontId="0" fillId="0" borderId="0" applyAlignment="1">
      <alignment vertical="center"/>
    </xf>
    <xf numFmtId="164" fontId="44" fillId="0" borderId="0" applyAlignment="1">
      <alignment vertical="center"/>
    </xf>
    <xf numFmtId="0" fontId="9" fillId="0" borderId="1"/>
  </cellStyleXfs>
  <cellXfs count="952"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2" borderId="0" applyAlignment="1" pivotButton="0" quotePrefix="0" xfId="0">
      <alignment horizontal="center"/>
    </xf>
    <xf numFmtId="164" fontId="7" fillId="0" borderId="0" pivotButton="0" quotePrefix="0" xfId="0"/>
    <xf numFmtId="0" fontId="7" fillId="0" borderId="0" pivotButton="0" quotePrefix="0" xfId="0"/>
    <xf numFmtId="49" fontId="2" fillId="2" borderId="0" pivotButton="0" quotePrefix="0" xfId="0"/>
    <xf numFmtId="168" fontId="7" fillId="0" borderId="0" pivotButton="0" quotePrefix="0" xfId="0"/>
    <xf numFmtId="49" fontId="2" fillId="2" borderId="0" applyAlignment="1" pivotButton="0" quotePrefix="0" xfId="0">
      <alignment wrapText="1"/>
    </xf>
    <xf numFmtId="167" fontId="0" fillId="0" borderId="0" pivotButton="0" quotePrefix="0" xfId="0"/>
    <xf numFmtId="49" fontId="2" fillId="2" borderId="0" applyAlignment="1" pivotButton="0" quotePrefix="0" xfId="0">
      <alignment horizontal="center" vertical="center"/>
    </xf>
    <xf numFmtId="49" fontId="2" fillId="2" borderId="0" applyAlignment="1" pivotButton="0" quotePrefix="0" xfId="0">
      <alignment vertical="center"/>
    </xf>
    <xf numFmtId="49" fontId="2" fillId="3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left" vertical="center"/>
    </xf>
    <xf numFmtId="167" fontId="0" fillId="3" borderId="0" pivotButton="0" quotePrefix="0" xfId="0"/>
    <xf numFmtId="0" fontId="2" fillId="3" borderId="0" applyAlignment="1" pivotButton="0" quotePrefix="0" xfId="0">
      <alignment horizontal="center" vertical="center"/>
    </xf>
    <xf numFmtId="169" fontId="0" fillId="3" borderId="0" pivotButton="0" quotePrefix="0" xfId="0"/>
    <xf numFmtId="164" fontId="8" fillId="4" borderId="0" pivotButton="0" quotePrefix="0" xfId="0"/>
    <xf numFmtId="0" fontId="0" fillId="0" borderId="0" applyAlignment="1" pivotButton="0" quotePrefix="0" xfId="0">
      <alignment horizontal="left"/>
    </xf>
    <xf numFmtId="0" fontId="9" fillId="0" borderId="0" applyAlignment="1" pivotButton="0" quotePrefix="0" xfId="110">
      <alignment horizontal="left" shrinkToFit="1"/>
    </xf>
    <xf numFmtId="49" fontId="1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165" fontId="12" fillId="0" borderId="0" pivotButton="0" quotePrefix="0" xfId="0"/>
    <xf numFmtId="0" fontId="14" fillId="0" borderId="1" applyAlignment="1" pivotButton="0" quotePrefix="0" xfId="0">
      <alignment horizontal="center"/>
    </xf>
    <xf numFmtId="165" fontId="14" fillId="0" borderId="1" applyAlignment="1" pivotButton="0" quotePrefix="0" xfId="1">
      <alignment horizontal="center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5" fontId="12" fillId="0" borderId="1" pivotButton="0" quotePrefix="0" xfId="0"/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5" fontId="13" fillId="0" borderId="1" pivotButton="0" quotePrefix="0" xfId="0"/>
    <xf numFmtId="0" fontId="15" fillId="0" borderId="1" pivotButton="0" quotePrefix="0" xfId="0"/>
    <xf numFmtId="0" fontId="16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164" fontId="18" fillId="0" borderId="1" pivotButton="0" quotePrefix="0" xfId="0"/>
    <xf numFmtId="0" fontId="0" fillId="0" borderId="0" pivotButton="0" quotePrefix="0" xfId="0"/>
    <xf numFmtId="170" fontId="0" fillId="0" borderId="0" applyAlignment="1" pivotButton="0" quotePrefix="0" xfId="0">
      <alignment horizontal="right"/>
    </xf>
    <xf numFmtId="49" fontId="0" fillId="0" borderId="0" pivotButton="0" quotePrefix="0" xfId="0"/>
    <xf numFmtId="170" fontId="3" fillId="0" borderId="1" applyAlignment="1" pivotButton="0" quotePrefix="0" xfId="0">
      <alignment horizontal="right" vertical="center" wrapText="1"/>
    </xf>
    <xf numFmtId="166" fontId="19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/>
    </xf>
    <xf numFmtId="170" fontId="19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49" fontId="2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164" fontId="18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2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0" fillId="0" borderId="0" pivotButton="0" quotePrefix="0" xfId="0"/>
    <xf numFmtId="164" fontId="0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9" fontId="20" fillId="0" borderId="0" applyAlignment="1" pivotButton="0" quotePrefix="0" xfId="0">
      <alignment horizontal="left" vertical="center"/>
    </xf>
    <xf numFmtId="49" fontId="22" fillId="0" borderId="0" applyAlignment="1" pivotButton="0" quotePrefix="0" xfId="0">
      <alignment horizontal="left" vertical="center"/>
    </xf>
    <xf numFmtId="171" fontId="23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/>
    </xf>
    <xf numFmtId="171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167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168" fontId="7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 wrapText="1"/>
    </xf>
    <xf numFmtId="167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169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0" fontId="9" fillId="0" borderId="0" applyAlignment="1" pivotButton="0" quotePrefix="0" xfId="110">
      <alignment horizontal="left"/>
    </xf>
    <xf numFmtId="172" fontId="0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left"/>
    </xf>
    <xf numFmtId="164" fontId="7" fillId="0" borderId="0" pivotButton="0" quotePrefix="0" xfId="0"/>
    <xf numFmtId="0" fontId="0" fillId="0" borderId="0" applyAlignment="1" pivotButton="0" quotePrefix="0" xfId="0">
      <alignment horizontal="left" shrinkToFit="1"/>
    </xf>
    <xf numFmtId="0" fontId="10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left" vertical="center"/>
    </xf>
    <xf numFmtId="14" fontId="21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left" vertical="center" wrapText="1"/>
    </xf>
    <xf numFmtId="0" fontId="28" fillId="0" borderId="0" applyAlignment="1" pivotButton="0" quotePrefix="0" xfId="110">
      <alignment horizontal="left" shrinkToFit="1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left"/>
    </xf>
    <xf numFmtId="165" fontId="2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49" fontId="24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/>
    </xf>
    <xf numFmtId="171" fontId="15" fillId="0" borderId="1" applyAlignment="1" pivotButton="0" quotePrefix="0" xfId="0">
      <alignment horizontal="center" vertical="center"/>
    </xf>
    <xf numFmtId="0" fontId="30" fillId="0" borderId="2" applyAlignment="1" applyProtection="1" pivotButton="0" quotePrefix="0" xfId="0">
      <alignment horizontal="left"/>
      <protection locked="0" hidden="0"/>
    </xf>
    <xf numFmtId="0" fontId="30" fillId="0" borderId="3" applyAlignment="1" applyProtection="1" pivotButton="0" quotePrefix="0" xfId="0">
      <alignment horizontal="left"/>
      <protection locked="0" hidden="0"/>
    </xf>
    <xf numFmtId="171" fontId="15" fillId="0" borderId="1" applyAlignment="1" pivotButton="0" quotePrefix="0" xfId="0">
      <alignment horizontal="left" vertical="center"/>
    </xf>
    <xf numFmtId="165" fontId="31" fillId="0" borderId="4" pivotButton="0" quotePrefix="0" xfId="0"/>
    <xf numFmtId="165" fontId="31" fillId="0" borderId="4" applyAlignment="1" pivotButton="0" quotePrefix="0" xfId="0">
      <alignment horizontal="left"/>
    </xf>
    <xf numFmtId="164" fontId="29" fillId="0" borderId="0" pivotButton="0" quotePrefix="0" xfId="0"/>
    <xf numFmtId="49" fontId="0" fillId="0" borderId="0" applyAlignment="1" pivotButton="0" quotePrefix="0" xfId="0">
      <alignment horizontal="left"/>
    </xf>
    <xf numFmtId="49" fontId="19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/>
    </xf>
    <xf numFmtId="171" fontId="15" fillId="0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166" fontId="6" fillId="2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 wrapText="1"/>
    </xf>
    <xf numFmtId="0" fontId="9" fillId="2" borderId="0" applyAlignment="1" pivotButton="0" quotePrefix="0" xfId="110">
      <alignment horizontal="left" shrinkToFit="1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/>
    </xf>
    <xf numFmtId="49" fontId="10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165" fontId="12" fillId="2" borderId="1" pivotButton="0" quotePrefix="0" xfId="0"/>
    <xf numFmtId="0" fontId="0" fillId="0" borderId="0" applyAlignment="1" pivotButton="0" quotePrefix="0" xfId="0">
      <alignment vertical="center"/>
    </xf>
    <xf numFmtId="0" fontId="11" fillId="2" borderId="0" pivotButton="0" quotePrefix="0" xfId="0"/>
    <xf numFmtId="173" fontId="0" fillId="0" borderId="0" applyAlignment="1" pivotButton="0" quotePrefix="0" xfId="0">
      <alignment vertical="center"/>
    </xf>
    <xf numFmtId="0" fontId="0" fillId="0" borderId="0" pivotButton="0" quotePrefix="0" xfId="0"/>
    <xf numFmtId="166" fontId="0" fillId="0" borderId="0" pivotButton="0" quotePrefix="0" xfId="0"/>
    <xf numFmtId="0" fontId="24" fillId="0" borderId="0" pivotButton="0" quotePrefix="0" xfId="0"/>
    <xf numFmtId="164" fontId="32" fillId="0" borderId="0" pivotButton="0" quotePrefix="0" xfId="0"/>
    <xf numFmtId="164" fontId="32" fillId="0" borderId="0" pivotButton="0" quotePrefix="0" xfId="0"/>
    <xf numFmtId="0" fontId="0" fillId="0" borderId="1" applyAlignment="1" pivotButton="0" quotePrefix="0" xfId="0">
      <alignment vertical="center"/>
    </xf>
    <xf numFmtId="0" fontId="29" fillId="0" borderId="0" pivotButton="0" quotePrefix="0" xfId="0"/>
    <xf numFmtId="0" fontId="17" fillId="0" borderId="0" applyAlignment="1" pivotButton="0" quotePrefix="0" xfId="0">
      <alignment vertical="center"/>
    </xf>
    <xf numFmtId="165" fontId="31" fillId="0" borderId="4" pivotButton="0" quotePrefix="0" xfId="0"/>
    <xf numFmtId="0" fontId="32" fillId="0" borderId="0" applyAlignment="1" pivotButton="0" quotePrefix="0" xfId="0">
      <alignment vertical="center"/>
    </xf>
    <xf numFmtId="0" fontId="30" fillId="5" borderId="2" applyProtection="1" pivotButton="0" quotePrefix="0" xfId="0">
      <protection locked="0" hidden="0"/>
    </xf>
    <xf numFmtId="14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4" fontId="0" fillId="0" borderId="6" applyAlignment="1" pivotButton="0" quotePrefix="0" xfId="0">
      <alignment vertical="center"/>
    </xf>
    <xf numFmtId="165" fontId="31" fillId="0" borderId="1" pivotButton="0" quotePrefix="0" xfId="0"/>
    <xf numFmtId="165" fontId="31" fillId="0" borderId="5" pivotButton="0" quotePrefix="0" xfId="0"/>
    <xf numFmtId="14" fontId="0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5" fontId="13" fillId="0" borderId="4" pivotButton="0" quotePrefix="0" xfId="0"/>
    <xf numFmtId="166" fontId="0" fillId="0" borderId="1" pivotButton="0" quotePrefix="0" xfId="0"/>
    <xf numFmtId="0" fontId="17" fillId="0" borderId="7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30" fillId="5" borderId="3" applyProtection="1" pivotButton="0" quotePrefix="0" xfId="0">
      <protection locked="0" hidden="0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17" fillId="0" borderId="0" applyAlignment="1" pivotButton="0" quotePrefix="0" xfId="0">
      <alignment vertical="center"/>
    </xf>
    <xf numFmtId="164" fontId="32" fillId="0" borderId="0" pivotButton="0" quotePrefix="0" xfId="0"/>
    <xf numFmtId="0" fontId="17" fillId="0" borderId="0" pivotButton="0" quotePrefix="0" xfId="0"/>
    <xf numFmtId="0" fontId="35" fillId="0" borderId="0" pivotButton="0" quotePrefix="0" xfId="0"/>
    <xf numFmtId="3" fontId="0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 wrapText="1"/>
    </xf>
    <xf numFmtId="164" fontId="36" fillId="0" borderId="0" pivotButton="0" quotePrefix="0" xfId="0"/>
    <xf numFmtId="164" fontId="37" fillId="0" borderId="0" pivotButton="0" quotePrefix="0" xfId="0"/>
    <xf numFmtId="164" fontId="38" fillId="0" borderId="0" pivotButton="0" quotePrefix="0" xfId="0"/>
    <xf numFmtId="164" fontId="39" fillId="0" borderId="0" pivotButton="0" quotePrefix="0" xfId="0"/>
    <xf numFmtId="165" fontId="12" fillId="0" borderId="1" pivotButton="0" quotePrefix="0" xfId="0"/>
    <xf numFmtId="0" fontId="0" fillId="0" borderId="8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9" fillId="0" borderId="0" pivotButton="0" quotePrefix="0" xfId="0"/>
    <xf numFmtId="0" fontId="35" fillId="0" borderId="0" pivotButton="0" quotePrefix="0" xfId="0"/>
    <xf numFmtId="164" fontId="40" fillId="0" borderId="0" pivotButton="0" quotePrefix="0" xfId="0"/>
    <xf numFmtId="164" fontId="0" fillId="0" borderId="0" pivotButton="0" quotePrefix="0" xfId="0"/>
    <xf numFmtId="164" fontId="41" fillId="0" borderId="0" pivotButton="0" quotePrefix="0" xfId="0"/>
    <xf numFmtId="164" fontId="42" fillId="0" borderId="0" pivotButton="0" quotePrefix="0" xfId="0"/>
    <xf numFmtId="164" fontId="43" fillId="0" borderId="0" pivotButton="0" quotePrefix="0" xfId="0"/>
    <xf numFmtId="14" fontId="0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/>
    </xf>
    <xf numFmtId="165" fontId="31" fillId="0" borderId="4" pivotButton="0" quotePrefix="0" xfId="0"/>
    <xf numFmtId="165" fontId="31" fillId="0" borderId="7" pivotButton="0" quotePrefix="0" xfId="0"/>
    <xf numFmtId="164" fontId="44" fillId="0" borderId="0" applyAlignment="1" pivotButton="0" quotePrefix="0" xfId="0">
      <alignment vertical="center"/>
    </xf>
    <xf numFmtId="164" fontId="0" fillId="0" borderId="0" pivotButton="0" quotePrefix="0" xfId="0"/>
    <xf numFmtId="164" fontId="0" fillId="6" borderId="0" applyAlignment="1" pivotButton="0" quotePrefix="0" xfId="0">
      <alignment vertical="center"/>
    </xf>
    <xf numFmtId="164" fontId="0" fillId="0" borderId="1" pivotButton="0" quotePrefix="0" xfId="0"/>
    <xf numFmtId="164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  <xf numFmtId="164" fontId="0" fillId="7" borderId="0" applyAlignment="1" pivotButton="0" quotePrefix="0" xfId="0">
      <alignment horizontal="left" vertical="center"/>
    </xf>
    <xf numFmtId="164" fontId="0" fillId="8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4" fontId="0" fillId="0" borderId="0" applyAlignment="1" pivotButton="0" quotePrefix="0" xfId="0">
      <alignment horizontal="center" vertical="center"/>
    </xf>
    <xf numFmtId="164" fontId="45" fillId="9" borderId="1" applyAlignment="1" pivotButton="0" quotePrefix="0" xfId="0">
      <alignment horizontal="left" vertical="center"/>
    </xf>
    <xf numFmtId="164" fontId="46" fillId="7" borderId="1" applyAlignment="1" pivotButton="0" quotePrefix="0" xfId="0">
      <alignment horizontal="left" vertical="center"/>
    </xf>
    <xf numFmtId="164" fontId="46" fillId="8" borderId="1" applyAlignment="1" pivotButton="0" quotePrefix="0" xfId="0">
      <alignment horizontal="left" vertical="center"/>
    </xf>
    <xf numFmtId="164" fontId="44" fillId="8" borderId="1" applyAlignment="1" pivotButton="0" quotePrefix="0" xfId="0">
      <alignment horizontal="left" vertical="center"/>
    </xf>
    <xf numFmtId="164" fontId="45" fillId="9" borderId="1" applyAlignment="1" pivotButton="0" quotePrefix="0" xfId="0">
      <alignment horizontal="center" vertical="center"/>
    </xf>
    <xf numFmtId="174" fontId="45" fillId="9" borderId="1" applyAlignment="1" pivotButton="0" quotePrefix="0" xfId="0">
      <alignment horizontal="center" vertical="center"/>
    </xf>
    <xf numFmtId="164" fontId="45" fillId="9" borderId="9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 wrapText="1"/>
    </xf>
    <xf numFmtId="164" fontId="47" fillId="0" borderId="1" applyAlignment="1" pivotButton="0" quotePrefix="0" xfId="0">
      <alignment horizontal="left" vertical="center"/>
    </xf>
    <xf numFmtId="164" fontId="47" fillId="7" borderId="1" applyAlignment="1" pivotButton="0" quotePrefix="0" xfId="0">
      <alignment horizontal="left" vertical="center"/>
    </xf>
    <xf numFmtId="164" fontId="47" fillId="8" borderId="1" applyAlignment="1" pivotButton="0" quotePrefix="0" xfId="0">
      <alignment horizontal="left" vertical="center"/>
    </xf>
    <xf numFmtId="174" fontId="47" fillId="0" borderId="1" applyAlignment="1" pivotButton="0" quotePrefix="0" xfId="0">
      <alignment horizontal="center" vertical="center"/>
    </xf>
    <xf numFmtId="164" fontId="47" fillId="0" borderId="1" applyAlignment="1" pivotButton="0" quotePrefix="0" xfId="0">
      <alignment horizontal="center" vertical="center"/>
    </xf>
    <xf numFmtId="164" fontId="48" fillId="0" borderId="1" applyAlignment="1" pivotButton="0" quotePrefix="0" xfId="0">
      <alignment horizontal="left" vertical="center"/>
    </xf>
    <xf numFmtId="164" fontId="48" fillId="7" borderId="1" applyAlignment="1" pivotButton="0" quotePrefix="0" xfId="0">
      <alignment horizontal="left" vertical="center"/>
    </xf>
    <xf numFmtId="164" fontId="44" fillId="0" borderId="1" applyAlignment="1" pivotButton="0" quotePrefix="0" xfId="0">
      <alignment horizontal="left" vertical="center"/>
    </xf>
    <xf numFmtId="164" fontId="44" fillId="0" borderId="1" applyAlignment="1" pivotButton="0" quotePrefix="0" xfId="0">
      <alignment horizontal="center" vertical="center"/>
    </xf>
    <xf numFmtId="164" fontId="49" fillId="0" borderId="0" applyAlignment="1" pivotButton="0" quotePrefix="0" xfId="0">
      <alignment vertical="center"/>
    </xf>
    <xf numFmtId="164" fontId="0" fillId="2" borderId="1" applyAlignment="1" pivotButton="0" quotePrefix="0" xfId="0">
      <alignment horizontal="left" vertical="center"/>
    </xf>
    <xf numFmtId="164" fontId="50" fillId="7" borderId="1" applyAlignment="1" pivotButton="0" quotePrefix="0" xfId="0">
      <alignment vertical="center"/>
    </xf>
    <xf numFmtId="164" fontId="50" fillId="10" borderId="1" applyAlignment="1" pivotButton="0" quotePrefix="0" xfId="0">
      <alignment vertical="center"/>
    </xf>
    <xf numFmtId="164" fontId="50" fillId="11" borderId="1" applyAlignment="1" pivotButton="0" quotePrefix="0" xfId="0">
      <alignment vertical="center"/>
    </xf>
    <xf numFmtId="164" fontId="51" fillId="11" borderId="1" applyAlignment="1" pivotButton="0" quotePrefix="0" xfId="0">
      <alignment vertical="center"/>
    </xf>
    <xf numFmtId="164" fontId="52" fillId="11" borderId="1" applyAlignment="1" pivotButton="0" quotePrefix="0" xfId="0">
      <alignment vertical="center"/>
    </xf>
    <xf numFmtId="164" fontId="51" fillId="11" borderId="1" applyAlignment="1" pivotButton="0" quotePrefix="0" xfId="0">
      <alignment horizontal="center" vertical="center"/>
    </xf>
    <xf numFmtId="174" fontId="51" fillId="11" borderId="1" applyAlignment="1" pivotButton="0" quotePrefix="0" xfId="0">
      <alignment horizontal="center" vertical="center"/>
    </xf>
    <xf numFmtId="164" fontId="50" fillId="11" borderId="10" applyAlignment="1" pivotButton="0" quotePrefix="0" xfId="0">
      <alignment vertical="center"/>
    </xf>
    <xf numFmtId="164" fontId="10" fillId="11" borderId="10" applyAlignment="1" pivotButton="0" quotePrefix="0" xfId="0">
      <alignment vertical="center"/>
    </xf>
    <xf numFmtId="164" fontId="53" fillId="11" borderId="10" applyAlignment="1" pivotButton="0" quotePrefix="0" xfId="0">
      <alignment vertical="center"/>
    </xf>
    <xf numFmtId="164" fontId="10" fillId="11" borderId="10" applyAlignment="1" pivotButton="0" quotePrefix="0" xfId="0">
      <alignment horizontal="center" vertical="center"/>
    </xf>
    <xf numFmtId="174" fontId="10" fillId="11" borderId="10" applyAlignment="1" pivotButton="0" quotePrefix="0" xfId="0">
      <alignment horizontal="center" vertical="center"/>
    </xf>
    <xf numFmtId="164" fontId="10" fillId="11" borderId="11" applyAlignment="1" pivotButton="0" quotePrefix="0" xfId="0">
      <alignment vertical="center"/>
    </xf>
    <xf numFmtId="164" fontId="47" fillId="0" borderId="1" applyAlignment="1" pivotButton="0" quotePrefix="0" xfId="0">
      <alignment vertical="center"/>
    </xf>
    <xf numFmtId="164" fontId="44" fillId="0" borderId="1" applyAlignment="1" pivotButton="0" quotePrefix="0" xfId="0">
      <alignment vertical="center"/>
    </xf>
    <xf numFmtId="164" fontId="44" fillId="0" borderId="0" applyAlignment="1" pivotButton="0" quotePrefix="0" xfId="0">
      <alignment horizontal="left" vertical="center"/>
    </xf>
    <xf numFmtId="164" fontId="44" fillId="7" borderId="1" applyAlignment="1" pivotButton="0" quotePrefix="0" xfId="0">
      <alignment horizontal="left" vertical="center"/>
    </xf>
    <xf numFmtId="174" fontId="44" fillId="0" borderId="1" applyAlignment="1" pivotButton="0" quotePrefix="0" xfId="0">
      <alignment horizontal="center" vertical="center"/>
    </xf>
    <xf numFmtId="164" fontId="54" fillId="7" borderId="1" applyAlignment="1" pivotButton="0" quotePrefix="0" xfId="0">
      <alignment horizontal="left" vertical="center"/>
    </xf>
    <xf numFmtId="164" fontId="48" fillId="8" borderId="1" applyAlignment="1" pivotButton="0" quotePrefix="0" xfId="0">
      <alignment horizontal="left" vertical="center"/>
    </xf>
    <xf numFmtId="164" fontId="0" fillId="0" borderId="12" applyAlignment="1" pivotButton="0" quotePrefix="0" xfId="0">
      <alignment vertical="center"/>
    </xf>
    <xf numFmtId="174" fontId="0" fillId="0" borderId="12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7" borderId="12" applyAlignment="1" pivotButton="0" quotePrefix="0" xfId="0">
      <alignment horizontal="left" vertical="center"/>
    </xf>
    <xf numFmtId="164" fontId="0" fillId="8" borderId="12" applyAlignment="1" pivotButton="0" quotePrefix="0" xfId="0">
      <alignment horizontal="left" vertical="center"/>
    </xf>
    <xf numFmtId="164" fontId="0" fillId="0" borderId="12" applyAlignment="1" pivotButton="0" quotePrefix="0" xfId="0">
      <alignment horizontal="left" vertical="center"/>
    </xf>
    <xf numFmtId="164" fontId="55" fillId="0" borderId="1" applyAlignment="1" pivotButton="0" quotePrefix="0" xfId="0">
      <alignment vertical="center"/>
    </xf>
    <xf numFmtId="164" fontId="54" fillId="8" borderId="12" applyAlignment="1" pivotButton="0" quotePrefix="0" xfId="0">
      <alignment horizontal="left" vertical="center"/>
    </xf>
    <xf numFmtId="164" fontId="44" fillId="0" borderId="12" applyAlignment="1" pivotButton="0" quotePrefix="0" xfId="0">
      <alignment horizontal="left" vertical="center"/>
    </xf>
    <xf numFmtId="174" fontId="0" fillId="0" borderId="0" applyAlignment="1" pivotButton="0" quotePrefix="0" xfId="0">
      <alignment horizontal="center"/>
    </xf>
    <xf numFmtId="164" fontId="54" fillId="8" borderId="1" applyAlignment="1" pivotButton="0" quotePrefix="0" xfId="0">
      <alignment horizontal="left" vertical="center"/>
    </xf>
    <xf numFmtId="164" fontId="0" fillId="0" borderId="9" applyAlignment="1" pivotButton="0" quotePrefix="0" xfId="0">
      <alignment vertical="center"/>
    </xf>
    <xf numFmtId="164" fontId="0" fillId="6" borderId="1" pivotButton="0" quotePrefix="0" xfId="0"/>
    <xf numFmtId="164" fontId="0" fillId="6" borderId="1" applyAlignment="1" pivotButton="0" quotePrefix="0" xfId="0">
      <alignment horizontal="left" vertical="center"/>
    </xf>
    <xf numFmtId="164" fontId="55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74" fontId="0" fillId="6" borderId="1" applyAlignment="1" pivotButton="0" quotePrefix="0" xfId="0">
      <alignment horizontal="center" vertical="center"/>
    </xf>
    <xf numFmtId="164" fontId="0" fillId="7" borderId="1" pivotButton="0" quotePrefix="0" xfId="0"/>
    <xf numFmtId="174" fontId="0" fillId="0" borderId="1" applyAlignment="1" pivotButton="0" quotePrefix="0" xfId="0">
      <alignment horizontal="center"/>
    </xf>
    <xf numFmtId="164" fontId="0" fillId="6" borderId="0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9" fillId="0" borderId="13" applyAlignment="1" pivotButton="0" quotePrefix="0" xfId="0">
      <alignment horizontal="center" vertical="center"/>
    </xf>
    <xf numFmtId="164" fontId="56" fillId="0" borderId="0" pivotButton="0" quotePrefix="0" xfId="0"/>
    <xf numFmtId="164" fontId="18" fillId="2" borderId="0" pivotButton="0" quotePrefix="0" xfId="0"/>
    <xf numFmtId="164" fontId="57" fillId="0" borderId="0" pivotButton="0" quotePrefix="0" xfId="0"/>
    <xf numFmtId="164" fontId="58" fillId="0" borderId="0" pivotButton="0" quotePrefix="0" xfId="0"/>
    <xf numFmtId="164" fontId="0" fillId="0" borderId="0" pivotButton="0" quotePrefix="0" xfId="0"/>
    <xf numFmtId="164" fontId="18" fillId="0" borderId="0" pivotButton="0" quotePrefix="0" xfId="0"/>
    <xf numFmtId="164" fontId="18" fillId="0" borderId="0" pivotButton="0" quotePrefix="0" xfId="0"/>
    <xf numFmtId="164" fontId="59" fillId="0" borderId="0" pivotButton="0" quotePrefix="0" xfId="0"/>
    <xf numFmtId="166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vertical="center"/>
    </xf>
    <xf numFmtId="165" fontId="19" fillId="0" borderId="0" applyAlignment="1" pivotButton="0" quotePrefix="0" xfId="0">
      <alignment horizontal="center" vertical="center"/>
    </xf>
    <xf numFmtId="49" fontId="18" fillId="0" borderId="0" pivotButton="0" quotePrefix="0" xfId="0"/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 wrapText="1"/>
    </xf>
    <xf numFmtId="175" fontId="60" fillId="2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75" fontId="60" fillId="0" borderId="0" applyAlignment="1" pivotButton="0" quotePrefix="0" xfId="0">
      <alignment horizontal="center"/>
    </xf>
    <xf numFmtId="0" fontId="18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49" fontId="20" fillId="2" borderId="0" applyAlignment="1" pivotButton="0" quotePrefix="0" xfId="0">
      <alignment horizontal="center" vertical="center"/>
    </xf>
    <xf numFmtId="49" fontId="22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 wrapText="1"/>
    </xf>
    <xf numFmtId="49" fontId="61" fillId="0" borderId="0" applyAlignment="1" pivotButton="0" quotePrefix="0" xfId="0">
      <alignment vertical="center"/>
    </xf>
    <xf numFmtId="0" fontId="62" fillId="0" borderId="0" applyAlignment="1" pivotButton="0" quotePrefix="0" xfId="0">
      <alignment horizontal="center" vertical="center" wrapText="1"/>
    </xf>
    <xf numFmtId="166" fontId="63" fillId="0" borderId="0" applyAlignment="1" pivotButton="0" quotePrefix="0" xfId="0">
      <alignment horizontal="center" vertical="center"/>
    </xf>
    <xf numFmtId="164" fontId="64" fillId="0" borderId="0" applyAlignment="1" pivotButton="0" quotePrefix="0" xfId="0">
      <alignment horizontal="center" vertical="center" wrapText="1"/>
    </xf>
    <xf numFmtId="164" fontId="63" fillId="0" borderId="0" applyAlignment="1" pivotButton="0" quotePrefix="0" xfId="0">
      <alignment horizontal="center" vertical="center"/>
    </xf>
    <xf numFmtId="164" fontId="65" fillId="0" borderId="0" applyAlignment="1" pivotButton="0" quotePrefix="0" xfId="0">
      <alignment horizontal="center" vertical="center"/>
    </xf>
    <xf numFmtId="164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/>
    </xf>
    <xf numFmtId="49" fontId="66" fillId="2" borderId="0" applyAlignment="1" pivotButton="0" quotePrefix="0" xfId="0">
      <alignment horizontal="center" vertical="center"/>
    </xf>
    <xf numFmtId="49" fontId="67" fillId="0" borderId="0" applyAlignment="1" pivotButton="0" quotePrefix="0" xfId="0">
      <alignment vertical="center"/>
    </xf>
    <xf numFmtId="165" fontId="63" fillId="0" borderId="0" applyAlignment="1" pivotButton="0" quotePrefix="0" xfId="0">
      <alignment horizontal="center" vertical="center"/>
    </xf>
    <xf numFmtId="164" fontId="68" fillId="0" borderId="0" applyAlignment="1" pivotButton="0" quotePrefix="0" xfId="0">
      <alignment horizontal="center" vertical="center"/>
    </xf>
    <xf numFmtId="166" fontId="69" fillId="0" borderId="0" applyAlignment="1" pivotButton="0" quotePrefix="0" xfId="0">
      <alignment horizontal="center" vertical="center"/>
    </xf>
    <xf numFmtId="164" fontId="70" fillId="0" borderId="0" applyAlignment="1" pivotButton="0" quotePrefix="0" xfId="0">
      <alignment horizontal="center" vertical="center" wrapText="1"/>
    </xf>
    <xf numFmtId="164" fontId="69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49" fontId="71" fillId="0" borderId="0" applyAlignment="1" pivotButton="0" quotePrefix="0" xfId="0">
      <alignment horizontal="center" vertical="center"/>
    </xf>
    <xf numFmtId="49" fontId="72" fillId="0" borderId="0" applyAlignment="1" pivotButton="0" quotePrefix="0" xfId="0">
      <alignment vertical="center"/>
    </xf>
    <xf numFmtId="165" fontId="69" fillId="0" borderId="0" applyAlignment="1" pivotButton="0" quotePrefix="0" xfId="0">
      <alignment horizontal="center" vertical="center"/>
    </xf>
    <xf numFmtId="164" fontId="73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7" fontId="10" fillId="0" borderId="0" pivotButton="0" quotePrefix="0" xfId="0"/>
    <xf numFmtId="167" fontId="74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0" fontId="74" fillId="0" borderId="0" pivotButton="0" quotePrefix="0" xfId="0"/>
    <xf numFmtId="49" fontId="5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166" fontId="19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6" fontId="65" fillId="0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49" fontId="75" fillId="0" borderId="0" applyAlignment="1" pivotButton="0" quotePrefix="0" xfId="0">
      <alignment horizontal="center" vertical="center"/>
    </xf>
    <xf numFmtId="49" fontId="76" fillId="0" borderId="0" applyAlignment="1" pivotButton="0" quotePrefix="0" xfId="0">
      <alignment vertical="center"/>
    </xf>
    <xf numFmtId="165" fontId="65" fillId="0" borderId="0" applyAlignment="1" pivotButton="0" quotePrefix="0" xfId="0">
      <alignment horizontal="center" vertical="center"/>
    </xf>
    <xf numFmtId="49" fontId="77" fillId="0" borderId="0" applyAlignment="1" pivotButton="0" quotePrefix="0" xfId="0">
      <alignment horizontal="center" vertical="center"/>
    </xf>
    <xf numFmtId="164" fontId="77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24" fillId="0" borderId="0" applyAlignment="1" pivotButton="0" quotePrefix="0" xfId="0">
      <alignment horizontal="center" vertical="center"/>
    </xf>
    <xf numFmtId="167" fontId="78" fillId="0" borderId="0" pivotButton="0" quotePrefix="0" xfId="0"/>
    <xf numFmtId="0" fontId="19" fillId="0" borderId="1" applyAlignment="1" pivotButton="0" quotePrefix="0" xfId="0">
      <alignment horizontal="center" vertical="center"/>
    </xf>
    <xf numFmtId="49" fontId="22" fillId="0" borderId="1" applyAlignment="1" pivotButton="0" quotePrefix="0" xfId="0">
      <alignment vertical="center"/>
    </xf>
    <xf numFmtId="49" fontId="18" fillId="0" borderId="1" pivotButton="0" quotePrefix="0" xfId="0"/>
    <xf numFmtId="164" fontId="20" fillId="0" borderId="1" applyAlignment="1" pivotButton="0" quotePrefix="0" xfId="0">
      <alignment horizontal="center" vertical="center"/>
    </xf>
    <xf numFmtId="176" fontId="19" fillId="0" borderId="1" applyAlignment="1" pivotButton="0" quotePrefix="0" xfId="0">
      <alignment horizontal="center" vertical="center"/>
    </xf>
    <xf numFmtId="164" fontId="20" fillId="2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 wrapText="1"/>
    </xf>
    <xf numFmtId="49" fontId="22" fillId="0" borderId="1" pivotButton="0" quotePrefix="0" xfId="0"/>
    <xf numFmtId="0" fontId="19" fillId="2" borderId="1" applyAlignment="1" pivotButton="0" quotePrefix="0" xfId="0">
      <alignment horizontal="center" vertical="center"/>
    </xf>
    <xf numFmtId="164" fontId="20" fillId="2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center" vertical="center"/>
    </xf>
    <xf numFmtId="164" fontId="19" fillId="2" borderId="1" applyAlignment="1" pivotButton="0" quotePrefix="0" xfId="0">
      <alignment horizontal="center" vertical="center"/>
    </xf>
    <xf numFmtId="49" fontId="22" fillId="2" borderId="1" pivotButton="0" quotePrefix="0" xfId="0"/>
    <xf numFmtId="164" fontId="18" fillId="0" borderId="1" pivotButton="0" quotePrefix="0" xfId="0"/>
    <xf numFmtId="49" fontId="79" fillId="0" borderId="1" pivotButton="0" quotePrefix="0" xfId="0"/>
    <xf numFmtId="0" fontId="20" fillId="0" borderId="1" applyAlignment="1" pivotButton="0" quotePrefix="0" xfId="0">
      <alignment horizontal="center" vertical="center"/>
    </xf>
    <xf numFmtId="49" fontId="61" fillId="0" borderId="1" pivotButton="0" quotePrefix="0" xfId="0"/>
    <xf numFmtId="164" fontId="20" fillId="12" borderId="1" applyAlignment="1" pivotButton="0" quotePrefix="0" xfId="0">
      <alignment horizontal="center" vertical="center"/>
    </xf>
    <xf numFmtId="49" fontId="80" fillId="0" borderId="1" pivotButton="0" quotePrefix="0" xfId="0"/>
    <xf numFmtId="49" fontId="20" fillId="0" borderId="1" applyAlignment="1" pivotButton="0" quotePrefix="0" xfId="0">
      <alignment horizontal="center" vertical="center" wrapText="1"/>
    </xf>
    <xf numFmtId="166" fontId="19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49" fontId="20" fillId="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166" fontId="19" fillId="13" borderId="1" applyAlignment="1" pivotButton="0" quotePrefix="0" xfId="0">
      <alignment horizontal="center" vertical="center"/>
    </xf>
    <xf numFmtId="164" fontId="1" fillId="13" borderId="1" applyAlignment="1" pivotButton="0" quotePrefix="0" xfId="0">
      <alignment horizontal="center" vertical="center" wrapText="1"/>
    </xf>
    <xf numFmtId="164" fontId="19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49" fontId="20" fillId="13" borderId="1" applyAlignment="1" pivotButton="0" quotePrefix="0" xfId="0">
      <alignment horizontal="center" vertical="center"/>
    </xf>
    <xf numFmtId="165" fontId="19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 wrapText="1"/>
    </xf>
    <xf numFmtId="49" fontId="20" fillId="1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77" fontId="19" fillId="0" borderId="1" applyAlignment="1" pivotButton="0" quotePrefix="0" xfId="0">
      <alignment horizontal="center" vertical="center"/>
    </xf>
    <xf numFmtId="177" fontId="19" fillId="12" borderId="1" applyAlignment="1" pivotButton="0" quotePrefix="0" xfId="0">
      <alignment horizontal="center" vertical="center"/>
    </xf>
    <xf numFmtId="165" fontId="19" fillId="12" borderId="1" applyAlignment="1" pivotButton="0" quotePrefix="0" xfId="0">
      <alignment horizontal="center" vertical="center"/>
    </xf>
    <xf numFmtId="164" fontId="18" fillId="14" borderId="1" pivotButton="0" quotePrefix="0" xfId="0"/>
    <xf numFmtId="164" fontId="18" fillId="0" borderId="1" pivotButton="0" quotePrefix="0" xfId="0"/>
    <xf numFmtId="170" fontId="18" fillId="0" borderId="1" pivotButton="0" quotePrefix="0" xfId="0"/>
    <xf numFmtId="164" fontId="20" fillId="0" borderId="1" pivotButton="0" quotePrefix="0" xfId="0"/>
    <xf numFmtId="164" fontId="3" fillId="15" borderId="1" applyAlignment="1" pivotButton="0" quotePrefix="0" xfId="0">
      <alignment horizontal="center" vertical="center" wrapText="1"/>
    </xf>
    <xf numFmtId="14" fontId="3" fillId="15" borderId="1" applyAlignment="1" pivotButton="0" quotePrefix="0" xfId="0">
      <alignment horizontal="center" vertical="center" wrapText="1"/>
    </xf>
    <xf numFmtId="164" fontId="3" fillId="15" borderId="1" applyAlignment="1" pivotButton="0" quotePrefix="0" xfId="0">
      <alignment horizontal="center" vertical="center" wrapText="1"/>
    </xf>
    <xf numFmtId="170" fontId="3" fillId="15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70" fontId="1" fillId="0" borderId="1" applyAlignment="1" pivotButton="0" quotePrefix="0" xfId="0">
      <alignment horizontal="center" vertical="center" wrapText="1"/>
    </xf>
    <xf numFmtId="165" fontId="81" fillId="0" borderId="1" applyAlignment="1" pivotButton="0" quotePrefix="0" xfId="0">
      <alignment horizontal="center" vertical="center" wrapText="1"/>
    </xf>
    <xf numFmtId="166" fontId="81" fillId="0" borderId="1" applyAlignment="1" pivotButton="0" quotePrefix="0" xfId="0">
      <alignment horizontal="center" vertical="center" wrapText="1"/>
    </xf>
    <xf numFmtId="164" fontId="81" fillId="0" borderId="1" applyAlignment="1" pivotButton="0" quotePrefix="0" xfId="0">
      <alignment horizontal="center" vertical="center" wrapText="1"/>
    </xf>
    <xf numFmtId="170" fontId="8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4" fontId="1" fillId="14" borderId="1" applyAlignment="1" pivotButton="0" quotePrefix="0" xfId="0">
      <alignment horizontal="center" vertical="center" wrapText="1"/>
    </xf>
    <xf numFmtId="14" fontId="1" fillId="14" borderId="1" applyAlignment="1" pivotButton="0" quotePrefix="0" xfId="0">
      <alignment horizontal="center" vertical="center" wrapText="1"/>
    </xf>
    <xf numFmtId="166" fontId="81" fillId="14" borderId="1" applyAlignment="1" pivotButton="0" quotePrefix="0" xfId="0">
      <alignment horizontal="center" vertical="center" wrapText="1"/>
    </xf>
    <xf numFmtId="164" fontId="1" fillId="14" borderId="1" applyAlignment="1" pivotButton="0" quotePrefix="0" xfId="0">
      <alignment horizontal="center" vertical="center" wrapText="1"/>
    </xf>
    <xf numFmtId="164" fontId="81" fillId="14" borderId="1" applyAlignment="1" pivotButton="0" quotePrefix="0" xfId="0">
      <alignment horizontal="center" vertical="center" wrapText="1"/>
    </xf>
    <xf numFmtId="170" fontId="81" fillId="14" borderId="1" applyAlignment="1" pivotButton="0" quotePrefix="0" xfId="0">
      <alignment horizontal="center" vertical="center" wrapText="1"/>
    </xf>
    <xf numFmtId="165" fontId="81" fillId="14" borderId="1" applyAlignment="1" pivotButton="0" quotePrefix="0" xfId="0">
      <alignment horizontal="center" vertical="center" wrapText="1"/>
    </xf>
    <xf numFmtId="164" fontId="82" fillId="0" borderId="0" pivotButton="0" quotePrefix="0" xfId="0"/>
    <xf numFmtId="164" fontId="18" fillId="14" borderId="0" pivotButton="0" quotePrefix="0" xfId="0"/>
    <xf numFmtId="164" fontId="18" fillId="2" borderId="0" pivotButton="0" quotePrefix="0" xfId="0"/>
    <xf numFmtId="164" fontId="18" fillId="0" borderId="0" pivotButton="0" quotePrefix="0" xfId="0"/>
    <xf numFmtId="164" fontId="18" fillId="0" borderId="0" pivotButton="0" quotePrefix="0" xfId="0"/>
    <xf numFmtId="170" fontId="18" fillId="0" borderId="0" pivotButton="0" quotePrefix="0" xfId="0"/>
    <xf numFmtId="164" fontId="20" fillId="0" borderId="0" pivotButton="0" quotePrefix="0" xfId="0"/>
    <xf numFmtId="164" fontId="83" fillId="15" borderId="1" applyAlignment="1" pivotButton="0" quotePrefix="0" xfId="0">
      <alignment horizontal="center" vertical="center" wrapText="1"/>
    </xf>
    <xf numFmtId="166" fontId="84" fillId="0" borderId="1" applyAlignment="1" pivotButton="0" quotePrefix="0" xfId="0">
      <alignment horizontal="center"/>
    </xf>
    <xf numFmtId="164" fontId="84" fillId="0" borderId="1" applyAlignment="1" pivotButton="0" quotePrefix="0" xfId="0">
      <alignment horizontal="center" vertical="top" wrapText="1"/>
    </xf>
    <xf numFmtId="164" fontId="84" fillId="0" borderId="1" applyAlignment="1" pivotButton="0" quotePrefix="0" xfId="0">
      <alignment horizontal="center"/>
    </xf>
    <xf numFmtId="170" fontId="84" fillId="0" borderId="1" applyAlignment="1" pivotButton="0" quotePrefix="0" xfId="0">
      <alignment horizontal="center"/>
    </xf>
    <xf numFmtId="49" fontId="1" fillId="0" borderId="1" applyAlignment="1" pivotButton="0" quotePrefix="0" xfId="0">
      <alignment horizontal="center" vertical="center" wrapText="1"/>
    </xf>
    <xf numFmtId="166" fontId="84" fillId="14" borderId="1" applyAlignment="1" pivotButton="0" quotePrefix="0" xfId="0">
      <alignment horizontal="center"/>
    </xf>
    <xf numFmtId="164" fontId="84" fillId="14" borderId="1" applyAlignment="1" pivotButton="0" quotePrefix="0" xfId="0">
      <alignment horizontal="center" vertical="top" wrapText="1"/>
    </xf>
    <xf numFmtId="164" fontId="84" fillId="14" borderId="1" applyAlignment="1" pivotButton="0" quotePrefix="0" xfId="0">
      <alignment horizontal="center"/>
    </xf>
    <xf numFmtId="170" fontId="84" fillId="14" borderId="1" applyAlignment="1" pivotButton="0" quotePrefix="0" xfId="0">
      <alignment horizontal="center"/>
    </xf>
    <xf numFmtId="49" fontId="20" fillId="14" borderId="1" applyAlignment="1" pivotButton="0" quotePrefix="0" xfId="0">
      <alignment horizontal="center" vertical="center" wrapText="1"/>
    </xf>
    <xf numFmtId="165" fontId="85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166" fontId="84" fillId="2" borderId="1" applyAlignment="1" pivotButton="0" quotePrefix="0" xfId="0">
      <alignment horizontal="center"/>
    </xf>
    <xf numFmtId="164" fontId="84" fillId="2" borderId="1" applyAlignment="1" pivotButton="0" quotePrefix="0" xfId="0">
      <alignment horizontal="center" vertical="top" wrapText="1"/>
    </xf>
    <xf numFmtId="164" fontId="84" fillId="2" borderId="1" applyAlignment="1" pivotButton="0" quotePrefix="0" xfId="0">
      <alignment horizontal="center"/>
    </xf>
    <xf numFmtId="170" fontId="84" fillId="2" borderId="1" applyAlignment="1" pivotButton="0" quotePrefix="0" xfId="0">
      <alignment horizontal="center"/>
    </xf>
    <xf numFmtId="164" fontId="18" fillId="2" borderId="1" pivotButton="0" quotePrefix="0" xfId="0"/>
    <xf numFmtId="165" fontId="85" fillId="2" borderId="1" applyAlignment="1" pivotButton="0" quotePrefix="0" xfId="0">
      <alignment horizontal="center" vertical="center" wrapText="1"/>
    </xf>
    <xf numFmtId="165" fontId="81" fillId="2" borderId="1" applyAlignment="1" pivotButton="0" quotePrefix="0" xfId="0">
      <alignment horizontal="center" vertical="center" wrapText="1"/>
    </xf>
    <xf numFmtId="166" fontId="84" fillId="16" borderId="1" applyAlignment="1" pivotButton="0" quotePrefix="0" xfId="0">
      <alignment horizontal="center"/>
    </xf>
    <xf numFmtId="164" fontId="84" fillId="16" borderId="1" applyAlignment="1" pivotButton="0" quotePrefix="0" xfId="0">
      <alignment horizontal="center" vertical="top" wrapText="1"/>
    </xf>
    <xf numFmtId="164" fontId="84" fillId="16" borderId="1" applyAlignment="1" pivotButton="0" quotePrefix="0" xfId="0">
      <alignment horizontal="center"/>
    </xf>
    <xf numFmtId="170" fontId="86" fillId="16" borderId="1" applyAlignment="1" pivotButton="0" quotePrefix="0" xfId="0">
      <alignment horizontal="center"/>
    </xf>
    <xf numFmtId="165" fontId="81" fillId="0" borderId="10" applyAlignment="1" pivotButton="0" quotePrefix="0" xfId="0">
      <alignment horizontal="center" vertical="center" wrapText="1"/>
    </xf>
    <xf numFmtId="170" fontId="84" fillId="16" borderId="1" applyAlignment="1" pivotButton="0" quotePrefix="0" xfId="0">
      <alignment horizontal="center"/>
    </xf>
    <xf numFmtId="164" fontId="20" fillId="0" borderId="1" pivotButton="0" quotePrefix="0" xfId="0"/>
    <xf numFmtId="164" fontId="20" fillId="14" borderId="1" pivotButton="0" quotePrefix="0" xfId="0"/>
    <xf numFmtId="164" fontId="20" fillId="14" borderId="0" pivotButton="0" quotePrefix="0" xfId="0"/>
    <xf numFmtId="164" fontId="20" fillId="0" borderId="0" pivotButton="0" quotePrefix="0" xfId="0"/>
    <xf numFmtId="164" fontId="20" fillId="2" borderId="0" pivotButton="0" quotePrefix="0" xfId="0"/>
    <xf numFmtId="165" fontId="86" fillId="0" borderId="1" applyAlignment="1" pivotButton="0" quotePrefix="0" xfId="0">
      <alignment horizontal="center"/>
    </xf>
    <xf numFmtId="164" fontId="86" fillId="0" borderId="1" applyAlignment="1" pivotButton="0" quotePrefix="0" xfId="0">
      <alignment horizontal="center" vertical="top" wrapText="1"/>
    </xf>
    <xf numFmtId="164" fontId="86" fillId="0" borderId="1" applyAlignment="1" pivotButton="0" quotePrefix="0" xfId="0">
      <alignment horizontal="center"/>
    </xf>
    <xf numFmtId="3" fontId="86" fillId="0" borderId="1" applyAlignment="1" pivotButton="0" quotePrefix="0" xfId="0">
      <alignment horizontal="center"/>
    </xf>
    <xf numFmtId="170" fontId="86" fillId="0" borderId="1" applyAlignment="1" pivotButton="0" quotePrefix="0" xfId="0">
      <alignment horizontal="center"/>
    </xf>
    <xf numFmtId="178" fontId="3" fillId="15" borderId="1" applyAlignment="1" pivotButton="0" quotePrefix="0" xfId="0">
      <alignment horizontal="center" vertical="center" wrapText="1"/>
    </xf>
    <xf numFmtId="3" fontId="81" fillId="0" borderId="1" applyAlignment="1" pivotButton="0" quotePrefix="0" xfId="0">
      <alignment horizontal="center" vertical="center" wrapText="1"/>
    </xf>
    <xf numFmtId="179" fontId="12" fillId="0" borderId="1" applyAlignment="1" pivotButton="0" quotePrefix="0" xfId="0">
      <alignment vertical="center"/>
    </xf>
    <xf numFmtId="164" fontId="82" fillId="11" borderId="0" pivotButton="0" quotePrefix="0" xfId="0"/>
    <xf numFmtId="164" fontId="81" fillId="2" borderId="1" applyAlignment="1" pivotButton="0" quotePrefix="0" xfId="0">
      <alignment horizontal="center" vertical="center" wrapText="1"/>
    </xf>
    <xf numFmtId="164" fontId="87" fillId="0" borderId="1" applyAlignment="1" pivotButton="0" quotePrefix="0" xfId="0">
      <alignment horizontal="center" vertical="center" wrapText="1"/>
    </xf>
    <xf numFmtId="179" fontId="13" fillId="17" borderId="1" applyAlignment="1" pivotButton="0" quotePrefix="0" xfId="1">
      <alignment vertical="center"/>
    </xf>
    <xf numFmtId="179" fontId="12" fillId="17" borderId="1" applyAlignment="1" pivotButton="0" quotePrefix="0" xfId="1">
      <alignment vertical="center"/>
    </xf>
    <xf numFmtId="164" fontId="1" fillId="17" borderId="1" applyAlignment="1" pivotButton="0" quotePrefix="0" xfId="0">
      <alignment horizontal="center" vertical="center" wrapText="1"/>
    </xf>
    <xf numFmtId="14" fontId="1" fillId="17" borderId="1" applyAlignment="1" pivotButton="0" quotePrefix="0" xfId="0">
      <alignment horizontal="center" vertical="center" wrapText="1"/>
    </xf>
    <xf numFmtId="166" fontId="81" fillId="17" borderId="1" applyAlignment="1" pivotButton="0" quotePrefix="0" xfId="0">
      <alignment horizontal="center" vertical="center" wrapText="1"/>
    </xf>
    <xf numFmtId="164" fontId="1" fillId="17" borderId="1" applyAlignment="1" pivotButton="0" quotePrefix="0" xfId="0">
      <alignment horizontal="center" vertical="center" wrapText="1"/>
    </xf>
    <xf numFmtId="164" fontId="81" fillId="17" borderId="1" applyAlignment="1" pivotButton="0" quotePrefix="0" xfId="0">
      <alignment horizontal="center" vertical="center" wrapText="1"/>
    </xf>
    <xf numFmtId="3" fontId="81" fillId="17" borderId="1" applyAlignment="1" pivotButton="0" quotePrefix="0" xfId="0">
      <alignment horizontal="center" vertical="center" wrapText="1"/>
    </xf>
    <xf numFmtId="164" fontId="87" fillId="17" borderId="1" applyAlignment="1" pivotButton="0" quotePrefix="0" xfId="0">
      <alignment horizontal="center" vertical="center" wrapText="1"/>
    </xf>
    <xf numFmtId="179" fontId="12" fillId="17" borderId="1" applyAlignment="1" pivotButton="0" quotePrefix="0" xfId="0">
      <alignment vertical="center"/>
    </xf>
    <xf numFmtId="164" fontId="82" fillId="15" borderId="1" pivotButton="0" quotePrefix="0" xfId="0"/>
    <xf numFmtId="14" fontId="82" fillId="15" borderId="1" pivotButton="0" quotePrefix="0" xfId="0"/>
    <xf numFmtId="164" fontId="82" fillId="15" borderId="1" pivotButton="0" quotePrefix="0" xfId="0"/>
    <xf numFmtId="178" fontId="82" fillId="15" borderId="1" pivotButton="0" quotePrefix="0" xfId="0"/>
    <xf numFmtId="49" fontId="82" fillId="0" borderId="1" pivotButton="0" quotePrefix="0" xfId="0"/>
    <xf numFmtId="164" fontId="82" fillId="0" borderId="1" pivotButton="0" quotePrefix="0" xfId="0"/>
    <xf numFmtId="14" fontId="82" fillId="0" borderId="1" pivotButton="0" quotePrefix="0" xfId="0"/>
    <xf numFmtId="14" fontId="84" fillId="11" borderId="1" applyAlignment="1" pivotButton="0" quotePrefix="0" xfId="0">
      <alignment horizontal="center"/>
    </xf>
    <xf numFmtId="164" fontId="82" fillId="11" borderId="1" pivotButton="0" quotePrefix="0" xfId="0"/>
    <xf numFmtId="164" fontId="84" fillId="11" borderId="1" applyAlignment="1" pivotButton="0" quotePrefix="0" xfId="0">
      <alignment horizontal="center"/>
    </xf>
    <xf numFmtId="164" fontId="82" fillId="0" borderId="1" pivotButton="0" quotePrefix="0" xfId="0"/>
    <xf numFmtId="174" fontId="86" fillId="2" borderId="1" applyAlignment="1" pivotButton="0" quotePrefix="0" xfId="0">
      <alignment horizontal="center"/>
    </xf>
    <xf numFmtId="164" fontId="82" fillId="0" borderId="1" pivotButton="0" quotePrefix="0" xfId="0"/>
    <xf numFmtId="164" fontId="84" fillId="12" borderId="1" applyAlignment="1" pivotButton="0" quotePrefix="0" xfId="0">
      <alignment horizontal="center"/>
    </xf>
    <xf numFmtId="174" fontId="86" fillId="12" borderId="1" applyAlignment="1" pivotButton="0" quotePrefix="0" xfId="0">
      <alignment horizontal="center"/>
    </xf>
    <xf numFmtId="49" fontId="82" fillId="12" borderId="1" pivotButton="0" quotePrefix="0" xfId="0"/>
    <xf numFmtId="164" fontId="82" fillId="12" borderId="1" pivotButton="0" quotePrefix="0" xfId="0"/>
    <xf numFmtId="164" fontId="82" fillId="12" borderId="1" pivotButton="0" quotePrefix="0" xfId="0"/>
    <xf numFmtId="164" fontId="82" fillId="0" borderId="1" pivotButton="0" quotePrefix="0" xfId="0"/>
    <xf numFmtId="14" fontId="82" fillId="0" borderId="1" pivotButton="0" quotePrefix="0" xfId="0"/>
    <xf numFmtId="14" fontId="84" fillId="0" borderId="1" applyAlignment="1" pivotButton="0" quotePrefix="0" xfId="0">
      <alignment horizontal="center"/>
    </xf>
    <xf numFmtId="164" fontId="84" fillId="0" borderId="1" applyAlignment="1" pivotButton="0" quotePrefix="0" xfId="0">
      <alignment horizontal="center"/>
    </xf>
    <xf numFmtId="174" fontId="86" fillId="0" borderId="1" applyAlignment="1" pivotButton="0" quotePrefix="0" xfId="0">
      <alignment horizontal="center"/>
    </xf>
    <xf numFmtId="49" fontId="82" fillId="0" borderId="1" pivotButton="0" quotePrefix="0" xfId="0"/>
    <xf numFmtId="174" fontId="88" fillId="0" borderId="1" applyAlignment="1" pivotButton="0" quotePrefix="0" xfId="0">
      <alignment horizontal="center"/>
    </xf>
    <xf numFmtId="164" fontId="82" fillId="18" borderId="1" pivotButton="0" quotePrefix="0" xfId="0"/>
    <xf numFmtId="14" fontId="82" fillId="18" borderId="1" pivotButton="0" quotePrefix="0" xfId="0"/>
    <xf numFmtId="14" fontId="84" fillId="18" borderId="1" applyAlignment="1" pivotButton="0" quotePrefix="0" xfId="0">
      <alignment horizontal="center"/>
    </xf>
    <xf numFmtId="164" fontId="82" fillId="18" borderId="1" pivotButton="0" quotePrefix="0" xfId="0"/>
    <xf numFmtId="164" fontId="84" fillId="18" borderId="1" applyAlignment="1" pivotButton="0" quotePrefix="0" xfId="0">
      <alignment horizontal="center"/>
    </xf>
    <xf numFmtId="174" fontId="86" fillId="18" borderId="1" applyAlignment="1" pivotButton="0" quotePrefix="0" xfId="0">
      <alignment horizontal="center"/>
    </xf>
    <xf numFmtId="49" fontId="82" fillId="18" borderId="1" pivotButton="0" quotePrefix="0" xfId="0"/>
    <xf numFmtId="164" fontId="89" fillId="0" borderId="0" pivotButton="0" quotePrefix="0" xfId="0"/>
    <xf numFmtId="14" fontId="89" fillId="0" borderId="0" pivotButton="0" quotePrefix="0" xfId="0"/>
    <xf numFmtId="164" fontId="89" fillId="0" borderId="0" pivotButton="0" quotePrefix="0" xfId="0"/>
    <xf numFmtId="178" fontId="89" fillId="0" borderId="0" pivotButton="0" quotePrefix="0" xfId="0"/>
    <xf numFmtId="164" fontId="89" fillId="15" borderId="1" pivotButton="0" quotePrefix="0" xfId="0"/>
    <xf numFmtId="14" fontId="89" fillId="15" borderId="1" pivotButton="0" quotePrefix="0" xfId="0"/>
    <xf numFmtId="164" fontId="89" fillId="15" borderId="1" pivotButton="0" quotePrefix="0" xfId="0"/>
    <xf numFmtId="178" fontId="89" fillId="15" borderId="1" pivotButton="0" quotePrefix="0" xfId="0"/>
    <xf numFmtId="49" fontId="89" fillId="0" borderId="1" pivotButton="0" quotePrefix="0" xfId="0"/>
    <xf numFmtId="164" fontId="89" fillId="0" borderId="1" pivotButton="0" quotePrefix="0" xfId="0"/>
    <xf numFmtId="14" fontId="89" fillId="0" borderId="1" pivotButton="0" quotePrefix="0" xfId="0"/>
    <xf numFmtId="164" fontId="89" fillId="11" borderId="1" pivotButton="0" quotePrefix="0" xfId="0"/>
    <xf numFmtId="164" fontId="89" fillId="0" borderId="1" pivotButton="0" quotePrefix="0" xfId="0"/>
    <xf numFmtId="164" fontId="89" fillId="0" borderId="1" pivotButton="0" quotePrefix="0" xfId="0"/>
    <xf numFmtId="164" fontId="89" fillId="11" borderId="0" pivotButton="0" quotePrefix="0" xfId="0"/>
    <xf numFmtId="14" fontId="84" fillId="2" borderId="1" applyAlignment="1" pivotButton="0" quotePrefix="0" xfId="0">
      <alignment horizontal="center"/>
    </xf>
    <xf numFmtId="174" fontId="88" fillId="2" borderId="1" applyAlignment="1" pivotButton="0" quotePrefix="0" xfId="0">
      <alignment horizontal="center"/>
    </xf>
    <xf numFmtId="49" fontId="90" fillId="0" borderId="1" pivotButton="0" quotePrefix="0" xfId="0"/>
    <xf numFmtId="164" fontId="90" fillId="0" borderId="1" pivotButton="0" quotePrefix="0" xfId="0"/>
    <xf numFmtId="164" fontId="90" fillId="0" borderId="1" pivotButton="0" quotePrefix="0" xfId="0"/>
    <xf numFmtId="49" fontId="89" fillId="11" borderId="4" pivotButton="0" quotePrefix="0" xfId="0"/>
    <xf numFmtId="14" fontId="91" fillId="0" borderId="1" pivotButton="0" quotePrefix="0" xfId="0"/>
    <xf numFmtId="164" fontId="91" fillId="0" borderId="1" pivotButton="0" quotePrefix="0" xfId="0"/>
    <xf numFmtId="178" fontId="89" fillId="0" borderId="1" pivotButton="0" quotePrefix="0" xfId="0"/>
    <xf numFmtId="180" fontId="89" fillId="0" borderId="1" pivotButton="0" quotePrefix="0" xfId="0"/>
    <xf numFmtId="164" fontId="89" fillId="0" borderId="1" pivotButton="0" quotePrefix="0" xfId="0"/>
    <xf numFmtId="178" fontId="89" fillId="0" borderId="1" pivotButton="0" quotePrefix="0" xfId="0"/>
    <xf numFmtId="180" fontId="89" fillId="0" borderId="1" applyAlignment="1" pivotButton="0" quotePrefix="0" xfId="0">
      <alignment horizontal="right"/>
    </xf>
    <xf numFmtId="174" fontId="86" fillId="0" borderId="14" applyAlignment="1" pivotButton="0" quotePrefix="0" xfId="0">
      <alignment horizontal="center"/>
    </xf>
    <xf numFmtId="14" fontId="84" fillId="11" borderId="4" applyAlignment="1" pivotButton="0" quotePrefix="0" xfId="0">
      <alignment horizontal="center"/>
    </xf>
    <xf numFmtId="164" fontId="89" fillId="11" borderId="4" pivotButton="0" quotePrefix="0" xfId="0"/>
    <xf numFmtId="164" fontId="84" fillId="11" borderId="4" applyAlignment="1" pivotButton="0" quotePrefix="0" xfId="0">
      <alignment horizontal="center"/>
    </xf>
    <xf numFmtId="164" fontId="84" fillId="11" borderId="15" applyAlignment="1" pivotButton="0" quotePrefix="0" xfId="0">
      <alignment horizontal="center"/>
    </xf>
    <xf numFmtId="178" fontId="92" fillId="11" borderId="15" applyAlignment="1" pivotButton="0" quotePrefix="0" xfId="0">
      <alignment horizontal="center"/>
    </xf>
    <xf numFmtId="164" fontId="89" fillId="15" borderId="16" pivotButton="0" quotePrefix="0" xfId="0"/>
    <xf numFmtId="49" fontId="89" fillId="0" borderId="0" pivotButton="0" quotePrefix="0" xfId="0"/>
    <xf numFmtId="14" fontId="89" fillId="0" borderId="1" pivotButton="0" quotePrefix="0" xfId="0"/>
    <xf numFmtId="180" fontId="89" fillId="2" borderId="1" pivotButton="0" quotePrefix="0" xfId="0"/>
    <xf numFmtId="164" fontId="93" fillId="0" borderId="1" pivotButton="0" quotePrefix="0" xfId="0"/>
    <xf numFmtId="164" fontId="89" fillId="2" borderId="1" pivotButton="0" quotePrefix="0" xfId="0"/>
    <xf numFmtId="164" fontId="89" fillId="19" borderId="1" pivotButton="0" quotePrefix="0" xfId="0"/>
    <xf numFmtId="178" fontId="89" fillId="2" borderId="1" pivotButton="0" quotePrefix="0" xfId="0"/>
    <xf numFmtId="164" fontId="89" fillId="0" borderId="1" pivotButton="0" quotePrefix="1" xfId="0"/>
    <xf numFmtId="180" fontId="89" fillId="0" borderId="1" applyAlignment="1" pivotButton="0" quotePrefix="1" xfId="0">
      <alignment horizontal="right"/>
    </xf>
    <xf numFmtId="180" fontId="89" fillId="0" borderId="1" pivotButton="0" quotePrefix="1" xfId="0"/>
    <xf numFmtId="164" fontId="89" fillId="0" borderId="1" pivotButton="0" quotePrefix="1" xfId="0"/>
    <xf numFmtId="164" fontId="20" fillId="0" borderId="1" applyAlignment="1" pivotButton="0" quotePrefix="1" xfId="0">
      <alignment horizontal="center" vertical="center"/>
    </xf>
    <xf numFmtId="164" fontId="20" fillId="0" borderId="1" applyAlignment="1" pivotButton="0" quotePrefix="1" xfId="0">
      <alignment horizontal="center" vertical="center" wrapText="1"/>
    </xf>
    <xf numFmtId="0" fontId="20" fillId="0" borderId="1" applyAlignment="1" pivotButton="0" quotePrefix="1" xfId="0">
      <alignment horizontal="center" vertical="center"/>
    </xf>
    <xf numFmtId="49" fontId="22" fillId="0" borderId="0" applyAlignment="1" pivotButton="0" quotePrefix="1" xfId="0">
      <alignment vertical="center"/>
    </xf>
    <xf numFmtId="164" fontId="2" fillId="0" borderId="0" applyAlignment="1" pivotButton="0" quotePrefix="1" xfId="0">
      <alignment horizontal="left"/>
    </xf>
    <xf numFmtId="167" fontId="0" fillId="0" borderId="0" applyAlignment="1" pivotButton="0" quotePrefix="1" xfId="0">
      <alignment horizontal="left"/>
    </xf>
    <xf numFmtId="49" fontId="2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center"/>
    </xf>
    <xf numFmtId="49" fontId="2" fillId="0" borderId="0" applyAlignment="1" pivotButton="0" quotePrefix="1" xfId="0">
      <alignment horizontal="left" wrapText="1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shrinkToFit="1"/>
    </xf>
    <xf numFmtId="0" fontId="0" fillId="0" borderId="0" applyAlignment="1" pivotButton="0" quotePrefix="1" xfId="0">
      <alignment vertical="center"/>
    </xf>
    <xf numFmtId="0" fontId="0" fillId="0" borderId="0" pivotButton="0" quotePrefix="1" xfId="0"/>
    <xf numFmtId="49" fontId="0" fillId="0" borderId="0" applyAlignment="1" pivotButton="0" quotePrefix="1" xfId="0">
      <alignment horizontal="left"/>
    </xf>
    <xf numFmtId="164" fontId="32" fillId="0" borderId="0" pivotButton="0" quotePrefix="1" xfId="0"/>
    <xf numFmtId="164" fontId="32" fillId="0" borderId="0" pivotButton="0" quotePrefix="1" xfId="0"/>
    <xf numFmtId="0" fontId="32" fillId="0" borderId="0" applyAlignment="1" pivotButton="0" quotePrefix="1" xfId="0">
      <alignment vertical="center"/>
    </xf>
    <xf numFmtId="0" fontId="10" fillId="0" borderId="4" applyAlignment="1" pivotButton="0" quotePrefix="1" xfId="0">
      <alignment vertical="center"/>
    </xf>
    <xf numFmtId="0" fontId="17" fillId="0" borderId="0" applyAlignment="1" pivotButton="0" quotePrefix="1" xfId="0">
      <alignment vertical="center"/>
    </xf>
    <xf numFmtId="164" fontId="37" fillId="0" borderId="0" pivotButton="0" quotePrefix="1" xfId="0"/>
    <xf numFmtId="164" fontId="0" fillId="0" borderId="0" pivotButton="0" quotePrefix="1" xfId="0"/>
    <xf numFmtId="49" fontId="0" fillId="0" borderId="0" applyAlignment="1" pivotButton="0" quotePrefix="1" xfId="0">
      <alignment horizontal="left"/>
    </xf>
    <xf numFmtId="0" fontId="32" fillId="0" borderId="0" applyAlignment="1" pivotButton="0" quotePrefix="1" xfId="0">
      <alignment vertical="center"/>
    </xf>
    <xf numFmtId="49" fontId="0" fillId="0" borderId="0" applyAlignment="1" pivotButton="0" quotePrefix="1" xfId="0">
      <alignment horizontal="left"/>
    </xf>
    <xf numFmtId="49" fontId="20" fillId="0" borderId="1" applyAlignment="1" pivotButton="0" quotePrefix="1" xfId="0">
      <alignment horizontal="center" vertical="center"/>
    </xf>
    <xf numFmtId="49" fontId="2" fillId="2" borderId="0" applyAlignment="1" pivotButton="0" quotePrefix="1" xfId="0">
      <alignment horizontal="center" vertical="center"/>
    </xf>
    <xf numFmtId="49" fontId="2" fillId="2" borderId="0" applyAlignment="1" pivotButton="0" quotePrefix="1" xfId="0">
      <alignment vertical="center"/>
    </xf>
    <xf numFmtId="164" fontId="89" fillId="0" borderId="0" pivotButton="0" quotePrefix="0" xfId="0"/>
    <xf numFmtId="178" fontId="89" fillId="0" borderId="0" pivotButton="0" quotePrefix="0" xfId="0"/>
    <xf numFmtId="164" fontId="89" fillId="15" borderId="1" pivotButton="0" quotePrefix="0" xfId="0"/>
    <xf numFmtId="178" fontId="89" fillId="15" borderId="1" pivotButton="0" quotePrefix="0" xfId="0"/>
    <xf numFmtId="164" fontId="89" fillId="15" borderId="16" pivotButton="0" quotePrefix="0" xfId="0"/>
    <xf numFmtId="164" fontId="89" fillId="0" borderId="1" pivotButton="0" quotePrefix="0" xfId="0"/>
    <xf numFmtId="164" fontId="91" fillId="0" borderId="1" pivotButton="0" quotePrefix="0" xfId="0"/>
    <xf numFmtId="178" fontId="89" fillId="0" borderId="1" pivotButton="0" quotePrefix="0" xfId="0"/>
    <xf numFmtId="180" fontId="89" fillId="0" borderId="1" pivotButton="0" quotePrefix="0" xfId="0"/>
    <xf numFmtId="180" fontId="89" fillId="2" borderId="1" pivotButton="0" quotePrefix="0" xfId="0"/>
    <xf numFmtId="164" fontId="89" fillId="0" borderId="1" pivotButton="0" quotePrefix="1" xfId="0"/>
    <xf numFmtId="164" fontId="93" fillId="0" borderId="1" pivotButton="0" quotePrefix="0" xfId="0"/>
    <xf numFmtId="164" fontId="89" fillId="2" borderId="1" pivotButton="0" quotePrefix="0" xfId="0"/>
    <xf numFmtId="164" fontId="89" fillId="19" borderId="1" pivotButton="0" quotePrefix="0" xfId="0"/>
    <xf numFmtId="178" fontId="89" fillId="2" borderId="1" pivotButton="0" quotePrefix="0" xfId="0"/>
    <xf numFmtId="164" fontId="84" fillId="0" borderId="1" applyAlignment="1" pivotButton="0" quotePrefix="0" xfId="0">
      <alignment horizontal="center" vertical="top" wrapText="1"/>
    </xf>
    <xf numFmtId="164" fontId="84" fillId="0" borderId="1" applyAlignment="1" pivotButton="0" quotePrefix="0" xfId="0">
      <alignment horizontal="center"/>
    </xf>
    <xf numFmtId="164" fontId="0" fillId="7" borderId="1" applyAlignment="1" pivotButton="0" quotePrefix="0" xfId="0">
      <alignment horizontal="left" vertical="center"/>
    </xf>
    <xf numFmtId="180" fontId="89" fillId="0" borderId="1" applyAlignment="1" pivotButton="0" quotePrefix="1" xfId="0">
      <alignment horizontal="right"/>
    </xf>
    <xf numFmtId="180" fontId="89" fillId="0" borderId="1" pivotButton="0" quotePrefix="1" xfId="0"/>
    <xf numFmtId="174" fontId="86" fillId="0" borderId="1" applyAlignment="1" pivotButton="0" quotePrefix="0" xfId="0">
      <alignment horizontal="center"/>
    </xf>
    <xf numFmtId="174" fontId="86" fillId="0" borderId="14" applyAlignment="1" pivotButton="0" quotePrefix="0" xfId="0">
      <alignment horizontal="center"/>
    </xf>
    <xf numFmtId="164" fontId="89" fillId="11" borderId="4" pivotButton="0" quotePrefix="0" xfId="0"/>
    <xf numFmtId="164" fontId="84" fillId="11" borderId="4" applyAlignment="1" pivotButton="0" quotePrefix="0" xfId="0">
      <alignment horizontal="center"/>
    </xf>
    <xf numFmtId="164" fontId="84" fillId="11" borderId="15" applyAlignment="1" pivotButton="0" quotePrefix="0" xfId="0">
      <alignment horizontal="center"/>
    </xf>
    <xf numFmtId="164" fontId="89" fillId="11" borderId="1" pivotButton="0" quotePrefix="0" xfId="0"/>
    <xf numFmtId="164" fontId="89" fillId="11" borderId="0" pivotButton="0" quotePrefix="0" xfId="0"/>
    <xf numFmtId="178" fontId="92" fillId="11" borderId="15" applyAlignment="1" pivotButton="0" quotePrefix="0" xfId="0">
      <alignment horizontal="center"/>
    </xf>
    <xf numFmtId="174" fontId="86" fillId="2" borderId="1" applyAlignment="1" pivotButton="0" quotePrefix="0" xfId="0">
      <alignment horizontal="center"/>
    </xf>
    <xf numFmtId="174" fontId="88" fillId="2" borderId="1" applyAlignment="1" pivotButton="0" quotePrefix="0" xfId="0">
      <alignment horizontal="center"/>
    </xf>
    <xf numFmtId="164" fontId="84" fillId="11" borderId="1" applyAlignment="1" pivotButton="0" quotePrefix="0" xfId="0">
      <alignment horizontal="center"/>
    </xf>
    <xf numFmtId="164" fontId="90" fillId="0" borderId="1" pivotButton="0" quotePrefix="0" xfId="0"/>
    <xf numFmtId="174" fontId="86" fillId="12" borderId="1" applyAlignment="1" pivotButton="0" quotePrefix="0" xfId="0">
      <alignment horizontal="center"/>
    </xf>
    <xf numFmtId="164" fontId="86" fillId="0" borderId="1" applyAlignment="1" pivotButton="0" quotePrefix="0" xfId="0">
      <alignment horizontal="center"/>
    </xf>
    <xf numFmtId="164" fontId="18" fillId="0" borderId="0" pivotButton="0" quotePrefix="0" xfId="0"/>
    <xf numFmtId="164" fontId="82" fillId="15" borderId="1" pivotButton="0" quotePrefix="0" xfId="0"/>
    <xf numFmtId="178" fontId="82" fillId="15" borderId="1" pivotButton="0" quotePrefix="0" xfId="0"/>
    <xf numFmtId="164" fontId="82" fillId="0" borderId="0" pivotButton="0" quotePrefix="0" xfId="0"/>
    <xf numFmtId="164" fontId="82" fillId="0" borderId="1" pivotButton="0" quotePrefix="0" xfId="0"/>
    <xf numFmtId="164" fontId="82" fillId="11" borderId="1" pivotButton="0" quotePrefix="0" xfId="0"/>
    <xf numFmtId="164" fontId="82" fillId="11" borderId="0" pivotButton="0" quotePrefix="0" xfId="0"/>
    <xf numFmtId="164" fontId="84" fillId="12" borderId="1" applyAlignment="1" pivotButton="0" quotePrefix="0" xfId="0">
      <alignment horizontal="center"/>
    </xf>
    <xf numFmtId="164" fontId="82" fillId="12" borderId="1" pivotButton="0" quotePrefix="0" xfId="0"/>
    <xf numFmtId="174" fontId="88" fillId="0" borderId="1" applyAlignment="1" pivotButton="0" quotePrefix="0" xfId="0">
      <alignment horizontal="center"/>
    </xf>
    <xf numFmtId="164" fontId="82" fillId="18" borderId="1" pivotButton="0" quotePrefix="0" xfId="0"/>
    <xf numFmtId="164" fontId="84" fillId="18" borderId="1" applyAlignment="1" pivotButton="0" quotePrefix="0" xfId="0">
      <alignment horizontal="center"/>
    </xf>
    <xf numFmtId="174" fontId="86" fillId="18" borderId="1" applyAlignment="1" pivotButton="0" quotePrefix="0" xfId="0">
      <alignment horizontal="center"/>
    </xf>
    <xf numFmtId="164" fontId="3" fillId="15" borderId="1" applyAlignment="1" pivotButton="0" quotePrefix="0" xfId="0">
      <alignment horizontal="center" vertical="center" wrapText="1"/>
    </xf>
    <xf numFmtId="178" fontId="3" fillId="15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6" fontId="81" fillId="0" borderId="1" applyAlignment="1" pivotButton="0" quotePrefix="0" xfId="0">
      <alignment horizontal="center" vertical="center" wrapText="1"/>
    </xf>
    <xf numFmtId="164" fontId="81" fillId="0" borderId="1" applyAlignment="1" pivotButton="0" quotePrefix="0" xfId="0">
      <alignment horizontal="center" vertical="center" wrapText="1"/>
    </xf>
    <xf numFmtId="179" fontId="12" fillId="0" borderId="1" applyAlignment="1" pivotButton="0" quotePrefix="0" xfId="0">
      <alignment vertical="center"/>
    </xf>
    <xf numFmtId="164" fontId="81" fillId="2" borderId="1" applyAlignment="1" pivotButton="0" quotePrefix="0" xfId="0">
      <alignment horizontal="center" vertical="center" wrapText="1"/>
    </xf>
    <xf numFmtId="164" fontId="87" fillId="0" borderId="1" applyAlignment="1" pivotButton="0" quotePrefix="0" xfId="0">
      <alignment horizontal="center" vertical="center" wrapText="1"/>
    </xf>
    <xf numFmtId="179" fontId="13" fillId="17" borderId="1" applyAlignment="1" pivotButton="0" quotePrefix="0" xfId="1">
      <alignment vertical="center"/>
    </xf>
    <xf numFmtId="179" fontId="12" fillId="17" borderId="1" applyAlignment="1" pivotButton="0" quotePrefix="0" xfId="1">
      <alignment vertical="center"/>
    </xf>
    <xf numFmtId="164" fontId="1" fillId="17" borderId="1" applyAlignment="1" pivotButton="0" quotePrefix="0" xfId="0">
      <alignment horizontal="center" vertical="center" wrapText="1"/>
    </xf>
    <xf numFmtId="166" fontId="81" fillId="17" borderId="1" applyAlignment="1" pivotButton="0" quotePrefix="0" xfId="0">
      <alignment horizontal="center" vertical="center" wrapText="1"/>
    </xf>
    <xf numFmtId="164" fontId="81" fillId="17" borderId="1" applyAlignment="1" pivotButton="0" quotePrefix="0" xfId="0">
      <alignment horizontal="center" vertical="center" wrapText="1"/>
    </xf>
    <xf numFmtId="164" fontId="87" fillId="17" borderId="1" applyAlignment="1" pivotButton="0" quotePrefix="0" xfId="0">
      <alignment horizontal="center" vertical="center" wrapText="1"/>
    </xf>
    <xf numFmtId="179" fontId="12" fillId="17" borderId="1" applyAlignment="1" pivotButton="0" quotePrefix="0" xfId="0">
      <alignment vertical="center"/>
    </xf>
    <xf numFmtId="170" fontId="18" fillId="0" borderId="0" pivotButton="0" quotePrefix="0" xfId="0"/>
    <xf numFmtId="164" fontId="20" fillId="0" borderId="0" pivotButton="0" quotePrefix="0" xfId="0"/>
    <xf numFmtId="170" fontId="3" fillId="15" borderId="1" applyAlignment="1" pivotButton="0" quotePrefix="0" xfId="0">
      <alignment horizontal="center" vertical="center" wrapText="1"/>
    </xf>
    <xf numFmtId="164" fontId="83" fillId="15" borderId="1" applyAlignment="1" pivotButton="0" quotePrefix="0" xfId="0">
      <alignment horizontal="center" vertical="center" wrapText="1"/>
    </xf>
    <xf numFmtId="166" fontId="84" fillId="0" borderId="1" applyAlignment="1" pivotButton="0" quotePrefix="0" xfId="0">
      <alignment horizontal="center"/>
    </xf>
    <xf numFmtId="170" fontId="84" fillId="0" borderId="1" applyAlignment="1" pivotButton="0" quotePrefix="0" xfId="0">
      <alignment horizontal="center"/>
    </xf>
    <xf numFmtId="165" fontId="81" fillId="0" borderId="1" applyAlignment="1" pivotButton="0" quotePrefix="0" xfId="0">
      <alignment horizontal="center" vertical="center" wrapText="1"/>
    </xf>
    <xf numFmtId="164" fontId="18" fillId="0" borderId="1" pivotButton="0" quotePrefix="0" xfId="0"/>
    <xf numFmtId="164" fontId="18" fillId="14" borderId="0" pivotButton="0" quotePrefix="0" xfId="0"/>
    <xf numFmtId="164" fontId="1" fillId="14" borderId="1" applyAlignment="1" pivotButton="0" quotePrefix="0" xfId="0">
      <alignment horizontal="center" vertical="center" wrapText="1"/>
    </xf>
    <xf numFmtId="166" fontId="84" fillId="14" borderId="1" applyAlignment="1" pivotButton="0" quotePrefix="0" xfId="0">
      <alignment horizontal="center"/>
    </xf>
    <xf numFmtId="164" fontId="84" fillId="14" borderId="1" applyAlignment="1" pivotButton="0" quotePrefix="0" xfId="0">
      <alignment horizontal="center" vertical="top" wrapText="1"/>
    </xf>
    <xf numFmtId="164" fontId="84" fillId="14" borderId="1" applyAlignment="1" pivotButton="0" quotePrefix="0" xfId="0">
      <alignment horizontal="center"/>
    </xf>
    <xf numFmtId="170" fontId="84" fillId="14" borderId="1" applyAlignment="1" pivotButton="0" quotePrefix="0" xfId="0">
      <alignment horizontal="center"/>
    </xf>
    <xf numFmtId="164" fontId="18" fillId="14" borderId="1" pivotButton="0" quotePrefix="0" xfId="0"/>
    <xf numFmtId="165" fontId="81" fillId="14" borderId="1" applyAlignment="1" pivotButton="0" quotePrefix="0" xfId="0">
      <alignment horizontal="center" vertical="center" wrapText="1"/>
    </xf>
    <xf numFmtId="165" fontId="85" fillId="0" borderId="1" applyAlignment="1" pivotButton="0" quotePrefix="0" xfId="0">
      <alignment horizontal="center" vertical="center" wrapText="1"/>
    </xf>
    <xf numFmtId="164" fontId="18" fillId="2" borderId="0" pivotButton="0" quotePrefix="0" xfId="0"/>
    <xf numFmtId="164" fontId="1" fillId="2" borderId="1" applyAlignment="1" pivotButton="0" quotePrefix="0" xfId="0">
      <alignment horizontal="center" vertical="center" wrapText="1"/>
    </xf>
    <xf numFmtId="166" fontId="84" fillId="2" borderId="1" applyAlignment="1" pivotButton="0" quotePrefix="0" xfId="0">
      <alignment horizontal="center"/>
    </xf>
    <xf numFmtId="164" fontId="84" fillId="2" borderId="1" applyAlignment="1" pivotButton="0" quotePrefix="0" xfId="0">
      <alignment horizontal="center" vertical="top" wrapText="1"/>
    </xf>
    <xf numFmtId="164" fontId="84" fillId="2" borderId="1" applyAlignment="1" pivotButton="0" quotePrefix="0" xfId="0">
      <alignment horizontal="center"/>
    </xf>
    <xf numFmtId="170" fontId="84" fillId="2" borderId="1" applyAlignment="1" pivotButton="0" quotePrefix="0" xfId="0">
      <alignment horizontal="center"/>
    </xf>
    <xf numFmtId="164" fontId="18" fillId="2" borderId="1" pivotButton="0" quotePrefix="0" xfId="0"/>
    <xf numFmtId="165" fontId="85" fillId="2" borderId="1" applyAlignment="1" pivotButton="0" quotePrefix="0" xfId="0">
      <alignment horizontal="center" vertical="center" wrapText="1"/>
    </xf>
    <xf numFmtId="165" fontId="81" fillId="2" borderId="1" applyAlignment="1" pivotButton="0" quotePrefix="0" xfId="0">
      <alignment horizontal="center" vertical="center" wrapText="1"/>
    </xf>
    <xf numFmtId="166" fontId="84" fillId="16" borderId="1" applyAlignment="1" pivotButton="0" quotePrefix="0" xfId="0">
      <alignment horizontal="center"/>
    </xf>
    <xf numFmtId="164" fontId="84" fillId="16" borderId="1" applyAlignment="1" pivotButton="0" quotePrefix="0" xfId="0">
      <alignment horizontal="center" vertical="top" wrapText="1"/>
    </xf>
    <xf numFmtId="164" fontId="84" fillId="16" borderId="1" applyAlignment="1" pivotButton="0" quotePrefix="0" xfId="0">
      <alignment horizontal="center"/>
    </xf>
    <xf numFmtId="170" fontId="86" fillId="16" borderId="1" applyAlignment="1" pivotButton="0" quotePrefix="0" xfId="0">
      <alignment horizontal="center"/>
    </xf>
    <xf numFmtId="164" fontId="20" fillId="0" borderId="1" pivotButton="0" quotePrefix="0" xfId="0"/>
    <xf numFmtId="165" fontId="81" fillId="0" borderId="10" applyAlignment="1" pivotButton="0" quotePrefix="0" xfId="0">
      <alignment horizontal="center" vertical="center" wrapText="1"/>
    </xf>
    <xf numFmtId="170" fontId="84" fillId="16" borderId="1" applyAlignment="1" pivotButton="0" quotePrefix="0" xfId="0">
      <alignment horizontal="center"/>
    </xf>
    <xf numFmtId="164" fontId="20" fillId="14" borderId="1" pivotButton="0" quotePrefix="0" xfId="0"/>
    <xf numFmtId="164" fontId="20" fillId="14" borderId="0" pivotButton="0" quotePrefix="0" xfId="0"/>
    <xf numFmtId="164" fontId="20" fillId="2" borderId="0" pivotButton="0" quotePrefix="0" xfId="0"/>
    <xf numFmtId="165" fontId="86" fillId="0" borderId="1" applyAlignment="1" pivotButton="0" quotePrefix="0" xfId="0">
      <alignment horizontal="center"/>
    </xf>
    <xf numFmtId="164" fontId="86" fillId="0" borderId="1" applyAlignment="1" pivotButton="0" quotePrefix="0" xfId="0">
      <alignment horizontal="center" vertical="top" wrapText="1"/>
    </xf>
    <xf numFmtId="170" fontId="86" fillId="0" borderId="1" applyAlignment="1" pivotButton="0" quotePrefix="0" xfId="0">
      <alignment horizontal="center"/>
    </xf>
    <xf numFmtId="170" fontId="18" fillId="0" borderId="1" pivotButton="0" quotePrefix="0" xfId="0"/>
    <xf numFmtId="164" fontId="3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70" fontId="1" fillId="0" borderId="1" applyAlignment="1" pivotButton="0" quotePrefix="0" xfId="0">
      <alignment horizontal="center" vertical="center" wrapText="1"/>
    </xf>
    <xf numFmtId="170" fontId="81" fillId="0" borderId="1" applyAlignment="1" pivotButton="0" quotePrefix="0" xfId="0">
      <alignment horizontal="center" vertical="center" wrapText="1"/>
    </xf>
    <xf numFmtId="166" fontId="81" fillId="14" borderId="1" applyAlignment="1" pivotButton="0" quotePrefix="0" xfId="0">
      <alignment horizontal="center" vertical="center" wrapText="1"/>
    </xf>
    <xf numFmtId="164" fontId="81" fillId="14" borderId="1" applyAlignment="1" pivotButton="0" quotePrefix="0" xfId="0">
      <alignment horizontal="center" vertical="center" wrapText="1"/>
    </xf>
    <xf numFmtId="170" fontId="81" fillId="14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 wrapText="1"/>
    </xf>
    <xf numFmtId="177" fontId="19" fillId="0" borderId="1" applyAlignment="1" pivotButton="0" quotePrefix="0" xfId="0">
      <alignment horizontal="center" vertical="center"/>
    </xf>
    <xf numFmtId="177" fontId="19" fillId="12" borderId="1" applyAlignment="1" pivotButton="0" quotePrefix="0" xfId="0">
      <alignment horizontal="center" vertical="center"/>
    </xf>
    <xf numFmtId="165" fontId="19" fillId="12" borderId="1" applyAlignment="1" pivotButton="0" quotePrefix="0" xfId="0">
      <alignment horizontal="center" vertical="center"/>
    </xf>
    <xf numFmtId="164" fontId="20" fillId="0" borderId="1" applyAlignment="1" pivotButton="0" quotePrefix="1" xfId="0">
      <alignment horizontal="center" vertical="center"/>
    </xf>
    <xf numFmtId="176" fontId="19" fillId="0" borderId="1" applyAlignment="1" pivotButton="0" quotePrefix="0" xfId="0">
      <alignment horizontal="center" vertical="center"/>
    </xf>
    <xf numFmtId="164" fontId="20" fillId="2" borderId="1" applyAlignment="1" pivotButton="0" quotePrefix="0" xfId="0">
      <alignment horizontal="center" vertical="center"/>
    </xf>
    <xf numFmtId="164" fontId="20" fillId="0" borderId="1" applyAlignment="1" pivotButton="0" quotePrefix="1" xfId="0">
      <alignment horizontal="center" vertical="center" wrapText="1"/>
    </xf>
    <xf numFmtId="164" fontId="20" fillId="0" borderId="1" applyAlignment="1" pivotButton="0" quotePrefix="0" xfId="0">
      <alignment horizontal="center" vertical="center" wrapText="1"/>
    </xf>
    <xf numFmtId="165" fontId="19" fillId="2" borderId="1" applyAlignment="1" pivotButton="0" quotePrefix="0" xfId="0">
      <alignment horizontal="center" vertical="center"/>
    </xf>
    <xf numFmtId="164" fontId="19" fillId="2" borderId="1" applyAlignment="1" pivotButton="0" quotePrefix="0" xfId="0">
      <alignment horizontal="center" vertical="center"/>
    </xf>
    <xf numFmtId="164" fontId="20" fillId="12" borderId="1" applyAlignment="1" pivotButton="0" quotePrefix="0" xfId="0">
      <alignment horizontal="center" vertical="center"/>
    </xf>
    <xf numFmtId="166" fontId="19" fillId="2" borderId="1" applyAlignment="1" pivotButton="0" quotePrefix="0" xfId="0">
      <alignment horizontal="center" vertical="center"/>
    </xf>
    <xf numFmtId="166" fontId="19" fillId="13" borderId="1" applyAlignment="1" pivotButton="0" quotePrefix="0" xfId="0">
      <alignment horizontal="center" vertical="center"/>
    </xf>
    <xf numFmtId="164" fontId="1" fillId="13" borderId="1" applyAlignment="1" pivotButton="0" quotePrefix="0" xfId="0">
      <alignment horizontal="center" vertical="center" wrapText="1"/>
    </xf>
    <xf numFmtId="164" fontId="19" fillId="13" borderId="1" applyAlignment="1" pivotButton="0" quotePrefix="0" xfId="0">
      <alignment horizontal="center" vertical="center"/>
    </xf>
    <xf numFmtId="165" fontId="19" fillId="13" borderId="1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75" fontId="60" fillId="2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 wrapText="1"/>
    </xf>
    <xf numFmtId="175" fontId="6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 vertical="center" wrapText="1"/>
    </xf>
    <xf numFmtId="164" fontId="19" fillId="2" borderId="0" applyAlignment="1" pivotButton="0" quotePrefix="0" xfId="0">
      <alignment horizontal="center" vertical="center"/>
    </xf>
    <xf numFmtId="165" fontId="19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57" fillId="0" borderId="0" pivotButton="0" quotePrefix="0" xfId="0"/>
    <xf numFmtId="166" fontId="63" fillId="0" borderId="0" applyAlignment="1" pivotButton="0" quotePrefix="0" xfId="0">
      <alignment horizontal="center" vertical="center"/>
    </xf>
    <xf numFmtId="164" fontId="64" fillId="0" borderId="0" applyAlignment="1" pivotButton="0" quotePrefix="0" xfId="0">
      <alignment horizontal="center" vertical="center" wrapText="1"/>
    </xf>
    <xf numFmtId="164" fontId="63" fillId="0" borderId="0" applyAlignment="1" pivotButton="0" quotePrefix="0" xfId="0">
      <alignment horizontal="center" vertical="center"/>
    </xf>
    <xf numFmtId="164" fontId="65" fillId="0" borderId="0" applyAlignment="1" pivotButton="0" quotePrefix="0" xfId="0">
      <alignment horizontal="center" vertical="center"/>
    </xf>
    <xf numFmtId="164" fontId="62" fillId="0" borderId="0" applyAlignment="1" pivotButton="0" quotePrefix="0" xfId="0">
      <alignment horizontal="center" vertical="center" wrapText="1"/>
    </xf>
    <xf numFmtId="165" fontId="63" fillId="0" borderId="0" applyAlignment="1" pivotButton="0" quotePrefix="0" xfId="0">
      <alignment horizontal="center" vertical="center"/>
    </xf>
    <xf numFmtId="164" fontId="68" fillId="0" borderId="0" applyAlignment="1" pivotButton="0" quotePrefix="0" xfId="0">
      <alignment horizontal="center" vertical="center"/>
    </xf>
    <xf numFmtId="164" fontId="58" fillId="0" borderId="0" pivotButton="0" quotePrefix="0" xfId="0"/>
    <xf numFmtId="166" fontId="69" fillId="0" borderId="0" applyAlignment="1" pivotButton="0" quotePrefix="0" xfId="0">
      <alignment horizontal="center" vertical="center"/>
    </xf>
    <xf numFmtId="164" fontId="70" fillId="0" borderId="0" applyAlignment="1" pivotButton="0" quotePrefix="0" xfId="0">
      <alignment horizontal="center" vertical="center" wrapText="1"/>
    </xf>
    <xf numFmtId="164" fontId="69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4" fontId="73" fillId="0" borderId="0" applyAlignment="1" pivotButton="0" quotePrefix="0" xfId="0">
      <alignment horizontal="center" vertical="center"/>
    </xf>
    <xf numFmtId="164" fontId="0" fillId="0" borderId="0" pivotButton="0" quotePrefix="0" xfId="0"/>
    <xf numFmtId="167" fontId="10" fillId="0" borderId="0" pivotButton="0" quotePrefix="0" xfId="0"/>
    <xf numFmtId="167" fontId="74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6" fontId="19" fillId="2" borderId="0" applyAlignment="1" pivotButton="0" quotePrefix="0" xfId="0">
      <alignment horizontal="center" vertical="center"/>
    </xf>
    <xf numFmtId="164" fontId="59" fillId="0" borderId="0" pivotButton="0" quotePrefix="0" xfId="0"/>
    <xf numFmtId="166" fontId="65" fillId="0" borderId="0" applyAlignment="1" pivotButton="0" quotePrefix="0" xfId="0">
      <alignment horizontal="center" vertical="center"/>
    </xf>
    <xf numFmtId="165" fontId="65" fillId="0" borderId="0" applyAlignment="1" pivotButton="0" quotePrefix="0" xfId="0">
      <alignment horizontal="center" vertical="center"/>
    </xf>
    <xf numFmtId="164" fontId="77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67" fontId="78" fillId="0" borderId="0" pivotButton="0" quotePrefix="0" xfId="0"/>
    <xf numFmtId="164" fontId="0" fillId="0" borderId="0" applyAlignment="1" pivotButton="0" quotePrefix="0" xfId="0">
      <alignment horizontal="left" vertical="center"/>
    </xf>
    <xf numFmtId="164" fontId="0" fillId="7" borderId="0" applyAlignment="1" pivotButton="0" quotePrefix="0" xfId="0">
      <alignment horizontal="left" vertical="center"/>
    </xf>
    <xf numFmtId="164" fontId="0" fillId="8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4" fontId="0" fillId="0" borderId="0" applyAlignment="1" pivotButton="0" quotePrefix="0" xfId="0">
      <alignment horizontal="center" vertical="center"/>
    </xf>
    <xf numFmtId="164" fontId="45" fillId="9" borderId="1" applyAlignment="1" pivotButton="0" quotePrefix="0" xfId="0">
      <alignment horizontal="left" vertical="center"/>
    </xf>
    <xf numFmtId="164" fontId="46" fillId="7" borderId="1" applyAlignment="1" pivotButton="0" quotePrefix="0" xfId="0">
      <alignment horizontal="left" vertical="center"/>
    </xf>
    <xf numFmtId="164" fontId="46" fillId="8" borderId="1" applyAlignment="1" pivotButton="0" quotePrefix="0" xfId="0">
      <alignment horizontal="left" vertical="center"/>
    </xf>
    <xf numFmtId="164" fontId="44" fillId="8" borderId="1" applyAlignment="1" pivotButton="0" quotePrefix="0" xfId="0">
      <alignment horizontal="left" vertical="center"/>
    </xf>
    <xf numFmtId="164" fontId="45" fillId="9" borderId="1" applyAlignment="1" pivotButton="0" quotePrefix="0" xfId="0">
      <alignment horizontal="center" vertical="center"/>
    </xf>
    <xf numFmtId="174" fontId="45" fillId="9" borderId="1" applyAlignment="1" pivotButton="0" quotePrefix="0" xfId="0">
      <alignment horizontal="center" vertical="center"/>
    </xf>
    <xf numFmtId="164" fontId="45" fillId="9" borderId="9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 wrapText="1"/>
    </xf>
    <xf numFmtId="164" fontId="47" fillId="0" borderId="1" applyAlignment="1" pivotButton="0" quotePrefix="0" xfId="0">
      <alignment horizontal="left" vertical="center"/>
    </xf>
    <xf numFmtId="164" fontId="47" fillId="7" borderId="1" applyAlignment="1" pivotButton="0" quotePrefix="0" xfId="0">
      <alignment horizontal="left" vertical="center"/>
    </xf>
    <xf numFmtId="164" fontId="47" fillId="8" borderId="1" applyAlignment="1" pivotButton="0" quotePrefix="0" xfId="0">
      <alignment horizontal="left" vertical="center"/>
    </xf>
    <xf numFmtId="174" fontId="47" fillId="0" borderId="1" applyAlignment="1" pivotButton="0" quotePrefix="0" xfId="0">
      <alignment horizontal="center" vertical="center"/>
    </xf>
    <xf numFmtId="164" fontId="4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48" fillId="0" borderId="1" applyAlignment="1" pivotButton="0" quotePrefix="0" xfId="0">
      <alignment horizontal="left" vertical="center"/>
    </xf>
    <xf numFmtId="164" fontId="48" fillId="7" borderId="1" applyAlignment="1" pivotButton="0" quotePrefix="0" xfId="0">
      <alignment horizontal="left" vertical="center"/>
    </xf>
    <xf numFmtId="164" fontId="44" fillId="0" borderId="1" applyAlignment="1" pivotButton="0" quotePrefix="0" xfId="0">
      <alignment horizontal="left" vertical="center"/>
    </xf>
    <xf numFmtId="164" fontId="44" fillId="0" borderId="1" applyAlignment="1" pivotButton="0" quotePrefix="0" xfId="0">
      <alignment horizontal="center" vertical="center"/>
    </xf>
    <xf numFmtId="164" fontId="49" fillId="0" borderId="0" applyAlignment="1" pivotButton="0" quotePrefix="0" xfId="0">
      <alignment vertical="center"/>
    </xf>
    <xf numFmtId="164" fontId="0" fillId="2" borderId="1" applyAlignment="1" pivotButton="0" quotePrefix="0" xfId="0">
      <alignment horizontal="left" vertical="center"/>
    </xf>
    <xf numFmtId="164" fontId="50" fillId="7" borderId="1" applyAlignment="1" pivotButton="0" quotePrefix="0" xfId="0">
      <alignment vertical="center"/>
    </xf>
    <xf numFmtId="164" fontId="50" fillId="10" borderId="1" applyAlignment="1" pivotButton="0" quotePrefix="0" xfId="0">
      <alignment vertical="center"/>
    </xf>
    <xf numFmtId="164" fontId="50" fillId="11" borderId="1" applyAlignment="1" pivotButton="0" quotePrefix="0" xfId="0">
      <alignment vertical="center"/>
    </xf>
    <xf numFmtId="164" fontId="51" fillId="11" borderId="1" applyAlignment="1" pivotButton="0" quotePrefix="0" xfId="0">
      <alignment vertical="center"/>
    </xf>
    <xf numFmtId="164" fontId="52" fillId="11" borderId="1" applyAlignment="1" pivotButton="0" quotePrefix="0" xfId="0">
      <alignment vertical="center"/>
    </xf>
    <xf numFmtId="164" fontId="51" fillId="11" borderId="1" applyAlignment="1" pivotButton="0" quotePrefix="0" xfId="0">
      <alignment horizontal="center" vertical="center"/>
    </xf>
    <xf numFmtId="174" fontId="51" fillId="11" borderId="1" applyAlignment="1" pivotButton="0" quotePrefix="0" xfId="0">
      <alignment horizontal="center" vertical="center"/>
    </xf>
    <xf numFmtId="164" fontId="50" fillId="11" borderId="10" applyAlignment="1" pivotButton="0" quotePrefix="0" xfId="0">
      <alignment vertical="center"/>
    </xf>
    <xf numFmtId="164" fontId="10" fillId="11" borderId="10" applyAlignment="1" pivotButton="0" quotePrefix="0" xfId="0">
      <alignment vertical="center"/>
    </xf>
    <xf numFmtId="164" fontId="53" fillId="11" borderId="10" applyAlignment="1" pivotButton="0" quotePrefix="0" xfId="0">
      <alignment vertical="center"/>
    </xf>
    <xf numFmtId="164" fontId="10" fillId="11" borderId="10" applyAlignment="1" pivotButton="0" quotePrefix="0" xfId="0">
      <alignment horizontal="center" vertical="center"/>
    </xf>
    <xf numFmtId="174" fontId="10" fillId="11" borderId="10" applyAlignment="1" pivotButton="0" quotePrefix="0" xfId="0">
      <alignment horizontal="center" vertical="center"/>
    </xf>
    <xf numFmtId="164" fontId="10" fillId="11" borderId="11" applyAlignment="1" pivotButton="0" quotePrefix="0" xfId="0">
      <alignment vertical="center"/>
    </xf>
    <xf numFmtId="164" fontId="47" fillId="0" borderId="1" applyAlignment="1" pivotButton="0" quotePrefix="0" xfId="0">
      <alignment vertical="center"/>
    </xf>
    <xf numFmtId="164" fontId="44" fillId="0" borderId="1" applyAlignment="1" pivotButton="0" quotePrefix="0" xfId="0">
      <alignment vertical="center"/>
    </xf>
    <xf numFmtId="164" fontId="44" fillId="0" borderId="0" applyAlignment="1" pivotButton="0" quotePrefix="0" xfId="0">
      <alignment vertical="center"/>
    </xf>
    <xf numFmtId="164" fontId="44" fillId="0" borderId="0" applyAlignment="1" pivotButton="0" quotePrefix="0" xfId="0">
      <alignment horizontal="left" vertical="center"/>
    </xf>
    <xf numFmtId="164" fontId="44" fillId="7" borderId="1" applyAlignment="1" pivotButton="0" quotePrefix="0" xfId="0">
      <alignment horizontal="left" vertical="center"/>
    </xf>
    <xf numFmtId="174" fontId="44" fillId="0" borderId="1" applyAlignment="1" pivotButton="0" quotePrefix="0" xfId="0">
      <alignment horizontal="center" vertical="center"/>
    </xf>
    <xf numFmtId="164" fontId="54" fillId="7" borderId="1" applyAlignment="1" pivotButton="0" quotePrefix="0" xfId="0">
      <alignment horizontal="left" vertical="center"/>
    </xf>
    <xf numFmtId="164" fontId="48" fillId="8" borderId="1" applyAlignment="1" pivotButton="0" quotePrefix="0" xfId="0">
      <alignment horizontal="left" vertical="center"/>
    </xf>
    <xf numFmtId="164" fontId="0" fillId="0" borderId="12" applyAlignment="1" pivotButton="0" quotePrefix="0" xfId="0">
      <alignment vertical="center"/>
    </xf>
    <xf numFmtId="174" fontId="0" fillId="0" borderId="12" applyAlignment="1" pivotButton="0" quotePrefix="0" xfId="0">
      <alignment horizontal="center" vertical="center"/>
    </xf>
    <xf numFmtId="164" fontId="0" fillId="7" borderId="12" applyAlignment="1" pivotButton="0" quotePrefix="0" xfId="0">
      <alignment horizontal="left" vertical="center"/>
    </xf>
    <xf numFmtId="164" fontId="0" fillId="8" borderId="12" applyAlignment="1" pivotButton="0" quotePrefix="0" xfId="0">
      <alignment horizontal="left" vertical="center"/>
    </xf>
    <xf numFmtId="164" fontId="0" fillId="0" borderId="12" applyAlignment="1" pivotButton="0" quotePrefix="0" xfId="0">
      <alignment horizontal="left" vertical="center"/>
    </xf>
    <xf numFmtId="164" fontId="55" fillId="0" borderId="1" applyAlignment="1" pivotButton="0" quotePrefix="0" xfId="0">
      <alignment vertical="center"/>
    </xf>
    <xf numFmtId="164" fontId="54" fillId="8" borderId="12" applyAlignment="1" pivotButton="0" quotePrefix="0" xfId="0">
      <alignment horizontal="left" vertical="center"/>
    </xf>
    <xf numFmtId="164" fontId="44" fillId="0" borderId="12" applyAlignment="1" pivotButton="0" quotePrefix="0" xfId="0">
      <alignment horizontal="left" vertical="center"/>
    </xf>
    <xf numFmtId="174" fontId="0" fillId="0" borderId="0" applyAlignment="1" pivotButton="0" quotePrefix="0" xfId="0">
      <alignment horizontal="center"/>
    </xf>
    <xf numFmtId="164" fontId="54" fillId="8" borderId="1" applyAlignment="1" pivotButton="0" quotePrefix="0" xfId="0">
      <alignment horizontal="left" vertical="center"/>
    </xf>
    <xf numFmtId="164" fontId="0" fillId="0" borderId="1" pivotButton="0" quotePrefix="0" xfId="0"/>
    <xf numFmtId="164" fontId="0" fillId="0" borderId="9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4" fontId="0" fillId="6" borderId="1" pivotButton="0" quotePrefix="0" xfId="0"/>
    <xf numFmtId="164" fontId="0" fillId="6" borderId="1" applyAlignment="1" pivotButton="0" quotePrefix="0" xfId="0">
      <alignment horizontal="left" vertical="center"/>
    </xf>
    <xf numFmtId="164" fontId="55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74" fontId="0" fillId="6" borderId="1" applyAlignment="1" pivotButton="0" quotePrefix="0" xfId="0">
      <alignment horizontal="center" vertical="center"/>
    </xf>
    <xf numFmtId="164" fontId="0" fillId="7" borderId="1" pivotButton="0" quotePrefix="0" xfId="0"/>
    <xf numFmtId="174" fontId="0" fillId="0" borderId="1" applyAlignment="1" pivotButton="0" quotePrefix="0" xfId="0">
      <alignment horizontal="center"/>
    </xf>
    <xf numFmtId="164" fontId="0" fillId="6" borderId="0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 wrapText="1"/>
    </xf>
    <xf numFmtId="164" fontId="56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 vertical="center" wrapText="1"/>
    </xf>
    <xf numFmtId="164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71" fontId="23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 wrapText="1"/>
    </xf>
    <xf numFmtId="171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left"/>
    </xf>
    <xf numFmtId="164" fontId="2" fillId="0" borderId="0" applyAlignment="1" pivotButton="0" quotePrefix="1" xfId="0">
      <alignment horizontal="left"/>
    </xf>
    <xf numFmtId="165" fontId="2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/>
    </xf>
    <xf numFmtId="168" fontId="7" fillId="0" borderId="0" applyAlignment="1" pivotButton="0" quotePrefix="0" xfId="0">
      <alignment horizontal="left"/>
    </xf>
    <xf numFmtId="167" fontId="0" fillId="0" borderId="0" applyAlignment="1" pivotButton="0" quotePrefix="1" xfId="0">
      <alignment horizontal="left"/>
    </xf>
    <xf numFmtId="167" fontId="0" fillId="0" borderId="0" applyAlignment="1" pivotButton="0" quotePrefix="0" xfId="0">
      <alignment horizontal="left"/>
    </xf>
    <xf numFmtId="169" fontId="0" fillId="0" borderId="0" applyAlignment="1" pivotButton="0" quotePrefix="0" xfId="0">
      <alignment horizontal="left"/>
    </xf>
    <xf numFmtId="172" fontId="0" fillId="0" borderId="0" applyAlignment="1" pivotButton="0" quotePrefix="0" xfId="0">
      <alignment horizontal="left"/>
    </xf>
    <xf numFmtId="164" fontId="7" fillId="0" borderId="0" pivotButton="0" quotePrefix="0" xfId="0"/>
    <xf numFmtId="164" fontId="21" fillId="0" borderId="0" applyAlignment="1" pivotButton="0" quotePrefix="0" xfId="0">
      <alignment horizontal="left"/>
    </xf>
    <xf numFmtId="166" fontId="27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left" vertical="center" wrapText="1"/>
    </xf>
    <xf numFmtId="165" fontId="27" fillId="0" borderId="0" applyAlignment="1" pivotButton="0" quotePrefix="0" xfId="0">
      <alignment horizontal="left" vertical="center"/>
    </xf>
    <xf numFmtId="171" fontId="15" fillId="0" borderId="1" applyAlignment="1" pivotButton="0" quotePrefix="0" xfId="0">
      <alignment horizontal="center" vertical="center"/>
    </xf>
    <xf numFmtId="171" fontId="15" fillId="0" borderId="1" applyAlignment="1" pivotButton="0" quotePrefix="0" xfId="0">
      <alignment horizontal="left" vertical="center"/>
    </xf>
    <xf numFmtId="165" fontId="31" fillId="0" borderId="4" pivotButton="0" quotePrefix="0" xfId="0"/>
    <xf numFmtId="165" fontId="31" fillId="0" borderId="4" applyAlignment="1" pivotButton="0" quotePrefix="0" xfId="0">
      <alignment horizontal="left"/>
    </xf>
    <xf numFmtId="164" fontId="29" fillId="0" borderId="0" pivotButton="0" quotePrefix="0" xfId="0"/>
    <xf numFmtId="165" fontId="12" fillId="0" borderId="1" pivotButton="0" quotePrefix="0" xfId="0"/>
    <xf numFmtId="171" fontId="15" fillId="0" borderId="5" applyAlignment="1" pivotButton="0" quotePrefix="0" xfId="0">
      <alignment horizontal="center" vertical="center"/>
    </xf>
    <xf numFmtId="165" fontId="13" fillId="0" borderId="1" pivotButton="0" quotePrefix="0" xfId="0"/>
    <xf numFmtId="164" fontId="0" fillId="2" borderId="0" applyAlignment="1" pivotButton="0" quotePrefix="0" xfId="0">
      <alignment horizontal="left"/>
    </xf>
    <xf numFmtId="166" fontId="6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 wrapText="1"/>
    </xf>
    <xf numFmtId="165" fontId="12" fillId="2" borderId="1" pivotButton="0" quotePrefix="0" xfId="0"/>
    <xf numFmtId="173" fontId="0" fillId="0" borderId="0" applyAlignment="1" pivotButton="0" quotePrefix="0" xfId="0">
      <alignment vertical="center"/>
    </xf>
    <xf numFmtId="166" fontId="0" fillId="0" borderId="0" pivotButton="0" quotePrefix="0" xfId="0"/>
    <xf numFmtId="164" fontId="32" fillId="0" borderId="0" pivotButton="0" quotePrefix="1" xfId="0"/>
    <xf numFmtId="164" fontId="32" fillId="0" borderId="0" pivotButton="0" quotePrefix="0" xfId="0"/>
    <xf numFmtId="165" fontId="31" fillId="0" borderId="1" pivotButton="0" quotePrefix="0" xfId="0"/>
    <xf numFmtId="165" fontId="31" fillId="0" borderId="5" pivotButton="0" quotePrefix="0" xfId="0"/>
    <xf numFmtId="165" fontId="13" fillId="0" borderId="4" pivotButton="0" quotePrefix="0" xfId="0"/>
    <xf numFmtId="166" fontId="0" fillId="0" borderId="1" pivotButton="0" quotePrefix="0" xfId="0"/>
    <xf numFmtId="164" fontId="36" fillId="0" borderId="0" pivotButton="0" quotePrefix="0" xfId="0"/>
    <xf numFmtId="164" fontId="37" fillId="0" borderId="0" pivotButton="0" quotePrefix="1" xfId="0"/>
    <xf numFmtId="164" fontId="0" fillId="0" borderId="0" pivotButton="0" quotePrefix="1" xfId="0"/>
    <xf numFmtId="164" fontId="38" fillId="0" borderId="0" pivotButton="0" quotePrefix="0" xfId="0"/>
    <xf numFmtId="164" fontId="39" fillId="0" borderId="0" pivotButton="0" quotePrefix="0" xfId="0"/>
    <xf numFmtId="164" fontId="40" fillId="0" borderId="0" pivotButton="0" quotePrefix="0" xfId="0"/>
    <xf numFmtId="164" fontId="41" fillId="0" borderId="0" pivotButton="0" quotePrefix="0" xfId="0"/>
    <xf numFmtId="164" fontId="42" fillId="0" borderId="0" pivotButton="0" quotePrefix="0" xfId="0"/>
    <xf numFmtId="164" fontId="43" fillId="0" borderId="0" pivotButton="0" quotePrefix="0" xfId="0"/>
    <xf numFmtId="165" fontId="31" fillId="0" borderId="7" pivotButton="0" quotePrefix="0" xfId="0"/>
    <xf numFmtId="1" fontId="0" fillId="0" borderId="0" pivotButton="0" quotePrefix="0" xfId="0"/>
    <xf numFmtId="181" fontId="0" fillId="0" borderId="0" pivotButton="0" quotePrefix="0" xfId="0"/>
    <xf numFmtId="2" fontId="0" fillId="0" borderId="0" pivotButton="0" quotePrefix="0" xfId="0"/>
    <xf numFmtId="170" fontId="0" fillId="0" borderId="0" applyAlignment="1" pivotButton="0" quotePrefix="0" xfId="0">
      <alignment horizontal="right"/>
    </xf>
    <xf numFmtId="170" fontId="3" fillId="0" borderId="1" applyAlignment="1" pivotButton="0" quotePrefix="0" xfId="0">
      <alignment horizontal="right" vertical="center" wrapText="1"/>
    </xf>
    <xf numFmtId="170" fontId="19" fillId="0" borderId="1" applyAlignment="1" pivotButton="0" quotePrefix="0" xfId="0">
      <alignment horizontal="right" vertical="center"/>
    </xf>
    <xf numFmtId="165" fontId="12" fillId="0" borderId="0" pivotButton="0" quotePrefix="0" xfId="0"/>
    <xf numFmtId="165" fontId="14" fillId="0" borderId="1" applyAlignment="1" pivotButton="0" quotePrefix="0" xfId="1">
      <alignment horizontal="center"/>
    </xf>
    <xf numFmtId="164" fontId="8" fillId="4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5" fontId="2" fillId="2" borderId="0" applyAlignment="1" pivotButton="0" quotePrefix="0" xfId="0">
      <alignment horizontal="center"/>
    </xf>
    <xf numFmtId="168" fontId="7" fillId="0" borderId="0" pivotButton="0" quotePrefix="0" xfId="0"/>
    <xf numFmtId="167" fontId="0" fillId="0" borderId="0" pivotButton="0" quotePrefix="0" xfId="0"/>
    <xf numFmtId="167" fontId="0" fillId="3" borderId="0" pivotButton="0" quotePrefix="0" xfId="0"/>
    <xf numFmtId="169" fontId="0" fillId="3" borderId="0" pivotButton="0" quotePrefix="0" xfId="0"/>
    <xf numFmtId="181" fontId="0" fillId="0" borderId="0" pivotButton="0" quotePrefix="0" xfId="0"/>
  </cellXfs>
  <cellStyles count="11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0,0_x000d__x000a_NA_x000d__x000a_ 2" xfId="50"/>
    <cellStyle name="20% - 着色 1 2" xfId="51"/>
    <cellStyle name="20% - 着色 2 2" xfId="52"/>
    <cellStyle name="20% - 着色 3 2" xfId="53"/>
    <cellStyle name="20% - 着色 4 2" xfId="54"/>
    <cellStyle name="20% - 着色 5 2" xfId="55"/>
    <cellStyle name="20% - 着色 6 2" xfId="56"/>
    <cellStyle name="40% - 着色 1 2" xfId="57"/>
    <cellStyle name="40% - 着色 2 2" xfId="58"/>
    <cellStyle name="40% - 着色 3 2" xfId="59"/>
    <cellStyle name="40% - 着色 4 2" xfId="60"/>
    <cellStyle name="40% - 着色 5 2" xfId="61"/>
    <cellStyle name="40% - 着色 6 2" xfId="62"/>
    <cellStyle name="60% - 着色 1 2" xfId="63"/>
    <cellStyle name="60% - 着色 2 2" xfId="64"/>
    <cellStyle name="60% - 着色 3 2" xfId="65"/>
    <cellStyle name="60% - 着色 4 2" xfId="66"/>
    <cellStyle name="60% - 着色 5 2" xfId="67"/>
    <cellStyle name="60% - 着色 6 2" xfId="68"/>
    <cellStyle name="Normal 2" xfId="69"/>
    <cellStyle name="Style0" xfId="70"/>
    <cellStyle name="Style2" xfId="71"/>
    <cellStyle name="Style32" xfId="72"/>
    <cellStyle name="百分比 2" xfId="73"/>
    <cellStyle name="百分比 2 2" xfId="74"/>
    <cellStyle name="标题 1 2" xfId="75"/>
    <cellStyle name="标题 2 2" xfId="76"/>
    <cellStyle name="标题 3 2" xfId="77"/>
    <cellStyle name="标题 4 2" xfId="78"/>
    <cellStyle name="标题 5" xfId="79"/>
    <cellStyle name="差 2" xfId="80"/>
    <cellStyle name="常规 2 2 2" xfId="81"/>
    <cellStyle name="常规 2 3" xfId="82"/>
    <cellStyle name="常规 3 2" xfId="83"/>
    <cellStyle name="常规 3 4" xfId="84"/>
    <cellStyle name="常规 5" xfId="85"/>
    <cellStyle name="超链接 2" xfId="86"/>
    <cellStyle name="好 2" xfId="87"/>
    <cellStyle name="汇总 2" xfId="88"/>
    <cellStyle name="计算 2" xfId="89"/>
    <cellStyle name="检查单元格 2" xfId="90"/>
    <cellStyle name="解释性文本 2" xfId="91"/>
    <cellStyle name="警告文本 2" xfId="92"/>
    <cellStyle name="链接单元格 2" xfId="93"/>
    <cellStyle name="千分位 2" xfId="94"/>
    <cellStyle name="千位分隔 2" xfId="95"/>
    <cellStyle name="适中 2" xfId="96"/>
    <cellStyle name="输出 2" xfId="97"/>
    <cellStyle name="输入 2" xfId="98"/>
    <cellStyle name="一般 2 2" xfId="99"/>
    <cellStyle name="백분율 10" xfId="100"/>
    <cellStyle name="着色 1 2" xfId="101"/>
    <cellStyle name="着色 2 2" xfId="102"/>
    <cellStyle name="着色 3 2" xfId="103"/>
    <cellStyle name="着色 4 2" xfId="104"/>
    <cellStyle name="着色 5 2" xfId="105"/>
    <cellStyle name="着色 6 2" xfId="106"/>
    <cellStyle name="注释 2" xfId="107"/>
    <cellStyle name="쉼표 [0] 10" xfId="108"/>
    <cellStyle name="표준 9" xfId="109"/>
    <cellStyle name="Normal" xfId="11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externalLink" Target="/xl/externalLinks/externalLink1.xml" Id="rId19"/><Relationship Type="http://schemas.openxmlformats.org/officeDocument/2006/relationships/externalLink" Target="/xl/externalLinks/externalLink2.xml" Id="rId20"/><Relationship Type="http://schemas.openxmlformats.org/officeDocument/2006/relationships/externalLink" Target="/xl/externalLinks/externalLink3.xml" Id="rId21"/><Relationship Type="http://schemas.openxmlformats.org/officeDocument/2006/relationships/externalLink" Target="/xl/externalLinks/externalLink4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F185" authorId="0" shapeId="0">
      <text>
        <t>Microsoft Office User:原编码为Y09JY1362X00</t>
      </text>
    </comment>
    <comment ref="F186" authorId="0" shapeId="0">
      <text>
        <t>Microsoft Office User:
原编码为Y09JY1362Y01</t>
      </text>
    </comment>
    <comment ref="G200" authorId="0" shapeId="0">
      <text>
        <t>Microsoft Office User:修改前为TMQE38A-EAZU</t>
      </text>
    </comment>
    <comment ref="G201" authorId="0" shapeId="0">
      <text>
        <t>Microsoft Office User:修改前为TMQE38A-EAZU</t>
      </text>
    </comment>
    <comment ref="G202" authorId="0" shapeId="0">
      <text>
        <t>Microsoft Office User:修改前为TMQE38A-EAZU</t>
      </text>
    </comment>
    <comment ref="E203" authorId="0" shapeId="0">
      <text>
        <t>Microsoft Office User修改前为BM1366</t>
      </text>
    </comment>
    <comment ref="G203" authorId="0" shapeId="0">
      <text>
        <t>Microsoft Office User:
原先为TMQE38A-EAZU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IC&#20132;&#20184;&#24037;&#20316;&#20869;&#23481;\&#37319;&#36141;&#35746;&#21333;\23~25&#39321;&#28207;&#26032;&#21152;&#22369;&#33455;&#29255;&#36827;&#21475;&#37319;&#36141;&#35746;&#21333;0204%20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Users\junjie.huang\Desktop\1403&#38144;&#21806;&#35746;&#21333;&#26126;&#32454;&#25253;&#34920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junjie.huang\Downloads\BHSC_&#38144;&#21806;&#35746;&#21333;&#26126;&#32454;&#25253;&#34920;_060825.html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&#24037;&#20316;&#31807;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统计表"/>
      <sheetName val="2月"/>
      <sheetName val="3月"/>
      <sheetName val="4月"/>
      <sheetName val="5月"/>
      <sheetName val="5月（海南）"/>
      <sheetName val="6月（海南）"/>
      <sheetName val="7月（香港）"/>
      <sheetName val="2023（香港）"/>
      <sheetName val="2024（香港）"/>
      <sheetName val="2025（香港） "/>
      <sheetName val="编码对账表"/>
      <sheetName val="芯片退运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C1" t="str">
            <v>芯片名称</v>
          </cell>
          <cell r="D1" t="str">
            <v>物料编码</v>
          </cell>
        </row>
        <row r="2">
          <cell r="C2" t="str">
            <v>BM1390S</v>
          </cell>
          <cell r="D2" t="str">
            <v>Y09BM1390S10</v>
          </cell>
        </row>
        <row r="3">
          <cell r="C3" t="str">
            <v>BM1390P</v>
          </cell>
          <cell r="D3" t="str">
            <v>Y09BM1390P10</v>
          </cell>
        </row>
        <row r="4">
          <cell r="C4" t="str">
            <v>BM1390C</v>
          </cell>
          <cell r="D4" t="str">
            <v>Y09BM1390C00</v>
          </cell>
        </row>
        <row r="5">
          <cell r="C5" t="str">
            <v>BM1390G</v>
          </cell>
          <cell r="D5" t="str">
            <v>Y09BM1390G20</v>
          </cell>
        </row>
        <row r="6">
          <cell r="C6" t="str">
            <v>BM1390SE</v>
          </cell>
          <cell r="D6" t="str">
            <v>Y09BM1390130</v>
          </cell>
        </row>
        <row r="7">
          <cell r="C7" t="str">
            <v>BM1485AE</v>
          </cell>
          <cell r="D7" t="str">
            <v>Y09BM1485110</v>
          </cell>
        </row>
        <row r="8">
          <cell r="C8" t="str">
            <v>BM1720</v>
          </cell>
          <cell r="D8" t="str">
            <v>Y09BM1720010</v>
          </cell>
        </row>
        <row r="9">
          <cell r="C9" t="str">
            <v>BM1700</v>
          </cell>
          <cell r="D9" t="str">
            <v>Y09BM1700000</v>
          </cell>
        </row>
        <row r="10">
          <cell r="C10" t="str">
            <v>BM1700B</v>
          </cell>
          <cell r="D10" t="str">
            <v>Y09BM1700B00</v>
          </cell>
        </row>
        <row r="11">
          <cell r="C11" t="str">
            <v>BM1700C</v>
          </cell>
          <cell r="D11" t="str">
            <v>Y09BM1370C00</v>
          </cell>
        </row>
        <row r="12">
          <cell r="C12" t="str">
            <v>BM1385L2</v>
          </cell>
          <cell r="D12" t="str">
            <v>Y09BM1385101</v>
          </cell>
        </row>
        <row r="13">
          <cell r="C13" t="str">
            <v>BM1580L2</v>
          </cell>
          <cell r="D13" t="str">
            <v>Y09BM1580000</v>
          </cell>
        </row>
        <row r="14">
          <cell r="C14" t="str">
            <v>BM1580L3</v>
          </cell>
          <cell r="D14" t="str">
            <v>Y09BM1580010</v>
          </cell>
        </row>
        <row r="15">
          <cell r="C15" t="str">
            <v>BM17A0</v>
          </cell>
          <cell r="D15">
            <v>0</v>
          </cell>
        </row>
        <row r="16">
          <cell r="C16" t="str">
            <v>BM1790</v>
          </cell>
          <cell r="D16" t="str">
            <v>Y09BM1790001</v>
          </cell>
        </row>
        <row r="17">
          <cell r="C17" t="str">
            <v>BM1790</v>
          </cell>
          <cell r="D17" t="str">
            <v>Y09BM1790001</v>
          </cell>
        </row>
        <row r="18">
          <cell r="C18" t="str">
            <v>BM1790</v>
          </cell>
          <cell r="D18" t="str">
            <v>Y09BM1790001</v>
          </cell>
        </row>
        <row r="19">
          <cell r="C19" t="str">
            <v>BM1790</v>
          </cell>
          <cell r="D19" t="str">
            <v>Y09BM1790001</v>
          </cell>
        </row>
        <row r="20">
          <cell r="C20" t="str">
            <v>BM1790E</v>
          </cell>
          <cell r="D20" t="str">
            <v>Y09BM1790E10</v>
          </cell>
        </row>
        <row r="21">
          <cell r="C21" t="str">
            <v>BM1485L2</v>
          </cell>
          <cell r="D21" t="str">
            <v>Y09BM1485001</v>
          </cell>
        </row>
        <row r="22">
          <cell r="C22" t="str">
            <v>BM1740</v>
          </cell>
          <cell r="D22" t="str">
            <v>Y09BM1740000</v>
          </cell>
        </row>
        <row r="23">
          <cell r="C23" t="str">
            <v>BM1387BH</v>
          </cell>
          <cell r="D23" t="str">
            <v>Y09BM138BH60</v>
          </cell>
        </row>
        <row r="24">
          <cell r="C24" t="str">
            <v>BM1387BE</v>
          </cell>
          <cell r="D24" t="str">
            <v>Y09BM138BE0E</v>
          </cell>
        </row>
        <row r="25">
          <cell r="C25" t="str">
            <v>BM1682</v>
          </cell>
          <cell r="D25" t="str">
            <v>Y09BM1682000</v>
          </cell>
        </row>
        <row r="26">
          <cell r="C26" t="str">
            <v>BM1682_A</v>
          </cell>
          <cell r="D26" t="str">
            <v>Y09BM1682A11</v>
          </cell>
        </row>
        <row r="27">
          <cell r="C27" t="str">
            <v>BM1682_B</v>
          </cell>
          <cell r="D27" t="str">
            <v>Y09BM1682B11</v>
          </cell>
        </row>
        <row r="28">
          <cell r="C28" t="str">
            <v>BM1760</v>
          </cell>
          <cell r="D28" t="str">
            <v>Y09BM1760010</v>
          </cell>
        </row>
        <row r="29">
          <cell r="C29" t="str">
            <v>BM1760B</v>
          </cell>
          <cell r="D29" t="str">
            <v>Y09BM1760B00</v>
          </cell>
        </row>
        <row r="30">
          <cell r="C30" t="str">
            <v>BM1760BE</v>
          </cell>
          <cell r="D30" t="str">
            <v>Y09BM1760B10</v>
          </cell>
        </row>
        <row r="31">
          <cell r="C31" t="str">
            <v>BM1393P</v>
          </cell>
          <cell r="D31" t="str">
            <v>Y09BM1393P00</v>
          </cell>
        </row>
        <row r="32">
          <cell r="C32" t="str">
            <v>BM1393PC</v>
          </cell>
          <cell r="D32" t="str">
            <v>Y09BM1393100</v>
          </cell>
        </row>
        <row r="33">
          <cell r="C33" t="str">
            <v>BM1393</v>
          </cell>
          <cell r="D33" t="str">
            <v>Y09BM1393000</v>
          </cell>
        </row>
        <row r="34">
          <cell r="C34" t="str">
            <v>BM1393C</v>
          </cell>
          <cell r="D34" t="str">
            <v>Y09BM1393C00</v>
          </cell>
        </row>
        <row r="35">
          <cell r="C35" t="str">
            <v>BM1393B</v>
          </cell>
          <cell r="D35" t="str">
            <v>Y09BM1393B00</v>
          </cell>
        </row>
        <row r="36">
          <cell r="C36" t="str">
            <v>BM1393BC</v>
          </cell>
          <cell r="D36" t="str">
            <v>Y09BM1393B10</v>
          </cell>
        </row>
        <row r="37">
          <cell r="C37" t="str">
            <v>BM1393_BGM</v>
          </cell>
          <cell r="D37" t="str">
            <v>Y09BM1393300</v>
          </cell>
        </row>
        <row r="38">
          <cell r="C38" t="str">
            <v>BM1393B_BGM</v>
          </cell>
          <cell r="D38" t="str">
            <v>Y09BM1393B30</v>
          </cell>
        </row>
        <row r="39">
          <cell r="C39" t="str">
            <v>BM1393B_BGM_CP</v>
          </cell>
          <cell r="D39" t="e">
            <v>#N/A</v>
          </cell>
        </row>
        <row r="40">
          <cell r="C40" t="str">
            <v>BM1393C_BGM</v>
          </cell>
          <cell r="D40" t="str">
            <v>Y09BM1393C10</v>
          </cell>
        </row>
        <row r="41">
          <cell r="C41" t="str">
            <v>BM1393BC_BGM</v>
          </cell>
          <cell r="D41" t="str">
            <v>Y09BM1393B40</v>
          </cell>
        </row>
        <row r="42">
          <cell r="C42" t="str">
            <v>BM1393C1</v>
          </cell>
          <cell r="D42" t="str">
            <v>Y09BM1393C40</v>
          </cell>
        </row>
        <row r="43">
          <cell r="C43" t="str">
            <v>BM1393BC1</v>
          </cell>
          <cell r="D43" t="str">
            <v>Y09BM1393C60</v>
          </cell>
        </row>
        <row r="44">
          <cell r="C44" t="str">
            <v>BM1393C1_BGM</v>
          </cell>
          <cell r="D44" t="str">
            <v>Y09BM1393C20</v>
          </cell>
        </row>
        <row r="45">
          <cell r="C45" t="str">
            <v>BM1393BC1_BGM</v>
          </cell>
          <cell r="D45" t="str">
            <v>Y09BM1393B50</v>
          </cell>
        </row>
        <row r="46">
          <cell r="C46" t="str">
            <v>BM1393C2</v>
          </cell>
          <cell r="D46" t="str">
            <v>Y09BM1393C50</v>
          </cell>
        </row>
        <row r="47">
          <cell r="C47" t="str">
            <v>BM1393BC2</v>
          </cell>
          <cell r="D47" t="str">
            <v>Y09BM1393C70</v>
          </cell>
        </row>
        <row r="48">
          <cell r="C48" t="str">
            <v>BM1393C2_BGM</v>
          </cell>
          <cell r="D48" t="str">
            <v>Y09BM1393C30</v>
          </cell>
        </row>
        <row r="49">
          <cell r="C49" t="str">
            <v>BM1393BC2_BGM</v>
          </cell>
          <cell r="D49" t="str">
            <v>Y09BM1393B60</v>
          </cell>
        </row>
        <row r="50">
          <cell r="C50" t="str">
            <v>BM1393BE</v>
          </cell>
          <cell r="D50" t="str">
            <v>Y09BM1393310</v>
          </cell>
        </row>
        <row r="51">
          <cell r="C51" t="str">
            <v>BM1393BE_BGM</v>
          </cell>
          <cell r="D51" t="str">
            <v>Y09BM1393410</v>
          </cell>
        </row>
        <row r="52">
          <cell r="C52" t="str">
            <v>BM1387BL</v>
          </cell>
          <cell r="D52" t="str">
            <v>Y09BM1387B40</v>
          </cell>
        </row>
        <row r="53">
          <cell r="C53" t="str">
            <v>BM1387BL</v>
          </cell>
          <cell r="D53" t="str">
            <v>Y09BM1387B40</v>
          </cell>
        </row>
        <row r="54">
          <cell r="C54" t="str">
            <v>BM1387BL</v>
          </cell>
          <cell r="D54" t="str">
            <v>Y09BM1387B40</v>
          </cell>
        </row>
        <row r="55">
          <cell r="C55" t="str">
            <v>BM1387BL</v>
          </cell>
          <cell r="D55" t="str">
            <v>Y09BM1387B40</v>
          </cell>
        </row>
        <row r="56">
          <cell r="C56" t="str">
            <v>BM1762AA</v>
          </cell>
          <cell r="D56" t="str">
            <v>Y09BM1762100</v>
          </cell>
        </row>
        <row r="57">
          <cell r="C57" t="str">
            <v>BM1762AB</v>
          </cell>
          <cell r="D57" t="str">
            <v>Y09BM1762200</v>
          </cell>
        </row>
        <row r="58">
          <cell r="C58" t="str">
            <v>BM1762AC</v>
          </cell>
          <cell r="D58" t="str">
            <v>Y09BM1762300</v>
          </cell>
        </row>
        <row r="59">
          <cell r="C59" t="str">
            <v>BM1762AD</v>
          </cell>
          <cell r="D59" t="str">
            <v>Y09BM1762400</v>
          </cell>
        </row>
        <row r="60">
          <cell r="C60" t="str">
            <v>BM1487AA</v>
          </cell>
          <cell r="D60" t="str">
            <v>Y09BM1487100</v>
          </cell>
        </row>
        <row r="61">
          <cell r="C61" t="str">
            <v>BM1487AB</v>
          </cell>
          <cell r="D61" t="str">
            <v>Y09BM1487300</v>
          </cell>
        </row>
        <row r="62">
          <cell r="C62" t="str">
            <v>BM1487AC</v>
          </cell>
          <cell r="D62" t="str">
            <v>Y09BM1487200</v>
          </cell>
        </row>
        <row r="63">
          <cell r="C63" t="str">
            <v>BM1792AA</v>
          </cell>
          <cell r="D63" t="str">
            <v>Y09BM1792100</v>
          </cell>
        </row>
        <row r="64">
          <cell r="C64" t="str">
            <v>BM1722AA</v>
          </cell>
          <cell r="D64" t="str">
            <v>Y09BM1722A10</v>
          </cell>
        </row>
        <row r="65">
          <cell r="C65" t="str">
            <v>BM1792AB</v>
          </cell>
          <cell r="D65" t="str">
            <v>Y09BM1792110</v>
          </cell>
        </row>
        <row r="66">
          <cell r="C66" t="str">
            <v>BM1391AE</v>
          </cell>
          <cell r="D66" t="str">
            <v>Y09BM1391110</v>
          </cell>
        </row>
        <row r="67">
          <cell r="C67" t="str">
            <v>BM1391BE</v>
          </cell>
          <cell r="D67" t="str">
            <v>Y09BM1391210</v>
          </cell>
        </row>
        <row r="68">
          <cell r="C68" t="str">
            <v>BM1391CE</v>
          </cell>
          <cell r="D68" t="str">
            <v>Y09BM1391310</v>
          </cell>
        </row>
        <row r="69">
          <cell r="C69" t="str">
            <v>BM1391DE</v>
          </cell>
          <cell r="D69" t="str">
            <v>Y09BM1391410</v>
          </cell>
        </row>
        <row r="70">
          <cell r="C70" t="str">
            <v>BM1794AA</v>
          </cell>
          <cell r="D70" t="str">
            <v>Y09BM1794110</v>
          </cell>
        </row>
        <row r="71">
          <cell r="C71" t="str">
            <v>BM1880AA-0AC</v>
          </cell>
          <cell r="D71" t="str">
            <v>Y09BM1880110</v>
          </cell>
        </row>
        <row r="72">
          <cell r="C72" t="str">
            <v>BM1880AB-2AC</v>
          </cell>
          <cell r="D72" t="str">
            <v>Y09BM1880220</v>
          </cell>
        </row>
        <row r="73">
          <cell r="C73" t="str">
            <v>BM1393CE_BGM</v>
          </cell>
          <cell r="D73" t="str">
            <v>Y09BM1393510</v>
          </cell>
        </row>
        <row r="74">
          <cell r="C74" t="str">
            <v>BM1393C_BGM</v>
          </cell>
          <cell r="D74" t="str">
            <v>Y09BM1393C10</v>
          </cell>
        </row>
        <row r="75">
          <cell r="C75" t="str">
            <v>BM1890AA-0AC</v>
          </cell>
          <cell r="D75" t="str">
            <v>Y09BM1890110</v>
          </cell>
        </row>
        <row r="76">
          <cell r="C76" t="str">
            <v>BM1890AB-2AC</v>
          </cell>
          <cell r="D76" t="str">
            <v>Y09BM1890220</v>
          </cell>
        </row>
        <row r="77">
          <cell r="C77" t="str">
            <v>BM1387BF</v>
          </cell>
          <cell r="D77" t="str">
            <v>Y09BM138BF0E</v>
          </cell>
        </row>
        <row r="78">
          <cell r="C78" t="str">
            <v>BM1700D</v>
          </cell>
          <cell r="D78" t="str">
            <v>Y09BM1700D00</v>
          </cell>
        </row>
        <row r="79">
          <cell r="C79" t="str">
            <v>BM1390H</v>
          </cell>
          <cell r="D79" t="str">
            <v>Y09BM1390H00</v>
          </cell>
        </row>
        <row r="80">
          <cell r="C80" t="str">
            <v>BM1792BA</v>
          </cell>
          <cell r="D80" t="str">
            <v>Y09BM1792210</v>
          </cell>
        </row>
        <row r="81">
          <cell r="C81" t="str">
            <v>BM1393CE_BP</v>
          </cell>
          <cell r="D81" t="str">
            <v>Y09BM1393710</v>
          </cell>
        </row>
        <row r="82">
          <cell r="C82" t="str">
            <v>BM1393C_BP</v>
          </cell>
          <cell r="D82" t="str">
            <v>Y09BM1393720</v>
          </cell>
        </row>
        <row r="83">
          <cell r="C83" t="str">
            <v>BM1387BP</v>
          </cell>
          <cell r="D83" t="str">
            <v>Y09BM1387101</v>
          </cell>
        </row>
        <row r="84">
          <cell r="C84" t="str">
            <v>BM1387BE</v>
          </cell>
          <cell r="D84" t="str">
            <v>Y09BM138BE0E</v>
          </cell>
        </row>
        <row r="85">
          <cell r="C85" t="str">
            <v>BM1762AE</v>
          </cell>
          <cell r="D85" t="str">
            <v>Y09BM1762510</v>
          </cell>
        </row>
        <row r="86">
          <cell r="C86" t="str">
            <v>BM1794AB</v>
          </cell>
          <cell r="D86" t="str">
            <v>Y09BM1794201</v>
          </cell>
        </row>
        <row r="87">
          <cell r="C87" t="str">
            <v>BM1860AA</v>
          </cell>
          <cell r="D87" t="str">
            <v>Y09BM1860010</v>
          </cell>
        </row>
        <row r="88">
          <cell r="C88" t="str">
            <v>BM1860AB</v>
          </cell>
          <cell r="D88" t="str">
            <v>Y09BM1860110</v>
          </cell>
        </row>
        <row r="89">
          <cell r="C89" t="str">
            <v>BM1860AC</v>
          </cell>
          <cell r="D89" t="str">
            <v>Y09BM1860220</v>
          </cell>
        </row>
        <row r="90">
          <cell r="C90" t="str">
            <v>BM1860AD</v>
          </cell>
          <cell r="D90" t="str">
            <v>Y09BM1860320</v>
          </cell>
        </row>
        <row r="91">
          <cell r="C91" t="str">
            <v>BM1387BM</v>
          </cell>
          <cell r="D91" t="str">
            <v>Y09BM1387270</v>
          </cell>
        </row>
        <row r="92">
          <cell r="C92" t="str">
            <v>BM1387BS</v>
          </cell>
          <cell r="D92" t="str">
            <v>Y09BM1387380</v>
          </cell>
        </row>
        <row r="93">
          <cell r="C93" t="str">
            <v>BM1487AD</v>
          </cell>
          <cell r="D93" t="str">
            <v>Y09BM1487410</v>
          </cell>
        </row>
        <row r="94">
          <cell r="C94" t="str">
            <v>BM1387BI</v>
          </cell>
          <cell r="D94" t="str">
            <v>Y09BM1387490</v>
          </cell>
        </row>
        <row r="95">
          <cell r="C95" t="str">
            <v>BM1387BN</v>
          </cell>
          <cell r="D95" t="str">
            <v>Y09BM13875A0</v>
          </cell>
        </row>
        <row r="96">
          <cell r="C96" t="str">
            <v>BM1725AA</v>
          </cell>
          <cell r="D96" t="str">
            <v>Y09BM1725000</v>
          </cell>
        </row>
        <row r="97">
          <cell r="C97" t="str">
            <v>BM1840AA</v>
          </cell>
          <cell r="D97" t="str">
            <v>Y09BM1840010</v>
          </cell>
        </row>
        <row r="98">
          <cell r="C98" t="str">
            <v>BM1397AA</v>
          </cell>
          <cell r="D98" t="str">
            <v>Y09BM1397010</v>
          </cell>
        </row>
        <row r="99">
          <cell r="C99" t="str">
            <v>BM1397AB</v>
          </cell>
          <cell r="D99" t="str">
            <v>Y09BM1397120</v>
          </cell>
        </row>
        <row r="100">
          <cell r="C100" t="str">
            <v>BM1391AM</v>
          </cell>
          <cell r="D100" t="str">
            <v>Y09BM1391510</v>
          </cell>
        </row>
        <row r="101">
          <cell r="C101" t="str">
            <v>BM18M0AA</v>
          </cell>
          <cell r="D101" t="str">
            <v>Y09BM18M0010</v>
          </cell>
        </row>
        <row r="102">
          <cell r="C102" t="str">
            <v>BM1840BA</v>
          </cell>
          <cell r="D102" t="str">
            <v>Y09BM1840110</v>
          </cell>
        </row>
        <row r="103">
          <cell r="C103" t="str">
            <v>BM1393BM</v>
          </cell>
          <cell r="D103" t="str">
            <v>Y09BM1393810</v>
          </cell>
        </row>
        <row r="104">
          <cell r="C104" t="str">
            <v>BM1393BM_BGM</v>
          </cell>
          <cell r="D104" t="str">
            <v>Y09BM1393910</v>
          </cell>
        </row>
        <row r="105">
          <cell r="C105" t="str">
            <v>BM1393CM_BGM</v>
          </cell>
          <cell r="D105" t="str">
            <v>Y09BM1393A10</v>
          </cell>
        </row>
        <row r="106">
          <cell r="C106" t="str">
            <v>BM1744AA</v>
          </cell>
          <cell r="D106" t="str">
            <v>Y09BM1744010</v>
          </cell>
        </row>
        <row r="107">
          <cell r="C107" t="str">
            <v>BM1391AE</v>
          </cell>
          <cell r="D107" t="str">
            <v>Y09BM1391110</v>
          </cell>
        </row>
        <row r="108">
          <cell r="C108" t="str">
            <v>BM1391AM</v>
          </cell>
          <cell r="D108" t="str">
            <v>Y09BM1391510</v>
          </cell>
        </row>
        <row r="109">
          <cell r="C109" t="str">
            <v>BM1391AE</v>
          </cell>
          <cell r="D109" t="str">
            <v>Y09BM1391110</v>
          </cell>
        </row>
        <row r="110">
          <cell r="C110" t="str">
            <v>BM1391AM</v>
          </cell>
          <cell r="D110" t="str">
            <v>Y09BM1391510</v>
          </cell>
        </row>
        <row r="111">
          <cell r="C111" t="str">
            <v>BM1391AB</v>
          </cell>
          <cell r="D111" t="str">
            <v>Y09BM1391710</v>
          </cell>
        </row>
        <row r="112">
          <cell r="C112" t="str">
            <v>BM1391AN</v>
          </cell>
          <cell r="D112" t="str">
            <v>Y09BM1391810</v>
          </cell>
        </row>
        <row r="113">
          <cell r="C113" t="str">
            <v>BM1487AM</v>
          </cell>
          <cell r="D113" t="str">
            <v>Y09BM1487520</v>
          </cell>
        </row>
        <row r="114">
          <cell r="C114" t="str">
            <v>BM1762AM</v>
          </cell>
          <cell r="D114" t="str">
            <v>Y09BM1762500</v>
          </cell>
        </row>
        <row r="115">
          <cell r="C115" t="str">
            <v>BM1387BG</v>
          </cell>
          <cell r="D115" t="str">
            <v>Y09BM138760E</v>
          </cell>
        </row>
        <row r="116">
          <cell r="C116" t="str">
            <v>BM1397AC</v>
          </cell>
          <cell r="D116" t="str">
            <v>Y09BM1397210</v>
          </cell>
        </row>
        <row r="117">
          <cell r="C117" t="str">
            <v>BM1397AD</v>
          </cell>
          <cell r="D117" t="str">
            <v>Y09BM1397310</v>
          </cell>
        </row>
        <row r="118">
          <cell r="C118" t="str">
            <v>BM1397AE</v>
          </cell>
          <cell r="D118" t="str">
            <v>Y09BM1397420</v>
          </cell>
        </row>
        <row r="119">
          <cell r="C119" t="str">
            <v>BM1397AF</v>
          </cell>
          <cell r="D119" t="str">
            <v>Y09BM1397510</v>
          </cell>
        </row>
        <row r="120">
          <cell r="C120" t="str">
            <v>BM1744AB</v>
          </cell>
          <cell r="D120" t="str">
            <v>Y09BM1744111</v>
          </cell>
        </row>
        <row r="121">
          <cell r="C121" t="str">
            <v>BM1391AC</v>
          </cell>
          <cell r="D121" t="str">
            <v>Y09BM1391910</v>
          </cell>
        </row>
        <row r="122">
          <cell r="C122" t="str">
            <v>BM18M1</v>
          </cell>
          <cell r="D122" t="e">
            <v>#N/A</v>
          </cell>
        </row>
        <row r="123">
          <cell r="C123" t="str">
            <v>BM1397AG</v>
          </cell>
          <cell r="D123" t="str">
            <v>Y09BM1397610</v>
          </cell>
        </row>
        <row r="124">
          <cell r="C124" t="str">
            <v>BM1397AH</v>
          </cell>
          <cell r="D124" t="str">
            <v>Y09BM1397710</v>
          </cell>
        </row>
        <row r="125">
          <cell r="C125" t="str">
            <v>BM1397AI</v>
          </cell>
          <cell r="D125" t="str">
            <v>Y09BM1397830</v>
          </cell>
        </row>
        <row r="126">
          <cell r="C126" t="str">
            <v>BM1684AA</v>
          </cell>
          <cell r="D126" t="str">
            <v>Y09BM1684011</v>
          </cell>
        </row>
        <row r="127">
          <cell r="C127" t="str">
            <v>BM1396AA</v>
          </cell>
          <cell r="D127" t="str">
            <v>Y09BM1396010</v>
          </cell>
        </row>
        <row r="128">
          <cell r="C128" t="str">
            <v>BM1396AB</v>
          </cell>
          <cell r="D128" t="str">
            <v>Y09BM1396120</v>
          </cell>
        </row>
        <row r="129">
          <cell r="C129" t="str">
            <v>BM1396AC</v>
          </cell>
          <cell r="D129" t="str">
            <v>Y09BM1396310</v>
          </cell>
        </row>
        <row r="130">
          <cell r="C130" t="str">
            <v>BM1396AD</v>
          </cell>
          <cell r="D130" t="str">
            <v>Y09BM1396420</v>
          </cell>
        </row>
        <row r="131">
          <cell r="C131" t="str">
            <v>BM18M3L</v>
          </cell>
          <cell r="D131" t="str">
            <v>Y09BM18M3110</v>
          </cell>
        </row>
        <row r="132">
          <cell r="C132" t="str">
            <v>BM19M4S</v>
          </cell>
          <cell r="D132" t="str">
            <v>Y09BM19M4110</v>
          </cell>
        </row>
        <row r="133">
          <cell r="C133" t="str">
            <v>BM1744BA</v>
          </cell>
          <cell r="D133" t="str">
            <v>Y09BM1744210</v>
          </cell>
        </row>
        <row r="134">
          <cell r="C134" t="str">
            <v>BM1744BB</v>
          </cell>
          <cell r="D134" t="str">
            <v>Y09BM1744310</v>
          </cell>
        </row>
        <row r="135">
          <cell r="C135" t="str">
            <v>BM1684AB</v>
          </cell>
          <cell r="D135" t="str">
            <v>Y09BM1684111</v>
          </cell>
        </row>
        <row r="136">
          <cell r="C136" t="str">
            <v>BM1396AE</v>
          </cell>
          <cell r="D136" t="str">
            <v>Y09BM1396521</v>
          </cell>
        </row>
        <row r="137">
          <cell r="C137" t="str">
            <v>BM1396AF</v>
          </cell>
          <cell r="D137" t="str">
            <v>Y09BM1396421</v>
          </cell>
        </row>
        <row r="138">
          <cell r="C138" t="str">
            <v>BM1397AK</v>
          </cell>
          <cell r="D138" t="str">
            <v>Y09BM1397940</v>
          </cell>
        </row>
        <row r="139">
          <cell r="C139" t="str">
            <v>BM1397AL</v>
          </cell>
          <cell r="D139" t="str">
            <v>Y09BM1397A40</v>
          </cell>
        </row>
        <row r="140">
          <cell r="C140" t="str">
            <v>BM1397AM</v>
          </cell>
          <cell r="D140" t="str">
            <v>Y09BM1397B40</v>
          </cell>
        </row>
        <row r="141">
          <cell r="C141" t="str">
            <v>BM1398AA</v>
          </cell>
          <cell r="D141" t="str">
            <v>Y09BM1388010</v>
          </cell>
        </row>
        <row r="142">
          <cell r="C142" t="str">
            <v>BM1398AB</v>
          </cell>
          <cell r="D142" t="str">
            <v>Y09BM1388020</v>
          </cell>
        </row>
        <row r="143">
          <cell r="C143" t="str">
            <v>BM1962AA</v>
          </cell>
          <cell r="D143" t="str">
            <v>Y09BM1962010</v>
          </cell>
        </row>
        <row r="144">
          <cell r="C144" t="str">
            <v>BM1398BA</v>
          </cell>
          <cell r="D144" t="str">
            <v>Y09BM1398130</v>
          </cell>
        </row>
        <row r="145">
          <cell r="C145" t="str">
            <v>BM1398BB</v>
          </cell>
          <cell r="D145" t="str">
            <v>Y09BM1398240</v>
          </cell>
        </row>
        <row r="146">
          <cell r="C146" t="str">
            <v>BM1684AC</v>
          </cell>
          <cell r="D146" t="str">
            <v>Y09BM1684222</v>
          </cell>
        </row>
        <row r="147">
          <cell r="C147" t="str">
            <v>BM1396AG</v>
          </cell>
          <cell r="D147" t="str">
            <v>Y09BM1396650</v>
          </cell>
        </row>
        <row r="148">
          <cell r="C148" t="str">
            <v>BM1396AH</v>
          </cell>
          <cell r="D148" t="str">
            <v>Y09BM1396750</v>
          </cell>
        </row>
        <row r="149">
          <cell r="C149" t="str">
            <v>BM1360AA</v>
          </cell>
          <cell r="D149" t="str">
            <v>Y09BM1360030</v>
          </cell>
        </row>
        <row r="150">
          <cell r="C150" t="str">
            <v>BM1360AB</v>
          </cell>
          <cell r="D150" t="str">
            <v>Y09BM1360040</v>
          </cell>
        </row>
        <row r="151">
          <cell r="C151" t="str">
            <v>BM19M0</v>
          </cell>
          <cell r="D151" t="str">
            <v>Y09BM19M0100</v>
          </cell>
        </row>
        <row r="152">
          <cell r="C152" t="str">
            <v>BM1684AD</v>
          </cell>
          <cell r="D152" t="str">
            <v>Y09BM1684332</v>
          </cell>
        </row>
        <row r="153">
          <cell r="C153" t="str">
            <v>BM2040AA</v>
          </cell>
          <cell r="D153" t="str">
            <v>Y09BM2040010</v>
          </cell>
        </row>
        <row r="154">
          <cell r="C154" t="str">
            <v>BM1398AC</v>
          </cell>
          <cell r="D154" t="str">
            <v>Y09BM1398350</v>
          </cell>
        </row>
        <row r="155">
          <cell r="C155" t="str">
            <v>BM1360AC</v>
          </cell>
          <cell r="D155" t="str">
            <v>Y09BM1360010</v>
          </cell>
        </row>
        <row r="156">
          <cell r="C156" t="str">
            <v>BM1360AD</v>
          </cell>
          <cell r="D156" t="str">
            <v>Y09BM1360110</v>
          </cell>
        </row>
        <row r="157">
          <cell r="C157" t="str">
            <v>BM1396AI</v>
          </cell>
          <cell r="D157" t="str">
            <v>Y09BM1396840</v>
          </cell>
        </row>
        <row r="158">
          <cell r="C158" t="str">
            <v>BM1396AJ</v>
          </cell>
          <cell r="D158" t="str">
            <v>Y09BM1396940</v>
          </cell>
        </row>
        <row r="159">
          <cell r="C159" t="str">
            <v>BM1396AK</v>
          </cell>
          <cell r="D159" t="str">
            <v>Y09BM1396A40</v>
          </cell>
        </row>
        <row r="160">
          <cell r="C160" t="str">
            <v>BM1360BA</v>
          </cell>
          <cell r="D160" t="str">
            <v>Y09BM1360220</v>
          </cell>
        </row>
        <row r="161">
          <cell r="C161" t="str">
            <v>BM1360BB</v>
          </cell>
          <cell r="D161" t="str">
            <v>Y09BM1360320</v>
          </cell>
        </row>
        <row r="162">
          <cell r="C162" t="str">
            <v>BM1746AA</v>
          </cell>
          <cell r="D162" t="str">
            <v>Y09BM1746010</v>
          </cell>
        </row>
        <row r="163">
          <cell r="C163" t="str">
            <v>BM1398BC</v>
          </cell>
          <cell r="D163" t="str">
            <v>Y09BM1398440</v>
          </cell>
        </row>
        <row r="164">
          <cell r="C164" t="str">
            <v>BM1360BC</v>
          </cell>
          <cell r="D164" t="str">
            <v>Y09BM1360420</v>
          </cell>
        </row>
        <row r="165">
          <cell r="C165" t="str">
            <v>BM1360BD</v>
          </cell>
          <cell r="D165" t="str">
            <v>Y09BM1360520</v>
          </cell>
        </row>
        <row r="166">
          <cell r="C166" t="str">
            <v>BM1399AA</v>
          </cell>
          <cell r="D166" t="str">
            <v>Y09BM1399000</v>
          </cell>
        </row>
        <row r="167">
          <cell r="C167" t="str">
            <v>BM1399AB</v>
          </cell>
          <cell r="D167" t="str">
            <v>Y09BM1399110</v>
          </cell>
        </row>
        <row r="168">
          <cell r="C168" t="str">
            <v>BM1399AC</v>
          </cell>
          <cell r="D168" t="str">
            <v>Y09BM1399200</v>
          </cell>
        </row>
        <row r="169">
          <cell r="C169" t="str">
            <v>BM1360BE</v>
          </cell>
          <cell r="D169" t="str">
            <v>Y09BM1360620</v>
          </cell>
        </row>
        <row r="170">
          <cell r="C170" t="str">
            <v>BM19M1G</v>
          </cell>
          <cell r="D170" t="str">
            <v>Y09BM19M1G10</v>
          </cell>
        </row>
        <row r="171">
          <cell r="C171" t="str">
            <v>BM1399AD</v>
          </cell>
          <cell r="D171" t="str">
            <v>Y09BM1399300</v>
          </cell>
        </row>
        <row r="172">
          <cell r="C172" t="str">
            <v>BM1399AE</v>
          </cell>
          <cell r="D172" t="str">
            <v>Y09BM1399410</v>
          </cell>
        </row>
        <row r="173">
          <cell r="C173" t="str">
            <v>BM1399AF</v>
          </cell>
          <cell r="D173" t="str">
            <v>Y09BM1399500</v>
          </cell>
        </row>
        <row r="174">
          <cell r="C174" t="str">
            <v>BM1684AE</v>
          </cell>
          <cell r="D174" t="str">
            <v>Y09BM1684440</v>
          </cell>
        </row>
        <row r="175">
          <cell r="C175" t="str">
            <v>BM20M1AA</v>
          </cell>
          <cell r="D175" t="str">
            <v>Y09BM20M1010</v>
          </cell>
        </row>
        <row r="176">
          <cell r="C176" t="str">
            <v>BM20M3AA</v>
          </cell>
          <cell r="D176" t="str">
            <v>Y09BM20M3000</v>
          </cell>
        </row>
        <row r="177">
          <cell r="C177" t="str">
            <v>BM1398BD</v>
          </cell>
          <cell r="D177" t="str">
            <v>Y09BM1398450</v>
          </cell>
        </row>
        <row r="178">
          <cell r="C178" t="str">
            <v>BM20M3AB</v>
          </cell>
          <cell r="D178" t="str">
            <v>Y09BM20M3A60</v>
          </cell>
        </row>
        <row r="179">
          <cell r="C179" t="str">
            <v>BM1398BE</v>
          </cell>
          <cell r="D179" t="str">
            <v>Y09BM1398550</v>
          </cell>
        </row>
        <row r="180">
          <cell r="C180" t="str">
            <v>BM1362AA</v>
          </cell>
          <cell r="D180" t="str">
            <v>Y09BM1362A00</v>
          </cell>
        </row>
        <row r="181">
          <cell r="C181" t="str">
            <v>BM1362AB</v>
          </cell>
          <cell r="D181" t="str">
            <v>Y09BM1362B00</v>
          </cell>
        </row>
        <row r="182">
          <cell r="C182" t="str">
            <v>BM1362AC</v>
          </cell>
          <cell r="D182" t="str">
            <v>Y09BM1362C00</v>
          </cell>
        </row>
        <row r="183">
          <cell r="C183" t="str">
            <v>BM1362AD</v>
          </cell>
          <cell r="D183" t="str">
            <v>Y09BM1362D00</v>
          </cell>
        </row>
        <row r="184">
          <cell r="C184" t="str">
            <v>BM1362ZA</v>
          </cell>
          <cell r="D184" t="str">
            <v>Y09BM1362Z00</v>
          </cell>
        </row>
        <row r="185">
          <cell r="C185" t="str">
            <v>BM1362XA</v>
          </cell>
          <cell r="D185" t="str">
            <v>Y09BM1362X00</v>
          </cell>
        </row>
        <row r="186">
          <cell r="C186" t="str">
            <v>BM1362YA</v>
          </cell>
          <cell r="D186" t="str">
            <v>Y09BM1362Y00</v>
          </cell>
        </row>
        <row r="187">
          <cell r="C187" t="str">
            <v>BM1362AE</v>
          </cell>
          <cell r="D187" t="str">
            <v>Y09BM1362E00</v>
          </cell>
        </row>
        <row r="188">
          <cell r="C188" t="str">
            <v>BM1362AF</v>
          </cell>
          <cell r="D188" t="str">
            <v>Y09BM1362F00</v>
          </cell>
        </row>
        <row r="189">
          <cell r="C189" t="str">
            <v>BM1362AG</v>
          </cell>
          <cell r="D189" t="str">
            <v>Y09BM1362G00</v>
          </cell>
        </row>
        <row r="190">
          <cell r="C190" t="str">
            <v>BM1362AH</v>
          </cell>
          <cell r="D190" t="str">
            <v>Y09BM1362H00</v>
          </cell>
        </row>
        <row r="191">
          <cell r="C191" t="str">
            <v>BM1362YB</v>
          </cell>
          <cell r="D191" t="str">
            <v>Y09BM1362Y10</v>
          </cell>
        </row>
        <row r="192">
          <cell r="C192" t="str">
            <v>BM1398AD</v>
          </cell>
          <cell r="D192" t="str">
            <v>Y09BM1398D00</v>
          </cell>
        </row>
        <row r="193">
          <cell r="C193" t="str">
            <v>BM1764AA</v>
          </cell>
          <cell r="D193" t="str">
            <v>Y09BM1764A00</v>
          </cell>
        </row>
        <row r="194">
          <cell r="C194" t="str">
            <v>BM1798AA</v>
          </cell>
          <cell r="D194" t="str">
            <v>Y09BM1798010</v>
          </cell>
        </row>
        <row r="195">
          <cell r="C195" t="str">
            <v>BM1362AI</v>
          </cell>
          <cell r="D195" t="str">
            <v>Y09BM1362110</v>
          </cell>
        </row>
        <row r="196">
          <cell r="C196" t="str">
            <v>BM1362AJ</v>
          </cell>
          <cell r="D196" t="str">
            <v>Y09BM1362210</v>
          </cell>
        </row>
        <row r="197">
          <cell r="C197" t="str">
            <v>BM1362AK</v>
          </cell>
          <cell r="D197" t="str">
            <v>Y09BM1362310</v>
          </cell>
        </row>
        <row r="198">
          <cell r="C198" t="str">
            <v>BM1489</v>
          </cell>
          <cell r="D198" t="str">
            <v>Y09BM1489010</v>
          </cell>
        </row>
        <row r="199">
          <cell r="C199" t="str">
            <v>BM1362AL</v>
          </cell>
          <cell r="D199" t="str">
            <v>Y09BM1362430</v>
          </cell>
        </row>
        <row r="200">
          <cell r="C200" t="str">
            <v>BM1366</v>
          </cell>
          <cell r="D200" t="str">
            <v>Y09BM1366010</v>
          </cell>
        </row>
        <row r="201">
          <cell r="C201" t="str">
            <v>BM1366AB</v>
          </cell>
          <cell r="D201" t="str">
            <v>Y09BM1366120</v>
          </cell>
        </row>
        <row r="202">
          <cell r="C202" t="str">
            <v>BM1366AC</v>
          </cell>
          <cell r="D202" t="str">
            <v>Y09BM1366230</v>
          </cell>
        </row>
        <row r="203">
          <cell r="C203" t="str">
            <v>BM1366BA</v>
          </cell>
          <cell r="D203" t="str">
            <v>Y09BM1366340</v>
          </cell>
        </row>
        <row r="204">
          <cell r="C204" t="str">
            <v>BM1362AM</v>
          </cell>
          <cell r="D204" t="str">
            <v>Y09BM1362540</v>
          </cell>
        </row>
        <row r="205">
          <cell r="C205" t="str">
            <v>BM1362AN</v>
          </cell>
          <cell r="D205" t="str">
            <v>Y09BM1362630</v>
          </cell>
        </row>
        <row r="206">
          <cell r="C206" t="str">
            <v>BM1362AO</v>
          </cell>
          <cell r="D206" t="str">
            <v>Y09BM1362730</v>
          </cell>
        </row>
        <row r="207">
          <cell r="C207" t="str">
            <v>BM1362AP</v>
          </cell>
          <cell r="D207" t="str">
            <v>Y09BM1362830</v>
          </cell>
        </row>
        <row r="208">
          <cell r="C208" t="str">
            <v>BM1362AQ</v>
          </cell>
          <cell r="D208" t="str">
            <v>Y09BM1362930</v>
          </cell>
        </row>
        <row r="209">
          <cell r="C209" t="str">
            <v>BM1362AR</v>
          </cell>
          <cell r="D209" t="str">
            <v>Y09BM1362A30</v>
          </cell>
        </row>
        <row r="210">
          <cell r="C210" t="str">
            <v>BM1362AS</v>
          </cell>
          <cell r="D210" t="str">
            <v>Y09BM1362B30</v>
          </cell>
        </row>
        <row r="211">
          <cell r="C211" t="str">
            <v>BM1764AB</v>
          </cell>
          <cell r="D211" t="str">
            <v>Y09BM1764010</v>
          </cell>
        </row>
        <row r="212">
          <cell r="C212" t="str">
            <v>BM1366AD</v>
          </cell>
          <cell r="D212" t="str">
            <v>Y09BM1366450</v>
          </cell>
        </row>
        <row r="213">
          <cell r="C213" t="str">
            <v>BM1366AE</v>
          </cell>
          <cell r="D213" t="str">
            <v>Y09BM1366540</v>
          </cell>
        </row>
        <row r="214">
          <cell r="C214" t="str">
            <v>BM1366AF</v>
          </cell>
          <cell r="D214" t="str">
            <v>Y09BM1366650</v>
          </cell>
        </row>
        <row r="215">
          <cell r="C215" t="str">
            <v>BM1362AT</v>
          </cell>
          <cell r="D215" t="str">
            <v>Y09BM1366750</v>
          </cell>
        </row>
        <row r="216">
          <cell r="C216" t="str">
            <v>BM1798AB</v>
          </cell>
          <cell r="D216" t="str">
            <v>Y09BM1798110</v>
          </cell>
        </row>
        <row r="217">
          <cell r="C217" t="str">
            <v>BM1366AG</v>
          </cell>
          <cell r="D217" t="str">
            <v>Y09BM1366820</v>
          </cell>
        </row>
        <row r="218">
          <cell r="C218" t="str">
            <v>BM1366AH</v>
          </cell>
          <cell r="D218" t="str">
            <v>Y09BM1366930</v>
          </cell>
        </row>
        <row r="219">
          <cell r="C219" t="str">
            <v>BM1362AU</v>
          </cell>
          <cell r="D219" t="str">
            <v>Y09BM1362C40</v>
          </cell>
        </row>
        <row r="220">
          <cell r="C220" t="str">
            <v>BM1366AJ</v>
          </cell>
          <cell r="D220" t="str">
            <v>Y09BM1366A20</v>
          </cell>
        </row>
        <row r="221">
          <cell r="C221" t="str">
            <v>BM1366AK</v>
          </cell>
          <cell r="D221" t="str">
            <v>Y09BM1366B30</v>
          </cell>
        </row>
        <row r="222">
          <cell r="C222" t="str">
            <v>BM1366AL</v>
          </cell>
          <cell r="D222" t="str">
            <v>Y09BM1366D10</v>
          </cell>
        </row>
        <row r="223">
          <cell r="C223" t="str">
            <v>BM1366AM</v>
          </cell>
          <cell r="D223" t="str">
            <v>Y09BM1366E10</v>
          </cell>
        </row>
        <row r="224">
          <cell r="C224" t="str">
            <v>BM1366AN</v>
          </cell>
          <cell r="D224" t="str">
            <v>Y09BM1366F10</v>
          </cell>
        </row>
        <row r="225">
          <cell r="C225" t="str">
            <v>BM1366AP</v>
          </cell>
          <cell r="D225" t="str">
            <v>Y09BM1366G10</v>
          </cell>
        </row>
        <row r="226">
          <cell r="C226" t="str">
            <v>BM1766AA</v>
          </cell>
          <cell r="D226" t="str">
            <v>Y09BM1766010</v>
          </cell>
        </row>
        <row r="227">
          <cell r="C227" t="str">
            <v>BM2042AA</v>
          </cell>
          <cell r="D227" t="str">
            <v>Y09BM2042010</v>
          </cell>
        </row>
        <row r="228">
          <cell r="C228" t="str">
            <v>BM1727AA</v>
          </cell>
          <cell r="D228" t="str">
            <v>Y09BM1727010</v>
          </cell>
        </row>
        <row r="229">
          <cell r="C229" t="str">
            <v>BM2110AA</v>
          </cell>
          <cell r="D229" t="str">
            <v>Y09BM2110010</v>
          </cell>
        </row>
        <row r="230">
          <cell r="C230" t="str">
            <v>BM2130AA</v>
          </cell>
          <cell r="D230" t="str">
            <v>Y09BM2130010</v>
          </cell>
        </row>
        <row r="231">
          <cell r="C231" t="str">
            <v>BM1362BA</v>
          </cell>
          <cell r="D231" t="str">
            <v>Y09BM1362D10</v>
          </cell>
        </row>
        <row r="232">
          <cell r="C232" t="str">
            <v>BM1362BB</v>
          </cell>
          <cell r="D232" t="str">
            <v>Y09BM1362D20</v>
          </cell>
        </row>
        <row r="233">
          <cell r="C233" t="str">
            <v>BM1362BC</v>
          </cell>
          <cell r="D233" t="str">
            <v>Y09BM1362D30</v>
          </cell>
        </row>
        <row r="234">
          <cell r="C234" t="str">
            <v>BM1362BD</v>
          </cell>
          <cell r="D234" t="str">
            <v>Y09BM1362D40</v>
          </cell>
        </row>
        <row r="235">
          <cell r="C235" t="str">
            <v>BM1798AB</v>
          </cell>
          <cell r="D235" t="str">
            <v>Y09BM1798120</v>
          </cell>
        </row>
        <row r="236">
          <cell r="C236" t="str">
            <v>BM1366AQ</v>
          </cell>
          <cell r="D236" t="str">
            <v>Y09BM1366H10</v>
          </cell>
        </row>
        <row r="237">
          <cell r="C237" t="str">
            <v>BM1366BA</v>
          </cell>
          <cell r="D237" t="str">
            <v>Y09BM1366K10</v>
          </cell>
        </row>
        <row r="238">
          <cell r="C238" t="str">
            <v>BM22M0</v>
          </cell>
          <cell r="D238" t="str">
            <v>Y09BM22M0010</v>
          </cell>
        </row>
        <row r="239">
          <cell r="C239" t="str">
            <v>BM2280AA</v>
          </cell>
          <cell r="D239" t="str">
            <v>Y09BM2280010</v>
          </cell>
        </row>
        <row r="240">
          <cell r="C240" t="str">
            <v>BM1766AA</v>
          </cell>
          <cell r="D240" t="str">
            <v>Y09BM1766010</v>
          </cell>
        </row>
        <row r="241">
          <cell r="C241" t="str">
            <v>BM2042AA</v>
          </cell>
          <cell r="D241" t="str">
            <v>Y09BM2042010</v>
          </cell>
        </row>
        <row r="242">
          <cell r="C242" t="str">
            <v>BM1727AA</v>
          </cell>
          <cell r="D242" t="str">
            <v>Y09BM1727010</v>
          </cell>
        </row>
        <row r="243">
          <cell r="C243" t="str">
            <v>BM2110AA</v>
          </cell>
          <cell r="D243" t="str">
            <v>Y09BM2110010</v>
          </cell>
        </row>
        <row r="244">
          <cell r="C244" t="str">
            <v>BM2130AA</v>
          </cell>
          <cell r="D244" t="str">
            <v>Y09BM2130010</v>
          </cell>
        </row>
        <row r="245">
          <cell r="C245" t="str">
            <v>BM1362AK</v>
          </cell>
          <cell r="D245" t="str">
            <v>Y09BM1362310</v>
          </cell>
        </row>
        <row r="246">
          <cell r="C246" t="str">
            <v>BM1362AK</v>
          </cell>
          <cell r="D246" t="str">
            <v>Y09BM1362310</v>
          </cell>
        </row>
        <row r="247">
          <cell r="C247" t="str">
            <v>BM1362AK</v>
          </cell>
          <cell r="D247" t="str">
            <v>Y09BM1362310</v>
          </cell>
        </row>
        <row r="248">
          <cell r="C248" t="str">
            <v>BM1362AK</v>
          </cell>
          <cell r="D248" t="str">
            <v>Y09BM1362310</v>
          </cell>
        </row>
        <row r="249">
          <cell r="C249" t="str">
            <v>BM1362BD</v>
          </cell>
          <cell r="D249" t="str">
            <v>Y09BM1362D40</v>
          </cell>
        </row>
        <row r="250">
          <cell r="C250" t="str">
            <v>BM1362BD</v>
          </cell>
          <cell r="D250" t="str">
            <v>Y09BM1362D40</v>
          </cell>
        </row>
        <row r="251">
          <cell r="C251" t="str">
            <v>BM1362BD</v>
          </cell>
          <cell r="D251" t="str">
            <v>Y09BM1362D40</v>
          </cell>
        </row>
        <row r="252">
          <cell r="C252" t="str">
            <v>BM1366AG</v>
          </cell>
          <cell r="D252" t="str">
            <v>Y09BM1366820</v>
          </cell>
        </row>
        <row r="253">
          <cell r="C253" t="str">
            <v>BM1366AL</v>
          </cell>
          <cell r="D253" t="str">
            <v>Y09BM1366D10</v>
          </cell>
        </row>
        <row r="254">
          <cell r="C254" t="str">
            <v>BM1798AC</v>
          </cell>
          <cell r="D254" t="str">
            <v>Y09BM1798130</v>
          </cell>
        </row>
        <row r="255">
          <cell r="C255" t="str">
            <v>BM1798AD</v>
          </cell>
          <cell r="D255" t="str">
            <v>Y09BM1798140</v>
          </cell>
        </row>
        <row r="256">
          <cell r="C256" t="str">
            <v>BM1798AE</v>
          </cell>
          <cell r="D256" t="str">
            <v>Y09BM1798141</v>
          </cell>
        </row>
        <row r="257">
          <cell r="C257" t="str">
            <v>BM2280AB</v>
          </cell>
          <cell r="D257" t="str">
            <v>Y09BM2280020</v>
          </cell>
        </row>
        <row r="258">
          <cell r="C258" t="str">
            <v>BM1366FE</v>
          </cell>
          <cell r="D258" t="str">
            <v>Y09BM1366F20</v>
          </cell>
        </row>
        <row r="259">
          <cell r="C259" t="str">
            <v>BM1362AC</v>
          </cell>
          <cell r="D259" t="str">
            <v>Y09BM1362C00</v>
          </cell>
        </row>
        <row r="260">
          <cell r="C260" t="str">
            <v>BM1366FO</v>
          </cell>
          <cell r="D260" t="str">
            <v>Y09BM1366F30</v>
          </cell>
        </row>
        <row r="261">
          <cell r="C261" t="str">
            <v>BM2280AE</v>
          </cell>
          <cell r="D261" t="str">
            <v>Y09BM2280030</v>
          </cell>
        </row>
        <row r="262">
          <cell r="C262" t="str">
            <v>BM2280AI</v>
          </cell>
          <cell r="D262" t="str">
            <v>Y09BM2280040</v>
          </cell>
        </row>
        <row r="263">
          <cell r="C263" t="str">
            <v>BM2280AD</v>
          </cell>
          <cell r="D263" t="str">
            <v>Y09BM2280050</v>
          </cell>
        </row>
        <row r="264">
          <cell r="C264" t="str">
            <v>BM2280FE</v>
          </cell>
          <cell r="D264" t="str">
            <v>Y09BM2280110</v>
          </cell>
        </row>
        <row r="265">
          <cell r="C265" t="str">
            <v>BM1366FO</v>
          </cell>
          <cell r="D265" t="str">
            <v>Y09BM1366F30</v>
          </cell>
        </row>
        <row r="266">
          <cell r="C266" t="str">
            <v>BM1368AA</v>
          </cell>
          <cell r="D266" t="str">
            <v>Y31010506</v>
          </cell>
        </row>
        <row r="267">
          <cell r="C267" t="str">
            <v>BM1366FB</v>
          </cell>
          <cell r="D267" t="str">
            <v>Y31010507</v>
          </cell>
        </row>
        <row r="268">
          <cell r="C268" t="str">
            <v>BM1366AR</v>
          </cell>
          <cell r="D268" t="str">
            <v>Y31010508</v>
          </cell>
        </row>
        <row r="269">
          <cell r="C269" t="str">
            <v>BM1362YF</v>
          </cell>
          <cell r="D269" t="str">
            <v>Y31010509</v>
          </cell>
        </row>
        <row r="270">
          <cell r="C270" t="str">
            <v>BM22M1</v>
          </cell>
          <cell r="D270" t="str">
            <v>Y31010510</v>
          </cell>
        </row>
        <row r="271">
          <cell r="C271" t="str">
            <v>BM1366BS</v>
          </cell>
          <cell r="D271" t="str">
            <v>Y31010511</v>
          </cell>
        </row>
        <row r="272">
          <cell r="C272" t="str">
            <v>BM1366AB</v>
          </cell>
          <cell r="D272" t="str">
            <v>Y09BM1366120</v>
          </cell>
        </row>
        <row r="273">
          <cell r="C273" t="str">
            <v>BM1366BS</v>
          </cell>
          <cell r="D273" t="str">
            <v>Y31010511</v>
          </cell>
        </row>
        <row r="274">
          <cell r="C274" t="str">
            <v>BM1368FE</v>
          </cell>
          <cell r="D274" t="str">
            <v>Y31010512</v>
          </cell>
        </row>
        <row r="276">
          <cell r="C276" t="str">
            <v>BM1368PA</v>
          </cell>
          <cell r="D276" t="str">
            <v>Y31010513</v>
          </cell>
        </row>
        <row r="277">
          <cell r="C277" t="str">
            <v>BM1368PB</v>
          </cell>
          <cell r="D277" t="str">
            <v>Y31010515</v>
          </cell>
        </row>
        <row r="278">
          <cell r="C278" t="str">
            <v>BM1368AB</v>
          </cell>
          <cell r="D278" t="str">
            <v>Y31010514</v>
          </cell>
        </row>
        <row r="279">
          <cell r="C279" t="str">
            <v>BM1368BS</v>
          </cell>
          <cell r="D279" t="str">
            <v>Y31010516</v>
          </cell>
        </row>
        <row r="280">
          <cell r="C280" t="str">
            <v>BM2380AA</v>
          </cell>
          <cell r="D280" t="str">
            <v>Y31090501</v>
          </cell>
        </row>
        <row r="281">
          <cell r="C281" t="str">
            <v>BM22808A</v>
          </cell>
          <cell r="D281" t="str">
            <v>Y31020502</v>
          </cell>
        </row>
        <row r="282">
          <cell r="C282" t="str">
            <v>BM1370AA</v>
          </cell>
          <cell r="D282" t="str">
            <v>Y31010519</v>
          </cell>
        </row>
        <row r="283">
          <cell r="C283" t="str">
            <v>BM1366BP</v>
          </cell>
          <cell r="D283" t="str">
            <v>Y31010518</v>
          </cell>
        </row>
        <row r="284">
          <cell r="C284" t="str">
            <v>BM1368PV</v>
          </cell>
          <cell r="D284" t="str">
            <v>Y31010520</v>
          </cell>
        </row>
        <row r="285">
          <cell r="C285" t="str">
            <v>BM1370PP</v>
          </cell>
          <cell r="D285" t="str">
            <v>Y31010523</v>
          </cell>
        </row>
        <row r="286">
          <cell r="C286" t="str">
            <v>BM2382AA</v>
          </cell>
          <cell r="D286" t="str">
            <v>Y31090502</v>
          </cell>
        </row>
        <row r="287">
          <cell r="C287" t="str">
            <v>BM1366BP</v>
          </cell>
          <cell r="D287" t="str">
            <v>Y31010518</v>
          </cell>
        </row>
        <row r="288">
          <cell r="C288" t="str">
            <v>BM1368PM</v>
          </cell>
          <cell r="D288" t="str">
            <v>Y31010521</v>
          </cell>
        </row>
        <row r="289">
          <cell r="C289" t="str">
            <v>BM1368PV</v>
          </cell>
          <cell r="D289" t="str">
            <v>Y31010520</v>
          </cell>
        </row>
        <row r="290">
          <cell r="C290" t="str">
            <v>BM1370PP</v>
          </cell>
          <cell r="D290" t="str">
            <v>Y31010523</v>
          </cell>
        </row>
        <row r="291">
          <cell r="C291" t="str">
            <v>BM2382AA</v>
          </cell>
          <cell r="D291" t="str">
            <v>Y31090502</v>
          </cell>
        </row>
        <row r="292">
          <cell r="C292" t="str">
            <v>BM1370PB</v>
          </cell>
          <cell r="D292" t="str">
            <v>Y31010524</v>
          </cell>
        </row>
        <row r="293">
          <cell r="C293" t="str">
            <v>BM1370BB</v>
          </cell>
          <cell r="D293" t="str">
            <v>Y31010525</v>
          </cell>
        </row>
        <row r="294">
          <cell r="C294" t="str">
            <v>BM1370BC</v>
          </cell>
          <cell r="D294" t="str">
            <v>Y31010527</v>
          </cell>
        </row>
        <row r="295">
          <cell r="C295" t="str">
            <v>BM1370AH</v>
          </cell>
          <cell r="D295" t="str">
            <v>Y31010529</v>
          </cell>
        </row>
        <row r="296">
          <cell r="C296" t="str">
            <v>BM1491AA</v>
          </cell>
          <cell r="D296" t="str">
            <v>Y31030502</v>
          </cell>
        </row>
        <row r="297">
          <cell r="C297" t="str">
            <v>BM1370PA</v>
          </cell>
          <cell r="D297" t="str">
            <v>Y31010530</v>
          </cell>
        </row>
        <row r="298">
          <cell r="C298" t="str">
            <v>BM1372AA</v>
          </cell>
          <cell r="D298" t="str">
            <v>Y31010528</v>
          </cell>
        </row>
        <row r="299">
          <cell r="C299" t="str">
            <v>BM2460AA</v>
          </cell>
          <cell r="D299" t="str">
            <v>Y31090503</v>
          </cell>
        </row>
        <row r="300">
          <cell r="C300" t="str">
            <v>BM1368PC</v>
          </cell>
          <cell r="D300" t="str">
            <v>Y31010531</v>
          </cell>
        </row>
        <row r="301">
          <cell r="C301" t="str">
            <v>BM1368MD</v>
          </cell>
          <cell r="D301" t="str">
            <v>Y31010522</v>
          </cell>
        </row>
        <row r="302">
          <cell r="C302" t="str">
            <v>BM1370PM</v>
          </cell>
          <cell r="D302" t="str">
            <v>Y31010533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HSC_销售订单明细报表_060825 (7)"/>
    </sheetNames>
    <sheetDataSet>
      <sheetData sheetId="0">
        <row r="1">
          <cell r="E1" t="str">
            <v>订单号</v>
          </cell>
        </row>
        <row r="2">
          <cell r="E2" t="str">
            <v>20241217001006</v>
          </cell>
        </row>
        <row r="3">
          <cell r="E3" t="str">
            <v>1403250506164557</v>
          </cell>
        </row>
        <row r="4">
          <cell r="E4" t="str">
            <v>1403250506164617</v>
          </cell>
        </row>
        <row r="5">
          <cell r="E5" t="str">
            <v>1403250506164547</v>
          </cell>
        </row>
        <row r="6">
          <cell r="E6" t="str">
            <v>1403250506164622</v>
          </cell>
        </row>
        <row r="7">
          <cell r="E7" t="str">
            <v>1403250506164622</v>
          </cell>
        </row>
        <row r="8">
          <cell r="E8" t="str">
            <v>1403250513143259</v>
          </cell>
        </row>
        <row r="9">
          <cell r="E9" t="str">
            <v>1403250513143313</v>
          </cell>
        </row>
        <row r="10">
          <cell r="E10" t="str">
            <v>1403250513143320</v>
          </cell>
        </row>
        <row r="11">
          <cell r="E11" t="str">
            <v>1403250513143259</v>
          </cell>
        </row>
        <row r="12">
          <cell r="E12" t="str">
            <v>1403250516115508</v>
          </cell>
        </row>
        <row r="13">
          <cell r="E13" t="str">
            <v>1403250516115452</v>
          </cell>
        </row>
        <row r="14">
          <cell r="E14" t="str">
            <v>1403250516115501</v>
          </cell>
        </row>
        <row r="15">
          <cell r="E15" t="str">
            <v>1403250516115508</v>
          </cell>
        </row>
        <row r="16">
          <cell r="E16" t="str">
            <v>1403202505091710</v>
          </cell>
        </row>
        <row r="17">
          <cell r="E17" t="str">
            <v>1403250519150612</v>
          </cell>
        </row>
        <row r="18">
          <cell r="E18" t="str">
            <v>1403250520145544</v>
          </cell>
        </row>
        <row r="19">
          <cell r="E19" t="str">
            <v>1403250520145553</v>
          </cell>
        </row>
        <row r="20">
          <cell r="E20" t="str">
            <v>1403250520145609</v>
          </cell>
        </row>
        <row r="21">
          <cell r="E21" t="str">
            <v>1403250520145601</v>
          </cell>
        </row>
        <row r="22">
          <cell r="E22" t="str">
            <v>1403250520145617</v>
          </cell>
        </row>
        <row r="23">
          <cell r="E23" t="str">
            <v>1403250520145617</v>
          </cell>
        </row>
        <row r="24">
          <cell r="E24" t="str">
            <v>1403250520145609</v>
          </cell>
        </row>
        <row r="25">
          <cell r="E25" t="str">
            <v>1403250520145544</v>
          </cell>
        </row>
        <row r="26">
          <cell r="E26" t="str">
            <v>1403250520145609</v>
          </cell>
        </row>
        <row r="27">
          <cell r="E27" t="str">
            <v>1403250520145617</v>
          </cell>
        </row>
        <row r="28">
          <cell r="E28" t="str">
            <v>1403250520145544</v>
          </cell>
        </row>
        <row r="29">
          <cell r="E29" t="str">
            <v>1403250520145601</v>
          </cell>
        </row>
        <row r="30">
          <cell r="E30" t="str">
            <v>1403250520145553</v>
          </cell>
        </row>
        <row r="31">
          <cell r="E31" t="str">
            <v>1403250520145601</v>
          </cell>
        </row>
        <row r="32">
          <cell r="E32" t="str">
            <v>1403250520145553</v>
          </cell>
        </row>
        <row r="33">
          <cell r="E33" t="str">
            <v>1403250523113908</v>
          </cell>
        </row>
        <row r="34">
          <cell r="E34" t="str">
            <v>1403250523113908</v>
          </cell>
        </row>
        <row r="35">
          <cell r="E35" t="str">
            <v>1403250527144917</v>
          </cell>
        </row>
        <row r="36">
          <cell r="E36" t="str">
            <v>1403250527144908</v>
          </cell>
        </row>
        <row r="37">
          <cell r="E37" t="str">
            <v>1403250527144847</v>
          </cell>
        </row>
        <row r="38">
          <cell r="E38" t="str">
            <v>1403250527144857</v>
          </cell>
        </row>
        <row r="39">
          <cell r="E39" t="str">
            <v>1403250527144857</v>
          </cell>
        </row>
        <row r="40">
          <cell r="E40" t="str">
            <v>1403250527144917</v>
          </cell>
        </row>
        <row r="41">
          <cell r="E41" t="str">
            <v>1403250527144840</v>
          </cell>
        </row>
        <row r="42">
          <cell r="E42" t="str">
            <v>1403250527144840</v>
          </cell>
        </row>
        <row r="43">
          <cell r="E43" t="str">
            <v>1403250527144840</v>
          </cell>
        </row>
        <row r="44">
          <cell r="E44" t="str">
            <v>1403250527144840</v>
          </cell>
        </row>
        <row r="45">
          <cell r="E45" t="str">
            <v>1403250530170134</v>
          </cell>
        </row>
        <row r="46">
          <cell r="E46" t="str">
            <v>1403250530170159</v>
          </cell>
        </row>
        <row r="47">
          <cell r="E47" t="str">
            <v>1403250530170151</v>
          </cell>
        </row>
        <row r="48">
          <cell r="E48" t="str">
            <v>1403250530170143</v>
          </cell>
        </row>
        <row r="49">
          <cell r="E49" t="str">
            <v>1403250603165644</v>
          </cell>
        </row>
        <row r="50">
          <cell r="E50" t="str">
            <v>1403250603165725</v>
          </cell>
        </row>
        <row r="51">
          <cell r="E51" t="str">
            <v>1403250603165659</v>
          </cell>
        </row>
        <row r="52">
          <cell r="E52" t="str">
            <v>1403250603165708</v>
          </cell>
        </row>
        <row r="53">
          <cell r="E53" t="str">
            <v>1403250603165717</v>
          </cell>
        </row>
        <row r="54">
          <cell r="E54" t="str">
            <v>1403250603165644</v>
          </cell>
        </row>
        <row r="55">
          <cell r="E55" t="str">
            <v>1403250603165717</v>
          </cell>
        </row>
        <row r="56">
          <cell r="E56" t="str">
            <v>1403250603165644</v>
          </cell>
        </row>
        <row r="57">
          <cell r="E57" t="str">
            <v>1403250606113208</v>
          </cell>
        </row>
        <row r="58">
          <cell r="E58" t="str">
            <v>1403250611102315</v>
          </cell>
        </row>
        <row r="59">
          <cell r="E59" t="str">
            <v>1403250611102330</v>
          </cell>
        </row>
        <row r="60">
          <cell r="E60" t="str">
            <v>1403250611102258</v>
          </cell>
        </row>
        <row r="61">
          <cell r="E61" t="str">
            <v>1403250611102323</v>
          </cell>
        </row>
        <row r="62">
          <cell r="E62" t="str">
            <v>1403250613153237</v>
          </cell>
        </row>
        <row r="63">
          <cell r="E63" t="str">
            <v>1403250616143610</v>
          </cell>
        </row>
        <row r="64">
          <cell r="E64" t="str">
            <v>1403250616143638</v>
          </cell>
        </row>
        <row r="65">
          <cell r="E65" t="str">
            <v>1403250616143638</v>
          </cell>
        </row>
        <row r="66">
          <cell r="E66" t="str">
            <v>1403250616143610</v>
          </cell>
        </row>
        <row r="67">
          <cell r="E67" t="str">
            <v>1403250616143610</v>
          </cell>
        </row>
        <row r="68">
          <cell r="E68" t="str">
            <v>1403250616143610</v>
          </cell>
        </row>
        <row r="69">
          <cell r="E69" t="str">
            <v>1403250618102221</v>
          </cell>
        </row>
        <row r="70">
          <cell r="E70" t="str">
            <v>1403250620153236</v>
          </cell>
        </row>
        <row r="71">
          <cell r="E71" t="str">
            <v>1403250623112859</v>
          </cell>
        </row>
        <row r="72">
          <cell r="E72" t="str">
            <v>1403250623112918</v>
          </cell>
        </row>
        <row r="73">
          <cell r="E73" t="str">
            <v>1403250623112923</v>
          </cell>
        </row>
        <row r="74">
          <cell r="E74" t="str">
            <v>1403250623112859</v>
          </cell>
        </row>
        <row r="75">
          <cell r="E75" t="str">
            <v>1403250623112923</v>
          </cell>
        </row>
        <row r="76">
          <cell r="E76" t="str">
            <v>1403250623112918</v>
          </cell>
        </row>
        <row r="77">
          <cell r="E77" t="str">
            <v>1403250623112918</v>
          </cell>
        </row>
        <row r="78">
          <cell r="E78" t="str">
            <v>1403250701102710</v>
          </cell>
        </row>
        <row r="79">
          <cell r="E79" t="str">
            <v>1403250701102701</v>
          </cell>
        </row>
        <row r="80">
          <cell r="E80" t="str">
            <v>1403250701102653</v>
          </cell>
        </row>
        <row r="81">
          <cell r="E81" t="str">
            <v>1403250701102710</v>
          </cell>
        </row>
        <row r="82">
          <cell r="E82" t="str">
            <v>1403250701102710</v>
          </cell>
        </row>
        <row r="83">
          <cell r="E83" t="str">
            <v>1403250701102710</v>
          </cell>
        </row>
        <row r="84">
          <cell r="E84" t="str">
            <v>1403250704111145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HSC_销售订单明细报表_060825"/>
    </sheetNames>
    <sheetDataSet>
      <sheetData sheetId="0">
        <row r="1">
          <cell r="E1" t="str">
            <v>订单号</v>
          </cell>
        </row>
        <row r="2">
          <cell r="E2" t="str">
            <v>140320230831001</v>
          </cell>
        </row>
        <row r="3">
          <cell r="E3" t="str">
            <v>140320230831003</v>
          </cell>
        </row>
        <row r="4">
          <cell r="E4" t="str">
            <v>140320230831004</v>
          </cell>
        </row>
        <row r="5">
          <cell r="E5" t="str">
            <v>140320230831002</v>
          </cell>
        </row>
        <row r="6">
          <cell r="E6" t="str">
            <v>140320230831004</v>
          </cell>
        </row>
        <row r="7">
          <cell r="E7" t="str">
            <v>140320230831002</v>
          </cell>
        </row>
        <row r="8">
          <cell r="E8" t="str">
            <v>140320230831001</v>
          </cell>
        </row>
        <row r="9">
          <cell r="E9" t="str">
            <v>14031005003</v>
          </cell>
        </row>
        <row r="10">
          <cell r="E10" t="str">
            <v>1403231117101630</v>
          </cell>
        </row>
        <row r="11">
          <cell r="E11" t="str">
            <v>1403231120145047</v>
          </cell>
        </row>
        <row r="12">
          <cell r="E12" t="str">
            <v>1403202311010003</v>
          </cell>
        </row>
        <row r="13">
          <cell r="E13" t="str">
            <v>1403202311010002</v>
          </cell>
        </row>
        <row r="14">
          <cell r="E14" t="str">
            <v>1403202311010001</v>
          </cell>
        </row>
        <row r="15">
          <cell r="E15" t="str">
            <v>1403202311010004</v>
          </cell>
        </row>
        <row r="16">
          <cell r="E16" t="str">
            <v>1403202311010007</v>
          </cell>
        </row>
        <row r="17">
          <cell r="E17" t="str">
            <v>1403202311010006</v>
          </cell>
        </row>
        <row r="18">
          <cell r="E18" t="str">
            <v>1403202311010005</v>
          </cell>
        </row>
        <row r="19">
          <cell r="E19" t="str">
            <v>1403202311010008</v>
          </cell>
        </row>
        <row r="20">
          <cell r="E20" t="str">
            <v>1403202311010009</v>
          </cell>
        </row>
        <row r="21">
          <cell r="E21" t="str">
            <v>1403231206104450</v>
          </cell>
        </row>
        <row r="22">
          <cell r="E22" t="str">
            <v>1403231206190357</v>
          </cell>
        </row>
        <row r="23">
          <cell r="E23" t="str">
            <v>1403231206190357</v>
          </cell>
        </row>
        <row r="24">
          <cell r="E24" t="str">
            <v>1403231214212553</v>
          </cell>
        </row>
        <row r="25">
          <cell r="E25" t="str">
            <v>1403231214212553</v>
          </cell>
        </row>
        <row r="26">
          <cell r="E26" t="str">
            <v>1403231219164609</v>
          </cell>
        </row>
        <row r="27">
          <cell r="E27" t="str">
            <v>1403231221173123</v>
          </cell>
        </row>
        <row r="28">
          <cell r="E28" t="str">
            <v>1403231221173514</v>
          </cell>
        </row>
        <row r="29">
          <cell r="E29" t="str">
            <v>140302312221001</v>
          </cell>
        </row>
        <row r="30">
          <cell r="E30" t="str">
            <v>140302312221004</v>
          </cell>
        </row>
        <row r="31">
          <cell r="E31" t="str">
            <v>140302312221003</v>
          </cell>
        </row>
        <row r="32">
          <cell r="E32" t="str">
            <v>140302312221002</v>
          </cell>
        </row>
        <row r="33">
          <cell r="E33" t="str">
            <v>140302312221001</v>
          </cell>
        </row>
        <row r="34">
          <cell r="E34" t="str">
            <v>140302312221004</v>
          </cell>
        </row>
        <row r="35">
          <cell r="E35" t="str">
            <v>140302312221003</v>
          </cell>
        </row>
        <row r="36">
          <cell r="E36" t="str">
            <v>140302312221001</v>
          </cell>
        </row>
        <row r="37">
          <cell r="E37" t="str">
            <v>140302312221003</v>
          </cell>
        </row>
        <row r="38">
          <cell r="E38" t="str">
            <v>140302312221003</v>
          </cell>
        </row>
        <row r="39">
          <cell r="E39" t="str">
            <v>140302312221001</v>
          </cell>
        </row>
        <row r="40">
          <cell r="E40" t="str">
            <v>140302312221003</v>
          </cell>
        </row>
        <row r="41">
          <cell r="E41" t="str">
            <v>140302312221001</v>
          </cell>
        </row>
        <row r="42">
          <cell r="E42" t="str">
            <v>140302312221003</v>
          </cell>
        </row>
        <row r="43">
          <cell r="E43" t="str">
            <v>140302312221003</v>
          </cell>
        </row>
        <row r="44">
          <cell r="E44" t="str">
            <v>140302312221001</v>
          </cell>
        </row>
        <row r="45">
          <cell r="E45" t="str">
            <v>140302312221001</v>
          </cell>
        </row>
        <row r="46">
          <cell r="E46" t="str">
            <v>140302312221001</v>
          </cell>
        </row>
        <row r="47">
          <cell r="E47" t="str">
            <v>140302312221001</v>
          </cell>
        </row>
        <row r="48">
          <cell r="E48" t="str">
            <v>140302312221005</v>
          </cell>
        </row>
        <row r="49">
          <cell r="E49" t="str">
            <v>140302312221005</v>
          </cell>
        </row>
        <row r="50">
          <cell r="E50" t="str">
            <v>140302312221005</v>
          </cell>
        </row>
        <row r="51">
          <cell r="E51" t="str">
            <v>140302312221005</v>
          </cell>
        </row>
        <row r="52">
          <cell r="E52" t="str">
            <v>1403231229165801</v>
          </cell>
        </row>
        <row r="53">
          <cell r="E53" t="str">
            <v>1403240102141056</v>
          </cell>
        </row>
        <row r="54">
          <cell r="E54" t="str">
            <v>1403240102103436</v>
          </cell>
        </row>
        <row r="55">
          <cell r="E55" t="str">
            <v>1403240104100210</v>
          </cell>
        </row>
        <row r="56">
          <cell r="E56" t="str">
            <v>1403240104100210</v>
          </cell>
        </row>
        <row r="57">
          <cell r="E57" t="str">
            <v>140302301041001</v>
          </cell>
        </row>
        <row r="58">
          <cell r="E58" t="str">
            <v>140302301041002</v>
          </cell>
        </row>
        <row r="59">
          <cell r="E59" t="str">
            <v>140302301041002</v>
          </cell>
        </row>
        <row r="60">
          <cell r="E60" t="str">
            <v>140302301041001</v>
          </cell>
        </row>
        <row r="61">
          <cell r="E61" t="str">
            <v>140302301041001</v>
          </cell>
        </row>
        <row r="62">
          <cell r="E62" t="str">
            <v>140302301041002</v>
          </cell>
        </row>
        <row r="63">
          <cell r="E63" t="str">
            <v>140302301081001</v>
          </cell>
        </row>
        <row r="64">
          <cell r="E64" t="str">
            <v>1403240108152443</v>
          </cell>
        </row>
        <row r="65">
          <cell r="E65" t="str">
            <v>140302301081001</v>
          </cell>
        </row>
        <row r="66">
          <cell r="E66" t="str">
            <v>140302301081001</v>
          </cell>
        </row>
        <row r="67">
          <cell r="E67" t="str">
            <v>140302301081001</v>
          </cell>
        </row>
        <row r="68">
          <cell r="E68" t="str">
            <v>140302301081001</v>
          </cell>
        </row>
        <row r="69">
          <cell r="E69" t="str">
            <v>140302301081001</v>
          </cell>
        </row>
        <row r="70">
          <cell r="E70" t="str">
            <v>140302301081001</v>
          </cell>
        </row>
        <row r="71">
          <cell r="E71" t="str">
            <v>140302301081001</v>
          </cell>
        </row>
        <row r="72">
          <cell r="E72" t="str">
            <v>140302301081001</v>
          </cell>
        </row>
        <row r="73">
          <cell r="E73" t="str">
            <v>140302301081001</v>
          </cell>
        </row>
        <row r="74">
          <cell r="E74" t="str">
            <v>140302301081001</v>
          </cell>
        </row>
        <row r="75">
          <cell r="E75" t="str">
            <v>1403240112174608</v>
          </cell>
        </row>
        <row r="76">
          <cell r="E76" t="str">
            <v>1403240118111548</v>
          </cell>
        </row>
        <row r="77">
          <cell r="E77" t="str">
            <v>140302301191004</v>
          </cell>
        </row>
        <row r="78">
          <cell r="E78" t="str">
            <v>140302301191001</v>
          </cell>
        </row>
        <row r="79">
          <cell r="E79" t="str">
            <v>140302301191002</v>
          </cell>
        </row>
        <row r="80">
          <cell r="E80" t="str">
            <v>140302301191003</v>
          </cell>
        </row>
        <row r="81">
          <cell r="E81" t="str">
            <v>140302301191003</v>
          </cell>
        </row>
        <row r="82">
          <cell r="E82" t="str">
            <v>140302301191003</v>
          </cell>
        </row>
        <row r="83">
          <cell r="E83" t="str">
            <v>140302301191003</v>
          </cell>
        </row>
        <row r="84">
          <cell r="E84" t="str">
            <v>140302301191003</v>
          </cell>
        </row>
        <row r="85">
          <cell r="E85" t="str">
            <v>1403240122110039</v>
          </cell>
        </row>
        <row r="86">
          <cell r="E86" t="str">
            <v>1403240123151256</v>
          </cell>
        </row>
        <row r="87">
          <cell r="E87" t="str">
            <v>1403240123153759</v>
          </cell>
        </row>
        <row r="88">
          <cell r="E88" t="str">
            <v>1403240124171209</v>
          </cell>
        </row>
        <row r="89">
          <cell r="E89" t="str">
            <v>140302401251004</v>
          </cell>
        </row>
        <row r="90">
          <cell r="E90" t="str">
            <v>140302401251001</v>
          </cell>
        </row>
        <row r="91">
          <cell r="E91" t="str">
            <v>140302401251002</v>
          </cell>
        </row>
        <row r="92">
          <cell r="E92" t="str">
            <v>140302401251003</v>
          </cell>
        </row>
        <row r="93">
          <cell r="E93" t="str">
            <v>140302401251005</v>
          </cell>
        </row>
        <row r="94">
          <cell r="E94" t="str">
            <v>140302401251001</v>
          </cell>
        </row>
        <row r="95">
          <cell r="E95" t="str">
            <v>140302401291003</v>
          </cell>
        </row>
        <row r="96">
          <cell r="E96" t="str">
            <v>140302401291002</v>
          </cell>
        </row>
        <row r="97">
          <cell r="E97" t="str">
            <v>140302401291001</v>
          </cell>
        </row>
        <row r="98">
          <cell r="E98" t="str">
            <v>1403240130151028</v>
          </cell>
        </row>
        <row r="99">
          <cell r="E99" t="str">
            <v>140302402041009</v>
          </cell>
        </row>
        <row r="100">
          <cell r="E100" t="str">
            <v>140302402041002</v>
          </cell>
        </row>
        <row r="101">
          <cell r="E101" t="str">
            <v>140302402041003</v>
          </cell>
        </row>
        <row r="102">
          <cell r="E102" t="str">
            <v>140302402041004</v>
          </cell>
        </row>
        <row r="103">
          <cell r="E103" t="str">
            <v>140302402041005</v>
          </cell>
        </row>
        <row r="104">
          <cell r="E104" t="str">
            <v>140302402041006</v>
          </cell>
        </row>
        <row r="105">
          <cell r="E105" t="str">
            <v>140302402041007</v>
          </cell>
        </row>
        <row r="106">
          <cell r="E106" t="str">
            <v>140302402041008</v>
          </cell>
        </row>
        <row r="107">
          <cell r="E107" t="str">
            <v>140302402041001</v>
          </cell>
        </row>
        <row r="108">
          <cell r="E108" t="str">
            <v>140302402041010</v>
          </cell>
        </row>
        <row r="109">
          <cell r="E109" t="str">
            <v>140302402041009</v>
          </cell>
        </row>
        <row r="110">
          <cell r="E110" t="str">
            <v>140302402041004</v>
          </cell>
        </row>
        <row r="111">
          <cell r="E111" t="str">
            <v>1403240205190211</v>
          </cell>
        </row>
        <row r="112">
          <cell r="E112" t="str">
            <v>140302402181004</v>
          </cell>
        </row>
        <row r="113">
          <cell r="E113" t="str">
            <v>140302402181001</v>
          </cell>
        </row>
        <row r="114">
          <cell r="E114" t="str">
            <v>140302402181003</v>
          </cell>
        </row>
        <row r="115">
          <cell r="E115" t="str">
            <v>140302402181002</v>
          </cell>
        </row>
        <row r="116">
          <cell r="E116" t="str">
            <v>140302402181002</v>
          </cell>
        </row>
        <row r="117">
          <cell r="E117" t="str">
            <v>140302402181003</v>
          </cell>
        </row>
        <row r="118">
          <cell r="E118" t="str">
            <v>140302402181003</v>
          </cell>
        </row>
        <row r="119">
          <cell r="E119" t="str">
            <v>140302402181002</v>
          </cell>
        </row>
        <row r="120">
          <cell r="E120" t="str">
            <v>140302402181003</v>
          </cell>
        </row>
        <row r="121">
          <cell r="E121" t="str">
            <v>140302402181003</v>
          </cell>
        </row>
        <row r="122">
          <cell r="E122" t="str">
            <v>140302402181003</v>
          </cell>
        </row>
        <row r="123">
          <cell r="E123" t="str">
            <v>1403240220140110</v>
          </cell>
        </row>
        <row r="124">
          <cell r="E124" t="str">
            <v>1403240220135709</v>
          </cell>
        </row>
        <row r="125">
          <cell r="E125" t="str">
            <v>1403240220141002</v>
          </cell>
        </row>
        <row r="126">
          <cell r="E126" t="str">
            <v>1403240220135326</v>
          </cell>
        </row>
        <row r="127">
          <cell r="E127" t="str">
            <v>1403240220140110</v>
          </cell>
        </row>
        <row r="128">
          <cell r="E128" t="str">
            <v>1403240220140110</v>
          </cell>
        </row>
        <row r="129">
          <cell r="E129" t="str">
            <v>1403240220135326</v>
          </cell>
        </row>
        <row r="130">
          <cell r="E130" t="str">
            <v>1403240220135709</v>
          </cell>
        </row>
        <row r="131">
          <cell r="E131" t="str">
            <v>1403240220140110</v>
          </cell>
        </row>
        <row r="132">
          <cell r="E132" t="str">
            <v>1403240220135326</v>
          </cell>
        </row>
        <row r="133">
          <cell r="E133" t="str">
            <v>1403240220140110</v>
          </cell>
        </row>
        <row r="134">
          <cell r="E134" t="str">
            <v>1403240220135709</v>
          </cell>
        </row>
        <row r="135">
          <cell r="E135" t="str">
            <v>1403240220135326</v>
          </cell>
        </row>
        <row r="136">
          <cell r="E136" t="str">
            <v>1403240220140110</v>
          </cell>
        </row>
        <row r="137">
          <cell r="E137" t="str">
            <v>1403240220140110</v>
          </cell>
        </row>
        <row r="138">
          <cell r="E138" t="str">
            <v>140302402221004</v>
          </cell>
        </row>
        <row r="139">
          <cell r="E139" t="str">
            <v>140302402221006</v>
          </cell>
        </row>
        <row r="140">
          <cell r="E140" t="str">
            <v>140302402221005</v>
          </cell>
        </row>
        <row r="141">
          <cell r="E141" t="str">
            <v>140302402221002</v>
          </cell>
        </row>
        <row r="142">
          <cell r="E142" t="str">
            <v>140302402221001</v>
          </cell>
        </row>
        <row r="143">
          <cell r="E143" t="str">
            <v>140302402221007</v>
          </cell>
        </row>
        <row r="144">
          <cell r="E144" t="str">
            <v>140302402221003</v>
          </cell>
        </row>
        <row r="145">
          <cell r="E145" t="str">
            <v>140302402221007</v>
          </cell>
        </row>
        <row r="146">
          <cell r="E146" t="str">
            <v>140302402221006</v>
          </cell>
        </row>
        <row r="147">
          <cell r="E147" t="str">
            <v>140302402221005</v>
          </cell>
        </row>
        <row r="148">
          <cell r="E148" t="str">
            <v>140302402221004</v>
          </cell>
        </row>
        <row r="149">
          <cell r="E149" t="str">
            <v>140302402221003</v>
          </cell>
        </row>
        <row r="150">
          <cell r="E150" t="str">
            <v>140302402221001</v>
          </cell>
        </row>
        <row r="151">
          <cell r="E151" t="str">
            <v>140302402221002</v>
          </cell>
        </row>
        <row r="152">
          <cell r="E152" t="str">
            <v>140302402221007</v>
          </cell>
        </row>
        <row r="153">
          <cell r="E153" t="str">
            <v>140302402221005</v>
          </cell>
        </row>
        <row r="154">
          <cell r="E154" t="str">
            <v>140302402221002</v>
          </cell>
        </row>
        <row r="155">
          <cell r="E155" t="str">
            <v>140302402221001</v>
          </cell>
        </row>
        <row r="156">
          <cell r="E156" t="str">
            <v>140302402221007</v>
          </cell>
        </row>
        <row r="157">
          <cell r="E157" t="str">
            <v>140302402221002</v>
          </cell>
        </row>
        <row r="158">
          <cell r="E158" t="str">
            <v>140302402221007</v>
          </cell>
        </row>
        <row r="159">
          <cell r="E159" t="str">
            <v>140302402221007</v>
          </cell>
        </row>
        <row r="160">
          <cell r="E160" t="str">
            <v>140302403021001</v>
          </cell>
        </row>
        <row r="161">
          <cell r="E161" t="str">
            <v>140302403021002</v>
          </cell>
        </row>
        <row r="162">
          <cell r="E162" t="str">
            <v>140302403021003</v>
          </cell>
        </row>
        <row r="163">
          <cell r="E163" t="str">
            <v>140302403021006</v>
          </cell>
        </row>
        <row r="164">
          <cell r="E164" t="str">
            <v>140302403021004</v>
          </cell>
        </row>
        <row r="165">
          <cell r="E165" t="str">
            <v>140302403021005</v>
          </cell>
        </row>
        <row r="166">
          <cell r="E166" t="str">
            <v>140302403021007</v>
          </cell>
        </row>
        <row r="167">
          <cell r="E167" t="str">
            <v>140302403021004</v>
          </cell>
        </row>
        <row r="168">
          <cell r="E168" t="str">
            <v>140302403021003</v>
          </cell>
        </row>
        <row r="169">
          <cell r="E169" t="str">
            <v>140302403021003</v>
          </cell>
        </row>
        <row r="170">
          <cell r="E170" t="str">
            <v>140302403021003</v>
          </cell>
        </row>
        <row r="171">
          <cell r="E171" t="str">
            <v>1403240305101601</v>
          </cell>
        </row>
        <row r="172">
          <cell r="E172" t="str">
            <v>1403240311141923</v>
          </cell>
        </row>
        <row r="173">
          <cell r="E173" t="str">
            <v>1403240311143134</v>
          </cell>
        </row>
        <row r="174">
          <cell r="E174" t="str">
            <v>1403240311144921</v>
          </cell>
        </row>
        <row r="175">
          <cell r="E175" t="str">
            <v>1403240311141923</v>
          </cell>
        </row>
        <row r="176">
          <cell r="E176" t="str">
            <v>1403240311141923</v>
          </cell>
        </row>
        <row r="177">
          <cell r="E177" t="str">
            <v>1403240311141923</v>
          </cell>
        </row>
        <row r="178">
          <cell r="E178" t="str">
            <v>1403240311141923</v>
          </cell>
        </row>
        <row r="179">
          <cell r="E179" t="str">
            <v>140302403121005</v>
          </cell>
        </row>
        <row r="180">
          <cell r="E180" t="str">
            <v>140302403121006</v>
          </cell>
        </row>
        <row r="181">
          <cell r="E181" t="str">
            <v>140302403121007</v>
          </cell>
        </row>
        <row r="182">
          <cell r="E182" t="str">
            <v>140302403121003</v>
          </cell>
        </row>
        <row r="183">
          <cell r="E183" t="str">
            <v>140302403121002</v>
          </cell>
        </row>
        <row r="184">
          <cell r="E184" t="str">
            <v>140302403121001</v>
          </cell>
        </row>
        <row r="185">
          <cell r="E185" t="str">
            <v>140302403121009</v>
          </cell>
        </row>
        <row r="186">
          <cell r="E186" t="str">
            <v>140302403121004</v>
          </cell>
        </row>
        <row r="187">
          <cell r="E187" t="str">
            <v>140302403121008</v>
          </cell>
        </row>
        <row r="188">
          <cell r="E188" t="str">
            <v>140302403121010</v>
          </cell>
        </row>
        <row r="189">
          <cell r="E189" t="str">
            <v>140302403121007</v>
          </cell>
        </row>
        <row r="190">
          <cell r="E190" t="str">
            <v>1403240314143903</v>
          </cell>
        </row>
        <row r="191">
          <cell r="E191" t="str">
            <v>1403240314144336</v>
          </cell>
        </row>
        <row r="192">
          <cell r="E192" t="str">
            <v>1403240314144336</v>
          </cell>
        </row>
        <row r="193">
          <cell r="E193" t="str">
            <v>1403240314144336</v>
          </cell>
        </row>
        <row r="194">
          <cell r="E194" t="str">
            <v>1403240314144336</v>
          </cell>
        </row>
        <row r="195">
          <cell r="E195" t="str">
            <v>1403240315152720</v>
          </cell>
        </row>
        <row r="196">
          <cell r="E196" t="str">
            <v>140302403141003</v>
          </cell>
        </row>
        <row r="197">
          <cell r="E197" t="str">
            <v>140302403141004</v>
          </cell>
        </row>
        <row r="198">
          <cell r="E198" t="str">
            <v>140302403141005</v>
          </cell>
        </row>
        <row r="199">
          <cell r="E199" t="str">
            <v>140302403141006</v>
          </cell>
        </row>
        <row r="200">
          <cell r="E200" t="str">
            <v>140302403141007</v>
          </cell>
        </row>
        <row r="201">
          <cell r="E201" t="str">
            <v>140302403141008</v>
          </cell>
        </row>
        <row r="202">
          <cell r="E202" t="str">
            <v>1403240319144931</v>
          </cell>
        </row>
        <row r="203">
          <cell r="E203" t="str">
            <v>140302403151003</v>
          </cell>
        </row>
        <row r="204">
          <cell r="E204" t="str">
            <v>140302403141009</v>
          </cell>
        </row>
        <row r="205">
          <cell r="E205" t="str">
            <v>1403240319145241</v>
          </cell>
        </row>
        <row r="206">
          <cell r="E206" t="str">
            <v>140302403141010</v>
          </cell>
        </row>
        <row r="207">
          <cell r="E207" t="str">
            <v>140302403141011</v>
          </cell>
        </row>
        <row r="208">
          <cell r="E208" t="str">
            <v>140302403141012</v>
          </cell>
        </row>
        <row r="209">
          <cell r="E209" t="str">
            <v>140302403141013</v>
          </cell>
        </row>
        <row r="210">
          <cell r="E210" t="str">
            <v>140302403141014</v>
          </cell>
        </row>
        <row r="211">
          <cell r="E211" t="str">
            <v>140302403141002</v>
          </cell>
        </row>
        <row r="212">
          <cell r="E212" t="str">
            <v>140302403141001</v>
          </cell>
        </row>
        <row r="213">
          <cell r="E213" t="str">
            <v>140302403141015</v>
          </cell>
        </row>
        <row r="214">
          <cell r="E214" t="str">
            <v>140302403151002</v>
          </cell>
        </row>
        <row r="215">
          <cell r="E215" t="str">
            <v>140302403151001</v>
          </cell>
        </row>
        <row r="216">
          <cell r="E216" t="str">
            <v>140302403141015</v>
          </cell>
        </row>
        <row r="217">
          <cell r="E217" t="str">
            <v>140302403141009</v>
          </cell>
        </row>
        <row r="218">
          <cell r="E218" t="str">
            <v>140302403141003</v>
          </cell>
        </row>
        <row r="219">
          <cell r="E219" t="str">
            <v>140302403141008</v>
          </cell>
        </row>
        <row r="220">
          <cell r="E220" t="str">
            <v>1403240322104522</v>
          </cell>
        </row>
        <row r="221">
          <cell r="E221" t="str">
            <v>1403240322104748</v>
          </cell>
        </row>
        <row r="222">
          <cell r="E222" t="str">
            <v>140302403261007</v>
          </cell>
        </row>
        <row r="223">
          <cell r="E223" t="str">
            <v>140302403261008</v>
          </cell>
        </row>
        <row r="224">
          <cell r="E224" t="str">
            <v>140302403261009</v>
          </cell>
        </row>
        <row r="225">
          <cell r="E225" t="str">
            <v>140302403261010</v>
          </cell>
        </row>
        <row r="226">
          <cell r="E226" t="str">
            <v>140302403261011</v>
          </cell>
        </row>
        <row r="227">
          <cell r="E227" t="str">
            <v>140302403261012</v>
          </cell>
        </row>
        <row r="228">
          <cell r="E228" t="str">
            <v>140302403261013</v>
          </cell>
        </row>
        <row r="229">
          <cell r="E229" t="str">
            <v>140302403261014</v>
          </cell>
        </row>
        <row r="230">
          <cell r="E230" t="str">
            <v>1403240326092230</v>
          </cell>
        </row>
        <row r="231">
          <cell r="E231" t="str">
            <v>140302403261001</v>
          </cell>
        </row>
        <row r="232">
          <cell r="E232" t="str">
            <v>140302403261002</v>
          </cell>
        </row>
        <row r="233">
          <cell r="E233" t="str">
            <v>140302403261003</v>
          </cell>
        </row>
        <row r="234">
          <cell r="E234" t="str">
            <v>140302403261004</v>
          </cell>
        </row>
        <row r="235">
          <cell r="E235" t="str">
            <v>140302403261005</v>
          </cell>
        </row>
        <row r="236">
          <cell r="E236" t="str">
            <v>140302403261006</v>
          </cell>
        </row>
        <row r="237">
          <cell r="E237" t="str">
            <v>1403240326092230</v>
          </cell>
        </row>
        <row r="238">
          <cell r="E238" t="str">
            <v>1403240326092230</v>
          </cell>
        </row>
        <row r="239">
          <cell r="E239" t="str">
            <v>140302403261004</v>
          </cell>
        </row>
        <row r="240">
          <cell r="E240" t="str">
            <v>1403240326092230</v>
          </cell>
        </row>
        <row r="241">
          <cell r="E241" t="str">
            <v>140302403261006</v>
          </cell>
        </row>
        <row r="242">
          <cell r="E242" t="str">
            <v>140302403261013</v>
          </cell>
        </row>
        <row r="243">
          <cell r="E243" t="str">
            <v>140302403261002</v>
          </cell>
        </row>
        <row r="244">
          <cell r="E244" t="str">
            <v>1403240326092614</v>
          </cell>
        </row>
        <row r="245">
          <cell r="E245" t="str">
            <v>1403240326092614</v>
          </cell>
        </row>
        <row r="246">
          <cell r="E246" t="str">
            <v>140302403261004</v>
          </cell>
        </row>
        <row r="247">
          <cell r="E247" t="str">
            <v>1403240328104431</v>
          </cell>
        </row>
        <row r="248">
          <cell r="E248" t="str">
            <v>1403240328104240</v>
          </cell>
        </row>
        <row r="249">
          <cell r="E249" t="str">
            <v>1403240328103909</v>
          </cell>
        </row>
        <row r="250">
          <cell r="E250" t="str">
            <v>1403240328104240</v>
          </cell>
        </row>
        <row r="251">
          <cell r="E251" t="str">
            <v>1403240328103909</v>
          </cell>
        </row>
        <row r="252">
          <cell r="E252" t="str">
            <v>1403240329174348</v>
          </cell>
        </row>
        <row r="253">
          <cell r="E253" t="str">
            <v>1403240329174348</v>
          </cell>
        </row>
        <row r="254">
          <cell r="E254" t="str">
            <v>140302403311001</v>
          </cell>
        </row>
        <row r="255">
          <cell r="E255" t="str">
            <v>1403240401152439</v>
          </cell>
        </row>
        <row r="256">
          <cell r="E256" t="str">
            <v>1403240401152752</v>
          </cell>
        </row>
        <row r="257">
          <cell r="E257" t="str">
            <v>140302404011002</v>
          </cell>
        </row>
        <row r="258">
          <cell r="E258" t="str">
            <v>140302404011001</v>
          </cell>
        </row>
        <row r="259">
          <cell r="E259" t="str">
            <v>140302403311002</v>
          </cell>
        </row>
        <row r="260">
          <cell r="E260" t="str">
            <v>1403240401152439</v>
          </cell>
        </row>
        <row r="261">
          <cell r="E261" t="str">
            <v>1403240401152439</v>
          </cell>
        </row>
        <row r="262">
          <cell r="E262" t="str">
            <v>140302403311001</v>
          </cell>
        </row>
        <row r="263">
          <cell r="E263" t="str">
            <v>140302404011001</v>
          </cell>
        </row>
        <row r="264">
          <cell r="E264" t="str">
            <v>1403240405092603</v>
          </cell>
        </row>
        <row r="265">
          <cell r="E265" t="str">
            <v>1403240405092258</v>
          </cell>
        </row>
        <row r="266">
          <cell r="E266" t="str">
            <v>140302404071001</v>
          </cell>
        </row>
        <row r="267">
          <cell r="E267" t="str">
            <v>140302404091003</v>
          </cell>
        </row>
        <row r="268">
          <cell r="E268" t="str">
            <v>140302404091002</v>
          </cell>
        </row>
        <row r="269">
          <cell r="E269" t="str">
            <v>140302404091002</v>
          </cell>
        </row>
        <row r="270">
          <cell r="E270" t="str">
            <v>140302404091002</v>
          </cell>
        </row>
        <row r="271">
          <cell r="E271" t="str">
            <v>140302404091002</v>
          </cell>
        </row>
        <row r="272">
          <cell r="E272" t="str">
            <v>140302404091002</v>
          </cell>
        </row>
        <row r="273">
          <cell r="E273" t="str">
            <v>1403240412220227</v>
          </cell>
        </row>
        <row r="274">
          <cell r="E274" t="str">
            <v>1403240412220227</v>
          </cell>
        </row>
        <row r="275">
          <cell r="E275" t="str">
            <v>1403240412220227</v>
          </cell>
        </row>
        <row r="276">
          <cell r="E276" t="str">
            <v>140302404251004</v>
          </cell>
        </row>
        <row r="277">
          <cell r="E277" t="str">
            <v>140302404251006</v>
          </cell>
        </row>
        <row r="278">
          <cell r="E278" t="str">
            <v>140302404251003</v>
          </cell>
        </row>
        <row r="279">
          <cell r="E279" t="str">
            <v>140302404251002</v>
          </cell>
        </row>
        <row r="280">
          <cell r="E280" t="str">
            <v>140302404251001</v>
          </cell>
        </row>
        <row r="281">
          <cell r="E281" t="str">
            <v>140302404251008</v>
          </cell>
        </row>
        <row r="282">
          <cell r="E282" t="str">
            <v>140302404251009</v>
          </cell>
        </row>
        <row r="283">
          <cell r="E283" t="str">
            <v>140302404251010</v>
          </cell>
        </row>
        <row r="284">
          <cell r="E284" t="str">
            <v>140302404251011</v>
          </cell>
        </row>
        <row r="285">
          <cell r="E285" t="str">
            <v>140302404251012</v>
          </cell>
        </row>
        <row r="286">
          <cell r="E286" t="str">
            <v>140302404251013</v>
          </cell>
        </row>
        <row r="287">
          <cell r="E287" t="str">
            <v>140302404251014</v>
          </cell>
        </row>
        <row r="288">
          <cell r="E288" t="str">
            <v>140302404251005</v>
          </cell>
        </row>
        <row r="289">
          <cell r="E289" t="str">
            <v>140302404151100</v>
          </cell>
        </row>
        <row r="290">
          <cell r="E290" t="str">
            <v>140302404251015</v>
          </cell>
        </row>
        <row r="291">
          <cell r="E291" t="str">
            <v>140302404251001</v>
          </cell>
        </row>
        <row r="292">
          <cell r="E292" t="str">
            <v>140302404251005</v>
          </cell>
        </row>
        <row r="293">
          <cell r="E293" t="str">
            <v>140302404251008</v>
          </cell>
        </row>
        <row r="294">
          <cell r="E294" t="str">
            <v>140302404251003</v>
          </cell>
        </row>
        <row r="295">
          <cell r="E295" t="str">
            <v>140302404251014</v>
          </cell>
        </row>
        <row r="296">
          <cell r="E296" t="str">
            <v>140302404251013</v>
          </cell>
        </row>
        <row r="297">
          <cell r="E297" t="str">
            <v>140302404251014</v>
          </cell>
        </row>
        <row r="298">
          <cell r="E298" t="str">
            <v>140302404251007</v>
          </cell>
        </row>
        <row r="299">
          <cell r="E299" t="str">
            <v>14032404189002</v>
          </cell>
        </row>
        <row r="300">
          <cell r="E300" t="str">
            <v>14032404189001</v>
          </cell>
        </row>
        <row r="301">
          <cell r="E301" t="str">
            <v>1403240418121636</v>
          </cell>
        </row>
        <row r="302">
          <cell r="E302" t="str">
            <v>1403240418121636</v>
          </cell>
        </row>
        <row r="303">
          <cell r="E303" t="str">
            <v>1403240418121954</v>
          </cell>
        </row>
        <row r="304">
          <cell r="E304" t="str">
            <v>1403240418121636</v>
          </cell>
        </row>
        <row r="305">
          <cell r="E305" t="str">
            <v>1403240418121954</v>
          </cell>
        </row>
        <row r="306">
          <cell r="E306" t="str">
            <v>1403240418121636</v>
          </cell>
        </row>
        <row r="307">
          <cell r="E307" t="str">
            <v>140302404221005</v>
          </cell>
        </row>
        <row r="308">
          <cell r="E308" t="str">
            <v>140302404221004</v>
          </cell>
        </row>
        <row r="309">
          <cell r="E309" t="str">
            <v>140302404221003</v>
          </cell>
        </row>
        <row r="310">
          <cell r="E310" t="str">
            <v>140302404221002</v>
          </cell>
        </row>
        <row r="311">
          <cell r="E311" t="str">
            <v>140302404221001</v>
          </cell>
        </row>
        <row r="312">
          <cell r="E312" t="str">
            <v>140302404221003</v>
          </cell>
        </row>
        <row r="313">
          <cell r="E313" t="str">
            <v>140302404221002</v>
          </cell>
        </row>
        <row r="314">
          <cell r="E314" t="str">
            <v>140302404221001</v>
          </cell>
        </row>
        <row r="315">
          <cell r="E315" t="str">
            <v>140302404221002</v>
          </cell>
        </row>
        <row r="316">
          <cell r="E316" t="str">
            <v>1403240425144237</v>
          </cell>
        </row>
        <row r="317">
          <cell r="E317" t="str">
            <v>1403240425144237</v>
          </cell>
        </row>
        <row r="318">
          <cell r="E318" t="str">
            <v>140302404301001</v>
          </cell>
        </row>
        <row r="319">
          <cell r="E319" t="str">
            <v>1403240506153234</v>
          </cell>
        </row>
        <row r="320">
          <cell r="E320" t="str">
            <v>1403240506153754</v>
          </cell>
        </row>
        <row r="321">
          <cell r="E321" t="str">
            <v>140302404301001</v>
          </cell>
        </row>
        <row r="322">
          <cell r="E322" t="str">
            <v>1403240506153754</v>
          </cell>
        </row>
        <row r="323">
          <cell r="E323" t="str">
            <v>1403240507114820</v>
          </cell>
        </row>
        <row r="324">
          <cell r="E324" t="str">
            <v>1403240507114820</v>
          </cell>
        </row>
        <row r="325">
          <cell r="E325" t="str">
            <v>1403240515164043</v>
          </cell>
        </row>
        <row r="326">
          <cell r="E326" t="str">
            <v>1403240515172601</v>
          </cell>
        </row>
        <row r="327">
          <cell r="E327" t="str">
            <v>1403240515164043</v>
          </cell>
        </row>
        <row r="328">
          <cell r="E328" t="str">
            <v>1403240515164043</v>
          </cell>
        </row>
        <row r="329">
          <cell r="E329" t="str">
            <v>140302405151001</v>
          </cell>
        </row>
        <row r="330">
          <cell r="E330" t="str">
            <v>140302405151007</v>
          </cell>
        </row>
        <row r="331">
          <cell r="E331" t="str">
            <v>140302405151009</v>
          </cell>
        </row>
        <row r="332">
          <cell r="E332" t="str">
            <v>140302405151008</v>
          </cell>
        </row>
        <row r="333">
          <cell r="E333" t="str">
            <v>140302405151006</v>
          </cell>
        </row>
        <row r="334">
          <cell r="E334" t="str">
            <v>140302405151005</v>
          </cell>
        </row>
        <row r="335">
          <cell r="E335" t="str">
            <v>140302405151004</v>
          </cell>
        </row>
        <row r="336">
          <cell r="E336" t="str">
            <v>140302405151003</v>
          </cell>
        </row>
        <row r="337">
          <cell r="E337" t="str">
            <v>140302405151002</v>
          </cell>
        </row>
        <row r="338">
          <cell r="E338" t="str">
            <v>140302405151009</v>
          </cell>
        </row>
        <row r="339">
          <cell r="E339" t="str">
            <v>140302405151001</v>
          </cell>
        </row>
        <row r="340">
          <cell r="E340" t="str">
            <v>140302405151008</v>
          </cell>
        </row>
        <row r="341">
          <cell r="E341" t="str">
            <v>140302405201102</v>
          </cell>
        </row>
        <row r="342">
          <cell r="E342" t="str">
            <v>140302405201101</v>
          </cell>
        </row>
        <row r="343">
          <cell r="E343" t="str">
            <v>140302405201100</v>
          </cell>
        </row>
        <row r="344">
          <cell r="E344" t="str">
            <v>140302405201103</v>
          </cell>
        </row>
        <row r="345">
          <cell r="E345" t="str">
            <v>140302405201104</v>
          </cell>
        </row>
        <row r="346">
          <cell r="E346" t="str">
            <v>140302405201102</v>
          </cell>
        </row>
        <row r="347">
          <cell r="E347" t="str">
            <v>140302405201102</v>
          </cell>
        </row>
        <row r="348">
          <cell r="E348" t="str">
            <v>140302405201104</v>
          </cell>
        </row>
        <row r="349">
          <cell r="E349" t="str">
            <v>140302405201104</v>
          </cell>
        </row>
        <row r="350">
          <cell r="E350" t="str">
            <v>14032405249002</v>
          </cell>
        </row>
        <row r="351">
          <cell r="E351" t="str">
            <v>14032405249003</v>
          </cell>
        </row>
        <row r="352">
          <cell r="E352" t="str">
            <v>14032405249001</v>
          </cell>
        </row>
        <row r="353">
          <cell r="E353" t="str">
            <v>14032405249003</v>
          </cell>
        </row>
        <row r="354">
          <cell r="E354" t="str">
            <v>14032405249001</v>
          </cell>
        </row>
        <row r="355">
          <cell r="E355" t="str">
            <v>140302405271004</v>
          </cell>
        </row>
        <row r="356">
          <cell r="E356" t="str">
            <v>140302405271005</v>
          </cell>
        </row>
        <row r="357">
          <cell r="E357" t="str">
            <v>140302405271006</v>
          </cell>
        </row>
        <row r="358">
          <cell r="E358" t="str">
            <v>140302405271007</v>
          </cell>
        </row>
        <row r="359">
          <cell r="E359" t="str">
            <v>140302405271008</v>
          </cell>
        </row>
        <row r="360">
          <cell r="E360" t="str">
            <v>1403240528155505</v>
          </cell>
        </row>
        <row r="361">
          <cell r="E361" t="str">
            <v>1403240528160113</v>
          </cell>
        </row>
        <row r="362">
          <cell r="E362" t="str">
            <v>1403240528164013</v>
          </cell>
        </row>
        <row r="363">
          <cell r="E363" t="str">
            <v>14032405289001</v>
          </cell>
        </row>
        <row r="364">
          <cell r="E364" t="str">
            <v>140302405271001</v>
          </cell>
        </row>
        <row r="365">
          <cell r="E365" t="str">
            <v>140302405271002</v>
          </cell>
        </row>
        <row r="366">
          <cell r="E366" t="str">
            <v>140302405271003</v>
          </cell>
        </row>
        <row r="367">
          <cell r="E367" t="str">
            <v>1403240528155505</v>
          </cell>
        </row>
        <row r="368">
          <cell r="E368" t="str">
            <v>1403240528160113</v>
          </cell>
        </row>
        <row r="369">
          <cell r="E369" t="str">
            <v>1403240528160113</v>
          </cell>
        </row>
        <row r="370">
          <cell r="E370" t="str">
            <v>140302405271004</v>
          </cell>
        </row>
        <row r="371">
          <cell r="E371" t="str">
            <v>140302405271007</v>
          </cell>
        </row>
        <row r="372">
          <cell r="E372" t="str">
            <v>1403240528160113</v>
          </cell>
        </row>
        <row r="373">
          <cell r="E373" t="str">
            <v>1403240528155505</v>
          </cell>
        </row>
        <row r="374">
          <cell r="E374" t="str">
            <v>140302405271001</v>
          </cell>
        </row>
        <row r="375">
          <cell r="E375" t="str">
            <v>140302405271002</v>
          </cell>
        </row>
        <row r="376">
          <cell r="E376" t="str">
            <v>1403240528155505</v>
          </cell>
        </row>
        <row r="377">
          <cell r="E377" t="str">
            <v>1403240528160113</v>
          </cell>
        </row>
        <row r="378">
          <cell r="E378" t="str">
            <v>1403240528160113</v>
          </cell>
        </row>
        <row r="379">
          <cell r="E379" t="str">
            <v>1403240528155505</v>
          </cell>
        </row>
        <row r="380">
          <cell r="E380" t="str">
            <v>1403240528155505</v>
          </cell>
        </row>
        <row r="381">
          <cell r="E381" t="str">
            <v>1403240528160113</v>
          </cell>
        </row>
        <row r="382">
          <cell r="E382" t="str">
            <v>140302405271007</v>
          </cell>
        </row>
        <row r="383">
          <cell r="E383" t="str">
            <v>140302405271002</v>
          </cell>
        </row>
        <row r="384">
          <cell r="E384" t="str">
            <v>140302405271007</v>
          </cell>
        </row>
        <row r="385">
          <cell r="E385" t="str">
            <v>1403240528160113</v>
          </cell>
        </row>
        <row r="386">
          <cell r="E386" t="str">
            <v>140302405271002</v>
          </cell>
        </row>
        <row r="387">
          <cell r="E387" t="str">
            <v>140302405271007</v>
          </cell>
        </row>
        <row r="388">
          <cell r="E388" t="str">
            <v>140302405271002</v>
          </cell>
        </row>
        <row r="389">
          <cell r="E389" t="str">
            <v>140302405271007</v>
          </cell>
        </row>
        <row r="390">
          <cell r="E390" t="str">
            <v>140302405271007</v>
          </cell>
        </row>
        <row r="391">
          <cell r="E391" t="str">
            <v>140302405271007</v>
          </cell>
        </row>
        <row r="392">
          <cell r="E392" t="str">
            <v>140302405311001</v>
          </cell>
        </row>
        <row r="393">
          <cell r="E393" t="str">
            <v>1403240607164124</v>
          </cell>
        </row>
        <row r="394">
          <cell r="E394" t="str">
            <v>140302405311003</v>
          </cell>
        </row>
        <row r="395">
          <cell r="E395" t="str">
            <v>140302405311002</v>
          </cell>
        </row>
        <row r="396">
          <cell r="E396" t="str">
            <v>1403240607163930</v>
          </cell>
        </row>
        <row r="397">
          <cell r="E397" t="str">
            <v>140302406061101</v>
          </cell>
        </row>
        <row r="398">
          <cell r="E398" t="str">
            <v>140302406061102</v>
          </cell>
        </row>
        <row r="399">
          <cell r="E399" t="str">
            <v>1403240607163828</v>
          </cell>
        </row>
        <row r="400">
          <cell r="E400" t="str">
            <v>140302405311004</v>
          </cell>
        </row>
        <row r="401">
          <cell r="E401" t="str">
            <v>140302406061100</v>
          </cell>
        </row>
        <row r="402">
          <cell r="E402" t="str">
            <v>1403240607164124</v>
          </cell>
        </row>
        <row r="403">
          <cell r="E403" t="str">
            <v>1403240607163930</v>
          </cell>
        </row>
        <row r="404">
          <cell r="E404" t="str">
            <v>1403240607163828</v>
          </cell>
        </row>
        <row r="405">
          <cell r="E405" t="str">
            <v>140302405311002</v>
          </cell>
        </row>
        <row r="406">
          <cell r="E406" t="str">
            <v>140302405311001</v>
          </cell>
        </row>
        <row r="407">
          <cell r="E407" t="str">
            <v>1403240607163930</v>
          </cell>
        </row>
        <row r="408">
          <cell r="E408" t="str">
            <v>1403240607163930</v>
          </cell>
        </row>
        <row r="409">
          <cell r="E409" t="str">
            <v>140302406101001</v>
          </cell>
        </row>
        <row r="410">
          <cell r="E410" t="str">
            <v>140302406101002</v>
          </cell>
        </row>
        <row r="411">
          <cell r="E411" t="str">
            <v>140302406101003</v>
          </cell>
        </row>
        <row r="412">
          <cell r="E412" t="str">
            <v>140302406101001</v>
          </cell>
        </row>
        <row r="413">
          <cell r="E413" t="str">
            <v>140302406101002</v>
          </cell>
        </row>
        <row r="414">
          <cell r="E414" t="str">
            <v>140302406101001</v>
          </cell>
        </row>
        <row r="415">
          <cell r="E415" t="str">
            <v>1403240620143519</v>
          </cell>
        </row>
        <row r="416">
          <cell r="E416" t="str">
            <v>1403240620143657</v>
          </cell>
        </row>
        <row r="417">
          <cell r="E417" t="str">
            <v>140302406201003</v>
          </cell>
        </row>
        <row r="418">
          <cell r="E418" t="str">
            <v>140302406201001</v>
          </cell>
        </row>
        <row r="419">
          <cell r="E419" t="str">
            <v>1403240620144028</v>
          </cell>
        </row>
        <row r="420">
          <cell r="E420" t="str">
            <v>140302406201002</v>
          </cell>
        </row>
        <row r="421">
          <cell r="E421" t="str">
            <v>1403240620143828</v>
          </cell>
        </row>
        <row r="422">
          <cell r="E422" t="str">
            <v>1403240620143828</v>
          </cell>
        </row>
        <row r="423">
          <cell r="E423" t="str">
            <v>1403240620143519</v>
          </cell>
        </row>
        <row r="424">
          <cell r="E424" t="str">
            <v>1403240620143519</v>
          </cell>
        </row>
        <row r="425">
          <cell r="E425" t="str">
            <v>140302406201001</v>
          </cell>
        </row>
        <row r="426">
          <cell r="E426" t="str">
            <v>1403240620143657</v>
          </cell>
        </row>
        <row r="427">
          <cell r="E427" t="str">
            <v>140302406201003</v>
          </cell>
        </row>
        <row r="428">
          <cell r="E428" t="str">
            <v>140302406201002</v>
          </cell>
        </row>
        <row r="429">
          <cell r="E429" t="str">
            <v>1403240620143657</v>
          </cell>
        </row>
        <row r="430">
          <cell r="E430" t="str">
            <v>140302406201001</v>
          </cell>
        </row>
        <row r="431">
          <cell r="E431" t="str">
            <v>1403240620143657</v>
          </cell>
        </row>
        <row r="432">
          <cell r="E432" t="str">
            <v>140302406201002</v>
          </cell>
        </row>
        <row r="433">
          <cell r="E433" t="str">
            <v>140302406201003</v>
          </cell>
        </row>
        <row r="434">
          <cell r="E434" t="str">
            <v>1403240620143657</v>
          </cell>
        </row>
        <row r="435">
          <cell r="E435" t="str">
            <v>1403240620143657</v>
          </cell>
        </row>
        <row r="436">
          <cell r="E436" t="str">
            <v>140302406201003</v>
          </cell>
        </row>
        <row r="437">
          <cell r="E437" t="str">
            <v>140302406201002</v>
          </cell>
        </row>
        <row r="438">
          <cell r="E438" t="str">
            <v>1403240626095527</v>
          </cell>
        </row>
        <row r="439">
          <cell r="E439" t="str">
            <v>140302406281001</v>
          </cell>
        </row>
        <row r="440">
          <cell r="E440" t="str">
            <v>140302406281004</v>
          </cell>
        </row>
        <row r="441">
          <cell r="E441" t="str">
            <v>140302406281003</v>
          </cell>
        </row>
        <row r="442">
          <cell r="E442" t="str">
            <v>140302406281002</v>
          </cell>
        </row>
        <row r="443">
          <cell r="E443" t="str">
            <v>140302406281002</v>
          </cell>
        </row>
        <row r="444">
          <cell r="E444" t="str">
            <v>140302406281001</v>
          </cell>
        </row>
        <row r="445">
          <cell r="E445" t="str">
            <v>140302406281003</v>
          </cell>
        </row>
        <row r="446">
          <cell r="E446" t="str">
            <v>140302406281001</v>
          </cell>
        </row>
        <row r="447">
          <cell r="E447" t="str">
            <v>1403240701182620</v>
          </cell>
        </row>
        <row r="448">
          <cell r="E448" t="str">
            <v>1403240701183012</v>
          </cell>
        </row>
        <row r="449">
          <cell r="E449" t="str">
            <v>1403240701183012</v>
          </cell>
        </row>
        <row r="450">
          <cell r="E450" t="str">
            <v>1403240701183012</v>
          </cell>
        </row>
        <row r="451">
          <cell r="E451" t="str">
            <v>1403240701183012</v>
          </cell>
        </row>
        <row r="452">
          <cell r="E452" t="str">
            <v>140302407031001</v>
          </cell>
        </row>
        <row r="453">
          <cell r="E453" t="str">
            <v>1403240704093848</v>
          </cell>
        </row>
        <row r="454">
          <cell r="E454" t="str">
            <v>1403240717140035</v>
          </cell>
        </row>
        <row r="455">
          <cell r="E455" t="str">
            <v>1403240717140353</v>
          </cell>
        </row>
        <row r="456">
          <cell r="E456" t="str">
            <v>1403240717140035</v>
          </cell>
        </row>
        <row r="457">
          <cell r="E457" t="str">
            <v>1403240717140353</v>
          </cell>
        </row>
        <row r="458">
          <cell r="E458" t="str">
            <v>14032407179001</v>
          </cell>
        </row>
        <row r="459">
          <cell r="E459" t="str">
            <v>14032407179001</v>
          </cell>
        </row>
        <row r="460">
          <cell r="E460" t="str">
            <v>1403240722155637</v>
          </cell>
        </row>
        <row r="461">
          <cell r="E461" t="str">
            <v>1403240722154740</v>
          </cell>
        </row>
        <row r="462">
          <cell r="E462" t="str">
            <v>1403240722155017</v>
          </cell>
        </row>
        <row r="463">
          <cell r="E463" t="str">
            <v>1403240722155017</v>
          </cell>
        </row>
        <row r="464">
          <cell r="E464" t="str">
            <v>1403240807173206</v>
          </cell>
        </row>
        <row r="465">
          <cell r="E465" t="str">
            <v>1403240807153657</v>
          </cell>
        </row>
        <row r="466">
          <cell r="E466" t="str">
            <v>1403240807154256</v>
          </cell>
        </row>
        <row r="467">
          <cell r="E467" t="str">
            <v>1403240807154256</v>
          </cell>
        </row>
        <row r="468">
          <cell r="E468" t="str">
            <v>1403240807153657</v>
          </cell>
        </row>
        <row r="469">
          <cell r="E469" t="str">
            <v>1403240807173206</v>
          </cell>
        </row>
        <row r="470">
          <cell r="E470" t="str">
            <v>1403240807173206</v>
          </cell>
        </row>
        <row r="471">
          <cell r="E471" t="str">
            <v>1403240807173206</v>
          </cell>
        </row>
        <row r="472">
          <cell r="E472" t="str">
            <v>1403240807173206</v>
          </cell>
        </row>
        <row r="473">
          <cell r="E473" t="str">
            <v>1403240807173206</v>
          </cell>
        </row>
        <row r="474">
          <cell r="E474" t="str">
            <v>1403240807173206</v>
          </cell>
        </row>
        <row r="475">
          <cell r="E475" t="str">
            <v>1403240807173206</v>
          </cell>
        </row>
        <row r="476">
          <cell r="E476" t="str">
            <v>140302408081102</v>
          </cell>
        </row>
        <row r="477">
          <cell r="E477" t="str">
            <v>140302408091103</v>
          </cell>
        </row>
        <row r="478">
          <cell r="E478" t="str">
            <v>140302408091115</v>
          </cell>
        </row>
        <row r="479">
          <cell r="E479" t="str">
            <v>140302408091113</v>
          </cell>
        </row>
        <row r="480">
          <cell r="E480" t="str">
            <v>140302408091104</v>
          </cell>
        </row>
        <row r="481">
          <cell r="E481" t="str">
            <v>140302408091105</v>
          </cell>
        </row>
        <row r="482">
          <cell r="E482" t="str">
            <v>140302408091107</v>
          </cell>
        </row>
        <row r="483">
          <cell r="E483" t="str">
            <v>140302408091108</v>
          </cell>
        </row>
        <row r="484">
          <cell r="E484" t="str">
            <v>140302408091109</v>
          </cell>
        </row>
        <row r="485">
          <cell r="E485" t="str">
            <v>140302408091110</v>
          </cell>
        </row>
        <row r="486">
          <cell r="E486" t="str">
            <v>140302408091111</v>
          </cell>
        </row>
        <row r="487">
          <cell r="E487" t="str">
            <v>140302408081112</v>
          </cell>
        </row>
        <row r="488">
          <cell r="E488" t="str">
            <v>140302408081112</v>
          </cell>
        </row>
        <row r="489">
          <cell r="E489" t="str">
            <v>140302408081112</v>
          </cell>
        </row>
        <row r="490">
          <cell r="E490" t="str">
            <v>140302408081112</v>
          </cell>
        </row>
        <row r="491">
          <cell r="E491" t="str">
            <v>140302408081112</v>
          </cell>
        </row>
        <row r="492">
          <cell r="E492" t="str">
            <v>140302408091107</v>
          </cell>
        </row>
        <row r="493">
          <cell r="E493" t="str">
            <v>140302408091109</v>
          </cell>
        </row>
        <row r="494">
          <cell r="E494" t="str">
            <v>140302408091111</v>
          </cell>
        </row>
        <row r="495">
          <cell r="E495" t="str">
            <v>140302408091113</v>
          </cell>
        </row>
        <row r="496">
          <cell r="E496" t="str">
            <v>140302408091115</v>
          </cell>
        </row>
        <row r="497">
          <cell r="E497" t="str">
            <v>140302408081112</v>
          </cell>
        </row>
        <row r="498">
          <cell r="E498" t="str">
            <v>140302408081112</v>
          </cell>
        </row>
        <row r="499">
          <cell r="E499" t="str">
            <v>140302408081112</v>
          </cell>
        </row>
        <row r="500">
          <cell r="E500" t="str">
            <v>140302408081112</v>
          </cell>
        </row>
        <row r="501">
          <cell r="E501" t="str">
            <v>140302408081112</v>
          </cell>
        </row>
        <row r="502">
          <cell r="E502" t="str">
            <v>140302408081112</v>
          </cell>
        </row>
        <row r="503">
          <cell r="E503" t="str">
            <v>140302408081112</v>
          </cell>
        </row>
        <row r="504">
          <cell r="E504" t="str">
            <v>140302408091105</v>
          </cell>
        </row>
        <row r="505">
          <cell r="E505" t="str">
            <v>1403240814101355</v>
          </cell>
        </row>
        <row r="506">
          <cell r="E506" t="str">
            <v>1403240814101239</v>
          </cell>
        </row>
        <row r="507">
          <cell r="E507" t="str">
            <v>1403240814101117</v>
          </cell>
        </row>
        <row r="508">
          <cell r="E508" t="str">
            <v>1403240814101117</v>
          </cell>
        </row>
        <row r="509">
          <cell r="E509" t="str">
            <v>1403240814101117</v>
          </cell>
        </row>
        <row r="510">
          <cell r="E510" t="str">
            <v>140302408090004</v>
          </cell>
        </row>
        <row r="511">
          <cell r="E511" t="str">
            <v>140302408090006</v>
          </cell>
        </row>
        <row r="512">
          <cell r="E512" t="str">
            <v>140302408120004</v>
          </cell>
        </row>
        <row r="513">
          <cell r="E513" t="str">
            <v>140302408120003</v>
          </cell>
        </row>
        <row r="514">
          <cell r="E514" t="str">
            <v>140302408120005</v>
          </cell>
        </row>
        <row r="515">
          <cell r="E515" t="str">
            <v>140302408090005</v>
          </cell>
        </row>
        <row r="516">
          <cell r="E516" t="str">
            <v>140302408090003</v>
          </cell>
        </row>
        <row r="517">
          <cell r="E517" t="str">
            <v>140302408130001</v>
          </cell>
        </row>
        <row r="518">
          <cell r="E518" t="str">
            <v>140302408091002</v>
          </cell>
        </row>
        <row r="519">
          <cell r="E519" t="str">
            <v>140302408120002</v>
          </cell>
        </row>
        <row r="520">
          <cell r="E520" t="str">
            <v>140302408120001</v>
          </cell>
        </row>
        <row r="521">
          <cell r="E521" t="str">
            <v>140302408090001</v>
          </cell>
        </row>
        <row r="522">
          <cell r="E522" t="str">
            <v>140302408090001</v>
          </cell>
        </row>
        <row r="523">
          <cell r="E523" t="str">
            <v>140302408090006</v>
          </cell>
        </row>
        <row r="524">
          <cell r="E524" t="str">
            <v>140302408120005</v>
          </cell>
        </row>
        <row r="525">
          <cell r="E525" t="str">
            <v>140302408090004</v>
          </cell>
        </row>
        <row r="526">
          <cell r="E526" t="str">
            <v>140302408090001</v>
          </cell>
        </row>
        <row r="527">
          <cell r="E527" t="str">
            <v>14032408169002</v>
          </cell>
        </row>
        <row r="528">
          <cell r="E528" t="str">
            <v>14032408169001</v>
          </cell>
        </row>
        <row r="529">
          <cell r="E529" t="str">
            <v>1403240819125756</v>
          </cell>
        </row>
        <row r="530">
          <cell r="E530" t="str">
            <v>140302408260001</v>
          </cell>
        </row>
        <row r="531">
          <cell r="E531" t="str">
            <v>140302408260002</v>
          </cell>
        </row>
        <row r="532">
          <cell r="E532" t="str">
            <v>140302408260001</v>
          </cell>
        </row>
        <row r="533">
          <cell r="E533" t="str">
            <v>140302408260001</v>
          </cell>
        </row>
        <row r="534">
          <cell r="E534" t="str">
            <v>140302408260001</v>
          </cell>
        </row>
        <row r="535">
          <cell r="E535" t="str">
            <v>140302408260001</v>
          </cell>
        </row>
        <row r="536">
          <cell r="E536" t="str">
            <v>140302408260001</v>
          </cell>
        </row>
        <row r="537">
          <cell r="E537" t="str">
            <v>1403240828101247</v>
          </cell>
        </row>
        <row r="538">
          <cell r="E538" t="str">
            <v>1403240828100554</v>
          </cell>
        </row>
        <row r="539">
          <cell r="E539" t="str">
            <v>1403240828101559</v>
          </cell>
        </row>
        <row r="540">
          <cell r="E540" t="str">
            <v>1403240828100554</v>
          </cell>
        </row>
        <row r="541">
          <cell r="E541" t="str">
            <v>1403240828101247</v>
          </cell>
        </row>
        <row r="542">
          <cell r="E542" t="str">
            <v>1403240828100554</v>
          </cell>
        </row>
        <row r="543">
          <cell r="E543" t="str">
            <v>1403240828100554</v>
          </cell>
        </row>
        <row r="544">
          <cell r="E544" t="str">
            <v>1403240828100554</v>
          </cell>
        </row>
        <row r="545">
          <cell r="E545" t="str">
            <v>1403240828101247</v>
          </cell>
        </row>
        <row r="546">
          <cell r="E546" t="str">
            <v>1403240828101247</v>
          </cell>
        </row>
        <row r="547">
          <cell r="E547" t="str">
            <v>1403240828101247</v>
          </cell>
        </row>
        <row r="548">
          <cell r="E548" t="str">
            <v>1403240828101247</v>
          </cell>
        </row>
        <row r="549">
          <cell r="E549" t="str">
            <v>1403240828101247</v>
          </cell>
        </row>
        <row r="550">
          <cell r="E550" t="str">
            <v>140302409041018</v>
          </cell>
        </row>
        <row r="551">
          <cell r="E551" t="str">
            <v>140302409041019</v>
          </cell>
        </row>
        <row r="552">
          <cell r="E552" t="str">
            <v>140302409041012</v>
          </cell>
        </row>
        <row r="553">
          <cell r="E553" t="str">
            <v>140302409041013</v>
          </cell>
        </row>
        <row r="554">
          <cell r="E554" t="str">
            <v>140302409041014</v>
          </cell>
        </row>
        <row r="555">
          <cell r="E555" t="str">
            <v>140302409041011</v>
          </cell>
        </row>
        <row r="556">
          <cell r="E556" t="str">
            <v>140302409041020</v>
          </cell>
        </row>
        <row r="557">
          <cell r="E557" t="str">
            <v>140302409041010</v>
          </cell>
        </row>
        <row r="558">
          <cell r="E558" t="str">
            <v>140302409041017</v>
          </cell>
        </row>
        <row r="559">
          <cell r="E559" t="str">
            <v>140302409041016</v>
          </cell>
        </row>
        <row r="560">
          <cell r="E560" t="str">
            <v>140302409041021</v>
          </cell>
        </row>
        <row r="561">
          <cell r="E561" t="str">
            <v>140302409041015</v>
          </cell>
        </row>
        <row r="562">
          <cell r="E562" t="str">
            <v>140302409041016</v>
          </cell>
        </row>
        <row r="563">
          <cell r="E563" t="str">
            <v>140302409041020</v>
          </cell>
        </row>
        <row r="564">
          <cell r="E564" t="str">
            <v>140302409041016</v>
          </cell>
        </row>
        <row r="565">
          <cell r="E565" t="str">
            <v>140302409041021</v>
          </cell>
        </row>
        <row r="566">
          <cell r="E566" t="str">
            <v>140302409041015</v>
          </cell>
        </row>
        <row r="567">
          <cell r="E567" t="str">
            <v>140302409041012</v>
          </cell>
        </row>
        <row r="568">
          <cell r="E568" t="str">
            <v>140302409041014</v>
          </cell>
        </row>
        <row r="569">
          <cell r="E569" t="str">
            <v>140302409041020</v>
          </cell>
        </row>
        <row r="570">
          <cell r="E570" t="str">
            <v>140302409041015</v>
          </cell>
        </row>
        <row r="571">
          <cell r="E571" t="str">
            <v>140302409041014</v>
          </cell>
        </row>
        <row r="572">
          <cell r="E572" t="str">
            <v>140302409041016</v>
          </cell>
        </row>
        <row r="573">
          <cell r="E573" t="str">
            <v>140302409041020</v>
          </cell>
        </row>
        <row r="574">
          <cell r="E574" t="str">
            <v>140302409041014</v>
          </cell>
        </row>
        <row r="575">
          <cell r="E575" t="str">
            <v>140302409041012</v>
          </cell>
        </row>
        <row r="576">
          <cell r="E576" t="str">
            <v>140302409041021</v>
          </cell>
        </row>
        <row r="577">
          <cell r="E577" t="str">
            <v>140302409041015</v>
          </cell>
        </row>
        <row r="578">
          <cell r="E578" t="str">
            <v>140302409041021</v>
          </cell>
        </row>
        <row r="579">
          <cell r="E579" t="str">
            <v>140302409041015</v>
          </cell>
        </row>
        <row r="580">
          <cell r="E580" t="str">
            <v>140302409041020</v>
          </cell>
        </row>
        <row r="581">
          <cell r="E581" t="str">
            <v>140302409041021</v>
          </cell>
        </row>
        <row r="582">
          <cell r="E582" t="str">
            <v>140302409041015</v>
          </cell>
        </row>
        <row r="583">
          <cell r="E583" t="str">
            <v>1403240906162134</v>
          </cell>
        </row>
        <row r="584">
          <cell r="E584" t="str">
            <v>1403240906161601</v>
          </cell>
        </row>
        <row r="585">
          <cell r="E585" t="str">
            <v>1403240906161902</v>
          </cell>
        </row>
        <row r="586">
          <cell r="E586" t="str">
            <v>1403240906161601</v>
          </cell>
        </row>
        <row r="587">
          <cell r="E587" t="str">
            <v>1403240906162134</v>
          </cell>
        </row>
        <row r="588">
          <cell r="E588" t="str">
            <v>1403240906161902</v>
          </cell>
        </row>
        <row r="589">
          <cell r="E589" t="str">
            <v>1403240906161902</v>
          </cell>
        </row>
        <row r="590">
          <cell r="E590" t="str">
            <v>1403240906161902</v>
          </cell>
        </row>
        <row r="591">
          <cell r="E591" t="str">
            <v>1403240906161902</v>
          </cell>
        </row>
        <row r="592">
          <cell r="E592" t="str">
            <v>1403240906161902</v>
          </cell>
        </row>
        <row r="593">
          <cell r="E593" t="str">
            <v>140302409051101</v>
          </cell>
        </row>
        <row r="594">
          <cell r="E594" t="str">
            <v>140302409051101</v>
          </cell>
        </row>
        <row r="595">
          <cell r="E595" t="str">
            <v>140302409051102</v>
          </cell>
        </row>
        <row r="596">
          <cell r="E596" t="str">
            <v>140302409051102</v>
          </cell>
        </row>
        <row r="597">
          <cell r="E597" t="str">
            <v>140302409051102</v>
          </cell>
        </row>
        <row r="598">
          <cell r="E598" t="str">
            <v>140302409051102</v>
          </cell>
        </row>
        <row r="599">
          <cell r="E599" t="str">
            <v>1403240912171410</v>
          </cell>
        </row>
        <row r="600">
          <cell r="E600" t="str">
            <v>1403240912172052</v>
          </cell>
        </row>
        <row r="601">
          <cell r="E601" t="str">
            <v>1403240912171904</v>
          </cell>
        </row>
        <row r="602">
          <cell r="E602" t="str">
            <v>1403240912172052</v>
          </cell>
        </row>
        <row r="603">
          <cell r="E603" t="str">
            <v>1403240912171904</v>
          </cell>
        </row>
        <row r="604">
          <cell r="E604" t="str">
            <v>1403240912171410</v>
          </cell>
        </row>
        <row r="605">
          <cell r="E605" t="str">
            <v>1403240912171410</v>
          </cell>
        </row>
        <row r="606">
          <cell r="E606" t="str">
            <v>1403240912171410</v>
          </cell>
        </row>
        <row r="607">
          <cell r="E607" t="str">
            <v>14032409139002</v>
          </cell>
        </row>
        <row r="608">
          <cell r="E608" t="str">
            <v>14032409139001</v>
          </cell>
        </row>
        <row r="609">
          <cell r="E609" t="str">
            <v>14032409139001</v>
          </cell>
        </row>
        <row r="610">
          <cell r="E610" t="str">
            <v>140302409190010</v>
          </cell>
        </row>
        <row r="611">
          <cell r="E611" t="str">
            <v>140302409190010</v>
          </cell>
        </row>
        <row r="612">
          <cell r="E612" t="str">
            <v>140302409190010</v>
          </cell>
        </row>
        <row r="613">
          <cell r="E613" t="str">
            <v>140302409200001</v>
          </cell>
        </row>
        <row r="614">
          <cell r="E614" t="str">
            <v>1403240920161450</v>
          </cell>
        </row>
        <row r="615">
          <cell r="E615" t="str">
            <v>140302409200003</v>
          </cell>
        </row>
        <row r="616">
          <cell r="E616" t="str">
            <v>140302409200002</v>
          </cell>
        </row>
        <row r="617">
          <cell r="E617" t="str">
            <v>1403240920161121</v>
          </cell>
        </row>
        <row r="618">
          <cell r="E618" t="str">
            <v>1403240920161633</v>
          </cell>
        </row>
        <row r="619">
          <cell r="E619" t="str">
            <v>140302409200001</v>
          </cell>
        </row>
        <row r="620">
          <cell r="E620" t="str">
            <v>1403240920161450</v>
          </cell>
        </row>
        <row r="621">
          <cell r="E621" t="str">
            <v>140302409200003</v>
          </cell>
        </row>
        <row r="622">
          <cell r="E622" t="str">
            <v>1403240920161121</v>
          </cell>
        </row>
        <row r="623">
          <cell r="E623" t="str">
            <v>1403240920161450</v>
          </cell>
        </row>
        <row r="624">
          <cell r="E624" t="str">
            <v>1403240920161121</v>
          </cell>
        </row>
        <row r="625">
          <cell r="E625" t="str">
            <v>1403240920161450</v>
          </cell>
        </row>
        <row r="626">
          <cell r="E626" t="str">
            <v>140302409230013</v>
          </cell>
        </row>
        <row r="627">
          <cell r="E627" t="str">
            <v>140302409230010</v>
          </cell>
        </row>
        <row r="628">
          <cell r="E628" t="str">
            <v>140302409230012</v>
          </cell>
        </row>
        <row r="629">
          <cell r="E629" t="str">
            <v>140302409230014</v>
          </cell>
        </row>
        <row r="630">
          <cell r="E630" t="str">
            <v>140302409230011</v>
          </cell>
        </row>
        <row r="631">
          <cell r="E631" t="str">
            <v>140302409230011</v>
          </cell>
        </row>
        <row r="632">
          <cell r="E632" t="str">
            <v>140302409230013</v>
          </cell>
        </row>
        <row r="633">
          <cell r="E633" t="str">
            <v>140302409230010</v>
          </cell>
        </row>
        <row r="634">
          <cell r="E634" t="str">
            <v>140302409230012</v>
          </cell>
        </row>
        <row r="635">
          <cell r="E635" t="str">
            <v>140302409230011</v>
          </cell>
        </row>
        <row r="636">
          <cell r="E636" t="str">
            <v>140302409230010</v>
          </cell>
        </row>
        <row r="637">
          <cell r="E637" t="str">
            <v>140302409230012</v>
          </cell>
        </row>
        <row r="638">
          <cell r="E638" t="str">
            <v>140302409230012</v>
          </cell>
        </row>
        <row r="639">
          <cell r="E639" t="str">
            <v>140302409230010</v>
          </cell>
        </row>
        <row r="640">
          <cell r="E640" t="str">
            <v>140302409230011</v>
          </cell>
        </row>
        <row r="641">
          <cell r="E641" t="str">
            <v>140302409230010</v>
          </cell>
        </row>
        <row r="642">
          <cell r="E642" t="str">
            <v>140302409230011</v>
          </cell>
        </row>
        <row r="643">
          <cell r="E643" t="str">
            <v>140302409230010</v>
          </cell>
        </row>
        <row r="644">
          <cell r="E644" t="str">
            <v>140302409230012</v>
          </cell>
        </row>
        <row r="645">
          <cell r="E645" t="str">
            <v>140302409230011</v>
          </cell>
        </row>
        <row r="646">
          <cell r="E646" t="str">
            <v>140302409230012</v>
          </cell>
        </row>
        <row r="647">
          <cell r="E647" t="str">
            <v>140302409230011</v>
          </cell>
        </row>
        <row r="648">
          <cell r="E648" t="str">
            <v>140302409230011</v>
          </cell>
        </row>
        <row r="649">
          <cell r="E649" t="str">
            <v>140302409230011</v>
          </cell>
        </row>
        <row r="650">
          <cell r="E650" t="str">
            <v>140302409230011</v>
          </cell>
        </row>
        <row r="651">
          <cell r="E651" t="str">
            <v>140302409230011</v>
          </cell>
        </row>
        <row r="652">
          <cell r="E652" t="str">
            <v>140302409260012</v>
          </cell>
        </row>
        <row r="653">
          <cell r="E653" t="str">
            <v>140302409260010</v>
          </cell>
        </row>
        <row r="654">
          <cell r="E654" t="str">
            <v>140302409260011</v>
          </cell>
        </row>
        <row r="655">
          <cell r="E655" t="str">
            <v>140302409260012</v>
          </cell>
        </row>
        <row r="656">
          <cell r="E656" t="str">
            <v>140302409260011</v>
          </cell>
        </row>
        <row r="657">
          <cell r="E657" t="str">
            <v>140302409260012</v>
          </cell>
        </row>
        <row r="658">
          <cell r="E658" t="str">
            <v>140302409260010</v>
          </cell>
        </row>
        <row r="659">
          <cell r="E659" t="str">
            <v>140302409260012</v>
          </cell>
        </row>
        <row r="660">
          <cell r="E660" t="str">
            <v>140302409260011</v>
          </cell>
        </row>
        <row r="661">
          <cell r="E661" t="str">
            <v>140302409260011</v>
          </cell>
        </row>
        <row r="662">
          <cell r="E662" t="str">
            <v>140302409260012</v>
          </cell>
        </row>
        <row r="663">
          <cell r="E663" t="str">
            <v>140302409260012</v>
          </cell>
        </row>
        <row r="664">
          <cell r="E664" t="str">
            <v>140302409270010</v>
          </cell>
        </row>
        <row r="665">
          <cell r="E665" t="str">
            <v>140302409270011</v>
          </cell>
        </row>
        <row r="666">
          <cell r="E666" t="str">
            <v>140302409270011</v>
          </cell>
        </row>
        <row r="667">
          <cell r="E667" t="str">
            <v>140302409270011</v>
          </cell>
        </row>
        <row r="668">
          <cell r="E668" t="str">
            <v>1403241011115755</v>
          </cell>
        </row>
        <row r="669">
          <cell r="E669" t="str">
            <v>1403241011102347</v>
          </cell>
        </row>
        <row r="670">
          <cell r="E670" t="str">
            <v>1403241011120033</v>
          </cell>
        </row>
        <row r="671">
          <cell r="E671" t="str">
            <v>1403241011115812</v>
          </cell>
        </row>
        <row r="672">
          <cell r="E672" t="str">
            <v>1403241011120006</v>
          </cell>
        </row>
        <row r="673">
          <cell r="E673" t="str">
            <v>1403241011102720</v>
          </cell>
        </row>
        <row r="674">
          <cell r="E674" t="str">
            <v>1403241011102808</v>
          </cell>
        </row>
        <row r="675">
          <cell r="E675" t="str">
            <v>1403241011120033</v>
          </cell>
        </row>
        <row r="676">
          <cell r="E676" t="str">
            <v>1403241011102720</v>
          </cell>
        </row>
        <row r="677">
          <cell r="E677" t="str">
            <v>1403241011115812</v>
          </cell>
        </row>
        <row r="678">
          <cell r="E678" t="str">
            <v>1403241011102347</v>
          </cell>
        </row>
        <row r="679">
          <cell r="E679" t="str">
            <v>1403241011120006</v>
          </cell>
        </row>
        <row r="680">
          <cell r="E680" t="str">
            <v>1403241011120033</v>
          </cell>
        </row>
        <row r="681">
          <cell r="E681" t="str">
            <v>1403241011120006</v>
          </cell>
        </row>
        <row r="682">
          <cell r="E682" t="str">
            <v>1403241011102720</v>
          </cell>
        </row>
        <row r="683">
          <cell r="E683" t="str">
            <v>1403241011102347</v>
          </cell>
        </row>
        <row r="684">
          <cell r="E684" t="str">
            <v>1403241011120033</v>
          </cell>
        </row>
        <row r="685">
          <cell r="E685" t="str">
            <v>1403241011102720</v>
          </cell>
        </row>
        <row r="686">
          <cell r="E686" t="str">
            <v>1403241011102347</v>
          </cell>
        </row>
        <row r="687">
          <cell r="E687" t="str">
            <v>1403241011120033</v>
          </cell>
        </row>
        <row r="688">
          <cell r="E688" t="str">
            <v>1403241011120006</v>
          </cell>
        </row>
        <row r="689">
          <cell r="E689" t="str">
            <v>1403241011120033</v>
          </cell>
        </row>
        <row r="690">
          <cell r="E690" t="str">
            <v>1403241011120033</v>
          </cell>
        </row>
        <row r="691">
          <cell r="E691" t="str">
            <v>1403241011120033</v>
          </cell>
        </row>
        <row r="692">
          <cell r="E692" t="str">
            <v>1403241011102720</v>
          </cell>
        </row>
        <row r="693">
          <cell r="E693" t="str">
            <v>1403241011120006</v>
          </cell>
        </row>
        <row r="694">
          <cell r="E694" t="str">
            <v>1403241011120033</v>
          </cell>
        </row>
        <row r="695">
          <cell r="E695" t="str">
            <v>1403241011120006</v>
          </cell>
        </row>
        <row r="696">
          <cell r="E696" t="str">
            <v>1403241011120006</v>
          </cell>
        </row>
        <row r="697">
          <cell r="E697" t="str">
            <v>140302410161101</v>
          </cell>
        </row>
        <row r="698">
          <cell r="E698" t="str">
            <v>140302410171102</v>
          </cell>
        </row>
        <row r="699">
          <cell r="E699" t="str">
            <v>140302410171103</v>
          </cell>
        </row>
        <row r="700">
          <cell r="E700" t="str">
            <v>140302410172010</v>
          </cell>
        </row>
        <row r="701">
          <cell r="E701" t="str">
            <v>1403241017163320</v>
          </cell>
        </row>
        <row r="702">
          <cell r="E702" t="str">
            <v>140302410171102</v>
          </cell>
        </row>
        <row r="703">
          <cell r="E703" t="str">
            <v>1403241021171005</v>
          </cell>
        </row>
        <row r="704">
          <cell r="E704" t="str">
            <v>1403241021171034</v>
          </cell>
        </row>
        <row r="705">
          <cell r="E705" t="str">
            <v>1403241021173317</v>
          </cell>
        </row>
        <row r="706">
          <cell r="E706" t="str">
            <v>1403241021173305</v>
          </cell>
        </row>
        <row r="707">
          <cell r="E707" t="str">
            <v>1403241021171021</v>
          </cell>
        </row>
        <row r="708">
          <cell r="E708" t="str">
            <v>1403241021171005</v>
          </cell>
        </row>
        <row r="709">
          <cell r="E709" t="str">
            <v>1403241021171021</v>
          </cell>
        </row>
        <row r="710">
          <cell r="E710" t="str">
            <v>1403241021173305</v>
          </cell>
        </row>
        <row r="711">
          <cell r="E711" t="str">
            <v>1403241021171034</v>
          </cell>
        </row>
        <row r="712">
          <cell r="E712" t="str">
            <v>1403241021173317</v>
          </cell>
        </row>
        <row r="713">
          <cell r="E713" t="str">
            <v>1403241021173317</v>
          </cell>
        </row>
        <row r="714">
          <cell r="E714" t="str">
            <v>1403241021171005</v>
          </cell>
        </row>
        <row r="715">
          <cell r="E715" t="str">
            <v>1403241021173305</v>
          </cell>
        </row>
        <row r="716">
          <cell r="E716" t="str">
            <v>1403241021171021</v>
          </cell>
        </row>
        <row r="717">
          <cell r="E717" t="str">
            <v>1403241021173317</v>
          </cell>
        </row>
        <row r="718">
          <cell r="E718" t="str">
            <v>1403241021171034</v>
          </cell>
        </row>
        <row r="719">
          <cell r="E719" t="str">
            <v>1403241021171034</v>
          </cell>
        </row>
        <row r="720">
          <cell r="E720" t="str">
            <v>1403241021173317</v>
          </cell>
        </row>
        <row r="721">
          <cell r="E721" t="str">
            <v>1403241021171021</v>
          </cell>
        </row>
        <row r="722">
          <cell r="E722" t="str">
            <v>1403241021171034</v>
          </cell>
        </row>
        <row r="723">
          <cell r="E723" t="str">
            <v>1403241021173317</v>
          </cell>
        </row>
        <row r="724">
          <cell r="E724" t="str">
            <v>1403241021173305</v>
          </cell>
        </row>
        <row r="725">
          <cell r="E725" t="str">
            <v>1403241021171021</v>
          </cell>
        </row>
        <row r="726">
          <cell r="E726" t="str">
            <v>1403241021171021</v>
          </cell>
        </row>
        <row r="727">
          <cell r="E727" t="str">
            <v>1403241021173317</v>
          </cell>
        </row>
        <row r="728">
          <cell r="E728" t="str">
            <v>1403241021173305</v>
          </cell>
        </row>
        <row r="729">
          <cell r="E729" t="str">
            <v>140302410252011</v>
          </cell>
        </row>
        <row r="730">
          <cell r="E730" t="str">
            <v>140302410252010</v>
          </cell>
        </row>
        <row r="731">
          <cell r="E731" t="str">
            <v>1403241031144840</v>
          </cell>
        </row>
        <row r="732">
          <cell r="E732" t="str">
            <v>1403241031144740</v>
          </cell>
        </row>
        <row r="733">
          <cell r="E733" t="str">
            <v>1403241031145341</v>
          </cell>
        </row>
        <row r="734">
          <cell r="E734" t="str">
            <v>1403241031145307</v>
          </cell>
        </row>
        <row r="735">
          <cell r="E735" t="str">
            <v>1403241031144908</v>
          </cell>
        </row>
        <row r="736">
          <cell r="E736" t="str">
            <v>1403241031145307</v>
          </cell>
        </row>
        <row r="737">
          <cell r="E737" t="str">
            <v>1403241031144908</v>
          </cell>
        </row>
        <row r="738">
          <cell r="E738" t="str">
            <v>1403241031144740</v>
          </cell>
        </row>
        <row r="739">
          <cell r="E739" t="str">
            <v>1403241031144908</v>
          </cell>
        </row>
        <row r="740">
          <cell r="E740" t="str">
            <v>1403241031144740</v>
          </cell>
        </row>
        <row r="741">
          <cell r="E741" t="str">
            <v>1403241031144740</v>
          </cell>
        </row>
        <row r="742">
          <cell r="E742" t="str">
            <v>1403241031144908</v>
          </cell>
        </row>
        <row r="743">
          <cell r="E743" t="str">
            <v>1403241031144908</v>
          </cell>
        </row>
        <row r="744">
          <cell r="E744" t="str">
            <v>1403241031144908</v>
          </cell>
        </row>
        <row r="745">
          <cell r="E745" t="str">
            <v>1403241031144840</v>
          </cell>
        </row>
        <row r="746">
          <cell r="E746" t="str">
            <v>1403241031145307</v>
          </cell>
        </row>
        <row r="747">
          <cell r="E747" t="str">
            <v>1403241031144908</v>
          </cell>
        </row>
        <row r="748">
          <cell r="E748" t="str">
            <v>1403241031145341</v>
          </cell>
        </row>
        <row r="749">
          <cell r="E749" t="str">
            <v>1403241031144840</v>
          </cell>
        </row>
        <row r="750">
          <cell r="E750" t="str">
            <v>1403241031144908</v>
          </cell>
        </row>
        <row r="751">
          <cell r="E751" t="str">
            <v>1403241031145341</v>
          </cell>
        </row>
        <row r="752">
          <cell r="E752" t="str">
            <v>1403241031144908</v>
          </cell>
        </row>
        <row r="753">
          <cell r="E753" t="str">
            <v>1403241031144908</v>
          </cell>
        </row>
        <row r="754">
          <cell r="E754" t="str">
            <v>1403241031144908</v>
          </cell>
        </row>
        <row r="755">
          <cell r="E755" t="str">
            <v>1403241031144908</v>
          </cell>
        </row>
        <row r="756">
          <cell r="E756" t="str">
            <v>1403241031145341</v>
          </cell>
        </row>
        <row r="757">
          <cell r="E757" t="str">
            <v>1403241031144908</v>
          </cell>
        </row>
        <row r="758">
          <cell r="E758" t="str">
            <v>1403241031144840</v>
          </cell>
        </row>
        <row r="759">
          <cell r="E759" t="str">
            <v>1403241031145341</v>
          </cell>
        </row>
        <row r="760">
          <cell r="E760" t="str">
            <v>1403241031145341</v>
          </cell>
        </row>
        <row r="761">
          <cell r="E761" t="str">
            <v>1403241031145341</v>
          </cell>
        </row>
        <row r="762">
          <cell r="E762" t="str">
            <v>1403241031145341</v>
          </cell>
        </row>
        <row r="763">
          <cell r="E763" t="str">
            <v>1403241031145341</v>
          </cell>
        </row>
        <row r="764">
          <cell r="E764" t="str">
            <v>1403241031145341</v>
          </cell>
        </row>
        <row r="765">
          <cell r="E765" t="str">
            <v>1403241031145341</v>
          </cell>
        </row>
        <row r="766">
          <cell r="E766" t="str">
            <v>1403241108135056</v>
          </cell>
        </row>
        <row r="767">
          <cell r="E767" t="str">
            <v>1403241108135056</v>
          </cell>
        </row>
        <row r="768">
          <cell r="E768" t="str">
            <v>1403241111173236</v>
          </cell>
        </row>
        <row r="769">
          <cell r="E769" t="str">
            <v>1403241111173217</v>
          </cell>
        </row>
        <row r="770">
          <cell r="E770" t="str">
            <v>1403241111173040</v>
          </cell>
        </row>
        <row r="771">
          <cell r="E771" t="str">
            <v>1403241111173009</v>
          </cell>
        </row>
        <row r="772">
          <cell r="E772" t="str">
            <v>1403241111134532</v>
          </cell>
        </row>
        <row r="773">
          <cell r="E773" t="str">
            <v>1403241111173318</v>
          </cell>
        </row>
        <row r="774">
          <cell r="E774" t="str">
            <v>1403241111173217</v>
          </cell>
        </row>
        <row r="775">
          <cell r="E775" t="str">
            <v>1403241111173040</v>
          </cell>
        </row>
        <row r="776">
          <cell r="E776" t="str">
            <v>1403241111173040</v>
          </cell>
        </row>
        <row r="777">
          <cell r="E777" t="str">
            <v>1403241111173236</v>
          </cell>
        </row>
        <row r="778">
          <cell r="E778" t="str">
            <v>1403241111173318</v>
          </cell>
        </row>
        <row r="779">
          <cell r="E779" t="str">
            <v>1403241111173217</v>
          </cell>
        </row>
        <row r="780">
          <cell r="E780" t="str">
            <v>1403241111173255</v>
          </cell>
        </row>
        <row r="781">
          <cell r="E781" t="str">
            <v>1403241111173040</v>
          </cell>
        </row>
        <row r="782">
          <cell r="E782" t="str">
            <v>1403241111173040</v>
          </cell>
        </row>
        <row r="783">
          <cell r="E783" t="str">
            <v>1403241111173236</v>
          </cell>
        </row>
        <row r="784">
          <cell r="E784" t="str">
            <v>1403241111173217</v>
          </cell>
        </row>
        <row r="785">
          <cell r="E785" t="str">
            <v>1403241111173040</v>
          </cell>
        </row>
        <row r="786">
          <cell r="E786" t="str">
            <v>1403241111173236</v>
          </cell>
        </row>
        <row r="787">
          <cell r="E787" t="str">
            <v>1403241111173217</v>
          </cell>
        </row>
        <row r="788">
          <cell r="E788" t="str">
            <v>1403241111173040</v>
          </cell>
        </row>
        <row r="789">
          <cell r="E789" t="str">
            <v>1403241111173236</v>
          </cell>
        </row>
        <row r="790">
          <cell r="E790" t="str">
            <v>1403241111173217</v>
          </cell>
        </row>
        <row r="791">
          <cell r="E791" t="str">
            <v>1403241111173236</v>
          </cell>
        </row>
        <row r="792">
          <cell r="E792" t="str">
            <v>1403241111173236</v>
          </cell>
        </row>
        <row r="793">
          <cell r="E793" t="str">
            <v>1403241111173236</v>
          </cell>
        </row>
        <row r="794">
          <cell r="E794" t="str">
            <v>1403241111173236</v>
          </cell>
        </row>
        <row r="795">
          <cell r="E795" t="str">
            <v>1403241114141906</v>
          </cell>
        </row>
        <row r="796">
          <cell r="E796" t="str">
            <v>1403241125105219</v>
          </cell>
        </row>
        <row r="797">
          <cell r="E797" t="str">
            <v>1403241125115408</v>
          </cell>
        </row>
        <row r="798">
          <cell r="E798" t="str">
            <v>1403241125105256</v>
          </cell>
        </row>
        <row r="799">
          <cell r="E799" t="str">
            <v>1403241125105708</v>
          </cell>
        </row>
        <row r="800">
          <cell r="E800" t="str">
            <v>1403241125105725</v>
          </cell>
        </row>
        <row r="801">
          <cell r="E801" t="str">
            <v>1403241125105239</v>
          </cell>
        </row>
        <row r="802">
          <cell r="E802" t="str">
            <v>1403241125105256</v>
          </cell>
        </row>
        <row r="803">
          <cell r="E803" t="str">
            <v>1403241125105256</v>
          </cell>
        </row>
        <row r="804">
          <cell r="E804" t="str">
            <v>1403241125105256</v>
          </cell>
        </row>
        <row r="805">
          <cell r="E805" t="str">
            <v>1403241125105239</v>
          </cell>
        </row>
        <row r="806">
          <cell r="E806" t="str">
            <v>1403241125105725</v>
          </cell>
        </row>
        <row r="807">
          <cell r="E807" t="str">
            <v>1403241125105708</v>
          </cell>
        </row>
        <row r="808">
          <cell r="E808" t="str">
            <v>1403241125105219</v>
          </cell>
        </row>
        <row r="809">
          <cell r="E809" t="str">
            <v>1403241125105256</v>
          </cell>
        </row>
        <row r="810">
          <cell r="E810" t="str">
            <v>1403241125105725</v>
          </cell>
        </row>
        <row r="811">
          <cell r="E811" t="str">
            <v>1403241125105239</v>
          </cell>
        </row>
        <row r="812">
          <cell r="E812" t="str">
            <v>1403241125105256</v>
          </cell>
        </row>
        <row r="813">
          <cell r="E813" t="str">
            <v>1403241125105239</v>
          </cell>
        </row>
        <row r="814">
          <cell r="E814" t="str">
            <v>1403241125105239</v>
          </cell>
        </row>
        <row r="815">
          <cell r="E815" t="str">
            <v>1403241125105239</v>
          </cell>
        </row>
        <row r="816">
          <cell r="E816" t="str">
            <v>1403241125105219</v>
          </cell>
        </row>
        <row r="817">
          <cell r="E817" t="str">
            <v>1403241125105256</v>
          </cell>
        </row>
        <row r="818">
          <cell r="E818" t="str">
            <v>1403241125105708</v>
          </cell>
        </row>
        <row r="819">
          <cell r="E819" t="str">
            <v>1403241125105256</v>
          </cell>
        </row>
        <row r="820">
          <cell r="E820" t="str">
            <v>1403241125105219</v>
          </cell>
        </row>
        <row r="821">
          <cell r="E821" t="str">
            <v>1403241125105219</v>
          </cell>
        </row>
        <row r="822">
          <cell r="E822" t="str">
            <v>1403241125105708</v>
          </cell>
        </row>
        <row r="823">
          <cell r="E823" t="str">
            <v>1403241125105708</v>
          </cell>
        </row>
        <row r="824">
          <cell r="E824" t="str">
            <v>1403241125105708</v>
          </cell>
        </row>
        <row r="825">
          <cell r="E825" t="str">
            <v>1403241125105708</v>
          </cell>
        </row>
        <row r="826">
          <cell r="E826" t="str">
            <v>1403241125105708</v>
          </cell>
        </row>
        <row r="827">
          <cell r="E827" t="str">
            <v>1403241125105708</v>
          </cell>
        </row>
        <row r="828">
          <cell r="E828" t="str">
            <v>1403241125105708</v>
          </cell>
        </row>
        <row r="829">
          <cell r="E829" t="str">
            <v>1403241125105708</v>
          </cell>
        </row>
        <row r="830">
          <cell r="E830" t="str">
            <v>1403241125105708</v>
          </cell>
        </row>
        <row r="831">
          <cell r="E831" t="str">
            <v>1403241125105708</v>
          </cell>
        </row>
        <row r="832">
          <cell r="E832" t="str">
            <v>20241126001002</v>
          </cell>
        </row>
        <row r="833">
          <cell r="E833" t="str">
            <v>20241129001002</v>
          </cell>
        </row>
        <row r="834">
          <cell r="E834" t="str">
            <v>20241121001001</v>
          </cell>
        </row>
        <row r="835">
          <cell r="E835" t="str">
            <v>20241202001001</v>
          </cell>
        </row>
        <row r="836">
          <cell r="E836" t="str">
            <v>20241202001002</v>
          </cell>
        </row>
        <row r="837">
          <cell r="E837" t="str">
            <v>1403241203142344</v>
          </cell>
        </row>
        <row r="838">
          <cell r="E838" t="str">
            <v>1403241203142404</v>
          </cell>
        </row>
        <row r="839">
          <cell r="E839" t="str">
            <v>1403241203142327</v>
          </cell>
        </row>
        <row r="840">
          <cell r="E840" t="str">
            <v>1403241203142239</v>
          </cell>
        </row>
        <row r="841">
          <cell r="E841" t="str">
            <v>1403241203142224</v>
          </cell>
        </row>
        <row r="842">
          <cell r="E842" t="str">
            <v>1403241203142404</v>
          </cell>
        </row>
        <row r="843">
          <cell r="E843" t="str">
            <v>1403241203142327</v>
          </cell>
        </row>
        <row r="844">
          <cell r="E844" t="str">
            <v>1403241203142224</v>
          </cell>
        </row>
        <row r="845">
          <cell r="E845" t="str">
            <v>1403241203142344</v>
          </cell>
        </row>
        <row r="846">
          <cell r="E846" t="str">
            <v>1403241203142327</v>
          </cell>
        </row>
        <row r="847">
          <cell r="E847" t="str">
            <v>1403241203142239</v>
          </cell>
        </row>
        <row r="848">
          <cell r="E848" t="str">
            <v>1403241203142224</v>
          </cell>
        </row>
        <row r="849">
          <cell r="E849" t="str">
            <v>1403241203142344</v>
          </cell>
        </row>
        <row r="850">
          <cell r="E850" t="str">
            <v>1403241203142344</v>
          </cell>
        </row>
        <row r="851">
          <cell r="E851" t="str">
            <v>1403241203142344</v>
          </cell>
        </row>
        <row r="852">
          <cell r="E852" t="str">
            <v>1403241203142239</v>
          </cell>
        </row>
        <row r="853">
          <cell r="E853" t="str">
            <v>1403241203142239</v>
          </cell>
        </row>
        <row r="854">
          <cell r="E854" t="str">
            <v>20241204001001</v>
          </cell>
        </row>
        <row r="855">
          <cell r="E855" t="str">
            <v>1403241212134838</v>
          </cell>
        </row>
        <row r="856">
          <cell r="E856" t="str">
            <v>1403241212134943</v>
          </cell>
        </row>
        <row r="857">
          <cell r="E857" t="str">
            <v>20241212001001</v>
          </cell>
        </row>
        <row r="858">
          <cell r="E858" t="str">
            <v>1403241212134928</v>
          </cell>
        </row>
        <row r="859">
          <cell r="E859" t="str">
            <v>1403241212134943</v>
          </cell>
        </row>
        <row r="860">
          <cell r="E860" t="str">
            <v>1403241212134928</v>
          </cell>
        </row>
        <row r="861">
          <cell r="E861" t="str">
            <v>1403241212134928</v>
          </cell>
        </row>
        <row r="862">
          <cell r="E862" t="str">
            <v>1403241212134928</v>
          </cell>
        </row>
        <row r="863">
          <cell r="E863" t="str">
            <v>1403241212134943</v>
          </cell>
        </row>
        <row r="864">
          <cell r="E864" t="str">
            <v>1403241212134838</v>
          </cell>
        </row>
        <row r="865">
          <cell r="E865" t="str">
            <v>1403241212134838</v>
          </cell>
        </row>
        <row r="866">
          <cell r="E866" t="str">
            <v>1403241212134928</v>
          </cell>
        </row>
        <row r="867">
          <cell r="E867" t="str">
            <v>1403241212134838</v>
          </cell>
        </row>
        <row r="868">
          <cell r="E868" t="str">
            <v>20241213001001</v>
          </cell>
        </row>
        <row r="869">
          <cell r="E869" t="str">
            <v>20241217001003</v>
          </cell>
        </row>
        <row r="870">
          <cell r="E870" t="str">
            <v>20241217001006</v>
          </cell>
        </row>
        <row r="871">
          <cell r="E871" t="str">
            <v>20241217001003</v>
          </cell>
        </row>
        <row r="872">
          <cell r="E872" t="str">
            <v>1403241218160938</v>
          </cell>
        </row>
        <row r="873">
          <cell r="E873" t="str">
            <v>1403241218160938</v>
          </cell>
        </row>
        <row r="874">
          <cell r="E874" t="str">
            <v>1403241218160938</v>
          </cell>
        </row>
        <row r="875">
          <cell r="E875" t="str">
            <v>1403241218160938</v>
          </cell>
        </row>
        <row r="876">
          <cell r="E876" t="str">
            <v>1403241218160938</v>
          </cell>
        </row>
        <row r="877">
          <cell r="E877" t="str">
            <v>14032024121913541</v>
          </cell>
        </row>
        <row r="878">
          <cell r="E878" t="str">
            <v>14032024121913561</v>
          </cell>
        </row>
        <row r="879">
          <cell r="E879" t="str">
            <v>20241223001003</v>
          </cell>
        </row>
        <row r="880">
          <cell r="E880" t="str">
            <v>20241223001002</v>
          </cell>
        </row>
        <row r="881">
          <cell r="E881" t="str">
            <v>20241223001001</v>
          </cell>
        </row>
        <row r="882">
          <cell r="E882" t="str">
            <v>20241223001003</v>
          </cell>
        </row>
        <row r="883">
          <cell r="E883" t="str">
            <v>20241224001001</v>
          </cell>
        </row>
        <row r="884">
          <cell r="E884" t="str">
            <v>20241224001001</v>
          </cell>
        </row>
        <row r="885">
          <cell r="E885" t="str">
            <v>1403241225191357</v>
          </cell>
        </row>
        <row r="886">
          <cell r="E886" t="str">
            <v>1403241225191357</v>
          </cell>
        </row>
        <row r="887">
          <cell r="E887" t="str">
            <v>1403241225191357</v>
          </cell>
        </row>
        <row r="888">
          <cell r="E888" t="str">
            <v>1403241225191357</v>
          </cell>
        </row>
        <row r="889">
          <cell r="E889" t="str">
            <v>1403241225191357</v>
          </cell>
        </row>
        <row r="890">
          <cell r="E890" t="str">
            <v>1403241225191357</v>
          </cell>
        </row>
        <row r="891">
          <cell r="E891" t="str">
            <v>1403241225191357</v>
          </cell>
        </row>
        <row r="892">
          <cell r="E892" t="str">
            <v>1403241225191357</v>
          </cell>
        </row>
        <row r="893">
          <cell r="E893" t="str">
            <v>1403241226115621</v>
          </cell>
        </row>
        <row r="894">
          <cell r="E894" t="str">
            <v>1403241226115637</v>
          </cell>
        </row>
        <row r="895">
          <cell r="E895" t="str">
            <v>1403241226115834</v>
          </cell>
        </row>
        <row r="896">
          <cell r="E896" t="str">
            <v>1403241226115606</v>
          </cell>
        </row>
        <row r="897">
          <cell r="E897" t="str">
            <v>1403241226115621</v>
          </cell>
        </row>
        <row r="898">
          <cell r="E898" t="str">
            <v>1403241226115606</v>
          </cell>
        </row>
        <row r="899">
          <cell r="E899" t="str">
            <v>1403241226115834</v>
          </cell>
        </row>
        <row r="900">
          <cell r="E900" t="str">
            <v>1403241226115853</v>
          </cell>
        </row>
        <row r="901">
          <cell r="E901" t="str">
            <v>1403241226115834</v>
          </cell>
        </row>
        <row r="902">
          <cell r="E902" t="str">
            <v>1403241226115853</v>
          </cell>
        </row>
        <row r="903">
          <cell r="E903" t="str">
            <v>1403241226115621</v>
          </cell>
        </row>
        <row r="904">
          <cell r="E904" t="str">
            <v>1403241226115621</v>
          </cell>
        </row>
        <row r="905">
          <cell r="E905" t="str">
            <v>1403241226115834</v>
          </cell>
        </row>
        <row r="906">
          <cell r="E906" t="str">
            <v>1403241226115834</v>
          </cell>
        </row>
        <row r="907">
          <cell r="E907" t="str">
            <v>1403241226115853</v>
          </cell>
        </row>
        <row r="908">
          <cell r="E908" t="str">
            <v>1403241226115621</v>
          </cell>
        </row>
        <row r="909">
          <cell r="E909" t="str">
            <v>1403241226115834</v>
          </cell>
        </row>
        <row r="910">
          <cell r="E910" t="str">
            <v>1403241226115606</v>
          </cell>
        </row>
        <row r="911">
          <cell r="E911" t="str">
            <v>1403241226115853</v>
          </cell>
        </row>
        <row r="912">
          <cell r="E912" t="str">
            <v>1403241227113223</v>
          </cell>
        </row>
        <row r="913">
          <cell r="E913" t="str">
            <v>1403202412319001</v>
          </cell>
        </row>
        <row r="914">
          <cell r="E914" t="str">
            <v>1403202412319001</v>
          </cell>
        </row>
        <row r="915">
          <cell r="E915" t="str">
            <v>1403250103112127</v>
          </cell>
        </row>
        <row r="916">
          <cell r="E916" t="str">
            <v>1403250103112021</v>
          </cell>
        </row>
        <row r="917">
          <cell r="E917" t="str">
            <v>1403250103112054</v>
          </cell>
        </row>
        <row r="918">
          <cell r="E918" t="str">
            <v>1403250103112003</v>
          </cell>
        </row>
        <row r="919">
          <cell r="E919" t="str">
            <v>1403250103112038</v>
          </cell>
        </row>
        <row r="920">
          <cell r="E920" t="str">
            <v>1403250103112127</v>
          </cell>
        </row>
        <row r="921">
          <cell r="E921" t="str">
            <v>1403250103112054</v>
          </cell>
        </row>
        <row r="922">
          <cell r="E922" t="str">
            <v>1403250103112038</v>
          </cell>
        </row>
        <row r="923">
          <cell r="E923" t="str">
            <v>1403250103112021</v>
          </cell>
        </row>
        <row r="924">
          <cell r="E924" t="str">
            <v>1403250103112003</v>
          </cell>
        </row>
        <row r="925">
          <cell r="E925" t="str">
            <v>1403250103112127</v>
          </cell>
        </row>
        <row r="926">
          <cell r="E926" t="str">
            <v>1403250103112038</v>
          </cell>
        </row>
        <row r="927">
          <cell r="E927" t="str">
            <v>1403250103112054</v>
          </cell>
        </row>
        <row r="928">
          <cell r="E928" t="str">
            <v>1403250103112021</v>
          </cell>
        </row>
        <row r="929">
          <cell r="E929" t="str">
            <v>1403250103112038</v>
          </cell>
        </row>
        <row r="930">
          <cell r="E930" t="str">
            <v>1403250103112054</v>
          </cell>
        </row>
        <row r="931">
          <cell r="E931" t="str">
            <v>1403250103112038</v>
          </cell>
        </row>
        <row r="932">
          <cell r="E932" t="str">
            <v>1403250103112127</v>
          </cell>
        </row>
        <row r="933">
          <cell r="E933" t="str">
            <v>1403250103112021</v>
          </cell>
        </row>
        <row r="934">
          <cell r="E934" t="str">
            <v>1403250103112127</v>
          </cell>
        </row>
        <row r="935">
          <cell r="E935" t="str">
            <v>1403250103112021</v>
          </cell>
        </row>
        <row r="936">
          <cell r="E936" t="str">
            <v>1403250103112127</v>
          </cell>
        </row>
        <row r="937">
          <cell r="E937" t="str">
            <v>1403250103112127</v>
          </cell>
        </row>
        <row r="938">
          <cell r="E938" t="str">
            <v>1403250103112127</v>
          </cell>
        </row>
        <row r="939">
          <cell r="E939" t="str">
            <v>1403250103112127</v>
          </cell>
        </row>
        <row r="940">
          <cell r="E940" t="str">
            <v>1403250103112127</v>
          </cell>
        </row>
        <row r="941">
          <cell r="E941" t="str">
            <v>1403250103112127</v>
          </cell>
        </row>
        <row r="942">
          <cell r="E942" t="str">
            <v>1403250113115321</v>
          </cell>
        </row>
        <row r="943">
          <cell r="E943" t="str">
            <v>1403250113173415</v>
          </cell>
        </row>
        <row r="944">
          <cell r="E944" t="str">
            <v>1403250113173359</v>
          </cell>
        </row>
        <row r="945">
          <cell r="E945" t="str">
            <v>1403250113173341</v>
          </cell>
        </row>
        <row r="946">
          <cell r="E946" t="str">
            <v>1403250113115305</v>
          </cell>
        </row>
        <row r="947">
          <cell r="E947" t="str">
            <v>1403250113115247</v>
          </cell>
        </row>
        <row r="948">
          <cell r="E948" t="str">
            <v>1403250113115359</v>
          </cell>
        </row>
        <row r="949">
          <cell r="E949" t="str">
            <v>1403250113115210</v>
          </cell>
        </row>
        <row r="950">
          <cell r="E950" t="str">
            <v>1403250113115226</v>
          </cell>
        </row>
        <row r="951">
          <cell r="E951" t="str">
            <v>1403250113115226</v>
          </cell>
        </row>
        <row r="952">
          <cell r="E952" t="str">
            <v>1403250113173415</v>
          </cell>
        </row>
        <row r="953">
          <cell r="E953" t="str">
            <v>1403250113173359</v>
          </cell>
        </row>
        <row r="954">
          <cell r="E954" t="str">
            <v>1403250113115226</v>
          </cell>
        </row>
        <row r="955">
          <cell r="E955" t="str">
            <v>1403250113173415</v>
          </cell>
        </row>
        <row r="956">
          <cell r="E956" t="str">
            <v>1403250113115359</v>
          </cell>
        </row>
        <row r="957">
          <cell r="E957" t="str">
            <v>1403250113115321</v>
          </cell>
        </row>
        <row r="958">
          <cell r="E958" t="str">
            <v>1403250113115247</v>
          </cell>
        </row>
        <row r="959">
          <cell r="E959" t="str">
            <v>1403250113115226</v>
          </cell>
        </row>
        <row r="960">
          <cell r="E960" t="str">
            <v>1403250113115210</v>
          </cell>
        </row>
        <row r="961">
          <cell r="E961" t="str">
            <v>1403250113115226</v>
          </cell>
        </row>
        <row r="962">
          <cell r="E962" t="str">
            <v>1403250113115321</v>
          </cell>
        </row>
        <row r="963">
          <cell r="E963" t="str">
            <v>1403250113115210</v>
          </cell>
        </row>
        <row r="964">
          <cell r="E964" t="str">
            <v>1403250113173415</v>
          </cell>
        </row>
        <row r="965">
          <cell r="E965" t="str">
            <v>1403250113115247</v>
          </cell>
        </row>
        <row r="966">
          <cell r="E966" t="str">
            <v>1403250113115210</v>
          </cell>
        </row>
        <row r="967">
          <cell r="E967" t="str">
            <v>1403250113115247</v>
          </cell>
        </row>
        <row r="968">
          <cell r="E968" t="str">
            <v>1403250113115321</v>
          </cell>
        </row>
        <row r="969">
          <cell r="E969" t="str">
            <v>1403250113115226</v>
          </cell>
        </row>
        <row r="970">
          <cell r="E970" t="str">
            <v>1403250113115226</v>
          </cell>
        </row>
        <row r="971">
          <cell r="E971" t="str">
            <v>1403250113115247</v>
          </cell>
        </row>
        <row r="972">
          <cell r="E972" t="str">
            <v>1403250113115247</v>
          </cell>
        </row>
        <row r="973">
          <cell r="E973" t="str">
            <v>1403250113115226</v>
          </cell>
        </row>
        <row r="974">
          <cell r="E974" t="str">
            <v>1403250113115247</v>
          </cell>
        </row>
        <row r="975">
          <cell r="E975" t="str">
            <v>1403250113115247</v>
          </cell>
        </row>
        <row r="976">
          <cell r="E976" t="str">
            <v>1403250113115321</v>
          </cell>
        </row>
        <row r="977">
          <cell r="E977" t="str">
            <v>1403250113115210</v>
          </cell>
        </row>
        <row r="978">
          <cell r="E978" t="str">
            <v>1403250113115210</v>
          </cell>
        </row>
        <row r="979">
          <cell r="E979" t="str">
            <v>1403250113115247</v>
          </cell>
        </row>
        <row r="980">
          <cell r="E980" t="str">
            <v>1403250113115210</v>
          </cell>
        </row>
        <row r="981">
          <cell r="E981" t="str">
            <v>1403250117152139</v>
          </cell>
        </row>
        <row r="982">
          <cell r="E982" t="str">
            <v>1403250117152122</v>
          </cell>
        </row>
        <row r="983">
          <cell r="E983" t="str">
            <v>1403250117152154</v>
          </cell>
        </row>
        <row r="984">
          <cell r="E984" t="str">
            <v>1403250117152122</v>
          </cell>
        </row>
        <row r="985">
          <cell r="E985" t="str">
            <v>1403250117152122</v>
          </cell>
        </row>
        <row r="986">
          <cell r="E986" t="str">
            <v>1403250117152154</v>
          </cell>
        </row>
        <row r="987">
          <cell r="E987" t="str">
            <v>1403250117152122</v>
          </cell>
        </row>
        <row r="988">
          <cell r="E988" t="str">
            <v>1403250117152209</v>
          </cell>
        </row>
        <row r="989">
          <cell r="E989" t="str">
            <v>1403250117152122</v>
          </cell>
        </row>
        <row r="990">
          <cell r="E990" t="str">
            <v>1403250120153557</v>
          </cell>
        </row>
        <row r="991">
          <cell r="E991" t="str">
            <v>1403250120153703</v>
          </cell>
        </row>
        <row r="992">
          <cell r="E992" t="str">
            <v>1403250120153615</v>
          </cell>
        </row>
        <row r="993">
          <cell r="E993" t="str">
            <v>1403250120153629</v>
          </cell>
        </row>
        <row r="994">
          <cell r="E994" t="str">
            <v>1403250120153646</v>
          </cell>
        </row>
        <row r="995">
          <cell r="E995" t="str">
            <v>1403250120153646</v>
          </cell>
        </row>
        <row r="996">
          <cell r="E996" t="str">
            <v>1403250120153615</v>
          </cell>
        </row>
        <row r="997">
          <cell r="E997" t="str">
            <v>1403250120153629</v>
          </cell>
        </row>
        <row r="998">
          <cell r="E998" t="str">
            <v>1403250120153615</v>
          </cell>
        </row>
        <row r="999">
          <cell r="E999" t="str">
            <v>1403250120153646</v>
          </cell>
        </row>
        <row r="1000">
          <cell r="E1000" t="str">
            <v>1403250120153629</v>
          </cell>
        </row>
        <row r="1001">
          <cell r="E1001" t="str">
            <v>1403250120153629</v>
          </cell>
        </row>
        <row r="1002">
          <cell r="E1002" t="str">
            <v>1403250120153646</v>
          </cell>
        </row>
        <row r="1003">
          <cell r="E1003" t="str">
            <v>1403250120153615</v>
          </cell>
        </row>
        <row r="1004">
          <cell r="E1004" t="str">
            <v>1403250120153629</v>
          </cell>
        </row>
        <row r="1005">
          <cell r="E1005" t="str">
            <v>1403250120153646</v>
          </cell>
        </row>
        <row r="1006">
          <cell r="E1006" t="str">
            <v>1403250120153557</v>
          </cell>
        </row>
        <row r="1007">
          <cell r="E1007" t="str">
            <v>1403250120153629</v>
          </cell>
        </row>
        <row r="1008">
          <cell r="E1008" t="str">
            <v>1403250120153703</v>
          </cell>
        </row>
        <row r="1009">
          <cell r="E1009" t="str">
            <v>1403250120153615</v>
          </cell>
        </row>
        <row r="1010">
          <cell r="E1010" t="str">
            <v>1403250120153646</v>
          </cell>
        </row>
        <row r="1011">
          <cell r="E1011" t="str">
            <v>1403250120153557</v>
          </cell>
        </row>
        <row r="1012">
          <cell r="E1012" t="str">
            <v>1403250120153703</v>
          </cell>
        </row>
        <row r="1013">
          <cell r="E1013" t="str">
            <v>1403250120153629</v>
          </cell>
        </row>
        <row r="1014">
          <cell r="E1014" t="str">
            <v>1403250120153703</v>
          </cell>
        </row>
        <row r="1015">
          <cell r="E1015" t="str">
            <v>1403250120153629</v>
          </cell>
        </row>
        <row r="1016">
          <cell r="E1016" t="str">
            <v>1403250120153557</v>
          </cell>
        </row>
        <row r="1017">
          <cell r="E1017" t="str">
            <v>1403250120153629</v>
          </cell>
        </row>
        <row r="1018">
          <cell r="E1018" t="str">
            <v>1403250120153615</v>
          </cell>
        </row>
        <row r="1019">
          <cell r="E1019" t="str">
            <v>1403250120153629</v>
          </cell>
        </row>
        <row r="1020">
          <cell r="E1020" t="str">
            <v>1403250120153703</v>
          </cell>
        </row>
        <row r="1021">
          <cell r="E1021" t="str">
            <v>1403250120153703</v>
          </cell>
        </row>
        <row r="1022">
          <cell r="E1022" t="str">
            <v>1403250120153629</v>
          </cell>
        </row>
        <row r="1023">
          <cell r="E1023" t="str">
            <v>1403250120153615</v>
          </cell>
        </row>
        <row r="1024">
          <cell r="E1024" t="str">
            <v>1403250120153615</v>
          </cell>
        </row>
        <row r="1025">
          <cell r="E1025" t="str">
            <v>1403250120153615</v>
          </cell>
        </row>
        <row r="1026">
          <cell r="E1026" t="str">
            <v>1403250120153703</v>
          </cell>
        </row>
        <row r="1027">
          <cell r="E1027" t="str">
            <v>1403250120153615</v>
          </cell>
        </row>
        <row r="1028">
          <cell r="E1028" t="str">
            <v>1403250120153615</v>
          </cell>
        </row>
        <row r="1029">
          <cell r="E1029" t="str">
            <v>1403250124154453</v>
          </cell>
        </row>
        <row r="1030">
          <cell r="E1030" t="str">
            <v>1403250124154557</v>
          </cell>
        </row>
        <row r="1031">
          <cell r="E1031" t="str">
            <v>1403250124112502</v>
          </cell>
        </row>
        <row r="1032">
          <cell r="E1032" t="str">
            <v>1403250124154541</v>
          </cell>
        </row>
        <row r="1033">
          <cell r="E1033" t="str">
            <v>1403250124154526</v>
          </cell>
        </row>
        <row r="1034">
          <cell r="E1034" t="str">
            <v>1403202501249001</v>
          </cell>
        </row>
        <row r="1035">
          <cell r="E1035" t="str">
            <v>1403250124154510</v>
          </cell>
        </row>
        <row r="1036">
          <cell r="E1036" t="str">
            <v>1403250124154453</v>
          </cell>
        </row>
        <row r="1037">
          <cell r="E1037" t="str">
            <v>1403250124154557</v>
          </cell>
        </row>
        <row r="1038">
          <cell r="E1038" t="str">
            <v>1403250124154526</v>
          </cell>
        </row>
        <row r="1039">
          <cell r="E1039" t="str">
            <v>1403250124154510</v>
          </cell>
        </row>
        <row r="1040">
          <cell r="E1040" t="str">
            <v>1403250124154453</v>
          </cell>
        </row>
        <row r="1041">
          <cell r="E1041" t="str">
            <v>1403250124154541</v>
          </cell>
        </row>
        <row r="1042">
          <cell r="E1042" t="str">
            <v>1403250124154557</v>
          </cell>
        </row>
        <row r="1043">
          <cell r="E1043" t="str">
            <v>1403250124154510</v>
          </cell>
        </row>
        <row r="1044">
          <cell r="E1044" t="str">
            <v>1403250124154557</v>
          </cell>
        </row>
        <row r="1045">
          <cell r="E1045" t="str">
            <v>1403250124154453</v>
          </cell>
        </row>
        <row r="1046">
          <cell r="E1046" t="str">
            <v>1403250124154526</v>
          </cell>
        </row>
        <row r="1047">
          <cell r="E1047" t="str">
            <v>1403250124154557</v>
          </cell>
        </row>
        <row r="1048">
          <cell r="E1048" t="str">
            <v>1403250124154526</v>
          </cell>
        </row>
        <row r="1049">
          <cell r="E1049" t="str">
            <v>1403250124154453</v>
          </cell>
        </row>
        <row r="1050">
          <cell r="E1050" t="str">
            <v>1403250124154526</v>
          </cell>
        </row>
        <row r="1051">
          <cell r="E1051" t="str">
            <v>1403250124154453</v>
          </cell>
        </row>
        <row r="1052">
          <cell r="E1052" t="str">
            <v>1403250124154453</v>
          </cell>
        </row>
        <row r="1053">
          <cell r="E1053" t="str">
            <v>1403250124154453</v>
          </cell>
        </row>
        <row r="1054">
          <cell r="E1054" t="str">
            <v>1403250127225846</v>
          </cell>
        </row>
        <row r="1055">
          <cell r="E1055" t="str">
            <v>1403250127230027</v>
          </cell>
        </row>
        <row r="1056">
          <cell r="E1056" t="str">
            <v>1403250127230012</v>
          </cell>
        </row>
        <row r="1057">
          <cell r="E1057" t="str">
            <v>1403250127225908</v>
          </cell>
        </row>
        <row r="1058">
          <cell r="E1058" t="str">
            <v>1403250127225942</v>
          </cell>
        </row>
        <row r="1059">
          <cell r="E1059" t="str">
            <v>1403250127225846</v>
          </cell>
        </row>
        <row r="1060">
          <cell r="E1060" t="str">
            <v>1403250127225846</v>
          </cell>
        </row>
        <row r="1061">
          <cell r="E1061" t="str">
            <v>1403250127225942</v>
          </cell>
        </row>
        <row r="1062">
          <cell r="E1062" t="str">
            <v>1403250127225908</v>
          </cell>
        </row>
        <row r="1063">
          <cell r="E1063" t="str">
            <v>1403250127225908</v>
          </cell>
        </row>
        <row r="1064">
          <cell r="E1064" t="str">
            <v>1403250127225942</v>
          </cell>
        </row>
        <row r="1065">
          <cell r="E1065" t="str">
            <v>1403250127225908</v>
          </cell>
        </row>
        <row r="1066">
          <cell r="E1066" t="str">
            <v>1403250127230012</v>
          </cell>
        </row>
        <row r="1067">
          <cell r="E1067" t="str">
            <v>1403250127225942</v>
          </cell>
        </row>
        <row r="1068">
          <cell r="E1068" t="str">
            <v>1403250127225846</v>
          </cell>
        </row>
        <row r="1069">
          <cell r="E1069" t="str">
            <v>1403250127225908</v>
          </cell>
        </row>
        <row r="1070">
          <cell r="E1070" t="str">
            <v>1403250127225942</v>
          </cell>
        </row>
        <row r="1071">
          <cell r="E1071" t="str">
            <v>1403250127225942</v>
          </cell>
        </row>
        <row r="1072">
          <cell r="E1072" t="str">
            <v>1403250127225908</v>
          </cell>
        </row>
        <row r="1073">
          <cell r="E1073" t="str">
            <v>1403250127225908</v>
          </cell>
        </row>
        <row r="1074">
          <cell r="E1074" t="str">
            <v>1403250127225942</v>
          </cell>
        </row>
        <row r="1075">
          <cell r="E1075" t="str">
            <v>1403250127225908</v>
          </cell>
        </row>
        <row r="1076">
          <cell r="E1076" t="str">
            <v>1403250127225942</v>
          </cell>
        </row>
        <row r="1077">
          <cell r="E1077" t="str">
            <v>1403250127225942</v>
          </cell>
        </row>
        <row r="1078">
          <cell r="E1078" t="str">
            <v>1403250127225908</v>
          </cell>
        </row>
        <row r="1079">
          <cell r="E1079" t="str">
            <v>1403250127225942</v>
          </cell>
        </row>
        <row r="1080">
          <cell r="E1080" t="str">
            <v>1403250127230012</v>
          </cell>
        </row>
        <row r="1081">
          <cell r="E1081" t="str">
            <v>1403250127225846</v>
          </cell>
        </row>
        <row r="1082">
          <cell r="E1082" t="str">
            <v>1403250127225942</v>
          </cell>
        </row>
        <row r="1083">
          <cell r="E1083" t="str">
            <v>1403250127225846</v>
          </cell>
        </row>
        <row r="1084">
          <cell r="E1084" t="str">
            <v>1403250127230012</v>
          </cell>
        </row>
        <row r="1085">
          <cell r="E1085" t="str">
            <v>1403250127225846</v>
          </cell>
        </row>
        <row r="1086">
          <cell r="E1086" t="str">
            <v>1403250127225846</v>
          </cell>
        </row>
        <row r="1087">
          <cell r="E1087" t="str">
            <v>1403250127225846</v>
          </cell>
        </row>
        <row r="1088">
          <cell r="E1088" t="str">
            <v>1403250127225846</v>
          </cell>
        </row>
        <row r="1089">
          <cell r="E1089" t="str">
            <v>1403250127225846</v>
          </cell>
        </row>
        <row r="1090">
          <cell r="E1090" t="str">
            <v>1403250127230012</v>
          </cell>
        </row>
        <row r="1091">
          <cell r="E1091" t="str">
            <v>1403250127230012</v>
          </cell>
        </row>
        <row r="1092">
          <cell r="E1092" t="str">
            <v>1403250127225846</v>
          </cell>
        </row>
        <row r="1093">
          <cell r="E1093" t="str">
            <v>1403250127230012</v>
          </cell>
        </row>
        <row r="1094">
          <cell r="E1094" t="str">
            <v>1403250127225846</v>
          </cell>
        </row>
        <row r="1095">
          <cell r="E1095" t="str">
            <v>1403250127225846</v>
          </cell>
        </row>
        <row r="1096">
          <cell r="E1096" t="str">
            <v>1403250127230012</v>
          </cell>
        </row>
        <row r="1097">
          <cell r="E1097" t="str">
            <v>1403250127225846</v>
          </cell>
        </row>
        <row r="1098">
          <cell r="E1098" t="str">
            <v>1403250127230012</v>
          </cell>
        </row>
        <row r="1099">
          <cell r="E1099" t="str">
            <v>1403250127225846</v>
          </cell>
        </row>
        <row r="1100">
          <cell r="E1100" t="str">
            <v>1403250127230012</v>
          </cell>
        </row>
        <row r="1101">
          <cell r="E1101" t="str">
            <v>1403250127225846</v>
          </cell>
        </row>
        <row r="1102">
          <cell r="E1102" t="str">
            <v>1403250127225846</v>
          </cell>
        </row>
        <row r="1103">
          <cell r="E1103" t="str">
            <v>1403250127225846</v>
          </cell>
        </row>
        <row r="1104">
          <cell r="E1104" t="str">
            <v>1403250203201356</v>
          </cell>
        </row>
        <row r="1105">
          <cell r="E1105" t="str">
            <v>1403250203201414</v>
          </cell>
        </row>
        <row r="1106">
          <cell r="E1106" t="str">
            <v>1403250203201427</v>
          </cell>
        </row>
        <row r="1107">
          <cell r="E1107" t="str">
            <v>1403250206114544</v>
          </cell>
        </row>
        <row r="1108">
          <cell r="E1108" t="str">
            <v>1403250206114603</v>
          </cell>
        </row>
        <row r="1109">
          <cell r="E1109" t="str">
            <v>1403250206114621</v>
          </cell>
        </row>
        <row r="1110">
          <cell r="E1110" t="str">
            <v>1403250206114638</v>
          </cell>
        </row>
        <row r="1111">
          <cell r="E1111" t="str">
            <v>1403250206114656</v>
          </cell>
        </row>
        <row r="1112">
          <cell r="E1112" t="str">
            <v>1403250206114621</v>
          </cell>
        </row>
        <row r="1113">
          <cell r="E1113" t="str">
            <v>1403250206114544</v>
          </cell>
        </row>
        <row r="1114">
          <cell r="E1114" t="str">
            <v>1403250206114603</v>
          </cell>
        </row>
        <row r="1115">
          <cell r="E1115" t="str">
            <v>1403250206114656</v>
          </cell>
        </row>
        <row r="1116">
          <cell r="E1116" t="str">
            <v>1403250206114603</v>
          </cell>
        </row>
        <row r="1117">
          <cell r="E1117" t="str">
            <v>1403250206114544</v>
          </cell>
        </row>
        <row r="1118">
          <cell r="E1118" t="str">
            <v>1403250206114656</v>
          </cell>
        </row>
        <row r="1119">
          <cell r="E1119" t="str">
            <v>1403250206114656</v>
          </cell>
        </row>
        <row r="1120">
          <cell r="E1120" t="str">
            <v>1403250206114544</v>
          </cell>
        </row>
        <row r="1121">
          <cell r="E1121" t="str">
            <v>1403250206114544</v>
          </cell>
        </row>
        <row r="1122">
          <cell r="E1122" t="str">
            <v>1403250206114544</v>
          </cell>
        </row>
        <row r="1123">
          <cell r="E1123" t="str">
            <v>1403250206114621</v>
          </cell>
        </row>
        <row r="1124">
          <cell r="E1124" t="str">
            <v>1403250206114638</v>
          </cell>
        </row>
        <row r="1125">
          <cell r="E1125" t="str">
            <v>1403250213180648</v>
          </cell>
        </row>
        <row r="1126">
          <cell r="E1126" t="str">
            <v>1403250213180703</v>
          </cell>
        </row>
        <row r="1127">
          <cell r="E1127" t="str">
            <v>1403250214173158</v>
          </cell>
        </row>
        <row r="1128">
          <cell r="E1128" t="str">
            <v>1403250214172046</v>
          </cell>
        </row>
        <row r="1129">
          <cell r="E1129" t="str">
            <v>1403250214171119</v>
          </cell>
        </row>
        <row r="1130">
          <cell r="E1130" t="str">
            <v>1403250214151516</v>
          </cell>
        </row>
        <row r="1131">
          <cell r="E1131" t="str">
            <v>1403250214173540</v>
          </cell>
        </row>
        <row r="1132">
          <cell r="E1132" t="str">
            <v>1403250214172829</v>
          </cell>
        </row>
        <row r="1133">
          <cell r="E1133" t="str">
            <v>1403250214172046</v>
          </cell>
        </row>
        <row r="1134">
          <cell r="E1134" t="str">
            <v>1403250214171119</v>
          </cell>
        </row>
        <row r="1135">
          <cell r="E1135" t="str">
            <v>1403250214172829</v>
          </cell>
        </row>
        <row r="1136">
          <cell r="E1136" t="str">
            <v>1403250214171119</v>
          </cell>
        </row>
        <row r="1137">
          <cell r="E1137" t="str">
            <v>1403250214171119</v>
          </cell>
        </row>
        <row r="1138">
          <cell r="E1138" t="str">
            <v>1403250214171119</v>
          </cell>
        </row>
        <row r="1139">
          <cell r="E1139" t="str">
            <v>1403250214171119</v>
          </cell>
        </row>
        <row r="1140">
          <cell r="E1140" t="str">
            <v>1403250214173540</v>
          </cell>
        </row>
        <row r="1141">
          <cell r="E1141" t="str">
            <v>1403250214173158</v>
          </cell>
        </row>
        <row r="1142">
          <cell r="E1142" t="str">
            <v>1403250214172046</v>
          </cell>
        </row>
        <row r="1143">
          <cell r="E1143" t="str">
            <v>1403250214171119</v>
          </cell>
        </row>
        <row r="1144">
          <cell r="E1144" t="str">
            <v>1403250214172829</v>
          </cell>
        </row>
        <row r="1145">
          <cell r="E1145" t="str">
            <v>1403250214172046</v>
          </cell>
        </row>
        <row r="1146">
          <cell r="E1146" t="str">
            <v>1403250214173540</v>
          </cell>
        </row>
        <row r="1147">
          <cell r="E1147" t="str">
            <v>1403250214173158</v>
          </cell>
        </row>
        <row r="1148">
          <cell r="E1148" t="str">
            <v>1403250214172829</v>
          </cell>
        </row>
        <row r="1149">
          <cell r="E1149" t="str">
            <v>1403250214173540</v>
          </cell>
        </row>
        <row r="1150">
          <cell r="E1150" t="str">
            <v>1403250214172829</v>
          </cell>
        </row>
        <row r="1151">
          <cell r="E1151" t="str">
            <v>1403250214173158</v>
          </cell>
        </row>
        <row r="1152">
          <cell r="E1152" t="str">
            <v>1403250214172046</v>
          </cell>
        </row>
        <row r="1153">
          <cell r="E1153" t="str">
            <v>1403250214172046</v>
          </cell>
        </row>
        <row r="1154">
          <cell r="E1154" t="str">
            <v>1403250214172829</v>
          </cell>
        </row>
        <row r="1155">
          <cell r="E1155" t="str">
            <v>1403250214172046</v>
          </cell>
        </row>
        <row r="1156">
          <cell r="E1156" t="str">
            <v>1403250214172829</v>
          </cell>
        </row>
        <row r="1157">
          <cell r="E1157" t="str">
            <v>1403250214172829</v>
          </cell>
        </row>
        <row r="1158">
          <cell r="E1158" t="str">
            <v>1403250214172046</v>
          </cell>
        </row>
        <row r="1159">
          <cell r="E1159" t="str">
            <v>1403250214172829</v>
          </cell>
        </row>
        <row r="1160">
          <cell r="E1160" t="str">
            <v>1403250214172046</v>
          </cell>
        </row>
        <row r="1161">
          <cell r="E1161" t="str">
            <v>1403250214172046</v>
          </cell>
        </row>
        <row r="1162">
          <cell r="E1162" t="str">
            <v>1403250113175001</v>
          </cell>
        </row>
        <row r="1163">
          <cell r="E1163" t="str">
            <v>1403250215121558</v>
          </cell>
        </row>
        <row r="1164">
          <cell r="E1164" t="str">
            <v>1403250221153924</v>
          </cell>
        </row>
        <row r="1165">
          <cell r="E1165" t="str">
            <v>1403250221153909</v>
          </cell>
        </row>
        <row r="1166">
          <cell r="E1166" t="str">
            <v>1403250221153857</v>
          </cell>
        </row>
        <row r="1167">
          <cell r="E1167" t="str">
            <v>1403250221151646</v>
          </cell>
        </row>
        <row r="1168">
          <cell r="E1168" t="str">
            <v>1403250221152526</v>
          </cell>
        </row>
        <row r="1169">
          <cell r="E1169" t="str">
            <v>1403250221153924</v>
          </cell>
        </row>
        <row r="1170">
          <cell r="E1170" t="str">
            <v>1403250221151646</v>
          </cell>
        </row>
        <row r="1171">
          <cell r="E1171" t="str">
            <v>1403250221153924</v>
          </cell>
        </row>
        <row r="1172">
          <cell r="E1172" t="str">
            <v>1403250221152526</v>
          </cell>
        </row>
        <row r="1173">
          <cell r="E1173" t="str">
            <v>1403250221153857</v>
          </cell>
        </row>
        <row r="1174">
          <cell r="E1174" t="str">
            <v>1403250221151646</v>
          </cell>
        </row>
        <row r="1175">
          <cell r="E1175" t="str">
            <v>1403250221153909</v>
          </cell>
        </row>
        <row r="1176">
          <cell r="E1176" t="str">
            <v>1403250221151646</v>
          </cell>
        </row>
        <row r="1177">
          <cell r="E1177" t="str">
            <v>1403250221153857</v>
          </cell>
        </row>
        <row r="1178">
          <cell r="E1178" t="str">
            <v>1403250221152526</v>
          </cell>
        </row>
        <row r="1179">
          <cell r="E1179" t="str">
            <v>1403250221153909</v>
          </cell>
        </row>
        <row r="1180">
          <cell r="E1180" t="str">
            <v>1403250221151646</v>
          </cell>
        </row>
        <row r="1181">
          <cell r="E1181" t="str">
            <v>1403250221153857</v>
          </cell>
        </row>
        <row r="1182">
          <cell r="E1182" t="str">
            <v>1403250221152526</v>
          </cell>
        </row>
        <row r="1183">
          <cell r="E1183" t="str">
            <v>1403250221151646</v>
          </cell>
        </row>
        <row r="1184">
          <cell r="E1184" t="str">
            <v>1403250221153857</v>
          </cell>
        </row>
        <row r="1185">
          <cell r="E1185" t="str">
            <v>1403250221152526</v>
          </cell>
        </row>
        <row r="1186">
          <cell r="E1186" t="str">
            <v>1403250221151646</v>
          </cell>
        </row>
        <row r="1187">
          <cell r="E1187" t="str">
            <v>1403250221153857</v>
          </cell>
        </row>
        <row r="1188">
          <cell r="E1188" t="str">
            <v>1403250221153857</v>
          </cell>
        </row>
        <row r="1189">
          <cell r="E1189" t="str">
            <v>1403250221152526</v>
          </cell>
        </row>
        <row r="1190">
          <cell r="E1190" t="str">
            <v>1403250221153909</v>
          </cell>
        </row>
        <row r="1191">
          <cell r="E1191" t="str">
            <v>1403202502229001</v>
          </cell>
        </row>
        <row r="1192">
          <cell r="E1192" t="str">
            <v>1403202502229003</v>
          </cell>
        </row>
        <row r="1193">
          <cell r="E1193" t="str">
            <v>1403202502229003</v>
          </cell>
        </row>
        <row r="1194">
          <cell r="E1194" t="str">
            <v>1403202502249001</v>
          </cell>
        </row>
        <row r="1195">
          <cell r="E1195" t="str">
            <v>1403250228100757</v>
          </cell>
        </row>
        <row r="1196">
          <cell r="E1196" t="str">
            <v>1403250228100036</v>
          </cell>
        </row>
        <row r="1197">
          <cell r="E1197" t="str">
            <v>1403250228100738</v>
          </cell>
        </row>
        <row r="1198">
          <cell r="E1198" t="str">
            <v>1403250228100757</v>
          </cell>
        </row>
        <row r="1199">
          <cell r="E1199" t="str">
            <v>1403250228100036</v>
          </cell>
        </row>
        <row r="1200">
          <cell r="E1200" t="str">
            <v>1403250228100757</v>
          </cell>
        </row>
        <row r="1201">
          <cell r="E1201" t="str">
            <v>1403250228100738</v>
          </cell>
        </row>
        <row r="1202">
          <cell r="E1202" t="str">
            <v>1403250228100036</v>
          </cell>
        </row>
        <row r="1203">
          <cell r="E1203" t="str">
            <v>1403250228100738</v>
          </cell>
        </row>
        <row r="1204">
          <cell r="E1204" t="str">
            <v>1403250228100036</v>
          </cell>
        </row>
        <row r="1205">
          <cell r="E1205" t="str">
            <v>1403250228100738</v>
          </cell>
        </row>
        <row r="1206">
          <cell r="E1206" t="str">
            <v>1403250228100738</v>
          </cell>
        </row>
        <row r="1207">
          <cell r="E1207" t="str">
            <v>1403250307155036</v>
          </cell>
        </row>
        <row r="1208">
          <cell r="E1208" t="str">
            <v>1403250307111346</v>
          </cell>
        </row>
        <row r="1209">
          <cell r="E1209" t="str">
            <v>1403250307111422</v>
          </cell>
        </row>
        <row r="1210">
          <cell r="E1210" t="str">
            <v>1403250307111356</v>
          </cell>
        </row>
        <row r="1211">
          <cell r="E1211" t="str">
            <v>1403250307111412</v>
          </cell>
        </row>
        <row r="1212">
          <cell r="E1212" t="str">
            <v>1403250307111402</v>
          </cell>
        </row>
        <row r="1213">
          <cell r="E1213" t="str">
            <v>1403250307155036</v>
          </cell>
        </row>
        <row r="1214">
          <cell r="E1214" t="str">
            <v>1403250307111356</v>
          </cell>
        </row>
        <row r="1215">
          <cell r="E1215" t="str">
            <v>1403250307111346</v>
          </cell>
        </row>
        <row r="1216">
          <cell r="E1216" t="str">
            <v>1403250307111346</v>
          </cell>
        </row>
        <row r="1217">
          <cell r="E1217" t="str">
            <v>1403250307111356</v>
          </cell>
        </row>
        <row r="1218">
          <cell r="E1218" t="str">
            <v>1403250307111412</v>
          </cell>
        </row>
        <row r="1219">
          <cell r="E1219" t="str">
            <v>1403250307111402</v>
          </cell>
        </row>
        <row r="1220">
          <cell r="E1220" t="str">
            <v>1403250307111346</v>
          </cell>
        </row>
        <row r="1221">
          <cell r="E1221" t="str">
            <v>1403250307111412</v>
          </cell>
        </row>
        <row r="1222">
          <cell r="E1222" t="str">
            <v>1403250307111402</v>
          </cell>
        </row>
        <row r="1223">
          <cell r="E1223" t="str">
            <v>1403250307111356</v>
          </cell>
        </row>
        <row r="1224">
          <cell r="E1224" t="str">
            <v>1403250307111356</v>
          </cell>
        </row>
        <row r="1225">
          <cell r="E1225" t="str">
            <v>1403250307111412</v>
          </cell>
        </row>
        <row r="1226">
          <cell r="E1226" t="str">
            <v>1403250307111346</v>
          </cell>
        </row>
        <row r="1227">
          <cell r="E1227" t="str">
            <v>1403250307111356</v>
          </cell>
        </row>
        <row r="1228">
          <cell r="E1228" t="str">
            <v>1403250307111412</v>
          </cell>
        </row>
        <row r="1229">
          <cell r="E1229" t="str">
            <v>1403250307111356</v>
          </cell>
        </row>
        <row r="1230">
          <cell r="E1230" t="str">
            <v>1403250307111356</v>
          </cell>
        </row>
        <row r="1231">
          <cell r="E1231" t="str">
            <v>1403250307111412</v>
          </cell>
        </row>
        <row r="1232">
          <cell r="E1232" t="str">
            <v>1403250311163807</v>
          </cell>
        </row>
        <row r="1233">
          <cell r="E1233" t="str">
            <v>1403250317104522</v>
          </cell>
        </row>
        <row r="1234">
          <cell r="E1234" t="str">
            <v>1403250317104532</v>
          </cell>
        </row>
        <row r="1235">
          <cell r="E1235" t="str">
            <v>1403250317104550</v>
          </cell>
        </row>
        <row r="1236">
          <cell r="E1236" t="str">
            <v>1403250317104601</v>
          </cell>
        </row>
        <row r="1237">
          <cell r="E1237" t="str">
            <v>1403250317104541</v>
          </cell>
        </row>
        <row r="1238">
          <cell r="E1238" t="str">
            <v>1403250317104541</v>
          </cell>
        </row>
        <row r="1239">
          <cell r="E1239" t="str">
            <v>1403250317104522</v>
          </cell>
        </row>
        <row r="1240">
          <cell r="E1240" t="str">
            <v>1403250317104601</v>
          </cell>
        </row>
        <row r="1241">
          <cell r="E1241" t="str">
            <v>1403250317104532</v>
          </cell>
        </row>
        <row r="1242">
          <cell r="E1242" t="str">
            <v>1403250317104550</v>
          </cell>
        </row>
        <row r="1243">
          <cell r="E1243" t="str">
            <v>1403250317104541</v>
          </cell>
        </row>
        <row r="1244">
          <cell r="E1244" t="str">
            <v>1403250317104550</v>
          </cell>
        </row>
        <row r="1245">
          <cell r="E1245" t="str">
            <v>1403250317104532</v>
          </cell>
        </row>
        <row r="1246">
          <cell r="E1246" t="str">
            <v>1403250317104522</v>
          </cell>
        </row>
        <row r="1247">
          <cell r="E1247" t="str">
            <v>1403250317104541</v>
          </cell>
        </row>
        <row r="1248">
          <cell r="E1248" t="str">
            <v>1403250317104541</v>
          </cell>
        </row>
        <row r="1249">
          <cell r="E1249" t="str">
            <v>1403250317104550</v>
          </cell>
        </row>
        <row r="1250">
          <cell r="E1250" t="str">
            <v>1403250317104541</v>
          </cell>
        </row>
        <row r="1251">
          <cell r="E1251" t="str">
            <v>1403250317104550</v>
          </cell>
        </row>
        <row r="1252">
          <cell r="E1252" t="str">
            <v>1403250317104550</v>
          </cell>
        </row>
        <row r="1253">
          <cell r="E1253" t="str">
            <v>1403250317104541</v>
          </cell>
        </row>
        <row r="1254">
          <cell r="E1254" t="str">
            <v>1403250317104541</v>
          </cell>
        </row>
        <row r="1255">
          <cell r="E1255" t="str">
            <v>1403250317104550</v>
          </cell>
        </row>
        <row r="1256">
          <cell r="E1256" t="str">
            <v>1403250317104550</v>
          </cell>
        </row>
        <row r="1257">
          <cell r="E1257" t="str">
            <v>1403250317104541</v>
          </cell>
        </row>
        <row r="1258">
          <cell r="E1258" t="str">
            <v>1403250317104541</v>
          </cell>
        </row>
        <row r="1259">
          <cell r="E1259" t="str">
            <v>1403250317104541</v>
          </cell>
        </row>
        <row r="1260">
          <cell r="E1260" t="str">
            <v>1403250317104532</v>
          </cell>
        </row>
        <row r="1261">
          <cell r="E1261" t="str">
            <v>1403250317104541</v>
          </cell>
        </row>
        <row r="1262">
          <cell r="E1262" t="str">
            <v>1403250317104601</v>
          </cell>
        </row>
        <row r="1263">
          <cell r="E1263" t="str">
            <v>1403250317104601</v>
          </cell>
        </row>
        <row r="1264">
          <cell r="E1264" t="str">
            <v>1403250317104532</v>
          </cell>
        </row>
        <row r="1265">
          <cell r="E1265" t="str">
            <v>1403250317104541</v>
          </cell>
        </row>
        <row r="1266">
          <cell r="E1266" t="str">
            <v>1403250317104601</v>
          </cell>
        </row>
        <row r="1267">
          <cell r="E1267" t="str">
            <v>1403250317104532</v>
          </cell>
        </row>
        <row r="1268">
          <cell r="E1268" t="str">
            <v>1403250317104601</v>
          </cell>
        </row>
        <row r="1269">
          <cell r="E1269" t="str">
            <v>1403250317104532</v>
          </cell>
        </row>
        <row r="1270">
          <cell r="E1270" t="str">
            <v>1403250317104601</v>
          </cell>
        </row>
        <row r="1271">
          <cell r="E1271" t="str">
            <v>1403250317104601</v>
          </cell>
        </row>
        <row r="1272">
          <cell r="E1272" t="str">
            <v>1403250317104532</v>
          </cell>
        </row>
        <row r="1273">
          <cell r="E1273" t="str">
            <v>1403250317104601</v>
          </cell>
        </row>
        <row r="1274">
          <cell r="E1274" t="str">
            <v>1403250317104601</v>
          </cell>
        </row>
        <row r="1275">
          <cell r="E1275" t="str">
            <v>1403250317104601</v>
          </cell>
        </row>
        <row r="1276">
          <cell r="E1276" t="str">
            <v>1403250317104601</v>
          </cell>
        </row>
        <row r="1277">
          <cell r="E1277" t="str">
            <v>1403250326104820</v>
          </cell>
        </row>
        <row r="1278">
          <cell r="E1278" t="str">
            <v>1403250326172927</v>
          </cell>
        </row>
        <row r="1279">
          <cell r="E1279" t="str">
            <v>1403250326104807</v>
          </cell>
        </row>
        <row r="1280">
          <cell r="E1280" t="str">
            <v>1403250326104820</v>
          </cell>
        </row>
        <row r="1281">
          <cell r="E1281" t="str">
            <v>1403250326104807</v>
          </cell>
        </row>
        <row r="1282">
          <cell r="E1282" t="str">
            <v>1403250326104807</v>
          </cell>
        </row>
        <row r="1283">
          <cell r="E1283" t="str">
            <v>1403250326104820</v>
          </cell>
        </row>
        <row r="1284">
          <cell r="E1284" t="str">
            <v>1403250331114456</v>
          </cell>
        </row>
        <row r="1285">
          <cell r="E1285" t="str">
            <v>1403250331114446</v>
          </cell>
        </row>
        <row r="1286">
          <cell r="E1286" t="str">
            <v>1403250331114513</v>
          </cell>
        </row>
        <row r="1287">
          <cell r="E1287" t="str">
            <v>1403250331114506</v>
          </cell>
        </row>
        <row r="1288">
          <cell r="E1288" t="str">
            <v>1403250331114437</v>
          </cell>
        </row>
        <row r="1289">
          <cell r="E1289" t="str">
            <v>20250331001</v>
          </cell>
        </row>
        <row r="1290">
          <cell r="E1290" t="str">
            <v>20250331007</v>
          </cell>
        </row>
        <row r="1291">
          <cell r="E1291" t="str">
            <v>20250331003</v>
          </cell>
        </row>
        <row r="1292">
          <cell r="E1292" t="str">
            <v>20250331004</v>
          </cell>
        </row>
        <row r="1293">
          <cell r="E1293" t="str">
            <v>20250331006</v>
          </cell>
        </row>
        <row r="1294">
          <cell r="E1294" t="str">
            <v>1403250331114513</v>
          </cell>
        </row>
        <row r="1295">
          <cell r="E1295" t="str">
            <v>1403250331114437</v>
          </cell>
        </row>
        <row r="1296">
          <cell r="E1296" t="str">
            <v>20250331003</v>
          </cell>
        </row>
        <row r="1297">
          <cell r="E1297" t="str">
            <v>20250331003</v>
          </cell>
        </row>
        <row r="1298">
          <cell r="E1298" t="str">
            <v>20250331003</v>
          </cell>
        </row>
        <row r="1299">
          <cell r="E1299" t="str">
            <v>1403250331114456</v>
          </cell>
        </row>
        <row r="1300">
          <cell r="E1300" t="str">
            <v>1403250331114506</v>
          </cell>
        </row>
        <row r="1301">
          <cell r="E1301" t="str">
            <v>20250331004</v>
          </cell>
        </row>
        <row r="1302">
          <cell r="E1302" t="str">
            <v>20250331006</v>
          </cell>
        </row>
        <row r="1303">
          <cell r="E1303" t="str">
            <v>20250331003</v>
          </cell>
        </row>
        <row r="1304">
          <cell r="E1304" t="str">
            <v>20250331007</v>
          </cell>
        </row>
        <row r="1305">
          <cell r="E1305" t="str">
            <v>20250331001</v>
          </cell>
        </row>
        <row r="1306">
          <cell r="E1306" t="str">
            <v>1403250331114446</v>
          </cell>
        </row>
        <row r="1307">
          <cell r="E1307" t="str">
            <v>1403250331114506</v>
          </cell>
        </row>
        <row r="1308">
          <cell r="E1308" t="str">
            <v>1403250331114456</v>
          </cell>
        </row>
        <row r="1309">
          <cell r="E1309" t="str">
            <v>1403250331114446</v>
          </cell>
        </row>
        <row r="1310">
          <cell r="E1310" t="str">
            <v>1403250331114456</v>
          </cell>
        </row>
        <row r="1311">
          <cell r="E1311" t="str">
            <v>1403250331114446</v>
          </cell>
        </row>
        <row r="1312">
          <cell r="E1312" t="str">
            <v>1403250331114446</v>
          </cell>
        </row>
        <row r="1313">
          <cell r="E1313" t="str">
            <v>20250331004</v>
          </cell>
        </row>
        <row r="1314">
          <cell r="E1314" t="str">
            <v>20250331003</v>
          </cell>
        </row>
        <row r="1315">
          <cell r="E1315" t="str">
            <v>20250331001</v>
          </cell>
        </row>
        <row r="1316">
          <cell r="E1316" t="str">
            <v>20250331007</v>
          </cell>
        </row>
        <row r="1317">
          <cell r="E1317" t="str">
            <v>20250331006</v>
          </cell>
        </row>
        <row r="1318">
          <cell r="E1318" t="str">
            <v>20250331004</v>
          </cell>
        </row>
        <row r="1319">
          <cell r="E1319" t="str">
            <v>20250331007</v>
          </cell>
        </row>
        <row r="1320">
          <cell r="E1320" t="str">
            <v>20250331003</v>
          </cell>
        </row>
        <row r="1321">
          <cell r="E1321" t="str">
            <v>20250331001</v>
          </cell>
        </row>
        <row r="1322">
          <cell r="E1322" t="str">
            <v>20250331006</v>
          </cell>
        </row>
        <row r="1323">
          <cell r="E1323" t="str">
            <v>20250331004</v>
          </cell>
        </row>
        <row r="1324">
          <cell r="E1324" t="str">
            <v>20250331006</v>
          </cell>
        </row>
        <row r="1325">
          <cell r="E1325" t="str">
            <v>20250331001</v>
          </cell>
        </row>
        <row r="1326">
          <cell r="E1326" t="str">
            <v>20250331003</v>
          </cell>
        </row>
        <row r="1327">
          <cell r="E1327" t="str">
            <v>20250331003</v>
          </cell>
        </row>
        <row r="1328">
          <cell r="E1328" t="str">
            <v>20250331006</v>
          </cell>
        </row>
        <row r="1329">
          <cell r="E1329" t="str">
            <v>20250331001</v>
          </cell>
        </row>
        <row r="1330">
          <cell r="E1330" t="str">
            <v>20250331003</v>
          </cell>
        </row>
        <row r="1331">
          <cell r="E1331" t="str">
            <v>20250331003</v>
          </cell>
        </row>
        <row r="1332">
          <cell r="E1332" t="str">
            <v>20250331003</v>
          </cell>
        </row>
        <row r="1333">
          <cell r="E1333" t="str">
            <v>1403250403174406</v>
          </cell>
        </row>
        <row r="1334">
          <cell r="E1334" t="str">
            <v>1403250408141357</v>
          </cell>
        </row>
        <row r="1335">
          <cell r="E1335" t="str">
            <v>1403250408141417</v>
          </cell>
        </row>
        <row r="1336">
          <cell r="E1336" t="str">
            <v>1403250408141409</v>
          </cell>
        </row>
        <row r="1337">
          <cell r="E1337" t="str">
            <v>1403250408141427</v>
          </cell>
        </row>
        <row r="1338">
          <cell r="E1338" t="str">
            <v>1403250408141346</v>
          </cell>
        </row>
        <row r="1339">
          <cell r="E1339" t="str">
            <v>1403250408141417</v>
          </cell>
        </row>
        <row r="1340">
          <cell r="E1340" t="str">
            <v>1403250408141409</v>
          </cell>
        </row>
        <row r="1341">
          <cell r="E1341" t="str">
            <v>1403250408141427</v>
          </cell>
        </row>
        <row r="1342">
          <cell r="E1342" t="str">
            <v>1403250408141357</v>
          </cell>
        </row>
        <row r="1343">
          <cell r="E1343" t="str">
            <v>1403250408141346</v>
          </cell>
        </row>
        <row r="1344">
          <cell r="E1344" t="str">
            <v>1403250408141357</v>
          </cell>
        </row>
        <row r="1345">
          <cell r="E1345" t="str">
            <v>1403250408141417</v>
          </cell>
        </row>
        <row r="1346">
          <cell r="E1346" t="str">
            <v>1403250408141346</v>
          </cell>
        </row>
        <row r="1347">
          <cell r="E1347" t="str">
            <v>1403250408141409</v>
          </cell>
        </row>
        <row r="1348">
          <cell r="E1348" t="str">
            <v>1403250408141357</v>
          </cell>
        </row>
        <row r="1349">
          <cell r="E1349" t="str">
            <v>1403250408141427</v>
          </cell>
        </row>
        <row r="1350">
          <cell r="E1350" t="str">
            <v>1403250408141417</v>
          </cell>
        </row>
        <row r="1351">
          <cell r="E1351" t="str">
            <v>1403250408141427</v>
          </cell>
        </row>
        <row r="1352">
          <cell r="E1352" t="str">
            <v>1403250408141357</v>
          </cell>
        </row>
        <row r="1353">
          <cell r="E1353" t="str">
            <v>1403250408141409</v>
          </cell>
        </row>
        <row r="1354">
          <cell r="E1354" t="str">
            <v>1403250408141417</v>
          </cell>
        </row>
        <row r="1355">
          <cell r="E1355" t="str">
            <v>1403250408141427</v>
          </cell>
        </row>
        <row r="1356">
          <cell r="E1356" t="str">
            <v>1403250408141409</v>
          </cell>
        </row>
        <row r="1357">
          <cell r="E1357" t="str">
            <v>1403250408141417</v>
          </cell>
        </row>
        <row r="1358">
          <cell r="E1358" t="str">
            <v>1403250408141357</v>
          </cell>
        </row>
        <row r="1359">
          <cell r="E1359" t="str">
            <v>1403250408141427</v>
          </cell>
        </row>
        <row r="1360">
          <cell r="E1360" t="str">
            <v>1403250408141427</v>
          </cell>
        </row>
        <row r="1361">
          <cell r="E1361" t="str">
            <v>1403250408141417</v>
          </cell>
        </row>
        <row r="1362">
          <cell r="E1362" t="str">
            <v>1403250408141409</v>
          </cell>
        </row>
        <row r="1363">
          <cell r="E1363" t="str">
            <v>1403250408141417</v>
          </cell>
        </row>
        <row r="1364">
          <cell r="E1364" t="str">
            <v>1403250408141409</v>
          </cell>
        </row>
        <row r="1365">
          <cell r="E1365" t="str">
            <v>1403250408141409</v>
          </cell>
        </row>
        <row r="1366">
          <cell r="E1366" t="str">
            <v>1403250408141409</v>
          </cell>
        </row>
        <row r="1367">
          <cell r="E1367" t="str">
            <v>1403250408141409</v>
          </cell>
        </row>
        <row r="1368">
          <cell r="E1368" t="str">
            <v>1403250408141409</v>
          </cell>
        </row>
        <row r="1369">
          <cell r="E1369" t="str">
            <v>1403250408141409</v>
          </cell>
        </row>
        <row r="1370">
          <cell r="E1370" t="str">
            <v>1403250414135928</v>
          </cell>
        </row>
        <row r="1371">
          <cell r="E1371" t="str">
            <v>1403250414135940</v>
          </cell>
        </row>
        <row r="1372">
          <cell r="E1372" t="str">
            <v>1403250414135954</v>
          </cell>
        </row>
        <row r="1373">
          <cell r="E1373" t="str">
            <v>1403202504141713</v>
          </cell>
        </row>
        <row r="1374">
          <cell r="E1374" t="str">
            <v>1403202504141818</v>
          </cell>
        </row>
        <row r="1375">
          <cell r="E1375" t="str">
            <v>1403202504141818</v>
          </cell>
        </row>
        <row r="1376">
          <cell r="E1376" t="str">
            <v>1403250414135940</v>
          </cell>
        </row>
        <row r="1377">
          <cell r="E1377" t="str">
            <v>1403202504141713</v>
          </cell>
        </row>
        <row r="1378">
          <cell r="E1378" t="str">
            <v>1403250414135940</v>
          </cell>
        </row>
        <row r="1379">
          <cell r="E1379" t="str">
            <v>1403202504141818</v>
          </cell>
        </row>
        <row r="1380">
          <cell r="E1380" t="str">
            <v>1403202504141818</v>
          </cell>
        </row>
        <row r="1381">
          <cell r="E1381" t="str">
            <v>1403250421105359</v>
          </cell>
        </row>
        <row r="1382">
          <cell r="E1382" t="str">
            <v>1403250421105337</v>
          </cell>
        </row>
        <row r="1383">
          <cell r="E1383" t="str">
            <v>1403250421113155</v>
          </cell>
        </row>
        <row r="1384">
          <cell r="E1384" t="str">
            <v>1403250421113147</v>
          </cell>
        </row>
        <row r="1385">
          <cell r="E1385" t="str">
            <v>1403250421105350</v>
          </cell>
        </row>
        <row r="1386">
          <cell r="E1386" t="str">
            <v>1403250421113147</v>
          </cell>
        </row>
        <row r="1387">
          <cell r="E1387" t="str">
            <v>1403250421105350</v>
          </cell>
        </row>
        <row r="1388">
          <cell r="E1388" t="str">
            <v>1403250421105337</v>
          </cell>
        </row>
        <row r="1389">
          <cell r="E1389" t="str">
            <v>1403250421105337</v>
          </cell>
        </row>
        <row r="1390">
          <cell r="E1390" t="str">
            <v>1403250428174655</v>
          </cell>
        </row>
        <row r="1391">
          <cell r="E1391" t="str">
            <v>1403250428174643</v>
          </cell>
        </row>
        <row r="1392">
          <cell r="E1392" t="str">
            <v>1403250428174630</v>
          </cell>
        </row>
        <row r="1393">
          <cell r="E1393" t="str">
            <v>1403250428174630</v>
          </cell>
        </row>
        <row r="1394">
          <cell r="E1394" t="str">
            <v>1403250428174643</v>
          </cell>
        </row>
        <row r="1395">
          <cell r="E1395" t="str">
            <v>1403250506164557</v>
          </cell>
        </row>
        <row r="1396">
          <cell r="E1396" t="str">
            <v>1403250506164606</v>
          </cell>
        </row>
        <row r="1397">
          <cell r="E1397" t="str">
            <v>1403250506164617</v>
          </cell>
        </row>
        <row r="1398">
          <cell r="E1398" t="str">
            <v>1403250506164622</v>
          </cell>
        </row>
        <row r="1399">
          <cell r="E1399" t="str">
            <v>1403250506164547</v>
          </cell>
        </row>
        <row r="1400">
          <cell r="E1400" t="str">
            <v>1403250506164622</v>
          </cell>
        </row>
        <row r="1401">
          <cell r="E1401" t="str">
            <v>1403250506164606</v>
          </cell>
        </row>
        <row r="1402">
          <cell r="E1402" t="str">
            <v>1403250506164606</v>
          </cell>
        </row>
        <row r="1403">
          <cell r="E1403" t="str">
            <v>1403250506164606</v>
          </cell>
        </row>
        <row r="1404">
          <cell r="E1404" t="str">
            <v>1403250513143259</v>
          </cell>
        </row>
        <row r="1405">
          <cell r="E1405" t="str">
            <v>1403250513143313</v>
          </cell>
        </row>
        <row r="1406">
          <cell r="E1406" t="str">
            <v>1403250513143320</v>
          </cell>
        </row>
        <row r="1407">
          <cell r="E1407" t="str">
            <v>1403250513143259</v>
          </cell>
        </row>
        <row r="1408">
          <cell r="E1408" t="str">
            <v>1403250516115442</v>
          </cell>
        </row>
        <row r="1409">
          <cell r="E1409" t="str">
            <v>1403250516115452</v>
          </cell>
        </row>
        <row r="1410">
          <cell r="E1410" t="str">
            <v>1403250516115501</v>
          </cell>
        </row>
        <row r="1411">
          <cell r="E1411" t="str">
            <v>1403250516115508</v>
          </cell>
        </row>
        <row r="1412">
          <cell r="E1412" t="str">
            <v>1403250516115508</v>
          </cell>
        </row>
        <row r="1413">
          <cell r="E1413" t="str">
            <v>1403202505091710</v>
          </cell>
        </row>
        <row r="1414">
          <cell r="E1414" t="str">
            <v>1403250519150612</v>
          </cell>
        </row>
        <row r="1415">
          <cell r="E1415" t="str">
            <v>1403250520145553</v>
          </cell>
        </row>
        <row r="1416">
          <cell r="E1416" t="str">
            <v>1403250520145544</v>
          </cell>
        </row>
        <row r="1417">
          <cell r="E1417" t="str">
            <v>1403250520145617</v>
          </cell>
        </row>
        <row r="1418">
          <cell r="E1418" t="str">
            <v>1403250520145609</v>
          </cell>
        </row>
        <row r="1419">
          <cell r="E1419" t="str">
            <v>1403250520145601</v>
          </cell>
        </row>
        <row r="1420">
          <cell r="E1420" t="str">
            <v>1403250520145609</v>
          </cell>
        </row>
        <row r="1421">
          <cell r="E1421" t="str">
            <v>1403250520145544</v>
          </cell>
        </row>
        <row r="1422">
          <cell r="E1422" t="str">
            <v>1403250520145617</v>
          </cell>
        </row>
        <row r="1423">
          <cell r="E1423" t="str">
            <v>1403250520145544</v>
          </cell>
        </row>
        <row r="1424">
          <cell r="E1424" t="str">
            <v>1403250520145609</v>
          </cell>
        </row>
        <row r="1425">
          <cell r="E1425" t="str">
            <v>1403250520145617</v>
          </cell>
        </row>
        <row r="1426">
          <cell r="E1426" t="str">
            <v>1403250520145553</v>
          </cell>
        </row>
        <row r="1427">
          <cell r="E1427" t="str">
            <v>1403250520145601</v>
          </cell>
        </row>
        <row r="1428">
          <cell r="E1428" t="str">
            <v>1403250520145601</v>
          </cell>
        </row>
        <row r="1429">
          <cell r="E1429" t="str">
            <v>1403250520145553</v>
          </cell>
        </row>
        <row r="1430">
          <cell r="E1430" t="str">
            <v>1403250523113908</v>
          </cell>
        </row>
        <row r="1431">
          <cell r="E1431" t="str">
            <v>1403250523113908</v>
          </cell>
        </row>
        <row r="1432">
          <cell r="E1432" t="str">
            <v>1403250527144917</v>
          </cell>
        </row>
        <row r="1433">
          <cell r="E1433" t="str">
            <v>1403250527144908</v>
          </cell>
        </row>
        <row r="1434">
          <cell r="E1434" t="str">
            <v>1403250527144847</v>
          </cell>
        </row>
        <row r="1435">
          <cell r="E1435" t="str">
            <v>1403250527144857</v>
          </cell>
        </row>
        <row r="1436">
          <cell r="E1436" t="str">
            <v>1403250527144857</v>
          </cell>
        </row>
        <row r="1437">
          <cell r="E1437" t="str">
            <v>1403250527144840</v>
          </cell>
        </row>
        <row r="1438">
          <cell r="E1438" t="str">
            <v>1403250527144917</v>
          </cell>
        </row>
        <row r="1439">
          <cell r="E1439" t="str">
            <v>1403250527144840</v>
          </cell>
        </row>
        <row r="1440">
          <cell r="E1440" t="str">
            <v>1403250527144840</v>
          </cell>
        </row>
        <row r="1441">
          <cell r="E1441" t="str">
            <v>1403250527144840</v>
          </cell>
        </row>
        <row r="1442">
          <cell r="E1442" t="str">
            <v>1403250530170134</v>
          </cell>
        </row>
        <row r="1443">
          <cell r="E1443" t="str">
            <v>1403250530170151</v>
          </cell>
        </row>
        <row r="1444">
          <cell r="E1444" t="str">
            <v>1403250530170159</v>
          </cell>
        </row>
        <row r="1445">
          <cell r="E1445" t="str">
            <v>1403250530170143</v>
          </cell>
        </row>
        <row r="1446">
          <cell r="E1446" t="str">
            <v>1403250603165708</v>
          </cell>
        </row>
        <row r="1447">
          <cell r="E1447" t="str">
            <v>1403250603165725</v>
          </cell>
        </row>
        <row r="1448">
          <cell r="E1448" t="str">
            <v>1403250603165659</v>
          </cell>
        </row>
        <row r="1449">
          <cell r="E1449" t="str">
            <v>1403250603165644</v>
          </cell>
        </row>
        <row r="1450">
          <cell r="E1450" t="str">
            <v>1403250603165717</v>
          </cell>
        </row>
        <row r="1451">
          <cell r="E1451" t="str">
            <v>1403250603165644</v>
          </cell>
        </row>
        <row r="1452">
          <cell r="E1452" t="str">
            <v>1403250603165644</v>
          </cell>
        </row>
        <row r="1453">
          <cell r="E1453" t="str">
            <v>1403250603165717</v>
          </cell>
        </row>
        <row r="1454">
          <cell r="E1454" t="str">
            <v>1403250606113208</v>
          </cell>
        </row>
        <row r="1455">
          <cell r="E1455" t="str">
            <v>1403250611102315</v>
          </cell>
        </row>
        <row r="1456">
          <cell r="E1456" t="str">
            <v>1403250611102330</v>
          </cell>
        </row>
        <row r="1457">
          <cell r="E1457" t="str">
            <v>1403250611102258</v>
          </cell>
        </row>
        <row r="1458">
          <cell r="E1458" t="str">
            <v>1403250611102323</v>
          </cell>
        </row>
        <row r="1459">
          <cell r="E1459" t="str">
            <v>1403250611102258</v>
          </cell>
        </row>
        <row r="1460">
          <cell r="E1460" t="str">
            <v>1403250611102258</v>
          </cell>
        </row>
        <row r="1461">
          <cell r="E1461" t="str">
            <v>1403250611102258</v>
          </cell>
        </row>
        <row r="1462">
          <cell r="E1462" t="str">
            <v>1403250613153237</v>
          </cell>
        </row>
        <row r="1463">
          <cell r="E1463" t="str">
            <v>1403250616143638</v>
          </cell>
        </row>
        <row r="1464">
          <cell r="E1464" t="str">
            <v>1403250616143610</v>
          </cell>
        </row>
        <row r="1465">
          <cell r="E1465" t="str">
            <v>1403250616143638</v>
          </cell>
        </row>
        <row r="1466">
          <cell r="E1466" t="str">
            <v>1403250616143610</v>
          </cell>
        </row>
        <row r="1467">
          <cell r="E1467" t="str">
            <v>1403250616143610</v>
          </cell>
        </row>
        <row r="1468">
          <cell r="E1468" t="str">
            <v>1403250616143610</v>
          </cell>
        </row>
        <row r="1469">
          <cell r="E1469" t="str">
            <v>1403250618102221</v>
          </cell>
        </row>
        <row r="1470">
          <cell r="E1470" t="str">
            <v>1403250620153236</v>
          </cell>
        </row>
        <row r="1471">
          <cell r="E1471" t="str">
            <v>1403250623112918</v>
          </cell>
        </row>
        <row r="1472">
          <cell r="E1472" t="str">
            <v>1403250623112859</v>
          </cell>
        </row>
        <row r="1473">
          <cell r="E1473" t="str">
            <v>1403250623112923</v>
          </cell>
        </row>
        <row r="1474">
          <cell r="E1474" t="str">
            <v>1403250623112859</v>
          </cell>
        </row>
        <row r="1475">
          <cell r="E1475" t="str">
            <v>1403250623112918</v>
          </cell>
        </row>
        <row r="1476">
          <cell r="E1476" t="str">
            <v>1403250623112923</v>
          </cell>
        </row>
        <row r="1477">
          <cell r="E1477" t="str">
            <v>1403250623112918</v>
          </cell>
        </row>
        <row r="1478">
          <cell r="E1478" t="str">
            <v>1403250701102653</v>
          </cell>
        </row>
        <row r="1479">
          <cell r="E1479" t="str">
            <v>1403250701102701</v>
          </cell>
        </row>
        <row r="1480">
          <cell r="E1480" t="str">
            <v>1403250701102710</v>
          </cell>
        </row>
        <row r="1481">
          <cell r="E1481" t="str">
            <v>1403250701102710</v>
          </cell>
        </row>
        <row r="1482">
          <cell r="E1482" t="str">
            <v>1403250701102710</v>
          </cell>
        </row>
        <row r="1483">
          <cell r="E1483" t="str">
            <v>1403250701102710</v>
          </cell>
        </row>
        <row r="1484">
          <cell r="E1484" t="str">
            <v>1403250704111145</v>
          </cell>
        </row>
        <row r="1485">
          <cell r="E1485" t="str">
            <v>1403250707145003</v>
          </cell>
        </row>
        <row r="1486">
          <cell r="E1486" t="str">
            <v>1403250707145024</v>
          </cell>
        </row>
        <row r="1487">
          <cell r="E1487" t="str">
            <v>1403250711175021</v>
          </cell>
        </row>
        <row r="1488">
          <cell r="E1488" t="str">
            <v>1403250715153054</v>
          </cell>
        </row>
        <row r="1489">
          <cell r="E1489" t="str">
            <v>1403250715114540</v>
          </cell>
        </row>
        <row r="1490">
          <cell r="E1490" t="str">
            <v>1403250715114549</v>
          </cell>
        </row>
        <row r="1491">
          <cell r="E1491" t="str">
            <v>1403250716151842</v>
          </cell>
        </row>
        <row r="1492">
          <cell r="E1492" t="str">
            <v>1403202507302116</v>
          </cell>
        </row>
        <row r="1493">
          <cell r="E1493" t="str">
            <v>14032508041720</v>
          </cell>
        </row>
        <row r="1494">
          <cell r="E1494" t="str">
            <v>14032508041705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1155260204143241</v>
          </cell>
        </row>
        <row r="2">
          <cell r="A2" t="str">
            <v>1155260205110050</v>
          </cell>
        </row>
        <row r="3">
          <cell r="A3" t="str">
            <v>1403260207170726</v>
          </cell>
        </row>
        <row r="4">
          <cell r="A4" t="str">
            <v>1155260209102533</v>
          </cell>
        </row>
        <row r="5">
          <cell r="A5" t="str">
            <v>1155260209102539</v>
          </cell>
        </row>
        <row r="6">
          <cell r="A6" t="str">
            <v>1155260214111445</v>
          </cell>
        </row>
        <row r="7">
          <cell r="A7" t="str">
            <v>1155260214231745</v>
          </cell>
        </row>
        <row r="8">
          <cell r="A8" t="str">
            <v>1155260214112007</v>
          </cell>
        </row>
        <row r="9">
          <cell r="A9" t="str">
            <v>1155260214111956</v>
          </cell>
        </row>
        <row r="10">
          <cell r="A10" t="str">
            <v>1155260226163634</v>
          </cell>
        </row>
        <row r="11">
          <cell r="A11" t="str">
            <v>1155260228180002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71"/>
  <sheetViews>
    <sheetView workbookViewId="0">
      <pane ySplit="1" topLeftCell="A41" activePane="bottomLeft" state="frozen"/>
      <selection activeCell="A1" sqref="A1"/>
      <selection pane="bottomLeft" activeCell="K261" sqref="K261"/>
    </sheetView>
  </sheetViews>
  <sheetFormatPr baseColWidth="8" defaultColWidth="8.66666666666667" defaultRowHeight="13.5"/>
  <cols>
    <col width="8.66666666666667" customWidth="1" style="624" min="1" max="1"/>
    <col hidden="1" width="12.4166666666667" customWidth="1" style="552" min="2" max="2"/>
    <col width="16.4166666666667" customWidth="1" style="552" min="3" max="3"/>
    <col width="13.6666666666667" customWidth="1" style="552" min="4" max="4"/>
    <col width="12.3333333333333" customWidth="1" style="624" min="5" max="5"/>
    <col width="14.3333333333333" customWidth="1" style="624" min="6" max="6"/>
    <col width="14" customWidth="1" style="624" min="7" max="7"/>
    <col width="13.25" customWidth="1" style="625" min="8" max="8"/>
    <col width="15" customWidth="1" style="624" min="9" max="9"/>
    <col width="11.0833333333333" customWidth="1" style="624" min="10" max="10"/>
    <col width="12.3333333333333" customWidth="1" style="624" min="11" max="11"/>
    <col width="17.5833333333333" customWidth="1" style="624" min="12" max="12"/>
    <col width="8.66666666666667" customWidth="1" style="624" min="13" max="16384"/>
  </cols>
  <sheetData>
    <row r="1">
      <c r="A1" s="626" t="inlineStr">
        <is>
          <t>序号</t>
        </is>
      </c>
      <c r="B1" s="556" t="inlineStr">
        <is>
          <t>抬头</t>
        </is>
      </c>
      <c r="C1" s="556" t="inlineStr">
        <is>
          <t>出货日期</t>
        </is>
      </c>
      <c r="D1" s="556" t="inlineStr">
        <is>
          <t>主体</t>
        </is>
      </c>
      <c r="E1" s="626" t="inlineStr">
        <is>
          <t>测试厂</t>
        </is>
      </c>
      <c r="F1" s="626" t="inlineStr">
        <is>
          <t>型号</t>
        </is>
      </c>
      <c r="G1" s="626" t="inlineStr">
        <is>
          <t>物料编码</t>
        </is>
      </c>
      <c r="H1" s="627" t="inlineStr">
        <is>
          <t>数量</t>
        </is>
      </c>
      <c r="I1" s="626" t="inlineStr">
        <is>
          <t>采购订单号</t>
        </is>
      </c>
      <c r="J1" s="626" t="inlineStr">
        <is>
          <t>单价</t>
        </is>
      </c>
      <c r="K1" s="628" t="inlineStr">
        <is>
          <t>备注</t>
        </is>
      </c>
      <c r="L1" s="586" t="n">
        <v>10000900</v>
      </c>
    </row>
    <row r="2">
      <c r="A2" s="629" t="n">
        <v>1</v>
      </c>
      <c r="B2" s="572" t="inlineStr">
        <is>
          <t>HK Bitmain</t>
        </is>
      </c>
      <c r="C2" s="587" t="n">
        <v>44565</v>
      </c>
      <c r="D2" s="630" t="inlineStr">
        <is>
          <t>世纪云芯</t>
        </is>
      </c>
      <c r="E2" s="629" t="inlineStr">
        <is>
          <t>XJ</t>
        </is>
      </c>
      <c r="F2" s="629" t="inlineStr">
        <is>
          <t>BM1362AA</t>
        </is>
      </c>
      <c r="G2" s="629" t="inlineStr">
        <is>
          <t>Y09BM1362A00</t>
        </is>
      </c>
      <c r="H2" s="631" t="n">
        <v>1441</v>
      </c>
      <c r="I2" s="632" t="n">
        <v>202201040015</v>
      </c>
      <c r="J2" s="629" t="n">
        <v>3.3</v>
      </c>
      <c r="K2" s="629" t="n"/>
    </row>
    <row r="3">
      <c r="A3" s="629" t="n">
        <v>2</v>
      </c>
      <c r="B3" s="572" t="inlineStr">
        <is>
          <t>HK Bitmain</t>
        </is>
      </c>
      <c r="C3" s="587" t="n">
        <v>44565</v>
      </c>
      <c r="D3" s="630" t="inlineStr">
        <is>
          <t>世纪云芯</t>
        </is>
      </c>
      <c r="E3" s="629" t="inlineStr">
        <is>
          <t>XJ</t>
        </is>
      </c>
      <c r="F3" s="629" t="inlineStr">
        <is>
          <t>BM1362AC</t>
        </is>
      </c>
      <c r="G3" s="629" t="inlineStr">
        <is>
          <t>Y09BM1362C00</t>
        </is>
      </c>
      <c r="H3" s="631" t="n">
        <v>139912</v>
      </c>
      <c r="I3" s="632" t="n">
        <v>202201040015</v>
      </c>
      <c r="J3" s="629" t="n">
        <v>3.3</v>
      </c>
      <c r="K3" s="629" t="n"/>
    </row>
    <row r="4">
      <c r="A4" s="629" t="n">
        <v>3</v>
      </c>
      <c r="B4" s="572" t="inlineStr">
        <is>
          <t>HK Bitmain</t>
        </is>
      </c>
      <c r="C4" s="587" t="n">
        <v>44565</v>
      </c>
      <c r="D4" s="630" t="inlineStr">
        <is>
          <t>世纪云芯</t>
        </is>
      </c>
      <c r="E4" s="629" t="inlineStr">
        <is>
          <t>XJ</t>
        </is>
      </c>
      <c r="F4" s="629" t="inlineStr">
        <is>
          <t>BM1398BB</t>
        </is>
      </c>
      <c r="G4" s="629" t="inlineStr">
        <is>
          <t>Y09BM1398240</t>
        </is>
      </c>
      <c r="H4" s="631" t="n">
        <v>439315</v>
      </c>
      <c r="I4" s="632" t="n">
        <v>202201040015</v>
      </c>
      <c r="J4" s="629" t="n">
        <v>6.1</v>
      </c>
      <c r="K4" s="629" t="n"/>
    </row>
    <row r="5">
      <c r="A5" s="629" t="n">
        <v>4</v>
      </c>
      <c r="B5" s="572" t="inlineStr">
        <is>
          <t>HK Bitmain</t>
        </is>
      </c>
      <c r="C5" s="587" t="n">
        <v>44565</v>
      </c>
      <c r="D5" s="630" t="inlineStr">
        <is>
          <t>世纪云芯</t>
        </is>
      </c>
      <c r="E5" s="629" t="inlineStr">
        <is>
          <t>XJ</t>
        </is>
      </c>
      <c r="F5" s="629" t="inlineStr">
        <is>
          <t>BM1725AA</t>
        </is>
      </c>
      <c r="G5" s="629" t="inlineStr">
        <is>
          <t>Y09BM1725000</t>
        </is>
      </c>
      <c r="H5" s="631" t="n">
        <v>154</v>
      </c>
      <c r="I5" s="632" t="n">
        <v>202201040015</v>
      </c>
      <c r="J5" s="629" t="n">
        <v>12</v>
      </c>
      <c r="K5" s="629" t="n"/>
    </row>
    <row r="6">
      <c r="A6" s="629" t="n">
        <v>5</v>
      </c>
      <c r="B6" s="572" t="inlineStr">
        <is>
          <t>HK Bitmain</t>
        </is>
      </c>
      <c r="C6" s="587" t="n">
        <v>44565</v>
      </c>
      <c r="D6" s="630" t="inlineStr">
        <is>
          <t>世纪云芯</t>
        </is>
      </c>
      <c r="E6" s="629" t="inlineStr">
        <is>
          <t>XJ</t>
        </is>
      </c>
      <c r="F6" s="629" t="inlineStr">
        <is>
          <t>BM1746AA</t>
        </is>
      </c>
      <c r="G6" s="629" t="inlineStr">
        <is>
          <t>Y09BM1746010</t>
        </is>
      </c>
      <c r="H6" s="631" t="n">
        <v>67</v>
      </c>
      <c r="I6" s="632" t="n">
        <v>202201040015</v>
      </c>
      <c r="J6" s="629" t="n">
        <v>81.65000000000001</v>
      </c>
      <c r="K6" s="629" t="n"/>
    </row>
    <row r="7">
      <c r="A7" s="629" t="n">
        <v>6</v>
      </c>
      <c r="B7" s="572" t="inlineStr">
        <is>
          <t>HK Bitmain</t>
        </is>
      </c>
      <c r="C7" s="587" t="n">
        <v>44565</v>
      </c>
      <c r="D7" s="630" t="inlineStr">
        <is>
          <t>智能云芯</t>
        </is>
      </c>
      <c r="E7" s="629" t="inlineStr">
        <is>
          <t>XJ</t>
        </is>
      </c>
      <c r="F7" s="629" t="inlineStr">
        <is>
          <t>BM1684AE</t>
        </is>
      </c>
      <c r="G7" s="629" t="inlineStr">
        <is>
          <t>Y09BM1684440</t>
        </is>
      </c>
      <c r="H7" s="631" t="n">
        <v>2250</v>
      </c>
      <c r="I7" s="633" t="n">
        <v>202201040002</v>
      </c>
      <c r="J7" s="629" t="n">
        <v>41.19</v>
      </c>
      <c r="K7" s="629" t="n"/>
    </row>
    <row r="8">
      <c r="A8" s="629" t="n">
        <v>7</v>
      </c>
      <c r="B8" s="572" t="inlineStr">
        <is>
          <t>HK Bitmain</t>
        </is>
      </c>
      <c r="C8" s="587" t="n">
        <v>44566</v>
      </c>
      <c r="D8" s="630" t="inlineStr">
        <is>
          <t>世纪云芯</t>
        </is>
      </c>
      <c r="E8" s="629" t="inlineStr">
        <is>
          <t>XJ</t>
        </is>
      </c>
      <c r="F8" s="629" t="inlineStr">
        <is>
          <t>BM1746AA</t>
        </is>
      </c>
      <c r="G8" s="629" t="inlineStr">
        <is>
          <t>Y09BM1746010</t>
        </is>
      </c>
      <c r="H8" s="631" t="n">
        <v>6319</v>
      </c>
      <c r="I8" s="632" t="n">
        <v>202201050010</v>
      </c>
      <c r="J8" s="629" t="n">
        <v>81.65000000000001</v>
      </c>
      <c r="K8" s="629" t="n"/>
    </row>
    <row r="9">
      <c r="A9" s="629" t="n">
        <v>8</v>
      </c>
      <c r="B9" s="572" t="inlineStr">
        <is>
          <t>HK Bitmain</t>
        </is>
      </c>
      <c r="C9" s="587" t="n">
        <v>44566</v>
      </c>
      <c r="D9" s="630" t="inlineStr">
        <is>
          <t>世纪云芯</t>
        </is>
      </c>
      <c r="E9" s="629" t="inlineStr">
        <is>
          <t>捷策创</t>
        </is>
      </c>
      <c r="F9" s="629" t="inlineStr">
        <is>
          <t>BM1362AC</t>
        </is>
      </c>
      <c r="G9" s="629" t="inlineStr">
        <is>
          <t>Y09BM1362C00</t>
        </is>
      </c>
      <c r="H9" s="631" t="n">
        <v>366684</v>
      </c>
      <c r="I9" s="632" t="n">
        <v>202201050011</v>
      </c>
      <c r="J9" s="629" t="n">
        <v>3.3</v>
      </c>
      <c r="K9" s="629" t="n"/>
    </row>
    <row r="10">
      <c r="A10" s="629" t="n">
        <v>9</v>
      </c>
      <c r="B10" s="572" t="inlineStr">
        <is>
          <t>HK Bitmain</t>
        </is>
      </c>
      <c r="C10" s="587" t="n">
        <v>44566</v>
      </c>
      <c r="D10" s="630" t="inlineStr">
        <is>
          <t>世纪云芯</t>
        </is>
      </c>
      <c r="E10" s="629" t="inlineStr">
        <is>
          <t>捷策创</t>
        </is>
      </c>
      <c r="F10" s="629" t="inlineStr">
        <is>
          <t>BM1398BB</t>
        </is>
      </c>
      <c r="G10" s="629" t="inlineStr">
        <is>
          <t>Y09BM1398240</t>
        </is>
      </c>
      <c r="H10" s="631" t="n">
        <v>1552171</v>
      </c>
      <c r="I10" s="632" t="n">
        <v>202201050012</v>
      </c>
      <c r="J10" s="629" t="n">
        <v>6.1</v>
      </c>
      <c r="K10" s="629" t="inlineStr">
        <is>
          <t>发厦门</t>
        </is>
      </c>
    </row>
    <row r="11">
      <c r="A11" s="629" t="n">
        <v>10</v>
      </c>
      <c r="B11" s="572" t="inlineStr">
        <is>
          <t>HK Bitmain</t>
        </is>
      </c>
      <c r="C11" s="587" t="n">
        <v>44567</v>
      </c>
      <c r="D11" s="630" t="inlineStr">
        <is>
          <t>世纪云芯</t>
        </is>
      </c>
      <c r="E11" s="629" t="inlineStr">
        <is>
          <t>XJ</t>
        </is>
      </c>
      <c r="F11" s="629" t="inlineStr">
        <is>
          <t>BM1362AA</t>
        </is>
      </c>
      <c r="G11" s="629" t="inlineStr">
        <is>
          <t>Y09BM1362A00</t>
        </is>
      </c>
      <c r="H11" s="631" t="n">
        <v>5280</v>
      </c>
      <c r="I11" s="632" t="n">
        <v>202201060012</v>
      </c>
      <c r="J11" s="629" t="n">
        <v>3.3</v>
      </c>
      <c r="K11" s="629" t="n"/>
    </row>
    <row r="12">
      <c r="A12" s="629" t="n">
        <v>11</v>
      </c>
      <c r="B12" s="572" t="inlineStr">
        <is>
          <t>HK Bitmain</t>
        </is>
      </c>
      <c r="C12" s="587" t="n">
        <v>44567</v>
      </c>
      <c r="D12" s="630" t="inlineStr">
        <is>
          <t>世纪云芯</t>
        </is>
      </c>
      <c r="E12" s="629" t="inlineStr">
        <is>
          <t>XJ</t>
        </is>
      </c>
      <c r="F12" s="629" t="inlineStr">
        <is>
          <t>BM1362AC</t>
        </is>
      </c>
      <c r="G12" s="629" t="inlineStr">
        <is>
          <t>Y09BM1362C00</t>
        </is>
      </c>
      <c r="H12" s="631" t="n">
        <v>619229</v>
      </c>
      <c r="I12" s="632" t="n">
        <v>202201060012</v>
      </c>
      <c r="J12" s="629" t="n">
        <v>3.3</v>
      </c>
      <c r="K12" s="629" t="n"/>
    </row>
    <row r="13">
      <c r="A13" s="629" t="n">
        <v>12</v>
      </c>
      <c r="B13" s="572" t="inlineStr">
        <is>
          <t>HK Bitmain</t>
        </is>
      </c>
      <c r="C13" s="587" t="n">
        <v>44567</v>
      </c>
      <c r="D13" s="630" t="inlineStr">
        <is>
          <t>世纪云芯</t>
        </is>
      </c>
      <c r="E13" s="629" t="inlineStr">
        <is>
          <t>XJ</t>
        </is>
      </c>
      <c r="F13" s="629" t="inlineStr">
        <is>
          <t>BM1362AI</t>
        </is>
      </c>
      <c r="G13" s="629" t="inlineStr">
        <is>
          <t>Y09BM1362110</t>
        </is>
      </c>
      <c r="H13" s="631" t="n">
        <v>18407</v>
      </c>
      <c r="I13" s="632" t="n">
        <v>202201060012</v>
      </c>
      <c r="J13" s="629" t="n">
        <v>3.3</v>
      </c>
      <c r="K13" s="629" t="n"/>
    </row>
    <row r="14">
      <c r="A14" s="629" t="n">
        <v>13</v>
      </c>
      <c r="B14" s="572" t="inlineStr">
        <is>
          <t>HK Bitmain</t>
        </is>
      </c>
      <c r="C14" s="587" t="n">
        <v>44567</v>
      </c>
      <c r="D14" s="630" t="inlineStr">
        <is>
          <t>世纪云芯</t>
        </is>
      </c>
      <c r="E14" s="629" t="inlineStr">
        <is>
          <t>XJ</t>
        </is>
      </c>
      <c r="F14" s="629" t="inlineStr">
        <is>
          <t>BM1489</t>
        </is>
      </c>
      <c r="G14" s="629" t="inlineStr">
        <is>
          <t>Y09BM1489010</t>
        </is>
      </c>
      <c r="H14" s="631" t="n">
        <v>185369</v>
      </c>
      <c r="I14" s="632" t="n">
        <v>202201060012</v>
      </c>
      <c r="J14" s="629" t="n">
        <v>6.22</v>
      </c>
      <c r="K14" s="629" t="n"/>
    </row>
    <row r="15">
      <c r="A15" s="629" t="n">
        <v>14</v>
      </c>
      <c r="B15" s="572" t="inlineStr">
        <is>
          <t>HK Bitmain</t>
        </is>
      </c>
      <c r="C15" s="587" t="n">
        <v>44567</v>
      </c>
      <c r="D15" s="630" t="inlineStr">
        <is>
          <t>世纪云芯</t>
        </is>
      </c>
      <c r="E15" s="629" t="inlineStr">
        <is>
          <t>XJ</t>
        </is>
      </c>
      <c r="F15" s="629" t="inlineStr">
        <is>
          <t>BM1746AA</t>
        </is>
      </c>
      <c r="G15" s="629" t="inlineStr">
        <is>
          <t>Y09BM1746010</t>
        </is>
      </c>
      <c r="H15" s="631" t="n">
        <v>194</v>
      </c>
      <c r="I15" s="632" t="n">
        <v>202201060012</v>
      </c>
      <c r="J15" s="629" t="n">
        <v>81.65000000000001</v>
      </c>
      <c r="K15" s="629" t="n"/>
    </row>
    <row r="16">
      <c r="A16" s="629" t="n">
        <v>15</v>
      </c>
      <c r="B16" s="572" t="inlineStr">
        <is>
          <t>HK Bitmain</t>
        </is>
      </c>
      <c r="C16" s="587" t="n">
        <v>44568</v>
      </c>
      <c r="D16" s="630" t="inlineStr">
        <is>
          <t>世纪云芯</t>
        </is>
      </c>
      <c r="E16" s="629" t="inlineStr">
        <is>
          <t>捷策创</t>
        </is>
      </c>
      <c r="F16" s="629" t="inlineStr">
        <is>
          <t>BM1398BB</t>
        </is>
      </c>
      <c r="G16" s="629" t="inlineStr">
        <is>
          <t>Y09BM1398240</t>
        </is>
      </c>
      <c r="H16" s="631" t="n">
        <v>92274</v>
      </c>
      <c r="I16" s="632" t="n">
        <v>202201070039</v>
      </c>
      <c r="J16" s="629" t="n">
        <v>6.1</v>
      </c>
      <c r="K16" s="629" t="inlineStr">
        <is>
          <t>发厦门</t>
        </is>
      </c>
    </row>
    <row r="17">
      <c r="A17" s="629" t="n">
        <v>16</v>
      </c>
      <c r="B17" s="572" t="inlineStr">
        <is>
          <t>HK Bitmain</t>
        </is>
      </c>
      <c r="C17" s="587" t="n">
        <v>44568</v>
      </c>
      <c r="D17" s="630" t="inlineStr">
        <is>
          <t>智能云芯</t>
        </is>
      </c>
      <c r="E17" s="629" t="inlineStr">
        <is>
          <t>XJ</t>
        </is>
      </c>
      <c r="F17" s="629" t="inlineStr">
        <is>
          <t>BM1684AE</t>
        </is>
      </c>
      <c r="G17" s="629" t="inlineStr">
        <is>
          <t>Y09BM1684440</t>
        </is>
      </c>
      <c r="H17" s="631" t="n">
        <v>4555</v>
      </c>
      <c r="I17" s="632" t="n">
        <v>202201070004</v>
      </c>
      <c r="J17" s="629" t="n">
        <v>41.19</v>
      </c>
      <c r="K17" s="629" t="n"/>
    </row>
    <row r="18">
      <c r="A18" s="629" t="n">
        <v>17</v>
      </c>
      <c r="B18" s="572" t="n"/>
      <c r="C18" s="587" t="n">
        <v>44568</v>
      </c>
      <c r="D18" s="630" t="inlineStr">
        <is>
          <t>世纪云芯</t>
        </is>
      </c>
      <c r="E18" s="629" t="inlineStr">
        <is>
          <t>XJ</t>
        </is>
      </c>
      <c r="F18" s="629" t="inlineStr">
        <is>
          <t>BM1489</t>
        </is>
      </c>
      <c r="G18" s="629" t="inlineStr">
        <is>
          <t>Y09BM1489010</t>
        </is>
      </c>
      <c r="H18" s="631" t="n">
        <v>45198</v>
      </c>
      <c r="I18" s="632" t="n">
        <v>202201070004</v>
      </c>
      <c r="J18" s="629" t="n">
        <v>6.22</v>
      </c>
      <c r="K18" s="629" t="n"/>
    </row>
    <row r="19">
      <c r="A19" s="629" t="n">
        <v>18</v>
      </c>
      <c r="B19" s="572" t="n"/>
      <c r="C19" s="587" t="n">
        <v>44568</v>
      </c>
      <c r="D19" s="630" t="inlineStr">
        <is>
          <t>世纪云芯</t>
        </is>
      </c>
      <c r="E19" s="629" t="inlineStr">
        <is>
          <t>XJ</t>
        </is>
      </c>
      <c r="F19" s="629" t="inlineStr">
        <is>
          <t>BM1746AA</t>
        </is>
      </c>
      <c r="G19" s="629" t="inlineStr">
        <is>
          <t>Y09BM1746010</t>
        </is>
      </c>
      <c r="H19" s="631" t="n">
        <v>154</v>
      </c>
      <c r="I19" s="632" t="n">
        <v>202201090001</v>
      </c>
      <c r="J19" s="629" t="n">
        <v>81.65000000000001</v>
      </c>
      <c r="K19" s="629" t="n"/>
    </row>
    <row r="20">
      <c r="A20" s="629" t="n">
        <v>19</v>
      </c>
      <c r="B20" s="572" t="n"/>
      <c r="C20" s="587" t="n">
        <v>44568</v>
      </c>
      <c r="D20" s="630" t="inlineStr">
        <is>
          <t>世纪云芯</t>
        </is>
      </c>
      <c r="E20" s="629" t="inlineStr">
        <is>
          <t>HN</t>
        </is>
      </c>
      <c r="F20" s="629" t="inlineStr">
        <is>
          <t>BM1362AJ</t>
        </is>
      </c>
      <c r="G20" s="629" t="inlineStr">
        <is>
          <t>Y09BM1362210</t>
        </is>
      </c>
      <c r="H20" s="631" t="n">
        <v>9272</v>
      </c>
      <c r="I20" s="632" t="n">
        <v>202201090002</v>
      </c>
      <c r="J20" s="629" t="n">
        <v>3.3</v>
      </c>
      <c r="K20" s="629" t="n"/>
    </row>
    <row r="21">
      <c r="A21" s="629" t="n">
        <v>20</v>
      </c>
      <c r="B21" s="572" t="n"/>
      <c r="C21" s="587" t="n">
        <v>44568</v>
      </c>
      <c r="D21" s="630" t="inlineStr">
        <is>
          <t>世纪云芯</t>
        </is>
      </c>
      <c r="E21" s="629" t="inlineStr">
        <is>
          <t>Vtest</t>
        </is>
      </c>
      <c r="F21" s="629" t="inlineStr">
        <is>
          <t>BM1362AC</t>
        </is>
      </c>
      <c r="G21" s="629" t="inlineStr">
        <is>
          <t>Y09BM1362C00</t>
        </is>
      </c>
      <c r="H21" s="631" t="n">
        <v>401661</v>
      </c>
      <c r="I21" s="632" t="n">
        <v>202201090003</v>
      </c>
      <c r="J21" s="629" t="n">
        <v>3.3</v>
      </c>
      <c r="K21" s="629" t="n"/>
    </row>
    <row r="22">
      <c r="A22" s="629" t="n">
        <v>21</v>
      </c>
      <c r="B22" s="572" t="n"/>
      <c r="C22" s="587" t="n">
        <v>44571</v>
      </c>
      <c r="D22" s="630" t="inlineStr">
        <is>
          <t>世纪云芯</t>
        </is>
      </c>
      <c r="E22" s="629" t="inlineStr">
        <is>
          <t>XJ</t>
        </is>
      </c>
      <c r="F22" s="629" t="inlineStr">
        <is>
          <t>BM1398BB</t>
        </is>
      </c>
      <c r="G22" s="629" t="inlineStr">
        <is>
          <t>Y09BM1398240</t>
        </is>
      </c>
      <c r="H22" s="631" t="n">
        <v>91214</v>
      </c>
      <c r="I22" s="632" t="n">
        <v>202201110020</v>
      </c>
      <c r="J22" s="629" t="n">
        <v>6.1</v>
      </c>
      <c r="K22" s="629" t="inlineStr">
        <is>
          <t>发厦门</t>
        </is>
      </c>
    </row>
    <row r="23">
      <c r="A23" s="629" t="n">
        <v>22</v>
      </c>
      <c r="B23" s="572" t="n"/>
      <c r="C23" s="587" t="n">
        <v>44571</v>
      </c>
      <c r="D23" s="630" t="inlineStr">
        <is>
          <t>世纪云芯</t>
        </is>
      </c>
      <c r="E23" s="629" t="inlineStr">
        <is>
          <t>XJ</t>
        </is>
      </c>
      <c r="F23" s="629" t="inlineStr">
        <is>
          <t>BM1489</t>
        </is>
      </c>
      <c r="G23" s="629" t="inlineStr">
        <is>
          <t>Y09BM1489010</t>
        </is>
      </c>
      <c r="H23" s="631" t="n">
        <v>155937</v>
      </c>
      <c r="I23" s="632" t="n">
        <v>202201110019</v>
      </c>
      <c r="J23" s="629" t="n">
        <v>6.22</v>
      </c>
      <c r="K23" s="629" t="n"/>
    </row>
    <row r="24">
      <c r="A24" s="629" t="n">
        <v>23</v>
      </c>
      <c r="B24" s="572" t="n"/>
      <c r="C24" s="587" t="n">
        <v>44571</v>
      </c>
      <c r="D24" s="630" t="inlineStr">
        <is>
          <t>世纪云芯</t>
        </is>
      </c>
      <c r="E24" s="629" t="inlineStr">
        <is>
          <t>XJ</t>
        </is>
      </c>
      <c r="F24" s="629" t="inlineStr">
        <is>
          <t>BM1746AA</t>
        </is>
      </c>
      <c r="G24" s="629" t="inlineStr">
        <is>
          <t>Y09BM1746010</t>
        </is>
      </c>
      <c r="H24" s="631" t="n">
        <v>2004</v>
      </c>
      <c r="I24" s="632" t="n">
        <v>202201110019</v>
      </c>
      <c r="J24" s="629" t="n">
        <v>81.65000000000001</v>
      </c>
      <c r="K24" s="629" t="n"/>
    </row>
    <row r="25">
      <c r="A25" s="629" t="n">
        <v>24</v>
      </c>
      <c r="B25" s="587" t="n"/>
      <c r="C25" s="587" t="n">
        <v>44571</v>
      </c>
      <c r="D25" s="629" t="inlineStr">
        <is>
          <t>智能云芯</t>
        </is>
      </c>
      <c r="E25" s="629" t="inlineStr">
        <is>
          <t>XJ</t>
        </is>
      </c>
      <c r="F25" s="629" t="inlineStr">
        <is>
          <t>BM1684AE</t>
        </is>
      </c>
      <c r="G25" s="629" t="inlineStr">
        <is>
          <t>Y09BM1684440</t>
        </is>
      </c>
      <c r="H25" s="631" t="n">
        <v>615</v>
      </c>
      <c r="I25" s="634" t="inlineStr">
        <is>
          <t>202201110004</t>
        </is>
      </c>
      <c r="J25" s="629" t="n">
        <v>41.19</v>
      </c>
    </row>
    <row r="26">
      <c r="A26" s="629" t="n">
        <v>25</v>
      </c>
      <c r="B26" s="587" t="n"/>
      <c r="C26" s="587" t="n">
        <v>44573</v>
      </c>
      <c r="D26" s="629" t="inlineStr">
        <is>
          <t>世纪云芯</t>
        </is>
      </c>
      <c r="E26" s="629" t="inlineStr">
        <is>
          <t>XJ</t>
        </is>
      </c>
      <c r="F26" s="629" t="inlineStr">
        <is>
          <t>BM1362AK</t>
        </is>
      </c>
      <c r="G26" s="629" t="inlineStr">
        <is>
          <t>Y09BM1362310</t>
        </is>
      </c>
      <c r="H26" s="631" t="n">
        <v>74602</v>
      </c>
      <c r="I26" s="634" t="inlineStr">
        <is>
          <t>202201120086</t>
        </is>
      </c>
      <c r="J26" s="629" t="n">
        <v>3.3</v>
      </c>
      <c r="L26" s="624" t="inlineStr">
        <is>
          <t>朗华</t>
        </is>
      </c>
    </row>
    <row r="27">
      <c r="A27" s="629" t="n">
        <v>26</v>
      </c>
      <c r="B27" s="587" t="n"/>
      <c r="C27" s="587" t="n">
        <v>44573</v>
      </c>
      <c r="D27" s="629" t="inlineStr">
        <is>
          <t>世纪云芯</t>
        </is>
      </c>
      <c r="E27" s="629" t="inlineStr">
        <is>
          <t>XJ</t>
        </is>
      </c>
      <c r="F27" s="629" t="inlineStr">
        <is>
          <t>BM1489</t>
        </is>
      </c>
      <c r="G27" s="629" t="inlineStr">
        <is>
          <t>Y09BM1489010</t>
        </is>
      </c>
      <c r="H27" s="631" t="n">
        <v>16334</v>
      </c>
      <c r="I27" s="634" t="inlineStr">
        <is>
          <t>202201120086</t>
        </is>
      </c>
      <c r="J27" s="629" t="n">
        <v>6.22</v>
      </c>
      <c r="L27" s="624" t="inlineStr">
        <is>
          <t>朗华</t>
        </is>
      </c>
    </row>
    <row r="28">
      <c r="A28" s="629" t="n">
        <v>27</v>
      </c>
      <c r="B28" s="587" t="n"/>
      <c r="C28" s="587" t="n">
        <v>44573</v>
      </c>
      <c r="D28" s="629" t="inlineStr">
        <is>
          <t>世纪云芯</t>
        </is>
      </c>
      <c r="E28" s="629" t="inlineStr">
        <is>
          <t>XJ</t>
        </is>
      </c>
      <c r="F28" s="629" t="inlineStr">
        <is>
          <t>BM1746AA</t>
        </is>
      </c>
      <c r="G28" s="629" t="inlineStr">
        <is>
          <t>Y09BM1746010</t>
        </is>
      </c>
      <c r="H28" s="631" t="n">
        <v>7754</v>
      </c>
      <c r="I28" s="634" t="inlineStr">
        <is>
          <t>202201120086</t>
        </is>
      </c>
      <c r="J28" s="629" t="n">
        <v>81.65000000000001</v>
      </c>
      <c r="L28" s="624" t="inlineStr">
        <is>
          <t>朗华</t>
        </is>
      </c>
    </row>
    <row r="29">
      <c r="A29" s="629" t="n">
        <v>28</v>
      </c>
      <c r="B29" s="587" t="n"/>
      <c r="C29" s="587" t="n">
        <v>44573</v>
      </c>
      <c r="D29" s="629" t="inlineStr">
        <is>
          <t>世纪云芯</t>
        </is>
      </c>
      <c r="E29" s="629" t="inlineStr">
        <is>
          <t>ASESH</t>
        </is>
      </c>
      <c r="F29" s="629" t="inlineStr">
        <is>
          <t>BM1362AC</t>
        </is>
      </c>
      <c r="G29" s="629" t="inlineStr">
        <is>
          <t>Y09BM1362C00</t>
        </is>
      </c>
      <c r="H29" s="631" t="n">
        <v>1284009</v>
      </c>
      <c r="I29" s="634" t="inlineStr">
        <is>
          <t>202201120087</t>
        </is>
      </c>
      <c r="J29" s="629" t="n">
        <v>3.3</v>
      </c>
      <c r="L29" s="624" t="inlineStr">
        <is>
          <t>世纪通</t>
        </is>
      </c>
    </row>
    <row r="30">
      <c r="A30" s="629" t="n">
        <v>29</v>
      </c>
      <c r="B30" s="587" t="n"/>
      <c r="C30" s="587" t="n">
        <v>44574</v>
      </c>
      <c r="D30" s="629" t="inlineStr">
        <is>
          <t>世纪云芯</t>
        </is>
      </c>
      <c r="E30" s="629" t="inlineStr">
        <is>
          <t>HN</t>
        </is>
      </c>
      <c r="F30" s="629" t="inlineStr">
        <is>
          <t>BM1489</t>
        </is>
      </c>
      <c r="G30" s="629" t="inlineStr">
        <is>
          <t>Y09BM1489010</t>
        </is>
      </c>
      <c r="H30" s="631" t="n">
        <v>98241</v>
      </c>
      <c r="I30" s="634" t="inlineStr">
        <is>
          <t>202201140039</t>
        </is>
      </c>
      <c r="J30" s="629" t="n">
        <v>6.22</v>
      </c>
    </row>
    <row r="31">
      <c r="A31" s="629" t="n">
        <v>30</v>
      </c>
      <c r="B31" s="587" t="n"/>
      <c r="C31" s="587" t="n">
        <v>44574</v>
      </c>
      <c r="D31" s="629" t="inlineStr">
        <is>
          <t>世纪云芯</t>
        </is>
      </c>
      <c r="E31" s="629" t="inlineStr">
        <is>
          <t>SCK</t>
        </is>
      </c>
      <c r="F31" s="635" t="inlineStr">
        <is>
          <t>BM1764AB</t>
        </is>
      </c>
      <c r="G31" s="629" t="inlineStr">
        <is>
          <t>Y09BM1764010</t>
        </is>
      </c>
      <c r="H31" s="631" t="n">
        <v>135</v>
      </c>
      <c r="I31" s="634" t="inlineStr">
        <is>
          <t>202201150006</t>
        </is>
      </c>
      <c r="J31" s="629" t="n">
        <v>3.44</v>
      </c>
      <c r="L31" s="624" t="inlineStr">
        <is>
          <t>富森</t>
        </is>
      </c>
    </row>
    <row r="32">
      <c r="A32" s="629" t="n">
        <v>31</v>
      </c>
      <c r="B32" s="587" t="n"/>
      <c r="C32" s="587" t="n">
        <v>44575</v>
      </c>
      <c r="D32" s="629" t="inlineStr">
        <is>
          <t>世纪云芯</t>
        </is>
      </c>
      <c r="E32" s="629" t="inlineStr">
        <is>
          <t>CMC</t>
        </is>
      </c>
      <c r="F32" s="629" t="inlineStr">
        <is>
          <t>BM1398BB</t>
        </is>
      </c>
      <c r="G32" s="629" t="inlineStr">
        <is>
          <t>Y09BM1398240</t>
        </is>
      </c>
      <c r="H32" s="631" t="n">
        <v>95142</v>
      </c>
      <c r="I32" s="634" t="inlineStr">
        <is>
          <t>202201150003</t>
        </is>
      </c>
      <c r="J32" s="629" t="n">
        <v>6.1</v>
      </c>
      <c r="L32" s="624" t="inlineStr">
        <is>
          <t>朗华</t>
        </is>
      </c>
    </row>
    <row r="33">
      <c r="A33" s="629" t="n">
        <v>32</v>
      </c>
      <c r="B33" s="587" t="n"/>
      <c r="C33" s="587" t="n">
        <v>44575</v>
      </c>
      <c r="D33" s="629" t="inlineStr">
        <is>
          <t>世纪云芯</t>
        </is>
      </c>
      <c r="E33" s="629" t="inlineStr">
        <is>
          <t>XJ</t>
        </is>
      </c>
      <c r="F33" s="629" t="inlineStr">
        <is>
          <t>BM1362AC</t>
        </is>
      </c>
      <c r="G33" s="629" t="inlineStr">
        <is>
          <t>Y09BM1362C00</t>
        </is>
      </c>
      <c r="H33" s="631" t="n">
        <v>50901</v>
      </c>
      <c r="I33" s="634" t="inlineStr">
        <is>
          <t>202201150004</t>
        </is>
      </c>
      <c r="J33" s="629" t="n">
        <v>3.3</v>
      </c>
      <c r="L33" s="624" t="inlineStr">
        <is>
          <t>迅宇</t>
        </is>
      </c>
    </row>
    <row r="34">
      <c r="A34" s="629" t="n">
        <v>33</v>
      </c>
      <c r="B34" s="587" t="n"/>
      <c r="C34" s="587" t="n">
        <v>44575</v>
      </c>
      <c r="D34" s="629" t="inlineStr">
        <is>
          <t>世纪云芯</t>
        </is>
      </c>
      <c r="E34" s="629" t="inlineStr">
        <is>
          <t>XJ</t>
        </is>
      </c>
      <c r="F34" s="629" t="inlineStr">
        <is>
          <t>BM1489</t>
        </is>
      </c>
      <c r="G34" s="629" t="inlineStr">
        <is>
          <t>Y09BM1489010</t>
        </is>
      </c>
      <c r="H34" s="631" t="n">
        <v>10742</v>
      </c>
      <c r="I34" s="634" t="inlineStr">
        <is>
          <t>202201150004</t>
        </is>
      </c>
      <c r="J34" s="629" t="n">
        <v>6.22</v>
      </c>
      <c r="L34" s="624" t="inlineStr">
        <is>
          <t>迅宇</t>
        </is>
      </c>
    </row>
    <row r="35">
      <c r="A35" s="629" t="n">
        <v>34</v>
      </c>
      <c r="B35" s="587" t="n"/>
      <c r="C35" s="587" t="n">
        <v>44575</v>
      </c>
      <c r="D35" s="629" t="inlineStr">
        <is>
          <t>世纪云芯</t>
        </is>
      </c>
      <c r="E35" s="629" t="inlineStr">
        <is>
          <t>XJ</t>
        </is>
      </c>
      <c r="F35" s="629" t="inlineStr">
        <is>
          <t>BM1746AA</t>
        </is>
      </c>
      <c r="G35" s="629" t="inlineStr">
        <is>
          <t>Y09BM1746010</t>
        </is>
      </c>
      <c r="H35" s="631" t="n">
        <v>8874</v>
      </c>
      <c r="I35" s="634" t="inlineStr">
        <is>
          <t>202201150004</t>
        </is>
      </c>
      <c r="J35" s="629" t="n">
        <v>81.65000000000001</v>
      </c>
      <c r="L35" s="624" t="inlineStr">
        <is>
          <t>迅宇</t>
        </is>
      </c>
    </row>
    <row r="36">
      <c r="A36" s="629" t="n">
        <v>35</v>
      </c>
      <c r="B36" s="587" t="n"/>
      <c r="C36" s="587" t="n">
        <v>44575</v>
      </c>
      <c r="D36" s="636" t="inlineStr">
        <is>
          <t>智能云芯</t>
        </is>
      </c>
      <c r="E36" s="629" t="inlineStr">
        <is>
          <t>XJ</t>
        </is>
      </c>
      <c r="F36" s="629" t="inlineStr">
        <is>
          <t>BM1684AE</t>
        </is>
      </c>
      <c r="G36" s="629" t="inlineStr">
        <is>
          <t>Y09BM1684440</t>
        </is>
      </c>
      <c r="H36" s="631" t="n">
        <v>228</v>
      </c>
      <c r="I36" s="634" t="inlineStr">
        <is>
          <t>202201150001</t>
        </is>
      </c>
      <c r="J36" s="629" t="n">
        <v>41.19</v>
      </c>
      <c r="L36" s="624" t="inlineStr">
        <is>
          <t>富森</t>
        </is>
      </c>
    </row>
    <row r="37">
      <c r="A37" s="629" t="n">
        <v>36</v>
      </c>
      <c r="B37" s="587" t="n"/>
      <c r="C37" s="587" t="n">
        <v>44578</v>
      </c>
      <c r="D37" s="629" t="inlineStr">
        <is>
          <t>世纪云芯</t>
        </is>
      </c>
      <c r="E37" s="629" t="inlineStr">
        <is>
          <t>XJ</t>
        </is>
      </c>
      <c r="F37" s="629" t="inlineStr">
        <is>
          <t>BM1489</t>
        </is>
      </c>
      <c r="G37" s="629" t="inlineStr">
        <is>
          <t>Y09BM1489010</t>
        </is>
      </c>
      <c r="H37" s="631" t="n">
        <v>5059</v>
      </c>
      <c r="I37" s="634" t="inlineStr">
        <is>
          <t>202201180026</t>
        </is>
      </c>
      <c r="J37" s="629" t="n">
        <v>6.22</v>
      </c>
      <c r="L37" s="624" t="inlineStr">
        <is>
          <t>朗华</t>
        </is>
      </c>
    </row>
    <row r="38">
      <c r="A38" s="629" t="n">
        <v>37</v>
      </c>
      <c r="B38" s="587" t="n"/>
      <c r="C38" s="587" t="n">
        <v>44578</v>
      </c>
      <c r="D38" s="629" t="inlineStr">
        <is>
          <t>世纪云芯</t>
        </is>
      </c>
      <c r="E38" s="629" t="inlineStr">
        <is>
          <t>XJ</t>
        </is>
      </c>
      <c r="F38" s="629" t="inlineStr">
        <is>
          <t>BM1746AA</t>
        </is>
      </c>
      <c r="G38" s="629" t="inlineStr">
        <is>
          <t>Y09BM1746010</t>
        </is>
      </c>
      <c r="H38" s="631" t="n">
        <v>7819</v>
      </c>
      <c r="I38" s="634" t="inlineStr">
        <is>
          <t>202201180026</t>
        </is>
      </c>
      <c r="J38" s="629" t="n">
        <v>81.65000000000001</v>
      </c>
      <c r="L38" s="624" t="inlineStr">
        <is>
          <t>朗华</t>
        </is>
      </c>
    </row>
    <row r="39">
      <c r="A39" s="629" t="n">
        <v>38</v>
      </c>
      <c r="B39" s="587" t="n"/>
      <c r="C39" s="587" t="n">
        <v>44578</v>
      </c>
      <c r="D39" s="629" t="inlineStr">
        <is>
          <t>世纪云芯</t>
        </is>
      </c>
      <c r="E39" s="629" t="inlineStr">
        <is>
          <t>HN</t>
        </is>
      </c>
      <c r="F39" s="629" t="inlineStr">
        <is>
          <t>BM1489</t>
        </is>
      </c>
      <c r="G39" s="629" t="inlineStr">
        <is>
          <t>Y09BM1489010</t>
        </is>
      </c>
      <c r="H39" s="631" t="n">
        <v>414470</v>
      </c>
      <c r="I39" s="634" t="inlineStr">
        <is>
          <t>202201180028</t>
        </is>
      </c>
      <c r="J39" s="629" t="n">
        <v>6.22</v>
      </c>
      <c r="L39" s="624" t="inlineStr">
        <is>
          <t>世纪通</t>
        </is>
      </c>
    </row>
    <row r="40">
      <c r="A40" s="629" t="n">
        <v>39</v>
      </c>
      <c r="B40" s="587" t="n"/>
      <c r="C40" s="587" t="n">
        <v>44578</v>
      </c>
      <c r="D40" s="629" t="inlineStr">
        <is>
          <t>世纪云芯</t>
        </is>
      </c>
      <c r="E40" s="629" t="inlineStr">
        <is>
          <t>SPILSZ</t>
        </is>
      </c>
      <c r="F40" s="629" t="inlineStr">
        <is>
          <t>BM1362AC</t>
        </is>
      </c>
      <c r="G40" s="629" t="inlineStr">
        <is>
          <t>Y09BM1362C00</t>
        </is>
      </c>
      <c r="H40" s="631" t="n">
        <v>44</v>
      </c>
      <c r="I40" s="634" t="inlineStr">
        <is>
          <t>202201190004</t>
        </is>
      </c>
      <c r="J40" s="629" t="n">
        <v>3.3</v>
      </c>
    </row>
    <row r="41">
      <c r="A41" s="629" t="n">
        <v>40</v>
      </c>
      <c r="B41" s="587" t="n"/>
      <c r="C41" s="587" t="n">
        <v>44578</v>
      </c>
      <c r="D41" s="629" t="inlineStr">
        <is>
          <t>世纪云芯</t>
        </is>
      </c>
      <c r="E41" s="629" t="inlineStr">
        <is>
          <t>ASESH</t>
        </is>
      </c>
      <c r="F41" s="629" t="inlineStr">
        <is>
          <t>BM1362AC</t>
        </is>
      </c>
      <c r="G41" s="629" t="inlineStr">
        <is>
          <t>Y09BM1362C00</t>
        </is>
      </c>
      <c r="H41" s="631" t="n">
        <v>5676</v>
      </c>
      <c r="I41" s="634" t="inlineStr">
        <is>
          <t>202201190005</t>
        </is>
      </c>
      <c r="J41" s="629" t="n">
        <v>3.3</v>
      </c>
      <c r="L41" s="624" t="inlineStr">
        <is>
          <t>富森</t>
        </is>
      </c>
    </row>
    <row r="42">
      <c r="A42" s="629" t="n">
        <v>41</v>
      </c>
      <c r="B42" s="587" t="n"/>
      <c r="C42" s="587" t="n">
        <v>44579</v>
      </c>
      <c r="D42" s="629" t="inlineStr">
        <is>
          <t>世纪云芯</t>
        </is>
      </c>
      <c r="E42" s="629" t="inlineStr">
        <is>
          <t>ASESH</t>
        </is>
      </c>
      <c r="F42" s="629" t="inlineStr">
        <is>
          <t>BM1362AC</t>
        </is>
      </c>
      <c r="G42" s="629" t="inlineStr">
        <is>
          <t>Y09BM1362C00</t>
        </is>
      </c>
      <c r="H42" s="631" t="n">
        <v>992</v>
      </c>
      <c r="I42" s="634" t="inlineStr">
        <is>
          <t>202201190006</t>
        </is>
      </c>
      <c r="J42" s="629" t="n">
        <v>3.3</v>
      </c>
      <c r="L42" s="624" t="inlineStr">
        <is>
          <t>富森</t>
        </is>
      </c>
    </row>
    <row r="43">
      <c r="A43" s="637" t="n">
        <v>42</v>
      </c>
      <c r="B43" s="587" t="n"/>
      <c r="C43" s="587" t="n">
        <v>44580</v>
      </c>
      <c r="D43" s="629" t="inlineStr">
        <is>
          <t>世纪云芯</t>
        </is>
      </c>
      <c r="E43" s="629" t="inlineStr">
        <is>
          <t>XJ</t>
        </is>
      </c>
      <c r="F43" s="629" t="inlineStr">
        <is>
          <t>BM1746AA</t>
        </is>
      </c>
      <c r="G43" s="629" t="inlineStr">
        <is>
          <t>Y09BM1746010</t>
        </is>
      </c>
      <c r="H43" s="631" t="n">
        <v>213</v>
      </c>
      <c r="I43" s="634" t="inlineStr">
        <is>
          <t>202201200011</t>
        </is>
      </c>
      <c r="J43" s="629" t="n">
        <v>81.65000000000001</v>
      </c>
      <c r="L43" s="624" t="inlineStr">
        <is>
          <t>迅宇</t>
        </is>
      </c>
    </row>
    <row r="44">
      <c r="A44" s="629" t="n">
        <v>43</v>
      </c>
      <c r="B44" s="587" t="n"/>
      <c r="C44" s="587" t="n">
        <v>44579</v>
      </c>
      <c r="D44" s="629" t="inlineStr">
        <is>
          <t>世纪云芯</t>
        </is>
      </c>
      <c r="E44" s="629" t="inlineStr">
        <is>
          <t>SCK</t>
        </is>
      </c>
      <c r="F44" s="629" t="inlineStr">
        <is>
          <t>BM1362AK</t>
        </is>
      </c>
      <c r="G44" s="629" t="inlineStr">
        <is>
          <t>Y09BM1362310</t>
        </is>
      </c>
      <c r="H44" s="629" t="n">
        <v>308</v>
      </c>
      <c r="I44" s="634" t="inlineStr">
        <is>
          <t>202201210011</t>
        </is>
      </c>
      <c r="J44" s="629" t="n">
        <v>4.07</v>
      </c>
      <c r="L44" s="624" t="inlineStr">
        <is>
          <t>富森</t>
        </is>
      </c>
    </row>
    <row r="45">
      <c r="A45" s="637" t="n">
        <v>44</v>
      </c>
      <c r="B45" s="587" t="n"/>
      <c r="C45" s="587" t="n">
        <v>44579</v>
      </c>
      <c r="D45" s="629" t="inlineStr">
        <is>
          <t>世纪云芯</t>
        </is>
      </c>
      <c r="E45" s="629" t="inlineStr">
        <is>
          <t>SCK</t>
        </is>
      </c>
      <c r="F45" s="629" t="inlineStr">
        <is>
          <t>BM1366AB</t>
        </is>
      </c>
      <c r="G45" s="629" t="inlineStr">
        <is>
          <t>Y09BM1366120</t>
        </is>
      </c>
      <c r="H45" s="629" t="n">
        <v>135</v>
      </c>
      <c r="I45" s="634" t="inlineStr">
        <is>
          <t>202201210011</t>
        </is>
      </c>
      <c r="J45" s="629" t="n">
        <v>4.72</v>
      </c>
      <c r="L45" s="624" t="inlineStr">
        <is>
          <t>富森</t>
        </is>
      </c>
    </row>
    <row r="46">
      <c r="A46" s="637" t="n">
        <v>45</v>
      </c>
      <c r="B46" s="587" t="n"/>
      <c r="C46" s="587" t="n">
        <v>44582</v>
      </c>
      <c r="D46" s="629" t="inlineStr">
        <is>
          <t>世纪云芯</t>
        </is>
      </c>
      <c r="E46" s="629" t="inlineStr">
        <is>
          <t>HN</t>
        </is>
      </c>
      <c r="F46" s="629" t="inlineStr">
        <is>
          <t>BM1489</t>
        </is>
      </c>
      <c r="G46" s="629" t="inlineStr">
        <is>
          <t>Y09BM1489010</t>
        </is>
      </c>
      <c r="H46" s="629" t="n">
        <v>224099</v>
      </c>
      <c r="I46" s="634" t="inlineStr">
        <is>
          <t>202201220004</t>
        </is>
      </c>
      <c r="J46" s="629" t="n">
        <v>6.22</v>
      </c>
      <c r="L46" s="624" t="inlineStr">
        <is>
          <t>朗华</t>
        </is>
      </c>
    </row>
    <row r="47">
      <c r="A47" s="629" t="n">
        <v>46</v>
      </c>
      <c r="B47" s="587" t="n"/>
      <c r="C47" s="587" t="n">
        <v>44582</v>
      </c>
      <c r="D47" s="629" t="inlineStr">
        <is>
          <t>世纪云芯</t>
        </is>
      </c>
      <c r="E47" s="629" t="inlineStr">
        <is>
          <t>XJ</t>
        </is>
      </c>
      <c r="F47" s="629" t="inlineStr">
        <is>
          <t>BM1362AK</t>
        </is>
      </c>
      <c r="G47" s="629" t="inlineStr">
        <is>
          <t>Y09BM1362310</t>
        </is>
      </c>
      <c r="H47" s="629" t="n">
        <v>13343</v>
      </c>
      <c r="I47" s="634" t="inlineStr">
        <is>
          <t>202201220003</t>
        </is>
      </c>
      <c r="J47" s="629" t="n">
        <v>3.3</v>
      </c>
      <c r="L47" s="624" t="inlineStr">
        <is>
          <t>世纪通</t>
        </is>
      </c>
    </row>
    <row r="48">
      <c r="A48" s="637" t="n">
        <v>47</v>
      </c>
      <c r="B48" s="587" t="n"/>
      <c r="C48" s="587" t="n">
        <v>44582</v>
      </c>
      <c r="D48" s="629" t="inlineStr">
        <is>
          <t>世纪云芯</t>
        </is>
      </c>
      <c r="E48" s="629" t="inlineStr">
        <is>
          <t>XJ</t>
        </is>
      </c>
      <c r="F48" s="629" t="inlineStr">
        <is>
          <t>BM1489</t>
        </is>
      </c>
      <c r="G48" s="629" t="inlineStr">
        <is>
          <t>Y09BM1489010</t>
        </is>
      </c>
      <c r="H48" s="629" t="n">
        <v>5745</v>
      </c>
      <c r="I48" s="634" t="inlineStr">
        <is>
          <t>202201220003</t>
        </is>
      </c>
      <c r="J48" s="629" t="n">
        <v>6.22</v>
      </c>
      <c r="L48" s="624" t="inlineStr">
        <is>
          <t>世纪通</t>
        </is>
      </c>
    </row>
    <row r="49">
      <c r="A49" s="637" t="n">
        <v>48</v>
      </c>
      <c r="B49" s="587" t="n"/>
      <c r="C49" s="587" t="n">
        <v>44582</v>
      </c>
      <c r="D49" s="629" t="inlineStr">
        <is>
          <t>世纪云芯</t>
        </is>
      </c>
      <c r="E49" s="629" t="inlineStr">
        <is>
          <t>XJ</t>
        </is>
      </c>
      <c r="F49" s="629" t="inlineStr">
        <is>
          <t>BM1746AA</t>
        </is>
      </c>
      <c r="G49" s="629" t="inlineStr">
        <is>
          <t>Y09BM1746010</t>
        </is>
      </c>
      <c r="H49" s="629" t="n">
        <v>3493</v>
      </c>
      <c r="I49" s="634" t="inlineStr">
        <is>
          <t>202201220003</t>
        </is>
      </c>
      <c r="J49" s="629" t="n">
        <v>81.65000000000001</v>
      </c>
      <c r="L49" s="624" t="inlineStr">
        <is>
          <t>世纪通</t>
        </is>
      </c>
    </row>
    <row r="50">
      <c r="A50" s="629" t="n">
        <v>49</v>
      </c>
      <c r="B50" s="587" t="n"/>
      <c r="C50" s="587" t="n">
        <v>44582</v>
      </c>
      <c r="D50" s="629" t="inlineStr">
        <is>
          <t>世纪云芯</t>
        </is>
      </c>
      <c r="E50" s="629" t="inlineStr">
        <is>
          <t>CMC</t>
        </is>
      </c>
      <c r="F50" s="629" t="inlineStr">
        <is>
          <t>BM1398BB</t>
        </is>
      </c>
      <c r="G50" s="629" t="inlineStr">
        <is>
          <t>Y09BM1398240</t>
        </is>
      </c>
      <c r="H50" s="629" t="n">
        <v>254586</v>
      </c>
      <c r="I50" s="634" t="inlineStr">
        <is>
          <t>202201220005</t>
        </is>
      </c>
      <c r="J50" s="629" t="n">
        <v>6.1</v>
      </c>
      <c r="L50" s="624" t="inlineStr">
        <is>
          <t>讯宇</t>
        </is>
      </c>
    </row>
    <row r="51">
      <c r="A51" s="637" t="n">
        <v>50</v>
      </c>
      <c r="B51" s="587" t="n"/>
      <c r="C51" s="587" t="n">
        <v>44583</v>
      </c>
      <c r="D51" s="629" t="inlineStr">
        <is>
          <t>世纪云芯</t>
        </is>
      </c>
      <c r="E51" s="629" t="inlineStr">
        <is>
          <t>HN</t>
        </is>
      </c>
      <c r="F51" s="629" t="inlineStr">
        <is>
          <t>BM1489</t>
        </is>
      </c>
      <c r="G51" s="629" t="inlineStr">
        <is>
          <t>Y09BM1489010</t>
        </is>
      </c>
      <c r="H51" s="629" t="n">
        <v>973501</v>
      </c>
      <c r="I51" s="634" t="inlineStr">
        <is>
          <t>202201240020</t>
        </is>
      </c>
      <c r="J51" s="629" t="n">
        <v>6.22</v>
      </c>
      <c r="L51" s="624" t="inlineStr">
        <is>
          <t>朗华</t>
        </is>
      </c>
    </row>
    <row r="52">
      <c r="A52" s="637" t="n">
        <v>51</v>
      </c>
      <c r="B52" s="587" t="n"/>
      <c r="C52" s="587" t="n">
        <v>44583</v>
      </c>
      <c r="D52" s="629" t="inlineStr">
        <is>
          <t>世纪云芯</t>
        </is>
      </c>
      <c r="E52" s="629" t="inlineStr">
        <is>
          <t>XJ</t>
        </is>
      </c>
      <c r="F52" s="629" t="inlineStr">
        <is>
          <t>BM1362AK</t>
        </is>
      </c>
      <c r="G52" s="629" t="inlineStr">
        <is>
          <t>Y09BM1362310</t>
        </is>
      </c>
      <c r="H52" s="629" t="n">
        <v>86500</v>
      </c>
      <c r="I52" s="634" t="inlineStr">
        <is>
          <t>202201240021</t>
        </is>
      </c>
      <c r="J52" s="629" t="n">
        <v>3.3</v>
      </c>
      <c r="L52" s="624" t="inlineStr">
        <is>
          <t>讯宇</t>
        </is>
      </c>
    </row>
    <row r="53">
      <c r="A53" s="629" t="n">
        <v>52</v>
      </c>
      <c r="B53" s="587" t="n"/>
      <c r="C53" s="587" t="n">
        <v>44583</v>
      </c>
      <c r="D53" s="629" t="inlineStr">
        <is>
          <t>世纪云芯</t>
        </is>
      </c>
      <c r="E53" s="629" t="inlineStr">
        <is>
          <t>XJ</t>
        </is>
      </c>
      <c r="F53" s="629" t="inlineStr">
        <is>
          <t>BM1746AA</t>
        </is>
      </c>
      <c r="G53" s="629" t="inlineStr">
        <is>
          <t>Y09BM1746010</t>
        </is>
      </c>
      <c r="H53" s="629" t="n">
        <v>9976</v>
      </c>
      <c r="I53" s="634" t="inlineStr">
        <is>
          <t>202201240022</t>
        </is>
      </c>
      <c r="J53" s="629" t="n">
        <v>81.65000000000001</v>
      </c>
      <c r="L53" s="624" t="inlineStr">
        <is>
          <t>世纪通</t>
        </is>
      </c>
    </row>
    <row r="54">
      <c r="A54" s="637" t="n">
        <v>53</v>
      </c>
      <c r="B54" s="587" t="n"/>
      <c r="C54" s="587" t="n">
        <v>44583</v>
      </c>
      <c r="D54" s="629" t="inlineStr">
        <is>
          <t>世纪云芯</t>
        </is>
      </c>
      <c r="E54" s="629" t="inlineStr">
        <is>
          <t>XJ</t>
        </is>
      </c>
      <c r="F54" s="629" t="inlineStr">
        <is>
          <t>BM1489</t>
        </is>
      </c>
      <c r="G54" s="629" t="inlineStr">
        <is>
          <t>Y09BM1489010</t>
        </is>
      </c>
      <c r="H54" s="629" t="n">
        <v>22222</v>
      </c>
      <c r="I54" s="634" t="inlineStr">
        <is>
          <t>202201240022</t>
        </is>
      </c>
      <c r="J54" s="629" t="n">
        <v>6.22</v>
      </c>
      <c r="L54" s="624" t="inlineStr">
        <is>
          <t>世纪通</t>
        </is>
      </c>
    </row>
    <row r="55">
      <c r="A55" s="637" t="n">
        <v>54</v>
      </c>
      <c r="B55" s="587" t="n"/>
      <c r="C55" s="587" t="n">
        <v>44583</v>
      </c>
      <c r="D55" s="629" t="inlineStr">
        <is>
          <t>世纪云芯</t>
        </is>
      </c>
      <c r="E55" s="629" t="inlineStr">
        <is>
          <t>XJ</t>
        </is>
      </c>
      <c r="F55" s="629" t="inlineStr">
        <is>
          <t>BM1362AK</t>
        </is>
      </c>
      <c r="G55" s="629" t="inlineStr">
        <is>
          <t>Y09BM1362310</t>
        </is>
      </c>
      <c r="H55" s="629" t="n">
        <v>27902</v>
      </c>
      <c r="I55" s="634" t="inlineStr">
        <is>
          <t>202201240022</t>
        </is>
      </c>
      <c r="J55" s="629" t="n">
        <v>3.3</v>
      </c>
      <c r="L55" s="624" t="inlineStr">
        <is>
          <t>世纪通</t>
        </is>
      </c>
    </row>
    <row r="56">
      <c r="A56" s="629" t="n">
        <v>55</v>
      </c>
      <c r="B56" s="587" t="n"/>
      <c r="C56" s="587" t="n">
        <v>44583</v>
      </c>
      <c r="D56" s="629" t="inlineStr">
        <is>
          <t>世纪云芯</t>
        </is>
      </c>
      <c r="E56" s="629" t="inlineStr">
        <is>
          <t>ASEKH</t>
        </is>
      </c>
      <c r="F56" s="629" t="inlineStr">
        <is>
          <t>BM1362AT</t>
        </is>
      </c>
      <c r="G56" s="629" t="inlineStr">
        <is>
          <t>Y09BM1366750</t>
        </is>
      </c>
      <c r="H56" s="629" t="n">
        <v>2370</v>
      </c>
      <c r="I56" s="634" t="inlineStr">
        <is>
          <t>202201250035</t>
        </is>
      </c>
      <c r="J56" s="629" t="n">
        <v>3.3</v>
      </c>
      <c r="L56" s="624" t="inlineStr">
        <is>
          <t>富森</t>
        </is>
      </c>
    </row>
    <row r="57" ht="19" customHeight="1" s="184">
      <c r="A57" s="637" t="n">
        <v>56</v>
      </c>
      <c r="B57" s="587" t="n"/>
      <c r="C57" s="587" t="n">
        <v>44585</v>
      </c>
      <c r="D57" s="629" t="inlineStr">
        <is>
          <t>世纪云芯</t>
        </is>
      </c>
      <c r="E57" s="629" t="inlineStr">
        <is>
          <t>SCK</t>
        </is>
      </c>
      <c r="F57" s="631" t="inlineStr">
        <is>
          <t>BM1366AB</t>
        </is>
      </c>
      <c r="G57" s="629" t="inlineStr">
        <is>
          <t>Y09BM1366120</t>
        </is>
      </c>
      <c r="H57" s="629" t="n">
        <v>12566</v>
      </c>
      <c r="I57" s="634" t="inlineStr">
        <is>
          <t>202201250050</t>
        </is>
      </c>
      <c r="J57" s="629" t="n">
        <v>4.72</v>
      </c>
      <c r="L57" s="624" t="inlineStr">
        <is>
          <t>朗华</t>
        </is>
      </c>
    </row>
    <row r="58" ht="13" customHeight="1" s="184">
      <c r="A58" s="637" t="n">
        <v>57</v>
      </c>
      <c r="B58" s="587" t="n"/>
      <c r="C58" s="587" t="n">
        <v>44585</v>
      </c>
      <c r="D58" s="629" t="inlineStr">
        <is>
          <t>世纪云芯</t>
        </is>
      </c>
      <c r="E58" s="629" t="inlineStr">
        <is>
          <t>SCK</t>
        </is>
      </c>
      <c r="F58" s="638" t="inlineStr">
        <is>
          <t>BM1366AJ</t>
        </is>
      </c>
      <c r="G58" s="629" t="inlineStr">
        <is>
          <t>Y09BM1366A20</t>
        </is>
      </c>
      <c r="H58" s="629" t="n">
        <v>24891</v>
      </c>
      <c r="I58" s="634" t="inlineStr">
        <is>
          <t>202201260009</t>
        </is>
      </c>
      <c r="J58" s="629" t="n">
        <v>4.72</v>
      </c>
      <c r="L58" s="624" t="inlineStr">
        <is>
          <t>朗华</t>
        </is>
      </c>
    </row>
    <row r="59" ht="19" customHeight="1" s="184">
      <c r="A59" s="637" t="n">
        <v>58</v>
      </c>
      <c r="B59" s="587" t="n"/>
      <c r="C59" s="587" t="n">
        <v>44585</v>
      </c>
      <c r="D59" s="629" t="inlineStr">
        <is>
          <t>世纪云芯</t>
        </is>
      </c>
      <c r="E59" s="629" t="inlineStr">
        <is>
          <t>SCK</t>
        </is>
      </c>
      <c r="F59" s="631" t="inlineStr">
        <is>
          <t>BM1366AC</t>
        </is>
      </c>
      <c r="G59" s="629" t="inlineStr">
        <is>
          <t>Y09BM1366230</t>
        </is>
      </c>
      <c r="H59" s="629" t="n">
        <v>200</v>
      </c>
      <c r="I59" s="634" t="inlineStr">
        <is>
          <t>202201250050</t>
        </is>
      </c>
      <c r="J59" s="629" t="n">
        <v>4.72</v>
      </c>
      <c r="L59" s="624" t="inlineStr">
        <is>
          <t>朗华</t>
        </is>
      </c>
    </row>
    <row r="60" ht="19" customHeight="1" s="184">
      <c r="A60" s="637" t="n">
        <v>59</v>
      </c>
      <c r="B60" s="587" t="n"/>
      <c r="C60" s="587" t="n">
        <v>44585</v>
      </c>
      <c r="D60" s="629" t="inlineStr">
        <is>
          <t>世纪云芯</t>
        </is>
      </c>
      <c r="E60" s="629" t="inlineStr">
        <is>
          <t>SCK</t>
        </is>
      </c>
      <c r="F60" s="631" t="inlineStr">
        <is>
          <t>BM1366AK</t>
        </is>
      </c>
      <c r="G60" s="629" t="inlineStr">
        <is>
          <t>Y09BM1366B30</t>
        </is>
      </c>
      <c r="H60" s="629" t="n">
        <v>200</v>
      </c>
      <c r="I60" s="634" t="inlineStr">
        <is>
          <t>202201260009</t>
        </is>
      </c>
      <c r="J60" s="629" t="n">
        <v>4.72</v>
      </c>
      <c r="L60" s="624" t="inlineStr">
        <is>
          <t>朗华</t>
        </is>
      </c>
    </row>
    <row r="61" ht="19" customHeight="1" s="184">
      <c r="A61" s="637" t="n">
        <v>59</v>
      </c>
      <c r="B61" s="587" t="n"/>
      <c r="C61" s="587" t="n">
        <v>44587</v>
      </c>
      <c r="D61" s="629" t="inlineStr">
        <is>
          <t>世纪云芯</t>
        </is>
      </c>
      <c r="E61" s="629" t="inlineStr">
        <is>
          <t>XJ</t>
        </is>
      </c>
      <c r="F61" s="631" t="inlineStr">
        <is>
          <t>BM1489</t>
        </is>
      </c>
      <c r="G61" s="629" t="inlineStr">
        <is>
          <t>Y09BM1489010</t>
        </is>
      </c>
      <c r="H61" s="629" t="n">
        <v>55038</v>
      </c>
      <c r="I61" s="634" t="inlineStr">
        <is>
          <t>202201270014</t>
        </is>
      </c>
      <c r="J61" s="629" t="n">
        <v>6.22</v>
      </c>
      <c r="L61" s="624" t="inlineStr">
        <is>
          <t>世纪通</t>
        </is>
      </c>
    </row>
    <row r="62" ht="19" customHeight="1" s="184">
      <c r="A62" s="637" t="n">
        <v>61</v>
      </c>
      <c r="B62" s="587" t="n"/>
      <c r="C62" s="587" t="n">
        <v>44587</v>
      </c>
      <c r="D62" s="629" t="inlineStr">
        <is>
          <t>世纪云芯</t>
        </is>
      </c>
      <c r="E62" s="629" t="inlineStr">
        <is>
          <t>XJ</t>
        </is>
      </c>
      <c r="F62" s="631" t="inlineStr">
        <is>
          <t>BM1746AA</t>
        </is>
      </c>
      <c r="G62" s="629" t="inlineStr">
        <is>
          <t>Y09BM1746010</t>
        </is>
      </c>
      <c r="H62" s="629" t="n">
        <v>3182</v>
      </c>
      <c r="I62" s="634" t="inlineStr">
        <is>
          <t>202201270014</t>
        </is>
      </c>
      <c r="J62" s="629" t="n">
        <v>81.65000000000001</v>
      </c>
      <c r="L62" s="624" t="inlineStr">
        <is>
          <t>世纪通</t>
        </is>
      </c>
    </row>
    <row r="63" ht="19" customHeight="1" s="184">
      <c r="A63" s="637" t="n">
        <v>62</v>
      </c>
      <c r="B63" s="587" t="n"/>
      <c r="C63" s="587" t="n">
        <v>44587</v>
      </c>
      <c r="D63" s="629" t="inlineStr">
        <is>
          <t>世纪云芯</t>
        </is>
      </c>
      <c r="E63" s="629" t="inlineStr">
        <is>
          <t>HN</t>
        </is>
      </c>
      <c r="F63" s="631" t="inlineStr">
        <is>
          <t>BM1489</t>
        </is>
      </c>
      <c r="G63" s="629" t="inlineStr">
        <is>
          <t>Y09BM1489010</t>
        </is>
      </c>
      <c r="H63" s="629" t="n">
        <v>394162</v>
      </c>
      <c r="I63" s="634" t="inlineStr">
        <is>
          <t>202201270015</t>
        </is>
      </c>
      <c r="J63" s="629" t="n">
        <v>6.22</v>
      </c>
      <c r="L63" s="624" t="inlineStr">
        <is>
          <t>朗华</t>
        </is>
      </c>
    </row>
    <row r="64" ht="19" customHeight="1" s="184">
      <c r="A64" s="637" t="n">
        <v>63</v>
      </c>
      <c r="B64" s="587" t="n"/>
      <c r="C64" s="587" t="n">
        <v>44587</v>
      </c>
      <c r="D64" s="629" t="inlineStr">
        <is>
          <t>世纪云芯</t>
        </is>
      </c>
      <c r="E64" s="629" t="inlineStr">
        <is>
          <t>CMC</t>
        </is>
      </c>
      <c r="F64" s="631" t="inlineStr">
        <is>
          <t>BM1398BB</t>
        </is>
      </c>
      <c r="G64" s="629" t="inlineStr">
        <is>
          <t>Y09BM1398240</t>
        </is>
      </c>
      <c r="H64" s="629" t="n">
        <v>198516</v>
      </c>
      <c r="I64" s="634" t="inlineStr">
        <is>
          <t>202201270016</t>
        </is>
      </c>
      <c r="J64" s="629" t="n">
        <v>6.1</v>
      </c>
      <c r="L64" s="624" t="inlineStr">
        <is>
          <t>朗华</t>
        </is>
      </c>
    </row>
    <row r="65" ht="19" customHeight="1" s="184">
      <c r="A65" s="637" t="n">
        <v>64</v>
      </c>
      <c r="B65" s="587" t="n"/>
      <c r="C65" s="587" t="n">
        <v>44588</v>
      </c>
      <c r="D65" s="629" t="inlineStr">
        <is>
          <t>世纪云芯</t>
        </is>
      </c>
      <c r="E65" s="629" t="inlineStr">
        <is>
          <t>TFME</t>
        </is>
      </c>
      <c r="F65" s="638" t="inlineStr">
        <is>
          <t>BM1362AP</t>
        </is>
      </c>
      <c r="G65" s="629" t="inlineStr">
        <is>
          <t>Y09BM1362830</t>
        </is>
      </c>
      <c r="H65" s="629" t="n">
        <v>48810</v>
      </c>
      <c r="I65" s="634" t="inlineStr">
        <is>
          <t>202201290003</t>
        </is>
      </c>
      <c r="J65" s="629" t="n">
        <v>3.3</v>
      </c>
      <c r="L65" s="624" t="inlineStr">
        <is>
          <t>朗华</t>
        </is>
      </c>
    </row>
    <row r="66" ht="19" customHeight="1" s="184">
      <c r="A66" s="637" t="n">
        <v>65</v>
      </c>
      <c r="B66" s="587" t="n"/>
      <c r="C66" s="587" t="n">
        <v>44588</v>
      </c>
      <c r="D66" s="629" t="inlineStr">
        <is>
          <t>世纪云芯</t>
        </is>
      </c>
      <c r="E66" s="635" t="inlineStr">
        <is>
          <t>SCK</t>
        </is>
      </c>
      <c r="F66" s="631" t="inlineStr">
        <is>
          <t>BM1366AB</t>
        </is>
      </c>
      <c r="G66" s="629" t="inlineStr">
        <is>
          <t>Y09BM1366120</t>
        </is>
      </c>
      <c r="H66" s="629" t="n">
        <v>67725</v>
      </c>
      <c r="I66" s="634" t="inlineStr">
        <is>
          <t>202201280004</t>
        </is>
      </c>
      <c r="J66" s="629" t="n">
        <v>4.72</v>
      </c>
      <c r="L66" s="624" t="inlineStr">
        <is>
          <t>富森</t>
        </is>
      </c>
    </row>
    <row r="67" ht="19" customHeight="1" s="184">
      <c r="A67" s="637" t="n">
        <v>66</v>
      </c>
      <c r="B67" s="587" t="n"/>
      <c r="C67" s="587" t="n">
        <v>44589</v>
      </c>
      <c r="D67" s="629" t="inlineStr">
        <is>
          <t>世纪云芯</t>
        </is>
      </c>
      <c r="E67" s="629" t="inlineStr">
        <is>
          <t>HN</t>
        </is>
      </c>
      <c r="F67" s="631" t="inlineStr">
        <is>
          <t>BM1489</t>
        </is>
      </c>
      <c r="G67" s="629" t="inlineStr">
        <is>
          <t>Y09BM1489010</t>
        </is>
      </c>
      <c r="H67" s="629" t="n">
        <v>392723</v>
      </c>
      <c r="I67" s="634" t="inlineStr">
        <is>
          <t>202201280005</t>
        </is>
      </c>
      <c r="J67" s="629" t="n">
        <v>6.22</v>
      </c>
      <c r="L67" s="624" t="inlineStr">
        <is>
          <t>世纪通</t>
        </is>
      </c>
    </row>
    <row r="68" ht="19" customHeight="1" s="184">
      <c r="A68" s="637" t="n">
        <v>67</v>
      </c>
      <c r="B68" s="587" t="n"/>
      <c r="C68" s="587" t="n">
        <v>44589</v>
      </c>
      <c r="D68" s="629" t="inlineStr">
        <is>
          <t>世纪云芯</t>
        </is>
      </c>
      <c r="E68" s="629" t="inlineStr">
        <is>
          <t>XJ</t>
        </is>
      </c>
      <c r="F68" s="631" t="inlineStr">
        <is>
          <t>BM1489</t>
        </is>
      </c>
      <c r="G68" s="629" t="inlineStr">
        <is>
          <t>Y09BM1489010</t>
        </is>
      </c>
      <c r="H68" s="629" t="n">
        <v>104601</v>
      </c>
      <c r="I68" s="634" t="inlineStr">
        <is>
          <t>202201280006</t>
        </is>
      </c>
      <c r="J68" s="629" t="n">
        <v>6.22</v>
      </c>
      <c r="L68" s="624" t="inlineStr">
        <is>
          <t>朗华</t>
        </is>
      </c>
    </row>
    <row r="69" ht="19" customHeight="1" s="184">
      <c r="A69" s="637" t="n">
        <v>68</v>
      </c>
      <c r="B69" s="587" t="n"/>
      <c r="C69" s="587" t="n">
        <v>44589</v>
      </c>
      <c r="D69" s="629" t="inlineStr">
        <is>
          <t>世纪云芯</t>
        </is>
      </c>
      <c r="E69" s="629" t="inlineStr">
        <is>
          <t>XJ</t>
        </is>
      </c>
      <c r="F69" s="631" t="inlineStr">
        <is>
          <t>BM1746AA</t>
        </is>
      </c>
      <c r="G69" s="629" t="inlineStr">
        <is>
          <t>Y09BM1746010</t>
        </is>
      </c>
      <c r="H69" s="629" t="n">
        <v>2844</v>
      </c>
      <c r="I69" s="634" t="inlineStr">
        <is>
          <t>202201280006</t>
        </is>
      </c>
      <c r="J69" s="629" t="n">
        <v>81.65000000000001</v>
      </c>
      <c r="L69" s="624" t="inlineStr">
        <is>
          <t>朗华</t>
        </is>
      </c>
    </row>
    <row r="70" ht="19" customHeight="1" s="184">
      <c r="A70" s="637" t="n">
        <v>69</v>
      </c>
      <c r="B70" s="587" t="n"/>
      <c r="C70" s="587" t="n">
        <v>44589</v>
      </c>
      <c r="D70" s="629" t="inlineStr">
        <is>
          <t>世纪云芯</t>
        </is>
      </c>
      <c r="E70" s="629" t="inlineStr">
        <is>
          <t>XJ</t>
        </is>
      </c>
      <c r="F70" s="631" t="inlineStr">
        <is>
          <t>BM1362AK</t>
        </is>
      </c>
      <c r="G70" s="629" t="inlineStr">
        <is>
          <t>Y09BM1362310</t>
        </is>
      </c>
      <c r="H70" s="629" t="n">
        <v>3398</v>
      </c>
      <c r="I70" s="634" t="inlineStr">
        <is>
          <t>202201280006</t>
        </is>
      </c>
      <c r="J70" s="629" t="n">
        <v>3.3</v>
      </c>
      <c r="L70" s="624" t="inlineStr">
        <is>
          <t>朗华</t>
        </is>
      </c>
    </row>
    <row r="71">
      <c r="A71" s="637" t="n">
        <v>70</v>
      </c>
      <c r="B71" s="587" t="n"/>
      <c r="C71" s="587" t="n">
        <v>44589</v>
      </c>
      <c r="D71" s="629" t="inlineStr">
        <is>
          <t>世纪云芯</t>
        </is>
      </c>
      <c r="E71" s="629" t="inlineStr">
        <is>
          <t>SCK</t>
        </is>
      </c>
      <c r="F71" s="629" t="inlineStr">
        <is>
          <t>BM1366AB</t>
        </is>
      </c>
      <c r="G71" s="629" t="inlineStr">
        <is>
          <t>Y09BM1366120</t>
        </is>
      </c>
      <c r="H71" s="629" t="n">
        <v>135</v>
      </c>
      <c r="I71" s="634" t="inlineStr">
        <is>
          <t>202202080004</t>
        </is>
      </c>
      <c r="J71" s="629" t="n">
        <v>4.72</v>
      </c>
    </row>
  </sheetData>
  <autoFilter ref="A1:XFD71"/>
  <pageMargins left="0.7" right="0.7" top="0.75" bottom="0.75" header="0.3" footer="0.3"/>
  <pageSetup orientation="portrait" paperSize="9" scale="7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5" zoomScaleNormal="85" workbookViewId="0">
      <pane ySplit="1" topLeftCell="A55" activePane="bottomLeft" state="frozen"/>
      <selection activeCell="A1" sqref="A1"/>
      <selection pane="bottomLeft" activeCell="K261" sqref="K261"/>
    </sheetView>
  </sheetViews>
  <sheetFormatPr baseColWidth="8" defaultColWidth="8.66666666666667" defaultRowHeight="13.5"/>
  <cols>
    <col width="9.08333333333333" customWidth="1" style="624" min="1" max="1"/>
    <col hidden="1" width="12.4166666666667" customWidth="1" style="552" min="2" max="2"/>
    <col width="16.4166666666667" customWidth="1" style="552" min="3" max="3"/>
    <col width="13.6666666666667" customWidth="1" style="552" min="4" max="4"/>
    <col width="12.3333333333333" customWidth="1" style="624" min="5" max="5"/>
    <col width="14.3333333333333" customWidth="1" style="624" min="6" max="6"/>
    <col width="14" customWidth="1" style="624" min="7" max="7"/>
    <col width="15.5833333333333" customWidth="1" style="625" min="8" max="8"/>
    <col width="15" customWidth="1" style="624" min="9" max="9"/>
    <col hidden="1" width="11.0833333333333" customWidth="1" style="624" min="10" max="10"/>
    <col hidden="1" width="20.6666666666667" customWidth="1" style="624" min="11" max="11"/>
    <col width="17.5833333333333" customWidth="1" style="624" min="12" max="12"/>
    <col width="8.66666666666667" customWidth="1" style="624" min="13" max="16384"/>
  </cols>
  <sheetData>
    <row r="1">
      <c r="A1" s="626" t="inlineStr">
        <is>
          <t>序号</t>
        </is>
      </c>
      <c r="B1" s="556" t="inlineStr">
        <is>
          <t>抬头</t>
        </is>
      </c>
      <c r="C1" s="556" t="inlineStr">
        <is>
          <t>出货日期</t>
        </is>
      </c>
      <c r="D1" s="556" t="inlineStr">
        <is>
          <t>主体</t>
        </is>
      </c>
      <c r="E1" s="626" t="inlineStr">
        <is>
          <t>测试厂</t>
        </is>
      </c>
      <c r="F1" s="626" t="inlineStr">
        <is>
          <t>型号</t>
        </is>
      </c>
      <c r="G1" s="626" t="inlineStr">
        <is>
          <t>物料编码</t>
        </is>
      </c>
      <c r="H1" s="627" t="inlineStr">
        <is>
          <t>数量</t>
        </is>
      </c>
      <c r="I1" s="626" t="inlineStr">
        <is>
          <t>采购订单号</t>
        </is>
      </c>
      <c r="J1" s="626" t="inlineStr">
        <is>
          <t>单价</t>
        </is>
      </c>
      <c r="K1" s="626" t="inlineStr">
        <is>
          <t>备注</t>
        </is>
      </c>
      <c r="L1" s="559" t="n">
        <v>10000900</v>
      </c>
    </row>
    <row r="2" ht="14.25" customHeight="1" s="184">
      <c r="A2" s="629" t="n">
        <v>1</v>
      </c>
      <c r="B2" s="572" t="inlineStr">
        <is>
          <t>HK Bitmain</t>
        </is>
      </c>
      <c r="C2" s="539" t="n">
        <v>44601</v>
      </c>
      <c r="D2" s="630" t="inlineStr">
        <is>
          <t>世纪云芯</t>
        </is>
      </c>
      <c r="E2" s="639" t="inlineStr">
        <is>
          <t>XJ</t>
        </is>
      </c>
      <c r="F2" s="640" t="inlineStr">
        <is>
          <t>BM1362AC</t>
        </is>
      </c>
      <c r="G2" s="629" t="inlineStr">
        <is>
          <t>Y09BM1362C00</t>
        </is>
      </c>
      <c r="H2" s="631" t="n">
        <v>676329</v>
      </c>
      <c r="I2" s="632" t="n">
        <v>202202110005</v>
      </c>
      <c r="J2" s="629" t="n">
        <v>3.3</v>
      </c>
      <c r="K2" s="629" t="n"/>
      <c r="L2" s="629" t="inlineStr">
        <is>
          <t>朗华</t>
        </is>
      </c>
    </row>
    <row r="3" ht="14.25" customHeight="1" s="184">
      <c r="A3" s="629" t="n">
        <v>2</v>
      </c>
      <c r="B3" s="587" t="n"/>
      <c r="C3" s="539" t="n">
        <v>44601</v>
      </c>
      <c r="D3" s="630" t="inlineStr">
        <is>
          <t>世纪云芯</t>
        </is>
      </c>
      <c r="E3" s="639" t="inlineStr">
        <is>
          <t>XJ</t>
        </is>
      </c>
      <c r="F3" s="640" t="inlineStr">
        <is>
          <t>BM1362AI</t>
        </is>
      </c>
      <c r="G3" s="629" t="inlineStr">
        <is>
          <t>Y09BM1362110</t>
        </is>
      </c>
      <c r="H3" s="631" t="n">
        <v>376910</v>
      </c>
      <c r="I3" s="632" t="n">
        <v>202202110005</v>
      </c>
      <c r="J3" s="629" t="n">
        <v>3.3</v>
      </c>
      <c r="K3" s="629" t="n"/>
      <c r="L3" s="629" t="inlineStr">
        <is>
          <t>朗华</t>
        </is>
      </c>
    </row>
    <row r="4" ht="14.25" customHeight="1" s="184">
      <c r="A4" s="629" t="n">
        <v>3</v>
      </c>
      <c r="B4" s="587" t="n"/>
      <c r="C4" s="539" t="n">
        <v>44601</v>
      </c>
      <c r="D4" s="630" t="inlineStr">
        <is>
          <t>世纪云芯</t>
        </is>
      </c>
      <c r="E4" s="639" t="inlineStr">
        <is>
          <t>XJ</t>
        </is>
      </c>
      <c r="F4" s="640" t="inlineStr">
        <is>
          <t>BM1489</t>
        </is>
      </c>
      <c r="G4" s="629" t="inlineStr">
        <is>
          <t>Y09BM1489010</t>
        </is>
      </c>
      <c r="H4" s="631" t="n">
        <v>2220909</v>
      </c>
      <c r="I4" s="632" t="n">
        <v>202202110005</v>
      </c>
      <c r="J4" s="629" t="n">
        <v>6.22</v>
      </c>
      <c r="K4" s="629" t="n"/>
      <c r="L4" s="629" t="inlineStr">
        <is>
          <t>朗华</t>
        </is>
      </c>
    </row>
    <row r="5" ht="14.25" customHeight="1" s="184">
      <c r="A5" s="629" t="n">
        <v>4</v>
      </c>
      <c r="B5" s="587" t="n"/>
      <c r="C5" s="539" t="n">
        <v>44601</v>
      </c>
      <c r="D5" s="630" t="inlineStr">
        <is>
          <t>世纪云芯</t>
        </is>
      </c>
      <c r="E5" s="639" t="inlineStr">
        <is>
          <t>XJ</t>
        </is>
      </c>
      <c r="F5" s="640" t="inlineStr">
        <is>
          <t>BM1746AA</t>
        </is>
      </c>
      <c r="G5" s="629" t="inlineStr">
        <is>
          <t>Y09BM1746010</t>
        </is>
      </c>
      <c r="H5" s="631" t="n">
        <v>5274</v>
      </c>
      <c r="I5" s="632" t="n">
        <v>202202110005</v>
      </c>
      <c r="J5" s="629" t="n">
        <v>81.65000000000001</v>
      </c>
      <c r="K5" s="629" t="n"/>
      <c r="L5" s="629" t="inlineStr">
        <is>
          <t>朗华</t>
        </is>
      </c>
    </row>
    <row r="6" ht="14.25" customHeight="1" s="184">
      <c r="A6" s="629" t="n">
        <v>5</v>
      </c>
      <c r="B6" s="587" t="n"/>
      <c r="C6" s="539" t="n">
        <v>44601</v>
      </c>
      <c r="D6" s="630" t="inlineStr">
        <is>
          <t>世纪云芯</t>
        </is>
      </c>
      <c r="E6" s="639" t="inlineStr">
        <is>
          <t>捷策创</t>
        </is>
      </c>
      <c r="F6" s="640" t="inlineStr">
        <is>
          <t>BM1489</t>
        </is>
      </c>
      <c r="G6" s="629" t="inlineStr">
        <is>
          <t>Y09BM1489010</t>
        </is>
      </c>
      <c r="H6" s="631" t="n">
        <v>191079</v>
      </c>
      <c r="I6" s="632" t="n">
        <v>202202110006</v>
      </c>
      <c r="J6" s="629" t="n">
        <v>6.22</v>
      </c>
      <c r="K6" s="629" t="n"/>
      <c r="L6" s="629" t="inlineStr">
        <is>
          <t>世纪通</t>
        </is>
      </c>
    </row>
    <row r="7" ht="14.25" customHeight="1" s="184">
      <c r="A7" s="629" t="n">
        <v>6</v>
      </c>
      <c r="B7" s="587" t="n"/>
      <c r="C7" s="539" t="n">
        <v>44601</v>
      </c>
      <c r="D7" s="630" t="inlineStr">
        <is>
          <t>世纪云芯</t>
        </is>
      </c>
      <c r="E7" s="639" t="inlineStr">
        <is>
          <t>捷策创</t>
        </is>
      </c>
      <c r="F7" s="640" t="inlineStr">
        <is>
          <t>BM1362AK</t>
        </is>
      </c>
      <c r="G7" s="629" t="inlineStr">
        <is>
          <t>Y09BM1362310</t>
        </is>
      </c>
      <c r="H7" s="631" t="n">
        <v>428328</v>
      </c>
      <c r="I7" s="632" t="n">
        <v>202202110006</v>
      </c>
      <c r="J7" s="629" t="n">
        <v>3.3</v>
      </c>
      <c r="K7" s="629" t="n"/>
      <c r="L7" s="629" t="inlineStr">
        <is>
          <t>世纪通</t>
        </is>
      </c>
    </row>
    <row r="8" ht="14.25" customHeight="1" s="184">
      <c r="A8" s="629" t="n">
        <v>7</v>
      </c>
      <c r="B8" s="587" t="n"/>
      <c r="C8" s="539" t="n">
        <v>44602</v>
      </c>
      <c r="D8" s="630" t="inlineStr">
        <is>
          <t>世纪云芯</t>
        </is>
      </c>
      <c r="E8" s="639" t="inlineStr">
        <is>
          <t>捷策创</t>
        </is>
      </c>
      <c r="F8" s="640" t="inlineStr">
        <is>
          <t>BM1362AK</t>
        </is>
      </c>
      <c r="G8" s="629" t="inlineStr">
        <is>
          <t>Y09BM1362310</t>
        </is>
      </c>
      <c r="H8" s="631" t="n">
        <v>1041216</v>
      </c>
      <c r="I8" s="632" t="n">
        <v>202202110007</v>
      </c>
      <c r="J8" s="629" t="n">
        <v>3.3</v>
      </c>
      <c r="K8" s="629" t="n"/>
      <c r="L8" s="629" t="inlineStr">
        <is>
          <t>讯宇</t>
        </is>
      </c>
    </row>
    <row r="9" ht="14.25" customHeight="1" s="184">
      <c r="A9" s="629" t="n">
        <v>8</v>
      </c>
      <c r="B9" s="587" t="n"/>
      <c r="C9" s="539" t="n">
        <v>44603</v>
      </c>
      <c r="D9" s="630" t="inlineStr">
        <is>
          <t>世纪云芯</t>
        </is>
      </c>
      <c r="E9" s="639" t="inlineStr">
        <is>
          <t>捷策创</t>
        </is>
      </c>
      <c r="F9" s="640" t="inlineStr">
        <is>
          <t>BM1362AK</t>
        </is>
      </c>
      <c r="G9" s="629" t="inlineStr">
        <is>
          <t>Y09BM1362310</t>
        </is>
      </c>
      <c r="H9" s="631" t="n">
        <v>621984</v>
      </c>
      <c r="I9" s="632" t="n">
        <v>202202120001</v>
      </c>
      <c r="J9" s="629" t="n">
        <v>3.3</v>
      </c>
      <c r="K9" s="629" t="n"/>
      <c r="L9" s="629" t="inlineStr">
        <is>
          <t>世纪通</t>
        </is>
      </c>
    </row>
    <row r="10" ht="14.25" customHeight="1" s="184">
      <c r="A10" s="629" t="n">
        <v>9</v>
      </c>
      <c r="B10" s="587" t="n"/>
      <c r="C10" s="539" t="n">
        <v>44603</v>
      </c>
      <c r="D10" s="630" t="inlineStr">
        <is>
          <t>世纪云芯</t>
        </is>
      </c>
      <c r="E10" s="639" t="inlineStr">
        <is>
          <t>XJ</t>
        </is>
      </c>
      <c r="F10" s="640" t="inlineStr">
        <is>
          <t>BM1362AK</t>
        </is>
      </c>
      <c r="G10" s="629" t="inlineStr">
        <is>
          <t>Y09BM1362310</t>
        </is>
      </c>
      <c r="H10" s="631" t="n">
        <v>43832</v>
      </c>
      <c r="I10" s="632" t="n">
        <v>202202120002</v>
      </c>
      <c r="J10" s="629" t="n">
        <v>3.3</v>
      </c>
      <c r="K10" s="629" t="n"/>
      <c r="L10" s="629" t="inlineStr">
        <is>
          <t>朗华</t>
        </is>
      </c>
    </row>
    <row r="11" ht="14.25" customHeight="1" s="184">
      <c r="A11" s="629" t="n">
        <v>10</v>
      </c>
      <c r="B11" s="587" t="n"/>
      <c r="C11" s="539" t="n">
        <v>44603</v>
      </c>
      <c r="D11" s="630" t="inlineStr">
        <is>
          <t>世纪云芯</t>
        </is>
      </c>
      <c r="E11" s="639" t="inlineStr">
        <is>
          <t>XJ</t>
        </is>
      </c>
      <c r="F11" s="640" t="inlineStr">
        <is>
          <t>BM1398AC</t>
        </is>
      </c>
      <c r="G11" s="629" t="inlineStr">
        <is>
          <t>Y09BM1398350</t>
        </is>
      </c>
      <c r="H11" s="631" t="n">
        <v>18487</v>
      </c>
      <c r="I11" s="632" t="n">
        <v>202202120002</v>
      </c>
      <c r="J11" s="629" t="n">
        <v>6.1</v>
      </c>
      <c r="K11" s="629" t="n"/>
      <c r="L11" s="629" t="inlineStr">
        <is>
          <t>朗华</t>
        </is>
      </c>
    </row>
    <row r="12" ht="14.25" customHeight="1" s="184">
      <c r="A12" s="629" t="n">
        <v>11</v>
      </c>
      <c r="B12" s="587" t="n"/>
      <c r="C12" s="539" t="n">
        <v>44603</v>
      </c>
      <c r="D12" s="630" t="inlineStr">
        <is>
          <t>世纪云芯</t>
        </is>
      </c>
      <c r="E12" s="639" t="inlineStr">
        <is>
          <t>XJ</t>
        </is>
      </c>
      <c r="F12" s="641" t="inlineStr">
        <is>
          <t xml:space="preserve">BM1398AD	</t>
        </is>
      </c>
      <c r="G12" s="629" t="inlineStr">
        <is>
          <t>Y09BM1398D00</t>
        </is>
      </c>
      <c r="H12" s="631" t="n">
        <v>1446</v>
      </c>
      <c r="I12" s="632" t="n">
        <v>202202120002</v>
      </c>
      <c r="J12" s="629" t="n">
        <v>6.1</v>
      </c>
      <c r="K12" s="629" t="n"/>
      <c r="L12" s="629" t="inlineStr">
        <is>
          <t>朗华</t>
        </is>
      </c>
    </row>
    <row r="13" ht="14.25" customHeight="1" s="184">
      <c r="A13" s="629" t="n">
        <v>12</v>
      </c>
      <c r="B13" s="587" t="n"/>
      <c r="C13" s="539" t="n">
        <v>44603</v>
      </c>
      <c r="D13" s="630" t="inlineStr">
        <is>
          <t>世纪云芯</t>
        </is>
      </c>
      <c r="E13" s="639" t="inlineStr">
        <is>
          <t>XJ</t>
        </is>
      </c>
      <c r="F13" s="640" t="inlineStr">
        <is>
          <t>BM1398BB</t>
        </is>
      </c>
      <c r="G13" s="629" t="inlineStr">
        <is>
          <t>Y09BM1398240</t>
        </is>
      </c>
      <c r="H13" s="631" t="n">
        <v>52343</v>
      </c>
      <c r="I13" s="632" t="n">
        <v>202202120002</v>
      </c>
      <c r="J13" s="629" t="n">
        <v>6.1</v>
      </c>
      <c r="K13" s="629" t="n"/>
      <c r="L13" s="629" t="inlineStr">
        <is>
          <t>朗华</t>
        </is>
      </c>
    </row>
    <row r="14" ht="14.25" customHeight="1" s="184">
      <c r="A14" s="629" t="n">
        <v>13</v>
      </c>
      <c r="B14" s="587" t="n"/>
      <c r="C14" s="539" t="n">
        <v>44603</v>
      </c>
      <c r="D14" s="630" t="inlineStr">
        <is>
          <t>世纪云芯</t>
        </is>
      </c>
      <c r="E14" s="639" t="inlineStr">
        <is>
          <t>XJ</t>
        </is>
      </c>
      <c r="F14" s="640" t="inlineStr">
        <is>
          <t>BM1489</t>
        </is>
      </c>
      <c r="G14" s="629" t="inlineStr">
        <is>
          <t>Y09BM1489010</t>
        </is>
      </c>
      <c r="H14" s="631" t="n">
        <v>71239</v>
      </c>
      <c r="I14" s="632" t="n">
        <v>202202120002</v>
      </c>
      <c r="J14" s="629" t="n">
        <v>6.22</v>
      </c>
      <c r="K14" s="629" t="n"/>
      <c r="L14" s="629" t="inlineStr">
        <is>
          <t>朗华</t>
        </is>
      </c>
    </row>
    <row r="15" ht="14.25" customHeight="1" s="184">
      <c r="A15" s="629" t="n">
        <v>14</v>
      </c>
      <c r="B15" s="587" t="n"/>
      <c r="C15" s="539" t="n">
        <v>44603</v>
      </c>
      <c r="D15" s="630" t="inlineStr">
        <is>
          <t>世纪云芯</t>
        </is>
      </c>
      <c r="E15" s="639" t="inlineStr">
        <is>
          <t>XJ</t>
        </is>
      </c>
      <c r="F15" s="640" t="inlineStr">
        <is>
          <t>BM1746AA</t>
        </is>
      </c>
      <c r="G15" s="629" t="inlineStr">
        <is>
          <t>Y09BM1746010</t>
        </is>
      </c>
      <c r="H15" s="631" t="n">
        <v>432</v>
      </c>
      <c r="I15" s="632" t="n">
        <v>202202120002</v>
      </c>
      <c r="J15" s="629" t="n">
        <v>81.65000000000001</v>
      </c>
      <c r="K15" s="629" t="n"/>
      <c r="L15" s="629" t="inlineStr">
        <is>
          <t>朗华</t>
        </is>
      </c>
    </row>
    <row r="16" ht="14.25" customHeight="1" s="184">
      <c r="A16" s="629" t="n">
        <v>15</v>
      </c>
      <c r="B16" s="539" t="n"/>
      <c r="C16" s="539" t="n">
        <v>44606</v>
      </c>
      <c r="D16" s="630" t="inlineStr">
        <is>
          <t>世纪云芯</t>
        </is>
      </c>
      <c r="E16" s="640" t="inlineStr">
        <is>
          <t>SCK</t>
        </is>
      </c>
      <c r="F16" s="640" t="inlineStr">
        <is>
          <t>BM1764AB</t>
        </is>
      </c>
      <c r="G16" s="629" t="inlineStr">
        <is>
          <t>Y09BM1764010</t>
        </is>
      </c>
      <c r="H16" s="631" t="n">
        <v>269</v>
      </c>
      <c r="I16" s="642" t="inlineStr">
        <is>
          <t>202202150003</t>
        </is>
      </c>
      <c r="J16" s="629" t="n">
        <v>3.44</v>
      </c>
      <c r="K16" s="629" t="n"/>
      <c r="L16" s="629" t="inlineStr">
        <is>
          <t>富森</t>
        </is>
      </c>
    </row>
    <row r="17" ht="14.25" customHeight="1" s="184">
      <c r="A17" s="629" t="n">
        <v>16</v>
      </c>
      <c r="B17" s="539" t="n"/>
      <c r="C17" s="539" t="n">
        <v>44606</v>
      </c>
      <c r="D17" s="630" t="inlineStr">
        <is>
          <t>世纪云芯</t>
        </is>
      </c>
      <c r="E17" s="640" t="inlineStr">
        <is>
          <t>捷策创</t>
        </is>
      </c>
      <c r="F17" s="640" t="inlineStr">
        <is>
          <t>BM1489</t>
        </is>
      </c>
      <c r="G17" s="629" t="inlineStr">
        <is>
          <t>Y09BM1489010</t>
        </is>
      </c>
      <c r="H17" s="631" t="n">
        <v>146974</v>
      </c>
      <c r="I17" s="632" t="n">
        <v>202202150005</v>
      </c>
      <c r="J17" s="629" t="n">
        <v>6.22</v>
      </c>
      <c r="K17" s="629" t="n"/>
      <c r="L17" s="629" t="inlineStr">
        <is>
          <t>世纪通</t>
        </is>
      </c>
    </row>
    <row r="18" ht="14.25" customHeight="1" s="184">
      <c r="A18" s="629" t="n">
        <v>17</v>
      </c>
      <c r="B18" s="539" t="n"/>
      <c r="C18" s="539" t="n">
        <v>44606</v>
      </c>
      <c r="D18" s="630" t="inlineStr">
        <is>
          <t>世纪云芯</t>
        </is>
      </c>
      <c r="E18" s="640" t="inlineStr">
        <is>
          <t>捷策创</t>
        </is>
      </c>
      <c r="F18" s="640" t="inlineStr">
        <is>
          <t>BM1398BB</t>
        </is>
      </c>
      <c r="G18" s="629" t="inlineStr">
        <is>
          <t>Y09BM1398240</t>
        </is>
      </c>
      <c r="H18" s="631" t="n">
        <v>302241</v>
      </c>
      <c r="I18" s="632" t="n">
        <v>202202150005</v>
      </c>
      <c r="J18" s="629" t="n">
        <v>6.1</v>
      </c>
      <c r="K18" s="629" t="n"/>
      <c r="L18" s="629" t="inlineStr">
        <is>
          <t>世纪通</t>
        </is>
      </c>
    </row>
    <row r="19" ht="14.25" customHeight="1" s="184">
      <c r="A19" s="629" t="n">
        <v>18</v>
      </c>
      <c r="B19" s="539" t="n"/>
      <c r="C19" s="539" t="n">
        <v>44606</v>
      </c>
      <c r="D19" s="630" t="inlineStr">
        <is>
          <t>世纪云芯</t>
        </is>
      </c>
      <c r="E19" s="640" t="inlineStr">
        <is>
          <t>捷策创</t>
        </is>
      </c>
      <c r="F19" s="640" t="inlineStr">
        <is>
          <t>BM1362AK</t>
        </is>
      </c>
      <c r="G19" s="629" t="inlineStr">
        <is>
          <t>Y09BM1362310</t>
        </is>
      </c>
      <c r="H19" s="631" t="n">
        <v>538154</v>
      </c>
      <c r="I19" s="643" t="inlineStr">
        <is>
          <t>202202150006</t>
        </is>
      </c>
      <c r="J19" s="629" t="n">
        <v>3.3</v>
      </c>
      <c r="K19" s="629" t="n"/>
      <c r="L19" s="629" t="inlineStr">
        <is>
          <t>讯宇</t>
        </is>
      </c>
      <c r="M19" s="624" t="inlineStr">
        <is>
          <t>送深圳</t>
        </is>
      </c>
    </row>
    <row r="20" ht="14.25" customHeight="1" s="184">
      <c r="A20" s="629" t="n">
        <v>19</v>
      </c>
      <c r="B20" s="539" t="n"/>
      <c r="C20" s="539" t="n">
        <v>44606</v>
      </c>
      <c r="D20" s="630" t="inlineStr">
        <is>
          <t>世纪云芯</t>
        </is>
      </c>
      <c r="E20" s="640" t="inlineStr">
        <is>
          <t>捷策创</t>
        </is>
      </c>
      <c r="F20" s="640" t="inlineStr">
        <is>
          <t>BM1362AK</t>
        </is>
      </c>
      <c r="G20" s="629" t="inlineStr">
        <is>
          <t>Y09BM1362310</t>
        </is>
      </c>
      <c r="H20" s="631" t="n">
        <v>429398</v>
      </c>
      <c r="I20" s="634" t="inlineStr">
        <is>
          <t>202202150007</t>
        </is>
      </c>
      <c r="J20" s="629" t="n">
        <v>3.3</v>
      </c>
      <c r="K20" s="629" t="n"/>
      <c r="L20" s="629" t="inlineStr">
        <is>
          <t>讯宇</t>
        </is>
      </c>
      <c r="M20" s="624" t="inlineStr">
        <is>
          <t>送厦门</t>
        </is>
      </c>
    </row>
    <row r="21" ht="14.25" customHeight="1" s="184">
      <c r="A21" s="629" t="n">
        <v>20</v>
      </c>
      <c r="B21" s="539" t="n"/>
      <c r="C21" s="539" t="n">
        <v>44606</v>
      </c>
      <c r="D21" s="630" t="inlineStr">
        <is>
          <t>世纪云芯</t>
        </is>
      </c>
      <c r="E21" s="640" t="inlineStr">
        <is>
          <t>XJ</t>
        </is>
      </c>
      <c r="F21" s="640" t="inlineStr">
        <is>
          <t>BM1362AC</t>
        </is>
      </c>
      <c r="G21" s="629" t="inlineStr">
        <is>
          <t>Y09BM1362C00</t>
        </is>
      </c>
      <c r="H21" s="631" t="n">
        <v>101282</v>
      </c>
      <c r="I21" s="634" t="inlineStr">
        <is>
          <t>202202150008</t>
        </is>
      </c>
      <c r="J21" s="629" t="n">
        <v>3.3</v>
      </c>
      <c r="K21" s="629" t="n"/>
      <c r="L21" s="629" t="inlineStr">
        <is>
          <t>朗华</t>
        </is>
      </c>
    </row>
    <row r="22" ht="14.25" customHeight="1" s="184">
      <c r="A22" s="629" t="n">
        <v>21</v>
      </c>
      <c r="B22" s="539" t="n"/>
      <c r="C22" s="539" t="n">
        <v>44606</v>
      </c>
      <c r="D22" s="630" t="inlineStr">
        <is>
          <t>世纪云芯</t>
        </is>
      </c>
      <c r="E22" s="640" t="inlineStr">
        <is>
          <t>XJ</t>
        </is>
      </c>
      <c r="F22" s="640" t="inlineStr">
        <is>
          <t>BM1362AK</t>
        </is>
      </c>
      <c r="G22" s="629" t="inlineStr">
        <is>
          <t>Y09BM1362310</t>
        </is>
      </c>
      <c r="H22" s="631" t="n">
        <v>42324</v>
      </c>
      <c r="I22" s="634" t="inlineStr">
        <is>
          <t>202202150008</t>
        </is>
      </c>
      <c r="J22" s="629" t="n">
        <v>3.3</v>
      </c>
      <c r="K22" s="629" t="n"/>
      <c r="L22" s="629" t="inlineStr">
        <is>
          <t>朗华</t>
        </is>
      </c>
    </row>
    <row r="23" ht="14.25" customHeight="1" s="184">
      <c r="A23" s="629" t="n">
        <v>22</v>
      </c>
      <c r="B23" s="539" t="n"/>
      <c r="C23" s="539" t="n">
        <v>44606</v>
      </c>
      <c r="D23" s="630" t="inlineStr">
        <is>
          <t>世纪云芯</t>
        </is>
      </c>
      <c r="E23" s="640" t="inlineStr">
        <is>
          <t>XJ</t>
        </is>
      </c>
      <c r="F23" s="640" t="inlineStr">
        <is>
          <t>BM1489</t>
        </is>
      </c>
      <c r="G23" s="629" t="inlineStr">
        <is>
          <t>Y09BM1489010</t>
        </is>
      </c>
      <c r="H23" s="631" t="n">
        <v>159990</v>
      </c>
      <c r="I23" s="634" t="inlineStr">
        <is>
          <t>202202150008</t>
        </is>
      </c>
      <c r="J23" s="629" t="n">
        <v>6.22</v>
      </c>
      <c r="K23" s="629" t="n"/>
      <c r="L23" s="629" t="inlineStr">
        <is>
          <t>朗华</t>
        </is>
      </c>
    </row>
    <row r="24" ht="14" customHeight="1" s="184">
      <c r="A24" s="629" t="n">
        <v>23</v>
      </c>
      <c r="B24" s="539" t="n"/>
      <c r="C24" s="539" t="n">
        <v>44606</v>
      </c>
      <c r="D24" s="630" t="inlineStr">
        <is>
          <t>世纪云芯</t>
        </is>
      </c>
      <c r="E24" s="640" t="inlineStr">
        <is>
          <t>XJ</t>
        </is>
      </c>
      <c r="F24" s="640" t="inlineStr">
        <is>
          <t>BM1362AK</t>
        </is>
      </c>
      <c r="G24" s="629" t="inlineStr">
        <is>
          <t>Y09BM1362310</t>
        </is>
      </c>
      <c r="H24" s="631" t="n">
        <v>66449</v>
      </c>
      <c r="I24" s="634" t="inlineStr">
        <is>
          <t>202202150008</t>
        </is>
      </c>
      <c r="J24" s="629" t="n">
        <v>3.3</v>
      </c>
      <c r="K24" s="629" t="n"/>
      <c r="L24" s="629" t="inlineStr">
        <is>
          <t>朗华</t>
        </is>
      </c>
      <c r="M24" s="624" t="inlineStr">
        <is>
          <t>送厦门</t>
        </is>
      </c>
    </row>
    <row r="25" ht="14.25" customHeight="1" s="184">
      <c r="A25" s="629" t="n">
        <v>24</v>
      </c>
      <c r="B25" s="539" t="n"/>
      <c r="C25" s="539" t="n">
        <v>44608</v>
      </c>
      <c r="D25" s="630" t="inlineStr">
        <is>
          <t>世纪云芯</t>
        </is>
      </c>
      <c r="E25" s="640" t="inlineStr">
        <is>
          <t>SCK</t>
        </is>
      </c>
      <c r="F25" s="640" t="inlineStr">
        <is>
          <t>BM1366AB</t>
        </is>
      </c>
      <c r="G25" s="629" t="inlineStr">
        <is>
          <t>Y09BM1366120</t>
        </is>
      </c>
      <c r="H25" s="631" t="n">
        <v>135</v>
      </c>
      <c r="I25" s="634" t="inlineStr">
        <is>
          <t>202202170004</t>
        </is>
      </c>
      <c r="J25" s="629" t="n">
        <v>4.72</v>
      </c>
      <c r="K25" s="629" t="n"/>
      <c r="L25" s="629" t="inlineStr">
        <is>
          <t>富森</t>
        </is>
      </c>
    </row>
    <row r="26" ht="14.25" customHeight="1" s="184">
      <c r="A26" s="629" t="n">
        <v>25</v>
      </c>
      <c r="B26" s="539" t="n"/>
      <c r="C26" s="539" t="n">
        <v>44608</v>
      </c>
      <c r="D26" s="630" t="inlineStr">
        <is>
          <t>世纪云芯</t>
        </is>
      </c>
      <c r="E26" s="640" t="inlineStr">
        <is>
          <t>捷策创</t>
        </is>
      </c>
      <c r="F26" s="640" t="inlineStr">
        <is>
          <t>BM1362AK</t>
        </is>
      </c>
      <c r="G26" s="629" t="inlineStr">
        <is>
          <t>Y09BM1362310</t>
        </is>
      </c>
      <c r="H26" s="631" t="n">
        <v>418652</v>
      </c>
      <c r="I26" s="634" t="inlineStr">
        <is>
          <t>202202170005</t>
        </is>
      </c>
      <c r="J26" s="629" t="n">
        <v>3.3</v>
      </c>
      <c r="K26" s="629" t="n"/>
      <c r="L26" s="629" t="inlineStr">
        <is>
          <t>朗华</t>
        </is>
      </c>
    </row>
    <row r="27" ht="14.25" customHeight="1" s="184">
      <c r="A27" s="629" t="n">
        <v>26</v>
      </c>
      <c r="B27" s="539" t="n"/>
      <c r="C27" s="539" t="n">
        <v>44608</v>
      </c>
      <c r="D27" s="630" t="inlineStr">
        <is>
          <t>世纪云芯</t>
        </is>
      </c>
      <c r="E27" s="640" t="inlineStr">
        <is>
          <t>捷策创</t>
        </is>
      </c>
      <c r="F27" s="640" t="inlineStr">
        <is>
          <t>BM1362AK</t>
        </is>
      </c>
      <c r="G27" s="629" t="inlineStr">
        <is>
          <t>Y09BM1362310</t>
        </is>
      </c>
      <c r="H27" s="631" t="n">
        <v>344922</v>
      </c>
      <c r="I27" s="634" t="inlineStr">
        <is>
          <t>202202170006</t>
        </is>
      </c>
      <c r="J27" s="629" t="n">
        <v>3.3</v>
      </c>
      <c r="K27" s="629" t="n"/>
      <c r="L27" s="629" t="inlineStr">
        <is>
          <t>朗华</t>
        </is>
      </c>
      <c r="M27" s="624" t="inlineStr">
        <is>
          <t>送厦门</t>
        </is>
      </c>
    </row>
    <row r="28" ht="14.25" customHeight="1" s="184">
      <c r="A28" s="629" t="n">
        <v>27</v>
      </c>
      <c r="B28" s="539" t="n"/>
      <c r="C28" s="539" t="n">
        <v>44608</v>
      </c>
      <c r="D28" s="630" t="inlineStr">
        <is>
          <t>世纪云芯</t>
        </is>
      </c>
      <c r="E28" s="640" t="inlineStr">
        <is>
          <t>XJ</t>
        </is>
      </c>
      <c r="F28" s="640" t="inlineStr">
        <is>
          <t>BM1362AI</t>
        </is>
      </c>
      <c r="G28" s="629" t="inlineStr">
        <is>
          <t>Y09BM1362110</t>
        </is>
      </c>
      <c r="H28" s="631" t="n">
        <v>28954</v>
      </c>
      <c r="I28" s="634" t="inlineStr">
        <is>
          <t>202202170007</t>
        </is>
      </c>
      <c r="J28" s="629" t="n">
        <v>3.3</v>
      </c>
      <c r="K28" s="629" t="n"/>
      <c r="L28" s="629" t="inlineStr">
        <is>
          <t>世纪通</t>
        </is>
      </c>
    </row>
    <row r="29" ht="14.25" customHeight="1" s="184">
      <c r="A29" s="629" t="n">
        <v>28</v>
      </c>
      <c r="B29" s="539" t="n"/>
      <c r="C29" s="539" t="n">
        <v>44608</v>
      </c>
      <c r="D29" s="630" t="inlineStr">
        <is>
          <t>世纪云芯</t>
        </is>
      </c>
      <c r="E29" s="640" t="inlineStr">
        <is>
          <t>XJ</t>
        </is>
      </c>
      <c r="F29" s="640" t="inlineStr">
        <is>
          <t>BM1362AC</t>
        </is>
      </c>
      <c r="G29" s="629" t="inlineStr">
        <is>
          <t>Y09BM1362C00</t>
        </is>
      </c>
      <c r="H29" s="631" t="n">
        <v>67770</v>
      </c>
      <c r="I29" s="634" t="inlineStr">
        <is>
          <t>202202170007</t>
        </is>
      </c>
      <c r="J29" s="629" t="n">
        <v>3.3</v>
      </c>
      <c r="K29" s="629" t="n"/>
      <c r="L29" s="629" t="inlineStr">
        <is>
          <t>世纪通</t>
        </is>
      </c>
    </row>
    <row r="30" ht="14.25" customHeight="1" s="184">
      <c r="A30" s="629" t="n">
        <v>29</v>
      </c>
      <c r="B30" s="539" t="n"/>
      <c r="C30" s="539" t="n">
        <v>44608</v>
      </c>
      <c r="D30" s="630" t="inlineStr">
        <is>
          <t>世纪云芯</t>
        </is>
      </c>
      <c r="E30" s="640" t="inlineStr">
        <is>
          <t>XJ</t>
        </is>
      </c>
      <c r="F30" s="640" t="inlineStr">
        <is>
          <t>BM1362AK</t>
        </is>
      </c>
      <c r="G30" s="629" t="inlineStr">
        <is>
          <t>Y09BM1362310</t>
        </is>
      </c>
      <c r="H30" s="631" t="n">
        <v>26036</v>
      </c>
      <c r="I30" s="634" t="inlineStr">
        <is>
          <t>202202170007</t>
        </is>
      </c>
      <c r="J30" s="629" t="n">
        <v>3.3</v>
      </c>
      <c r="K30" s="629" t="n"/>
      <c r="L30" s="629" t="inlineStr">
        <is>
          <t>世纪通</t>
        </is>
      </c>
    </row>
    <row r="31" ht="14.25" customHeight="1" s="184">
      <c r="A31" s="629" t="n">
        <v>30</v>
      </c>
      <c r="B31" s="539" t="n"/>
      <c r="C31" s="539" t="n">
        <v>44608</v>
      </c>
      <c r="D31" s="630" t="inlineStr">
        <is>
          <t>世纪云芯</t>
        </is>
      </c>
      <c r="E31" s="640" t="inlineStr">
        <is>
          <t>XJ</t>
        </is>
      </c>
      <c r="F31" s="640" t="inlineStr">
        <is>
          <t>BM1362AK</t>
        </is>
      </c>
      <c r="G31" s="629" t="inlineStr">
        <is>
          <t>Y09BM1362310</t>
        </is>
      </c>
      <c r="H31" s="631" t="n">
        <v>358444</v>
      </c>
      <c r="I31" s="634" t="inlineStr">
        <is>
          <t>202202170007</t>
        </is>
      </c>
      <c r="J31" s="629" t="n">
        <v>3.3</v>
      </c>
      <c r="K31" s="629" t="n"/>
      <c r="L31" s="629" t="inlineStr">
        <is>
          <t>世纪通</t>
        </is>
      </c>
      <c r="M31" s="624" t="inlineStr">
        <is>
          <t>送厦门</t>
        </is>
      </c>
    </row>
    <row r="32" ht="14.25" customHeight="1" s="184">
      <c r="A32" s="629" t="n">
        <v>31</v>
      </c>
      <c r="B32" s="539" t="n"/>
      <c r="C32" s="539" t="n">
        <v>44608</v>
      </c>
      <c r="D32" s="630" t="inlineStr">
        <is>
          <t>世纪云芯</t>
        </is>
      </c>
      <c r="E32" s="640" t="inlineStr">
        <is>
          <t>捷策创</t>
        </is>
      </c>
      <c r="F32" s="640" t="inlineStr">
        <is>
          <t>BM1489</t>
        </is>
      </c>
      <c r="G32" s="629" t="inlineStr">
        <is>
          <t>Y09BM1489010</t>
        </is>
      </c>
      <c r="H32" s="631" t="n">
        <v>199634</v>
      </c>
      <c r="I32" s="634" t="inlineStr">
        <is>
          <t>202202170008</t>
        </is>
      </c>
      <c r="J32" s="629" t="n">
        <v>6.22</v>
      </c>
      <c r="K32" s="629" t="n"/>
      <c r="L32" s="629" t="inlineStr">
        <is>
          <t>讯宇</t>
        </is>
      </c>
    </row>
    <row r="33" ht="14.25" customHeight="1" s="184">
      <c r="A33" s="629" t="n">
        <v>32</v>
      </c>
      <c r="B33" s="539" t="n"/>
      <c r="C33" s="539" t="n">
        <v>44609</v>
      </c>
      <c r="D33" s="630" t="inlineStr">
        <is>
          <t>世纪云芯</t>
        </is>
      </c>
      <c r="E33" s="640" t="inlineStr">
        <is>
          <t>矽迈</t>
        </is>
      </c>
      <c r="F33" s="640" t="inlineStr">
        <is>
          <t>BM1362AM</t>
        </is>
      </c>
      <c r="G33" s="629" t="inlineStr">
        <is>
          <t>Y09BM1362540</t>
        </is>
      </c>
      <c r="H33" s="644" t="n">
        <v>617</v>
      </c>
      <c r="I33" s="634" t="inlineStr">
        <is>
          <t>202202190001</t>
        </is>
      </c>
      <c r="J33" s="629" t="n">
        <v>3.3</v>
      </c>
      <c r="K33" s="629" t="n"/>
      <c r="L33" s="629" t="inlineStr">
        <is>
          <t>富森</t>
        </is>
      </c>
    </row>
    <row r="34" ht="14.25" customHeight="1" s="184">
      <c r="A34" s="629" t="n">
        <v>33</v>
      </c>
      <c r="B34" s="539" t="n"/>
      <c r="C34" s="539" t="n">
        <v>44610</v>
      </c>
      <c r="D34" s="630" t="inlineStr">
        <is>
          <t>世纪云芯</t>
        </is>
      </c>
      <c r="E34" s="640" t="inlineStr">
        <is>
          <t>XJ</t>
        </is>
      </c>
      <c r="F34" s="640" t="inlineStr">
        <is>
          <t>BM1362AK</t>
        </is>
      </c>
      <c r="G34" s="629" t="inlineStr">
        <is>
          <t>Y09BM1362310</t>
        </is>
      </c>
      <c r="H34" s="644" t="n">
        <v>614195</v>
      </c>
      <c r="I34" s="634" t="inlineStr">
        <is>
          <t>202202190002</t>
        </is>
      </c>
      <c r="J34" s="629" t="n">
        <v>3.3</v>
      </c>
      <c r="K34" s="629" t="n"/>
      <c r="L34" s="629" t="inlineStr">
        <is>
          <t>朗华</t>
        </is>
      </c>
    </row>
    <row r="35" ht="14.25" customHeight="1" s="184">
      <c r="A35" s="629" t="n">
        <v>34</v>
      </c>
      <c r="B35" s="539" t="n"/>
      <c r="C35" s="539" t="n">
        <v>44610</v>
      </c>
      <c r="D35" s="630" t="inlineStr">
        <is>
          <t>世纪云芯</t>
        </is>
      </c>
      <c r="E35" s="640" t="inlineStr">
        <is>
          <t>XJ</t>
        </is>
      </c>
      <c r="F35" s="640" t="inlineStr">
        <is>
          <t>BM1398BB</t>
        </is>
      </c>
      <c r="G35" s="629" t="inlineStr">
        <is>
          <t>Y09BM1398240</t>
        </is>
      </c>
      <c r="H35" s="644" t="n">
        <v>45078</v>
      </c>
      <c r="I35" s="634" t="inlineStr">
        <is>
          <t>202202190002</t>
        </is>
      </c>
      <c r="J35" s="629" t="n">
        <v>6.1</v>
      </c>
      <c r="K35" s="629" t="n"/>
      <c r="L35" s="629" t="inlineStr">
        <is>
          <t>朗华</t>
        </is>
      </c>
    </row>
    <row r="36" ht="14.25" customHeight="1" s="184">
      <c r="A36" s="629" t="n">
        <v>35</v>
      </c>
      <c r="B36" s="539" t="n"/>
      <c r="C36" s="539" t="n">
        <v>44610</v>
      </c>
      <c r="D36" s="630" t="inlineStr">
        <is>
          <t>世纪云芯</t>
        </is>
      </c>
      <c r="E36" s="640" t="inlineStr">
        <is>
          <t>捷策创</t>
        </is>
      </c>
      <c r="F36" s="640" t="inlineStr">
        <is>
          <t>BM1398BB</t>
        </is>
      </c>
      <c r="G36" s="629" t="inlineStr">
        <is>
          <t>Y09BM1398240</t>
        </is>
      </c>
      <c r="H36" s="644" t="n">
        <v>76430</v>
      </c>
      <c r="I36" s="634" t="inlineStr">
        <is>
          <t>202202190003</t>
        </is>
      </c>
      <c r="J36" s="629" t="n">
        <v>6.1</v>
      </c>
      <c r="K36" s="629" t="n"/>
      <c r="L36" s="629" t="inlineStr">
        <is>
          <t>朗华</t>
        </is>
      </c>
    </row>
    <row r="37" ht="14.25" customHeight="1" s="184">
      <c r="A37" s="629" t="n">
        <v>36</v>
      </c>
      <c r="B37" s="539" t="n"/>
      <c r="C37" s="539" t="n">
        <v>44610</v>
      </c>
      <c r="D37" s="630" t="inlineStr">
        <is>
          <t>世纪云芯</t>
        </is>
      </c>
      <c r="E37" s="640" t="inlineStr">
        <is>
          <t>捷策创</t>
        </is>
      </c>
      <c r="F37" s="640" t="inlineStr">
        <is>
          <t>BM1362AK</t>
        </is>
      </c>
      <c r="G37" s="629" t="inlineStr">
        <is>
          <t>Y09BM1362310</t>
        </is>
      </c>
      <c r="H37" s="644" t="n">
        <v>408842</v>
      </c>
      <c r="I37" s="634" t="inlineStr">
        <is>
          <t>202202190003</t>
        </is>
      </c>
      <c r="J37" s="629" t="n">
        <v>3.3</v>
      </c>
      <c r="K37" s="629" t="n"/>
      <c r="L37" s="629" t="inlineStr">
        <is>
          <t>朗华</t>
        </is>
      </c>
    </row>
    <row r="38" ht="14.25" customHeight="1" s="184">
      <c r="A38" s="629" t="n">
        <v>37</v>
      </c>
      <c r="B38" s="539" t="n"/>
      <c r="C38" s="539" t="n">
        <v>44610</v>
      </c>
      <c r="D38" s="630" t="inlineStr">
        <is>
          <t>世纪云芯</t>
        </is>
      </c>
      <c r="E38" s="640" t="inlineStr">
        <is>
          <t>捷策创</t>
        </is>
      </c>
      <c r="F38" s="640" t="inlineStr">
        <is>
          <t>BM1362AK</t>
        </is>
      </c>
      <c r="G38" s="629" t="inlineStr">
        <is>
          <t>Y09BM1362310</t>
        </is>
      </c>
      <c r="H38" s="644" t="n">
        <v>246021</v>
      </c>
      <c r="I38" s="634" t="inlineStr">
        <is>
          <t>202202190004</t>
        </is>
      </c>
      <c r="J38" s="629" t="n">
        <v>3.3</v>
      </c>
      <c r="K38" s="629" t="n"/>
      <c r="L38" s="629" t="inlineStr">
        <is>
          <t>朗华</t>
        </is>
      </c>
      <c r="M38" s="624" t="inlineStr">
        <is>
          <t>送厦门</t>
        </is>
      </c>
    </row>
    <row r="39" ht="14.25" customHeight="1" s="184">
      <c r="A39" s="629" t="n">
        <v>38</v>
      </c>
      <c r="B39" s="539" t="n"/>
      <c r="C39" s="539" t="n">
        <v>44613</v>
      </c>
      <c r="D39" s="630" t="inlineStr">
        <is>
          <t>世纪云芯</t>
        </is>
      </c>
      <c r="E39" s="640" t="inlineStr">
        <is>
          <t>XJ</t>
        </is>
      </c>
      <c r="F39" s="640" t="inlineStr">
        <is>
          <t>BM1489</t>
        </is>
      </c>
      <c r="G39" s="629" t="inlineStr">
        <is>
          <t>Y09BM1489010</t>
        </is>
      </c>
      <c r="H39" s="644" t="n">
        <v>99303</v>
      </c>
      <c r="I39" s="634" t="inlineStr">
        <is>
          <t>202202220023</t>
        </is>
      </c>
      <c r="J39" s="629" t="n">
        <v>6.22</v>
      </c>
      <c r="K39" s="629" t="n"/>
      <c r="L39" s="629" t="inlineStr">
        <is>
          <t>朗华</t>
        </is>
      </c>
    </row>
    <row r="40" ht="14.25" customHeight="1" s="184">
      <c r="A40" s="629" t="n">
        <v>39</v>
      </c>
      <c r="B40" s="539" t="n"/>
      <c r="C40" s="539" t="n">
        <v>44613</v>
      </c>
      <c r="D40" s="630" t="inlineStr">
        <is>
          <t>世纪云芯</t>
        </is>
      </c>
      <c r="E40" s="640" t="inlineStr">
        <is>
          <t>捷策创</t>
        </is>
      </c>
      <c r="F40" s="640" t="inlineStr">
        <is>
          <t>BM1362AC</t>
        </is>
      </c>
      <c r="G40" s="629" t="inlineStr">
        <is>
          <t>Y09BM1362C00</t>
        </is>
      </c>
      <c r="H40" s="644" t="n">
        <v>415611</v>
      </c>
      <c r="I40" s="634" t="inlineStr">
        <is>
          <t>202202220024</t>
        </is>
      </c>
      <c r="J40" s="629" t="n">
        <v>3.3</v>
      </c>
      <c r="K40" s="629" t="n"/>
      <c r="L40" s="629" t="inlineStr">
        <is>
          <t>世纪通</t>
        </is>
      </c>
    </row>
    <row r="41" ht="14.25" customHeight="1" s="184">
      <c r="A41" s="629" t="n">
        <v>40</v>
      </c>
      <c r="B41" s="539" t="n"/>
      <c r="C41" s="539" t="n">
        <v>44613</v>
      </c>
      <c r="D41" s="630" t="inlineStr">
        <is>
          <t>世纪云芯</t>
        </is>
      </c>
      <c r="E41" s="640" t="inlineStr">
        <is>
          <t>捷策创</t>
        </is>
      </c>
      <c r="F41" s="640" t="inlineStr">
        <is>
          <t>BM1362AK</t>
        </is>
      </c>
      <c r="G41" s="629" t="inlineStr">
        <is>
          <t>Y09BM1362310</t>
        </is>
      </c>
      <c r="H41" s="644" t="n">
        <v>473433</v>
      </c>
      <c r="I41" s="634" t="inlineStr">
        <is>
          <t>202202220024</t>
        </is>
      </c>
      <c r="J41" s="629" t="n">
        <v>3.3</v>
      </c>
      <c r="K41" s="629" t="n"/>
      <c r="L41" s="629" t="inlineStr">
        <is>
          <t>世纪通</t>
        </is>
      </c>
    </row>
    <row r="42" ht="14.25" customHeight="1" s="184">
      <c r="A42" s="629" t="n">
        <v>41</v>
      </c>
      <c r="B42" s="539" t="n"/>
      <c r="C42" s="539" t="n">
        <v>44613</v>
      </c>
      <c r="D42" s="630" t="inlineStr">
        <is>
          <t>世纪云芯</t>
        </is>
      </c>
      <c r="E42" s="640" t="inlineStr">
        <is>
          <t>XJ</t>
        </is>
      </c>
      <c r="F42" s="640" t="inlineStr">
        <is>
          <t>BM1362AK</t>
        </is>
      </c>
      <c r="G42" s="629" t="inlineStr">
        <is>
          <t>Y09BM1362310</t>
        </is>
      </c>
      <c r="H42" s="644" t="n">
        <v>471387</v>
      </c>
      <c r="I42" s="634" t="inlineStr">
        <is>
          <t>202202220025</t>
        </is>
      </c>
      <c r="J42" s="629" t="n">
        <v>3.3</v>
      </c>
      <c r="K42" s="629" t="n"/>
      <c r="L42" s="629" t="inlineStr">
        <is>
          <t>朗华</t>
        </is>
      </c>
    </row>
    <row r="43" ht="14.25" customHeight="1" s="184">
      <c r="A43" s="629" t="n">
        <v>42</v>
      </c>
      <c r="B43" s="539" t="n"/>
      <c r="C43" s="539" t="n">
        <v>44613</v>
      </c>
      <c r="D43" s="630" t="inlineStr">
        <is>
          <t>世纪云芯</t>
        </is>
      </c>
      <c r="E43" s="640" t="inlineStr">
        <is>
          <t>XJ</t>
        </is>
      </c>
      <c r="F43" s="640" t="inlineStr">
        <is>
          <t>BM1362AI</t>
        </is>
      </c>
      <c r="G43" s="629" t="inlineStr">
        <is>
          <t>Y09BM1362110</t>
        </is>
      </c>
      <c r="H43" s="644" t="n">
        <v>1099459</v>
      </c>
      <c r="I43" s="634" t="inlineStr">
        <is>
          <t>202202220025</t>
        </is>
      </c>
      <c r="J43" s="629" t="n">
        <v>3.3</v>
      </c>
      <c r="K43" s="629" t="n"/>
      <c r="L43" s="629" t="inlineStr">
        <is>
          <t>朗华</t>
        </is>
      </c>
    </row>
    <row r="44" ht="14.25" customHeight="1" s="184">
      <c r="A44" s="629" t="n">
        <v>43</v>
      </c>
      <c r="B44" s="539" t="n"/>
      <c r="C44" s="539" t="n">
        <v>44613</v>
      </c>
      <c r="D44" s="630" t="inlineStr">
        <is>
          <t>世纪云芯</t>
        </is>
      </c>
      <c r="E44" s="640" t="inlineStr">
        <is>
          <t>XJ</t>
        </is>
      </c>
      <c r="F44" s="640" t="inlineStr">
        <is>
          <t>BM1362AC</t>
        </is>
      </c>
      <c r="G44" s="629" t="inlineStr">
        <is>
          <t>Y09BM1362C00</t>
        </is>
      </c>
      <c r="H44" s="644" t="n">
        <v>152831</v>
      </c>
      <c r="I44" s="634" t="inlineStr">
        <is>
          <t>202202220025</t>
        </is>
      </c>
      <c r="J44" s="629" t="n">
        <v>3.3</v>
      </c>
      <c r="K44" s="629" t="n"/>
      <c r="L44" s="629" t="inlineStr">
        <is>
          <t>朗华</t>
        </is>
      </c>
    </row>
    <row r="45" ht="14.25" customHeight="1" s="184">
      <c r="A45" s="629" t="n">
        <v>44</v>
      </c>
      <c r="B45" s="539" t="n"/>
      <c r="C45" s="539" t="n">
        <v>44613</v>
      </c>
      <c r="D45" s="630" t="inlineStr">
        <is>
          <t>世纪云芯</t>
        </is>
      </c>
      <c r="E45" s="640" t="inlineStr">
        <is>
          <t>XJ</t>
        </is>
      </c>
      <c r="F45" s="640" t="inlineStr">
        <is>
          <t>BM1362AA</t>
        </is>
      </c>
      <c r="G45" s="629" t="inlineStr">
        <is>
          <t>Y09BM1362A00</t>
        </is>
      </c>
      <c r="H45" s="644" t="n">
        <v>6300</v>
      </c>
      <c r="I45" s="634" t="inlineStr">
        <is>
          <t>202202220025</t>
        </is>
      </c>
      <c r="J45" s="629" t="n">
        <v>3.3</v>
      </c>
      <c r="K45" s="629" t="n"/>
      <c r="L45" s="629" t="inlineStr">
        <is>
          <t>朗华</t>
        </is>
      </c>
    </row>
    <row r="46" ht="14.25" customHeight="1" s="184">
      <c r="A46" s="629" t="n">
        <v>45</v>
      </c>
      <c r="B46" s="539" t="n"/>
      <c r="C46" s="539" t="n">
        <v>44613</v>
      </c>
      <c r="D46" s="630" t="inlineStr">
        <is>
          <t>世纪云芯</t>
        </is>
      </c>
      <c r="E46" s="640" t="inlineStr">
        <is>
          <t>JSCC</t>
        </is>
      </c>
      <c r="F46" s="640" t="inlineStr">
        <is>
          <t>BM1362AC</t>
        </is>
      </c>
      <c r="G46" s="629" t="inlineStr">
        <is>
          <t>Y09BM1362C00</t>
        </is>
      </c>
      <c r="H46" s="644" t="n">
        <v>373952</v>
      </c>
      <c r="I46" s="634" t="inlineStr">
        <is>
          <t>202202220026</t>
        </is>
      </c>
      <c r="J46" s="629" t="n">
        <v>3.3</v>
      </c>
      <c r="K46" s="629" t="n"/>
      <c r="L46" s="629" t="inlineStr">
        <is>
          <t>朗华</t>
        </is>
      </c>
    </row>
    <row r="47" ht="14.25" customHeight="1" s="184">
      <c r="A47" s="629" t="n">
        <v>46</v>
      </c>
      <c r="B47" s="539" t="n"/>
      <c r="C47" s="539" t="n">
        <v>44614</v>
      </c>
      <c r="D47" s="630" t="inlineStr">
        <is>
          <t>世纪云芯</t>
        </is>
      </c>
      <c r="E47" s="640" t="inlineStr">
        <is>
          <t>SCK</t>
        </is>
      </c>
      <c r="F47" s="640" t="inlineStr">
        <is>
          <t>BM1366AJ</t>
        </is>
      </c>
      <c r="G47" s="629" t="inlineStr">
        <is>
          <t>Y09BM1366A20</t>
        </is>
      </c>
      <c r="H47" s="644" t="n">
        <v>154</v>
      </c>
      <c r="I47" s="634" t="inlineStr">
        <is>
          <t>202202230042</t>
        </is>
      </c>
      <c r="J47" s="629" t="n">
        <v>4.72</v>
      </c>
      <c r="K47" s="629" t="n"/>
      <c r="L47" s="629" t="inlineStr">
        <is>
          <t>富森</t>
        </is>
      </c>
    </row>
    <row r="48" ht="14.25" customHeight="1" s="184">
      <c r="A48" s="629" t="n">
        <v>47</v>
      </c>
      <c r="B48" s="539" t="n"/>
      <c r="C48" s="539" t="n">
        <v>44615</v>
      </c>
      <c r="D48" s="630" t="inlineStr">
        <is>
          <t>世纪云芯</t>
        </is>
      </c>
      <c r="E48" s="640" t="inlineStr">
        <is>
          <t>捷策创</t>
        </is>
      </c>
      <c r="F48" s="640" t="inlineStr">
        <is>
          <t>BM1362AC</t>
        </is>
      </c>
      <c r="G48" s="629" t="inlineStr">
        <is>
          <t>Y09BM1362C00</t>
        </is>
      </c>
      <c r="H48" s="644" t="n">
        <v>474434</v>
      </c>
      <c r="I48" s="634" t="inlineStr">
        <is>
          <t>202202230043</t>
        </is>
      </c>
      <c r="J48" s="629" t="n">
        <v>3.3</v>
      </c>
      <c r="K48" s="629" t="n"/>
      <c r="L48" s="629" t="inlineStr">
        <is>
          <t>讯宇</t>
        </is>
      </c>
    </row>
    <row r="49" ht="14.25" customHeight="1" s="184">
      <c r="A49" s="629" t="n">
        <v>48</v>
      </c>
      <c r="B49" s="539" t="n"/>
      <c r="C49" s="539" t="n">
        <v>44615</v>
      </c>
      <c r="D49" s="630" t="inlineStr">
        <is>
          <t>世纪云芯</t>
        </is>
      </c>
      <c r="E49" s="640" t="inlineStr">
        <is>
          <t>捷策创</t>
        </is>
      </c>
      <c r="F49" s="640" t="inlineStr">
        <is>
          <t>BM1362AK</t>
        </is>
      </c>
      <c r="G49" s="629" t="inlineStr">
        <is>
          <t>Y09BM1362310</t>
        </is>
      </c>
      <c r="H49" s="644" t="n">
        <v>222920</v>
      </c>
      <c r="I49" s="634" t="inlineStr">
        <is>
          <t>202202230043</t>
        </is>
      </c>
      <c r="J49" s="629" t="n">
        <v>3.3</v>
      </c>
      <c r="K49" s="629" t="n"/>
      <c r="L49" s="629" t="inlineStr">
        <is>
          <t>讯宇</t>
        </is>
      </c>
    </row>
    <row r="50" ht="14.25" customHeight="1" s="184">
      <c r="A50" s="629" t="n">
        <v>49</v>
      </c>
      <c r="B50" s="539" t="n"/>
      <c r="C50" s="539" t="n">
        <v>44615</v>
      </c>
      <c r="D50" s="630" t="inlineStr">
        <is>
          <t>世纪云芯</t>
        </is>
      </c>
      <c r="E50" s="640" t="inlineStr">
        <is>
          <t>XJ</t>
        </is>
      </c>
      <c r="F50" s="640" t="inlineStr">
        <is>
          <t>BM1362AK</t>
        </is>
      </c>
      <c r="G50" s="629" t="inlineStr">
        <is>
          <t>Y09BM1362310</t>
        </is>
      </c>
      <c r="H50" s="644" t="n">
        <v>656055</v>
      </c>
      <c r="I50" s="634" t="inlineStr">
        <is>
          <t>202202230044</t>
        </is>
      </c>
      <c r="J50" s="629" t="n">
        <v>3.3</v>
      </c>
      <c r="K50" s="629" t="n"/>
      <c r="L50" s="629" t="inlineStr">
        <is>
          <t>朗华</t>
        </is>
      </c>
    </row>
    <row r="51" ht="14.25" customHeight="1" s="184">
      <c r="A51" s="629" t="n">
        <v>50</v>
      </c>
      <c r="B51" s="539" t="n"/>
      <c r="C51" s="539" t="n">
        <v>44615</v>
      </c>
      <c r="D51" s="630" t="inlineStr">
        <is>
          <t>世纪云芯</t>
        </is>
      </c>
      <c r="E51" s="640" t="inlineStr">
        <is>
          <t>XJ</t>
        </is>
      </c>
      <c r="F51" s="640" t="inlineStr">
        <is>
          <t>BM1362AC</t>
        </is>
      </c>
      <c r="G51" s="629" t="inlineStr">
        <is>
          <t>Y09BM1362C00</t>
        </is>
      </c>
      <c r="H51" s="644" t="n">
        <v>43545</v>
      </c>
      <c r="I51" s="634" t="inlineStr">
        <is>
          <t>202202230044</t>
        </is>
      </c>
      <c r="J51" s="629" t="n">
        <v>3.3</v>
      </c>
      <c r="K51" s="629" t="n"/>
      <c r="L51" s="629" t="inlineStr">
        <is>
          <t>朗华</t>
        </is>
      </c>
    </row>
    <row r="52" ht="14.25" customHeight="1" s="184">
      <c r="A52" s="629" t="n">
        <v>51</v>
      </c>
      <c r="B52" s="539" t="n"/>
      <c r="C52" s="539" t="n">
        <v>44615</v>
      </c>
      <c r="D52" s="630" t="inlineStr">
        <is>
          <t>世纪云芯</t>
        </is>
      </c>
      <c r="E52" s="640" t="inlineStr">
        <is>
          <t>XJ</t>
        </is>
      </c>
      <c r="F52" s="640" t="inlineStr">
        <is>
          <t>BM1362AI</t>
        </is>
      </c>
      <c r="G52" s="629" t="inlineStr">
        <is>
          <t>Y09BM1362110</t>
        </is>
      </c>
      <c r="H52" s="644" t="n">
        <v>757838</v>
      </c>
      <c r="I52" s="634" t="inlineStr">
        <is>
          <t>202202230044</t>
        </is>
      </c>
      <c r="J52" s="629" t="n">
        <v>3.3</v>
      </c>
      <c r="K52" s="629" t="n"/>
      <c r="L52" s="629" t="inlineStr">
        <is>
          <t>朗华</t>
        </is>
      </c>
    </row>
    <row r="53" ht="14.25" customHeight="1" s="184">
      <c r="A53" s="629" t="n">
        <v>52</v>
      </c>
      <c r="B53" s="539" t="n"/>
      <c r="C53" s="539" t="n">
        <v>44615</v>
      </c>
      <c r="D53" s="630" t="inlineStr">
        <is>
          <t>世纪云芯</t>
        </is>
      </c>
      <c r="E53" s="640" t="inlineStr">
        <is>
          <t>XJ</t>
        </is>
      </c>
      <c r="F53" s="640" t="inlineStr">
        <is>
          <t>BM1489</t>
        </is>
      </c>
      <c r="G53" s="629" t="inlineStr">
        <is>
          <t>Y09BM1489010</t>
        </is>
      </c>
      <c r="H53" s="644" t="n">
        <v>204071</v>
      </c>
      <c r="I53" s="634" t="inlineStr">
        <is>
          <t>202202230044</t>
        </is>
      </c>
      <c r="J53" s="629" t="n">
        <v>6.22</v>
      </c>
      <c r="K53" s="629" t="n"/>
      <c r="L53" s="629" t="inlineStr">
        <is>
          <t>朗华</t>
        </is>
      </c>
    </row>
    <row r="54" ht="14.25" customHeight="1" s="184">
      <c r="A54" s="629" t="n">
        <v>53</v>
      </c>
      <c r="B54" s="539" t="n"/>
      <c r="C54" s="539" t="n">
        <v>44615</v>
      </c>
      <c r="D54" s="630" t="inlineStr">
        <is>
          <t>世纪云芯</t>
        </is>
      </c>
      <c r="E54" s="640" t="inlineStr">
        <is>
          <t>ASEKH</t>
        </is>
      </c>
      <c r="F54" s="640" t="inlineStr">
        <is>
          <t>BM1362AT</t>
        </is>
      </c>
      <c r="G54" s="629" t="inlineStr">
        <is>
          <t>Y09BM1366750</t>
        </is>
      </c>
      <c r="H54" s="644" t="n">
        <v>658</v>
      </c>
      <c r="I54" s="634" t="inlineStr">
        <is>
          <t>202202230045</t>
        </is>
      </c>
      <c r="J54" s="629" t="n">
        <v>3.3</v>
      </c>
      <c r="K54" s="629" t="n"/>
      <c r="L54" s="629" t="inlineStr">
        <is>
          <t>朗华</t>
        </is>
      </c>
    </row>
    <row r="55" ht="14.25" customHeight="1" s="184">
      <c r="A55" s="629" t="n">
        <v>54</v>
      </c>
      <c r="B55" s="539" t="n"/>
      <c r="C55" s="539" t="n">
        <v>44615</v>
      </c>
      <c r="D55" s="630" t="inlineStr">
        <is>
          <t>世纪云芯</t>
        </is>
      </c>
      <c r="E55" s="640" t="inlineStr">
        <is>
          <t>ASEKH</t>
        </is>
      </c>
      <c r="F55" s="640" t="inlineStr">
        <is>
          <t>BM1362AT</t>
        </is>
      </c>
      <c r="G55" s="629" t="inlineStr">
        <is>
          <t>Y09BM1366750</t>
        </is>
      </c>
      <c r="H55" s="644" t="n">
        <v>675</v>
      </c>
      <c r="I55" s="634" t="inlineStr">
        <is>
          <t>202202230045</t>
        </is>
      </c>
      <c r="J55" s="629" t="n">
        <v>3.3</v>
      </c>
      <c r="K55" s="629" t="n"/>
      <c r="L55" s="629" t="inlineStr">
        <is>
          <t>朗华</t>
        </is>
      </c>
    </row>
    <row r="56" ht="14.25" customHeight="1" s="184">
      <c r="A56" s="629" t="n">
        <v>55</v>
      </c>
      <c r="B56" s="539" t="n"/>
      <c r="C56" s="539" t="n">
        <v>44615</v>
      </c>
      <c r="D56" s="630" t="inlineStr">
        <is>
          <t>世纪云芯</t>
        </is>
      </c>
      <c r="E56" s="640" t="inlineStr">
        <is>
          <t>ASESH</t>
        </is>
      </c>
      <c r="F56" s="640" t="inlineStr">
        <is>
          <t>BM1362AC</t>
        </is>
      </c>
      <c r="G56" s="629" t="inlineStr">
        <is>
          <t>Y09BM1362C00</t>
        </is>
      </c>
      <c r="H56" s="645" t="n">
        <v>312068</v>
      </c>
      <c r="I56" s="634" t="inlineStr">
        <is>
          <t>202202230045</t>
        </is>
      </c>
      <c r="J56" s="629" t="n">
        <v>3.3</v>
      </c>
      <c r="K56" s="629" t="n"/>
      <c r="L56" s="629" t="inlineStr">
        <is>
          <t>朗华</t>
        </is>
      </c>
    </row>
    <row r="57" ht="14.25" customHeight="1" s="184">
      <c r="A57" s="629" t="n">
        <v>56</v>
      </c>
      <c r="C57" s="580" t="n">
        <v>44617</v>
      </c>
      <c r="D57" s="646" t="inlineStr">
        <is>
          <t>世纪云芯</t>
        </is>
      </c>
      <c r="E57" s="647" t="inlineStr">
        <is>
          <t>XJ</t>
        </is>
      </c>
      <c r="F57" s="647" t="inlineStr">
        <is>
          <t>BM1362AK</t>
        </is>
      </c>
      <c r="G57" s="629" t="inlineStr">
        <is>
          <t>Y09BM1362310</t>
        </is>
      </c>
      <c r="H57" s="648" t="inlineStr">
        <is>
          <t xml:space="preserve">823011 </t>
        </is>
      </c>
      <c r="I57" s="634" t="inlineStr">
        <is>
          <t>202202260001</t>
        </is>
      </c>
      <c r="J57" s="629" t="n">
        <v>3.3</v>
      </c>
      <c r="K57" s="629" t="n"/>
      <c r="L57" s="649" t="inlineStr">
        <is>
          <t>朗华</t>
        </is>
      </c>
      <c r="M57" s="650" t="n"/>
    </row>
    <row r="58" ht="14.25" customHeight="1" s="184">
      <c r="A58" s="629" t="n">
        <v>57</v>
      </c>
      <c r="C58" s="580" t="n">
        <v>44617</v>
      </c>
      <c r="D58" s="646" t="inlineStr">
        <is>
          <t>世纪云芯</t>
        </is>
      </c>
      <c r="E58" s="647" t="inlineStr">
        <is>
          <t>XJ</t>
        </is>
      </c>
      <c r="F58" s="647" t="inlineStr">
        <is>
          <t>BM1362AC</t>
        </is>
      </c>
      <c r="G58" s="629" t="inlineStr">
        <is>
          <t>Y09BM1362C00</t>
        </is>
      </c>
      <c r="H58" s="648" t="inlineStr">
        <is>
          <t xml:space="preserve">783790 </t>
        </is>
      </c>
      <c r="I58" s="634" t="inlineStr">
        <is>
          <t>202202260001</t>
        </is>
      </c>
      <c r="J58" s="629" t="n">
        <v>3.3</v>
      </c>
      <c r="K58" s="629" t="n"/>
      <c r="L58" s="649" t="inlineStr">
        <is>
          <t>朗华</t>
        </is>
      </c>
      <c r="M58" s="650" t="n"/>
    </row>
    <row r="59" ht="14.25" customHeight="1" s="184">
      <c r="A59" s="629" t="n">
        <v>58</v>
      </c>
      <c r="C59" s="580" t="n">
        <v>44617</v>
      </c>
      <c r="D59" s="646" t="inlineStr">
        <is>
          <t>世纪云芯</t>
        </is>
      </c>
      <c r="E59" s="647" t="inlineStr">
        <is>
          <t>XJ</t>
        </is>
      </c>
      <c r="F59" s="647" t="inlineStr">
        <is>
          <t>BM1362AI</t>
        </is>
      </c>
      <c r="G59" s="629" t="inlineStr">
        <is>
          <t>Y09BM1362110</t>
        </is>
      </c>
      <c r="H59" s="648" t="inlineStr">
        <is>
          <t xml:space="preserve">1360589 </t>
        </is>
      </c>
      <c r="I59" s="634" t="inlineStr">
        <is>
          <t>202202260001</t>
        </is>
      </c>
      <c r="J59" s="629" t="n">
        <v>3.3</v>
      </c>
      <c r="K59" s="629" t="n"/>
      <c r="L59" s="649" t="inlineStr">
        <is>
          <t>朗华</t>
        </is>
      </c>
      <c r="M59" s="650" t="n"/>
    </row>
    <row r="60" ht="14.25" customHeight="1" s="184">
      <c r="A60" s="629" t="n">
        <v>59</v>
      </c>
      <c r="C60" s="580" t="n">
        <v>44617</v>
      </c>
      <c r="D60" s="646" t="inlineStr">
        <is>
          <t>世纪云芯</t>
        </is>
      </c>
      <c r="E60" s="647" t="inlineStr">
        <is>
          <t>XJ</t>
        </is>
      </c>
      <c r="F60" s="647" t="inlineStr">
        <is>
          <t>BM1362AA</t>
        </is>
      </c>
      <c r="G60" s="629" t="inlineStr">
        <is>
          <t>Y09BM1362A00</t>
        </is>
      </c>
      <c r="H60" s="648" t="inlineStr">
        <is>
          <t xml:space="preserve">7592 </t>
        </is>
      </c>
      <c r="I60" s="634" t="inlineStr">
        <is>
          <t>202202260001</t>
        </is>
      </c>
      <c r="J60" s="629" t="n">
        <v>3.3</v>
      </c>
      <c r="K60" s="629" t="n"/>
      <c r="L60" s="649" t="inlineStr">
        <is>
          <t>朗华</t>
        </is>
      </c>
      <c r="M60" s="650" t="n"/>
    </row>
    <row r="61" ht="14.25" customHeight="1" s="184">
      <c r="A61" s="629" t="n">
        <v>59</v>
      </c>
      <c r="C61" s="580" t="n">
        <v>44617</v>
      </c>
      <c r="D61" s="646" t="inlineStr">
        <is>
          <t>世纪云芯</t>
        </is>
      </c>
      <c r="E61" s="647" t="inlineStr">
        <is>
          <t>XJ</t>
        </is>
      </c>
      <c r="F61" s="647" t="inlineStr">
        <is>
          <t>BM1398BB</t>
        </is>
      </c>
      <c r="G61" s="629" t="inlineStr">
        <is>
          <t>Y09BM1398240</t>
        </is>
      </c>
      <c r="H61" s="648" t="inlineStr">
        <is>
          <t xml:space="preserve">46354 </t>
        </is>
      </c>
      <c r="I61" s="634" t="inlineStr">
        <is>
          <t>202202260001</t>
        </is>
      </c>
      <c r="J61" s="629" t="n">
        <v>6.1</v>
      </c>
      <c r="K61" s="629" t="n"/>
      <c r="L61" s="649" t="inlineStr">
        <is>
          <t>朗华</t>
        </is>
      </c>
      <c r="M61" s="650" t="n"/>
    </row>
    <row r="62" ht="14.25" customHeight="1" s="184">
      <c r="A62" s="629" t="n">
        <v>61</v>
      </c>
      <c r="C62" s="580" t="n">
        <v>44617</v>
      </c>
      <c r="D62" s="646" t="inlineStr">
        <is>
          <t>世纪云芯</t>
        </is>
      </c>
      <c r="E62" s="647" t="inlineStr">
        <is>
          <t>XJ</t>
        </is>
      </c>
      <c r="F62" s="647" t="inlineStr">
        <is>
          <t>BM1489</t>
        </is>
      </c>
      <c r="G62" s="629" t="inlineStr">
        <is>
          <t>Y09BM1489010</t>
        </is>
      </c>
      <c r="H62" s="651" t="n">
        <v>111397</v>
      </c>
      <c r="I62" s="634" t="inlineStr">
        <is>
          <t>202202260001</t>
        </is>
      </c>
      <c r="J62" s="629" t="n">
        <v>6.22</v>
      </c>
      <c r="K62" s="629" t="n"/>
      <c r="L62" s="649" t="inlineStr">
        <is>
          <t>朗华</t>
        </is>
      </c>
      <c r="M62" s="650" t="n"/>
    </row>
    <row r="63" ht="14.25" customHeight="1" s="184">
      <c r="A63" s="629" t="n">
        <v>62</v>
      </c>
      <c r="C63" s="580" t="n">
        <v>44617</v>
      </c>
      <c r="D63" s="646" t="inlineStr">
        <is>
          <t>世纪云芯</t>
        </is>
      </c>
      <c r="E63" s="647" t="inlineStr">
        <is>
          <t>捷策创</t>
        </is>
      </c>
      <c r="F63" s="647" t="inlineStr">
        <is>
          <t>BM1362AC</t>
        </is>
      </c>
      <c r="G63" s="629" t="inlineStr">
        <is>
          <t>Y09BM1362C00</t>
        </is>
      </c>
      <c r="H63" s="648" t="inlineStr">
        <is>
          <t xml:space="preserve">444612 </t>
        </is>
      </c>
      <c r="I63" s="634" t="inlineStr">
        <is>
          <t>202202260002</t>
        </is>
      </c>
      <c r="J63" s="629" t="n">
        <v>3.3</v>
      </c>
      <c r="K63" s="629" t="n"/>
      <c r="L63" s="649" t="inlineStr">
        <is>
          <t>朗华</t>
        </is>
      </c>
      <c r="M63" s="650" t="n"/>
    </row>
    <row r="64" ht="14.25" customHeight="1" s="184">
      <c r="A64" s="629" t="n">
        <v>63</v>
      </c>
      <c r="C64" s="580" t="n">
        <v>44617</v>
      </c>
      <c r="D64" s="646" t="inlineStr">
        <is>
          <t>世纪云芯</t>
        </is>
      </c>
      <c r="E64" s="647" t="inlineStr">
        <is>
          <t>捷策创</t>
        </is>
      </c>
      <c r="F64" s="647" t="inlineStr">
        <is>
          <t>BM1362AK</t>
        </is>
      </c>
      <c r="G64" s="629" t="inlineStr">
        <is>
          <t>Y09BM1362310</t>
        </is>
      </c>
      <c r="H64" s="648" t="inlineStr">
        <is>
          <t xml:space="preserve">287807 </t>
        </is>
      </c>
      <c r="I64" s="634" t="inlineStr">
        <is>
          <t>202202260002</t>
        </is>
      </c>
      <c r="J64" s="629" t="n">
        <v>3.3</v>
      </c>
      <c r="K64" s="629" t="n"/>
      <c r="L64" s="649" t="inlineStr">
        <is>
          <t>朗华</t>
        </is>
      </c>
      <c r="M64" s="650" t="n"/>
    </row>
    <row r="65" ht="14.25" customHeight="1" s="184">
      <c r="A65" s="629" t="n">
        <v>64</v>
      </c>
      <c r="C65" s="580" t="n">
        <v>44617</v>
      </c>
      <c r="D65" s="646" t="inlineStr">
        <is>
          <t>世纪云芯</t>
        </is>
      </c>
      <c r="E65" s="647" t="inlineStr">
        <is>
          <t>捷策创</t>
        </is>
      </c>
      <c r="F65" s="647" t="inlineStr">
        <is>
          <t>BM1362AC</t>
        </is>
      </c>
      <c r="G65" s="629" t="inlineStr">
        <is>
          <t>Y09BM1362C00</t>
        </is>
      </c>
      <c r="H65" s="648" t="inlineStr">
        <is>
          <t xml:space="preserve">826678 </t>
        </is>
      </c>
      <c r="I65" s="634" t="inlineStr">
        <is>
          <t>202202260003</t>
        </is>
      </c>
      <c r="J65" s="629" t="n">
        <v>3.3</v>
      </c>
      <c r="K65" s="629" t="n"/>
      <c r="L65" s="649" t="inlineStr">
        <is>
          <t>朗华</t>
        </is>
      </c>
      <c r="M65" s="650" t="inlineStr">
        <is>
          <t>送厦门</t>
        </is>
      </c>
    </row>
    <row r="66" ht="14.25" customHeight="1" s="184">
      <c r="A66" s="629" t="n">
        <v>65</v>
      </c>
      <c r="C66" s="580" t="n">
        <v>44620</v>
      </c>
      <c r="D66" s="646" t="inlineStr">
        <is>
          <t>世纪云芯</t>
        </is>
      </c>
      <c r="E66" s="647" t="inlineStr">
        <is>
          <t>捷策创</t>
        </is>
      </c>
      <c r="F66" s="647" t="inlineStr">
        <is>
          <t>BM1362AK</t>
        </is>
      </c>
      <c r="G66" s="629" t="inlineStr">
        <is>
          <t>Y09BM1362310</t>
        </is>
      </c>
      <c r="H66" s="652" t="n">
        <v>362307</v>
      </c>
      <c r="I66" s="559" t="inlineStr">
        <is>
          <t>202203010030</t>
        </is>
      </c>
      <c r="J66" s="629" t="n">
        <v>3.3</v>
      </c>
      <c r="K66" s="629" t="n"/>
      <c r="L66" s="649" t="inlineStr">
        <is>
          <t>世纪通</t>
        </is>
      </c>
      <c r="M66" s="650" t="n"/>
    </row>
    <row r="67" ht="14.25" customHeight="1" s="184">
      <c r="A67" s="629" t="n">
        <v>66</v>
      </c>
      <c r="C67" s="580" t="n">
        <v>44620</v>
      </c>
      <c r="D67" s="646" t="inlineStr">
        <is>
          <t>世纪云芯</t>
        </is>
      </c>
      <c r="E67" s="647" t="inlineStr">
        <is>
          <t>XJ</t>
        </is>
      </c>
      <c r="F67" s="647" t="inlineStr">
        <is>
          <t>BM1362AC</t>
        </is>
      </c>
      <c r="G67" s="629" t="inlineStr">
        <is>
          <t>Y09BM1362C00</t>
        </is>
      </c>
      <c r="H67" s="653" t="n">
        <v>180695</v>
      </c>
      <c r="I67" s="559" t="inlineStr">
        <is>
          <t>202203010031</t>
        </is>
      </c>
      <c r="J67" s="629" t="n">
        <v>3.3</v>
      </c>
      <c r="K67" s="629" t="n"/>
      <c r="L67" s="649" t="inlineStr">
        <is>
          <t>朗华</t>
        </is>
      </c>
      <c r="M67" s="650" t="n"/>
    </row>
    <row r="68" ht="14.25" customHeight="1" s="184">
      <c r="A68" s="629" t="n">
        <v>67</v>
      </c>
      <c r="C68" s="580" t="n">
        <v>44620</v>
      </c>
      <c r="D68" s="646" t="inlineStr">
        <is>
          <t>世纪云芯</t>
        </is>
      </c>
      <c r="E68" s="647" t="inlineStr">
        <is>
          <t>XJ</t>
        </is>
      </c>
      <c r="F68" s="647" t="inlineStr">
        <is>
          <t>BM1362AK</t>
        </is>
      </c>
      <c r="G68" s="629" t="inlineStr">
        <is>
          <t>Y09BM1362310</t>
        </is>
      </c>
      <c r="H68" s="653" t="n">
        <v>401722</v>
      </c>
      <c r="I68" s="559" t="inlineStr">
        <is>
          <t>202203010031</t>
        </is>
      </c>
      <c r="J68" s="629" t="n">
        <v>3.3</v>
      </c>
      <c r="K68" s="629" t="n"/>
      <c r="L68" s="649" t="inlineStr">
        <is>
          <t>朗华</t>
        </is>
      </c>
      <c r="M68" s="650" t="n"/>
    </row>
    <row r="69" ht="14.25" customHeight="1" s="184">
      <c r="A69" s="629" t="n">
        <v>68</v>
      </c>
      <c r="C69" s="580" t="n">
        <v>44620</v>
      </c>
      <c r="D69" s="646" t="inlineStr">
        <is>
          <t>世纪云芯</t>
        </is>
      </c>
      <c r="E69" s="647" t="inlineStr">
        <is>
          <t>XJ</t>
        </is>
      </c>
      <c r="F69" s="647" t="inlineStr">
        <is>
          <t>BM1362AI</t>
        </is>
      </c>
      <c r="G69" s="629" t="inlineStr">
        <is>
          <t>Y09BM1362110</t>
        </is>
      </c>
      <c r="H69" s="652" t="n">
        <v>1324763</v>
      </c>
      <c r="I69" s="559" t="inlineStr">
        <is>
          <t>202203010031</t>
        </is>
      </c>
      <c r="J69" s="629" t="n">
        <v>3.3</v>
      </c>
      <c r="K69" s="629" t="n"/>
      <c r="L69" s="649" t="inlineStr">
        <is>
          <t>朗华</t>
        </is>
      </c>
      <c r="M69" s="650" t="n"/>
    </row>
    <row r="70" ht="14.25" customHeight="1" s="184">
      <c r="A70" s="629" t="n">
        <v>69</v>
      </c>
      <c r="C70" s="580" t="n">
        <v>44620</v>
      </c>
      <c r="D70" s="646" t="inlineStr">
        <is>
          <t>世纪云芯</t>
        </is>
      </c>
      <c r="E70" s="647" t="inlineStr">
        <is>
          <t>XJ</t>
        </is>
      </c>
      <c r="F70" s="647" t="inlineStr">
        <is>
          <t>BM1362AI</t>
        </is>
      </c>
      <c r="G70" s="629" t="inlineStr">
        <is>
          <t>Y09BM1362110</t>
        </is>
      </c>
      <c r="H70" s="652" t="n">
        <v>1001219</v>
      </c>
      <c r="I70" s="559" t="inlineStr">
        <is>
          <t>202203010032</t>
        </is>
      </c>
      <c r="J70" s="629" t="n">
        <v>3.3</v>
      </c>
      <c r="K70" s="629" t="n"/>
      <c r="L70" s="649" t="inlineStr">
        <is>
          <t>朗华</t>
        </is>
      </c>
      <c r="M70" s="650" t="inlineStr">
        <is>
          <t>出厦门</t>
        </is>
      </c>
    </row>
  </sheetData>
  <autoFilter ref="A1:XFD70"/>
  <pageMargins left="0.7" right="0.7" top="0.75" bottom="0.75" header="0.3" footer="0.3"/>
  <pageSetup orientation="portrait" paperSize="9" scale="7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"/>
  <sheetViews>
    <sheetView topLeftCell="A22" zoomScale="85" zoomScaleNormal="85" workbookViewId="0">
      <selection activeCell="K261" sqref="K261"/>
    </sheetView>
  </sheetViews>
  <sheetFormatPr baseColWidth="8" defaultColWidth="8.66666666666667" defaultRowHeight="13.5"/>
  <cols>
    <col width="9.08333333333333" customWidth="1" style="624" min="1" max="1"/>
    <col width="12.4166666666667" customWidth="1" style="552" min="2" max="2"/>
    <col width="16.4166666666667" customWidth="1" style="552" min="3" max="3"/>
    <col width="13.6666666666667" customWidth="1" style="552" min="4" max="4"/>
    <col width="12.3333333333333" customWidth="1" style="624" min="5" max="5"/>
    <col width="14.3333333333333" customWidth="1" style="624" min="6" max="6"/>
    <col width="14" customWidth="1" style="624" min="7" max="7"/>
    <col width="15.5833333333333" customWidth="1" style="625" min="8" max="8"/>
    <col width="15" customWidth="1" style="624" min="9" max="9"/>
    <col width="11.0833333333333" customWidth="1" style="624" min="10" max="10"/>
    <col width="20.6666666666667" customWidth="1" style="624" min="11" max="11"/>
    <col width="17.5833333333333" customWidth="1" style="624" min="12" max="12"/>
    <col width="8.66666666666667" customWidth="1" style="624" min="13" max="16384"/>
  </cols>
  <sheetData>
    <row r="1">
      <c r="A1" s="626" t="inlineStr">
        <is>
          <t>序号</t>
        </is>
      </c>
      <c r="B1" s="556" t="inlineStr">
        <is>
          <t>抬头</t>
        </is>
      </c>
      <c r="C1" s="556" t="inlineStr">
        <is>
          <t>出货日期</t>
        </is>
      </c>
      <c r="D1" s="556" t="inlineStr">
        <is>
          <t>主体</t>
        </is>
      </c>
      <c r="E1" s="626" t="inlineStr">
        <is>
          <t>测试厂</t>
        </is>
      </c>
      <c r="F1" s="626" t="inlineStr">
        <is>
          <t>型号</t>
        </is>
      </c>
      <c r="G1" s="626" t="inlineStr">
        <is>
          <t>物料编码</t>
        </is>
      </c>
      <c r="H1" s="627" t="inlineStr">
        <is>
          <t>数量</t>
        </is>
      </c>
      <c r="I1" s="626" t="inlineStr">
        <is>
          <t>采购订单号</t>
        </is>
      </c>
      <c r="J1" s="626" t="inlineStr">
        <is>
          <t>单价</t>
        </is>
      </c>
      <c r="K1" s="626" t="inlineStr">
        <is>
          <t>备注</t>
        </is>
      </c>
      <c r="L1" s="559" t="n">
        <v>10000900</v>
      </c>
    </row>
    <row r="2" ht="14.25" customHeight="1" s="184">
      <c r="A2" s="629" t="n">
        <v>1</v>
      </c>
      <c r="B2" s="587" t="inlineStr">
        <is>
          <t>HK Bitmain</t>
        </is>
      </c>
      <c r="C2" s="526" t="n">
        <v>44622</v>
      </c>
      <c r="D2" s="649" t="inlineStr">
        <is>
          <t>世纪云芯</t>
        </is>
      </c>
      <c r="E2" s="654" t="inlineStr">
        <is>
          <t>XJ</t>
        </is>
      </c>
      <c r="F2" s="654" t="inlineStr">
        <is>
          <t>BM1362AK</t>
        </is>
      </c>
      <c r="G2" s="629" t="inlineStr">
        <is>
          <t>Y09BM1362310</t>
        </is>
      </c>
      <c r="H2" s="652" t="n">
        <v>234994</v>
      </c>
      <c r="I2" s="559" t="inlineStr">
        <is>
          <t>202203030007</t>
        </is>
      </c>
      <c r="J2" s="629" t="n">
        <v>3.3</v>
      </c>
      <c r="K2" s="629" t="n"/>
      <c r="L2" s="649" t="inlineStr">
        <is>
          <t>朗华</t>
        </is>
      </c>
      <c r="M2" s="650" t="n"/>
    </row>
    <row r="3" ht="14.25" customHeight="1" s="184">
      <c r="A3" s="629" t="n">
        <v>2</v>
      </c>
      <c r="B3" s="587" t="inlineStr">
        <is>
          <t>HK Bitmain</t>
        </is>
      </c>
      <c r="C3" s="526" t="n">
        <v>44622</v>
      </c>
      <c r="D3" s="649" t="inlineStr">
        <is>
          <t>世纪云芯</t>
        </is>
      </c>
      <c r="E3" s="654" t="inlineStr">
        <is>
          <t>XJ</t>
        </is>
      </c>
      <c r="F3" s="654" t="inlineStr">
        <is>
          <t>BM1362AI</t>
        </is>
      </c>
      <c r="G3" s="629" t="inlineStr">
        <is>
          <t>Y09BM1362110</t>
        </is>
      </c>
      <c r="H3" s="652" t="n">
        <v>340298</v>
      </c>
      <c r="I3" s="559" t="inlineStr">
        <is>
          <t>202203030007</t>
        </is>
      </c>
      <c r="J3" s="629" t="n">
        <v>3.3</v>
      </c>
      <c r="K3" s="629" t="n"/>
      <c r="L3" s="649" t="inlineStr">
        <is>
          <t>朗华</t>
        </is>
      </c>
      <c r="M3" s="650" t="n"/>
    </row>
    <row r="4" ht="14.25" customHeight="1" s="184">
      <c r="A4" s="629" t="n">
        <v>3</v>
      </c>
      <c r="B4" s="587" t="inlineStr">
        <is>
          <t>HK Bitmain</t>
        </is>
      </c>
      <c r="C4" s="526" t="n">
        <v>44622</v>
      </c>
      <c r="D4" s="649" t="inlineStr">
        <is>
          <t>世纪云芯</t>
        </is>
      </c>
      <c r="E4" s="654" t="inlineStr">
        <is>
          <t>XJ</t>
        </is>
      </c>
      <c r="F4" s="654" t="inlineStr">
        <is>
          <t>BM1362AC</t>
        </is>
      </c>
      <c r="G4" s="629" t="inlineStr">
        <is>
          <t>Y09BM1362C00</t>
        </is>
      </c>
      <c r="H4" s="652" t="n">
        <v>101823</v>
      </c>
      <c r="I4" s="559" t="inlineStr">
        <is>
          <t>202203030007</t>
        </is>
      </c>
      <c r="J4" s="629" t="n">
        <v>3.3</v>
      </c>
      <c r="K4" s="629" t="n"/>
      <c r="L4" s="649" t="inlineStr">
        <is>
          <t>朗华</t>
        </is>
      </c>
      <c r="M4" s="650" t="n"/>
    </row>
    <row r="5" ht="14.25" customHeight="1" s="184">
      <c r="A5" s="629" t="n">
        <v>4</v>
      </c>
      <c r="B5" s="587" t="inlineStr">
        <is>
          <t>HK Bitmain</t>
        </is>
      </c>
      <c r="C5" s="526" t="n">
        <v>44622</v>
      </c>
      <c r="D5" s="649" t="inlineStr">
        <is>
          <t>世纪云芯</t>
        </is>
      </c>
      <c r="E5" s="654" t="inlineStr">
        <is>
          <t>XJ</t>
        </is>
      </c>
      <c r="F5" s="654" t="inlineStr">
        <is>
          <t>BM1489</t>
        </is>
      </c>
      <c r="G5" s="629" t="inlineStr">
        <is>
          <t>Y09BM1489010</t>
        </is>
      </c>
      <c r="H5" s="652" t="n">
        <v>279689</v>
      </c>
      <c r="I5" s="559" t="inlineStr">
        <is>
          <t>202203030007</t>
        </is>
      </c>
      <c r="J5" s="629" t="n">
        <v>6.22</v>
      </c>
      <c r="K5" s="629" t="n"/>
      <c r="L5" s="649" t="inlineStr">
        <is>
          <t>朗华</t>
        </is>
      </c>
      <c r="M5" s="650" t="n"/>
    </row>
    <row r="6" ht="14.25" customHeight="1" s="184">
      <c r="A6" s="629" t="n">
        <v>5</v>
      </c>
      <c r="B6" s="587" t="inlineStr">
        <is>
          <t>HK Bitmain</t>
        </is>
      </c>
      <c r="C6" s="526" t="n">
        <v>44622</v>
      </c>
      <c r="D6" s="649" t="inlineStr">
        <is>
          <t>世纪云芯</t>
        </is>
      </c>
      <c r="E6" s="654" t="inlineStr">
        <is>
          <t>XJ</t>
        </is>
      </c>
      <c r="F6" s="654" t="inlineStr">
        <is>
          <t>BM1362AI</t>
        </is>
      </c>
      <c r="G6" s="629" t="inlineStr">
        <is>
          <t>Y09BM1362110</t>
        </is>
      </c>
      <c r="H6" s="652" t="n">
        <v>746024</v>
      </c>
      <c r="I6" s="559" t="inlineStr">
        <is>
          <t>202203030008</t>
        </is>
      </c>
      <c r="J6" s="629" t="n">
        <v>3.3</v>
      </c>
      <c r="K6" s="629" t="inlineStr">
        <is>
          <t>送厦门</t>
        </is>
      </c>
      <c r="L6" s="649" t="inlineStr">
        <is>
          <t>朗华</t>
        </is>
      </c>
      <c r="M6" s="650" t="n"/>
    </row>
    <row r="7" ht="14.25" customHeight="1" s="184">
      <c r="A7" s="629" t="n">
        <v>6</v>
      </c>
      <c r="B7" s="587" t="inlineStr">
        <is>
          <t>HK Bitmain</t>
        </is>
      </c>
      <c r="C7" s="526" t="n">
        <v>44622</v>
      </c>
      <c r="D7" s="649" t="inlineStr">
        <is>
          <t>世纪云芯</t>
        </is>
      </c>
      <c r="E7" s="654" t="inlineStr">
        <is>
          <t>XJ</t>
        </is>
      </c>
      <c r="F7" s="654" t="inlineStr">
        <is>
          <t>BM1362AC</t>
        </is>
      </c>
      <c r="G7" s="629" t="inlineStr">
        <is>
          <t>Y09BM1362C00</t>
        </is>
      </c>
      <c r="H7" s="652" t="n">
        <v>254531</v>
      </c>
      <c r="I7" s="559" t="inlineStr">
        <is>
          <t>202203030008</t>
        </is>
      </c>
      <c r="J7" s="629" t="n">
        <v>3.3</v>
      </c>
      <c r="K7" s="629" t="inlineStr">
        <is>
          <t>送厦门</t>
        </is>
      </c>
      <c r="L7" s="649" t="inlineStr">
        <is>
          <t>朗华</t>
        </is>
      </c>
      <c r="M7" s="650" t="n"/>
    </row>
    <row r="8" ht="14.25" customHeight="1" s="184">
      <c r="A8" s="629" t="n">
        <v>7</v>
      </c>
      <c r="B8" s="587" t="inlineStr">
        <is>
          <t>HK Bitmain</t>
        </is>
      </c>
      <c r="C8" s="526" t="n">
        <v>44622</v>
      </c>
      <c r="D8" s="649" t="inlineStr">
        <is>
          <t>世纪云芯</t>
        </is>
      </c>
      <c r="E8" s="654" t="inlineStr">
        <is>
          <t>捷策创</t>
        </is>
      </c>
      <c r="F8" s="654" t="inlineStr">
        <is>
          <t>BM1489</t>
        </is>
      </c>
      <c r="G8" s="629" t="inlineStr">
        <is>
          <t>Y09BM1489010</t>
        </is>
      </c>
      <c r="H8" s="652" t="n">
        <v>108861</v>
      </c>
      <c r="I8" s="559" t="inlineStr">
        <is>
          <t>202203030009</t>
        </is>
      </c>
      <c r="J8" s="629" t="n">
        <v>6.22</v>
      </c>
      <c r="K8" s="629" t="n"/>
      <c r="L8" s="649" t="inlineStr">
        <is>
          <t>朗华</t>
        </is>
      </c>
      <c r="M8" s="650" t="n"/>
    </row>
    <row r="9" ht="14.25" customHeight="1" s="184">
      <c r="A9" s="629" t="n">
        <v>8</v>
      </c>
      <c r="B9" s="587" t="inlineStr">
        <is>
          <t>HK Bitmain</t>
        </is>
      </c>
      <c r="C9" s="526" t="n">
        <v>44622</v>
      </c>
      <c r="D9" s="649" t="inlineStr">
        <is>
          <t>世纪云芯</t>
        </is>
      </c>
      <c r="E9" s="654" t="inlineStr">
        <is>
          <t>捷策创</t>
        </is>
      </c>
      <c r="F9" s="654" t="inlineStr">
        <is>
          <t>BM1398BB</t>
        </is>
      </c>
      <c r="G9" s="629" t="inlineStr">
        <is>
          <t>Y09BM1398240</t>
        </is>
      </c>
      <c r="H9" s="652" t="n">
        <v>135144</v>
      </c>
      <c r="I9" s="559" t="inlineStr">
        <is>
          <t>202203030009</t>
        </is>
      </c>
      <c r="J9" s="629" t="n">
        <v>6.1</v>
      </c>
      <c r="K9" s="629" t="n"/>
      <c r="L9" s="649" t="inlineStr">
        <is>
          <t>朗华</t>
        </is>
      </c>
      <c r="M9" s="650" t="n"/>
    </row>
    <row r="10" ht="14.25" customHeight="1" s="184">
      <c r="A10" s="629" t="n">
        <v>9</v>
      </c>
      <c r="B10" s="587" t="inlineStr">
        <is>
          <t>HK Bitmain</t>
        </is>
      </c>
      <c r="C10" s="526" t="n">
        <v>44622</v>
      </c>
      <c r="D10" s="649" t="inlineStr">
        <is>
          <t>世纪云芯</t>
        </is>
      </c>
      <c r="E10" s="654" t="inlineStr">
        <is>
          <t>捷策创</t>
        </is>
      </c>
      <c r="F10" s="654" t="inlineStr">
        <is>
          <t>BM1362AK</t>
        </is>
      </c>
      <c r="G10" s="629" t="inlineStr">
        <is>
          <t>Y09BM1362310</t>
        </is>
      </c>
      <c r="H10" s="652" t="n">
        <v>413055</v>
      </c>
      <c r="I10" s="559" t="inlineStr">
        <is>
          <t>202203030009</t>
        </is>
      </c>
      <c r="J10" s="629" t="n">
        <v>3.3</v>
      </c>
      <c r="K10" s="629" t="n"/>
      <c r="L10" s="649" t="inlineStr">
        <is>
          <t>朗华</t>
        </is>
      </c>
      <c r="M10" s="650" t="n"/>
    </row>
    <row r="11" ht="14.25" customHeight="1" s="184">
      <c r="A11" s="629" t="n">
        <v>10</v>
      </c>
      <c r="B11" s="587" t="inlineStr">
        <is>
          <t>HK Bitmain</t>
        </is>
      </c>
      <c r="C11" s="526" t="n">
        <v>44624</v>
      </c>
      <c r="D11" s="649" t="inlineStr">
        <is>
          <t>世纪云芯</t>
        </is>
      </c>
      <c r="E11" s="654" t="inlineStr">
        <is>
          <t>XJ</t>
        </is>
      </c>
      <c r="F11" s="654" t="inlineStr">
        <is>
          <t>BM1362AK</t>
        </is>
      </c>
      <c r="G11" s="629" t="inlineStr">
        <is>
          <t>Y09BM1362310</t>
        </is>
      </c>
      <c r="H11" s="652" t="n">
        <v>165176</v>
      </c>
      <c r="I11" s="559" t="inlineStr">
        <is>
          <t>202203050029</t>
        </is>
      </c>
      <c r="J11" s="629" t="n">
        <v>3.3</v>
      </c>
      <c r="K11" s="629" t="n"/>
      <c r="L11" s="649" t="inlineStr">
        <is>
          <t>朗华</t>
        </is>
      </c>
      <c r="M11" s="650" t="n"/>
    </row>
    <row r="12" ht="14.25" customHeight="1" s="184">
      <c r="A12" s="629" t="n">
        <v>11</v>
      </c>
      <c r="B12" s="587" t="inlineStr">
        <is>
          <t>HK Bitmain</t>
        </is>
      </c>
      <c r="C12" s="526" t="n">
        <v>44624</v>
      </c>
      <c r="D12" s="649" t="inlineStr">
        <is>
          <t>世纪云芯</t>
        </is>
      </c>
      <c r="E12" s="654" t="inlineStr">
        <is>
          <t>XJ</t>
        </is>
      </c>
      <c r="F12" s="654" t="inlineStr">
        <is>
          <t>BM1362AC</t>
        </is>
      </c>
      <c r="G12" s="629" t="inlineStr">
        <is>
          <t>Y09BM1362C00</t>
        </is>
      </c>
      <c r="H12" s="652" t="n">
        <v>226609</v>
      </c>
      <c r="I12" s="559" t="inlineStr">
        <is>
          <t>202203050029</t>
        </is>
      </c>
      <c r="J12" s="629" t="n">
        <v>3.3</v>
      </c>
      <c r="K12" s="629" t="n"/>
      <c r="L12" s="649" t="inlineStr">
        <is>
          <t>朗华</t>
        </is>
      </c>
      <c r="M12" s="650" t="n"/>
    </row>
    <row r="13" ht="14.25" customHeight="1" s="184">
      <c r="A13" s="629" t="n">
        <v>12</v>
      </c>
      <c r="B13" s="587" t="inlineStr">
        <is>
          <t>HK Bitmain</t>
        </is>
      </c>
      <c r="C13" s="526" t="n">
        <v>44624</v>
      </c>
      <c r="D13" s="649" t="inlineStr">
        <is>
          <t>世纪云芯</t>
        </is>
      </c>
      <c r="E13" s="654" t="inlineStr">
        <is>
          <t>XJ</t>
        </is>
      </c>
      <c r="F13" s="654" t="inlineStr">
        <is>
          <t>BM1362AI</t>
        </is>
      </c>
      <c r="G13" s="629" t="inlineStr">
        <is>
          <t>Y09BM1362110</t>
        </is>
      </c>
      <c r="H13" s="652" t="n">
        <v>443586</v>
      </c>
      <c r="I13" s="559" t="inlineStr">
        <is>
          <t>202203050029</t>
        </is>
      </c>
      <c r="J13" s="629" t="n">
        <v>3.3</v>
      </c>
      <c r="K13" s="629" t="n"/>
      <c r="L13" s="649" t="inlineStr">
        <is>
          <t>朗华</t>
        </is>
      </c>
      <c r="M13" s="650" t="n"/>
    </row>
    <row r="14" ht="14.25" customHeight="1" s="184">
      <c r="A14" s="629" t="n">
        <v>13</v>
      </c>
      <c r="B14" s="587" t="inlineStr">
        <is>
          <t>HK Bitmain</t>
        </is>
      </c>
      <c r="C14" s="526" t="n">
        <v>44624</v>
      </c>
      <c r="D14" s="649" t="inlineStr">
        <is>
          <t>世纪云芯</t>
        </is>
      </c>
      <c r="E14" s="654" t="inlineStr">
        <is>
          <t>XJ</t>
        </is>
      </c>
      <c r="F14" s="654" t="inlineStr">
        <is>
          <t>BM1725AA</t>
        </is>
      </c>
      <c r="G14" s="629" t="inlineStr">
        <is>
          <t>Y09BM1725000</t>
        </is>
      </c>
      <c r="H14" s="652" t="n">
        <v>14640</v>
      </c>
      <c r="I14" s="559" t="inlineStr">
        <is>
          <t>202203050029</t>
        </is>
      </c>
      <c r="J14" s="629" t="n">
        <v>12</v>
      </c>
      <c r="K14" s="629" t="n"/>
      <c r="L14" s="649" t="inlineStr">
        <is>
          <t>朗华</t>
        </is>
      </c>
      <c r="M14" s="650" t="n"/>
    </row>
    <row r="15" ht="14.25" customHeight="1" s="184">
      <c r="A15" s="629" t="n">
        <v>14</v>
      </c>
      <c r="B15" s="587" t="inlineStr">
        <is>
          <t>HK Bitmain</t>
        </is>
      </c>
      <c r="C15" s="526" t="n">
        <v>44624</v>
      </c>
      <c r="D15" s="649" t="inlineStr">
        <is>
          <t>世纪云芯</t>
        </is>
      </c>
      <c r="E15" s="654" t="inlineStr">
        <is>
          <t>捷策创</t>
        </is>
      </c>
      <c r="F15" s="654" t="inlineStr">
        <is>
          <t>BM1362AK</t>
        </is>
      </c>
      <c r="G15" s="629" t="inlineStr">
        <is>
          <t>Y09BM1362310</t>
        </is>
      </c>
      <c r="H15" s="652" t="n">
        <v>381232</v>
      </c>
      <c r="I15" s="559" t="inlineStr">
        <is>
          <t>202203050030</t>
        </is>
      </c>
      <c r="J15" s="629" t="n">
        <v>3.3</v>
      </c>
      <c r="K15" s="629" t="n"/>
      <c r="L15" s="649" t="inlineStr">
        <is>
          <t>朗华</t>
        </is>
      </c>
      <c r="M15" s="650" t="n"/>
    </row>
    <row r="16" ht="14.25" customHeight="1" s="184">
      <c r="A16" s="629" t="n">
        <v>15</v>
      </c>
      <c r="B16" s="587" t="inlineStr">
        <is>
          <t>HK Bitmain</t>
        </is>
      </c>
      <c r="C16" s="526" t="n">
        <v>44624</v>
      </c>
      <c r="D16" s="649" t="inlineStr">
        <is>
          <t>世纪云芯</t>
        </is>
      </c>
      <c r="E16" s="654" t="inlineStr">
        <is>
          <t>捷策创</t>
        </is>
      </c>
      <c r="F16" s="654" t="inlineStr">
        <is>
          <t>BM1489</t>
        </is>
      </c>
      <c r="G16" s="629" t="inlineStr">
        <is>
          <t>Y09BM1489010</t>
        </is>
      </c>
      <c r="H16" s="652" t="n">
        <v>632906</v>
      </c>
      <c r="I16" s="559" t="inlineStr">
        <is>
          <t>202203050030</t>
        </is>
      </c>
      <c r="J16" s="629" t="n">
        <v>6.22</v>
      </c>
      <c r="K16" s="629" t="n"/>
      <c r="L16" s="649" t="inlineStr">
        <is>
          <t>朗华</t>
        </is>
      </c>
      <c r="M16" s="650" t="n"/>
    </row>
    <row r="17" ht="14.25" customHeight="1" s="184">
      <c r="A17" s="629" t="n">
        <v>16</v>
      </c>
      <c r="B17" s="587" t="inlineStr">
        <is>
          <t>HK Bitmain</t>
        </is>
      </c>
      <c r="C17" s="526" t="n">
        <v>44627</v>
      </c>
      <c r="D17" s="649" t="inlineStr">
        <is>
          <t>世纪云芯</t>
        </is>
      </c>
      <c r="E17" s="654" t="inlineStr">
        <is>
          <t>捷策创</t>
        </is>
      </c>
      <c r="F17" s="654" t="inlineStr">
        <is>
          <t>BM1489</t>
        </is>
      </c>
      <c r="G17" s="629" t="inlineStr">
        <is>
          <t>Y09BM1489010</t>
        </is>
      </c>
      <c r="H17" s="652" t="n">
        <v>375896</v>
      </c>
      <c r="I17" s="559" t="inlineStr">
        <is>
          <t>202203080001</t>
        </is>
      </c>
      <c r="J17" s="629" t="n">
        <v>6.22</v>
      </c>
      <c r="K17" s="629" t="n"/>
      <c r="L17" s="649" t="inlineStr">
        <is>
          <t>讯宇</t>
        </is>
      </c>
      <c r="M17" s="650" t="n"/>
    </row>
    <row r="18" ht="14.25" customHeight="1" s="184">
      <c r="A18" s="629" t="n">
        <v>17</v>
      </c>
      <c r="B18" s="587" t="inlineStr">
        <is>
          <t>HK Bitmain</t>
        </is>
      </c>
      <c r="C18" s="526" t="n">
        <v>44627</v>
      </c>
      <c r="D18" s="649" t="inlineStr">
        <is>
          <t>世纪云芯</t>
        </is>
      </c>
      <c r="E18" s="654" t="inlineStr">
        <is>
          <t>XJ</t>
        </is>
      </c>
      <c r="F18" s="654" t="inlineStr">
        <is>
          <t>BM1362AK</t>
        </is>
      </c>
      <c r="G18" s="629" t="inlineStr">
        <is>
          <t>Y09BM1362310</t>
        </is>
      </c>
      <c r="H18" s="652" t="n">
        <v>400374</v>
      </c>
      <c r="I18" s="559" t="inlineStr">
        <is>
          <t>202203080002</t>
        </is>
      </c>
      <c r="J18" s="629" t="n">
        <v>3.3</v>
      </c>
      <c r="K18" s="629" t="n"/>
      <c r="L18" s="649" t="inlineStr">
        <is>
          <t>世纪通</t>
        </is>
      </c>
      <c r="M18" s="650" t="n"/>
    </row>
    <row r="19" ht="14.25" customHeight="1" s="184">
      <c r="A19" s="629" t="n">
        <v>18</v>
      </c>
      <c r="B19" s="587" t="inlineStr">
        <is>
          <t>HK Bitmain</t>
        </is>
      </c>
      <c r="C19" s="526" t="n">
        <v>44627</v>
      </c>
      <c r="D19" s="649" t="inlineStr">
        <is>
          <t>世纪云芯</t>
        </is>
      </c>
      <c r="E19" s="654" t="inlineStr">
        <is>
          <t>XJ</t>
        </is>
      </c>
      <c r="F19" s="654" t="inlineStr">
        <is>
          <t>BM1489</t>
        </is>
      </c>
      <c r="G19" s="629" t="inlineStr">
        <is>
          <t>Y09BM1489010</t>
        </is>
      </c>
      <c r="H19" s="652" t="n">
        <v>353142</v>
      </c>
      <c r="I19" s="559" t="inlineStr">
        <is>
          <t>202203080003</t>
        </is>
      </c>
      <c r="J19" s="629" t="n">
        <v>6.22</v>
      </c>
      <c r="K19" s="629" t="n"/>
      <c r="L19" s="649" t="inlineStr">
        <is>
          <t>世纪通</t>
        </is>
      </c>
      <c r="M19" s="650" t="n"/>
    </row>
    <row r="20" ht="14.25" customHeight="1" s="184">
      <c r="A20" s="629" t="n">
        <v>19</v>
      </c>
      <c r="B20" s="587" t="inlineStr">
        <is>
          <t>HK Bitmain</t>
        </is>
      </c>
      <c r="C20" s="526" t="n">
        <v>44628</v>
      </c>
      <c r="D20" s="649" t="inlineStr">
        <is>
          <t>世纪云芯</t>
        </is>
      </c>
      <c r="E20" s="654" t="inlineStr">
        <is>
          <t>确安</t>
        </is>
      </c>
      <c r="F20" s="654" t="inlineStr">
        <is>
          <t>BM1362AC</t>
        </is>
      </c>
      <c r="G20" s="629" t="inlineStr">
        <is>
          <t>Y09BM1362C00</t>
        </is>
      </c>
      <c r="H20" s="652" t="n">
        <v>146589</v>
      </c>
      <c r="I20" s="559" t="inlineStr">
        <is>
          <t>202203090001</t>
        </is>
      </c>
      <c r="J20" s="629" t="n">
        <v>3.3</v>
      </c>
      <c r="K20" s="629" t="n"/>
      <c r="L20" s="649" t="inlineStr">
        <is>
          <t>朗华</t>
        </is>
      </c>
      <c r="M20" s="650" t="n"/>
    </row>
    <row r="21" ht="14.25" customHeight="1" s="184">
      <c r="A21" s="629" t="n">
        <v>20</v>
      </c>
      <c r="B21" s="587" t="inlineStr">
        <is>
          <t>HK Bitmain</t>
        </is>
      </c>
      <c r="C21" s="526" t="n">
        <v>44628</v>
      </c>
      <c r="D21" s="649" t="inlineStr">
        <is>
          <t>世纪云芯</t>
        </is>
      </c>
      <c r="E21" s="654" t="inlineStr">
        <is>
          <t>捷策创</t>
        </is>
      </c>
      <c r="F21" s="654" t="inlineStr">
        <is>
          <t>BM1366AB</t>
        </is>
      </c>
      <c r="G21" s="629" t="inlineStr">
        <is>
          <t>Y09BM1366120</t>
        </is>
      </c>
      <c r="H21" s="652" t="n">
        <v>29254</v>
      </c>
      <c r="I21" s="559" t="inlineStr">
        <is>
          <t>202203090002</t>
        </is>
      </c>
      <c r="J21" s="629" t="n">
        <v>4.72</v>
      </c>
      <c r="K21" s="629" t="n"/>
      <c r="L21" s="649" t="inlineStr">
        <is>
          <t>朗华</t>
        </is>
      </c>
      <c r="M21" s="650" t="n"/>
    </row>
    <row r="22" ht="14.25" customHeight="1" s="184">
      <c r="A22" s="629" t="n">
        <v>21</v>
      </c>
      <c r="B22" s="587" t="inlineStr">
        <is>
          <t>HK Bitmain</t>
        </is>
      </c>
      <c r="C22" s="526" t="n">
        <v>44628</v>
      </c>
      <c r="D22" s="649" t="inlineStr">
        <is>
          <t>世纪云芯</t>
        </is>
      </c>
      <c r="E22" s="654" t="inlineStr">
        <is>
          <t>Smat</t>
        </is>
      </c>
      <c r="F22" s="654" t="inlineStr">
        <is>
          <t>BM1362AM</t>
        </is>
      </c>
      <c r="G22" s="629" t="inlineStr">
        <is>
          <t>Y09BM1362540</t>
        </is>
      </c>
      <c r="H22" s="652" t="n">
        <v>1542</v>
      </c>
      <c r="I22" s="559" t="inlineStr">
        <is>
          <t>202203090003</t>
        </is>
      </c>
      <c r="J22" s="629" t="n">
        <v>3.3</v>
      </c>
      <c r="K22" s="629" t="n"/>
      <c r="L22" s="649" t="inlineStr">
        <is>
          <t>朗华</t>
        </is>
      </c>
      <c r="M22" s="650" t="n"/>
    </row>
    <row r="23" ht="14.25" customHeight="1" s="184">
      <c r="A23" s="629" t="n">
        <v>22</v>
      </c>
      <c r="B23" s="587" t="inlineStr">
        <is>
          <t>HK Bitmain</t>
        </is>
      </c>
      <c r="C23" s="526" t="n">
        <v>44628</v>
      </c>
      <c r="D23" s="649" t="inlineStr">
        <is>
          <t>世纪云芯</t>
        </is>
      </c>
      <c r="E23" s="654" t="inlineStr">
        <is>
          <t>SCK</t>
        </is>
      </c>
      <c r="F23" s="654" t="inlineStr">
        <is>
          <t>BM1366AJ</t>
        </is>
      </c>
      <c r="G23" s="629" t="inlineStr">
        <is>
          <t>Y09BM1366A20</t>
        </is>
      </c>
      <c r="H23" s="652" t="n">
        <v>77</v>
      </c>
      <c r="I23" s="559" t="inlineStr">
        <is>
          <t>202203090004</t>
        </is>
      </c>
      <c r="J23" s="629" t="n">
        <v>4.72</v>
      </c>
      <c r="K23" s="629" t="n"/>
      <c r="L23" s="649" t="inlineStr">
        <is>
          <t>朗华</t>
        </is>
      </c>
      <c r="M23" s="650" t="n"/>
    </row>
    <row r="24" ht="14.25" customHeight="1" s="184">
      <c r="A24" s="629" t="n">
        <v>23</v>
      </c>
      <c r="B24" s="587" t="inlineStr">
        <is>
          <t>HK Bitmain</t>
        </is>
      </c>
      <c r="C24" s="526" t="n">
        <v>44629</v>
      </c>
      <c r="D24" s="649" t="inlineStr">
        <is>
          <t>世纪云芯</t>
        </is>
      </c>
      <c r="E24" s="654" t="inlineStr">
        <is>
          <t>捷策创</t>
        </is>
      </c>
      <c r="F24" s="654" t="inlineStr">
        <is>
          <t>BM1362AK</t>
        </is>
      </c>
      <c r="G24" s="629" t="inlineStr">
        <is>
          <t>Y09BM1362310</t>
        </is>
      </c>
      <c r="H24" s="652" t="n">
        <v>430684</v>
      </c>
      <c r="I24" s="559" t="inlineStr">
        <is>
          <t>202203100006</t>
        </is>
      </c>
      <c r="J24" s="629" t="n">
        <v>3.3</v>
      </c>
      <c r="K24" s="629" t="n"/>
      <c r="L24" s="649" t="inlineStr">
        <is>
          <t>世纪通</t>
        </is>
      </c>
      <c r="M24" s="650" t="n"/>
    </row>
    <row r="25" ht="14.25" customHeight="1" s="184">
      <c r="A25" s="629" t="n">
        <v>24</v>
      </c>
      <c r="B25" s="587" t="inlineStr">
        <is>
          <t>HK Bitmain</t>
        </is>
      </c>
      <c r="C25" s="526" t="n">
        <v>44629</v>
      </c>
      <c r="D25" s="649" t="inlineStr">
        <is>
          <t>世纪云芯</t>
        </is>
      </c>
      <c r="E25" s="654" t="inlineStr">
        <is>
          <t>捷策创</t>
        </is>
      </c>
      <c r="F25" s="654" t="inlineStr">
        <is>
          <t>BM1366AG</t>
        </is>
      </c>
      <c r="G25" s="629" t="inlineStr">
        <is>
          <t>Y09BM1366820</t>
        </is>
      </c>
      <c r="H25" s="652" t="n">
        <v>37977</v>
      </c>
      <c r="I25" s="559" t="inlineStr">
        <is>
          <t>202203100006</t>
        </is>
      </c>
      <c r="J25" s="629" t="n">
        <v>4.72</v>
      </c>
      <c r="K25" s="629" t="n"/>
      <c r="L25" s="649" t="inlineStr">
        <is>
          <t>世纪通</t>
        </is>
      </c>
      <c r="M25" s="650" t="n"/>
    </row>
    <row r="26" ht="14.25" customHeight="1" s="184">
      <c r="A26" s="629" t="n">
        <v>25</v>
      </c>
      <c r="B26" s="587" t="inlineStr">
        <is>
          <t>HK Bitmain</t>
        </is>
      </c>
      <c r="C26" s="526" t="n">
        <v>44629</v>
      </c>
      <c r="D26" s="649" t="inlineStr">
        <is>
          <t>世纪云芯</t>
        </is>
      </c>
      <c r="E26" s="654" t="inlineStr">
        <is>
          <t>XJ</t>
        </is>
      </c>
      <c r="F26" s="654" t="inlineStr">
        <is>
          <t>BM1489</t>
        </is>
      </c>
      <c r="G26" s="629" t="inlineStr">
        <is>
          <t>Y09BM1489010</t>
        </is>
      </c>
      <c r="H26" s="652" t="n">
        <v>112952</v>
      </c>
      <c r="I26" s="559" t="inlineStr">
        <is>
          <t>202203100007</t>
        </is>
      </c>
      <c r="J26" s="629" t="n">
        <v>6.22</v>
      </c>
      <c r="K26" s="629" t="n"/>
      <c r="L26" s="649" t="inlineStr">
        <is>
          <t>迅宇</t>
        </is>
      </c>
      <c r="M26" s="650" t="n"/>
    </row>
    <row r="27" ht="14.25" customHeight="1" s="184">
      <c r="A27" s="629" t="n">
        <v>26</v>
      </c>
      <c r="B27" s="587" t="inlineStr">
        <is>
          <t>HK Bitmain</t>
        </is>
      </c>
      <c r="C27" s="526" t="n">
        <v>44629</v>
      </c>
      <c r="D27" s="649" t="inlineStr">
        <is>
          <t>世纪云芯</t>
        </is>
      </c>
      <c r="E27" s="654" t="inlineStr">
        <is>
          <t>JSCC</t>
        </is>
      </c>
      <c r="F27" s="654" t="inlineStr">
        <is>
          <t>BM1362AC</t>
        </is>
      </c>
      <c r="G27" s="629" t="inlineStr">
        <is>
          <t>Y09BM1362C00</t>
        </is>
      </c>
      <c r="H27" s="652" t="n">
        <v>250207</v>
      </c>
      <c r="I27" s="559" t="inlineStr">
        <is>
          <t>202203100008</t>
        </is>
      </c>
      <c r="J27" s="629" t="n">
        <v>3.3</v>
      </c>
      <c r="K27" s="629" t="n"/>
      <c r="L27" s="649" t="inlineStr">
        <is>
          <t>朗华</t>
        </is>
      </c>
      <c r="M27" s="650" t="n"/>
    </row>
    <row r="28" ht="14.25" customHeight="1" s="184">
      <c r="A28" s="629" t="n">
        <v>27</v>
      </c>
      <c r="B28" s="587" t="inlineStr">
        <is>
          <t>HK Bitmain</t>
        </is>
      </c>
      <c r="C28" s="526" t="n">
        <v>44629</v>
      </c>
      <c r="D28" s="649" t="inlineStr">
        <is>
          <t>世纪云芯</t>
        </is>
      </c>
      <c r="E28" s="654" t="inlineStr">
        <is>
          <t>TF</t>
        </is>
      </c>
      <c r="F28" s="654" t="inlineStr">
        <is>
          <t>BM1366</t>
        </is>
      </c>
      <c r="G28" s="629" t="inlineStr">
        <is>
          <t>Y09BM1366010</t>
        </is>
      </c>
      <c r="H28" s="652" t="n">
        <v>4079</v>
      </c>
      <c r="I28" s="559" t="inlineStr">
        <is>
          <t>202203100008</t>
        </is>
      </c>
      <c r="J28" s="629" t="n">
        <v>4.72</v>
      </c>
      <c r="K28" s="629" t="n"/>
      <c r="L28" s="649" t="inlineStr">
        <is>
          <t>朗华</t>
        </is>
      </c>
      <c r="M28" s="650" t="n"/>
    </row>
    <row r="29" ht="14.25" customHeight="1" s="184">
      <c r="A29" s="629" t="n">
        <v>28</v>
      </c>
      <c r="B29" s="587" t="inlineStr">
        <is>
          <t>HK Bitmain</t>
        </is>
      </c>
      <c r="C29" s="526" t="n">
        <v>44630</v>
      </c>
      <c r="D29" s="649" t="inlineStr">
        <is>
          <t>世纪云芯</t>
        </is>
      </c>
      <c r="E29" s="654" t="inlineStr">
        <is>
          <t>捷策创</t>
        </is>
      </c>
      <c r="F29" s="654" t="inlineStr">
        <is>
          <t>BM1489</t>
        </is>
      </c>
      <c r="G29" s="629" t="inlineStr">
        <is>
          <t>Y09BM1489010</t>
        </is>
      </c>
      <c r="H29" s="652" t="n">
        <v>333639</v>
      </c>
      <c r="I29" s="559" t="inlineStr">
        <is>
          <t>202203120011</t>
        </is>
      </c>
      <c r="J29" s="629" t="n">
        <v>6.22</v>
      </c>
      <c r="K29" s="629" t="n"/>
      <c r="L29" s="649" t="inlineStr">
        <is>
          <t>朗华</t>
        </is>
      </c>
      <c r="M29" s="650" t="n"/>
    </row>
    <row r="30" ht="14.25" customHeight="1" s="184">
      <c r="A30" s="629" t="n">
        <v>29</v>
      </c>
      <c r="B30" s="587" t="inlineStr">
        <is>
          <t>HK Bitmain</t>
        </is>
      </c>
      <c r="C30" s="526" t="n">
        <v>44630</v>
      </c>
      <c r="D30" s="649" t="inlineStr">
        <is>
          <t>世纪云芯</t>
        </is>
      </c>
      <c r="E30" s="654" t="inlineStr">
        <is>
          <t>捷策创</t>
        </is>
      </c>
      <c r="F30" s="654" t="inlineStr">
        <is>
          <t>BM1398BB</t>
        </is>
      </c>
      <c r="G30" s="629" t="inlineStr">
        <is>
          <t>Y09BM1398240</t>
        </is>
      </c>
      <c r="H30" s="652" t="n">
        <v>97542</v>
      </c>
      <c r="I30" s="559" t="inlineStr">
        <is>
          <t>202203120011</t>
        </is>
      </c>
      <c r="J30" s="629" t="n">
        <v>6.1</v>
      </c>
      <c r="K30" s="629" t="n"/>
      <c r="L30" s="649" t="inlineStr">
        <is>
          <t>朗华</t>
        </is>
      </c>
      <c r="M30" s="650" t="n"/>
    </row>
    <row r="31" ht="14.25" customHeight="1" s="184">
      <c r="A31" s="629" t="n">
        <v>30</v>
      </c>
      <c r="B31" s="587" t="inlineStr">
        <is>
          <t>HK Bitmain</t>
        </is>
      </c>
      <c r="C31" s="526" t="n">
        <v>44630</v>
      </c>
      <c r="D31" s="649" t="inlineStr">
        <is>
          <t>世纪云芯</t>
        </is>
      </c>
      <c r="E31" s="654" t="inlineStr">
        <is>
          <t>捷策创</t>
        </is>
      </c>
      <c r="F31" s="654" t="inlineStr">
        <is>
          <t>BM1362AJ</t>
        </is>
      </c>
      <c r="G31" s="629" t="inlineStr">
        <is>
          <t>Y09BM1362210</t>
        </is>
      </c>
      <c r="H31" s="652" t="n">
        <v>34546</v>
      </c>
      <c r="I31" s="559" t="inlineStr">
        <is>
          <t>202203120011</t>
        </is>
      </c>
      <c r="J31" s="629" t="n">
        <v>3.3</v>
      </c>
      <c r="K31" s="629" t="n"/>
      <c r="L31" s="649" t="inlineStr">
        <is>
          <t>朗华</t>
        </is>
      </c>
      <c r="M31" s="650" t="n"/>
    </row>
    <row r="32" ht="14.25" customHeight="1" s="184">
      <c r="A32" s="629" t="n">
        <v>31</v>
      </c>
      <c r="B32" s="587" t="inlineStr">
        <is>
          <t>HK Bitmain</t>
        </is>
      </c>
      <c r="C32" s="526" t="n">
        <v>44630</v>
      </c>
      <c r="D32" s="649" t="inlineStr">
        <is>
          <t>世纪云芯</t>
        </is>
      </c>
      <c r="E32" s="654" t="inlineStr">
        <is>
          <t>SCK</t>
        </is>
      </c>
      <c r="F32" s="654" t="inlineStr">
        <is>
          <t>BM1362BD</t>
        </is>
      </c>
      <c r="G32" s="629" t="inlineStr">
        <is>
          <t>Y09BM1362D40</t>
        </is>
      </c>
      <c r="H32" s="652" t="n">
        <v>48348</v>
      </c>
      <c r="I32" s="559" t="inlineStr">
        <is>
          <t>202203150007</t>
        </is>
      </c>
      <c r="J32" s="629" t="n">
        <v>3.3</v>
      </c>
      <c r="K32" s="629" t="n"/>
      <c r="L32" s="649" t="inlineStr">
        <is>
          <t>朗华</t>
        </is>
      </c>
      <c r="M32" s="650" t="n"/>
    </row>
    <row r="33" ht="14.25" customHeight="1" s="184">
      <c r="A33" s="629" t="n">
        <v>32</v>
      </c>
      <c r="B33" s="587" t="inlineStr">
        <is>
          <t>HK Bitmain</t>
        </is>
      </c>
      <c r="C33" s="526" t="n">
        <v>44630</v>
      </c>
      <c r="D33" s="649" t="inlineStr">
        <is>
          <t>世纪云芯</t>
        </is>
      </c>
      <c r="E33" s="654" t="inlineStr">
        <is>
          <t>XJ</t>
        </is>
      </c>
      <c r="F33" s="654" t="inlineStr">
        <is>
          <t>BM1362AK</t>
        </is>
      </c>
      <c r="G33" s="629" t="inlineStr">
        <is>
          <t>Y09BM1362310</t>
        </is>
      </c>
      <c r="H33" s="652" t="n">
        <v>400362</v>
      </c>
      <c r="I33" s="559" t="inlineStr">
        <is>
          <t>202203120012</t>
        </is>
      </c>
      <c r="J33" s="629" t="n">
        <v>3.3</v>
      </c>
      <c r="K33" s="629" t="n"/>
      <c r="L33" s="649" t="inlineStr">
        <is>
          <t>讯宇</t>
        </is>
      </c>
      <c r="M33" s="650" t="n"/>
    </row>
    <row r="34" ht="14.25" customHeight="1" s="184">
      <c r="A34" s="629" t="n">
        <v>33</v>
      </c>
      <c r="B34" s="587" t="inlineStr">
        <is>
          <t>HK Bitmain</t>
        </is>
      </c>
      <c r="C34" s="526" t="n">
        <v>44630</v>
      </c>
      <c r="D34" s="649" t="inlineStr">
        <is>
          <t>世纪云芯</t>
        </is>
      </c>
      <c r="E34" s="654" t="inlineStr">
        <is>
          <t>XJ</t>
        </is>
      </c>
      <c r="F34" s="654" t="inlineStr">
        <is>
          <t>BM1362AI</t>
        </is>
      </c>
      <c r="G34" s="629" t="inlineStr">
        <is>
          <t>Y09BM1362110</t>
        </is>
      </c>
      <c r="H34" s="652" t="n">
        <v>928817</v>
      </c>
      <c r="I34" s="559" t="inlineStr">
        <is>
          <t>202203120012</t>
        </is>
      </c>
      <c r="J34" s="629" t="n">
        <v>3.3</v>
      </c>
      <c r="K34" s="629" t="n"/>
      <c r="L34" s="649" t="inlineStr">
        <is>
          <t>讯宇</t>
        </is>
      </c>
      <c r="M34" s="650" t="n"/>
    </row>
    <row r="35" ht="14.25" customHeight="1" s="184">
      <c r="A35" s="629" t="n">
        <v>34</v>
      </c>
      <c r="B35" s="587" t="inlineStr">
        <is>
          <t>HK Bitmain</t>
        </is>
      </c>
      <c r="C35" s="526" t="n">
        <v>44630</v>
      </c>
      <c r="D35" s="649" t="inlineStr">
        <is>
          <t>世纪云芯</t>
        </is>
      </c>
      <c r="E35" s="654" t="inlineStr">
        <is>
          <t>XJ</t>
        </is>
      </c>
      <c r="F35" s="654" t="inlineStr">
        <is>
          <t>BM1362AC</t>
        </is>
      </c>
      <c r="G35" s="629" t="inlineStr">
        <is>
          <t>Y09BM1362C00</t>
        </is>
      </c>
      <c r="H35" s="652" t="n">
        <v>593904</v>
      </c>
      <c r="I35" s="559" t="inlineStr">
        <is>
          <t>202203120012</t>
        </is>
      </c>
      <c r="J35" s="629" t="n">
        <v>3.3</v>
      </c>
      <c r="K35" s="629" t="n"/>
      <c r="L35" s="649" t="inlineStr">
        <is>
          <t>讯宇</t>
        </is>
      </c>
      <c r="M35" s="650" t="n"/>
    </row>
    <row r="36" ht="14.25" customHeight="1" s="184">
      <c r="A36" s="629" t="n">
        <v>35</v>
      </c>
      <c r="B36" s="587" t="inlineStr">
        <is>
          <t>HK Bitmain</t>
        </is>
      </c>
      <c r="C36" s="526" t="n">
        <v>44630</v>
      </c>
      <c r="D36" s="649" t="inlineStr">
        <is>
          <t>世纪云芯</t>
        </is>
      </c>
      <c r="E36" s="654" t="inlineStr">
        <is>
          <t>XJ</t>
        </is>
      </c>
      <c r="F36" s="654" t="inlineStr">
        <is>
          <t>BM1489</t>
        </is>
      </c>
      <c r="G36" s="629" t="inlineStr">
        <is>
          <t>Y09BM1489010</t>
        </is>
      </c>
      <c r="H36" s="652" t="n">
        <v>184806</v>
      </c>
      <c r="I36" s="559" t="inlineStr">
        <is>
          <t>202203120012</t>
        </is>
      </c>
      <c r="J36" s="629" t="n">
        <v>6.22</v>
      </c>
      <c r="K36" s="629" t="n"/>
      <c r="L36" s="649" t="inlineStr">
        <is>
          <t>讯宇</t>
        </is>
      </c>
      <c r="M36" s="650" t="n"/>
    </row>
    <row r="37" ht="14.25" customHeight="1" s="184">
      <c r="A37" s="629" t="n">
        <v>36</v>
      </c>
      <c r="B37" s="587" t="inlineStr">
        <is>
          <t>HK Bitmain</t>
        </is>
      </c>
      <c r="C37" s="526" t="n">
        <v>44634</v>
      </c>
      <c r="D37" s="649" t="inlineStr">
        <is>
          <t>世纪云芯</t>
        </is>
      </c>
      <c r="E37" s="654" t="inlineStr">
        <is>
          <t>无锡伟测</t>
        </is>
      </c>
      <c r="F37" s="654" t="inlineStr">
        <is>
          <t>BM1362AC</t>
        </is>
      </c>
      <c r="G37" s="629" t="inlineStr">
        <is>
          <t>Y09BM1362C00</t>
        </is>
      </c>
      <c r="H37" s="652" t="n">
        <v>602236</v>
      </c>
      <c r="I37" s="559" t="inlineStr">
        <is>
          <t>202203180012</t>
        </is>
      </c>
      <c r="J37" s="629" t="n">
        <v>3.3</v>
      </c>
      <c r="K37" s="629" t="n"/>
      <c r="L37" s="649" t="inlineStr">
        <is>
          <t>朗华</t>
        </is>
      </c>
      <c r="M37" s="650" t="n"/>
    </row>
    <row r="38" ht="14.25" customHeight="1" s="184">
      <c r="A38" s="629" t="n">
        <v>37</v>
      </c>
      <c r="B38" s="587" t="inlineStr">
        <is>
          <t>HK Bitmain</t>
        </is>
      </c>
      <c r="C38" s="526" t="n">
        <v>44637</v>
      </c>
      <c r="D38" s="649" t="inlineStr">
        <is>
          <t>世纪云芯</t>
        </is>
      </c>
      <c r="E38" s="654" t="inlineStr">
        <is>
          <t>XJ</t>
        </is>
      </c>
      <c r="F38" s="654" t="inlineStr">
        <is>
          <t>BM1489</t>
        </is>
      </c>
      <c r="G38" s="629" t="inlineStr">
        <is>
          <t>Y09BM1489010</t>
        </is>
      </c>
      <c r="H38" s="652" t="n">
        <v>463116</v>
      </c>
      <c r="I38" s="559" t="inlineStr">
        <is>
          <t>202203180013</t>
        </is>
      </c>
      <c r="J38" s="629" t="n">
        <v>6.22</v>
      </c>
      <c r="K38" s="629" t="n"/>
      <c r="L38" s="649" t="inlineStr">
        <is>
          <t>朗华</t>
        </is>
      </c>
      <c r="M38" s="650" t="n"/>
    </row>
    <row r="39" ht="14.25" customHeight="1" s="184">
      <c r="A39" s="629" t="n">
        <v>38</v>
      </c>
      <c r="B39" s="587" t="inlineStr">
        <is>
          <t>HK Bitmain</t>
        </is>
      </c>
      <c r="C39" s="566" t="n">
        <v>44638</v>
      </c>
      <c r="D39" s="649" t="inlineStr">
        <is>
          <t>世纪云芯</t>
        </is>
      </c>
      <c r="E39" s="654" t="inlineStr">
        <is>
          <t>捷策创</t>
        </is>
      </c>
      <c r="F39" s="654" t="inlineStr">
        <is>
          <t>BM1362AC</t>
        </is>
      </c>
      <c r="G39" s="629" t="inlineStr">
        <is>
          <t>Y09BM1362C00</t>
        </is>
      </c>
      <c r="H39" s="652" t="n">
        <v>322736</v>
      </c>
      <c r="I39" s="559" t="inlineStr">
        <is>
          <t>202203200010</t>
        </is>
      </c>
      <c r="J39" s="629" t="n">
        <v>3.3</v>
      </c>
      <c r="K39" s="629" t="inlineStr">
        <is>
          <t>HQ</t>
        </is>
      </c>
      <c r="L39" s="649" t="inlineStr">
        <is>
          <t>朗华</t>
        </is>
      </c>
      <c r="M39" s="650" t="n"/>
    </row>
    <row r="40" ht="14.25" customHeight="1" s="184">
      <c r="A40" s="629" t="n">
        <v>39</v>
      </c>
      <c r="B40" s="587" t="inlineStr">
        <is>
          <t>HK Bitmain</t>
        </is>
      </c>
      <c r="C40" s="566" t="n">
        <v>44638</v>
      </c>
      <c r="D40" s="649" t="inlineStr">
        <is>
          <t>世纪云芯</t>
        </is>
      </c>
      <c r="E40" s="654" t="inlineStr">
        <is>
          <t>XJ</t>
        </is>
      </c>
      <c r="F40" s="654" t="inlineStr">
        <is>
          <t>BM1362AI</t>
        </is>
      </c>
      <c r="G40" s="629" t="inlineStr">
        <is>
          <t>Y09BM1362110</t>
        </is>
      </c>
      <c r="H40" s="652" t="n">
        <v>570508</v>
      </c>
      <c r="I40" s="559" t="inlineStr">
        <is>
          <t>202203200012</t>
        </is>
      </c>
      <c r="J40" s="629" t="n">
        <v>3.3</v>
      </c>
      <c r="K40" s="629" t="inlineStr">
        <is>
          <t>YDF</t>
        </is>
      </c>
      <c r="L40" s="649" t="inlineStr">
        <is>
          <t>朗华</t>
        </is>
      </c>
      <c r="M40" s="650" t="n"/>
    </row>
    <row r="41" ht="14.25" customHeight="1" s="184">
      <c r="A41" s="629" t="n">
        <v>40</v>
      </c>
      <c r="B41" s="587" t="inlineStr">
        <is>
          <t>HK Bitmain</t>
        </is>
      </c>
      <c r="C41" s="566" t="n">
        <v>44638</v>
      </c>
      <c r="D41" s="649" t="inlineStr">
        <is>
          <t>世纪云芯</t>
        </is>
      </c>
      <c r="E41" s="654" t="inlineStr">
        <is>
          <t>XJ</t>
        </is>
      </c>
      <c r="F41" s="654" t="inlineStr">
        <is>
          <t>BM1362AC</t>
        </is>
      </c>
      <c r="G41" s="629" t="inlineStr">
        <is>
          <t>Y09BM1362C00</t>
        </is>
      </c>
      <c r="H41" s="652" t="n">
        <v>31101</v>
      </c>
      <c r="I41" s="559" t="inlineStr">
        <is>
          <t>202203200012</t>
        </is>
      </c>
      <c r="J41" s="629" t="n">
        <v>3.3</v>
      </c>
      <c r="K41" s="629" t="inlineStr">
        <is>
          <t>YDF</t>
        </is>
      </c>
      <c r="L41" s="649" t="inlineStr">
        <is>
          <t>朗华</t>
        </is>
      </c>
      <c r="M41" s="650" t="n"/>
    </row>
    <row r="42" ht="14.25" customHeight="1" s="184">
      <c r="A42" s="629" t="n">
        <v>41</v>
      </c>
      <c r="B42" s="587" t="inlineStr">
        <is>
          <t>HK Bitmain</t>
        </is>
      </c>
      <c r="C42" s="566" t="n">
        <v>44638</v>
      </c>
      <c r="D42" s="649" t="inlineStr">
        <is>
          <t>世纪云芯</t>
        </is>
      </c>
      <c r="E42" s="654" t="inlineStr">
        <is>
          <t>XJ</t>
        </is>
      </c>
      <c r="F42" s="654" t="inlineStr">
        <is>
          <t>BM1489</t>
        </is>
      </c>
      <c r="G42" s="629" t="inlineStr">
        <is>
          <t>Y09BM1489010</t>
        </is>
      </c>
      <c r="H42" s="652" t="n">
        <v>246347</v>
      </c>
      <c r="I42" s="559" t="inlineStr">
        <is>
          <t>202203200012</t>
        </is>
      </c>
      <c r="J42" s="629" t="n">
        <v>6.22</v>
      </c>
      <c r="K42" s="629" t="inlineStr">
        <is>
          <t>YDF</t>
        </is>
      </c>
      <c r="L42" s="649" t="inlineStr">
        <is>
          <t>朗华</t>
        </is>
      </c>
      <c r="M42" s="650" t="n"/>
    </row>
    <row r="43" ht="14.25" customHeight="1" s="184">
      <c r="A43" s="629" t="n">
        <v>42</v>
      </c>
      <c r="B43" s="587" t="inlineStr">
        <is>
          <t>HK Bitmain</t>
        </is>
      </c>
      <c r="C43" s="566" t="n">
        <v>44638</v>
      </c>
      <c r="D43" s="649" t="inlineStr">
        <is>
          <t>世纪云芯</t>
        </is>
      </c>
      <c r="E43" s="654" t="inlineStr">
        <is>
          <t>XJ</t>
        </is>
      </c>
      <c r="F43" s="654" t="inlineStr">
        <is>
          <t>BM1362AC</t>
        </is>
      </c>
      <c r="G43" s="629" t="inlineStr">
        <is>
          <t>Y09BM1362C00</t>
        </is>
      </c>
      <c r="H43" s="653" t="n">
        <v>3811</v>
      </c>
      <c r="I43" s="568" t="inlineStr">
        <is>
          <t>202203200011</t>
        </is>
      </c>
      <c r="J43" s="655" t="n">
        <v>3.3</v>
      </c>
      <c r="K43" s="655" t="inlineStr">
        <is>
          <t>HQ</t>
        </is>
      </c>
      <c r="L43" s="649" t="inlineStr">
        <is>
          <t>朗华</t>
        </is>
      </c>
      <c r="M43" s="650" t="n"/>
    </row>
    <row r="44" ht="14.25" customHeight="1" s="184">
      <c r="A44" s="629" t="n">
        <v>43</v>
      </c>
      <c r="B44" s="587" t="inlineStr">
        <is>
          <t>HK Bitmain</t>
        </is>
      </c>
      <c r="C44" s="566" t="n">
        <v>44638</v>
      </c>
      <c r="D44" s="649" t="inlineStr">
        <is>
          <t>世纪云芯</t>
        </is>
      </c>
      <c r="E44" s="654" t="inlineStr">
        <is>
          <t>XJ</t>
        </is>
      </c>
      <c r="F44" s="654" t="inlineStr">
        <is>
          <t>BM1362AI</t>
        </is>
      </c>
      <c r="G44" s="629" t="inlineStr">
        <is>
          <t>Y09BM1362110</t>
        </is>
      </c>
      <c r="H44" s="653" t="n">
        <v>61730</v>
      </c>
      <c r="I44" s="568" t="inlineStr">
        <is>
          <t>202203200011</t>
        </is>
      </c>
      <c r="J44" s="655" t="n">
        <v>3.3</v>
      </c>
      <c r="K44" s="655" t="inlineStr">
        <is>
          <t>HQ</t>
        </is>
      </c>
      <c r="L44" s="649" t="inlineStr">
        <is>
          <t>朗华</t>
        </is>
      </c>
      <c r="M44" s="650" t="n"/>
    </row>
    <row r="45" ht="14.25" customHeight="1" s="184">
      <c r="A45" s="629" t="n">
        <v>44</v>
      </c>
      <c r="B45" s="587" t="inlineStr">
        <is>
          <t>HK Bitmain</t>
        </is>
      </c>
      <c r="C45" s="566" t="n">
        <v>44638</v>
      </c>
      <c r="D45" s="649" t="inlineStr">
        <is>
          <t>世纪云芯</t>
        </is>
      </c>
      <c r="E45" s="654" t="inlineStr">
        <is>
          <t>XJ</t>
        </is>
      </c>
      <c r="F45" s="654" t="inlineStr">
        <is>
          <t>BM1362AC</t>
        </is>
      </c>
      <c r="G45" s="629" t="inlineStr">
        <is>
          <t>Y09BM1362C00</t>
        </is>
      </c>
      <c r="H45" s="653" t="n">
        <v>19913</v>
      </c>
      <c r="I45" s="568" t="inlineStr">
        <is>
          <t>202203200011</t>
        </is>
      </c>
      <c r="J45" s="655" t="n">
        <v>3.3</v>
      </c>
      <c r="K45" s="655" t="inlineStr">
        <is>
          <t>HQ</t>
        </is>
      </c>
      <c r="L45" s="649" t="inlineStr">
        <is>
          <t>朗华</t>
        </is>
      </c>
      <c r="M45" s="650" t="n"/>
    </row>
    <row r="46" ht="14.25" customHeight="1" s="184">
      <c r="A46" s="629" t="n">
        <v>45</v>
      </c>
      <c r="B46" s="587" t="inlineStr">
        <is>
          <t>HK Bitmain</t>
        </is>
      </c>
      <c r="C46" s="566" t="n">
        <v>44638</v>
      </c>
      <c r="D46" s="649" t="inlineStr">
        <is>
          <t>世纪云芯</t>
        </is>
      </c>
      <c r="E46" s="654" t="inlineStr">
        <is>
          <t>捷策创</t>
        </is>
      </c>
      <c r="F46" s="654" t="inlineStr">
        <is>
          <t>BM1362AJ</t>
        </is>
      </c>
      <c r="G46" s="629" t="inlineStr">
        <is>
          <t>Y09BM1362210</t>
        </is>
      </c>
      <c r="H46" s="652" t="n">
        <v>475311</v>
      </c>
      <c r="I46" s="559" t="inlineStr">
        <is>
          <t>202203200013</t>
        </is>
      </c>
      <c r="J46" s="629" t="n">
        <v>3.3</v>
      </c>
      <c r="K46" s="629" t="inlineStr">
        <is>
          <t>YDF</t>
        </is>
      </c>
      <c r="L46" s="649" t="inlineStr">
        <is>
          <t>朗华</t>
        </is>
      </c>
      <c r="M46" s="650" t="n"/>
    </row>
    <row r="47" ht="14.25" customHeight="1" s="184">
      <c r="A47" s="629" t="n">
        <v>46</v>
      </c>
      <c r="B47" s="587" t="inlineStr">
        <is>
          <t>HK Bitmain</t>
        </is>
      </c>
      <c r="C47" s="566" t="n">
        <v>44638</v>
      </c>
      <c r="D47" s="649" t="inlineStr">
        <is>
          <t>世纪云芯</t>
        </is>
      </c>
      <c r="E47" s="654" t="inlineStr">
        <is>
          <t>捷策创</t>
        </is>
      </c>
      <c r="F47" s="654" t="inlineStr">
        <is>
          <t>BM1366AB</t>
        </is>
      </c>
      <c r="G47" s="629" t="inlineStr">
        <is>
          <t>Y09BM1366120</t>
        </is>
      </c>
      <c r="H47" s="652" t="n">
        <v>40680</v>
      </c>
      <c r="I47" s="559" t="inlineStr">
        <is>
          <t>202203200013</t>
        </is>
      </c>
      <c r="J47" s="629" t="n">
        <v>4.72</v>
      </c>
      <c r="K47" s="629" t="inlineStr">
        <is>
          <t>YDF</t>
        </is>
      </c>
      <c r="L47" s="649" t="inlineStr">
        <is>
          <t>朗华</t>
        </is>
      </c>
      <c r="M47" s="650" t="n"/>
    </row>
    <row r="48" ht="14.25" customHeight="1" s="184">
      <c r="A48" s="629" t="n">
        <v>47</v>
      </c>
      <c r="B48" s="587" t="inlineStr">
        <is>
          <t>HK Bitmain</t>
        </is>
      </c>
      <c r="C48" s="566" t="n">
        <v>44638</v>
      </c>
      <c r="D48" s="649" t="inlineStr">
        <is>
          <t>世纪云芯</t>
        </is>
      </c>
      <c r="E48" s="654" t="inlineStr">
        <is>
          <t>捷策创</t>
        </is>
      </c>
      <c r="F48" s="654" t="inlineStr">
        <is>
          <t>BM1362AK</t>
        </is>
      </c>
      <c r="G48" s="629" t="inlineStr">
        <is>
          <t>Y09BM1362310</t>
        </is>
      </c>
      <c r="H48" s="652" t="n">
        <v>751599</v>
      </c>
      <c r="I48" s="559" t="inlineStr">
        <is>
          <t>202203200013</t>
        </is>
      </c>
      <c r="J48" s="629" t="n">
        <v>3.3</v>
      </c>
      <c r="K48" s="629" t="inlineStr">
        <is>
          <t>YDF</t>
        </is>
      </c>
      <c r="L48" s="649" t="inlineStr">
        <is>
          <t>朗华</t>
        </is>
      </c>
      <c r="M48" s="650" t="n"/>
    </row>
    <row r="49" ht="14.25" customHeight="1" s="184">
      <c r="A49" s="629" t="n">
        <v>48</v>
      </c>
      <c r="B49" s="587" t="inlineStr">
        <is>
          <t>HK Bitmain</t>
        </is>
      </c>
      <c r="C49" s="566" t="n">
        <v>44638</v>
      </c>
      <c r="D49" s="649" t="inlineStr">
        <is>
          <t>世纪云芯</t>
        </is>
      </c>
      <c r="E49" s="654" t="inlineStr">
        <is>
          <t>捷策创</t>
        </is>
      </c>
      <c r="F49" s="654" t="inlineStr">
        <is>
          <t>BM1362AK</t>
        </is>
      </c>
      <c r="G49" s="629" t="inlineStr">
        <is>
          <t>Y09BM1362310</t>
        </is>
      </c>
      <c r="H49" s="652" t="n">
        <v>285480</v>
      </c>
      <c r="I49" s="559" t="inlineStr">
        <is>
          <t>202203200013</t>
        </is>
      </c>
      <c r="J49" s="629" t="n">
        <v>3.3</v>
      </c>
      <c r="K49" s="629" t="inlineStr">
        <is>
          <t>YDF</t>
        </is>
      </c>
      <c r="L49" s="649" t="inlineStr">
        <is>
          <t>朗华</t>
        </is>
      </c>
      <c r="M49" s="650" t="n"/>
    </row>
    <row r="50" ht="14.25" customHeight="1" s="184">
      <c r="A50" s="629" t="n">
        <v>49</v>
      </c>
      <c r="B50" s="587" t="inlineStr">
        <is>
          <t>HK Bitmain</t>
        </is>
      </c>
      <c r="C50" s="566" t="n">
        <v>44638</v>
      </c>
      <c r="D50" s="649" t="inlineStr">
        <is>
          <t>世纪云芯</t>
        </is>
      </c>
      <c r="E50" s="654" t="inlineStr">
        <is>
          <t>捷策创</t>
        </is>
      </c>
      <c r="F50" s="654" t="inlineStr">
        <is>
          <t>BM1489</t>
        </is>
      </c>
      <c r="G50" s="629" t="inlineStr">
        <is>
          <t>Y09BM1489010</t>
        </is>
      </c>
      <c r="H50" s="652" t="n">
        <v>326414</v>
      </c>
      <c r="I50" s="559" t="inlineStr">
        <is>
          <t>202203200013</t>
        </is>
      </c>
      <c r="J50" s="629" t="n">
        <v>6.22</v>
      </c>
      <c r="K50" s="629" t="inlineStr">
        <is>
          <t>YDF</t>
        </is>
      </c>
      <c r="L50" s="649" t="inlineStr">
        <is>
          <t>朗华</t>
        </is>
      </c>
      <c r="M50" s="650" t="n"/>
    </row>
    <row r="51" ht="14.25" customHeight="1" s="184">
      <c r="A51" s="629" t="n">
        <v>50</v>
      </c>
      <c r="B51" s="587" t="inlineStr">
        <is>
          <t>HK Bitmain</t>
        </is>
      </c>
      <c r="C51" s="566" t="n">
        <v>44641</v>
      </c>
      <c r="D51" s="649" t="inlineStr">
        <is>
          <t>世纪云芯</t>
        </is>
      </c>
      <c r="E51" s="654" t="inlineStr">
        <is>
          <t>捷策创</t>
        </is>
      </c>
      <c r="F51" s="654" t="inlineStr">
        <is>
          <t>BM1362AC</t>
        </is>
      </c>
      <c r="G51" s="629" t="inlineStr">
        <is>
          <t>Y09BM1362C00</t>
        </is>
      </c>
      <c r="H51" s="652" t="n">
        <v>602565</v>
      </c>
      <c r="I51" s="559" t="inlineStr">
        <is>
          <t>202203230001</t>
        </is>
      </c>
      <c r="J51" s="629" t="n">
        <v>3.3</v>
      </c>
      <c r="K51" s="629" t="n"/>
      <c r="L51" s="649" t="inlineStr">
        <is>
          <t>朗华</t>
        </is>
      </c>
      <c r="M51" s="650" t="n"/>
    </row>
    <row r="52" ht="14.25" customHeight="1" s="184">
      <c r="A52" s="629" t="n">
        <v>52</v>
      </c>
      <c r="B52" s="587" t="inlineStr">
        <is>
          <t>HK Bitmain</t>
        </is>
      </c>
      <c r="C52" s="566" t="n">
        <v>44641</v>
      </c>
      <c r="D52" s="649" t="inlineStr">
        <is>
          <t>世纪云芯</t>
        </is>
      </c>
      <c r="E52" s="654" t="inlineStr">
        <is>
          <t>XJ</t>
        </is>
      </c>
      <c r="F52" s="654" t="inlineStr">
        <is>
          <t>BM1362AC</t>
        </is>
      </c>
      <c r="G52" s="629" t="inlineStr">
        <is>
          <t>Y09BM1362C00</t>
        </is>
      </c>
      <c r="H52" s="656" t="n">
        <v>443620</v>
      </c>
      <c r="I52" s="559" t="inlineStr">
        <is>
          <t>202203230002</t>
        </is>
      </c>
      <c r="J52" s="629" t="n">
        <v>3.3</v>
      </c>
      <c r="K52" s="629" t="n"/>
      <c r="L52" s="649" t="inlineStr">
        <is>
          <t>世纪通</t>
        </is>
      </c>
      <c r="M52" s="650" t="n"/>
    </row>
    <row r="53" ht="14.25" customHeight="1" s="184">
      <c r="A53" s="629" t="n">
        <v>54</v>
      </c>
      <c r="B53" s="587" t="inlineStr">
        <is>
          <t>HK Bitmain</t>
        </is>
      </c>
      <c r="C53" s="566" t="n">
        <v>44641</v>
      </c>
      <c r="D53" s="649" t="inlineStr">
        <is>
          <t>世纪云芯</t>
        </is>
      </c>
      <c r="E53" s="654" t="inlineStr">
        <is>
          <t>XJ</t>
        </is>
      </c>
      <c r="F53" s="654" t="inlineStr">
        <is>
          <t>BM1362AI</t>
        </is>
      </c>
      <c r="G53" s="629" t="inlineStr">
        <is>
          <t>Y09BM1362110</t>
        </is>
      </c>
      <c r="H53" s="652" t="n">
        <v>1297348</v>
      </c>
      <c r="I53" s="559" t="inlineStr">
        <is>
          <t>202203230002</t>
        </is>
      </c>
      <c r="J53" s="629" t="n">
        <v>3.3</v>
      </c>
      <c r="K53" s="629" t="n"/>
      <c r="L53" s="649" t="inlineStr">
        <is>
          <t>世纪通</t>
        </is>
      </c>
      <c r="M53" s="650" t="n"/>
    </row>
    <row r="54" ht="14.25" customHeight="1" s="184">
      <c r="A54" s="629" t="n">
        <v>56</v>
      </c>
      <c r="B54" s="587" t="inlineStr">
        <is>
          <t>HK Bitmain</t>
        </is>
      </c>
      <c r="C54" s="566" t="n">
        <v>44641</v>
      </c>
      <c r="D54" s="649" t="inlineStr">
        <is>
          <t>世纪云芯</t>
        </is>
      </c>
      <c r="E54" s="654" t="inlineStr">
        <is>
          <t>XJ</t>
        </is>
      </c>
      <c r="F54" s="654" t="inlineStr">
        <is>
          <t>BM1362AK</t>
        </is>
      </c>
      <c r="G54" s="629" t="inlineStr">
        <is>
          <t>Y09BM1362310</t>
        </is>
      </c>
      <c r="H54" s="652" t="n">
        <v>161316</v>
      </c>
      <c r="I54" s="559" t="inlineStr">
        <is>
          <t>202203230002</t>
        </is>
      </c>
      <c r="J54" s="629" t="n">
        <v>3.3</v>
      </c>
      <c r="K54" s="629" t="n"/>
      <c r="L54" s="649" t="inlineStr">
        <is>
          <t>世纪通</t>
        </is>
      </c>
      <c r="M54" s="650" t="n"/>
    </row>
    <row r="55" ht="14.25" customHeight="1" s="184">
      <c r="A55" s="629" t="n">
        <v>57</v>
      </c>
      <c r="B55" s="587" t="inlineStr">
        <is>
          <t>HK Bitmain</t>
        </is>
      </c>
      <c r="C55" s="566" t="n">
        <v>44641</v>
      </c>
      <c r="D55" s="649" t="inlineStr">
        <is>
          <t>世纪云芯</t>
        </is>
      </c>
      <c r="E55" s="654" t="inlineStr">
        <is>
          <t>XJ</t>
        </is>
      </c>
      <c r="F55" s="654" t="inlineStr">
        <is>
          <t>BM1489</t>
        </is>
      </c>
      <c r="G55" s="629" t="inlineStr">
        <is>
          <t>Y09BM1489010</t>
        </is>
      </c>
      <c r="H55" s="652" t="n">
        <v>380756</v>
      </c>
      <c r="I55" s="559" t="inlineStr">
        <is>
          <t>202203230002</t>
        </is>
      </c>
      <c r="J55" s="629" t="n">
        <v>6.22</v>
      </c>
      <c r="K55" s="629" t="n"/>
      <c r="L55" s="649" t="inlineStr">
        <is>
          <t>世纪通</t>
        </is>
      </c>
      <c r="M55" s="650" t="n"/>
    </row>
    <row r="56" ht="14.25" customHeight="1" s="184">
      <c r="A56" s="629" t="n">
        <v>58</v>
      </c>
      <c r="B56" s="587" t="inlineStr">
        <is>
          <t>HK Bitmain</t>
        </is>
      </c>
      <c r="C56" s="566" t="n">
        <v>44642</v>
      </c>
      <c r="D56" s="649" t="inlineStr">
        <is>
          <t>世纪云芯</t>
        </is>
      </c>
      <c r="E56" s="654" t="inlineStr">
        <is>
          <t>捷策创</t>
        </is>
      </c>
      <c r="F56" s="657" t="inlineStr">
        <is>
          <t>BM1398BB</t>
        </is>
      </c>
      <c r="G56" s="629" t="inlineStr">
        <is>
          <t>Y09BM1398240</t>
        </is>
      </c>
      <c r="H56" s="652" t="n">
        <v>215987</v>
      </c>
      <c r="I56" s="559" t="inlineStr">
        <is>
          <t>202203230003</t>
        </is>
      </c>
      <c r="J56" s="629" t="n">
        <v>6.1</v>
      </c>
      <c r="K56" s="629" t="n"/>
      <c r="L56" s="649" t="inlineStr">
        <is>
          <t>朗华</t>
        </is>
      </c>
      <c r="M56" s="650" t="n"/>
    </row>
    <row r="57" ht="14.25" customHeight="1" s="184">
      <c r="A57" s="629" t="n">
        <v>59</v>
      </c>
      <c r="B57" s="587" t="inlineStr">
        <is>
          <t>HK Bitmain</t>
        </is>
      </c>
      <c r="C57" s="566" t="n">
        <v>44642</v>
      </c>
      <c r="D57" s="649" t="inlineStr">
        <is>
          <t>世纪云芯</t>
        </is>
      </c>
      <c r="E57" s="654" t="inlineStr">
        <is>
          <t>XJ</t>
        </is>
      </c>
      <c r="F57" s="657" t="inlineStr">
        <is>
          <t>BM1362AK</t>
        </is>
      </c>
      <c r="G57" s="629" t="inlineStr">
        <is>
          <t>Y09BM1362310</t>
        </is>
      </c>
      <c r="H57" s="652" t="n">
        <v>58567</v>
      </c>
      <c r="I57" s="559" t="inlineStr">
        <is>
          <t>202203230004</t>
        </is>
      </c>
      <c r="J57" s="629" t="n">
        <v>3.3</v>
      </c>
      <c r="K57" s="629" t="n"/>
      <c r="L57" s="649" t="inlineStr">
        <is>
          <t>世纪通</t>
        </is>
      </c>
      <c r="M57" s="650" t="n"/>
    </row>
    <row r="58" ht="14.25" customHeight="1" s="184">
      <c r="A58" s="629" t="n">
        <v>59</v>
      </c>
      <c r="B58" s="587" t="inlineStr">
        <is>
          <t>HK Bitmain</t>
        </is>
      </c>
      <c r="C58" s="566" t="n">
        <v>44642</v>
      </c>
      <c r="D58" s="649" t="inlineStr">
        <is>
          <t>世纪云芯</t>
        </is>
      </c>
      <c r="E58" s="654" t="inlineStr">
        <is>
          <t>XJ</t>
        </is>
      </c>
      <c r="F58" s="657" t="inlineStr">
        <is>
          <t>BM1489</t>
        </is>
      </c>
      <c r="G58" s="629" t="inlineStr">
        <is>
          <t>Y09BM1489010</t>
        </is>
      </c>
      <c r="H58" s="652" t="n">
        <v>118214</v>
      </c>
      <c r="I58" s="559" t="inlineStr">
        <is>
          <t>202203230004</t>
        </is>
      </c>
      <c r="J58" s="629" t="n">
        <v>6.22</v>
      </c>
      <c r="K58" s="629" t="n"/>
      <c r="L58" s="649" t="inlineStr">
        <is>
          <t>世纪通</t>
        </is>
      </c>
      <c r="M58" s="650" t="n"/>
    </row>
    <row r="59" ht="14.25" customHeight="1" s="184">
      <c r="A59" s="629" t="n">
        <v>61</v>
      </c>
      <c r="B59" s="587" t="inlineStr">
        <is>
          <t>HK Bitmain</t>
        </is>
      </c>
      <c r="C59" s="566" t="n">
        <v>44643</v>
      </c>
      <c r="D59" s="649" t="inlineStr">
        <is>
          <t>世纪云芯</t>
        </is>
      </c>
      <c r="E59" s="654" t="inlineStr">
        <is>
          <t>HT</t>
        </is>
      </c>
      <c r="F59" s="657" t="inlineStr">
        <is>
          <t>BM1366AC</t>
        </is>
      </c>
      <c r="G59" s="629" t="inlineStr">
        <is>
          <t>Y09BM1366230</t>
        </is>
      </c>
      <c r="H59" s="652" t="n">
        <v>200</v>
      </c>
      <c r="I59" s="571" t="inlineStr">
        <is>
          <t>202203240003</t>
        </is>
      </c>
      <c r="J59" s="629" t="n">
        <v>4.72</v>
      </c>
      <c r="K59" s="629" t="n"/>
      <c r="L59" s="649" t="inlineStr">
        <is>
          <t>朗华</t>
        </is>
      </c>
      <c r="M59" s="650" t="n"/>
    </row>
    <row r="60" ht="14.25" customHeight="1" s="184">
      <c r="A60" s="629" t="n">
        <v>62</v>
      </c>
      <c r="B60" s="587" t="inlineStr">
        <is>
          <t>HK Bitmain</t>
        </is>
      </c>
      <c r="C60" s="566" t="n">
        <v>44643</v>
      </c>
      <c r="D60" s="649" t="inlineStr">
        <is>
          <t>世纪云芯</t>
        </is>
      </c>
      <c r="E60" s="654" t="inlineStr">
        <is>
          <t>XJ</t>
        </is>
      </c>
      <c r="F60" s="657" t="inlineStr">
        <is>
          <t>BM1362AC</t>
        </is>
      </c>
      <c r="G60" s="629" t="inlineStr">
        <is>
          <t>Y09BM1362C00</t>
        </is>
      </c>
      <c r="H60" s="652" t="n">
        <v>19116</v>
      </c>
      <c r="I60" s="571" t="inlineStr">
        <is>
          <t>202203240004</t>
        </is>
      </c>
      <c r="J60" s="629" t="n">
        <v>3.3</v>
      </c>
      <c r="K60" s="629" t="n"/>
      <c r="L60" s="649" t="inlineStr">
        <is>
          <t>朗华</t>
        </is>
      </c>
      <c r="M60" s="650" t="n"/>
    </row>
    <row r="61" ht="14.25" customHeight="1" s="184">
      <c r="A61" s="629" t="n">
        <v>63</v>
      </c>
      <c r="B61" s="587" t="inlineStr">
        <is>
          <t>HK Bitmain</t>
        </is>
      </c>
      <c r="C61" s="566" t="n">
        <v>44643</v>
      </c>
      <c r="D61" s="649" t="inlineStr">
        <is>
          <t>世纪云芯</t>
        </is>
      </c>
      <c r="E61" s="654" t="inlineStr">
        <is>
          <t>XJ</t>
        </is>
      </c>
      <c r="F61" s="657" t="inlineStr">
        <is>
          <t>BM1362AI</t>
        </is>
      </c>
      <c r="G61" s="629" t="inlineStr">
        <is>
          <t>Y09BM1362110</t>
        </is>
      </c>
      <c r="H61" s="652" t="n">
        <v>382393</v>
      </c>
      <c r="I61" s="571" t="inlineStr">
        <is>
          <t>202203240004</t>
        </is>
      </c>
      <c r="J61" s="629" t="n">
        <v>3.3</v>
      </c>
      <c r="K61" s="629" t="n"/>
      <c r="L61" s="649" t="inlineStr">
        <is>
          <t>朗华</t>
        </is>
      </c>
      <c r="M61" s="650" t="n"/>
    </row>
    <row r="62" ht="14.25" customHeight="1" s="184">
      <c r="A62" s="629" t="n">
        <v>65</v>
      </c>
      <c r="B62" s="587" t="inlineStr">
        <is>
          <t>HK Bitmain</t>
        </is>
      </c>
      <c r="C62" s="566" t="n">
        <v>44643</v>
      </c>
      <c r="D62" s="649" t="inlineStr">
        <is>
          <t>世纪云芯</t>
        </is>
      </c>
      <c r="E62" s="654" t="inlineStr">
        <is>
          <t>捷策创</t>
        </is>
      </c>
      <c r="F62" s="657" t="inlineStr">
        <is>
          <t>BM1366AB</t>
        </is>
      </c>
      <c r="G62" s="629" t="inlineStr">
        <is>
          <t>Y09BM1366120</t>
        </is>
      </c>
      <c r="H62" s="652" t="n">
        <v>6306</v>
      </c>
      <c r="I62" s="559" t="inlineStr">
        <is>
          <t>202203240005</t>
        </is>
      </c>
      <c r="J62" s="629" t="n">
        <v>4.72</v>
      </c>
      <c r="K62" s="629" t="n"/>
      <c r="L62" s="649" t="inlineStr">
        <is>
          <t>朗华</t>
        </is>
      </c>
      <c r="M62" s="650" t="n"/>
    </row>
    <row r="63" ht="14.25" customHeight="1" s="184">
      <c r="A63" s="629" t="n">
        <v>66</v>
      </c>
      <c r="B63" s="587" t="inlineStr">
        <is>
          <t>HK Bitmain</t>
        </is>
      </c>
      <c r="C63" s="566" t="n">
        <v>44643</v>
      </c>
      <c r="D63" s="649" t="inlineStr">
        <is>
          <t>世纪云芯</t>
        </is>
      </c>
      <c r="E63" s="654" t="inlineStr">
        <is>
          <t>捷策创</t>
        </is>
      </c>
      <c r="F63" s="657" t="inlineStr">
        <is>
          <t>BM1362AK</t>
        </is>
      </c>
      <c r="G63" s="629" t="inlineStr">
        <is>
          <t>Y09BM1362310</t>
        </is>
      </c>
      <c r="H63" s="652" t="n">
        <v>1037045</v>
      </c>
      <c r="I63" s="559" t="inlineStr">
        <is>
          <t>202203240005</t>
        </is>
      </c>
      <c r="J63" s="629" t="n">
        <v>3.3</v>
      </c>
      <c r="K63" s="629" t="n"/>
      <c r="L63" s="649" t="inlineStr">
        <is>
          <t>朗华</t>
        </is>
      </c>
      <c r="M63" s="650" t="n"/>
    </row>
    <row r="64" ht="14.25" customHeight="1" s="184">
      <c r="A64" s="629" t="n">
        <v>67</v>
      </c>
      <c r="B64" s="587" t="inlineStr">
        <is>
          <t>HK Bitmain</t>
        </is>
      </c>
      <c r="C64" s="566" t="n">
        <v>44643</v>
      </c>
      <c r="D64" s="649" t="inlineStr">
        <is>
          <t>世纪云芯</t>
        </is>
      </c>
      <c r="E64" s="654" t="inlineStr">
        <is>
          <t>捷策创</t>
        </is>
      </c>
      <c r="F64" s="657" t="inlineStr">
        <is>
          <t>BM1489</t>
        </is>
      </c>
      <c r="G64" s="629" t="inlineStr">
        <is>
          <t>Y09BM1489010</t>
        </is>
      </c>
      <c r="H64" s="652" t="n">
        <v>171310</v>
      </c>
      <c r="I64" s="559" t="inlineStr">
        <is>
          <t>202203240005</t>
        </is>
      </c>
      <c r="J64" s="629" t="n">
        <v>6.22</v>
      </c>
      <c r="K64" s="629" t="n"/>
      <c r="L64" s="649" t="inlineStr">
        <is>
          <t>朗华</t>
        </is>
      </c>
      <c r="M64" s="650" t="n"/>
    </row>
    <row r="65" ht="14.25" customHeight="1" s="184">
      <c r="A65" s="629" t="n">
        <v>68</v>
      </c>
      <c r="B65" s="587" t="inlineStr">
        <is>
          <t>HK Bitmain</t>
        </is>
      </c>
      <c r="C65" s="566" t="n">
        <v>44643</v>
      </c>
      <c r="D65" s="649" t="inlineStr">
        <is>
          <t>世纪云芯</t>
        </is>
      </c>
      <c r="E65" s="654" t="inlineStr">
        <is>
          <t>无锡伟测</t>
        </is>
      </c>
      <c r="F65" s="657" t="inlineStr">
        <is>
          <t>BM1362AC</t>
        </is>
      </c>
      <c r="G65" s="629" t="inlineStr">
        <is>
          <t>Y09BM1362C00</t>
        </is>
      </c>
      <c r="H65" s="652" t="n">
        <v>599606</v>
      </c>
      <c r="I65" s="559" t="inlineStr">
        <is>
          <t>202203240006</t>
        </is>
      </c>
      <c r="J65" s="629" t="n">
        <v>3.3</v>
      </c>
      <c r="K65" s="629" t="n"/>
      <c r="L65" s="649" t="inlineStr">
        <is>
          <t>朗华</t>
        </is>
      </c>
      <c r="M65" s="650" t="n"/>
    </row>
    <row r="66" ht="14.25" customHeight="1" s="184">
      <c r="A66" s="629" t="n">
        <v>69</v>
      </c>
      <c r="B66" s="587" t="inlineStr">
        <is>
          <t>HK Bitmain</t>
        </is>
      </c>
      <c r="C66" s="566" t="n">
        <v>44643</v>
      </c>
      <c r="D66" s="649" t="inlineStr">
        <is>
          <t>世纪云芯</t>
        </is>
      </c>
      <c r="E66" s="654" t="inlineStr">
        <is>
          <t>无锡伟测</t>
        </is>
      </c>
      <c r="F66" s="657" t="inlineStr">
        <is>
          <t>BM1362AC</t>
        </is>
      </c>
      <c r="G66" s="629" t="inlineStr">
        <is>
          <t>Y09BM1362C00</t>
        </is>
      </c>
      <c r="H66" s="652" t="n">
        <v>400257</v>
      </c>
      <c r="I66" s="559" t="inlineStr">
        <is>
          <t>202203240006</t>
        </is>
      </c>
      <c r="J66" s="629" t="n">
        <v>3.3</v>
      </c>
      <c r="K66" s="629" t="n"/>
      <c r="L66" s="649" t="inlineStr">
        <is>
          <t>朗华</t>
        </is>
      </c>
      <c r="M66" s="650" t="n"/>
    </row>
    <row r="67" ht="14.25" customHeight="1" s="184">
      <c r="A67" s="629" t="n">
        <v>70</v>
      </c>
      <c r="B67" s="587" t="inlineStr">
        <is>
          <t>HK Bitmain</t>
        </is>
      </c>
      <c r="C67" s="566" t="n">
        <v>44643</v>
      </c>
      <c r="D67" s="649" t="inlineStr">
        <is>
          <t>世纪云芯</t>
        </is>
      </c>
      <c r="E67" s="654" t="inlineStr">
        <is>
          <t>捷策创</t>
        </is>
      </c>
      <c r="F67" s="657" t="inlineStr">
        <is>
          <t>BM1489</t>
        </is>
      </c>
      <c r="G67" s="629" t="inlineStr">
        <is>
          <t>Y09BM1489010</t>
        </is>
      </c>
      <c r="H67" s="652" t="n">
        <v>96188</v>
      </c>
      <c r="I67" s="559" t="inlineStr">
        <is>
          <t>202203240007</t>
        </is>
      </c>
      <c r="J67" s="629" t="n">
        <v>6.22</v>
      </c>
      <c r="K67" s="629" t="n"/>
      <c r="L67" s="649" t="inlineStr">
        <is>
          <t>朗华</t>
        </is>
      </c>
      <c r="M67" s="650" t="n"/>
    </row>
    <row r="68" ht="14.25" customHeight="1" s="184">
      <c r="A68" s="629" t="n">
        <v>71</v>
      </c>
      <c r="B68" s="587" t="inlineStr">
        <is>
          <t>HK Bitmain</t>
        </is>
      </c>
      <c r="C68" s="566" t="n">
        <v>44643</v>
      </c>
      <c r="D68" s="649" t="inlineStr">
        <is>
          <t>世纪云芯</t>
        </is>
      </c>
      <c r="E68" s="654" t="inlineStr">
        <is>
          <t>spil</t>
        </is>
      </c>
      <c r="F68" s="657" t="inlineStr">
        <is>
          <t>BM1366AG</t>
        </is>
      </c>
      <c r="G68" s="629" t="inlineStr">
        <is>
          <t>Y09BM1366820</t>
        </is>
      </c>
      <c r="H68" s="652" t="n">
        <v>4139</v>
      </c>
      <c r="I68" s="559" t="inlineStr">
        <is>
          <t>202203240008</t>
        </is>
      </c>
      <c r="J68" s="629" t="n">
        <v>4.72</v>
      </c>
      <c r="K68" s="629" t="n"/>
      <c r="L68" s="649" t="inlineStr">
        <is>
          <t>朗华</t>
        </is>
      </c>
      <c r="M68" s="650" t="n"/>
    </row>
    <row r="69" ht="14.25" customHeight="1" s="184">
      <c r="A69" s="629" t="n">
        <v>72</v>
      </c>
      <c r="B69" s="587" t="inlineStr">
        <is>
          <t>HK Bitmain</t>
        </is>
      </c>
      <c r="C69" s="566" t="n">
        <v>44643</v>
      </c>
      <c r="D69" s="649" t="inlineStr">
        <is>
          <t>世纪云芯</t>
        </is>
      </c>
      <c r="E69" s="654" t="inlineStr">
        <is>
          <t>spil</t>
        </is>
      </c>
      <c r="F69" s="657" t="inlineStr">
        <is>
          <t>BM1366AH</t>
        </is>
      </c>
      <c r="G69" s="629" t="inlineStr">
        <is>
          <t>Y09BM1366930</t>
        </is>
      </c>
      <c r="H69" s="652" t="n">
        <v>198</v>
      </c>
      <c r="I69" s="559" t="inlineStr">
        <is>
          <t>202203240008</t>
        </is>
      </c>
      <c r="J69" s="629" t="n">
        <v>4.72</v>
      </c>
      <c r="K69" s="629" t="n"/>
      <c r="L69" s="649" t="inlineStr">
        <is>
          <t>朗华</t>
        </is>
      </c>
      <c r="M69" s="650" t="n"/>
    </row>
    <row r="70" ht="14.25" customHeight="1" s="184">
      <c r="A70" s="629" t="n">
        <v>73</v>
      </c>
      <c r="B70" s="587" t="inlineStr">
        <is>
          <t>HK Bitmain</t>
        </is>
      </c>
      <c r="C70" s="566" t="n">
        <v>44643</v>
      </c>
      <c r="D70" s="649" t="inlineStr">
        <is>
          <t>世纪云芯</t>
        </is>
      </c>
      <c r="E70" s="654" t="inlineStr">
        <is>
          <t>spil</t>
        </is>
      </c>
      <c r="F70" s="657" t="inlineStr">
        <is>
          <t>BM1366AG</t>
        </is>
      </c>
      <c r="G70" s="629" t="inlineStr">
        <is>
          <t>Y09BM1366820</t>
        </is>
      </c>
      <c r="H70" s="652" t="n">
        <v>1986</v>
      </c>
      <c r="I70" s="559" t="inlineStr">
        <is>
          <t>202203240008</t>
        </is>
      </c>
      <c r="J70" s="629" t="n">
        <v>4.72</v>
      </c>
      <c r="K70" s="629" t="n"/>
      <c r="L70" s="649" t="inlineStr">
        <is>
          <t>朗华</t>
        </is>
      </c>
      <c r="M70" s="650" t="n"/>
    </row>
    <row r="71" ht="14.25" customHeight="1" s="184">
      <c r="A71" s="629" t="n">
        <v>74</v>
      </c>
      <c r="B71" s="587" t="inlineStr">
        <is>
          <t>HK Bitmain</t>
        </is>
      </c>
      <c r="C71" s="566" t="n">
        <v>44644</v>
      </c>
      <c r="D71" s="649" t="inlineStr">
        <is>
          <t>世纪云芯</t>
        </is>
      </c>
      <c r="E71" s="654" t="inlineStr">
        <is>
          <t>捷策创</t>
        </is>
      </c>
      <c r="F71" s="657" t="inlineStr">
        <is>
          <t>BM1489</t>
        </is>
      </c>
      <c r="G71" s="629" t="inlineStr">
        <is>
          <t>Y09BM1489010</t>
        </is>
      </c>
      <c r="H71" s="652" t="n">
        <v>191883</v>
      </c>
      <c r="I71" s="559" t="inlineStr">
        <is>
          <t>202203250034</t>
        </is>
      </c>
      <c r="J71" s="629" t="n">
        <v>6.22</v>
      </c>
      <c r="K71" s="629" t="n"/>
      <c r="L71" s="649" t="inlineStr">
        <is>
          <t>朗华</t>
        </is>
      </c>
      <c r="M71" s="650" t="n"/>
    </row>
    <row r="72" ht="14.25" customHeight="1" s="184">
      <c r="A72" s="629" t="n">
        <v>75</v>
      </c>
      <c r="B72" s="587" t="inlineStr">
        <is>
          <t>HK Bitmain</t>
        </is>
      </c>
      <c r="C72" s="566" t="n">
        <v>44644</v>
      </c>
      <c r="D72" s="649" t="inlineStr">
        <is>
          <t>世纪云芯</t>
        </is>
      </c>
      <c r="E72" s="654" t="inlineStr">
        <is>
          <t>捷策创</t>
        </is>
      </c>
      <c r="F72" s="657" t="inlineStr">
        <is>
          <t>BM1489</t>
        </is>
      </c>
      <c r="G72" s="629" t="inlineStr">
        <is>
          <t>Y09BM1489010</t>
        </is>
      </c>
      <c r="H72" s="652" t="n">
        <v>255465</v>
      </c>
      <c r="I72" s="559" t="inlineStr">
        <is>
          <t>202203250034</t>
        </is>
      </c>
      <c r="J72" s="629" t="n">
        <v>6.22</v>
      </c>
      <c r="K72" s="629" t="n"/>
      <c r="L72" s="649" t="inlineStr">
        <is>
          <t>朗华</t>
        </is>
      </c>
      <c r="M72" s="650" t="n"/>
    </row>
    <row r="73" ht="14.25" customHeight="1" s="184">
      <c r="A73" s="629" t="n">
        <v>76</v>
      </c>
      <c r="B73" s="587" t="inlineStr">
        <is>
          <t>HK Bitmain</t>
        </is>
      </c>
      <c r="C73" s="566" t="n">
        <v>44644</v>
      </c>
      <c r="D73" s="649" t="inlineStr">
        <is>
          <t>世纪云芯</t>
        </is>
      </c>
      <c r="E73" s="654" t="inlineStr">
        <is>
          <t>XJ</t>
        </is>
      </c>
      <c r="F73" s="657" t="inlineStr">
        <is>
          <t>BM1362AK</t>
        </is>
      </c>
      <c r="G73" s="629" t="inlineStr">
        <is>
          <t>Y09BM1362310</t>
        </is>
      </c>
      <c r="H73" s="652" t="n">
        <v>1850128</v>
      </c>
      <c r="I73" s="559" t="inlineStr">
        <is>
          <t>202203250035</t>
        </is>
      </c>
      <c r="J73" s="629" t="n">
        <v>3.3</v>
      </c>
      <c r="K73" s="629" t="n"/>
      <c r="L73" s="649" t="inlineStr">
        <is>
          <t>朗华</t>
        </is>
      </c>
      <c r="M73" s="650" t="n"/>
    </row>
    <row r="74" ht="14.25" customHeight="1" s="184">
      <c r="A74" s="629" t="n">
        <v>77</v>
      </c>
      <c r="B74" s="587" t="inlineStr">
        <is>
          <t>HK Bitmain</t>
        </is>
      </c>
      <c r="C74" s="566" t="n">
        <v>44644</v>
      </c>
      <c r="D74" s="649" t="inlineStr">
        <is>
          <t>世纪云芯</t>
        </is>
      </c>
      <c r="E74" s="654" t="inlineStr">
        <is>
          <t>XJ</t>
        </is>
      </c>
      <c r="F74" s="657" t="inlineStr">
        <is>
          <t>BM1489</t>
        </is>
      </c>
      <c r="G74" s="629" t="inlineStr">
        <is>
          <t>Y09BM1489010</t>
        </is>
      </c>
      <c r="H74" s="652" t="n">
        <v>432124</v>
      </c>
      <c r="I74" s="559" t="inlineStr">
        <is>
          <t>202203250035</t>
        </is>
      </c>
      <c r="J74" s="629" t="n">
        <v>6.22</v>
      </c>
      <c r="K74" s="629" t="n"/>
      <c r="L74" s="649" t="inlineStr">
        <is>
          <t>朗华</t>
        </is>
      </c>
      <c r="M74" s="650" t="n"/>
    </row>
    <row r="75" ht="14.25" customHeight="1" s="184">
      <c r="A75" s="629" t="n">
        <v>78</v>
      </c>
      <c r="B75" s="587" t="inlineStr">
        <is>
          <t>HK Bitmain</t>
        </is>
      </c>
      <c r="C75" s="566" t="n">
        <v>44645</v>
      </c>
      <c r="D75" s="649" t="inlineStr">
        <is>
          <t>世纪云芯</t>
        </is>
      </c>
      <c r="E75" s="654" t="inlineStr">
        <is>
          <t>JSCC</t>
        </is>
      </c>
      <c r="F75" s="657" t="inlineStr">
        <is>
          <t>BM1362AC</t>
        </is>
      </c>
      <c r="G75" s="629" t="inlineStr">
        <is>
          <t>Y09BM1362C00</t>
        </is>
      </c>
      <c r="H75" s="652" t="n">
        <v>697637</v>
      </c>
      <c r="I75" s="559" t="inlineStr">
        <is>
          <t>202203260009</t>
        </is>
      </c>
      <c r="J75" s="629" t="n">
        <v>3.3</v>
      </c>
      <c r="K75" s="629" t="n"/>
      <c r="L75" s="649" t="inlineStr">
        <is>
          <t>朗华</t>
        </is>
      </c>
      <c r="M75" s="650" t="n"/>
    </row>
    <row r="76" ht="14.25" customHeight="1" s="184">
      <c r="A76" s="629" t="n">
        <v>79</v>
      </c>
      <c r="B76" s="587" t="inlineStr">
        <is>
          <t>HK Bitmain</t>
        </is>
      </c>
      <c r="C76" s="566" t="n">
        <v>44645</v>
      </c>
      <c r="D76" s="649" t="inlineStr">
        <is>
          <t>世纪云芯</t>
        </is>
      </c>
      <c r="E76" s="654" t="inlineStr">
        <is>
          <t>捷策创</t>
        </is>
      </c>
      <c r="F76" s="657" t="inlineStr">
        <is>
          <t>BM1489</t>
        </is>
      </c>
      <c r="G76" s="629" t="inlineStr">
        <is>
          <t>Y09BM1489010</t>
        </is>
      </c>
      <c r="H76" s="652" t="n">
        <v>77314</v>
      </c>
      <c r="I76" s="559" t="inlineStr">
        <is>
          <t>202203260010</t>
        </is>
      </c>
      <c r="J76" s="629" t="n">
        <v>6.22</v>
      </c>
      <c r="K76" s="629" t="n"/>
      <c r="L76" s="649" t="inlineStr">
        <is>
          <t>朗华</t>
        </is>
      </c>
      <c r="M76" s="650" t="n"/>
    </row>
    <row r="77" ht="14.25" customHeight="1" s="184">
      <c r="A77" s="629" t="n">
        <v>80</v>
      </c>
      <c r="B77" s="587" t="inlineStr">
        <is>
          <t>HK Bitmain</t>
        </is>
      </c>
      <c r="C77" s="566" t="n">
        <v>44645</v>
      </c>
      <c r="D77" s="649" t="inlineStr">
        <is>
          <t>世纪云芯</t>
        </is>
      </c>
      <c r="E77" s="654" t="inlineStr">
        <is>
          <t>无锡伟测</t>
        </is>
      </c>
      <c r="F77" s="657" t="inlineStr">
        <is>
          <t>BM1362AC</t>
        </is>
      </c>
      <c r="G77" s="629" t="inlineStr">
        <is>
          <t>Y09BM1362C00</t>
        </is>
      </c>
      <c r="H77" s="652" t="n">
        <v>591254</v>
      </c>
      <c r="I77" s="559" t="inlineStr">
        <is>
          <t>202203260011</t>
        </is>
      </c>
      <c r="J77" s="629" t="n">
        <v>3.3</v>
      </c>
      <c r="K77" s="629" t="n"/>
      <c r="L77" s="649" t="inlineStr">
        <is>
          <t>朗华</t>
        </is>
      </c>
      <c r="M77" s="650" t="n"/>
    </row>
    <row r="78" ht="14.25" customHeight="1" s="184">
      <c r="A78" s="629" t="n">
        <v>81</v>
      </c>
      <c r="B78" s="587" t="inlineStr">
        <is>
          <t>HK Bitmain</t>
        </is>
      </c>
      <c r="C78" s="566" t="n">
        <v>44645</v>
      </c>
      <c r="D78" s="649" t="inlineStr">
        <is>
          <t>世纪云芯</t>
        </is>
      </c>
      <c r="E78" s="654" t="inlineStr">
        <is>
          <t>XJ</t>
        </is>
      </c>
      <c r="F78" s="657" t="inlineStr">
        <is>
          <t>BM1362AI</t>
        </is>
      </c>
      <c r="G78" s="629" t="inlineStr">
        <is>
          <t>Y09BM1362110</t>
        </is>
      </c>
      <c r="H78" s="652" t="n">
        <v>479433</v>
      </c>
      <c r="I78" s="559" t="inlineStr">
        <is>
          <t>202203260012</t>
        </is>
      </c>
      <c r="J78" s="629" t="n">
        <v>3.3</v>
      </c>
      <c r="K78" s="629" t="inlineStr">
        <is>
          <t>送厦门</t>
        </is>
      </c>
      <c r="L78" s="649" t="inlineStr">
        <is>
          <t>朗华</t>
        </is>
      </c>
      <c r="M78" s="650" t="n"/>
    </row>
    <row r="79" ht="14.25" customHeight="1" s="184">
      <c r="A79" s="629" t="n">
        <v>82</v>
      </c>
      <c r="B79" s="587" t="inlineStr">
        <is>
          <t>HK Bitmain</t>
        </is>
      </c>
      <c r="C79" s="566" t="n">
        <v>44645</v>
      </c>
      <c r="D79" s="649" t="inlineStr">
        <is>
          <t>世纪云芯</t>
        </is>
      </c>
      <c r="E79" s="654" t="inlineStr">
        <is>
          <t>XJ</t>
        </is>
      </c>
      <c r="F79" s="657" t="inlineStr">
        <is>
          <t>BM1362AC</t>
        </is>
      </c>
      <c r="G79" s="629" t="inlineStr">
        <is>
          <t>Y09BM1362C00</t>
        </is>
      </c>
      <c r="H79" s="652" t="n">
        <v>327935</v>
      </c>
      <c r="I79" s="559" t="inlineStr">
        <is>
          <t>202203260012</t>
        </is>
      </c>
      <c r="J79" s="629" t="n">
        <v>3.3</v>
      </c>
      <c r="K79" s="629" t="inlineStr">
        <is>
          <t>送厦门</t>
        </is>
      </c>
      <c r="L79" s="649" t="inlineStr">
        <is>
          <t>朗华</t>
        </is>
      </c>
      <c r="M79" s="650" t="n"/>
    </row>
    <row r="80" ht="14.25" customHeight="1" s="184">
      <c r="A80" s="629" t="n">
        <v>83</v>
      </c>
      <c r="B80" s="587" t="inlineStr">
        <is>
          <t>HK Bitmain</t>
        </is>
      </c>
      <c r="C80" s="566" t="n">
        <v>44645</v>
      </c>
      <c r="D80" s="649" t="inlineStr">
        <is>
          <t>世纪云芯</t>
        </is>
      </c>
      <c r="E80" s="654" t="inlineStr">
        <is>
          <t>XJ</t>
        </is>
      </c>
      <c r="F80" s="657" t="inlineStr">
        <is>
          <t>BM1362AI</t>
        </is>
      </c>
      <c r="G80" s="629" t="inlineStr">
        <is>
          <t>Y09BM1362110</t>
        </is>
      </c>
      <c r="H80" s="652" t="n">
        <v>70732</v>
      </c>
      <c r="I80" s="559" t="inlineStr">
        <is>
          <t>202203260013</t>
        </is>
      </c>
      <c r="J80" s="629" t="n">
        <v>3.3</v>
      </c>
      <c r="K80" s="629" t="n"/>
      <c r="L80" s="649" t="inlineStr">
        <is>
          <t>朗华</t>
        </is>
      </c>
      <c r="M80" s="650" t="n"/>
    </row>
    <row r="81" ht="14.25" customHeight="1" s="184">
      <c r="A81" s="629" t="n">
        <v>84</v>
      </c>
      <c r="B81" s="587" t="inlineStr">
        <is>
          <t>HK Bitmain</t>
        </is>
      </c>
      <c r="C81" s="566" t="n">
        <v>44645</v>
      </c>
      <c r="D81" s="649" t="inlineStr">
        <is>
          <t>世纪云芯</t>
        </is>
      </c>
      <c r="E81" s="654" t="inlineStr">
        <is>
          <t>XJ</t>
        </is>
      </c>
      <c r="F81" s="657" t="inlineStr">
        <is>
          <t>BM1362AC</t>
        </is>
      </c>
      <c r="G81" s="629" t="inlineStr">
        <is>
          <t>Y09BM1362C00</t>
        </is>
      </c>
      <c r="H81" s="652" t="n">
        <v>46267</v>
      </c>
      <c r="I81" s="559" t="inlineStr">
        <is>
          <t>202203260013</t>
        </is>
      </c>
      <c r="J81" s="629" t="n">
        <v>3.3</v>
      </c>
      <c r="K81" s="629" t="n"/>
      <c r="L81" s="649" t="inlineStr">
        <is>
          <t>朗华</t>
        </is>
      </c>
      <c r="M81" s="650" t="n"/>
    </row>
    <row r="82" ht="14.25" customHeight="1" s="184">
      <c r="A82" s="629" t="n">
        <v>85</v>
      </c>
      <c r="B82" s="587" t="inlineStr">
        <is>
          <t>HK Bitmain</t>
        </is>
      </c>
      <c r="C82" s="566" t="n">
        <v>44645</v>
      </c>
      <c r="D82" s="649" t="inlineStr">
        <is>
          <t>世纪云芯</t>
        </is>
      </c>
      <c r="E82" s="654" t="inlineStr">
        <is>
          <t>XJ</t>
        </is>
      </c>
      <c r="F82" s="657" t="inlineStr">
        <is>
          <t>BM1362AK</t>
        </is>
      </c>
      <c r="G82" s="629" t="inlineStr">
        <is>
          <t>Y09BM1362310</t>
        </is>
      </c>
      <c r="H82" s="652" t="n">
        <v>797914</v>
      </c>
      <c r="I82" s="559" t="inlineStr">
        <is>
          <t>202203260013</t>
        </is>
      </c>
      <c r="J82" s="629" t="n">
        <v>3.3</v>
      </c>
      <c r="K82" s="629" t="n"/>
      <c r="L82" s="649" t="inlineStr">
        <is>
          <t>朗华</t>
        </is>
      </c>
      <c r="M82" s="650" t="n"/>
    </row>
    <row r="83" ht="14.25" customHeight="1" s="184">
      <c r="A83" s="629" t="n">
        <v>86</v>
      </c>
      <c r="B83" s="587" t="inlineStr">
        <is>
          <t>HK Bitmain</t>
        </is>
      </c>
      <c r="C83" s="566" t="n">
        <v>44645</v>
      </c>
      <c r="D83" s="649" t="inlineStr">
        <is>
          <t>世纪云芯</t>
        </is>
      </c>
      <c r="E83" s="654" t="inlineStr">
        <is>
          <t>XJ</t>
        </is>
      </c>
      <c r="F83" s="657" t="inlineStr">
        <is>
          <t>BM1489</t>
        </is>
      </c>
      <c r="G83" s="629" t="inlineStr">
        <is>
          <t>Y09BM1489010</t>
        </is>
      </c>
      <c r="H83" s="652" t="n">
        <v>235162</v>
      </c>
      <c r="I83" s="559" t="inlineStr">
        <is>
          <t>202203260013</t>
        </is>
      </c>
      <c r="J83" s="629" t="n">
        <v>6.22</v>
      </c>
      <c r="K83" s="629" t="n"/>
      <c r="L83" s="649" t="inlineStr">
        <is>
          <t>朗华</t>
        </is>
      </c>
      <c r="M83" s="650" t="n"/>
    </row>
    <row r="84" ht="14.25" customHeight="1" s="184">
      <c r="A84" s="629" t="n">
        <v>87</v>
      </c>
      <c r="B84" s="587" t="inlineStr">
        <is>
          <t>HK Bitmain</t>
        </is>
      </c>
      <c r="C84" s="566" t="n">
        <v>44645</v>
      </c>
      <c r="D84" s="649" t="inlineStr">
        <is>
          <t>世纪云芯</t>
        </is>
      </c>
      <c r="E84" s="654" t="inlineStr">
        <is>
          <t>捷策创</t>
        </is>
      </c>
      <c r="F84" s="657" t="inlineStr">
        <is>
          <t>BM1362AK</t>
        </is>
      </c>
      <c r="G84" s="629" t="inlineStr">
        <is>
          <t>Y09BM1362310</t>
        </is>
      </c>
      <c r="H84" s="652" t="n">
        <v>195311</v>
      </c>
      <c r="I84" s="559" t="inlineStr">
        <is>
          <t>202203260014</t>
        </is>
      </c>
      <c r="J84" s="629" t="n">
        <v>3.3</v>
      </c>
      <c r="K84" s="649" t="n"/>
      <c r="L84" s="650" t="inlineStr">
        <is>
          <t>朗华</t>
        </is>
      </c>
    </row>
    <row r="85" ht="14.25" customHeight="1" s="184">
      <c r="A85" s="629" t="n">
        <v>88</v>
      </c>
      <c r="B85" s="587" t="inlineStr">
        <is>
          <t>HK Bitmain</t>
        </is>
      </c>
      <c r="C85" s="566" t="n">
        <v>44645</v>
      </c>
      <c r="D85" s="649" t="inlineStr">
        <is>
          <t>世纪云芯</t>
        </is>
      </c>
      <c r="E85" s="654" t="inlineStr">
        <is>
          <t>捷策创</t>
        </is>
      </c>
      <c r="F85" s="657" t="inlineStr">
        <is>
          <t>BM1489</t>
        </is>
      </c>
      <c r="G85" s="629" t="inlineStr">
        <is>
          <t>Y09BM1489010</t>
        </is>
      </c>
      <c r="H85" s="652" t="n">
        <v>364954</v>
      </c>
      <c r="I85" s="559" t="inlineStr">
        <is>
          <t>202203260014</t>
        </is>
      </c>
      <c r="J85" s="629" t="n">
        <v>6.22</v>
      </c>
      <c r="K85" s="649" t="n"/>
      <c r="L85" s="650" t="inlineStr">
        <is>
          <t>朗华</t>
        </is>
      </c>
    </row>
    <row r="86" ht="14.25" customHeight="1" s="184">
      <c r="A86" s="629" t="n">
        <v>89</v>
      </c>
      <c r="B86" s="587" t="inlineStr">
        <is>
          <t>HK Bitmain</t>
        </is>
      </c>
      <c r="C86" s="566" t="n">
        <v>44646</v>
      </c>
      <c r="D86" s="649" t="inlineStr">
        <is>
          <t>世纪云芯</t>
        </is>
      </c>
      <c r="E86" s="654" t="inlineStr">
        <is>
          <t>捷策创</t>
        </is>
      </c>
      <c r="F86" s="657" t="inlineStr">
        <is>
          <t>BM1489</t>
        </is>
      </c>
      <c r="G86" s="629" t="inlineStr">
        <is>
          <t>Y09BM1489010</t>
        </is>
      </c>
      <c r="H86" s="652" t="n">
        <v>170999</v>
      </c>
      <c r="I86" s="559" t="inlineStr">
        <is>
          <t>202203280015</t>
        </is>
      </c>
      <c r="J86" s="629" t="n">
        <v>6.22</v>
      </c>
      <c r="K86" s="649" t="n"/>
      <c r="L86" s="650" t="inlineStr">
        <is>
          <t>朗华</t>
        </is>
      </c>
    </row>
    <row r="87" ht="14.25" customHeight="1" s="184">
      <c r="A87" s="629" t="n">
        <v>90</v>
      </c>
      <c r="B87" s="587" t="inlineStr">
        <is>
          <t>HK Bitmain</t>
        </is>
      </c>
      <c r="C87" s="566" t="n">
        <v>44646</v>
      </c>
      <c r="D87" s="649" t="inlineStr">
        <is>
          <t>世纪云芯</t>
        </is>
      </c>
      <c r="E87" s="654" t="inlineStr">
        <is>
          <t>XJ</t>
        </is>
      </c>
      <c r="F87" s="657" t="inlineStr">
        <is>
          <t>BM1489</t>
        </is>
      </c>
      <c r="G87" s="629" t="inlineStr">
        <is>
          <t>Y09BM1489010</t>
        </is>
      </c>
      <c r="H87" s="652" t="n">
        <v>156960</v>
      </c>
      <c r="I87" s="559" t="inlineStr">
        <is>
          <t>202203280016</t>
        </is>
      </c>
      <c r="J87" s="629" t="n">
        <v>6.22</v>
      </c>
      <c r="K87" s="649" t="n"/>
      <c r="L87" s="650" t="inlineStr">
        <is>
          <t>朗华</t>
        </is>
      </c>
    </row>
    <row r="88" ht="14.25" customHeight="1" s="184">
      <c r="A88" s="629" t="n">
        <v>91</v>
      </c>
      <c r="B88" s="587" t="inlineStr">
        <is>
          <t>HK Bitmain</t>
        </is>
      </c>
      <c r="C88" s="566" t="n">
        <v>44648</v>
      </c>
      <c r="D88" s="649" t="inlineStr">
        <is>
          <t>世纪云芯</t>
        </is>
      </c>
      <c r="E88" s="654" t="inlineStr">
        <is>
          <t>XJ</t>
        </is>
      </c>
      <c r="F88" s="657" t="inlineStr">
        <is>
          <t>BM1362AI</t>
        </is>
      </c>
      <c r="G88" s="629" t="inlineStr">
        <is>
          <t>Y09BM1362110</t>
        </is>
      </c>
      <c r="H88" s="652" t="n">
        <v>79487</v>
      </c>
      <c r="I88" s="559" t="inlineStr">
        <is>
          <t>202203280017</t>
        </is>
      </c>
      <c r="J88" s="629" t="n">
        <v>3.3</v>
      </c>
      <c r="K88" s="649" t="n"/>
      <c r="L88" s="650" t="inlineStr">
        <is>
          <t>朗华</t>
        </is>
      </c>
    </row>
    <row r="89" ht="14.25" customHeight="1" s="184">
      <c r="A89" s="629" t="n">
        <v>92</v>
      </c>
      <c r="B89" s="587" t="inlineStr">
        <is>
          <t>HK Bitmain</t>
        </is>
      </c>
      <c r="C89" s="566" t="n">
        <v>44648</v>
      </c>
      <c r="D89" s="649" t="inlineStr">
        <is>
          <t>世纪云芯</t>
        </is>
      </c>
      <c r="E89" s="654" t="inlineStr">
        <is>
          <t>XJ</t>
        </is>
      </c>
      <c r="F89" s="657" t="inlineStr">
        <is>
          <t>BM1362AC</t>
        </is>
      </c>
      <c r="G89" s="629" t="inlineStr">
        <is>
          <t>Y09BM1362C00</t>
        </is>
      </c>
      <c r="H89" s="652" t="n">
        <v>29103</v>
      </c>
      <c r="I89" s="559" t="inlineStr">
        <is>
          <t>202203280017</t>
        </is>
      </c>
      <c r="J89" s="629" t="n">
        <v>3.3</v>
      </c>
      <c r="K89" s="649" t="n"/>
      <c r="L89" s="650" t="inlineStr">
        <is>
          <t>朗华</t>
        </is>
      </c>
    </row>
    <row r="90" ht="14.25" customHeight="1" s="184">
      <c r="A90" s="629" t="n">
        <v>93</v>
      </c>
      <c r="B90" s="587" t="inlineStr">
        <is>
          <t>HK Bitmain</t>
        </is>
      </c>
      <c r="C90" s="566" t="n">
        <v>44648</v>
      </c>
      <c r="D90" s="649" t="inlineStr">
        <is>
          <t>世纪云芯</t>
        </is>
      </c>
      <c r="E90" s="654" t="inlineStr">
        <is>
          <t>XJ</t>
        </is>
      </c>
      <c r="F90" s="657" t="inlineStr">
        <is>
          <t>BM1489</t>
        </is>
      </c>
      <c r="G90" s="629" t="inlineStr">
        <is>
          <t>Y09BM1489010</t>
        </is>
      </c>
      <c r="H90" s="652" t="n">
        <v>212492</v>
      </c>
      <c r="I90" s="559" t="inlineStr">
        <is>
          <t>202203280017</t>
        </is>
      </c>
      <c r="J90" s="629" t="n">
        <v>6.22</v>
      </c>
      <c r="K90" s="649" t="n"/>
      <c r="L90" s="650" t="inlineStr">
        <is>
          <t>朗华</t>
        </is>
      </c>
    </row>
    <row r="91" ht="14.25" customHeight="1" s="184">
      <c r="A91" s="629" t="n">
        <v>94</v>
      </c>
      <c r="B91" s="587" t="inlineStr">
        <is>
          <t>HK Bitmain</t>
        </is>
      </c>
      <c r="C91" s="566" t="n">
        <v>44648</v>
      </c>
      <c r="D91" s="649" t="inlineStr">
        <is>
          <t>世纪云芯</t>
        </is>
      </c>
      <c r="E91" s="654" t="inlineStr">
        <is>
          <t>XJ</t>
        </is>
      </c>
      <c r="F91" s="657" t="inlineStr">
        <is>
          <t>BM1362AI</t>
        </is>
      </c>
      <c r="G91" s="629" t="inlineStr">
        <is>
          <t>Y09BM1362110</t>
        </is>
      </c>
      <c r="H91" s="652" t="n">
        <v>469972</v>
      </c>
      <c r="I91" s="559" t="inlineStr">
        <is>
          <t>202203280017</t>
        </is>
      </c>
      <c r="J91" s="629" t="n">
        <v>3.3</v>
      </c>
      <c r="K91" s="649" t="inlineStr">
        <is>
          <t>送厦门</t>
        </is>
      </c>
      <c r="L91" s="650" t="inlineStr">
        <is>
          <t>朗华</t>
        </is>
      </c>
    </row>
    <row r="92" ht="14.25" customHeight="1" s="184">
      <c r="A92" s="629" t="n">
        <v>95</v>
      </c>
      <c r="B92" s="587" t="inlineStr">
        <is>
          <t>HK Bitmain</t>
        </is>
      </c>
      <c r="C92" s="566" t="n">
        <v>44648</v>
      </c>
      <c r="D92" s="649" t="inlineStr">
        <is>
          <t>世纪云芯</t>
        </is>
      </c>
      <c r="E92" s="654" t="inlineStr">
        <is>
          <t>XJ</t>
        </is>
      </c>
      <c r="F92" s="657" t="inlineStr">
        <is>
          <t>BM1362AC</t>
        </is>
      </c>
      <c r="G92" s="629" t="inlineStr">
        <is>
          <t>Y09BM1362C00</t>
        </is>
      </c>
      <c r="H92" s="652" t="n">
        <v>20090</v>
      </c>
      <c r="I92" s="559" t="inlineStr">
        <is>
          <t>202203280017</t>
        </is>
      </c>
      <c r="J92" s="629" t="n">
        <v>3.3</v>
      </c>
      <c r="K92" s="649" t="inlineStr">
        <is>
          <t>送厦门</t>
        </is>
      </c>
      <c r="L92" s="650" t="inlineStr">
        <is>
          <t>朗华</t>
        </is>
      </c>
    </row>
    <row r="93" ht="14.25" customHeight="1" s="184">
      <c r="A93" s="629" t="n">
        <v>96</v>
      </c>
      <c r="B93" s="587" t="inlineStr">
        <is>
          <t>HK Bitmain</t>
        </is>
      </c>
      <c r="C93" s="566" t="n">
        <v>44648</v>
      </c>
      <c r="D93" s="649" t="inlineStr">
        <is>
          <t>世纪云芯</t>
        </is>
      </c>
      <c r="E93" s="654" t="inlineStr">
        <is>
          <t>JSCC</t>
        </is>
      </c>
      <c r="F93" s="657" t="inlineStr">
        <is>
          <t>BM1366AG</t>
        </is>
      </c>
      <c r="G93" s="629" t="inlineStr">
        <is>
          <t>Y09BM1366820</t>
        </is>
      </c>
      <c r="H93" s="652" t="n">
        <v>6238</v>
      </c>
      <c r="I93" s="559" t="inlineStr">
        <is>
          <t>202204080025</t>
        </is>
      </c>
      <c r="J93" s="629" t="n">
        <v>4.72</v>
      </c>
      <c r="K93" s="649" t="n"/>
      <c r="L93" s="650" t="inlineStr">
        <is>
          <t>朗华</t>
        </is>
      </c>
    </row>
    <row r="94" ht="14.25" customHeight="1" s="184">
      <c r="A94" s="629" t="n">
        <v>97</v>
      </c>
      <c r="B94" s="587" t="inlineStr">
        <is>
          <t>HK Bitmain</t>
        </is>
      </c>
      <c r="C94" s="566" t="n">
        <v>44650</v>
      </c>
      <c r="D94" s="649" t="inlineStr">
        <is>
          <t>世纪云芯</t>
        </is>
      </c>
      <c r="E94" s="654" t="inlineStr">
        <is>
          <t>XJ</t>
        </is>
      </c>
      <c r="F94" s="657" t="inlineStr">
        <is>
          <t>BM1489</t>
        </is>
      </c>
      <c r="G94" s="629" t="inlineStr">
        <is>
          <t>Y09BM1489010</t>
        </is>
      </c>
      <c r="H94" s="652" t="n">
        <v>365716</v>
      </c>
      <c r="I94" s="559" t="inlineStr">
        <is>
          <t>202203310014</t>
        </is>
      </c>
      <c r="J94" s="629" t="n">
        <v>6.22</v>
      </c>
      <c r="K94" s="649" t="n"/>
      <c r="L94" s="650" t="inlineStr">
        <is>
          <t>朗华</t>
        </is>
      </c>
    </row>
    <row r="95" ht="14.25" customHeight="1" s="184">
      <c r="A95" s="629" t="n">
        <v>98</v>
      </c>
      <c r="B95" s="587" t="inlineStr">
        <is>
          <t>HK Bitmain</t>
        </is>
      </c>
      <c r="C95" s="566" t="n">
        <v>44651</v>
      </c>
      <c r="D95" s="649" t="inlineStr">
        <is>
          <t>世纪云芯</t>
        </is>
      </c>
      <c r="E95" s="654" t="inlineStr">
        <is>
          <t>SCK</t>
        </is>
      </c>
      <c r="F95" s="657" t="inlineStr">
        <is>
          <t>BM1366AB</t>
        </is>
      </c>
      <c r="G95" s="629" t="inlineStr">
        <is>
          <t>Y09BM1366120</t>
        </is>
      </c>
      <c r="H95" s="652" t="n">
        <v>154</v>
      </c>
      <c r="I95" s="559" t="inlineStr">
        <is>
          <t>202203310015</t>
        </is>
      </c>
      <c r="J95" s="629" t="n">
        <v>4.72</v>
      </c>
      <c r="K95" s="649" t="n"/>
      <c r="L95" s="650" t="inlineStr">
        <is>
          <t>朗华</t>
        </is>
      </c>
    </row>
    <row r="96" ht="14.25" customHeight="1" s="184">
      <c r="A96" s="629" t="n"/>
      <c r="B96" s="587" t="n"/>
      <c r="C96" s="566" t="n"/>
      <c r="D96" s="649" t="n"/>
      <c r="E96" s="654" t="n"/>
      <c r="F96" s="657" t="n"/>
      <c r="G96" s="629" t="n"/>
      <c r="H96" s="652" t="n"/>
      <c r="I96" s="559" t="n"/>
      <c r="J96" s="629" t="n"/>
      <c r="K96" s="649" t="n"/>
      <c r="L96" s="650" t="n"/>
    </row>
  </sheetData>
  <autoFilter ref="A1:XFD95"/>
  <pageMargins left="0.7" right="0.7" top="0.75" bottom="0.75" header="0.3" footer="0.3"/>
  <pageSetup orientation="portrait" paperSize="9" scale="7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zoomScale="85" zoomScaleNormal="85" workbookViewId="0">
      <selection activeCell="K261" sqref="K261"/>
    </sheetView>
  </sheetViews>
  <sheetFormatPr baseColWidth="8" defaultColWidth="8.66666666666667" defaultRowHeight="12"/>
  <cols>
    <col width="8.66666666666667" customWidth="1" style="658" min="1" max="2"/>
    <col width="9.08333333333333" customWidth="1" style="658" min="3" max="3"/>
    <col width="8.66666666666667" customWidth="1" style="658" min="4" max="5"/>
    <col width="10.6666666666667" customWidth="1" style="658" min="6" max="6"/>
    <col width="11.4166666666667" customWidth="1" style="658" min="7" max="7"/>
    <col width="10" customWidth="1" style="658" min="8" max="8"/>
    <col width="55.6666666666667" customWidth="1" style="658" min="9" max="9"/>
    <col width="8.66666666666667" customWidth="1" style="658" min="10" max="16384"/>
  </cols>
  <sheetData>
    <row r="1">
      <c r="A1" s="659" t="inlineStr">
        <is>
          <t>序号</t>
        </is>
      </c>
      <c r="B1" s="520" t="inlineStr">
        <is>
          <t>抬头</t>
        </is>
      </c>
      <c r="C1" s="520" t="inlineStr">
        <is>
          <t>出货日期</t>
        </is>
      </c>
      <c r="D1" s="520" t="inlineStr">
        <is>
          <t>主体</t>
        </is>
      </c>
      <c r="E1" s="659" t="inlineStr">
        <is>
          <t>测试厂</t>
        </is>
      </c>
      <c r="F1" s="659" t="inlineStr">
        <is>
          <t>型号</t>
        </is>
      </c>
      <c r="G1" s="659" t="inlineStr">
        <is>
          <t>物料编码</t>
        </is>
      </c>
      <c r="H1" s="660" t="inlineStr">
        <is>
          <t>数量</t>
        </is>
      </c>
      <c r="I1" s="659" t="inlineStr">
        <is>
          <t>采购订单号</t>
        </is>
      </c>
      <c r="J1" s="659" t="inlineStr">
        <is>
          <t>单价</t>
        </is>
      </c>
      <c r="K1" s="659" t="inlineStr">
        <is>
          <t>备注</t>
        </is>
      </c>
      <c r="L1" s="542" t="n">
        <v>10000900</v>
      </c>
    </row>
    <row r="2" ht="14.25" customFormat="1" customHeight="1" s="661">
      <c r="A2" s="662" t="n">
        <v>1</v>
      </c>
      <c r="B2" s="538" t="inlineStr">
        <is>
          <t>HK Bitmain</t>
        </is>
      </c>
      <c r="C2" s="526" t="n">
        <v>44652</v>
      </c>
      <c r="D2" s="663" t="inlineStr">
        <is>
          <t>世纪云芯</t>
        </is>
      </c>
      <c r="E2" s="654" t="inlineStr">
        <is>
          <t>XJ</t>
        </is>
      </c>
      <c r="F2" s="654" t="inlineStr">
        <is>
          <t>BM1362AI</t>
        </is>
      </c>
      <c r="G2" s="662" t="inlineStr">
        <is>
          <t>Y09BM1362110</t>
        </is>
      </c>
      <c r="H2" s="652" t="n">
        <v>723209</v>
      </c>
      <c r="I2" s="542" t="inlineStr">
        <is>
          <t>202204020013</t>
        </is>
      </c>
      <c r="J2" s="662" t="n">
        <v>2.71</v>
      </c>
      <c r="K2" s="662" t="n"/>
      <c r="L2" s="663" t="inlineStr">
        <is>
          <t>朗华</t>
        </is>
      </c>
      <c r="M2" s="664" t="n"/>
    </row>
    <row r="3" ht="14.25" customFormat="1" customHeight="1" s="661">
      <c r="A3" s="662" t="n">
        <v>2</v>
      </c>
      <c r="B3" s="538" t="inlineStr">
        <is>
          <t>HK Bitmain</t>
        </is>
      </c>
      <c r="C3" s="526" t="n">
        <v>44652</v>
      </c>
      <c r="D3" s="663" t="inlineStr">
        <is>
          <t>世纪云芯</t>
        </is>
      </c>
      <c r="E3" s="654" t="inlineStr">
        <is>
          <t>XJ</t>
        </is>
      </c>
      <c r="F3" s="654" t="inlineStr">
        <is>
          <t>BM1362AC</t>
        </is>
      </c>
      <c r="G3" s="662" t="inlineStr">
        <is>
          <t>Y09BM1362C00</t>
        </is>
      </c>
      <c r="H3" s="652" t="n">
        <v>78327</v>
      </c>
      <c r="I3" s="542" t="inlineStr">
        <is>
          <t>202204020013</t>
        </is>
      </c>
      <c r="J3" s="662" t="n">
        <v>2.71</v>
      </c>
      <c r="K3" s="662" t="n"/>
      <c r="L3" s="663" t="inlineStr">
        <is>
          <t>朗华</t>
        </is>
      </c>
      <c r="M3" s="664" t="n"/>
    </row>
    <row r="4" ht="14.25" customFormat="1" customHeight="1" s="661">
      <c r="A4" s="662" t="n">
        <v>3</v>
      </c>
      <c r="B4" s="538" t="inlineStr">
        <is>
          <t>HK Bitmain</t>
        </is>
      </c>
      <c r="C4" s="526" t="n">
        <v>44652</v>
      </c>
      <c r="D4" s="663" t="inlineStr">
        <is>
          <t>世纪云芯</t>
        </is>
      </c>
      <c r="E4" s="654" t="inlineStr">
        <is>
          <t>XJ</t>
        </is>
      </c>
      <c r="F4" s="654" t="inlineStr">
        <is>
          <t>BM1362AC</t>
        </is>
      </c>
      <c r="G4" s="662" t="inlineStr">
        <is>
          <t>Y09BM1362C00</t>
        </is>
      </c>
      <c r="H4" s="652" t="n">
        <v>61837</v>
      </c>
      <c r="I4" s="542" t="inlineStr">
        <is>
          <t>202204020013</t>
        </is>
      </c>
      <c r="J4" s="662" t="n">
        <v>2.71</v>
      </c>
      <c r="K4" s="662" t="n"/>
      <c r="L4" s="663" t="inlineStr">
        <is>
          <t>朗华</t>
        </is>
      </c>
      <c r="M4" s="664" t="n"/>
    </row>
    <row r="5" ht="14.25" customFormat="1" customHeight="1" s="661">
      <c r="A5" s="662" t="n">
        <v>4</v>
      </c>
      <c r="B5" s="538" t="inlineStr">
        <is>
          <t>HK Bitmain</t>
        </is>
      </c>
      <c r="C5" s="526" t="n">
        <v>44652</v>
      </c>
      <c r="D5" s="663" t="inlineStr">
        <is>
          <t>世纪云芯</t>
        </is>
      </c>
      <c r="E5" s="654" t="inlineStr">
        <is>
          <t>XJ</t>
        </is>
      </c>
      <c r="F5" s="654" t="inlineStr">
        <is>
          <t>BM1489</t>
        </is>
      </c>
      <c r="G5" s="662" t="inlineStr">
        <is>
          <t>Y09BM1489010</t>
        </is>
      </c>
      <c r="H5" s="652" t="n">
        <v>345165</v>
      </c>
      <c r="I5" s="542" t="inlineStr">
        <is>
          <t>202204020013</t>
        </is>
      </c>
      <c r="J5" s="662" t="n">
        <v>7.51</v>
      </c>
      <c r="K5" s="662" t="n"/>
      <c r="L5" s="663" t="inlineStr">
        <is>
          <t>朗华</t>
        </is>
      </c>
      <c r="M5" s="664" t="n"/>
    </row>
    <row r="6" ht="14.25" customFormat="1" customHeight="1" s="661">
      <c r="A6" s="662" t="n">
        <v>5</v>
      </c>
      <c r="B6" s="538" t="inlineStr">
        <is>
          <t>HK Bitmain</t>
        </is>
      </c>
      <c r="C6" s="526" t="n">
        <v>44653</v>
      </c>
      <c r="D6" s="663" t="inlineStr">
        <is>
          <t>世纪云芯</t>
        </is>
      </c>
      <c r="E6" s="654" t="inlineStr">
        <is>
          <t>确安</t>
        </is>
      </c>
      <c r="F6" s="654" t="inlineStr">
        <is>
          <t>BM1362AC</t>
        </is>
      </c>
      <c r="G6" s="662" t="inlineStr">
        <is>
          <t>Y09BM1362C00</t>
        </is>
      </c>
      <c r="H6" s="652" t="n">
        <v>270130</v>
      </c>
      <c r="I6" s="542" t="inlineStr">
        <is>
          <t>202204060004</t>
        </is>
      </c>
      <c r="J6" s="662" t="n">
        <v>2.71</v>
      </c>
      <c r="K6" s="662" t="n"/>
      <c r="L6" s="663" t="inlineStr">
        <is>
          <t>朗华</t>
        </is>
      </c>
      <c r="M6" s="664" t="n"/>
    </row>
    <row r="7" ht="14.25" customFormat="1" customHeight="1" s="661">
      <c r="A7" s="662" t="n">
        <v>6</v>
      </c>
      <c r="B7" s="538" t="inlineStr">
        <is>
          <t>HK Bitmain</t>
        </is>
      </c>
      <c r="C7" s="526" t="n">
        <v>44653</v>
      </c>
      <c r="D7" s="663" t="inlineStr">
        <is>
          <t>世纪云芯</t>
        </is>
      </c>
      <c r="E7" s="654" t="inlineStr">
        <is>
          <t>SCS</t>
        </is>
      </c>
      <c r="F7" s="654" t="inlineStr">
        <is>
          <t>BM1362AJ</t>
        </is>
      </c>
      <c r="G7" s="662" t="inlineStr">
        <is>
          <t>Y09BM1362210</t>
        </is>
      </c>
      <c r="H7" s="652" t="n">
        <v>187163</v>
      </c>
      <c r="I7" s="542" t="inlineStr">
        <is>
          <t>202204060005</t>
        </is>
      </c>
      <c r="J7" s="662" t="n">
        <v>2.71</v>
      </c>
      <c r="K7" s="662" t="n"/>
      <c r="L7" s="663" t="inlineStr">
        <is>
          <t>朗华</t>
        </is>
      </c>
      <c r="M7" s="664" t="n"/>
    </row>
    <row r="8" ht="14.25" customFormat="1" customHeight="1" s="661">
      <c r="A8" s="662" t="n">
        <v>7</v>
      </c>
      <c r="B8" s="538" t="inlineStr">
        <is>
          <t>HK Bitmain</t>
        </is>
      </c>
      <c r="C8" s="526" t="n">
        <v>44655</v>
      </c>
      <c r="D8" s="663" t="inlineStr">
        <is>
          <t>世纪云芯</t>
        </is>
      </c>
      <c r="E8" s="654" t="inlineStr">
        <is>
          <t>XJ</t>
        </is>
      </c>
      <c r="F8" s="654" t="inlineStr">
        <is>
          <t>BM1362AK</t>
        </is>
      </c>
      <c r="G8" s="662" t="inlineStr">
        <is>
          <t>Y09BM1362310</t>
        </is>
      </c>
      <c r="H8" s="652" t="n">
        <v>3791246</v>
      </c>
      <c r="I8" s="542" t="inlineStr">
        <is>
          <t>202204060017</t>
        </is>
      </c>
      <c r="J8" s="662" t="n">
        <v>2.71</v>
      </c>
      <c r="K8" s="662" t="n"/>
      <c r="L8" s="663" t="inlineStr">
        <is>
          <t>朗华</t>
        </is>
      </c>
      <c r="M8" s="664" t="n"/>
    </row>
    <row r="9" ht="14.25" customFormat="1" customHeight="1" s="661">
      <c r="A9" s="662" t="n">
        <v>8</v>
      </c>
      <c r="B9" s="538" t="inlineStr">
        <is>
          <t>HK Bitmain</t>
        </is>
      </c>
      <c r="C9" s="526" t="n">
        <v>44655</v>
      </c>
      <c r="D9" s="663" t="inlineStr">
        <is>
          <t>世纪云芯</t>
        </is>
      </c>
      <c r="E9" s="654" t="inlineStr">
        <is>
          <t>XJ</t>
        </is>
      </c>
      <c r="F9" s="654" t="inlineStr">
        <is>
          <t>BM1362AC</t>
        </is>
      </c>
      <c r="G9" s="662" t="inlineStr">
        <is>
          <t>Y09BM1362C00</t>
        </is>
      </c>
      <c r="H9" s="652" t="n">
        <v>308273</v>
      </c>
      <c r="I9" s="542" t="inlineStr">
        <is>
          <t>202204060017</t>
        </is>
      </c>
      <c r="J9" s="662" t="n">
        <v>2.71</v>
      </c>
      <c r="K9" s="662" t="n"/>
      <c r="L9" s="663" t="inlineStr">
        <is>
          <t>朗华</t>
        </is>
      </c>
      <c r="M9" s="664" t="n"/>
    </row>
    <row r="10" ht="14.25" customFormat="1" customHeight="1" s="661">
      <c r="A10" s="662" t="n">
        <v>9</v>
      </c>
      <c r="B10" s="538" t="inlineStr">
        <is>
          <t>HK Bitmain</t>
        </is>
      </c>
      <c r="C10" s="526" t="n">
        <v>44655</v>
      </c>
      <c r="D10" s="663" t="inlineStr">
        <is>
          <t>世纪云芯</t>
        </is>
      </c>
      <c r="E10" s="654" t="inlineStr">
        <is>
          <t>XJ</t>
        </is>
      </c>
      <c r="F10" s="654" t="inlineStr">
        <is>
          <t>BM1362AI</t>
        </is>
      </c>
      <c r="G10" s="662" t="inlineStr">
        <is>
          <t>Y09BM1362110</t>
        </is>
      </c>
      <c r="H10" s="652" t="n">
        <v>1523285</v>
      </c>
      <c r="I10" s="542" t="inlineStr">
        <is>
          <t>202204060017</t>
        </is>
      </c>
      <c r="J10" s="662" t="n">
        <v>2.71</v>
      </c>
      <c r="K10" s="662" t="n"/>
      <c r="L10" s="663" t="inlineStr">
        <is>
          <t>朗华</t>
        </is>
      </c>
      <c r="M10" s="664" t="n"/>
    </row>
    <row r="11" ht="14.25" customFormat="1" customHeight="1" s="661">
      <c r="A11" s="662" t="n">
        <v>10</v>
      </c>
      <c r="B11" s="538" t="inlineStr">
        <is>
          <t>HK Bitmain</t>
        </is>
      </c>
      <c r="C11" s="526" t="n">
        <v>44657</v>
      </c>
      <c r="D11" s="663" t="inlineStr">
        <is>
          <t>世纪云芯</t>
        </is>
      </c>
      <c r="E11" s="654" t="inlineStr">
        <is>
          <t>XJ</t>
        </is>
      </c>
      <c r="F11" s="654" t="inlineStr">
        <is>
          <t>BM1362AK</t>
        </is>
      </c>
      <c r="G11" s="662" t="inlineStr">
        <is>
          <t>Y09BM1362310</t>
        </is>
      </c>
      <c r="H11" s="652" t="n">
        <v>5253</v>
      </c>
      <c r="I11" s="542" t="inlineStr">
        <is>
          <t>202204060018</t>
        </is>
      </c>
      <c r="J11" s="662" t="n">
        <v>2.71</v>
      </c>
      <c r="K11" s="662" t="n"/>
      <c r="L11" s="663" t="inlineStr">
        <is>
          <t>朗华</t>
        </is>
      </c>
      <c r="M11" s="664" t="n"/>
    </row>
    <row r="12" ht="14.25" customFormat="1" customHeight="1" s="661">
      <c r="A12" s="662" t="n">
        <v>11</v>
      </c>
      <c r="B12" s="538" t="inlineStr">
        <is>
          <t>HK Bitmain</t>
        </is>
      </c>
      <c r="C12" s="526" t="n">
        <v>44652</v>
      </c>
      <c r="D12" s="663" t="inlineStr">
        <is>
          <t>世纪云芯</t>
        </is>
      </c>
      <c r="E12" s="654" t="inlineStr">
        <is>
          <t>捷策创</t>
        </is>
      </c>
      <c r="F12" s="654" t="inlineStr">
        <is>
          <t>BM1398BB</t>
        </is>
      </c>
      <c r="G12" s="662" t="inlineStr">
        <is>
          <t>Y09BM1398240</t>
        </is>
      </c>
      <c r="H12" s="652" t="n">
        <v>109267</v>
      </c>
      <c r="I12" s="542" t="inlineStr">
        <is>
          <t>202204070004</t>
        </is>
      </c>
      <c r="J12" s="662" t="n">
        <v>6.1</v>
      </c>
      <c r="K12" s="662" t="n"/>
      <c r="L12" s="663" t="inlineStr">
        <is>
          <t>朗华</t>
        </is>
      </c>
      <c r="M12" s="664" t="n"/>
    </row>
    <row r="13" ht="14.25" customFormat="1" customHeight="1" s="661">
      <c r="A13" s="662" t="n">
        <v>12</v>
      </c>
      <c r="B13" s="538" t="inlineStr">
        <is>
          <t>HK Bitmain</t>
        </is>
      </c>
      <c r="C13" s="526" t="n">
        <v>44652</v>
      </c>
      <c r="D13" s="663" t="inlineStr">
        <is>
          <t>世纪云芯</t>
        </is>
      </c>
      <c r="E13" s="654" t="inlineStr">
        <is>
          <t>捷策创</t>
        </is>
      </c>
      <c r="F13" s="654" t="inlineStr">
        <is>
          <t>BM1489</t>
        </is>
      </c>
      <c r="G13" s="662" t="inlineStr">
        <is>
          <t>Y09BM1489010</t>
        </is>
      </c>
      <c r="H13" s="652" t="n">
        <v>174437</v>
      </c>
      <c r="I13" s="542" t="inlineStr">
        <is>
          <t>202204070004</t>
        </is>
      </c>
      <c r="J13" s="662" t="n">
        <v>6.22</v>
      </c>
      <c r="K13" s="662" t="n"/>
      <c r="L13" s="663" t="inlineStr">
        <is>
          <t>朗华</t>
        </is>
      </c>
      <c r="M13" s="664" t="n"/>
    </row>
    <row r="14" ht="14.25" customFormat="1" customHeight="1" s="661">
      <c r="A14" s="662" t="n">
        <v>13</v>
      </c>
      <c r="B14" s="538" t="inlineStr">
        <is>
          <t>HK Bitmain</t>
        </is>
      </c>
      <c r="C14" s="526" t="n">
        <v>44652</v>
      </c>
      <c r="D14" s="663" t="inlineStr">
        <is>
          <t>世纪云芯</t>
        </is>
      </c>
      <c r="E14" s="654" t="inlineStr">
        <is>
          <t>捷策创</t>
        </is>
      </c>
      <c r="F14" s="654" t="inlineStr">
        <is>
          <t>BM1366AG</t>
        </is>
      </c>
      <c r="G14" s="662" t="inlineStr">
        <is>
          <t>Y09BM1366820</t>
        </is>
      </c>
      <c r="H14" s="652" t="n">
        <v>33573</v>
      </c>
      <c r="I14" s="542" t="inlineStr">
        <is>
          <t>202204070004</t>
        </is>
      </c>
      <c r="J14" s="662" t="n">
        <v>4.72</v>
      </c>
      <c r="K14" s="662" t="n"/>
      <c r="L14" s="663" t="inlineStr">
        <is>
          <t>朗华</t>
        </is>
      </c>
      <c r="M14" s="664" t="n"/>
    </row>
    <row r="15" ht="14.25" customFormat="1" customHeight="1" s="661">
      <c r="A15" s="662" t="n">
        <v>14</v>
      </c>
      <c r="B15" s="538" t="inlineStr">
        <is>
          <t>HK Bitmain</t>
        </is>
      </c>
      <c r="C15" s="526" t="n">
        <v>44659</v>
      </c>
      <c r="D15" s="663" t="inlineStr">
        <is>
          <t>世纪云芯</t>
        </is>
      </c>
      <c r="E15" s="654" t="inlineStr">
        <is>
          <t>XJ</t>
        </is>
      </c>
      <c r="F15" s="665" t="inlineStr">
        <is>
          <t>BM1489</t>
        </is>
      </c>
      <c r="G15" s="662" t="inlineStr">
        <is>
          <t>Y09BM1489010</t>
        </is>
      </c>
      <c r="H15" s="656" t="n">
        <v>660173</v>
      </c>
      <c r="I15" s="534" t="inlineStr">
        <is>
          <t>202204090030/改成1004202204250021</t>
        </is>
      </c>
      <c r="J15" s="666" t="n">
        <v>7.51</v>
      </c>
      <c r="K15" s="666" t="n"/>
      <c r="L15" s="666" t="inlineStr">
        <is>
          <t>朗华</t>
        </is>
      </c>
      <c r="M15" s="664" t="n"/>
    </row>
    <row r="16" ht="14.25" customFormat="1" customHeight="1" s="661">
      <c r="A16" s="662" t="n">
        <v>15</v>
      </c>
      <c r="B16" s="538" t="inlineStr">
        <is>
          <t>HK Bitmain</t>
        </is>
      </c>
      <c r="C16" s="526" t="n">
        <v>44659</v>
      </c>
      <c r="D16" s="663" t="inlineStr">
        <is>
          <t>世纪云芯</t>
        </is>
      </c>
      <c r="E16" s="654" t="inlineStr">
        <is>
          <t>XJ</t>
        </is>
      </c>
      <c r="F16" s="665" t="inlineStr">
        <is>
          <t>BM1362AC</t>
        </is>
      </c>
      <c r="G16" s="662" t="inlineStr">
        <is>
          <t>Y09BM1362C00</t>
        </is>
      </c>
      <c r="H16" s="656" t="n">
        <v>144910</v>
      </c>
      <c r="I16" s="534" t="inlineStr">
        <is>
          <t>202204090030</t>
        </is>
      </c>
      <c r="J16" s="666" t="n">
        <v>2.71</v>
      </c>
      <c r="K16" s="666" t="n"/>
      <c r="L16" s="666" t="inlineStr">
        <is>
          <t>朗华</t>
        </is>
      </c>
      <c r="M16" s="664" t="n"/>
    </row>
    <row r="17" ht="14.25" customFormat="1" customHeight="1" s="661">
      <c r="A17" s="662" t="n">
        <v>16</v>
      </c>
      <c r="B17" s="538" t="inlineStr">
        <is>
          <t>HK Bitmain</t>
        </is>
      </c>
      <c r="C17" s="526" t="n">
        <v>44662</v>
      </c>
      <c r="D17" s="663" t="inlineStr">
        <is>
          <t>世纪云芯</t>
        </is>
      </c>
      <c r="E17" s="654" t="inlineStr">
        <is>
          <t>湖南越摩</t>
        </is>
      </c>
      <c r="F17" s="654" t="inlineStr">
        <is>
          <t>BM1366AG</t>
        </is>
      </c>
      <c r="G17" s="662" t="inlineStr">
        <is>
          <t>Y09BM1366820</t>
        </is>
      </c>
      <c r="H17" s="652" t="n">
        <v>999</v>
      </c>
      <c r="I17" s="542" t="inlineStr">
        <is>
          <t>202204130006</t>
        </is>
      </c>
      <c r="J17" s="662" t="n">
        <v>4.54</v>
      </c>
      <c r="K17" s="662" t="n"/>
      <c r="L17" s="663" t="inlineStr">
        <is>
          <t>朗华</t>
        </is>
      </c>
      <c r="M17" s="664" t="n"/>
    </row>
    <row r="18" ht="14.25" customFormat="1" customHeight="1" s="661">
      <c r="A18" s="662" t="n">
        <v>17</v>
      </c>
      <c r="B18" s="538" t="inlineStr">
        <is>
          <t>HK Bitmain</t>
        </is>
      </c>
      <c r="C18" s="526" t="n">
        <v>44662</v>
      </c>
      <c r="D18" s="663" t="inlineStr">
        <is>
          <t>世纪云芯</t>
        </is>
      </c>
      <c r="E18" s="654" t="inlineStr">
        <is>
          <t>XJ</t>
        </is>
      </c>
      <c r="F18" s="654" t="inlineStr">
        <is>
          <t>BM1362AC</t>
        </is>
      </c>
      <c r="G18" s="662" t="inlineStr">
        <is>
          <t>Y09BM1362C00</t>
        </is>
      </c>
      <c r="H18" s="652" t="n">
        <v>88012</v>
      </c>
      <c r="I18" s="542" t="inlineStr">
        <is>
          <t>202204130005/改SZK202205180004PO入库</t>
        </is>
      </c>
      <c r="J18" s="662" t="n">
        <v>2.71</v>
      </c>
      <c r="K18" s="662" t="n"/>
      <c r="L18" s="663" t="inlineStr">
        <is>
          <t>朗华</t>
        </is>
      </c>
      <c r="M18" s="664" t="n"/>
    </row>
    <row r="19" ht="14.25" customFormat="1" customHeight="1" s="661">
      <c r="A19" s="662" t="n">
        <v>18</v>
      </c>
      <c r="B19" s="538" t="inlineStr">
        <is>
          <t>HK Bitmain</t>
        </is>
      </c>
      <c r="C19" s="526" t="n">
        <v>44662</v>
      </c>
      <c r="D19" s="663" t="inlineStr">
        <is>
          <t>世纪云芯</t>
        </is>
      </c>
      <c r="E19" s="654" t="inlineStr">
        <is>
          <t>XJ</t>
        </is>
      </c>
      <c r="F19" s="654" t="inlineStr">
        <is>
          <t>BM1362AI</t>
        </is>
      </c>
      <c r="G19" s="662" t="inlineStr">
        <is>
          <t>Y09BM1362110</t>
        </is>
      </c>
      <c r="H19" s="652" t="n">
        <v>1112446</v>
      </c>
      <c r="I19" s="542" t="inlineStr">
        <is>
          <t>202204130005/改SZK202205180004PO入库</t>
        </is>
      </c>
      <c r="J19" s="662" t="n">
        <v>2.71</v>
      </c>
      <c r="K19" s="662" t="n"/>
      <c r="L19" s="663" t="inlineStr">
        <is>
          <t>朗华</t>
        </is>
      </c>
      <c r="M19" s="664" t="n"/>
    </row>
    <row r="20" ht="14.25" customFormat="1" customHeight="1" s="661">
      <c r="A20" s="662" t="n">
        <v>19</v>
      </c>
      <c r="B20" s="538" t="inlineStr">
        <is>
          <t>HK Bitmain</t>
        </is>
      </c>
      <c r="C20" s="526" t="n">
        <v>44662</v>
      </c>
      <c r="D20" s="663" t="inlineStr">
        <is>
          <t>世纪云芯</t>
        </is>
      </c>
      <c r="E20" s="654" t="inlineStr">
        <is>
          <t>XJ</t>
        </is>
      </c>
      <c r="F20" s="654" t="inlineStr">
        <is>
          <t>BM1362AC</t>
        </is>
      </c>
      <c r="G20" s="662" t="inlineStr">
        <is>
          <t>Y09BM1362C00</t>
        </is>
      </c>
      <c r="H20" s="652" t="n">
        <v>68881</v>
      </c>
      <c r="I20" s="542" t="inlineStr">
        <is>
          <t>202204130005</t>
        </is>
      </c>
      <c r="J20" s="662" t="n">
        <v>2.71</v>
      </c>
      <c r="K20" s="662" t="n"/>
      <c r="L20" s="663" t="inlineStr">
        <is>
          <t>朗华</t>
        </is>
      </c>
      <c r="M20" s="664" t="n"/>
    </row>
    <row r="21" ht="14.25" customFormat="1" customHeight="1" s="661">
      <c r="A21" s="662" t="n">
        <v>20</v>
      </c>
      <c r="B21" s="538" t="inlineStr">
        <is>
          <t>HK Bitmain</t>
        </is>
      </c>
      <c r="C21" s="526" t="n">
        <v>44662</v>
      </c>
      <c r="D21" s="663" t="inlineStr">
        <is>
          <t>世纪云芯</t>
        </is>
      </c>
      <c r="E21" s="654" t="inlineStr">
        <is>
          <t>XJ</t>
        </is>
      </c>
      <c r="F21" s="654" t="inlineStr">
        <is>
          <t>BM1362AK</t>
        </is>
      </c>
      <c r="G21" s="662" t="inlineStr">
        <is>
          <t>Y09BM1362310</t>
        </is>
      </c>
      <c r="H21" s="652" t="n">
        <v>2000575</v>
      </c>
      <c r="I21" s="542" t="inlineStr">
        <is>
          <t>202204130005</t>
        </is>
      </c>
      <c r="J21" s="662" t="n">
        <v>2.71</v>
      </c>
      <c r="K21" s="662" t="n"/>
      <c r="L21" s="663" t="inlineStr">
        <is>
          <t>朗华</t>
        </is>
      </c>
      <c r="M21" s="664" t="n"/>
    </row>
    <row r="22" ht="14.25" customFormat="1" customHeight="1" s="661">
      <c r="A22" s="662" t="n">
        <v>21</v>
      </c>
      <c r="B22" s="538" t="inlineStr">
        <is>
          <t>HK Bitmain</t>
        </is>
      </c>
      <c r="C22" s="526" t="n">
        <v>44662</v>
      </c>
      <c r="D22" s="663" t="inlineStr">
        <is>
          <t>世纪云芯</t>
        </is>
      </c>
      <c r="E22" s="654" t="inlineStr">
        <is>
          <t>XJ</t>
        </is>
      </c>
      <c r="F22" s="654" t="inlineStr">
        <is>
          <t>BM1362AI</t>
        </is>
      </c>
      <c r="G22" s="662" t="inlineStr">
        <is>
          <t>Y09BM1362110</t>
        </is>
      </c>
      <c r="H22" s="652" t="n">
        <v>801972</v>
      </c>
      <c r="I22" s="542" t="inlineStr">
        <is>
          <t>202204130005</t>
        </is>
      </c>
      <c r="J22" s="662" t="n">
        <v>2.71</v>
      </c>
      <c r="K22" s="662" t="n"/>
      <c r="L22" s="663" t="inlineStr">
        <is>
          <t>朗华</t>
        </is>
      </c>
      <c r="M22" s="664" t="n"/>
    </row>
    <row r="23" ht="14.25" customFormat="1" customHeight="1" s="661">
      <c r="A23" s="662" t="n">
        <v>22</v>
      </c>
      <c r="B23" s="538" t="inlineStr">
        <is>
          <t>HK Bitmain</t>
        </is>
      </c>
      <c r="C23" s="526" t="n">
        <v>44662</v>
      </c>
      <c r="D23" s="663" t="inlineStr">
        <is>
          <t>世纪云芯</t>
        </is>
      </c>
      <c r="E23" s="654" t="inlineStr">
        <is>
          <t>XJ</t>
        </is>
      </c>
      <c r="F23" s="654" t="inlineStr">
        <is>
          <t>BM1489</t>
        </is>
      </c>
      <c r="G23" s="662" t="inlineStr">
        <is>
          <t>Y09BM1489010</t>
        </is>
      </c>
      <c r="H23" s="652" t="n">
        <v>81002</v>
      </c>
      <c r="I23" s="542" t="inlineStr">
        <is>
          <t>202204130005</t>
        </is>
      </c>
      <c r="J23" s="662" t="n">
        <v>7.51</v>
      </c>
      <c r="K23" s="662" t="n"/>
      <c r="L23" s="663" t="inlineStr">
        <is>
          <t>朗华</t>
        </is>
      </c>
      <c r="M23" s="664" t="n"/>
    </row>
    <row r="24" ht="14.25" customFormat="1" customHeight="1" s="661">
      <c r="A24" s="662" t="n">
        <v>23</v>
      </c>
      <c r="B24" s="538" t="inlineStr">
        <is>
          <t>HK Bitmain</t>
        </is>
      </c>
      <c r="C24" s="539" t="n">
        <v>44662</v>
      </c>
      <c r="D24" s="662" t="inlineStr">
        <is>
          <t>世纪云芯</t>
        </is>
      </c>
      <c r="E24" s="640" t="inlineStr">
        <is>
          <t>捷策创</t>
        </is>
      </c>
      <c r="F24" s="640" t="inlineStr">
        <is>
          <t>BM1489</t>
        </is>
      </c>
      <c r="G24" s="662" t="inlineStr">
        <is>
          <t>Y09BM1489010</t>
        </is>
      </c>
      <c r="H24" s="644" t="n">
        <v>210221</v>
      </c>
      <c r="I24" s="542" t="inlineStr">
        <is>
          <t>202204130007</t>
        </is>
      </c>
      <c r="J24" s="662" t="n">
        <v>7.51</v>
      </c>
      <c r="K24" s="662" t="n"/>
      <c r="L24" s="663" t="inlineStr">
        <is>
          <t>朗华</t>
        </is>
      </c>
      <c r="M24" s="664" t="n"/>
    </row>
    <row r="25" ht="14.25" customFormat="1" customHeight="1" s="661">
      <c r="A25" s="662" t="n">
        <v>24</v>
      </c>
      <c r="B25" s="538" t="inlineStr">
        <is>
          <t>HK Bitmain</t>
        </is>
      </c>
      <c r="C25" s="539" t="n">
        <v>44662</v>
      </c>
      <c r="D25" s="662" t="inlineStr">
        <is>
          <t>世纪云芯</t>
        </is>
      </c>
      <c r="E25" s="640" t="inlineStr">
        <is>
          <t>捷策创</t>
        </is>
      </c>
      <c r="F25" s="640" t="inlineStr">
        <is>
          <t>BM1362BD</t>
        </is>
      </c>
      <c r="G25" s="662" t="inlineStr">
        <is>
          <t>Y09BM1362D40</t>
        </is>
      </c>
      <c r="H25" s="644" t="n">
        <v>44939</v>
      </c>
      <c r="I25" s="542" t="inlineStr">
        <is>
          <t>202204130007</t>
        </is>
      </c>
      <c r="J25" s="662" t="n">
        <v>2.71</v>
      </c>
      <c r="K25" s="662" t="n"/>
      <c r="L25" s="663" t="inlineStr">
        <is>
          <t>朗华</t>
        </is>
      </c>
      <c r="M25" s="664" t="n"/>
    </row>
    <row r="26" ht="14.25" customFormat="1" customHeight="1" s="661">
      <c r="A26" s="662" t="n">
        <v>25</v>
      </c>
      <c r="B26" s="538" t="inlineStr">
        <is>
          <t>HK Bitmain</t>
        </is>
      </c>
      <c r="C26" s="539" t="n">
        <v>44662</v>
      </c>
      <c r="D26" s="662" t="inlineStr">
        <is>
          <t>世纪云芯</t>
        </is>
      </c>
      <c r="E26" s="640" t="inlineStr">
        <is>
          <t>捷策创</t>
        </is>
      </c>
      <c r="F26" s="640" t="inlineStr">
        <is>
          <t>BM1366AG</t>
        </is>
      </c>
      <c r="G26" s="662" t="inlineStr">
        <is>
          <t>Y09BM1366820</t>
        </is>
      </c>
      <c r="H26" s="667" t="n">
        <v>48984</v>
      </c>
      <c r="I26" s="542" t="inlineStr">
        <is>
          <t>202204130007</t>
        </is>
      </c>
      <c r="J26" s="662" t="n">
        <v>4.54</v>
      </c>
      <c r="K26" s="662" t="n"/>
      <c r="L26" s="663" t="inlineStr">
        <is>
          <t>朗华</t>
        </is>
      </c>
      <c r="M26" s="664" t="n"/>
    </row>
    <row r="27" ht="14.25" customFormat="1" customHeight="1" s="661">
      <c r="A27" s="662" t="n">
        <v>26</v>
      </c>
      <c r="B27" s="538" t="inlineStr">
        <is>
          <t>HK Bitmain</t>
        </is>
      </c>
      <c r="C27" s="539" t="n">
        <v>44662</v>
      </c>
      <c r="D27" s="662" t="inlineStr">
        <is>
          <t>世纪云芯</t>
        </is>
      </c>
      <c r="E27" s="640" t="inlineStr">
        <is>
          <t>捷策创</t>
        </is>
      </c>
      <c r="F27" s="640" t="inlineStr">
        <is>
          <t>BM1362AC</t>
        </is>
      </c>
      <c r="G27" s="662" t="inlineStr">
        <is>
          <t>Y09BM1362C00</t>
        </is>
      </c>
      <c r="H27" s="644" t="n">
        <v>235673</v>
      </c>
      <c r="I27" s="542" t="inlineStr">
        <is>
          <t>202204130007</t>
        </is>
      </c>
      <c r="J27" s="662" t="n">
        <v>2.71</v>
      </c>
      <c r="K27" s="662" t="n"/>
      <c r="L27" s="663" t="inlineStr">
        <is>
          <t>朗华</t>
        </is>
      </c>
      <c r="M27" s="664" t="n"/>
    </row>
    <row r="28" ht="14.25" customFormat="1" customHeight="1" s="661">
      <c r="A28" s="662" t="n">
        <v>27</v>
      </c>
      <c r="B28" s="538" t="inlineStr">
        <is>
          <t>HK Bitmain</t>
        </is>
      </c>
      <c r="C28" s="539" t="n">
        <v>44662</v>
      </c>
      <c r="D28" s="662" t="inlineStr">
        <is>
          <t>世纪云芯</t>
        </is>
      </c>
      <c r="E28" s="640" t="inlineStr">
        <is>
          <t>捷策创</t>
        </is>
      </c>
      <c r="F28" s="640" t="inlineStr">
        <is>
          <t>BM1362AA</t>
        </is>
      </c>
      <c r="G28" s="662" t="inlineStr">
        <is>
          <t>Y09BM1362A00</t>
        </is>
      </c>
      <c r="H28" s="644" t="n">
        <v>71332</v>
      </c>
      <c r="I28" s="542" t="inlineStr">
        <is>
          <t>202204130007</t>
        </is>
      </c>
      <c r="J28" s="662" t="n">
        <v>2.71</v>
      </c>
      <c r="K28" s="662" t="n"/>
      <c r="L28" s="663" t="inlineStr">
        <is>
          <t>朗华</t>
        </is>
      </c>
      <c r="M28" s="664" t="n"/>
    </row>
    <row r="29" ht="14.25" customFormat="1" customHeight="1" s="661">
      <c r="A29" s="668" t="n">
        <v>28</v>
      </c>
      <c r="B29" s="545" t="inlineStr">
        <is>
          <t>HK Bitmain</t>
        </is>
      </c>
      <c r="C29" s="546" t="n">
        <v>44662</v>
      </c>
      <c r="D29" s="668" t="inlineStr">
        <is>
          <t>世纪云芯</t>
        </is>
      </c>
      <c r="E29" s="669" t="inlineStr">
        <is>
          <t>捷策创</t>
        </is>
      </c>
      <c r="F29" s="669" t="inlineStr">
        <is>
          <t>BM1398BB</t>
        </is>
      </c>
      <c r="G29" s="662" t="inlineStr">
        <is>
          <t>Y09BM1398240</t>
        </is>
      </c>
      <c r="H29" s="670" t="n">
        <v>266117</v>
      </c>
      <c r="I29" s="550" t="inlineStr">
        <is>
          <t xml:space="preserve">202204130007（这一行退出改用 1004202205070002   PO入库）        </t>
        </is>
      </c>
      <c r="J29" s="662" t="n">
        <v>5.03</v>
      </c>
      <c r="K29" s="662" t="n"/>
      <c r="L29" s="663" t="inlineStr">
        <is>
          <t>朗华</t>
        </is>
      </c>
      <c r="M29" s="664" t="n"/>
    </row>
    <row r="30" ht="14.25" customFormat="1" customHeight="1" s="661">
      <c r="A30" s="662" t="n">
        <v>29</v>
      </c>
      <c r="B30" s="538" t="inlineStr">
        <is>
          <t>HK Bitmain</t>
        </is>
      </c>
      <c r="C30" s="526" t="n">
        <v>44662</v>
      </c>
      <c r="D30" s="663" t="inlineStr">
        <is>
          <t>世纪云芯</t>
        </is>
      </c>
      <c r="E30" s="654" t="inlineStr">
        <is>
          <t>spilsz</t>
        </is>
      </c>
      <c r="F30" s="654" t="inlineStr">
        <is>
          <t>BM1366AG</t>
        </is>
      </c>
      <c r="G30" s="662" t="inlineStr">
        <is>
          <t>Y09BM1366820</t>
        </is>
      </c>
      <c r="H30" s="652" t="n">
        <v>4131</v>
      </c>
      <c r="I30" s="542" t="inlineStr">
        <is>
          <t>202204130008</t>
        </is>
      </c>
      <c r="J30" s="662" t="n">
        <v>4.54</v>
      </c>
      <c r="K30" s="662" t="n"/>
      <c r="L30" s="663" t="inlineStr">
        <is>
          <t>朗华</t>
        </is>
      </c>
      <c r="M30" s="664" t="n"/>
    </row>
    <row r="31" ht="14.25" customFormat="1" customHeight="1" s="661">
      <c r="A31" s="662" t="n">
        <v>30</v>
      </c>
      <c r="B31" s="538" t="inlineStr">
        <is>
          <t>HK Bitmain</t>
        </is>
      </c>
      <c r="C31" s="526" t="n">
        <v>44663</v>
      </c>
      <c r="D31" s="663" t="inlineStr">
        <is>
          <t>世纪云芯</t>
        </is>
      </c>
      <c r="E31" s="654" t="inlineStr">
        <is>
          <t>无锡伟测</t>
        </is>
      </c>
      <c r="F31" s="654" t="inlineStr">
        <is>
          <t>BM1362AK</t>
        </is>
      </c>
      <c r="G31" s="662" t="inlineStr">
        <is>
          <t>Y09BM1362310</t>
        </is>
      </c>
      <c r="H31" s="652" t="n">
        <v>502754</v>
      </c>
      <c r="I31" s="542" t="inlineStr">
        <is>
          <t>202204130009</t>
        </is>
      </c>
      <c r="J31" s="662" t="n">
        <v>2.71</v>
      </c>
      <c r="K31" s="662" t="n"/>
      <c r="L31" s="663" t="inlineStr">
        <is>
          <t>朗华</t>
        </is>
      </c>
      <c r="M31" s="664" t="n"/>
    </row>
    <row r="32" ht="14.25" customFormat="1" customHeight="1" s="661">
      <c r="A32" s="662" t="n">
        <v>31</v>
      </c>
      <c r="B32" s="538" t="inlineStr">
        <is>
          <t>HK Bitmain</t>
        </is>
      </c>
      <c r="C32" s="526" t="n">
        <v>44664</v>
      </c>
      <c r="D32" s="663" t="inlineStr">
        <is>
          <t>世纪云芯</t>
        </is>
      </c>
      <c r="E32" s="654" t="inlineStr">
        <is>
          <t>XJ</t>
        </is>
      </c>
      <c r="F32" s="654" t="inlineStr">
        <is>
          <t>BM1362AC</t>
        </is>
      </c>
      <c r="G32" s="662" t="inlineStr">
        <is>
          <t>Y09BM1362C00</t>
        </is>
      </c>
      <c r="H32" s="652" t="n">
        <v>100776</v>
      </c>
      <c r="I32" s="542" t="inlineStr">
        <is>
          <t>202204150018</t>
        </is>
      </c>
      <c r="J32" s="662" t="n">
        <v>2.71</v>
      </c>
      <c r="K32" s="662" t="n"/>
      <c r="L32" s="663" t="inlineStr">
        <is>
          <t>朗华</t>
        </is>
      </c>
      <c r="M32" s="664" t="n"/>
    </row>
    <row r="33" ht="14.25" customFormat="1" customHeight="1" s="661">
      <c r="A33" s="662" t="n">
        <v>32</v>
      </c>
      <c r="B33" s="538" t="inlineStr">
        <is>
          <t>HK Bitmain</t>
        </is>
      </c>
      <c r="C33" s="526" t="n">
        <v>44664</v>
      </c>
      <c r="D33" s="663" t="inlineStr">
        <is>
          <t>世纪云芯</t>
        </is>
      </c>
      <c r="E33" s="654" t="inlineStr">
        <is>
          <t>XJ</t>
        </is>
      </c>
      <c r="F33" s="654" t="inlineStr">
        <is>
          <t>BM1362AK</t>
        </is>
      </c>
      <c r="G33" s="662" t="inlineStr">
        <is>
          <t>Y09BM1362310</t>
        </is>
      </c>
      <c r="H33" s="652" t="n">
        <v>2006595</v>
      </c>
      <c r="I33" s="542" t="inlineStr">
        <is>
          <t>202204150018</t>
        </is>
      </c>
      <c r="J33" s="662" t="n">
        <v>2.71</v>
      </c>
      <c r="K33" s="662" t="n"/>
      <c r="L33" s="663" t="inlineStr">
        <is>
          <t>朗华</t>
        </is>
      </c>
      <c r="M33" s="664" t="n"/>
    </row>
    <row r="34" ht="14.25" customFormat="1" customHeight="1" s="661">
      <c r="A34" s="662" t="n">
        <v>33</v>
      </c>
      <c r="B34" s="538" t="inlineStr">
        <is>
          <t>HK Bitmain</t>
        </is>
      </c>
      <c r="C34" s="526" t="n">
        <v>44664</v>
      </c>
      <c r="D34" s="663" t="inlineStr">
        <is>
          <t>世纪云芯</t>
        </is>
      </c>
      <c r="E34" s="654" t="inlineStr">
        <is>
          <t>XJ</t>
        </is>
      </c>
      <c r="F34" s="654" t="inlineStr">
        <is>
          <t>BM1362AA</t>
        </is>
      </c>
      <c r="G34" s="662" t="inlineStr">
        <is>
          <t>Y09BM1362A00</t>
        </is>
      </c>
      <c r="H34" s="652" t="n">
        <v>1155</v>
      </c>
      <c r="I34" s="542" t="inlineStr">
        <is>
          <t>202204150018</t>
        </is>
      </c>
      <c r="J34" s="662" t="n">
        <v>2.71</v>
      </c>
      <c r="K34" s="662" t="n"/>
      <c r="L34" s="663" t="inlineStr">
        <is>
          <t>朗华</t>
        </is>
      </c>
      <c r="M34" s="664" t="n"/>
    </row>
    <row r="35" ht="14.25" customFormat="1" customHeight="1" s="661">
      <c r="A35" s="662" t="n">
        <v>34</v>
      </c>
      <c r="B35" s="538" t="inlineStr">
        <is>
          <t>HK Bitmain</t>
        </is>
      </c>
      <c r="C35" s="526" t="n">
        <v>44664</v>
      </c>
      <c r="D35" s="663" t="inlineStr">
        <is>
          <t>世纪云芯</t>
        </is>
      </c>
      <c r="E35" s="654" t="inlineStr">
        <is>
          <t>XJ</t>
        </is>
      </c>
      <c r="F35" s="654" t="inlineStr">
        <is>
          <t>BM1362AI</t>
        </is>
      </c>
      <c r="G35" s="662" t="inlineStr">
        <is>
          <t>Y09BM1362110</t>
        </is>
      </c>
      <c r="H35" s="652" t="n">
        <v>524460</v>
      </c>
      <c r="I35" s="542" t="inlineStr">
        <is>
          <t>202204150018</t>
        </is>
      </c>
      <c r="J35" s="662" t="n">
        <v>2.71</v>
      </c>
      <c r="K35" s="662" t="n"/>
      <c r="L35" s="663" t="inlineStr">
        <is>
          <t>朗华</t>
        </is>
      </c>
      <c r="M35" s="664" t="n"/>
    </row>
    <row r="36" ht="14.25" customFormat="1" customHeight="1" s="661">
      <c r="A36" s="662" t="n">
        <v>35</v>
      </c>
      <c r="B36" s="538" t="inlineStr">
        <is>
          <t>HK Bitmain</t>
        </is>
      </c>
      <c r="C36" s="526" t="n">
        <v>44664</v>
      </c>
      <c r="D36" s="663" t="inlineStr">
        <is>
          <t>世纪云芯</t>
        </is>
      </c>
      <c r="E36" s="654" t="inlineStr">
        <is>
          <t>XJ</t>
        </is>
      </c>
      <c r="F36" s="654" t="inlineStr">
        <is>
          <t>BM1489</t>
        </is>
      </c>
      <c r="G36" s="662" t="inlineStr">
        <is>
          <t>Y09BM1489010</t>
        </is>
      </c>
      <c r="H36" s="652" t="n">
        <v>54958</v>
      </c>
      <c r="I36" s="542" t="inlineStr">
        <is>
          <t>202204150018</t>
        </is>
      </c>
      <c r="J36" s="662" t="n">
        <v>7.51</v>
      </c>
      <c r="K36" s="662" t="n"/>
      <c r="L36" s="663" t="inlineStr">
        <is>
          <t>朗华</t>
        </is>
      </c>
      <c r="M36" s="664" t="n"/>
    </row>
    <row r="37" ht="14.25" customFormat="1" customHeight="1" s="661">
      <c r="A37" s="662" t="n">
        <v>36</v>
      </c>
      <c r="B37" s="538" t="inlineStr">
        <is>
          <t>HK Bitmain</t>
        </is>
      </c>
      <c r="C37" s="526" t="inlineStr">
        <is>
          <t>2022-04-14</t>
        </is>
      </c>
      <c r="D37" s="663" t="inlineStr">
        <is>
          <t>世纪云芯</t>
        </is>
      </c>
      <c r="E37" s="654" t="inlineStr">
        <is>
          <t>spil</t>
        </is>
      </c>
      <c r="F37" s="654" t="inlineStr">
        <is>
          <t>BM1366AG</t>
        </is>
      </c>
      <c r="G37" s="662" t="inlineStr">
        <is>
          <t>Y09BM1366820</t>
        </is>
      </c>
      <c r="H37" s="652" t="n">
        <v>4160</v>
      </c>
      <c r="I37" s="542" t="inlineStr">
        <is>
          <t>202204150019</t>
        </is>
      </c>
      <c r="J37" s="662" t="n">
        <v>4.54</v>
      </c>
      <c r="K37" s="662" t="n"/>
      <c r="L37" s="663" t="inlineStr">
        <is>
          <t>朗华</t>
        </is>
      </c>
      <c r="M37" s="664" t="n"/>
    </row>
    <row r="38" ht="14.25" customFormat="1" customHeight="1" s="661">
      <c r="A38" s="662" t="n">
        <v>37</v>
      </c>
      <c r="B38" s="538" t="inlineStr">
        <is>
          <t>HK Bitmain</t>
        </is>
      </c>
      <c r="C38" s="526" t="inlineStr">
        <is>
          <t>2022-04-14</t>
        </is>
      </c>
      <c r="D38" s="663" t="inlineStr">
        <is>
          <t>世纪云芯</t>
        </is>
      </c>
      <c r="E38" s="654" t="inlineStr">
        <is>
          <t>JSCC</t>
        </is>
      </c>
      <c r="F38" s="654" t="inlineStr">
        <is>
          <t>BM1366AG</t>
        </is>
      </c>
      <c r="G38" s="662" t="inlineStr">
        <is>
          <t>Y09BM1366820</t>
        </is>
      </c>
      <c r="H38" s="652" t="n">
        <v>4185</v>
      </c>
      <c r="I38" s="542" t="inlineStr">
        <is>
          <t>202204150020</t>
        </is>
      </c>
      <c r="J38" s="662" t="n">
        <v>4.54</v>
      </c>
      <c r="K38" s="662" t="n"/>
      <c r="L38" s="663" t="inlineStr">
        <is>
          <t>朗华</t>
        </is>
      </c>
      <c r="M38" s="664" t="n"/>
    </row>
    <row r="39" ht="14.25" customFormat="1" customHeight="1" s="661">
      <c r="A39" s="662" t="n">
        <v>38</v>
      </c>
      <c r="B39" s="538" t="inlineStr">
        <is>
          <t>HK Bitmain</t>
        </is>
      </c>
      <c r="C39" s="526" t="inlineStr">
        <is>
          <t>2022-04-14</t>
        </is>
      </c>
      <c r="D39" s="663" t="inlineStr">
        <is>
          <t>世纪云芯</t>
        </is>
      </c>
      <c r="E39" s="654" t="inlineStr">
        <is>
          <t>JSCC</t>
        </is>
      </c>
      <c r="F39" s="654" t="inlineStr">
        <is>
          <t>BM1362AC</t>
        </is>
      </c>
      <c r="G39" s="662" t="inlineStr">
        <is>
          <t>Y09BM1362C00</t>
        </is>
      </c>
      <c r="H39" s="652" t="n">
        <v>648073</v>
      </c>
      <c r="I39" s="542" t="inlineStr">
        <is>
          <t>202204150020</t>
        </is>
      </c>
      <c r="J39" s="662" t="n">
        <v>2.71</v>
      </c>
      <c r="K39" s="662" t="n"/>
      <c r="L39" s="663" t="inlineStr">
        <is>
          <t>朗华</t>
        </is>
      </c>
      <c r="M39" s="664" t="n"/>
    </row>
    <row r="40" ht="14.25" customFormat="1" customHeight="1" s="661">
      <c r="A40" s="662" t="n">
        <v>39</v>
      </c>
      <c r="B40" s="538" t="inlineStr">
        <is>
          <t>HK Bitmain</t>
        </is>
      </c>
      <c r="C40" s="526" t="inlineStr">
        <is>
          <t>2022-04-14</t>
        </is>
      </c>
      <c r="D40" s="663" t="inlineStr">
        <is>
          <t>世纪云芯</t>
        </is>
      </c>
      <c r="E40" s="654" t="inlineStr">
        <is>
          <t>捷策创</t>
        </is>
      </c>
      <c r="F40" s="654" t="inlineStr">
        <is>
          <t>BM1362AC</t>
        </is>
      </c>
      <c r="G40" s="662" t="inlineStr">
        <is>
          <t>Y09BM1362C00</t>
        </is>
      </c>
      <c r="H40" s="652" t="n">
        <v>665632</v>
      </c>
      <c r="I40" s="542" t="inlineStr">
        <is>
          <t>202204150021</t>
        </is>
      </c>
      <c r="J40" s="662" t="n">
        <v>2.71</v>
      </c>
      <c r="K40" s="662" t="n"/>
      <c r="L40" s="663" t="inlineStr">
        <is>
          <t>朗华</t>
        </is>
      </c>
      <c r="M40" s="664" t="n"/>
    </row>
    <row r="41" ht="14.25" customFormat="1" customHeight="1" s="661">
      <c r="A41" s="662" t="n">
        <v>40</v>
      </c>
      <c r="B41" s="538" t="inlineStr">
        <is>
          <t>HK Bitmain</t>
        </is>
      </c>
      <c r="C41" s="526" t="inlineStr">
        <is>
          <t>2022-04-14</t>
        </is>
      </c>
      <c r="D41" s="663" t="inlineStr">
        <is>
          <t>世纪云芯</t>
        </is>
      </c>
      <c r="E41" s="654" t="inlineStr">
        <is>
          <t>捷策创</t>
        </is>
      </c>
      <c r="F41" s="654" t="inlineStr">
        <is>
          <t>BM1489</t>
        </is>
      </c>
      <c r="G41" s="662" t="inlineStr">
        <is>
          <t>Y09BM1489010</t>
        </is>
      </c>
      <c r="H41" s="652" t="n">
        <v>180476</v>
      </c>
      <c r="I41" s="542" t="inlineStr">
        <is>
          <t>202204150021</t>
        </is>
      </c>
      <c r="J41" s="662" t="n">
        <v>7.51</v>
      </c>
      <c r="K41" s="662" t="n"/>
      <c r="L41" s="663" t="inlineStr">
        <is>
          <t>朗华</t>
        </is>
      </c>
      <c r="M41" s="664" t="n"/>
    </row>
    <row r="42" ht="14.25" customFormat="1" customHeight="1" s="661">
      <c r="A42" s="662" t="n">
        <v>41</v>
      </c>
      <c r="B42" s="538" t="inlineStr">
        <is>
          <t>HK Bitmain</t>
        </is>
      </c>
      <c r="C42" s="526" t="inlineStr">
        <is>
          <t>2022-04-14</t>
        </is>
      </c>
      <c r="D42" s="663" t="inlineStr">
        <is>
          <t>世纪云芯</t>
        </is>
      </c>
      <c r="E42" s="654" t="inlineStr">
        <is>
          <t>捷策创</t>
        </is>
      </c>
      <c r="F42" s="654" t="inlineStr">
        <is>
          <t>BM1366AG</t>
        </is>
      </c>
      <c r="G42" s="662" t="inlineStr">
        <is>
          <t>Y09BM1366820</t>
        </is>
      </c>
      <c r="H42" s="652" t="n">
        <v>83214</v>
      </c>
      <c r="I42" s="542" t="inlineStr">
        <is>
          <t>202204150021</t>
        </is>
      </c>
      <c r="J42" s="662" t="n">
        <v>4.54</v>
      </c>
      <c r="K42" s="662" t="n"/>
      <c r="L42" s="663" t="inlineStr">
        <is>
          <t>朗华</t>
        </is>
      </c>
      <c r="M42" s="664" t="n"/>
    </row>
    <row r="43" ht="14.25" customFormat="1" customHeight="1" s="661">
      <c r="A43" s="662" t="n">
        <v>42</v>
      </c>
      <c r="B43" s="538" t="inlineStr">
        <is>
          <t>HK Bitmain</t>
        </is>
      </c>
      <c r="C43" s="526" t="inlineStr">
        <is>
          <t>2022-04-14</t>
        </is>
      </c>
      <c r="D43" s="663" t="inlineStr">
        <is>
          <t>世纪云芯</t>
        </is>
      </c>
      <c r="E43" s="654" t="inlineStr">
        <is>
          <t>无锡伟测</t>
        </is>
      </c>
      <c r="F43" s="654" t="inlineStr">
        <is>
          <t>BM1362AK</t>
        </is>
      </c>
      <c r="G43" s="662" t="inlineStr">
        <is>
          <t>Y09BM1362310</t>
        </is>
      </c>
      <c r="H43" s="652" t="n">
        <v>1067086</v>
      </c>
      <c r="I43" s="542" t="inlineStr">
        <is>
          <t>202204150022</t>
        </is>
      </c>
      <c r="J43" s="662" t="n">
        <v>2.71</v>
      </c>
      <c r="K43" s="662" t="n"/>
      <c r="L43" s="663" t="inlineStr">
        <is>
          <t>朗华</t>
        </is>
      </c>
      <c r="M43" s="664" t="n"/>
    </row>
    <row r="44" ht="14.25" customFormat="1" customHeight="1" s="661">
      <c r="A44" s="662" t="n">
        <v>43</v>
      </c>
      <c r="B44" s="538" t="inlineStr">
        <is>
          <t>HK Bitmain</t>
        </is>
      </c>
      <c r="C44" s="526" t="n">
        <v>44666</v>
      </c>
      <c r="D44" s="663" t="inlineStr">
        <is>
          <t>世纪云芯</t>
        </is>
      </c>
      <c r="E44" s="654" t="inlineStr">
        <is>
          <t>XJ</t>
        </is>
      </c>
      <c r="F44" s="654" t="inlineStr">
        <is>
          <t>BM1362AK</t>
        </is>
      </c>
      <c r="G44" s="662" t="inlineStr">
        <is>
          <t>Y09BM1362310</t>
        </is>
      </c>
      <c r="H44" s="652" t="n">
        <v>2001339</v>
      </c>
      <c r="I44" s="542" t="inlineStr">
        <is>
          <t>202204180009</t>
        </is>
      </c>
      <c r="J44" s="662" t="n">
        <v>2.71</v>
      </c>
      <c r="K44" s="662" t="n"/>
      <c r="L44" s="663" t="inlineStr">
        <is>
          <t>朗华</t>
        </is>
      </c>
      <c r="M44" s="664" t="n"/>
    </row>
    <row r="45" ht="14.25" customFormat="1" customHeight="1" s="661">
      <c r="A45" s="662" t="n">
        <v>44</v>
      </c>
      <c r="B45" s="538" t="inlineStr">
        <is>
          <t>HK Bitmain</t>
        </is>
      </c>
      <c r="C45" s="526" t="n">
        <v>44666</v>
      </c>
      <c r="D45" s="663" t="inlineStr">
        <is>
          <t>世纪云芯</t>
        </is>
      </c>
      <c r="E45" s="654" t="inlineStr">
        <is>
          <t>XJ</t>
        </is>
      </c>
      <c r="F45" s="654" t="inlineStr">
        <is>
          <t>BM1362AI</t>
        </is>
      </c>
      <c r="G45" s="662" t="inlineStr">
        <is>
          <t>Y09BM1362110</t>
        </is>
      </c>
      <c r="H45" s="652" t="n">
        <v>114266</v>
      </c>
      <c r="I45" s="542" t="inlineStr">
        <is>
          <t>202204180009</t>
        </is>
      </c>
      <c r="J45" s="662" t="n">
        <v>2.71</v>
      </c>
      <c r="K45" s="662" t="n"/>
      <c r="L45" s="663" t="inlineStr">
        <is>
          <t>朗华</t>
        </is>
      </c>
      <c r="M45" s="664" t="n"/>
    </row>
    <row r="46" ht="14.25" customFormat="1" customHeight="1" s="661">
      <c r="A46" s="662" t="n">
        <v>45</v>
      </c>
      <c r="B46" s="538" t="inlineStr">
        <is>
          <t>HK Bitmain</t>
        </is>
      </c>
      <c r="C46" s="526" t="n">
        <v>44666</v>
      </c>
      <c r="D46" s="663" t="inlineStr">
        <is>
          <t>世纪云芯</t>
        </is>
      </c>
      <c r="E46" s="654" t="inlineStr">
        <is>
          <t>XJ</t>
        </is>
      </c>
      <c r="F46" s="654" t="inlineStr">
        <is>
          <t>BM1362AC</t>
        </is>
      </c>
      <c r="G46" s="662" t="inlineStr">
        <is>
          <t>Y09BM1362C00</t>
        </is>
      </c>
      <c r="H46" s="652" t="n">
        <v>24219</v>
      </c>
      <c r="I46" s="542" t="inlineStr">
        <is>
          <t>202204180009</t>
        </is>
      </c>
      <c r="J46" s="662" t="n">
        <v>2.71</v>
      </c>
      <c r="K46" s="662" t="n"/>
      <c r="L46" s="663" t="inlineStr">
        <is>
          <t>朗华</t>
        </is>
      </c>
      <c r="M46" s="664" t="n"/>
    </row>
    <row r="47" ht="14.25" customFormat="1" customHeight="1" s="661">
      <c r="A47" s="662" t="n">
        <v>46</v>
      </c>
      <c r="B47" s="538" t="inlineStr">
        <is>
          <t>HK Bitmain</t>
        </is>
      </c>
      <c r="C47" s="526" t="n">
        <v>44666</v>
      </c>
      <c r="D47" s="663" t="inlineStr">
        <is>
          <t>世纪云芯</t>
        </is>
      </c>
      <c r="E47" s="654" t="inlineStr">
        <is>
          <t>XJ</t>
        </is>
      </c>
      <c r="F47" s="654" t="inlineStr">
        <is>
          <t>BM1489</t>
        </is>
      </c>
      <c r="G47" s="662" t="inlineStr">
        <is>
          <t>Y09BM1489010</t>
        </is>
      </c>
      <c r="H47" s="652" t="n">
        <v>19179</v>
      </c>
      <c r="I47" s="542" t="inlineStr">
        <is>
          <t>202204180009</t>
        </is>
      </c>
      <c r="J47" s="662" t="n">
        <v>7.51</v>
      </c>
      <c r="K47" s="662" t="n"/>
      <c r="L47" s="663" t="inlineStr">
        <is>
          <t>朗华</t>
        </is>
      </c>
      <c r="M47" s="664" t="n"/>
    </row>
    <row r="48" ht="14.25" customFormat="1" customHeight="1" s="661">
      <c r="A48" s="662" t="n">
        <v>47</v>
      </c>
      <c r="B48" s="538" t="inlineStr">
        <is>
          <t>HK Bitmain</t>
        </is>
      </c>
      <c r="C48" s="526" t="n">
        <v>44666</v>
      </c>
      <c r="D48" s="663" t="inlineStr">
        <is>
          <t>世纪云芯</t>
        </is>
      </c>
      <c r="E48" s="654" t="inlineStr">
        <is>
          <t>无锡伟测</t>
        </is>
      </c>
      <c r="F48" s="654" t="inlineStr">
        <is>
          <t>BM1362AK</t>
        </is>
      </c>
      <c r="G48" s="662" t="inlineStr">
        <is>
          <t>Y09BM1362310</t>
        </is>
      </c>
      <c r="H48" s="652" t="n">
        <v>314883</v>
      </c>
      <c r="I48" s="542" t="inlineStr">
        <is>
          <t>202204180010</t>
        </is>
      </c>
      <c r="J48" s="662" t="n">
        <v>2.71</v>
      </c>
      <c r="K48" s="662" t="n"/>
      <c r="L48" s="663" t="inlineStr">
        <is>
          <t>朗华</t>
        </is>
      </c>
      <c r="M48" s="664" t="n"/>
    </row>
    <row r="49" ht="14.25" customFormat="1" customHeight="1" s="661">
      <c r="A49" s="662" t="n">
        <v>48</v>
      </c>
      <c r="B49" s="538" t="inlineStr">
        <is>
          <t>HK Bitmain</t>
        </is>
      </c>
      <c r="C49" s="526" t="n">
        <v>44669</v>
      </c>
      <c r="D49" s="663" t="inlineStr">
        <is>
          <t>世纪云芯</t>
        </is>
      </c>
      <c r="E49" s="654" t="inlineStr">
        <is>
          <t>spilsz</t>
        </is>
      </c>
      <c r="F49" s="654" t="inlineStr">
        <is>
          <t>BM1366AG</t>
        </is>
      </c>
      <c r="G49" s="662" t="inlineStr">
        <is>
          <t>Y09BM1366820</t>
        </is>
      </c>
      <c r="H49" s="652" t="n">
        <v>4160</v>
      </c>
      <c r="I49" s="542" t="inlineStr">
        <is>
          <t>202204180011</t>
        </is>
      </c>
      <c r="J49" s="662" t="n">
        <v>4.54</v>
      </c>
      <c r="K49" s="662" t="n"/>
      <c r="L49" s="663" t="inlineStr">
        <is>
          <t>朗华</t>
        </is>
      </c>
      <c r="M49" s="664" t="n"/>
    </row>
    <row r="50" ht="14.25" customFormat="1" customHeight="1" s="661">
      <c r="A50" s="662" t="n">
        <v>49</v>
      </c>
      <c r="B50" s="538" t="inlineStr">
        <is>
          <t>HK Bitmain</t>
        </is>
      </c>
      <c r="C50" s="526" t="n">
        <v>44669</v>
      </c>
      <c r="D50" s="663" t="inlineStr">
        <is>
          <t>世纪云芯</t>
        </is>
      </c>
      <c r="E50" s="654" t="inlineStr">
        <is>
          <t>spilsz</t>
        </is>
      </c>
      <c r="F50" s="654" t="inlineStr">
        <is>
          <t>BM1366AB</t>
        </is>
      </c>
      <c r="G50" s="662" t="inlineStr">
        <is>
          <t>Y09BM1366120</t>
        </is>
      </c>
      <c r="H50" s="652" t="n">
        <v>1986</v>
      </c>
      <c r="I50" s="542" t="inlineStr">
        <is>
          <t>1004202204180029</t>
        </is>
      </c>
      <c r="J50" s="662" t="n">
        <v>4.54</v>
      </c>
      <c r="K50" s="662" t="n"/>
      <c r="L50" s="663" t="inlineStr">
        <is>
          <t>朗华</t>
        </is>
      </c>
      <c r="M50" s="664" t="n"/>
    </row>
    <row r="51" ht="14.25" customFormat="1" customHeight="1" s="661">
      <c r="A51" s="662" t="n">
        <v>50</v>
      </c>
      <c r="B51" s="538" t="inlineStr">
        <is>
          <t>HK Bitmain</t>
        </is>
      </c>
      <c r="C51" s="526" t="n">
        <v>44669</v>
      </c>
      <c r="D51" s="663" t="inlineStr">
        <is>
          <t>世纪云芯</t>
        </is>
      </c>
      <c r="E51" s="654" t="inlineStr">
        <is>
          <t>捷策创</t>
        </is>
      </c>
      <c r="F51" s="654" t="inlineStr">
        <is>
          <t>BM1366AG</t>
        </is>
      </c>
      <c r="G51" s="662" t="inlineStr">
        <is>
          <t>Y09BM1366820</t>
        </is>
      </c>
      <c r="H51" s="652" t="n">
        <v>32851</v>
      </c>
      <c r="I51" s="542" t="inlineStr">
        <is>
          <t>202204200006</t>
        </is>
      </c>
      <c r="J51" s="662" t="n">
        <v>4.54</v>
      </c>
      <c r="K51" s="662" t="n"/>
      <c r="L51" s="663" t="inlineStr">
        <is>
          <t>朗华</t>
        </is>
      </c>
      <c r="M51" s="664" t="n"/>
    </row>
    <row r="52" ht="14.25" customFormat="1" customHeight="1" s="661">
      <c r="A52" s="662" t="n">
        <v>51</v>
      </c>
      <c r="B52" s="538" t="inlineStr">
        <is>
          <t>HK Bitmain</t>
        </is>
      </c>
      <c r="C52" s="526" t="n">
        <v>44669</v>
      </c>
      <c r="D52" s="663" t="inlineStr">
        <is>
          <t>世纪云芯</t>
        </is>
      </c>
      <c r="E52" s="654" t="inlineStr">
        <is>
          <t>捷策创</t>
        </is>
      </c>
      <c r="F52" s="654" t="inlineStr">
        <is>
          <t>BM1366AB</t>
        </is>
      </c>
      <c r="G52" s="662" t="inlineStr">
        <is>
          <t>Y09BM1366120</t>
        </is>
      </c>
      <c r="H52" s="652" t="n">
        <v>4168</v>
      </c>
      <c r="I52" s="542" t="inlineStr">
        <is>
          <t>202204200006</t>
        </is>
      </c>
      <c r="J52" s="662" t="n">
        <v>4.54</v>
      </c>
      <c r="K52" s="662" t="n"/>
      <c r="L52" s="663" t="inlineStr">
        <is>
          <t>朗华</t>
        </is>
      </c>
      <c r="M52" s="664" t="n"/>
    </row>
    <row r="53" ht="14.25" customFormat="1" customHeight="1" s="661">
      <c r="A53" s="662" t="n">
        <v>52</v>
      </c>
      <c r="B53" s="538" t="inlineStr">
        <is>
          <t>HK Bitmain</t>
        </is>
      </c>
      <c r="C53" s="526" t="n">
        <v>44669</v>
      </c>
      <c r="D53" s="663" t="inlineStr">
        <is>
          <t>世纪云芯</t>
        </is>
      </c>
      <c r="E53" s="654" t="inlineStr">
        <is>
          <t>捷策创</t>
        </is>
      </c>
      <c r="F53" s="654" t="inlineStr">
        <is>
          <t>BM1398BB</t>
        </is>
      </c>
      <c r="G53" s="662" t="inlineStr">
        <is>
          <t>Y09BM1398240</t>
        </is>
      </c>
      <c r="H53" s="652" t="n">
        <v>112366</v>
      </c>
      <c r="I53" s="542" t="inlineStr">
        <is>
          <t>202204200006</t>
        </is>
      </c>
      <c r="J53" s="662" t="n">
        <v>5.03</v>
      </c>
      <c r="K53" s="662" t="n"/>
      <c r="L53" s="663" t="inlineStr">
        <is>
          <t>朗华</t>
        </is>
      </c>
      <c r="M53" s="664" t="n"/>
    </row>
    <row r="54" ht="14.25" customFormat="1" customHeight="1" s="661">
      <c r="A54" s="662" t="n">
        <v>53</v>
      </c>
      <c r="B54" s="538" t="inlineStr">
        <is>
          <t>HK Bitmain</t>
        </is>
      </c>
      <c r="C54" s="526" t="n">
        <v>44669</v>
      </c>
      <c r="D54" s="663" t="inlineStr">
        <is>
          <t>世纪云芯</t>
        </is>
      </c>
      <c r="E54" s="654" t="inlineStr">
        <is>
          <t>湖南越摩</t>
        </is>
      </c>
      <c r="F54" s="654" t="inlineStr">
        <is>
          <t>BM1366AH</t>
        </is>
      </c>
      <c r="G54" s="662" t="inlineStr">
        <is>
          <t>Y09BM1366930</t>
        </is>
      </c>
      <c r="H54" s="652" t="n">
        <v>200</v>
      </c>
      <c r="I54" s="542" t="inlineStr">
        <is>
          <t>1004202204180031</t>
        </is>
      </c>
      <c r="J54" s="662" t="n">
        <v>4.54</v>
      </c>
      <c r="K54" s="662" t="n"/>
      <c r="L54" s="663" t="inlineStr">
        <is>
          <t>朗华</t>
        </is>
      </c>
      <c r="M54" s="664" t="n"/>
    </row>
    <row r="55" ht="14.25" customFormat="1" customHeight="1" s="661">
      <c r="A55" s="662" t="n">
        <v>54</v>
      </c>
      <c r="B55" s="538" t="inlineStr">
        <is>
          <t>HK Bitmain</t>
        </is>
      </c>
      <c r="C55" s="526" t="n">
        <v>44669</v>
      </c>
      <c r="D55" s="663" t="inlineStr">
        <is>
          <t>世纪云芯</t>
        </is>
      </c>
      <c r="E55" s="654" t="inlineStr">
        <is>
          <t>spiltw</t>
        </is>
      </c>
      <c r="F55" s="654" t="inlineStr">
        <is>
          <t>BM1366AG</t>
        </is>
      </c>
      <c r="G55" s="662" t="inlineStr">
        <is>
          <t>Y09BM1366820</t>
        </is>
      </c>
      <c r="H55" s="652" t="n">
        <v>9968</v>
      </c>
      <c r="I55" s="542" t="inlineStr">
        <is>
          <t>1004202204180032</t>
        </is>
      </c>
      <c r="J55" s="662" t="n">
        <v>4.54</v>
      </c>
      <c r="K55" s="662" t="n"/>
      <c r="L55" s="663" t="inlineStr">
        <is>
          <t>朗华</t>
        </is>
      </c>
      <c r="M55" s="664" t="n"/>
    </row>
    <row r="56" ht="14.25" customFormat="1" customHeight="1" s="661">
      <c r="A56" s="662" t="n">
        <v>58</v>
      </c>
      <c r="B56" s="538" t="inlineStr">
        <is>
          <t>HK Bitmain</t>
        </is>
      </c>
      <c r="C56" s="526" t="n">
        <v>44670</v>
      </c>
      <c r="D56" s="663" t="inlineStr">
        <is>
          <t>世纪云芯</t>
        </is>
      </c>
      <c r="E56" s="654" t="inlineStr">
        <is>
          <t>合肥矽迈</t>
        </is>
      </c>
      <c r="F56" s="654" t="inlineStr">
        <is>
          <t>BM1362AM</t>
        </is>
      </c>
      <c r="G56" s="662" t="inlineStr">
        <is>
          <t>Y09BM1362540</t>
        </is>
      </c>
      <c r="H56" s="652" t="n">
        <v>3065</v>
      </c>
      <c r="I56" s="542" t="inlineStr">
        <is>
          <t>202204220005</t>
        </is>
      </c>
      <c r="J56" s="662" t="n">
        <v>2.71</v>
      </c>
      <c r="K56" s="662" t="n"/>
      <c r="L56" s="663" t="inlineStr">
        <is>
          <t>朗华</t>
        </is>
      </c>
      <c r="M56" s="664" t="n"/>
    </row>
    <row r="57" ht="14.25" customFormat="1" customHeight="1" s="661">
      <c r="A57" s="662" t="n">
        <v>55</v>
      </c>
      <c r="B57" s="538" t="inlineStr">
        <is>
          <t>HK Bitmain</t>
        </is>
      </c>
      <c r="C57" s="526" t="n">
        <v>44671</v>
      </c>
      <c r="D57" s="663" t="inlineStr">
        <is>
          <t>世纪云芯</t>
        </is>
      </c>
      <c r="E57" s="654" t="inlineStr">
        <is>
          <t>SCS</t>
        </is>
      </c>
      <c r="F57" s="654" t="inlineStr">
        <is>
          <t>BM1362AJ</t>
        </is>
      </c>
      <c r="G57" s="662" t="inlineStr">
        <is>
          <t>Y09BM1362210</t>
        </is>
      </c>
      <c r="H57" s="652" t="n">
        <v>315</v>
      </c>
      <c r="I57" s="542" t="inlineStr">
        <is>
          <t>202204210027</t>
        </is>
      </c>
      <c r="J57" s="662" t="n">
        <v>2.71</v>
      </c>
      <c r="K57" s="662" t="n"/>
      <c r="L57" s="663" t="inlineStr">
        <is>
          <t>世纪通</t>
        </is>
      </c>
      <c r="M57" s="664" t="n"/>
    </row>
    <row r="58" ht="14.25" customFormat="1" customHeight="1" s="661">
      <c r="A58" s="662" t="n">
        <v>56</v>
      </c>
      <c r="B58" s="538" t="inlineStr">
        <is>
          <t>HK Bitmain</t>
        </is>
      </c>
      <c r="C58" s="526" t="n">
        <v>44671</v>
      </c>
      <c r="D58" s="663" t="inlineStr">
        <is>
          <t>世纪云芯</t>
        </is>
      </c>
      <c r="E58" s="654" t="inlineStr">
        <is>
          <t>Spilsz</t>
        </is>
      </c>
      <c r="F58" s="654" t="inlineStr">
        <is>
          <t>BM1366AG</t>
        </is>
      </c>
      <c r="G58" s="662" t="inlineStr">
        <is>
          <t>Y09BM1366820</t>
        </is>
      </c>
      <c r="H58" s="652" t="n">
        <v>8272</v>
      </c>
      <c r="I58" s="542" t="inlineStr">
        <is>
          <t>202204210028</t>
        </is>
      </c>
      <c r="J58" s="662" t="n">
        <v>4.54</v>
      </c>
      <c r="K58" s="662" t="n"/>
      <c r="L58" s="663" t="inlineStr">
        <is>
          <t>世纪通</t>
        </is>
      </c>
      <c r="M58" s="664" t="n"/>
    </row>
    <row r="59" ht="14.25" customFormat="1" customHeight="1" s="661">
      <c r="A59" s="662" t="n">
        <v>57</v>
      </c>
      <c r="B59" s="538" t="inlineStr">
        <is>
          <t>HK Bitmain</t>
        </is>
      </c>
      <c r="C59" s="526" t="n">
        <v>44671</v>
      </c>
      <c r="D59" s="663" t="inlineStr">
        <is>
          <t>世纪云芯</t>
        </is>
      </c>
      <c r="E59" s="654" t="inlineStr">
        <is>
          <t>XJ</t>
        </is>
      </c>
      <c r="F59" s="654" t="inlineStr">
        <is>
          <t>BM1362AC</t>
        </is>
      </c>
      <c r="G59" s="662" t="inlineStr">
        <is>
          <t>Y09BM1362C00</t>
        </is>
      </c>
      <c r="H59" s="652" t="n">
        <v>467853</v>
      </c>
      <c r="I59" s="542" t="inlineStr">
        <is>
          <t>202204210029</t>
        </is>
      </c>
      <c r="J59" s="662" t="n">
        <v>2.71</v>
      </c>
      <c r="K59" s="662" t="n"/>
      <c r="L59" s="663" t="inlineStr">
        <is>
          <t>世纪通</t>
        </is>
      </c>
      <c r="M59" s="664" t="n"/>
    </row>
    <row r="60" ht="14.25" customFormat="1" customHeight="1" s="661">
      <c r="A60" s="662" t="n">
        <v>58</v>
      </c>
      <c r="B60" s="538" t="inlineStr">
        <is>
          <t>HK Bitmain</t>
        </is>
      </c>
      <c r="C60" s="526" t="n">
        <v>44673</v>
      </c>
      <c r="D60" s="663" t="inlineStr">
        <is>
          <t>世纪云芯</t>
        </is>
      </c>
      <c r="E60" s="654" t="inlineStr">
        <is>
          <t>XJ</t>
        </is>
      </c>
      <c r="F60" s="654" t="inlineStr">
        <is>
          <t>BM1362AC</t>
        </is>
      </c>
      <c r="G60" s="662" t="inlineStr">
        <is>
          <t>Y09BM1362C00</t>
        </is>
      </c>
      <c r="H60" s="652" t="n">
        <v>119260</v>
      </c>
      <c r="I60" s="542" t="inlineStr">
        <is>
          <t>202204240001</t>
        </is>
      </c>
      <c r="J60" s="662" t="n">
        <v>2.71</v>
      </c>
      <c r="K60" s="662" t="n"/>
      <c r="L60" s="663" t="inlineStr">
        <is>
          <t>朗华</t>
        </is>
      </c>
      <c r="M60" s="664" t="n"/>
    </row>
    <row r="61" ht="14.25" customFormat="1" customHeight="1" s="661">
      <c r="A61" s="662" t="n">
        <v>59</v>
      </c>
      <c r="B61" s="538" t="inlineStr">
        <is>
          <t>HK Bitmain</t>
        </is>
      </c>
      <c r="C61" s="526" t="n">
        <v>44673</v>
      </c>
      <c r="D61" s="663" t="inlineStr">
        <is>
          <t>世纪云芯</t>
        </is>
      </c>
      <c r="E61" s="654" t="inlineStr">
        <is>
          <t>XJ</t>
        </is>
      </c>
      <c r="F61" s="654" t="inlineStr">
        <is>
          <t>BM1362AK</t>
        </is>
      </c>
      <c r="G61" s="662" t="inlineStr">
        <is>
          <t>Y09BM1362310</t>
        </is>
      </c>
      <c r="H61" s="652" t="n">
        <v>1000613</v>
      </c>
      <c r="I61" s="542" t="inlineStr">
        <is>
          <t>202204240001</t>
        </is>
      </c>
      <c r="J61" s="662" t="n">
        <v>2.71</v>
      </c>
      <c r="K61" s="662" t="n"/>
      <c r="L61" s="663" t="inlineStr">
        <is>
          <t>朗华</t>
        </is>
      </c>
      <c r="M61" s="664" t="n"/>
    </row>
    <row r="62" ht="14.25" customFormat="1" customHeight="1" s="661">
      <c r="A62" s="662" t="n">
        <v>59</v>
      </c>
      <c r="B62" s="538" t="inlineStr">
        <is>
          <t>HK Bitmain</t>
        </is>
      </c>
      <c r="C62" s="526" t="n">
        <v>44673</v>
      </c>
      <c r="D62" s="663" t="inlineStr">
        <is>
          <t>世纪云芯</t>
        </is>
      </c>
      <c r="E62" s="654" t="inlineStr">
        <is>
          <t>捷策创</t>
        </is>
      </c>
      <c r="F62" s="654" t="inlineStr">
        <is>
          <t>BM1362AJ</t>
        </is>
      </c>
      <c r="G62" s="662" t="inlineStr">
        <is>
          <t>Y09BM1362210</t>
        </is>
      </c>
      <c r="H62" s="652" t="n">
        <v>332460</v>
      </c>
      <c r="I62" s="542" t="inlineStr">
        <is>
          <t>202204240002</t>
        </is>
      </c>
      <c r="J62" s="662" t="n">
        <v>2.71</v>
      </c>
      <c r="K62" s="662" t="n"/>
      <c r="L62" s="663" t="inlineStr">
        <is>
          <t>朗华</t>
        </is>
      </c>
      <c r="M62" s="664" t="n"/>
    </row>
    <row r="63" ht="14.25" customFormat="1" customHeight="1" s="661">
      <c r="A63" s="662" t="n">
        <v>61</v>
      </c>
      <c r="B63" s="538" t="inlineStr">
        <is>
          <t>HK Bitmain</t>
        </is>
      </c>
      <c r="C63" s="526" t="n">
        <v>44673</v>
      </c>
      <c r="D63" s="663" t="inlineStr">
        <is>
          <t>世纪云芯</t>
        </is>
      </c>
      <c r="E63" s="654" t="inlineStr">
        <is>
          <t>捷策创</t>
        </is>
      </c>
      <c r="F63" s="654" t="inlineStr">
        <is>
          <t>BM1366AB</t>
        </is>
      </c>
      <c r="G63" s="662" t="inlineStr">
        <is>
          <t>Y09BM1366120</t>
        </is>
      </c>
      <c r="H63" s="652" t="n">
        <v>182012</v>
      </c>
      <c r="I63" s="542" t="inlineStr">
        <is>
          <t>202204240002</t>
        </is>
      </c>
      <c r="J63" s="662" t="n">
        <v>4.54</v>
      </c>
      <c r="K63" s="662" t="n"/>
      <c r="L63" s="663" t="inlineStr">
        <is>
          <t>朗华</t>
        </is>
      </c>
      <c r="M63" s="664" t="n"/>
    </row>
    <row r="64" ht="14.25" customFormat="1" customHeight="1" s="661">
      <c r="A64" s="662" t="n">
        <v>62</v>
      </c>
      <c r="B64" s="538" t="inlineStr">
        <is>
          <t>HK Bitmain</t>
        </is>
      </c>
      <c r="C64" s="526" t="n">
        <v>44673</v>
      </c>
      <c r="D64" s="663" t="inlineStr">
        <is>
          <t>世纪云芯</t>
        </is>
      </c>
      <c r="E64" s="654" t="inlineStr">
        <is>
          <t>捷策创</t>
        </is>
      </c>
      <c r="F64" s="654" t="inlineStr">
        <is>
          <t>BM1398BB</t>
        </is>
      </c>
      <c r="G64" s="662" t="inlineStr">
        <is>
          <t>Y09BM1398240</t>
        </is>
      </c>
      <c r="H64" s="652" t="n">
        <v>87373</v>
      </c>
      <c r="I64" s="542" t="inlineStr">
        <is>
          <t>202204240002</t>
        </is>
      </c>
      <c r="J64" s="662" t="n">
        <v>5.03</v>
      </c>
      <c r="K64" s="662" t="n"/>
      <c r="L64" s="663" t="inlineStr">
        <is>
          <t>朗华</t>
        </is>
      </c>
      <c r="M64" s="664" t="n"/>
    </row>
    <row r="65" ht="14.25" customFormat="1" customHeight="1" s="661">
      <c r="A65" s="662" t="n">
        <v>63</v>
      </c>
      <c r="B65" s="538" t="inlineStr">
        <is>
          <t>HK Bitmain</t>
        </is>
      </c>
      <c r="C65" s="526" t="n">
        <v>44676</v>
      </c>
      <c r="D65" s="663" t="inlineStr">
        <is>
          <t>世纪云芯</t>
        </is>
      </c>
      <c r="E65" s="654" t="inlineStr">
        <is>
          <t>捷策创</t>
        </is>
      </c>
      <c r="F65" s="654" t="inlineStr">
        <is>
          <t>BM1398BB</t>
        </is>
      </c>
      <c r="G65" s="662" t="inlineStr">
        <is>
          <t>Y09BM1398240</t>
        </is>
      </c>
      <c r="H65" s="652" t="n">
        <v>86164</v>
      </c>
      <c r="I65" s="542" t="inlineStr">
        <is>
          <t>202204280009</t>
        </is>
      </c>
      <c r="J65" s="662" t="n">
        <v>5.03</v>
      </c>
      <c r="K65" s="662" t="n"/>
      <c r="L65" s="663" t="inlineStr">
        <is>
          <t>迅宇</t>
        </is>
      </c>
      <c r="M65" s="664" t="n"/>
    </row>
    <row r="66" ht="14.25" customFormat="1" customHeight="1" s="661">
      <c r="A66" s="662" t="n">
        <v>64</v>
      </c>
      <c r="B66" s="538" t="inlineStr">
        <is>
          <t>HK Bitmain</t>
        </is>
      </c>
      <c r="C66" s="526" t="n">
        <v>44678</v>
      </c>
      <c r="D66" s="663" t="inlineStr">
        <is>
          <t>世纪云芯</t>
        </is>
      </c>
      <c r="E66" s="654" t="inlineStr">
        <is>
          <t>XJ</t>
        </is>
      </c>
      <c r="F66" s="654" t="inlineStr">
        <is>
          <t>BM1362AK</t>
        </is>
      </c>
      <c r="G66" s="662" t="inlineStr">
        <is>
          <t>Y09BM1362310</t>
        </is>
      </c>
      <c r="H66" s="652" t="n">
        <v>1261921</v>
      </c>
      <c r="I66" s="542" t="inlineStr">
        <is>
          <t>202204280010</t>
        </is>
      </c>
      <c r="J66" s="662" t="n">
        <v>2.71</v>
      </c>
      <c r="K66" s="662" t="n"/>
      <c r="L66" s="663" t="inlineStr">
        <is>
          <t>朗华</t>
        </is>
      </c>
      <c r="M66" s="664" t="n"/>
    </row>
    <row r="67" ht="14.25" customFormat="1" customHeight="1" s="661">
      <c r="A67" s="662" t="n">
        <v>65</v>
      </c>
      <c r="B67" s="538" t="inlineStr">
        <is>
          <t>HK Bitmain</t>
        </is>
      </c>
      <c r="C67" s="526" t="n">
        <v>44678</v>
      </c>
      <c r="D67" s="663" t="inlineStr">
        <is>
          <t>世纪云芯</t>
        </is>
      </c>
      <c r="E67" s="654" t="inlineStr">
        <is>
          <t>XJ</t>
        </is>
      </c>
      <c r="F67" s="654" t="inlineStr">
        <is>
          <t>BM1798AA</t>
        </is>
      </c>
      <c r="G67" s="662" t="inlineStr">
        <is>
          <t>Y09BM1798010</t>
        </is>
      </c>
      <c r="H67" s="652" t="n">
        <v>789</v>
      </c>
      <c r="I67" s="542" t="inlineStr">
        <is>
          <t>202204280010</t>
        </is>
      </c>
      <c r="J67" s="662" t="n">
        <v>264.51</v>
      </c>
      <c r="K67" s="662" t="n"/>
      <c r="L67" s="663" t="inlineStr">
        <is>
          <t>朗华</t>
        </is>
      </c>
      <c r="M67" s="664" t="n"/>
    </row>
    <row r="68" ht="14.25" customFormat="1" customHeight="1" s="661">
      <c r="A68" s="662" t="n">
        <v>66</v>
      </c>
      <c r="B68" s="538" t="inlineStr">
        <is>
          <t>HK Bitmain</t>
        </is>
      </c>
      <c r="C68" s="526" t="n">
        <v>44678</v>
      </c>
      <c r="D68" s="663" t="inlineStr">
        <is>
          <t>世纪云芯</t>
        </is>
      </c>
      <c r="E68" s="654" t="inlineStr">
        <is>
          <t xml:space="preserve">ASEKH </t>
        </is>
      </c>
      <c r="F68" s="654" t="inlineStr">
        <is>
          <t>BM1366AB</t>
        </is>
      </c>
      <c r="G68" s="662" t="inlineStr">
        <is>
          <t>Y09BM1366120</t>
        </is>
      </c>
      <c r="H68" s="652" t="n">
        <v>1993</v>
      </c>
      <c r="I68" s="542" t="inlineStr">
        <is>
          <t>202204280011</t>
        </is>
      </c>
      <c r="J68" s="662" t="n">
        <v>4.54</v>
      </c>
      <c r="K68" s="662" t="n"/>
      <c r="L68" s="663" t="inlineStr">
        <is>
          <t>朗华</t>
        </is>
      </c>
      <c r="M68" s="664" t="n"/>
    </row>
    <row r="69" ht="14.25" customFormat="1" customHeight="1" s="661">
      <c r="A69" s="662" t="n">
        <v>67</v>
      </c>
      <c r="B69" s="538" t="inlineStr">
        <is>
          <t>HK Bitmain</t>
        </is>
      </c>
      <c r="C69" s="526" t="n">
        <v>44678</v>
      </c>
      <c r="D69" s="663" t="inlineStr">
        <is>
          <t>世纪云芯</t>
        </is>
      </c>
      <c r="E69" s="654" t="inlineStr">
        <is>
          <t>捷策创</t>
        </is>
      </c>
      <c r="F69" s="654" t="inlineStr">
        <is>
          <t>BM1366AG</t>
        </is>
      </c>
      <c r="G69" s="662" t="inlineStr">
        <is>
          <t>Y09BM1366820</t>
        </is>
      </c>
      <c r="H69" s="652" t="n">
        <v>85016</v>
      </c>
      <c r="I69" s="542" t="inlineStr">
        <is>
          <t>202204280012</t>
        </is>
      </c>
      <c r="J69" s="662" t="n">
        <v>4.54</v>
      </c>
      <c r="K69" s="662" t="n"/>
      <c r="L69" s="663" t="inlineStr">
        <is>
          <t>朗华</t>
        </is>
      </c>
      <c r="M69" s="664" t="n"/>
    </row>
    <row r="70" ht="14.25" customFormat="1" customHeight="1" s="661">
      <c r="A70" s="662" t="n">
        <v>68</v>
      </c>
      <c r="B70" s="538" t="inlineStr">
        <is>
          <t>HK Bitmain</t>
        </is>
      </c>
      <c r="C70" s="526" t="n">
        <v>44678</v>
      </c>
      <c r="D70" s="663" t="inlineStr">
        <is>
          <t>世纪云芯</t>
        </is>
      </c>
      <c r="E70" s="654" t="inlineStr">
        <is>
          <t>捷策创</t>
        </is>
      </c>
      <c r="F70" s="654" t="inlineStr">
        <is>
          <t>BM1489</t>
        </is>
      </c>
      <c r="G70" s="662" t="inlineStr">
        <is>
          <t>Y09BM1489010</t>
        </is>
      </c>
      <c r="H70" s="652" t="n">
        <v>125308</v>
      </c>
      <c r="I70" s="542" t="inlineStr">
        <is>
          <t>202204280012</t>
        </is>
      </c>
      <c r="J70" s="662" t="n">
        <v>7.51</v>
      </c>
      <c r="K70" s="662" t="n"/>
      <c r="L70" s="663" t="inlineStr">
        <is>
          <t>朗华</t>
        </is>
      </c>
      <c r="M70" s="664" t="n"/>
    </row>
    <row r="71" ht="14.25" customFormat="1" customHeight="1" s="661">
      <c r="A71" s="662" t="n">
        <v>69</v>
      </c>
      <c r="B71" s="538" t="inlineStr">
        <is>
          <t>HK Bitmain</t>
        </is>
      </c>
      <c r="C71" s="526" t="n">
        <v>44678</v>
      </c>
      <c r="D71" s="663" t="inlineStr">
        <is>
          <t>世纪云芯</t>
        </is>
      </c>
      <c r="E71" s="654" t="inlineStr">
        <is>
          <t>无锡伟测</t>
        </is>
      </c>
      <c r="F71" s="654" t="inlineStr">
        <is>
          <t>BM1362AK</t>
        </is>
      </c>
      <c r="G71" s="662" t="inlineStr">
        <is>
          <t>Y09BM1362310</t>
        </is>
      </c>
      <c r="H71" s="652" t="n">
        <v>25187</v>
      </c>
      <c r="I71" s="542" t="inlineStr">
        <is>
          <t>202204280013</t>
        </is>
      </c>
      <c r="J71" s="662" t="n">
        <v>2.71</v>
      </c>
      <c r="K71" s="662" t="n"/>
      <c r="L71" s="663" t="inlineStr">
        <is>
          <t>朗华</t>
        </is>
      </c>
      <c r="M71" s="664" t="n"/>
    </row>
    <row r="72" ht="14.25" customFormat="1" customHeight="1" s="661">
      <c r="A72" s="662" t="n">
        <v>70</v>
      </c>
      <c r="B72" s="538" t="inlineStr">
        <is>
          <t>HK Bitmain</t>
        </is>
      </c>
      <c r="C72" s="526" t="n">
        <v>44680</v>
      </c>
      <c r="D72" s="663" t="inlineStr">
        <is>
          <t>世纪云芯</t>
        </is>
      </c>
      <c r="E72" s="654" t="inlineStr">
        <is>
          <t>SCK</t>
        </is>
      </c>
      <c r="F72" s="654" t="inlineStr">
        <is>
          <t>BM1366AJ</t>
        </is>
      </c>
      <c r="G72" s="662" t="inlineStr">
        <is>
          <t>Y09BM1366A20</t>
        </is>
      </c>
      <c r="H72" s="652" t="n">
        <v>154</v>
      </c>
      <c r="I72" s="542" t="inlineStr">
        <is>
          <t>1004202204290011</t>
        </is>
      </c>
      <c r="J72" s="662" t="n">
        <v>4.54</v>
      </c>
      <c r="K72" s="662" t="n"/>
      <c r="L72" s="663" t="inlineStr">
        <is>
          <t>朗华</t>
        </is>
      </c>
      <c r="M72" s="664" t="n"/>
    </row>
    <row r="73" ht="14.25" customFormat="1" customHeight="1" s="661">
      <c r="A73" s="662" t="n">
        <v>71</v>
      </c>
      <c r="B73" s="538" t="inlineStr">
        <is>
          <t>HK Bitmain</t>
        </is>
      </c>
      <c r="C73" s="526" t="n">
        <v>44680</v>
      </c>
      <c r="D73" s="663" t="inlineStr">
        <is>
          <t>世纪云芯</t>
        </is>
      </c>
      <c r="E73" s="654" t="inlineStr">
        <is>
          <t>XJ</t>
        </is>
      </c>
      <c r="F73" s="654" t="inlineStr">
        <is>
          <t>BM1362AC</t>
        </is>
      </c>
      <c r="G73" s="662" t="inlineStr">
        <is>
          <t>Y09BM1362C00</t>
        </is>
      </c>
      <c r="H73" s="652" t="n">
        <v>1645297</v>
      </c>
      <c r="I73" s="542" t="inlineStr">
        <is>
          <t>1004202204290012</t>
        </is>
      </c>
      <c r="J73" s="662" t="n">
        <v>2.71</v>
      </c>
      <c r="K73" s="662" t="n"/>
      <c r="L73" s="663" t="inlineStr">
        <is>
          <t>朗华</t>
        </is>
      </c>
      <c r="M73" s="664" t="n"/>
    </row>
    <row r="74" ht="14.25" customFormat="1" customHeight="1" s="661">
      <c r="A74" s="662" t="n">
        <v>72</v>
      </c>
      <c r="B74" s="538" t="inlineStr">
        <is>
          <t>HK Bitmain</t>
        </is>
      </c>
      <c r="C74" s="526" t="n">
        <v>44680</v>
      </c>
      <c r="D74" s="663" t="inlineStr">
        <is>
          <t>世纪云芯</t>
        </is>
      </c>
      <c r="E74" s="654" t="inlineStr">
        <is>
          <t>XJ</t>
        </is>
      </c>
      <c r="F74" s="654" t="inlineStr">
        <is>
          <t>BM1362AK</t>
        </is>
      </c>
      <c r="G74" s="662" t="inlineStr">
        <is>
          <t>Y09BM1362310</t>
        </is>
      </c>
      <c r="H74" s="652" t="n">
        <v>1002509</v>
      </c>
      <c r="I74" s="542" t="inlineStr">
        <is>
          <t>1004202204290012</t>
        </is>
      </c>
      <c r="J74" s="662" t="n">
        <v>2.71</v>
      </c>
      <c r="K74" s="662" t="n"/>
      <c r="L74" s="663" t="inlineStr">
        <is>
          <t>朗华</t>
        </is>
      </c>
      <c r="M74" s="664" t="n"/>
    </row>
    <row r="75" ht="14.25" customFormat="1" customHeight="1" s="661">
      <c r="A75" s="662" t="n">
        <v>73</v>
      </c>
      <c r="B75" s="538" t="inlineStr">
        <is>
          <t>HK Bitmain</t>
        </is>
      </c>
      <c r="C75" s="526" t="n">
        <v>44680</v>
      </c>
      <c r="D75" s="663" t="inlineStr">
        <is>
          <t>世纪云芯</t>
        </is>
      </c>
      <c r="E75" s="654" t="inlineStr">
        <is>
          <t>XJ</t>
        </is>
      </c>
      <c r="F75" s="654" t="inlineStr">
        <is>
          <t>BM1362AI</t>
        </is>
      </c>
      <c r="G75" s="662" t="inlineStr">
        <is>
          <t>Y09BM1362110</t>
        </is>
      </c>
      <c r="H75" s="652" t="n">
        <v>60600</v>
      </c>
      <c r="I75" s="542" t="inlineStr">
        <is>
          <t>1004202204290012</t>
        </is>
      </c>
      <c r="J75" s="662" t="n">
        <v>2.71</v>
      </c>
      <c r="K75" s="662" t="n"/>
      <c r="L75" s="663" t="inlineStr">
        <is>
          <t>朗华</t>
        </is>
      </c>
      <c r="M75" s="664" t="n"/>
    </row>
    <row r="76" ht="14.25" customFormat="1" customHeight="1" s="661">
      <c r="A76" s="662" t="n">
        <v>74</v>
      </c>
      <c r="B76" s="538" t="inlineStr">
        <is>
          <t>HK Bitmain</t>
        </is>
      </c>
      <c r="C76" s="526" t="n">
        <v>44680</v>
      </c>
      <c r="D76" s="663" t="inlineStr">
        <is>
          <t>世纪云芯</t>
        </is>
      </c>
      <c r="E76" s="654" t="inlineStr">
        <is>
          <t>XJ</t>
        </is>
      </c>
      <c r="F76" s="654" t="inlineStr">
        <is>
          <t>BM1489</t>
        </is>
      </c>
      <c r="G76" s="662" t="inlineStr">
        <is>
          <t>Y09BM1489010</t>
        </is>
      </c>
      <c r="H76" s="652" t="n">
        <v>80402</v>
      </c>
      <c r="I76" s="542" t="inlineStr">
        <is>
          <t>1004202204290012</t>
        </is>
      </c>
      <c r="J76" s="662" t="n">
        <v>7.51</v>
      </c>
      <c r="K76" s="662" t="n"/>
      <c r="L76" s="663" t="inlineStr">
        <is>
          <t>朗华</t>
        </is>
      </c>
      <c r="M76" s="664" t="n"/>
    </row>
    <row r="77" ht="14.25" customFormat="1" customHeight="1" s="661">
      <c r="A77" s="662" t="n">
        <v>75</v>
      </c>
      <c r="B77" s="538" t="inlineStr">
        <is>
          <t>HK Bitmain</t>
        </is>
      </c>
      <c r="C77" s="526" t="n">
        <v>44680</v>
      </c>
      <c r="D77" s="663" t="inlineStr">
        <is>
          <t>世纪云芯</t>
        </is>
      </c>
      <c r="E77" s="654" t="inlineStr">
        <is>
          <t>XJ</t>
        </is>
      </c>
      <c r="F77" s="654" t="inlineStr">
        <is>
          <t>BM1798AA</t>
        </is>
      </c>
      <c r="G77" s="662" t="inlineStr">
        <is>
          <t>Y09BM1798010</t>
        </is>
      </c>
      <c r="H77" s="652" t="n">
        <v>1131</v>
      </c>
      <c r="I77" s="542" t="inlineStr">
        <is>
          <t>1004202204290012</t>
        </is>
      </c>
      <c r="J77" s="662" t="n">
        <v>264.51</v>
      </c>
      <c r="K77" s="662" t="n"/>
      <c r="L77" s="663" t="inlineStr">
        <is>
          <t>朗华</t>
        </is>
      </c>
      <c r="M77" s="664" t="n"/>
    </row>
    <row r="78" ht="14.25" customFormat="1" customHeight="1" s="661">
      <c r="A78" s="662" t="n">
        <v>76</v>
      </c>
      <c r="B78" s="538" t="inlineStr">
        <is>
          <t>HK Bitmain</t>
        </is>
      </c>
      <c r="C78" s="526" t="n">
        <v>44680</v>
      </c>
      <c r="D78" s="663" t="inlineStr">
        <is>
          <t>世纪云芯</t>
        </is>
      </c>
      <c r="E78" s="654" t="inlineStr">
        <is>
          <t>XJ</t>
        </is>
      </c>
      <c r="F78" s="654" t="inlineStr">
        <is>
          <t>BM1398BB</t>
        </is>
      </c>
      <c r="G78" s="662" t="inlineStr">
        <is>
          <t>Y09BM1398240</t>
        </is>
      </c>
      <c r="H78" s="652" t="n">
        <v>112999</v>
      </c>
      <c r="I78" s="542" t="inlineStr">
        <is>
          <t>1004202204290012</t>
        </is>
      </c>
      <c r="J78" s="662" t="n">
        <v>5.03</v>
      </c>
      <c r="K78" s="662" t="n"/>
      <c r="L78" s="663" t="inlineStr">
        <is>
          <t>朗华</t>
        </is>
      </c>
      <c r="M78" s="664" t="n"/>
    </row>
    <row r="79" ht="14.25" customFormat="1" customHeight="1" s="661">
      <c r="A79" s="662" t="n">
        <v>77</v>
      </c>
      <c r="B79" s="538" t="inlineStr">
        <is>
          <t>HK Bitmain</t>
        </is>
      </c>
      <c r="C79" s="526" t="n">
        <v>44680</v>
      </c>
      <c r="D79" s="663" t="inlineStr">
        <is>
          <t>世纪云芯</t>
        </is>
      </c>
      <c r="E79" s="654" t="inlineStr">
        <is>
          <t>XJ</t>
        </is>
      </c>
      <c r="F79" s="654" t="inlineStr">
        <is>
          <t>BM1362AC</t>
        </is>
      </c>
      <c r="G79" s="662" t="inlineStr">
        <is>
          <t>Y09BM1362C00</t>
        </is>
      </c>
      <c r="H79" s="652" t="n">
        <v>95263</v>
      </c>
      <c r="I79" s="542" t="inlineStr">
        <is>
          <t>1004202204290012</t>
        </is>
      </c>
      <c r="J79" s="662" t="n">
        <v>2.71</v>
      </c>
      <c r="K79" s="662" t="n"/>
      <c r="L79" s="663" t="inlineStr">
        <is>
          <t>朗华</t>
        </is>
      </c>
      <c r="M79" s="664" t="n"/>
    </row>
    <row r="80" ht="14.25" customFormat="1" customHeight="1" s="661">
      <c r="A80" s="662" t="n">
        <v>78</v>
      </c>
      <c r="B80" s="538" t="inlineStr">
        <is>
          <t>HK Bitmain</t>
        </is>
      </c>
      <c r="C80" s="526" t="n">
        <v>44680</v>
      </c>
      <c r="D80" s="663" t="inlineStr">
        <is>
          <t>世纪云芯</t>
        </is>
      </c>
      <c r="E80" s="654" t="inlineStr">
        <is>
          <t>XJ</t>
        </is>
      </c>
      <c r="F80" s="654" t="inlineStr">
        <is>
          <t>BM1366AG</t>
        </is>
      </c>
      <c r="G80" s="662" t="inlineStr">
        <is>
          <t>Y09BM1366820</t>
        </is>
      </c>
      <c r="H80" s="652" t="n">
        <v>38163</v>
      </c>
      <c r="I80" s="542" t="inlineStr">
        <is>
          <t>1004202204290012</t>
        </is>
      </c>
      <c r="J80" s="662" t="n">
        <v>4.54</v>
      </c>
      <c r="K80" s="662" t="n"/>
      <c r="L80" s="663" t="inlineStr">
        <is>
          <t>朗华</t>
        </is>
      </c>
      <c r="M80" s="664" t="n"/>
    </row>
    <row r="81" ht="14.25" customFormat="1" customHeight="1" s="661">
      <c r="A81" s="662" t="n">
        <v>79</v>
      </c>
      <c r="B81" s="538" t="inlineStr">
        <is>
          <t>HK Bitmain</t>
        </is>
      </c>
      <c r="C81" s="526" t="n">
        <v>44680</v>
      </c>
      <c r="D81" s="663" t="inlineStr">
        <is>
          <t>世纪云芯</t>
        </is>
      </c>
      <c r="E81" s="654" t="inlineStr">
        <is>
          <t>湖南越摩</t>
        </is>
      </c>
      <c r="F81" s="654" t="inlineStr">
        <is>
          <t>BM1366AG</t>
        </is>
      </c>
      <c r="G81" s="662" t="inlineStr">
        <is>
          <t>Y09BM1366820</t>
        </is>
      </c>
      <c r="H81" s="652" t="n">
        <v>1998</v>
      </c>
      <c r="I81" s="542" t="inlineStr">
        <is>
          <t>1004202204290013</t>
        </is>
      </c>
      <c r="J81" s="662" t="n">
        <v>4.54</v>
      </c>
      <c r="K81" s="662" t="n"/>
      <c r="L81" s="663" t="inlineStr">
        <is>
          <t>朗华</t>
        </is>
      </c>
      <c r="M81" s="664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K261" sqref="K261"/>
    </sheetView>
  </sheetViews>
  <sheetFormatPr baseColWidth="8" defaultColWidth="8.66666666666667" defaultRowHeight="12"/>
  <cols>
    <col width="8.66666666666667" customWidth="1" style="658" min="1" max="2"/>
    <col width="9.08333333333333" customWidth="1" style="658" min="3" max="3"/>
    <col width="8.66666666666667" customWidth="1" style="658" min="4" max="5"/>
    <col width="10.6666666666667" customWidth="1" style="658" min="6" max="6"/>
    <col width="11.4166666666667" customWidth="1" style="658" min="7" max="7"/>
    <col width="10" customWidth="1" style="658" min="8" max="8"/>
    <col width="55.6666666666667" customWidth="1" style="658" min="9" max="9"/>
    <col width="8.66666666666667" customWidth="1" style="658" min="10" max="16384"/>
  </cols>
  <sheetData>
    <row r="1">
      <c r="A1" s="659" t="inlineStr">
        <is>
          <t>序号</t>
        </is>
      </c>
      <c r="B1" s="520" t="inlineStr">
        <is>
          <t>抬头</t>
        </is>
      </c>
      <c r="C1" s="520" t="inlineStr">
        <is>
          <t>出货日期</t>
        </is>
      </c>
      <c r="D1" s="520" t="inlineStr">
        <is>
          <t>主体</t>
        </is>
      </c>
      <c r="E1" s="659" t="inlineStr">
        <is>
          <t>测试厂</t>
        </is>
      </c>
      <c r="F1" s="659" t="inlineStr">
        <is>
          <t>型号</t>
        </is>
      </c>
      <c r="G1" s="659" t="inlineStr">
        <is>
          <t>物料编码</t>
        </is>
      </c>
      <c r="H1" s="660" t="inlineStr">
        <is>
          <t>数量</t>
        </is>
      </c>
      <c r="I1" s="659" t="inlineStr">
        <is>
          <t>采购订单号</t>
        </is>
      </c>
      <c r="J1" s="659" t="inlineStr">
        <is>
          <t>单价</t>
        </is>
      </c>
      <c r="K1" s="659" t="inlineStr">
        <is>
          <t>备注</t>
        </is>
      </c>
      <c r="L1" s="542" t="n">
        <v>10000900</v>
      </c>
    </row>
    <row r="2" ht="14.25" customFormat="1" customHeight="1" s="661">
      <c r="A2" s="662" t="n">
        <v>1</v>
      </c>
      <c r="B2" s="538" t="inlineStr">
        <is>
          <t>HK Bitmain</t>
        </is>
      </c>
      <c r="C2" s="526" t="n">
        <v>44687</v>
      </c>
      <c r="D2" s="663" t="inlineStr">
        <is>
          <t>世纪云芯</t>
        </is>
      </c>
      <c r="E2" s="654" t="inlineStr">
        <is>
          <t>捷策创</t>
        </is>
      </c>
      <c r="F2" s="654" t="inlineStr">
        <is>
          <t>BM1398BB</t>
        </is>
      </c>
      <c r="G2" s="662" t="inlineStr">
        <is>
          <t>Y09BM1398240</t>
        </is>
      </c>
      <c r="H2" s="652" t="n">
        <v>151626</v>
      </c>
      <c r="I2" s="542" t="inlineStr">
        <is>
          <t>1004202205080001</t>
        </is>
      </c>
      <c r="J2" s="662" t="n">
        <v>5.03</v>
      </c>
      <c r="K2" s="662" t="n"/>
      <c r="L2" s="663" t="inlineStr">
        <is>
          <t>朗华</t>
        </is>
      </c>
      <c r="M2" s="664" t="n"/>
    </row>
    <row r="3" ht="14.25" customFormat="1" customHeight="1" s="661">
      <c r="A3" s="662" t="n">
        <v>2</v>
      </c>
      <c r="B3" s="538" t="inlineStr">
        <is>
          <t>HK Bitmain</t>
        </is>
      </c>
      <c r="C3" s="526" t="n">
        <v>44687</v>
      </c>
      <c r="D3" s="663" t="inlineStr">
        <is>
          <t>世纪云芯</t>
        </is>
      </c>
      <c r="E3" s="654" t="inlineStr">
        <is>
          <t>XJ</t>
        </is>
      </c>
      <c r="F3" s="654" t="inlineStr">
        <is>
          <t>BM1489</t>
        </is>
      </c>
      <c r="G3" s="662" t="inlineStr">
        <is>
          <t>Y09BM1489010</t>
        </is>
      </c>
      <c r="H3" s="652" t="n">
        <v>57480</v>
      </c>
      <c r="I3" s="542" t="inlineStr">
        <is>
          <t>1004202205080002</t>
        </is>
      </c>
      <c r="J3" s="662" t="n">
        <v>7.51</v>
      </c>
      <c r="K3" s="662" t="n"/>
      <c r="L3" s="663" t="inlineStr">
        <is>
          <t>朗华</t>
        </is>
      </c>
      <c r="M3" s="664" t="n"/>
    </row>
    <row r="4" ht="14.25" customFormat="1" customHeight="1" s="661">
      <c r="A4" s="662" t="n">
        <v>3</v>
      </c>
      <c r="B4" s="538" t="inlineStr">
        <is>
          <t>HK Bitmain</t>
        </is>
      </c>
      <c r="C4" s="526" t="n">
        <v>44688</v>
      </c>
      <c r="D4" s="663" t="inlineStr">
        <is>
          <t>世纪云芯</t>
        </is>
      </c>
      <c r="E4" s="654" t="inlineStr">
        <is>
          <t>XJ</t>
        </is>
      </c>
      <c r="F4" s="654" t="inlineStr">
        <is>
          <t>BM1798AA</t>
        </is>
      </c>
      <c r="G4" s="662" t="inlineStr">
        <is>
          <t>Y09BM1798010</t>
        </is>
      </c>
      <c r="H4" s="652" t="n">
        <v>393</v>
      </c>
      <c r="I4" s="542" t="inlineStr">
        <is>
          <t>1004202205080002</t>
        </is>
      </c>
      <c r="J4" s="662" t="n">
        <v>264.51</v>
      </c>
      <c r="K4" s="662" t="n"/>
      <c r="L4" s="663" t="inlineStr">
        <is>
          <t>朗华</t>
        </is>
      </c>
      <c r="M4" s="664" t="n"/>
    </row>
    <row r="5" ht="14.25" customFormat="1" customHeight="1" s="661">
      <c r="A5" s="662" t="n">
        <v>4</v>
      </c>
      <c r="B5" s="538" t="inlineStr">
        <is>
          <t>HK Bitmain</t>
        </is>
      </c>
      <c r="C5" s="526" t="n">
        <v>44688</v>
      </c>
      <c r="D5" s="663" t="inlineStr">
        <is>
          <t>世纪云芯</t>
        </is>
      </c>
      <c r="E5" s="654" t="inlineStr">
        <is>
          <t>XJ</t>
        </is>
      </c>
      <c r="F5" s="654" t="inlineStr">
        <is>
          <t>BM1362AK</t>
        </is>
      </c>
      <c r="G5" s="662" t="inlineStr">
        <is>
          <t>Y09BM1362310</t>
        </is>
      </c>
      <c r="H5" s="652" t="n">
        <v>2000510</v>
      </c>
      <c r="I5" s="542" t="inlineStr">
        <is>
          <t>1004202205080002</t>
        </is>
      </c>
      <c r="J5" s="662" t="n">
        <v>2.71</v>
      </c>
      <c r="K5" s="662" t="n"/>
      <c r="L5" s="663" t="inlineStr">
        <is>
          <t>朗华</t>
        </is>
      </c>
      <c r="M5" s="664" t="n"/>
    </row>
    <row r="6" ht="14.25" customFormat="1" customHeight="1" s="661">
      <c r="A6" s="662" t="n">
        <v>5</v>
      </c>
      <c r="B6" s="538" t="inlineStr">
        <is>
          <t>HK Bitmain</t>
        </is>
      </c>
      <c r="C6" s="526" t="n">
        <v>44688</v>
      </c>
      <c r="D6" s="663" t="inlineStr">
        <is>
          <t>世纪云芯</t>
        </is>
      </c>
      <c r="E6" s="654" t="inlineStr">
        <is>
          <t>XJ</t>
        </is>
      </c>
      <c r="F6" s="654" t="inlineStr">
        <is>
          <t>BM1362AC</t>
        </is>
      </c>
      <c r="G6" s="662" t="inlineStr">
        <is>
          <t>Y09BM1362C00</t>
        </is>
      </c>
      <c r="H6" s="652" t="n">
        <v>1767347</v>
      </c>
      <c r="I6" s="542" t="inlineStr">
        <is>
          <t>1004202205080002</t>
        </is>
      </c>
      <c r="J6" s="662" t="n">
        <v>2.71</v>
      </c>
      <c r="K6" s="662" t="n"/>
      <c r="L6" s="663" t="inlineStr">
        <is>
          <t>朗华</t>
        </is>
      </c>
      <c r="M6" s="664" t="n"/>
    </row>
    <row r="7" ht="14.25" customFormat="1" customHeight="1" s="661">
      <c r="A7" s="662" t="n">
        <v>6</v>
      </c>
      <c r="B7" s="538" t="inlineStr">
        <is>
          <t>HK Bitmain</t>
        </is>
      </c>
      <c r="C7" s="526" t="n">
        <v>44688</v>
      </c>
      <c r="D7" s="663" t="inlineStr">
        <is>
          <t>世纪云芯</t>
        </is>
      </c>
      <c r="E7" s="654" t="inlineStr">
        <is>
          <t>XJ</t>
        </is>
      </c>
      <c r="F7" s="654" t="inlineStr">
        <is>
          <t>BM1362AI</t>
        </is>
      </c>
      <c r="G7" s="662" t="inlineStr">
        <is>
          <t>Y09BM1362110</t>
        </is>
      </c>
      <c r="H7" s="652" t="n">
        <v>149730</v>
      </c>
      <c r="I7" s="542" t="inlineStr">
        <is>
          <t>1004202205080002</t>
        </is>
      </c>
      <c r="J7" s="662" t="n">
        <v>2.71</v>
      </c>
      <c r="K7" s="662" t="n"/>
      <c r="L7" s="663" t="inlineStr">
        <is>
          <t>朗华</t>
        </is>
      </c>
      <c r="M7" s="664" t="n"/>
    </row>
    <row r="8" ht="14.25" customFormat="1" customHeight="1" s="661">
      <c r="A8" s="662" t="n">
        <v>7</v>
      </c>
      <c r="B8" s="538" t="inlineStr">
        <is>
          <t>HK Bitmain</t>
        </is>
      </c>
      <c r="C8" s="526" t="n">
        <v>44688</v>
      </c>
      <c r="D8" s="663" t="inlineStr">
        <is>
          <t>世纪云芯</t>
        </is>
      </c>
      <c r="E8" s="654" t="inlineStr">
        <is>
          <t>XJ</t>
        </is>
      </c>
      <c r="F8" s="654" t="inlineStr">
        <is>
          <t>BM1489</t>
        </is>
      </c>
      <c r="G8" s="662" t="inlineStr">
        <is>
          <t>Y09BM1489010</t>
        </is>
      </c>
      <c r="H8" s="652" t="n">
        <v>11915</v>
      </c>
      <c r="I8" s="542" t="inlineStr">
        <is>
          <t>1004202205080002</t>
        </is>
      </c>
      <c r="J8" s="662" t="n">
        <v>7.51</v>
      </c>
      <c r="K8" s="662" t="n"/>
      <c r="L8" s="663" t="inlineStr">
        <is>
          <t>朗华</t>
        </is>
      </c>
      <c r="M8" s="664" t="n"/>
    </row>
    <row r="9" ht="14.25" customFormat="1" customHeight="1" s="661">
      <c r="A9" s="662" t="n">
        <v>8</v>
      </c>
      <c r="B9" s="538" t="inlineStr">
        <is>
          <t>HK Bitmain</t>
        </is>
      </c>
      <c r="C9" s="526" t="n">
        <v>44688</v>
      </c>
      <c r="D9" s="663" t="inlineStr">
        <is>
          <t>世纪云芯</t>
        </is>
      </c>
      <c r="E9" s="654" t="inlineStr">
        <is>
          <t>JSCC</t>
        </is>
      </c>
      <c r="F9" s="654" t="inlineStr">
        <is>
          <t>BM1366AG</t>
        </is>
      </c>
      <c r="G9" s="662" t="inlineStr">
        <is>
          <t>Y09BM1366820</t>
        </is>
      </c>
      <c r="H9" s="652" t="n">
        <v>4061</v>
      </c>
      <c r="I9" s="542" t="inlineStr">
        <is>
          <t>1004202205080003</t>
        </is>
      </c>
      <c r="J9" s="662" t="n">
        <v>4.54</v>
      </c>
      <c r="K9" s="662" t="n"/>
      <c r="L9" s="663" t="inlineStr">
        <is>
          <t>朗华</t>
        </is>
      </c>
      <c r="M9" s="664" t="n"/>
    </row>
    <row r="10" ht="14.25" customFormat="1" customHeight="1" s="661">
      <c r="A10" s="662" t="n">
        <v>9</v>
      </c>
      <c r="B10" s="538" t="inlineStr">
        <is>
          <t>HK Bitmain</t>
        </is>
      </c>
      <c r="C10" s="526" t="n">
        <v>44690</v>
      </c>
      <c r="D10" s="663" t="inlineStr">
        <is>
          <t>世纪云芯</t>
        </is>
      </c>
      <c r="E10" s="654" t="inlineStr">
        <is>
          <t>asekh</t>
        </is>
      </c>
      <c r="F10" s="654" t="inlineStr">
        <is>
          <t>BM1366AG</t>
        </is>
      </c>
      <c r="G10" s="662" t="inlineStr">
        <is>
          <t>Y09BM1366820</t>
        </is>
      </c>
      <c r="H10" s="652" t="n">
        <v>4192</v>
      </c>
      <c r="I10" s="542" t="inlineStr">
        <is>
          <t>1004202205100001</t>
        </is>
      </c>
      <c r="J10" s="662" t="n">
        <v>4.54</v>
      </c>
      <c r="K10" s="662" t="n"/>
      <c r="L10" s="663" t="inlineStr">
        <is>
          <t>朗华</t>
        </is>
      </c>
      <c r="M10" s="664" t="n"/>
    </row>
    <row r="11" ht="14.25" customFormat="1" customHeight="1" s="661">
      <c r="A11" s="662" t="n"/>
      <c r="B11" s="538" t="n"/>
      <c r="C11" s="526" t="n"/>
      <c r="D11" s="663" t="n"/>
      <c r="E11" s="654" t="n"/>
      <c r="F11" s="654" t="n"/>
      <c r="G11" s="662" t="n"/>
      <c r="H11" s="652" t="n"/>
      <c r="I11" s="542" t="n"/>
      <c r="J11" s="662" t="n"/>
      <c r="K11" s="662" t="n"/>
      <c r="L11" s="663" t="n"/>
      <c r="M11" s="664" t="n"/>
    </row>
  </sheetData>
  <autoFilter ref="A1:M10"/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9"/>
  <sheetViews>
    <sheetView zoomScale="70" zoomScaleNormal="70" workbookViewId="0">
      <selection activeCell="K261" sqref="K261"/>
    </sheetView>
  </sheetViews>
  <sheetFormatPr baseColWidth="8" defaultColWidth="8.66666666666667" defaultRowHeight="12"/>
  <cols>
    <col width="8.66666666666667" customWidth="1" style="658" min="1" max="1"/>
    <col width="11.6666666666667" customWidth="1" style="658" min="2" max="2"/>
    <col width="14.3333333333333" customWidth="1" style="658" min="3" max="3"/>
    <col width="11.6666666666667" customWidth="1" style="658" min="4" max="5"/>
    <col width="14.25" customWidth="1" style="658" min="6" max="6"/>
    <col width="17.9166666666667" customWidth="1" style="658" min="7" max="7"/>
    <col width="12.6666666666667" customWidth="1" style="658" min="8" max="8"/>
    <col hidden="1" width="39.5833333333333" customWidth="1" style="658" min="9" max="9"/>
    <col width="39.5833333333333" customWidth="1" style="658" min="10" max="10"/>
    <col width="12.25" customWidth="1" style="658" min="11" max="11"/>
    <col width="13" customWidth="1" style="658" min="12" max="12"/>
    <col width="23.25" customWidth="1" style="658" min="13" max="13"/>
    <col width="8.66666666666667" customWidth="1" style="658" min="14" max="16384"/>
  </cols>
  <sheetData>
    <row r="1" ht="22.5" customHeight="1" s="184">
      <c r="A1" s="671" t="inlineStr">
        <is>
          <t>序号</t>
        </is>
      </c>
      <c r="B1" s="438" t="inlineStr">
        <is>
          <t>抬头</t>
        </is>
      </c>
      <c r="C1" s="438" t="inlineStr">
        <is>
          <t>出货日期</t>
        </is>
      </c>
      <c r="D1" s="438" t="inlineStr">
        <is>
          <t>主体</t>
        </is>
      </c>
      <c r="E1" s="671" t="inlineStr">
        <is>
          <t>测试厂</t>
        </is>
      </c>
      <c r="F1" s="671" t="inlineStr">
        <is>
          <t>型号</t>
        </is>
      </c>
      <c r="G1" s="671" t="inlineStr">
        <is>
          <t>物料编码</t>
        </is>
      </c>
      <c r="H1" s="672" t="inlineStr">
        <is>
          <t>数量</t>
        </is>
      </c>
      <c r="I1" s="671" t="inlineStr">
        <is>
          <t>采购订单号</t>
        </is>
      </c>
      <c r="J1" s="671" t="inlineStr">
        <is>
          <t>新PO</t>
        </is>
      </c>
      <c r="K1" s="671" t="inlineStr">
        <is>
          <t>人民币单价</t>
        </is>
      </c>
      <c r="L1" s="441" t="n">
        <v>10000900</v>
      </c>
    </row>
    <row r="2" ht="32" customFormat="1" customHeight="1" s="661">
      <c r="A2" s="673" t="n">
        <v>1</v>
      </c>
      <c r="B2" s="444" t="inlineStr">
        <is>
          <t>海南比特</t>
        </is>
      </c>
      <c r="C2" s="674" t="inlineStr">
        <is>
          <t>2022-05-09</t>
        </is>
      </c>
      <c r="D2" s="673" t="inlineStr">
        <is>
          <t>世纪云芯</t>
        </is>
      </c>
      <c r="E2" s="675" t="inlineStr">
        <is>
          <t>SCK</t>
        </is>
      </c>
      <c r="F2" s="675" t="inlineStr">
        <is>
          <t>BM1366AH</t>
        </is>
      </c>
      <c r="G2" s="673" t="inlineStr">
        <is>
          <t>Y09BM1366930</t>
        </is>
      </c>
      <c r="H2" s="504" t="n">
        <v>9</v>
      </c>
      <c r="I2" s="471" t="n"/>
      <c r="J2" s="471" t="inlineStr">
        <is>
          <t>SZK202206100028</t>
        </is>
      </c>
      <c r="K2" s="676" t="n">
        <v>34.1939009241791</v>
      </c>
      <c r="L2" s="675" t="inlineStr">
        <is>
          <t>朗华</t>
        </is>
      </c>
      <c r="M2" s="664" t="n"/>
    </row>
    <row r="3" ht="20" customFormat="1" customHeight="1" s="661">
      <c r="A3" s="673" t="n">
        <v>2</v>
      </c>
      <c r="B3" s="444" t="inlineStr">
        <is>
          <t>海南比特</t>
        </is>
      </c>
      <c r="C3" s="674" t="inlineStr">
        <is>
          <t>2022-05-09</t>
        </is>
      </c>
      <c r="D3" s="673" t="inlineStr">
        <is>
          <t>世纪云芯</t>
        </is>
      </c>
      <c r="E3" s="675" t="inlineStr">
        <is>
          <t>SCK</t>
        </is>
      </c>
      <c r="F3" s="675" t="inlineStr">
        <is>
          <t>BM1366BA</t>
        </is>
      </c>
      <c r="G3" s="673" t="inlineStr">
        <is>
          <t>Y09BM1366340</t>
        </is>
      </c>
      <c r="H3" s="504" t="n">
        <v>104735</v>
      </c>
      <c r="I3" s="471" t="inlineStr">
        <is>
          <t>SZK1004202205120002取消改入SZK202205130018</t>
        </is>
      </c>
      <c r="J3" s="471" t="inlineStr">
        <is>
          <t>SZK202206100028</t>
        </is>
      </c>
      <c r="K3" s="676" t="n">
        <v>34.1939009241791</v>
      </c>
      <c r="L3" s="675" t="inlineStr">
        <is>
          <t>朗华</t>
        </is>
      </c>
      <c r="M3" s="664" t="n"/>
    </row>
    <row r="4" ht="22.5" customFormat="1" customHeight="1" s="661">
      <c r="A4" s="673" t="n">
        <v>3</v>
      </c>
      <c r="B4" s="444" t="inlineStr">
        <is>
          <t>海南比特</t>
        </is>
      </c>
      <c r="C4" s="674" t="inlineStr">
        <is>
          <t>2022-05-09</t>
        </is>
      </c>
      <c r="D4" s="673" t="inlineStr">
        <is>
          <t>世纪云芯</t>
        </is>
      </c>
      <c r="E4" s="675" t="inlineStr">
        <is>
          <t>XJ</t>
        </is>
      </c>
      <c r="F4" s="675" t="inlineStr">
        <is>
          <t>BM1798AA</t>
        </is>
      </c>
      <c r="G4" s="673" t="inlineStr">
        <is>
          <t>Y09BM1798010</t>
        </is>
      </c>
      <c r="H4" s="504" t="n">
        <v>3673</v>
      </c>
      <c r="I4" s="471" t="inlineStr">
        <is>
          <t>SZK1004202205120003</t>
        </is>
      </c>
      <c r="J4" s="471" t="inlineStr">
        <is>
          <t>SZK202206100029</t>
        </is>
      </c>
      <c r="K4" s="676" t="n">
        <v>1992.20897212657</v>
      </c>
      <c r="L4" s="675" t="inlineStr">
        <is>
          <t>朗华</t>
        </is>
      </c>
      <c r="M4" s="664" t="n"/>
    </row>
    <row r="5" ht="22.5" customFormat="1" customHeight="1" s="661">
      <c r="A5" s="673" t="n">
        <v>4</v>
      </c>
      <c r="B5" s="444" t="inlineStr">
        <is>
          <t>海南比特</t>
        </is>
      </c>
      <c r="C5" s="674" t="n">
        <v>44691</v>
      </c>
      <c r="D5" s="673" t="inlineStr">
        <is>
          <t>世纪云芯</t>
        </is>
      </c>
      <c r="E5" s="675" t="inlineStr">
        <is>
          <t>SCK</t>
        </is>
      </c>
      <c r="F5" s="675" t="inlineStr">
        <is>
          <t>BM1362AK</t>
        </is>
      </c>
      <c r="G5" s="673" t="inlineStr">
        <is>
          <t>Y09BM1362310</t>
        </is>
      </c>
      <c r="H5" s="504" t="n">
        <v>601896</v>
      </c>
      <c r="I5" s="471" t="inlineStr">
        <is>
          <t>SZK1004202205120004</t>
        </is>
      </c>
      <c r="J5" s="471" t="inlineStr">
        <is>
          <t>SZK202206100034</t>
        </is>
      </c>
      <c r="K5" s="676" t="n">
        <v>20.4108968071642</v>
      </c>
      <c r="L5" s="675" t="inlineStr">
        <is>
          <t>朗华</t>
        </is>
      </c>
      <c r="M5" s="664" t="n"/>
    </row>
    <row r="6" ht="22.5" customFormat="1" customHeight="1" s="661">
      <c r="A6" s="673" t="n">
        <v>5</v>
      </c>
      <c r="B6" s="444" t="inlineStr">
        <is>
          <t>海南比特</t>
        </is>
      </c>
      <c r="C6" s="674" t="n">
        <v>44692</v>
      </c>
      <c r="D6" s="673" t="inlineStr">
        <is>
          <t>世纪云芯</t>
        </is>
      </c>
      <c r="E6" s="675" t="inlineStr">
        <is>
          <t>捷策创</t>
        </is>
      </c>
      <c r="F6" s="675" t="inlineStr">
        <is>
          <t>BM1398BB</t>
        </is>
      </c>
      <c r="G6" s="673" t="inlineStr">
        <is>
          <t>Y09BM1398240</t>
        </is>
      </c>
      <c r="H6" s="504" t="n">
        <v>97096</v>
      </c>
      <c r="I6" s="471" t="inlineStr">
        <is>
          <t>SZK1004202205120005</t>
        </is>
      </c>
      <c r="J6" s="471" t="inlineStr">
        <is>
          <t>SZK202206100035</t>
        </is>
      </c>
      <c r="K6" s="676" t="n">
        <v>37.884432081194</v>
      </c>
      <c r="L6" s="675" t="inlineStr">
        <is>
          <t>朗华</t>
        </is>
      </c>
      <c r="M6" s="664" t="n"/>
    </row>
    <row r="7" ht="22.5" customFormat="1" customHeight="1" s="661">
      <c r="A7" s="673" t="n">
        <v>6</v>
      </c>
      <c r="B7" s="444" t="inlineStr">
        <is>
          <t>海南比特</t>
        </is>
      </c>
      <c r="C7" s="674" t="n">
        <v>44692</v>
      </c>
      <c r="D7" s="673" t="inlineStr">
        <is>
          <t>世纪云芯</t>
        </is>
      </c>
      <c r="E7" s="675" t="inlineStr">
        <is>
          <t>捷策创</t>
        </is>
      </c>
      <c r="F7" s="675" t="inlineStr">
        <is>
          <t>BM1362AC</t>
        </is>
      </c>
      <c r="G7" s="673" t="inlineStr">
        <is>
          <t>Y09BM1362C00</t>
        </is>
      </c>
      <c r="H7" s="504" t="n">
        <v>608798</v>
      </c>
      <c r="I7" s="471" t="inlineStr">
        <is>
          <t>SZK1004202205120006</t>
        </is>
      </c>
      <c r="J7" s="471" t="inlineStr">
        <is>
          <t>SZK202206100037</t>
        </is>
      </c>
      <c r="K7" s="676" t="n">
        <v>20.4108968071642</v>
      </c>
      <c r="L7" s="675" t="inlineStr">
        <is>
          <t>朗华</t>
        </is>
      </c>
      <c r="M7" s="664" t="n"/>
    </row>
    <row r="8" ht="22.5" customFormat="1" customHeight="1" s="661">
      <c r="A8" s="673" t="n">
        <v>7</v>
      </c>
      <c r="B8" s="444" t="inlineStr">
        <is>
          <t>海南比特</t>
        </is>
      </c>
      <c r="C8" s="674" t="n">
        <v>44692</v>
      </c>
      <c r="D8" s="673" t="inlineStr">
        <is>
          <t>世纪云芯</t>
        </is>
      </c>
      <c r="E8" s="675" t="inlineStr">
        <is>
          <t>捷策创</t>
        </is>
      </c>
      <c r="F8" s="675" t="inlineStr">
        <is>
          <t>BM1362AC</t>
        </is>
      </c>
      <c r="G8" s="673" t="inlineStr">
        <is>
          <t>Y09BM1362C00</t>
        </is>
      </c>
      <c r="H8" s="504" t="n">
        <v>595482</v>
      </c>
      <c r="I8" s="471" t="inlineStr">
        <is>
          <t>SZK1004202205120006</t>
        </is>
      </c>
      <c r="J8" s="471" t="inlineStr">
        <is>
          <t>SZK202206100037</t>
        </is>
      </c>
      <c r="K8" s="676" t="n">
        <v>20.4108968071642</v>
      </c>
      <c r="L8" s="675" t="inlineStr">
        <is>
          <t>朗华</t>
        </is>
      </c>
      <c r="M8" s="664" t="n"/>
    </row>
    <row r="9" ht="22.5" customFormat="1" customHeight="1" s="661">
      <c r="A9" s="673" t="n">
        <v>8</v>
      </c>
      <c r="B9" s="444" t="inlineStr">
        <is>
          <t>海南比特</t>
        </is>
      </c>
      <c r="C9" s="674" t="n">
        <v>44692</v>
      </c>
      <c r="D9" s="673" t="inlineStr">
        <is>
          <t>世纪云芯</t>
        </is>
      </c>
      <c r="E9" s="675" t="inlineStr">
        <is>
          <t>无锡伟测</t>
        </is>
      </c>
      <c r="F9" s="675" t="inlineStr">
        <is>
          <t>BM1366AG</t>
        </is>
      </c>
      <c r="G9" s="673" t="inlineStr">
        <is>
          <t>Y09BM1366820</t>
        </is>
      </c>
      <c r="H9" s="504" t="n">
        <v>15034</v>
      </c>
      <c r="I9" s="471" t="inlineStr">
        <is>
          <t>SZK1004202205120007</t>
        </is>
      </c>
      <c r="J9" s="471" t="inlineStr">
        <is>
          <t>SZK202206100038</t>
        </is>
      </c>
      <c r="K9" s="676" t="n">
        <v>34.1939009241791</v>
      </c>
      <c r="L9" s="675" t="inlineStr">
        <is>
          <t>朗华</t>
        </is>
      </c>
      <c r="M9" s="664" t="n"/>
    </row>
    <row r="10" ht="22.5" customFormat="1" customHeight="1" s="661">
      <c r="A10" s="673" t="n">
        <v>9</v>
      </c>
      <c r="B10" s="444" t="inlineStr">
        <is>
          <t>海南比特</t>
        </is>
      </c>
      <c r="C10" s="674" t="n">
        <v>44692</v>
      </c>
      <c r="D10" s="673" t="inlineStr">
        <is>
          <t>世纪云芯</t>
        </is>
      </c>
      <c r="E10" s="675" t="inlineStr">
        <is>
          <t>无锡伟测</t>
        </is>
      </c>
      <c r="F10" s="675" t="inlineStr">
        <is>
          <t>BM1366AH</t>
        </is>
      </c>
      <c r="G10" s="673" t="inlineStr">
        <is>
          <t>Y09BM1366930</t>
        </is>
      </c>
      <c r="H10" s="504" t="n">
        <v>91931</v>
      </c>
      <c r="I10" s="471" t="inlineStr">
        <is>
          <t>SZK1004202205120007</t>
        </is>
      </c>
      <c r="J10" s="471" t="inlineStr">
        <is>
          <t>SZK202206100039</t>
        </is>
      </c>
      <c r="K10" s="676" t="n">
        <v>34.1939009241791</v>
      </c>
      <c r="L10" s="675" t="inlineStr">
        <is>
          <t>朗华</t>
        </is>
      </c>
      <c r="M10" s="664" t="n"/>
    </row>
    <row r="11" ht="22.5" customFormat="1" customHeight="1" s="661">
      <c r="A11" s="673" t="n">
        <v>11</v>
      </c>
      <c r="B11" s="444" t="inlineStr">
        <is>
          <t>海南比特</t>
        </is>
      </c>
      <c r="C11" s="674" t="n">
        <v>44693</v>
      </c>
      <c r="D11" s="673" t="inlineStr">
        <is>
          <t>世纪云芯</t>
        </is>
      </c>
      <c r="E11" s="675" t="inlineStr">
        <is>
          <t>spilsz</t>
        </is>
      </c>
      <c r="F11" s="675" t="inlineStr">
        <is>
          <t>BM1366AG</t>
        </is>
      </c>
      <c r="G11" s="673" t="inlineStr">
        <is>
          <t>Y09BM1366820</t>
        </is>
      </c>
      <c r="H11" s="504" t="n">
        <v>31380</v>
      </c>
      <c r="I11" s="471" t="inlineStr">
        <is>
          <t>SZK202205130023</t>
        </is>
      </c>
      <c r="J11" s="471" t="inlineStr">
        <is>
          <t>SZK202206100040</t>
        </is>
      </c>
      <c r="K11" s="676" t="n">
        <v>34.1939009241791</v>
      </c>
      <c r="L11" s="675" t="inlineStr">
        <is>
          <t>朗华</t>
        </is>
      </c>
      <c r="M11" s="664" t="n"/>
    </row>
    <row r="12" ht="22.5" customFormat="1" customHeight="1" s="661">
      <c r="A12" s="673" t="n">
        <v>12</v>
      </c>
      <c r="B12" s="444" t="inlineStr">
        <is>
          <t>海南比特</t>
        </is>
      </c>
      <c r="C12" s="674" t="n">
        <v>44694</v>
      </c>
      <c r="D12" s="673" t="inlineStr">
        <is>
          <t>世纪云芯</t>
        </is>
      </c>
      <c r="E12" s="675" t="inlineStr">
        <is>
          <t>XJ</t>
        </is>
      </c>
      <c r="F12" s="675" t="inlineStr">
        <is>
          <t>BM1362AK</t>
        </is>
      </c>
      <c r="G12" s="673" t="inlineStr">
        <is>
          <t>Y09BM1362310</t>
        </is>
      </c>
      <c r="H12" s="504" t="n">
        <v>2000972</v>
      </c>
      <c r="I12" s="673" t="inlineStr">
        <is>
          <t>SZK202205130024</t>
        </is>
      </c>
      <c r="J12" s="673" t="inlineStr">
        <is>
          <t>SZK202206100041</t>
        </is>
      </c>
      <c r="K12" s="676" t="n">
        <v>20.4108968071642</v>
      </c>
      <c r="L12" s="677" t="inlineStr">
        <is>
          <t>朗华</t>
        </is>
      </c>
      <c r="M12" s="664" t="n"/>
    </row>
    <row r="13" ht="22.5" customHeight="1" s="184">
      <c r="A13" s="673" t="n">
        <v>13</v>
      </c>
      <c r="B13" s="444" t="inlineStr">
        <is>
          <t>海南比特</t>
        </is>
      </c>
      <c r="C13" s="674" t="n">
        <v>44694</v>
      </c>
      <c r="D13" s="673" t="inlineStr">
        <is>
          <t>世纪云芯</t>
        </is>
      </c>
      <c r="E13" s="675" t="inlineStr">
        <is>
          <t>XJ</t>
        </is>
      </c>
      <c r="F13" s="675" t="inlineStr">
        <is>
          <t>BM1362AB</t>
        </is>
      </c>
      <c r="G13" s="673" t="inlineStr">
        <is>
          <t>Y09BM1362B00</t>
        </is>
      </c>
      <c r="H13" s="504" t="n">
        <v>1243</v>
      </c>
      <c r="I13" s="673" t="inlineStr">
        <is>
          <t>SZK202205130024</t>
        </is>
      </c>
      <c r="J13" s="673" t="inlineStr">
        <is>
          <t>SZK202206100041</t>
        </is>
      </c>
      <c r="K13" s="676" t="n">
        <v>20.4108968071642</v>
      </c>
      <c r="L13" s="677" t="inlineStr">
        <is>
          <t>朗华</t>
        </is>
      </c>
    </row>
    <row r="14" ht="22.5" customHeight="1" s="184">
      <c r="A14" s="673" t="n">
        <v>14</v>
      </c>
      <c r="B14" s="444" t="inlineStr">
        <is>
          <t>海南比特</t>
        </is>
      </c>
      <c r="C14" s="674" t="n">
        <v>44694</v>
      </c>
      <c r="D14" s="673" t="inlineStr">
        <is>
          <t>世纪云芯</t>
        </is>
      </c>
      <c r="E14" s="675" t="inlineStr">
        <is>
          <t>XJ</t>
        </is>
      </c>
      <c r="F14" s="675" t="inlineStr">
        <is>
          <t>BM1362AC</t>
        </is>
      </c>
      <c r="G14" s="673" t="inlineStr">
        <is>
          <t>Y09BM1362C00</t>
        </is>
      </c>
      <c r="H14" s="504" t="n">
        <v>438454</v>
      </c>
      <c r="I14" s="673" t="inlineStr">
        <is>
          <t>SZK202205130024</t>
        </is>
      </c>
      <c r="J14" s="673" t="inlineStr">
        <is>
          <t>SZK202206100041</t>
        </is>
      </c>
      <c r="K14" s="676" t="n">
        <v>20.4108968071642</v>
      </c>
      <c r="L14" s="677" t="inlineStr">
        <is>
          <t>朗华</t>
        </is>
      </c>
    </row>
    <row r="15" ht="22.5" customHeight="1" s="184">
      <c r="A15" s="673" t="n">
        <v>15</v>
      </c>
      <c r="B15" s="444" t="inlineStr">
        <is>
          <t>海南比特</t>
        </is>
      </c>
      <c r="C15" s="674" t="n">
        <v>44694</v>
      </c>
      <c r="D15" s="673" t="inlineStr">
        <is>
          <t>世纪云芯</t>
        </is>
      </c>
      <c r="E15" s="675" t="inlineStr">
        <is>
          <t>XJ</t>
        </is>
      </c>
      <c r="F15" s="675" t="inlineStr">
        <is>
          <t>BM1362AI</t>
        </is>
      </c>
      <c r="G15" s="673" t="inlineStr">
        <is>
          <t>Y09BM1362110</t>
        </is>
      </c>
      <c r="H15" s="504" t="n">
        <v>7597</v>
      </c>
      <c r="I15" s="673" t="inlineStr">
        <is>
          <t>SZK202205130024</t>
        </is>
      </c>
      <c r="J15" s="673" t="inlineStr">
        <is>
          <t>SZK202206100041</t>
        </is>
      </c>
      <c r="K15" s="676" t="n">
        <v>20.4108968071642</v>
      </c>
      <c r="L15" s="677" t="inlineStr">
        <is>
          <t>朗华</t>
        </is>
      </c>
    </row>
    <row r="16" ht="22.5" customHeight="1" s="184">
      <c r="A16" s="673" t="n">
        <v>16</v>
      </c>
      <c r="B16" s="444" t="inlineStr">
        <is>
          <t>海南比特</t>
        </is>
      </c>
      <c r="C16" s="674" t="n">
        <v>44694</v>
      </c>
      <c r="D16" s="673" t="inlineStr">
        <is>
          <t>世纪云芯</t>
        </is>
      </c>
      <c r="E16" s="675" t="inlineStr">
        <is>
          <t>XJ</t>
        </is>
      </c>
      <c r="F16" s="675" t="inlineStr">
        <is>
          <t>BM1362AA</t>
        </is>
      </c>
      <c r="G16" s="673" t="inlineStr">
        <is>
          <t>Y09BM1362A00</t>
        </is>
      </c>
      <c r="H16" s="504" t="n">
        <v>2210</v>
      </c>
      <c r="I16" s="673" t="inlineStr">
        <is>
          <t>SZK202205130024</t>
        </is>
      </c>
      <c r="J16" s="673" t="inlineStr">
        <is>
          <t>SZK202206100041</t>
        </is>
      </c>
      <c r="K16" s="676" t="n">
        <v>20.4108968071642</v>
      </c>
      <c r="L16" s="677" t="inlineStr">
        <is>
          <t>朗华</t>
        </is>
      </c>
    </row>
    <row r="17" ht="22.5" customHeight="1" s="184">
      <c r="A17" s="673" t="n">
        <v>17</v>
      </c>
      <c r="B17" s="444" t="inlineStr">
        <is>
          <t>海南比特</t>
        </is>
      </c>
      <c r="C17" s="674" t="n">
        <v>44694</v>
      </c>
      <c r="D17" s="673" t="inlineStr">
        <is>
          <t>世纪云芯</t>
        </is>
      </c>
      <c r="E17" s="675" t="inlineStr">
        <is>
          <t>XJ</t>
        </is>
      </c>
      <c r="F17" s="675" t="inlineStr">
        <is>
          <t>BM1489</t>
        </is>
      </c>
      <c r="G17" s="673" t="inlineStr">
        <is>
          <t>Y09BM1489010</t>
        </is>
      </c>
      <c r="H17" s="504" t="n">
        <v>6095</v>
      </c>
      <c r="I17" s="673" t="inlineStr">
        <is>
          <t>SZK202205130024</t>
        </is>
      </c>
      <c r="J17" s="673" t="inlineStr">
        <is>
          <t>SZK202206100041</t>
        </is>
      </c>
      <c r="K17" s="676" t="n">
        <v>56.5630387534328</v>
      </c>
      <c r="L17" s="677" t="inlineStr">
        <is>
          <t>朗华</t>
        </is>
      </c>
    </row>
    <row r="18" ht="22.5" customHeight="1" s="184">
      <c r="A18" s="673" t="n">
        <v>18</v>
      </c>
      <c r="B18" s="444" t="inlineStr">
        <is>
          <t>海南比特</t>
        </is>
      </c>
      <c r="C18" s="674" t="n">
        <v>44694</v>
      </c>
      <c r="D18" s="673" t="inlineStr">
        <is>
          <t>世纪云芯</t>
        </is>
      </c>
      <c r="E18" s="675" t="inlineStr">
        <is>
          <t>XJ</t>
        </is>
      </c>
      <c r="F18" s="675" t="inlineStr">
        <is>
          <t>BM1798AA</t>
        </is>
      </c>
      <c r="G18" s="673" t="inlineStr">
        <is>
          <t>Y09BM1798010</t>
        </is>
      </c>
      <c r="H18" s="504" t="n">
        <v>33</v>
      </c>
      <c r="I18" s="673" t="inlineStr">
        <is>
          <t>SZK202205130024</t>
        </is>
      </c>
      <c r="J18" s="673" t="inlineStr">
        <is>
          <t>SZK202206100041</t>
        </is>
      </c>
      <c r="K18" s="676" t="n">
        <v>1992.20897212657</v>
      </c>
      <c r="L18" s="677" t="inlineStr">
        <is>
          <t>朗华</t>
        </is>
      </c>
    </row>
    <row r="19" ht="22.5" customHeight="1" s="184">
      <c r="A19" s="673" t="n">
        <v>19</v>
      </c>
      <c r="B19" s="444" t="inlineStr">
        <is>
          <t>海南比特</t>
        </is>
      </c>
      <c r="C19" s="674" t="n">
        <v>44694</v>
      </c>
      <c r="D19" s="673" t="inlineStr">
        <is>
          <t>世纪云芯</t>
        </is>
      </c>
      <c r="E19" s="675" t="inlineStr">
        <is>
          <t>SCK</t>
        </is>
      </c>
      <c r="F19" s="675" t="inlineStr">
        <is>
          <t>BM1727AA</t>
        </is>
      </c>
      <c r="G19" s="673" t="inlineStr">
        <is>
          <t>Y09BM1727010</t>
        </is>
      </c>
      <c r="H19" s="504" t="n">
        <v>2314</v>
      </c>
      <c r="I19" s="678" t="inlineStr">
        <is>
          <t>SZK202205150011</t>
        </is>
      </c>
      <c r="J19" s="678" t="inlineStr">
        <is>
          <t>SZK202206100042</t>
        </is>
      </c>
      <c r="K19" s="679" t="n">
        <v>29.1476644441791</v>
      </c>
      <c r="L19" s="677" t="inlineStr">
        <is>
          <t>朗华</t>
        </is>
      </c>
    </row>
    <row r="20" ht="22.5" customHeight="1" s="184">
      <c r="A20" s="673" t="n">
        <v>20</v>
      </c>
      <c r="B20" s="444" t="inlineStr">
        <is>
          <t>海南比特</t>
        </is>
      </c>
      <c r="C20" s="674" t="n">
        <v>44694</v>
      </c>
      <c r="D20" s="673" t="inlineStr">
        <is>
          <t>世纪云芯</t>
        </is>
      </c>
      <c r="E20" s="675" t="inlineStr">
        <is>
          <t>SCK</t>
        </is>
      </c>
      <c r="F20" s="675" t="inlineStr">
        <is>
          <t>BM1766AA</t>
        </is>
      </c>
      <c r="G20" s="673" t="inlineStr">
        <is>
          <t>Y09BM1766010</t>
        </is>
      </c>
      <c r="H20" s="504" t="n">
        <v>2299</v>
      </c>
      <c r="I20" s="678" t="inlineStr">
        <is>
          <t>SZK202205150011</t>
        </is>
      </c>
      <c r="J20" s="678" t="inlineStr">
        <is>
          <t>SZK202206100042</t>
        </is>
      </c>
      <c r="K20" s="679" t="n">
        <v>29.1476644441791</v>
      </c>
      <c r="L20" s="677" t="inlineStr">
        <is>
          <t>朗华</t>
        </is>
      </c>
    </row>
    <row r="21" ht="22.5" customHeight="1" s="184">
      <c r="A21" s="673" t="n">
        <v>21</v>
      </c>
      <c r="B21" s="444" t="inlineStr">
        <is>
          <t>海南比特</t>
        </is>
      </c>
      <c r="C21" s="674" t="n">
        <v>44694</v>
      </c>
      <c r="D21" s="673" t="inlineStr">
        <is>
          <t>世纪云芯</t>
        </is>
      </c>
      <c r="E21" s="675" t="inlineStr">
        <is>
          <t>SCK</t>
        </is>
      </c>
      <c r="F21" s="675" t="inlineStr">
        <is>
          <t>BM2042AA</t>
        </is>
      </c>
      <c r="G21" s="673" t="inlineStr">
        <is>
          <t>Y09BM2042010</t>
        </is>
      </c>
      <c r="H21" s="504" t="n">
        <v>2305</v>
      </c>
      <c r="I21" s="678" t="inlineStr">
        <is>
          <t>SZK202205150011</t>
        </is>
      </c>
      <c r="J21" s="678" t="inlineStr">
        <is>
          <t>SZK202206100042</t>
        </is>
      </c>
      <c r="K21" s="679" t="n">
        <v>29.1476644441791</v>
      </c>
      <c r="L21" s="677" t="inlineStr">
        <is>
          <t>朗华</t>
        </is>
      </c>
    </row>
    <row r="22" ht="22.5" customHeight="1" s="184">
      <c r="A22" s="673" t="n">
        <v>22</v>
      </c>
      <c r="B22" s="444" t="inlineStr">
        <is>
          <t>海南比特</t>
        </is>
      </c>
      <c r="C22" s="674" t="n">
        <v>44694</v>
      </c>
      <c r="D22" s="673" t="inlineStr">
        <is>
          <t>世纪云芯</t>
        </is>
      </c>
      <c r="E22" s="675" t="inlineStr">
        <is>
          <t>SCK</t>
        </is>
      </c>
      <c r="F22" s="675" t="inlineStr">
        <is>
          <t>BM2110AA</t>
        </is>
      </c>
      <c r="G22" s="673" t="inlineStr">
        <is>
          <t>Y09BM2110010</t>
        </is>
      </c>
      <c r="H22" s="504" t="n">
        <v>2248</v>
      </c>
      <c r="I22" s="678" t="inlineStr">
        <is>
          <t>SZK202205150011</t>
        </is>
      </c>
      <c r="J22" s="678" t="inlineStr">
        <is>
          <t>SZK202206100042</t>
        </is>
      </c>
      <c r="K22" s="679" t="n">
        <v>29.1476644441791</v>
      </c>
      <c r="L22" s="677" t="inlineStr">
        <is>
          <t>朗华</t>
        </is>
      </c>
    </row>
    <row r="23" ht="22.5" customHeight="1" s="184">
      <c r="A23" s="673" t="n">
        <v>23</v>
      </c>
      <c r="B23" s="444" t="inlineStr">
        <is>
          <t>海南比特</t>
        </is>
      </c>
      <c r="C23" s="674" t="n">
        <v>44694</v>
      </c>
      <c r="D23" s="673" t="inlineStr">
        <is>
          <t>世纪云芯</t>
        </is>
      </c>
      <c r="E23" s="675" t="inlineStr">
        <is>
          <t>SCK</t>
        </is>
      </c>
      <c r="F23" s="675" t="inlineStr">
        <is>
          <t>BM2130AA</t>
        </is>
      </c>
      <c r="G23" s="673" t="inlineStr">
        <is>
          <t>Y09BM2130010</t>
        </is>
      </c>
      <c r="H23" s="504" t="n">
        <v>2290</v>
      </c>
      <c r="I23" s="678" t="inlineStr">
        <is>
          <t>SZK202205150011</t>
        </is>
      </c>
      <c r="J23" s="678" t="inlineStr">
        <is>
          <t>SZK202206100042</t>
        </is>
      </c>
      <c r="K23" s="679" t="n">
        <v>29.1476644441791</v>
      </c>
      <c r="L23" s="677" t="inlineStr">
        <is>
          <t>朗华</t>
        </is>
      </c>
    </row>
    <row r="24" ht="22.5" customHeight="1" s="184">
      <c r="A24" s="673" t="n">
        <v>24</v>
      </c>
      <c r="B24" s="444" t="inlineStr">
        <is>
          <t>海南比特</t>
        </is>
      </c>
      <c r="C24" s="674" t="n">
        <v>44697</v>
      </c>
      <c r="D24" s="673" t="inlineStr">
        <is>
          <t>世纪云芯</t>
        </is>
      </c>
      <c r="E24" s="675" t="inlineStr">
        <is>
          <t>捷策创</t>
        </is>
      </c>
      <c r="F24" s="675" t="inlineStr">
        <is>
          <t>BM1398BB</t>
        </is>
      </c>
      <c r="G24" s="673" t="inlineStr">
        <is>
          <t>Y09BM1398240</t>
        </is>
      </c>
      <c r="H24" s="504" t="n">
        <v>45250</v>
      </c>
      <c r="I24" s="678" t="inlineStr">
        <is>
          <t>SZK202205170015</t>
        </is>
      </c>
      <c r="J24" s="678" t="inlineStr">
        <is>
          <t>SZK202206100045</t>
        </is>
      </c>
      <c r="K24" s="676" t="n">
        <v>37.884432081194</v>
      </c>
      <c r="L24" s="677" t="inlineStr">
        <is>
          <t>世纪通</t>
        </is>
      </c>
    </row>
    <row r="25" ht="22.5" customHeight="1" s="184">
      <c r="A25" s="673" t="n">
        <v>25</v>
      </c>
      <c r="B25" s="444" t="inlineStr">
        <is>
          <t>海南比特</t>
        </is>
      </c>
      <c r="C25" s="674" t="n">
        <v>44697</v>
      </c>
      <c r="D25" s="673" t="inlineStr">
        <is>
          <t>世纪云芯</t>
        </is>
      </c>
      <c r="E25" s="675" t="inlineStr">
        <is>
          <t>XJ</t>
        </is>
      </c>
      <c r="F25" s="675" t="inlineStr">
        <is>
          <t>BM1362AK</t>
        </is>
      </c>
      <c r="G25" s="673" t="inlineStr">
        <is>
          <t>Y09BM1362310</t>
        </is>
      </c>
      <c r="H25" s="504" t="n">
        <v>1000221</v>
      </c>
      <c r="I25" s="678" t="inlineStr">
        <is>
          <t>SZK202205170016</t>
        </is>
      </c>
      <c r="J25" s="678" t="inlineStr">
        <is>
          <t>SZK202206100046</t>
        </is>
      </c>
      <c r="K25" s="676" t="n">
        <v>20.4108968071642</v>
      </c>
      <c r="L25" s="677" t="inlineStr">
        <is>
          <t>世纪通</t>
        </is>
      </c>
    </row>
    <row r="26" ht="22.5" customHeight="1" s="184">
      <c r="A26" s="673" t="n">
        <v>26</v>
      </c>
      <c r="B26" s="444" t="inlineStr">
        <is>
          <t>海南比特</t>
        </is>
      </c>
      <c r="C26" s="674" t="n">
        <v>44697</v>
      </c>
      <c r="D26" s="673" t="inlineStr">
        <is>
          <t>世纪云芯</t>
        </is>
      </c>
      <c r="E26" s="675" t="inlineStr">
        <is>
          <t>XJ</t>
        </is>
      </c>
      <c r="F26" s="675" t="inlineStr">
        <is>
          <t>BM1798AA</t>
        </is>
      </c>
      <c r="G26" s="673" t="inlineStr">
        <is>
          <t>Y09BM1798010</t>
        </is>
      </c>
      <c r="H26" s="504" t="n">
        <v>2027</v>
      </c>
      <c r="I26" s="678" t="inlineStr">
        <is>
          <t>SZK202205170016</t>
        </is>
      </c>
      <c r="J26" s="678" t="inlineStr">
        <is>
          <t>SZK202206100046</t>
        </is>
      </c>
      <c r="K26" s="676" t="n">
        <v>1992.20897212657</v>
      </c>
      <c r="L26" s="677" t="inlineStr">
        <is>
          <t>世纪通</t>
        </is>
      </c>
    </row>
    <row r="27" ht="22.5" customHeight="1" s="184">
      <c r="A27" s="673" t="n">
        <v>27</v>
      </c>
      <c r="B27" s="444" t="inlineStr">
        <is>
          <t>海南比特</t>
        </is>
      </c>
      <c r="C27" s="674" t="n">
        <v>44699</v>
      </c>
      <c r="D27" s="673" t="inlineStr">
        <is>
          <t>世纪云芯</t>
        </is>
      </c>
      <c r="E27" s="675" t="inlineStr">
        <is>
          <t>SCK</t>
        </is>
      </c>
      <c r="F27" s="675" t="inlineStr">
        <is>
          <t>BM1366AH</t>
        </is>
      </c>
      <c r="G27" s="673" t="inlineStr">
        <is>
          <t>Y09BM1366930</t>
        </is>
      </c>
      <c r="H27" s="504" t="n">
        <v>154</v>
      </c>
      <c r="I27" s="678" t="inlineStr">
        <is>
          <t>SZK202205190007</t>
        </is>
      </c>
      <c r="J27" s="678" t="inlineStr">
        <is>
          <t>SZK202206100047</t>
        </is>
      </c>
      <c r="K27" s="676" t="n">
        <v>34.1939009241791</v>
      </c>
      <c r="L27" s="677" t="inlineStr">
        <is>
          <t>世纪通</t>
        </is>
      </c>
    </row>
    <row r="28" ht="22.5" customHeight="1" s="184">
      <c r="A28" s="673" t="n">
        <v>28</v>
      </c>
      <c r="B28" s="444" t="inlineStr">
        <is>
          <t>海南比特</t>
        </is>
      </c>
      <c r="C28" s="674" t="n">
        <v>44699</v>
      </c>
      <c r="D28" s="673" t="inlineStr">
        <is>
          <t>世纪云芯</t>
        </is>
      </c>
      <c r="E28" s="675" t="inlineStr">
        <is>
          <t>捷策创</t>
        </is>
      </c>
      <c r="F28" s="675" t="inlineStr">
        <is>
          <t>BM1489</t>
        </is>
      </c>
      <c r="G28" s="673" t="inlineStr">
        <is>
          <t>Y09BM1489010</t>
        </is>
      </c>
      <c r="H28" s="504" t="n">
        <v>212548</v>
      </c>
      <c r="I28" s="678" t="inlineStr">
        <is>
          <t>SZK202205190008/改成SZK202205250030PO</t>
        </is>
      </c>
      <c r="J28" s="678" t="inlineStr">
        <is>
          <t>SZK202206100048</t>
        </is>
      </c>
      <c r="K28" s="676" t="n">
        <v>56.5630387534328</v>
      </c>
      <c r="L28" s="677" t="inlineStr">
        <is>
          <t>世纪通</t>
        </is>
      </c>
      <c r="M28" s="658" t="inlineStr">
        <is>
          <t>物流改了报关价格；重新下PO入库</t>
        </is>
      </c>
    </row>
    <row r="29" ht="22.5" customHeight="1" s="184">
      <c r="A29" s="673" t="n">
        <v>29</v>
      </c>
      <c r="B29" s="444" t="inlineStr">
        <is>
          <t>海南比特</t>
        </is>
      </c>
      <c r="C29" s="674" t="n">
        <v>44699</v>
      </c>
      <c r="D29" s="673" t="inlineStr">
        <is>
          <t>世纪云芯</t>
        </is>
      </c>
      <c r="E29" s="675" t="inlineStr">
        <is>
          <t>捷策创</t>
        </is>
      </c>
      <c r="F29" s="675" t="inlineStr">
        <is>
          <t>BM1362AK</t>
        </is>
      </c>
      <c r="G29" s="673" t="inlineStr">
        <is>
          <t>Y09BM1362310</t>
        </is>
      </c>
      <c r="H29" s="504" t="n">
        <v>1042992</v>
      </c>
      <c r="I29" s="678" t="inlineStr">
        <is>
          <t>SZK202205190008</t>
        </is>
      </c>
      <c r="J29" s="678" t="inlineStr">
        <is>
          <t>SZK202206100048</t>
        </is>
      </c>
      <c r="K29" s="676" t="n">
        <v>20.4108968071642</v>
      </c>
      <c r="L29" s="677" t="inlineStr">
        <is>
          <t>世纪通</t>
        </is>
      </c>
    </row>
    <row r="30" ht="22.5" customHeight="1" s="184">
      <c r="A30" s="673" t="n">
        <v>30</v>
      </c>
      <c r="B30" s="444" t="inlineStr">
        <is>
          <t>海南比特</t>
        </is>
      </c>
      <c r="C30" s="674" t="n">
        <v>44699</v>
      </c>
      <c r="D30" s="673" t="inlineStr">
        <is>
          <t>世纪云芯</t>
        </is>
      </c>
      <c r="E30" s="675" t="inlineStr">
        <is>
          <t>XJ</t>
        </is>
      </c>
      <c r="F30" s="675" t="inlineStr">
        <is>
          <t>BM1362AC</t>
        </is>
      </c>
      <c r="G30" s="673" t="inlineStr">
        <is>
          <t>Y09BM1362C00</t>
        </is>
      </c>
      <c r="H30" s="504" t="n">
        <v>187795</v>
      </c>
      <c r="I30" s="678" t="inlineStr">
        <is>
          <t>SZK202205190009</t>
        </is>
      </c>
      <c r="J30" s="678" t="inlineStr">
        <is>
          <t>SZK202206100049</t>
        </is>
      </c>
      <c r="K30" s="676" t="n">
        <v>20.4108968071642</v>
      </c>
      <c r="L30" s="677" t="inlineStr">
        <is>
          <t>世纪通</t>
        </is>
      </c>
    </row>
    <row r="31" ht="22.5" customHeight="1" s="184">
      <c r="A31" s="673" t="n">
        <v>31</v>
      </c>
      <c r="B31" s="444" t="inlineStr">
        <is>
          <t>海南比特</t>
        </is>
      </c>
      <c r="C31" s="674" t="n">
        <v>44699</v>
      </c>
      <c r="D31" s="673" t="inlineStr">
        <is>
          <t>世纪云芯</t>
        </is>
      </c>
      <c r="E31" s="675" t="inlineStr">
        <is>
          <t>XJ</t>
        </is>
      </c>
      <c r="F31" s="675" t="inlineStr">
        <is>
          <t>BM1362AI</t>
        </is>
      </c>
      <c r="G31" s="673" t="inlineStr">
        <is>
          <t>Y09BM1362110</t>
        </is>
      </c>
      <c r="H31" s="504" t="n">
        <v>18090</v>
      </c>
      <c r="I31" s="678" t="inlineStr">
        <is>
          <t>SZK202205190009</t>
        </is>
      </c>
      <c r="J31" s="678" t="inlineStr">
        <is>
          <t>SZK202206100049</t>
        </is>
      </c>
      <c r="K31" s="676" t="n">
        <v>20.4108968071642</v>
      </c>
      <c r="L31" s="677" t="inlineStr">
        <is>
          <t>世纪通</t>
        </is>
      </c>
    </row>
    <row r="32" ht="22.5" customHeight="1" s="184">
      <c r="A32" s="673" t="n">
        <v>32</v>
      </c>
      <c r="B32" s="444" t="inlineStr">
        <is>
          <t>海南比特</t>
        </is>
      </c>
      <c r="C32" s="674" t="n">
        <v>44699</v>
      </c>
      <c r="D32" s="673" t="inlineStr">
        <is>
          <t>世纪云芯</t>
        </is>
      </c>
      <c r="E32" s="675" t="inlineStr">
        <is>
          <t>XJ</t>
        </is>
      </c>
      <c r="F32" s="675" t="inlineStr">
        <is>
          <t>BM1798AA</t>
        </is>
      </c>
      <c r="G32" s="673" t="inlineStr">
        <is>
          <t>Y09BM1798010</t>
        </is>
      </c>
      <c r="H32" s="504" t="n">
        <v>25</v>
      </c>
      <c r="I32" s="678" t="inlineStr">
        <is>
          <t>SZK202205190009</t>
        </is>
      </c>
      <c r="J32" s="678" t="inlineStr">
        <is>
          <t>SZK202206100049</t>
        </is>
      </c>
      <c r="K32" s="676" t="n">
        <v>1992.20897212657</v>
      </c>
      <c r="L32" s="677" t="inlineStr">
        <is>
          <t>世纪通</t>
        </is>
      </c>
    </row>
    <row r="33" ht="22.5" customHeight="1" s="184">
      <c r="A33" s="673" t="n">
        <v>33</v>
      </c>
      <c r="B33" s="444" t="inlineStr">
        <is>
          <t>海南比特</t>
        </is>
      </c>
      <c r="C33" s="674" t="n">
        <v>44701</v>
      </c>
      <c r="D33" s="673" t="inlineStr">
        <is>
          <t>世纪云芯</t>
        </is>
      </c>
      <c r="E33" s="675" t="inlineStr">
        <is>
          <t>捷策创</t>
        </is>
      </c>
      <c r="F33" s="675" t="inlineStr">
        <is>
          <t>BM1489</t>
        </is>
      </c>
      <c r="G33" s="673" t="inlineStr">
        <is>
          <t>Y09BM1489010</t>
        </is>
      </c>
      <c r="H33" s="504" t="n">
        <v>76510</v>
      </c>
      <c r="I33" s="678" t="inlineStr">
        <is>
          <t>SZK202205220002</t>
        </is>
      </c>
      <c r="J33" s="678" t="inlineStr">
        <is>
          <t>SZK202206100050</t>
        </is>
      </c>
      <c r="K33" s="676" t="n">
        <v>56.5630387534328</v>
      </c>
      <c r="L33" s="677" t="inlineStr">
        <is>
          <t>朗华</t>
        </is>
      </c>
    </row>
    <row r="34" ht="22.5" customHeight="1" s="184">
      <c r="A34" s="673" t="n">
        <v>34</v>
      </c>
      <c r="B34" s="444" t="inlineStr">
        <is>
          <t>海南比特</t>
        </is>
      </c>
      <c r="C34" s="674" t="n">
        <v>44701</v>
      </c>
      <c r="D34" s="673" t="inlineStr">
        <is>
          <t>世纪云芯</t>
        </is>
      </c>
      <c r="E34" s="675" t="inlineStr">
        <is>
          <t>捷策创</t>
        </is>
      </c>
      <c r="F34" s="675" t="inlineStr">
        <is>
          <t>BM1489</t>
        </is>
      </c>
      <c r="G34" s="673" t="inlineStr">
        <is>
          <t>Y09BM1489010</t>
        </is>
      </c>
      <c r="H34" s="504" t="n">
        <v>101438</v>
      </c>
      <c r="I34" s="678" t="inlineStr">
        <is>
          <t>SZK202205220002</t>
        </is>
      </c>
      <c r="J34" s="678" t="inlineStr">
        <is>
          <t>SZK202206100050</t>
        </is>
      </c>
      <c r="K34" s="676" t="n">
        <v>56.5630387534328</v>
      </c>
      <c r="L34" s="677" t="inlineStr">
        <is>
          <t>朗华</t>
        </is>
      </c>
    </row>
    <row r="35" ht="22.5" customHeight="1" s="184">
      <c r="A35" s="673" t="n">
        <v>35</v>
      </c>
      <c r="B35" s="444" t="inlineStr">
        <is>
          <t>海南比特</t>
        </is>
      </c>
      <c r="C35" s="674" t="n">
        <v>44701</v>
      </c>
      <c r="D35" s="673" t="inlineStr">
        <is>
          <t>世纪云芯</t>
        </is>
      </c>
      <c r="E35" s="675" t="inlineStr">
        <is>
          <t>捷策创</t>
        </is>
      </c>
      <c r="F35" s="675" t="inlineStr">
        <is>
          <t>BM1398BB</t>
        </is>
      </c>
      <c r="G35" s="673" t="inlineStr">
        <is>
          <t>Y09BM1398240</t>
        </is>
      </c>
      <c r="H35" s="504" t="n">
        <v>101279</v>
      </c>
      <c r="I35" s="678" t="inlineStr">
        <is>
          <t>SZK202205220002</t>
        </is>
      </c>
      <c r="J35" s="678" t="inlineStr">
        <is>
          <t>SZK202206100050</t>
        </is>
      </c>
      <c r="K35" s="676" t="n">
        <v>37.884432081194</v>
      </c>
      <c r="L35" s="677" t="inlineStr">
        <is>
          <t>朗华</t>
        </is>
      </c>
    </row>
    <row r="36" ht="22.5" customHeight="1" s="184">
      <c r="A36" s="673" t="n">
        <v>36</v>
      </c>
      <c r="B36" s="444" t="inlineStr">
        <is>
          <t>海南比特</t>
        </is>
      </c>
      <c r="C36" s="674" t="n">
        <v>44701</v>
      </c>
      <c r="D36" s="673" t="inlineStr">
        <is>
          <t>世纪云芯</t>
        </is>
      </c>
      <c r="E36" s="675" t="inlineStr">
        <is>
          <t>捷策创</t>
        </is>
      </c>
      <c r="F36" s="675" t="inlineStr">
        <is>
          <t>BM1362AK</t>
        </is>
      </c>
      <c r="G36" s="673" t="inlineStr">
        <is>
          <t>Y09BM1362310</t>
        </is>
      </c>
      <c r="H36" s="504" t="n">
        <v>2261903</v>
      </c>
      <c r="I36" s="678" t="inlineStr">
        <is>
          <t>SZK202205220002</t>
        </is>
      </c>
      <c r="J36" s="678" t="inlineStr">
        <is>
          <t>SZK202206100050</t>
        </is>
      </c>
      <c r="K36" s="676" t="n">
        <v>20.4108968071642</v>
      </c>
      <c r="L36" s="677" t="inlineStr">
        <is>
          <t>朗华</t>
        </is>
      </c>
    </row>
    <row r="37" ht="22.5" customHeight="1" s="184">
      <c r="A37" s="673" t="n">
        <v>37</v>
      </c>
      <c r="B37" s="444" t="inlineStr">
        <is>
          <t>海南比特</t>
        </is>
      </c>
      <c r="C37" s="674" t="n">
        <v>44701</v>
      </c>
      <c r="D37" s="673" t="inlineStr">
        <is>
          <t>世纪云芯</t>
        </is>
      </c>
      <c r="E37" s="675" t="inlineStr">
        <is>
          <t>伟测</t>
        </is>
      </c>
      <c r="F37" s="675" t="inlineStr">
        <is>
          <t>BM1362AK</t>
        </is>
      </c>
      <c r="G37" s="673" t="inlineStr">
        <is>
          <t>Y09BM1362310</t>
        </is>
      </c>
      <c r="H37" s="504" t="n">
        <v>2071337</v>
      </c>
      <c r="I37" s="678" t="inlineStr">
        <is>
          <t>SZK202205220002</t>
        </is>
      </c>
      <c r="J37" s="678" t="inlineStr">
        <is>
          <t>SZK202206100051</t>
        </is>
      </c>
      <c r="K37" s="676" t="n">
        <v>20.4108968071642</v>
      </c>
      <c r="L37" s="677" t="inlineStr">
        <is>
          <t>朗华</t>
        </is>
      </c>
      <c r="M37" s="658" t="inlineStr">
        <is>
          <t>物流把供应商名称写错了</t>
        </is>
      </c>
    </row>
    <row r="38" ht="22.5" customHeight="1" s="184">
      <c r="A38" s="673" t="n">
        <v>38</v>
      </c>
      <c r="B38" s="444" t="inlineStr">
        <is>
          <t>海南比特</t>
        </is>
      </c>
      <c r="C38" s="674" t="n">
        <v>44701</v>
      </c>
      <c r="D38" s="673" t="inlineStr">
        <is>
          <t>世纪云芯</t>
        </is>
      </c>
      <c r="E38" s="675" t="inlineStr">
        <is>
          <t>ASEKH</t>
        </is>
      </c>
      <c r="F38" s="675" t="inlineStr">
        <is>
          <t>BM1366AB</t>
        </is>
      </c>
      <c r="G38" s="673" t="inlineStr">
        <is>
          <t>Y09BM1366120</t>
        </is>
      </c>
      <c r="H38" s="504" t="n">
        <v>2191</v>
      </c>
      <c r="I38" s="678" t="inlineStr">
        <is>
          <t>SZK202205220003</t>
        </is>
      </c>
      <c r="J38" s="678" t="inlineStr">
        <is>
          <t>SZK202206100052</t>
        </is>
      </c>
      <c r="K38" s="676" t="n">
        <v>34.1939009241791</v>
      </c>
      <c r="L38" s="677" t="inlineStr">
        <is>
          <t>朗华</t>
        </is>
      </c>
    </row>
    <row r="39" ht="22.5" customHeight="1" s="184">
      <c r="A39" s="673" t="n">
        <v>39</v>
      </c>
      <c r="B39" s="444" t="inlineStr">
        <is>
          <t>海南比特</t>
        </is>
      </c>
      <c r="C39" s="674" t="n">
        <v>44701</v>
      </c>
      <c r="D39" s="673" t="inlineStr">
        <is>
          <t>世纪云芯</t>
        </is>
      </c>
      <c r="E39" s="675" t="inlineStr">
        <is>
          <t>XJ</t>
        </is>
      </c>
      <c r="F39" s="675" t="inlineStr">
        <is>
          <t>BM1362AK</t>
        </is>
      </c>
      <c r="G39" s="673" t="inlineStr">
        <is>
          <t>Y09BM1362310</t>
        </is>
      </c>
      <c r="H39" s="504" t="n">
        <v>1802463</v>
      </c>
      <c r="I39" s="678" t="inlineStr">
        <is>
          <t>SZK202205220004</t>
        </is>
      </c>
      <c r="J39" s="678" t="inlineStr">
        <is>
          <t>SZK202206100053</t>
        </is>
      </c>
      <c r="K39" s="676" t="n">
        <v>20.4108968071642</v>
      </c>
      <c r="L39" s="677" t="inlineStr">
        <is>
          <t>朗华</t>
        </is>
      </c>
    </row>
    <row r="40" ht="22.5" customHeight="1" s="184">
      <c r="A40" s="673" t="n">
        <v>40</v>
      </c>
      <c r="B40" s="444" t="inlineStr">
        <is>
          <t>海南比特</t>
        </is>
      </c>
      <c r="C40" s="674" t="n">
        <v>44701</v>
      </c>
      <c r="D40" s="673" t="inlineStr">
        <is>
          <t>世纪云芯</t>
        </is>
      </c>
      <c r="E40" s="675" t="inlineStr">
        <is>
          <t>XJ</t>
        </is>
      </c>
      <c r="F40" s="675" t="inlineStr">
        <is>
          <t>BM1362AC</t>
        </is>
      </c>
      <c r="G40" s="673" t="inlineStr">
        <is>
          <t>Y09BM1362C00</t>
        </is>
      </c>
      <c r="H40" s="504" t="n">
        <v>106484</v>
      </c>
      <c r="I40" s="678" t="inlineStr">
        <is>
          <t>SZK202205220004</t>
        </is>
      </c>
      <c r="J40" s="678" t="inlineStr">
        <is>
          <t>SZK202206100053</t>
        </is>
      </c>
      <c r="K40" s="676" t="n">
        <v>20.4108968071642</v>
      </c>
      <c r="L40" s="677" t="inlineStr">
        <is>
          <t>朗华</t>
        </is>
      </c>
    </row>
    <row r="41" ht="22.5" customHeight="1" s="184">
      <c r="A41" s="673" t="n">
        <v>41</v>
      </c>
      <c r="B41" s="444" t="inlineStr">
        <is>
          <t>海南比特</t>
        </is>
      </c>
      <c r="C41" s="674" t="n">
        <v>44701</v>
      </c>
      <c r="D41" s="673" t="inlineStr">
        <is>
          <t>世纪云芯</t>
        </is>
      </c>
      <c r="E41" s="675" t="inlineStr">
        <is>
          <t>XJ</t>
        </is>
      </c>
      <c r="F41" s="675" t="inlineStr">
        <is>
          <t>BM1362AI</t>
        </is>
      </c>
      <c r="G41" s="673" t="inlineStr">
        <is>
          <t>Y09BM1362110</t>
        </is>
      </c>
      <c r="H41" s="504" t="n">
        <v>67930</v>
      </c>
      <c r="I41" s="678" t="inlineStr">
        <is>
          <t>SZK202205220004</t>
        </is>
      </c>
      <c r="J41" s="678" t="inlineStr">
        <is>
          <t>SZK202206100053</t>
        </is>
      </c>
      <c r="K41" s="676" t="n">
        <v>20.4108968071642</v>
      </c>
      <c r="L41" s="677" t="inlineStr">
        <is>
          <t>朗华</t>
        </is>
      </c>
    </row>
    <row r="42" ht="22.5" customHeight="1" s="184">
      <c r="A42" s="673" t="n">
        <v>42</v>
      </c>
      <c r="B42" s="444" t="inlineStr">
        <is>
          <t>海南比特</t>
        </is>
      </c>
      <c r="C42" s="674" t="n">
        <v>44701</v>
      </c>
      <c r="D42" s="673" t="inlineStr">
        <is>
          <t>世纪云芯</t>
        </is>
      </c>
      <c r="E42" s="675" t="inlineStr">
        <is>
          <t>XJ</t>
        </is>
      </c>
      <c r="F42" s="675" t="inlineStr">
        <is>
          <t>BM1489</t>
        </is>
      </c>
      <c r="G42" s="673" t="inlineStr">
        <is>
          <t>Y09BM1489010</t>
        </is>
      </c>
      <c r="H42" s="504" t="n">
        <v>111256</v>
      </c>
      <c r="I42" s="678" t="inlineStr">
        <is>
          <t>SZK202205220004</t>
        </is>
      </c>
      <c r="J42" s="678" t="inlineStr">
        <is>
          <t>SZK202206100053</t>
        </is>
      </c>
      <c r="K42" s="676" t="n">
        <v>56.5630387534328</v>
      </c>
      <c r="L42" s="677" t="inlineStr">
        <is>
          <t>朗华</t>
        </is>
      </c>
    </row>
    <row r="43" ht="22.5" customHeight="1" s="184">
      <c r="A43" s="673" t="n">
        <v>43</v>
      </c>
      <c r="B43" s="444" t="inlineStr">
        <is>
          <t>海南比特</t>
        </is>
      </c>
      <c r="C43" s="674" t="n">
        <v>44704</v>
      </c>
      <c r="D43" s="673" t="inlineStr">
        <is>
          <t>世纪云芯</t>
        </is>
      </c>
      <c r="E43" s="675" t="inlineStr">
        <is>
          <t>捷策创</t>
        </is>
      </c>
      <c r="F43" s="675" t="inlineStr">
        <is>
          <t>BM1489</t>
        </is>
      </c>
      <c r="G43" s="673" t="inlineStr">
        <is>
          <t>Y09BM1489010</t>
        </is>
      </c>
      <c r="H43" s="504" t="n">
        <v>114902</v>
      </c>
      <c r="I43" s="678" t="inlineStr">
        <is>
          <t>SZK202205240014</t>
        </is>
      </c>
      <c r="J43" s="678" t="inlineStr">
        <is>
          <t>SZK202206100055</t>
        </is>
      </c>
      <c r="K43" s="676" t="n">
        <v>56.5630387534328</v>
      </c>
      <c r="L43" s="677" t="inlineStr">
        <is>
          <t>朗华</t>
        </is>
      </c>
    </row>
    <row r="44" ht="22.5" customHeight="1" s="184">
      <c r="A44" s="673" t="n">
        <v>44</v>
      </c>
      <c r="B44" s="444" t="inlineStr">
        <is>
          <t>海南比特</t>
        </is>
      </c>
      <c r="C44" s="674" t="n">
        <v>44704</v>
      </c>
      <c r="D44" s="673" t="inlineStr">
        <is>
          <t>世纪云芯</t>
        </is>
      </c>
      <c r="E44" s="675" t="inlineStr">
        <is>
          <t>XJ</t>
        </is>
      </c>
      <c r="F44" s="675" t="inlineStr">
        <is>
          <t>BM1362AK</t>
        </is>
      </c>
      <c r="G44" s="673" t="inlineStr">
        <is>
          <t>Y09BM1362310</t>
        </is>
      </c>
      <c r="H44" s="504" t="n">
        <v>2004927</v>
      </c>
      <c r="I44" s="678" t="inlineStr">
        <is>
          <t>SZK202205240015</t>
        </is>
      </c>
      <c r="J44" s="678" t="inlineStr">
        <is>
          <t>SZK202206100056</t>
        </is>
      </c>
      <c r="K44" s="676" t="n">
        <v>20.4108968071642</v>
      </c>
      <c r="L44" s="677" t="inlineStr">
        <is>
          <t>朗华</t>
        </is>
      </c>
    </row>
    <row r="45" ht="22.5" customHeight="1" s="184">
      <c r="A45" s="673" t="n">
        <v>45</v>
      </c>
      <c r="B45" s="444" t="inlineStr">
        <is>
          <t>海南比特</t>
        </is>
      </c>
      <c r="C45" s="674" t="n">
        <v>44704</v>
      </c>
      <c r="D45" s="673" t="inlineStr">
        <is>
          <t>世纪云芯</t>
        </is>
      </c>
      <c r="E45" s="675" t="inlineStr">
        <is>
          <t>XJ</t>
        </is>
      </c>
      <c r="F45" s="675" t="inlineStr">
        <is>
          <t>BM1489</t>
        </is>
      </c>
      <c r="G45" s="673" t="inlineStr">
        <is>
          <t>Y09BM1489010</t>
        </is>
      </c>
      <c r="H45" s="504" t="n">
        <v>15812</v>
      </c>
      <c r="I45" s="678" t="inlineStr">
        <is>
          <t>SZK202205240015</t>
        </is>
      </c>
      <c r="J45" s="678" t="inlineStr">
        <is>
          <t>SZK202206100056</t>
        </is>
      </c>
      <c r="K45" s="676" t="n">
        <v>56.5630387534328</v>
      </c>
      <c r="L45" s="677" t="inlineStr">
        <is>
          <t>朗华</t>
        </is>
      </c>
    </row>
    <row r="46" ht="22.5" customHeight="1" s="184">
      <c r="A46" s="673" t="n">
        <v>46</v>
      </c>
      <c r="B46" s="444" t="inlineStr">
        <is>
          <t>海南比特</t>
        </is>
      </c>
      <c r="C46" s="674" t="n">
        <v>44704</v>
      </c>
      <c r="D46" s="673" t="inlineStr">
        <is>
          <t>世纪云芯</t>
        </is>
      </c>
      <c r="E46" s="675" t="inlineStr">
        <is>
          <t>捷策创</t>
        </is>
      </c>
      <c r="F46" s="675" t="inlineStr">
        <is>
          <t>BM1366AG</t>
        </is>
      </c>
      <c r="G46" s="673" t="inlineStr">
        <is>
          <t>Y09BM1366820</t>
        </is>
      </c>
      <c r="H46" s="504" t="n">
        <v>51945</v>
      </c>
      <c r="I46" s="678" t="inlineStr">
        <is>
          <t>SZK202205240016</t>
        </is>
      </c>
      <c r="J46" s="678" t="inlineStr">
        <is>
          <t>SZK202206100057</t>
        </is>
      </c>
      <c r="K46" s="676" t="n">
        <v>34.1939009241791</v>
      </c>
      <c r="L46" s="677" t="inlineStr">
        <is>
          <t>朗华</t>
        </is>
      </c>
    </row>
    <row r="47" ht="22.5" customHeight="1" s="184">
      <c r="A47" s="673" t="n">
        <v>47</v>
      </c>
      <c r="B47" s="444" t="inlineStr">
        <is>
          <t>海南比特</t>
        </is>
      </c>
      <c r="C47" s="674" t="n">
        <v>44704</v>
      </c>
      <c r="D47" s="673" t="inlineStr">
        <is>
          <t>世纪云芯</t>
        </is>
      </c>
      <c r="E47" s="675" t="inlineStr">
        <is>
          <t>捷策创</t>
        </is>
      </c>
      <c r="F47" s="675" t="inlineStr">
        <is>
          <t>BM1489</t>
        </is>
      </c>
      <c r="G47" s="673" t="inlineStr">
        <is>
          <t>Y09BM1489010</t>
        </is>
      </c>
      <c r="H47" s="504" t="n">
        <v>49891</v>
      </c>
      <c r="I47" s="678" t="inlineStr">
        <is>
          <t>SZK202205240016</t>
        </is>
      </c>
      <c r="J47" s="678" t="inlineStr">
        <is>
          <t>SZK202206100057</t>
        </is>
      </c>
      <c r="K47" s="676" t="n">
        <v>56.5630387534328</v>
      </c>
      <c r="L47" s="677" t="inlineStr">
        <is>
          <t>朗华</t>
        </is>
      </c>
    </row>
    <row r="48" ht="22.5" customHeight="1" s="184">
      <c r="A48" s="673" t="n">
        <v>48</v>
      </c>
      <c r="B48" s="444" t="inlineStr">
        <is>
          <t>海南比特</t>
        </is>
      </c>
      <c r="C48" s="674" t="n">
        <v>44704</v>
      </c>
      <c r="D48" s="673" t="inlineStr">
        <is>
          <t>世纪云芯</t>
        </is>
      </c>
      <c r="E48" s="675" t="inlineStr">
        <is>
          <t>湖南越摩</t>
        </is>
      </c>
      <c r="F48" s="675" t="inlineStr">
        <is>
          <t>BM1366AG</t>
        </is>
      </c>
      <c r="G48" s="673" t="inlineStr">
        <is>
          <t>Y09BM1366820</t>
        </is>
      </c>
      <c r="H48" s="504" t="n">
        <v>572</v>
      </c>
      <c r="I48" s="678" t="inlineStr">
        <is>
          <t>SZK202205240017</t>
        </is>
      </c>
      <c r="J48" s="678" t="inlineStr">
        <is>
          <t>SZK202206100058</t>
        </is>
      </c>
      <c r="K48" s="676" t="n">
        <v>34.1939009241791</v>
      </c>
      <c r="L48" s="677" t="inlineStr">
        <is>
          <t>朗华</t>
        </is>
      </c>
    </row>
    <row r="49" ht="22.5" customHeight="1" s="184">
      <c r="A49" s="673" t="n">
        <v>49</v>
      </c>
      <c r="B49" s="444" t="inlineStr">
        <is>
          <t>海南比特</t>
        </is>
      </c>
      <c r="C49" s="674" t="n">
        <v>44704</v>
      </c>
      <c r="D49" s="673" t="inlineStr">
        <is>
          <t>世纪云芯</t>
        </is>
      </c>
      <c r="E49" s="675" t="inlineStr">
        <is>
          <t>无锡伟测</t>
        </is>
      </c>
      <c r="F49" s="675" t="inlineStr">
        <is>
          <t>BM1362AC</t>
        </is>
      </c>
      <c r="G49" s="673" t="inlineStr">
        <is>
          <t>Y09BM1362C00</t>
        </is>
      </c>
      <c r="H49" s="504" t="n">
        <v>425137</v>
      </c>
      <c r="I49" s="678" t="inlineStr">
        <is>
          <t>SZK202205240018</t>
        </is>
      </c>
      <c r="J49" s="678" t="inlineStr">
        <is>
          <t>SZK202206100059</t>
        </is>
      </c>
      <c r="K49" s="676" t="n">
        <v>20.4108968071642</v>
      </c>
      <c r="L49" s="677" t="inlineStr">
        <is>
          <t>朗华</t>
        </is>
      </c>
    </row>
    <row r="50" ht="22.5" customHeight="1" s="184">
      <c r="A50" s="673" t="n">
        <v>50</v>
      </c>
      <c r="B50" s="444" t="inlineStr">
        <is>
          <t>海南比特</t>
        </is>
      </c>
      <c r="C50" s="674" t="n">
        <v>44704</v>
      </c>
      <c r="D50" s="673" t="inlineStr">
        <is>
          <t>世纪云芯</t>
        </is>
      </c>
      <c r="E50" s="675" t="inlineStr">
        <is>
          <t>SCK</t>
        </is>
      </c>
      <c r="F50" s="675" t="inlineStr">
        <is>
          <t>BM1362AK</t>
        </is>
      </c>
      <c r="G50" s="673" t="inlineStr">
        <is>
          <t>Y09BM1362310</t>
        </is>
      </c>
      <c r="H50" s="504" t="n">
        <v>420997</v>
      </c>
      <c r="I50" s="678" t="inlineStr">
        <is>
          <t>SZK202205240019</t>
        </is>
      </c>
      <c r="J50" s="678" t="inlineStr">
        <is>
          <t>SZK202206100060</t>
        </is>
      </c>
      <c r="K50" s="676" t="n">
        <v>20.4108968071642</v>
      </c>
      <c r="L50" s="677" t="inlineStr">
        <is>
          <t>朗华</t>
        </is>
      </c>
    </row>
    <row r="51" ht="22.5" customHeight="1" s="184">
      <c r="A51" s="673" t="n">
        <v>51</v>
      </c>
      <c r="B51" s="444" t="inlineStr">
        <is>
          <t>海南比特</t>
        </is>
      </c>
      <c r="C51" s="674" t="n">
        <v>44705</v>
      </c>
      <c r="D51" s="673" t="inlineStr">
        <is>
          <t>世纪云芯</t>
        </is>
      </c>
      <c r="E51" s="675" t="inlineStr">
        <is>
          <t>SCK</t>
        </is>
      </c>
      <c r="F51" s="675" t="inlineStr">
        <is>
          <t>BM1362AK</t>
        </is>
      </c>
      <c r="G51" s="673" t="inlineStr">
        <is>
          <t>Y09BM1362310</t>
        </is>
      </c>
      <c r="H51" s="504" t="n">
        <v>564130</v>
      </c>
      <c r="I51" s="678" t="inlineStr">
        <is>
          <t>SZK202205240020</t>
        </is>
      </c>
      <c r="J51" s="678" t="inlineStr">
        <is>
          <t>SZK202206100061</t>
        </is>
      </c>
      <c r="K51" s="679" t="n">
        <v>19.0815891770213</v>
      </c>
      <c r="L51" s="677" t="inlineStr">
        <is>
          <t>朗华</t>
        </is>
      </c>
    </row>
    <row r="52" ht="22.5" customHeight="1" s="184">
      <c r="A52" s="673" t="n">
        <v>52</v>
      </c>
      <c r="B52" s="444" t="inlineStr">
        <is>
          <t>海南比特</t>
        </is>
      </c>
      <c r="C52" s="674" t="n">
        <v>44706</v>
      </c>
      <c r="D52" s="673" t="inlineStr">
        <is>
          <t>世纪云芯</t>
        </is>
      </c>
      <c r="E52" s="675" t="inlineStr">
        <is>
          <t>捷策创</t>
        </is>
      </c>
      <c r="F52" s="675" t="inlineStr">
        <is>
          <t>BM1489</t>
        </is>
      </c>
      <c r="G52" s="673" t="inlineStr">
        <is>
          <t>Y09BM1489010</t>
        </is>
      </c>
      <c r="H52" s="504" t="n">
        <v>109158</v>
      </c>
      <c r="I52" s="678" t="inlineStr">
        <is>
          <t>SZK202205250031</t>
        </is>
      </c>
      <c r="J52" s="678" t="inlineStr">
        <is>
          <t>SZK202206100062</t>
        </is>
      </c>
      <c r="K52" s="676" t="n">
        <v>56.5630387534328</v>
      </c>
      <c r="L52" s="677" t="inlineStr">
        <is>
          <t>朗华</t>
        </is>
      </c>
    </row>
    <row r="53" ht="22.5" customHeight="1" s="184">
      <c r="A53" s="673" t="n">
        <v>53</v>
      </c>
      <c r="B53" s="444" t="inlineStr">
        <is>
          <t>海南比特</t>
        </is>
      </c>
      <c r="C53" s="674" t="n">
        <v>44708</v>
      </c>
      <c r="D53" s="673" t="inlineStr">
        <is>
          <t>世纪云芯</t>
        </is>
      </c>
      <c r="E53" s="675" t="inlineStr">
        <is>
          <t>XJ</t>
        </is>
      </c>
      <c r="F53" s="675" t="inlineStr">
        <is>
          <t>BM1362AK</t>
        </is>
      </c>
      <c r="G53" s="673" t="inlineStr">
        <is>
          <t>Y09BM1362310</t>
        </is>
      </c>
      <c r="H53" s="504" t="n">
        <v>2002453</v>
      </c>
      <c r="I53" s="678" t="inlineStr">
        <is>
          <t>SZK202205270030</t>
        </is>
      </c>
      <c r="J53" s="678" t="inlineStr">
        <is>
          <t>SZK202206100063</t>
        </is>
      </c>
      <c r="K53" s="676" t="n">
        <v>20.4108968071642</v>
      </c>
      <c r="L53" s="677" t="inlineStr">
        <is>
          <t>朗华</t>
        </is>
      </c>
    </row>
    <row r="54" ht="22.5" customHeight="1" s="184">
      <c r="A54" s="673" t="n">
        <v>54</v>
      </c>
      <c r="B54" s="444" t="inlineStr">
        <is>
          <t>海南比特</t>
        </is>
      </c>
      <c r="C54" s="674" t="n">
        <v>44708</v>
      </c>
      <c r="D54" s="673" t="inlineStr">
        <is>
          <t>世纪云芯</t>
        </is>
      </c>
      <c r="E54" s="675" t="inlineStr">
        <is>
          <t>SCK</t>
        </is>
      </c>
      <c r="F54" s="675" t="inlineStr">
        <is>
          <t>BM1362AK</t>
        </is>
      </c>
      <c r="G54" s="673" t="inlineStr">
        <is>
          <t>Y09BM1362310</t>
        </is>
      </c>
      <c r="H54" s="504" t="n">
        <v>436727</v>
      </c>
      <c r="I54" s="678" t="inlineStr">
        <is>
          <t>SZK202205270031</t>
        </is>
      </c>
      <c r="J54" s="678" t="inlineStr">
        <is>
          <t>SZK202206100064</t>
        </is>
      </c>
      <c r="K54" s="680" t="n">
        <v>19.0815891770213</v>
      </c>
      <c r="L54" s="677" t="inlineStr">
        <is>
          <t>朗华</t>
        </is>
      </c>
    </row>
    <row r="55" ht="22.5" customHeight="1" s="184">
      <c r="A55" s="673" t="n">
        <v>55</v>
      </c>
      <c r="B55" s="444" t="inlineStr">
        <is>
          <t>海南比特</t>
        </is>
      </c>
      <c r="C55" s="674" t="n">
        <v>44708</v>
      </c>
      <c r="D55" s="673" t="inlineStr">
        <is>
          <t>世纪云芯</t>
        </is>
      </c>
      <c r="E55" s="675" t="inlineStr">
        <is>
          <t>捷策创</t>
        </is>
      </c>
      <c r="F55" s="675" t="inlineStr">
        <is>
          <t>BM1366AB</t>
        </is>
      </c>
      <c r="G55" s="673" t="inlineStr">
        <is>
          <t>Y09BM1366120</t>
        </is>
      </c>
      <c r="H55" s="504" t="n">
        <v>168902</v>
      </c>
      <c r="I55" s="678" t="inlineStr">
        <is>
          <t>SZK202205270032</t>
        </is>
      </c>
      <c r="J55" s="678" t="inlineStr">
        <is>
          <t>SZK202206100065</t>
        </is>
      </c>
      <c r="K55" s="676" t="n">
        <v>34.1939009241791</v>
      </c>
      <c r="L55" s="677" t="inlineStr">
        <is>
          <t>世纪通</t>
        </is>
      </c>
    </row>
    <row r="56" ht="22.5" customHeight="1" s="184">
      <c r="A56" s="673" t="n">
        <v>56</v>
      </c>
      <c r="B56" s="444" t="inlineStr">
        <is>
          <t>海南比特</t>
        </is>
      </c>
      <c r="C56" s="674" t="n">
        <v>44708</v>
      </c>
      <c r="D56" s="673" t="inlineStr">
        <is>
          <t>世纪云芯</t>
        </is>
      </c>
      <c r="E56" s="675" t="inlineStr">
        <is>
          <t>捷策创</t>
        </is>
      </c>
      <c r="F56" s="675" t="inlineStr">
        <is>
          <t>BM1366AG</t>
        </is>
      </c>
      <c r="G56" s="673" t="inlineStr">
        <is>
          <t>Y09BM1366820</t>
        </is>
      </c>
      <c r="H56" s="504" t="n">
        <v>44437</v>
      </c>
      <c r="I56" s="678" t="inlineStr">
        <is>
          <t>SZK202205270032</t>
        </is>
      </c>
      <c r="J56" s="678" t="inlineStr">
        <is>
          <t>SZK202206100065</t>
        </is>
      </c>
      <c r="K56" s="676" t="n">
        <v>34.1939009241791</v>
      </c>
      <c r="L56" s="677" t="inlineStr">
        <is>
          <t>世纪通</t>
        </is>
      </c>
    </row>
    <row r="57" ht="22.5" customHeight="1" s="184">
      <c r="A57" s="673" t="n">
        <v>57</v>
      </c>
      <c r="B57" s="444" t="inlineStr">
        <is>
          <t>海南比特</t>
        </is>
      </c>
      <c r="C57" s="674" t="n">
        <v>44708</v>
      </c>
      <c r="D57" s="673" t="inlineStr">
        <is>
          <t>世纪云芯</t>
        </is>
      </c>
      <c r="E57" s="675" t="inlineStr">
        <is>
          <t>捷策创</t>
        </is>
      </c>
      <c r="F57" s="675" t="inlineStr">
        <is>
          <t>BM1489</t>
        </is>
      </c>
      <c r="G57" s="673" t="inlineStr">
        <is>
          <t>Y09BM1489010</t>
        </is>
      </c>
      <c r="H57" s="504" t="n">
        <v>1188</v>
      </c>
      <c r="I57" s="678" t="inlineStr">
        <is>
          <t>SZK202205270032</t>
        </is>
      </c>
      <c r="J57" s="678" t="inlineStr">
        <is>
          <t>SZK202206100065</t>
        </is>
      </c>
      <c r="K57" s="676" t="n">
        <v>56.5630387534328</v>
      </c>
      <c r="L57" s="677" t="inlineStr">
        <is>
          <t>世纪通</t>
        </is>
      </c>
    </row>
    <row r="58" ht="22.5" customHeight="1" s="184">
      <c r="A58" s="673" t="n">
        <v>58</v>
      </c>
      <c r="B58" s="444" t="inlineStr">
        <is>
          <t>海南比特</t>
        </is>
      </c>
      <c r="C58" s="674" t="n">
        <v>44708</v>
      </c>
      <c r="D58" s="673" t="inlineStr">
        <is>
          <t>世纪云芯</t>
        </is>
      </c>
      <c r="E58" s="675" t="inlineStr">
        <is>
          <t>捷策创</t>
        </is>
      </c>
      <c r="F58" s="675" t="inlineStr">
        <is>
          <t>BM1398BB</t>
        </is>
      </c>
      <c r="G58" s="673" t="inlineStr">
        <is>
          <t>Y09BM1398240</t>
        </is>
      </c>
      <c r="H58" s="504" t="n">
        <v>60953</v>
      </c>
      <c r="I58" s="678" t="inlineStr">
        <is>
          <t>SZK202205270032</t>
        </is>
      </c>
      <c r="J58" s="678" t="inlineStr">
        <is>
          <t>SZK202206100065</t>
        </is>
      </c>
      <c r="K58" s="676" t="n">
        <v>37.884432081194</v>
      </c>
      <c r="L58" s="677" t="inlineStr">
        <is>
          <t>世纪通</t>
        </is>
      </c>
    </row>
    <row r="59" ht="22.5" customHeight="1" s="184">
      <c r="A59" s="673" t="n">
        <v>59</v>
      </c>
      <c r="B59" s="444" t="inlineStr">
        <is>
          <t>海南比特</t>
        </is>
      </c>
      <c r="C59" s="674" t="n">
        <v>44708</v>
      </c>
      <c r="D59" s="673" t="inlineStr">
        <is>
          <t>世纪云芯</t>
        </is>
      </c>
      <c r="E59" s="675" t="inlineStr">
        <is>
          <t>捷策创</t>
        </is>
      </c>
      <c r="F59" s="675" t="inlineStr">
        <is>
          <t>BM1489</t>
        </is>
      </c>
      <c r="G59" s="673" t="inlineStr">
        <is>
          <t>Y09BM1489010</t>
        </is>
      </c>
      <c r="H59" s="504" t="n">
        <v>343618</v>
      </c>
      <c r="I59" s="678" t="inlineStr">
        <is>
          <t>SZK202205270032</t>
        </is>
      </c>
      <c r="J59" s="678" t="inlineStr">
        <is>
          <t>SZK202206100065</t>
        </is>
      </c>
      <c r="K59" s="676" t="n">
        <v>56.5630387534328</v>
      </c>
      <c r="L59" s="677" t="inlineStr">
        <is>
          <t>世纪通</t>
        </is>
      </c>
    </row>
    <row r="60" ht="22.5" customHeight="1" s="184">
      <c r="A60" s="673" t="n">
        <v>59</v>
      </c>
      <c r="B60" s="444" t="inlineStr">
        <is>
          <t>海南比特</t>
        </is>
      </c>
      <c r="C60" s="674" t="n">
        <v>44711</v>
      </c>
      <c r="D60" s="673" t="inlineStr">
        <is>
          <t>世纪云芯</t>
        </is>
      </c>
      <c r="E60" s="675" t="inlineStr">
        <is>
          <t>XJ</t>
        </is>
      </c>
      <c r="F60" s="675" t="inlineStr">
        <is>
          <t>BM1366AG</t>
        </is>
      </c>
      <c r="G60" s="673" t="inlineStr">
        <is>
          <t>Y09BM1366820</t>
        </is>
      </c>
      <c r="H60" s="504" t="n">
        <v>231124</v>
      </c>
      <c r="I60" s="678" t="inlineStr">
        <is>
          <t>SZK202206010016</t>
        </is>
      </c>
      <c r="J60" s="678" t="inlineStr">
        <is>
          <t>SZK202206100066</t>
        </is>
      </c>
      <c r="K60" s="676" t="n">
        <v>34.1939009241791</v>
      </c>
      <c r="L60" s="677" t="inlineStr">
        <is>
          <t>朗华</t>
        </is>
      </c>
    </row>
    <row r="61" ht="22.5" customHeight="1" s="184">
      <c r="A61" s="673" t="n">
        <v>61</v>
      </c>
      <c r="B61" s="444" t="inlineStr">
        <is>
          <t>海南比特</t>
        </is>
      </c>
      <c r="C61" s="674" t="n">
        <v>44711</v>
      </c>
      <c r="D61" s="673" t="inlineStr">
        <is>
          <t>世纪云芯</t>
        </is>
      </c>
      <c r="E61" s="675" t="inlineStr">
        <is>
          <t>XJ</t>
        </is>
      </c>
      <c r="F61" s="675" t="inlineStr">
        <is>
          <t>BM1398BB</t>
        </is>
      </c>
      <c r="G61" s="673" t="inlineStr">
        <is>
          <t>Y09BM1398240</t>
        </is>
      </c>
      <c r="H61" s="504" t="n">
        <v>40885</v>
      </c>
      <c r="I61" s="678" t="inlineStr">
        <is>
          <t>SZK202206010016</t>
        </is>
      </c>
      <c r="J61" s="678" t="inlineStr">
        <is>
          <t>SZK202206100066</t>
        </is>
      </c>
      <c r="K61" s="676" t="n">
        <v>37.884432081194</v>
      </c>
      <c r="L61" s="677" t="inlineStr">
        <is>
          <t>朗华</t>
        </is>
      </c>
    </row>
    <row r="62" ht="22.5" customHeight="1" s="184">
      <c r="A62" s="673" t="n">
        <v>62</v>
      </c>
      <c r="B62" s="444" t="inlineStr">
        <is>
          <t>海南比特</t>
        </is>
      </c>
      <c r="C62" s="674" t="n">
        <v>44711</v>
      </c>
      <c r="D62" s="673" t="inlineStr">
        <is>
          <t>世纪云芯</t>
        </is>
      </c>
      <c r="E62" s="675" t="inlineStr">
        <is>
          <t>XJ</t>
        </is>
      </c>
      <c r="F62" s="675" t="inlineStr">
        <is>
          <t>BM1398BB</t>
        </is>
      </c>
      <c r="G62" s="673" t="inlineStr">
        <is>
          <t>Y09BM1398240</t>
        </is>
      </c>
      <c r="H62" s="504" t="n">
        <v>49561</v>
      </c>
      <c r="I62" s="678" t="inlineStr">
        <is>
          <t>SZK202206010016</t>
        </is>
      </c>
      <c r="J62" s="678" t="inlineStr">
        <is>
          <t>SZK202206100066</t>
        </is>
      </c>
      <c r="K62" s="676" t="n">
        <v>37.884432081194</v>
      </c>
      <c r="L62" s="677" t="inlineStr">
        <is>
          <t>朗华</t>
        </is>
      </c>
    </row>
    <row r="63" ht="22.5" customHeight="1" s="184">
      <c r="A63" s="673" t="n">
        <v>63</v>
      </c>
      <c r="B63" s="444" t="inlineStr">
        <is>
          <t>海南比特</t>
        </is>
      </c>
      <c r="C63" s="674" t="n">
        <v>44711</v>
      </c>
      <c r="D63" s="673" t="inlineStr">
        <is>
          <t>世纪云芯</t>
        </is>
      </c>
      <c r="E63" s="675" t="inlineStr">
        <is>
          <t>XJ</t>
        </is>
      </c>
      <c r="F63" s="675" t="inlineStr">
        <is>
          <t>BM1398BB</t>
        </is>
      </c>
      <c r="G63" s="673" t="inlineStr">
        <is>
          <t>Y09BM1398240</t>
        </is>
      </c>
      <c r="H63" s="504" t="n">
        <v>44231</v>
      </c>
      <c r="I63" s="678" t="inlineStr">
        <is>
          <t>SZK202206010016</t>
        </is>
      </c>
      <c r="J63" s="678" t="inlineStr">
        <is>
          <t>SZK202206100066</t>
        </is>
      </c>
      <c r="K63" s="676" t="n">
        <v>37.884432081194</v>
      </c>
      <c r="L63" s="677" t="inlineStr">
        <is>
          <t>朗华</t>
        </is>
      </c>
    </row>
    <row r="64" ht="22.5" customHeight="1" s="184">
      <c r="A64" s="673" t="n">
        <v>64</v>
      </c>
      <c r="B64" s="444" t="inlineStr">
        <is>
          <t>海南比特</t>
        </is>
      </c>
      <c r="C64" s="674" t="n">
        <v>44711</v>
      </c>
      <c r="D64" s="673" t="inlineStr">
        <is>
          <t>世纪云芯</t>
        </is>
      </c>
      <c r="E64" s="675" t="inlineStr">
        <is>
          <t>spilsz</t>
        </is>
      </c>
      <c r="F64" s="675" t="inlineStr">
        <is>
          <t>BM1366AG</t>
        </is>
      </c>
      <c r="G64" s="673" t="inlineStr">
        <is>
          <t>Y09BM1366820</t>
        </is>
      </c>
      <c r="H64" s="504" t="n">
        <v>8400</v>
      </c>
      <c r="I64" s="678" t="inlineStr">
        <is>
          <t>SZK202206010017</t>
        </is>
      </c>
      <c r="J64" s="678" t="inlineStr">
        <is>
          <t>SZK202206100067</t>
        </is>
      </c>
      <c r="K64" s="676" t="n">
        <v>34.1939009241791</v>
      </c>
      <c r="L64" s="677" t="inlineStr">
        <is>
          <t>朗华</t>
        </is>
      </c>
    </row>
    <row r="65" ht="22.5" customHeight="1" s="184">
      <c r="A65" s="673" t="n">
        <v>65</v>
      </c>
      <c r="B65" s="444" t="inlineStr">
        <is>
          <t>海南比特</t>
        </is>
      </c>
      <c r="C65" s="674" t="n">
        <v>44711</v>
      </c>
      <c r="D65" s="673" t="inlineStr">
        <is>
          <t>世纪云芯</t>
        </is>
      </c>
      <c r="E65" s="675" t="inlineStr">
        <is>
          <t>捷策创</t>
        </is>
      </c>
      <c r="F65" s="675" t="inlineStr">
        <is>
          <t>BM1366AG</t>
        </is>
      </c>
      <c r="G65" s="673" t="inlineStr">
        <is>
          <t>Y09BM1366820</t>
        </is>
      </c>
      <c r="H65" s="504" t="n">
        <v>355421</v>
      </c>
      <c r="I65" s="678" t="inlineStr">
        <is>
          <t>SZK202206010018</t>
        </is>
      </c>
      <c r="J65" s="678" t="inlineStr">
        <is>
          <t>SZK202206100068</t>
        </is>
      </c>
      <c r="K65" s="676" t="n">
        <v>34.1939009241791</v>
      </c>
      <c r="L65" s="677" t="inlineStr">
        <is>
          <t>朗华</t>
        </is>
      </c>
    </row>
    <row r="66" ht="22.5" customHeight="1" s="184">
      <c r="A66" s="673" t="n">
        <v>66</v>
      </c>
      <c r="B66" s="444" t="inlineStr">
        <is>
          <t>海南比特</t>
        </is>
      </c>
      <c r="C66" s="674" t="n">
        <v>44711</v>
      </c>
      <c r="D66" s="673" t="inlineStr">
        <is>
          <t>世纪云芯</t>
        </is>
      </c>
      <c r="E66" s="675" t="inlineStr">
        <is>
          <t>捷策创</t>
        </is>
      </c>
      <c r="F66" s="675" t="inlineStr">
        <is>
          <t>BM1366AG</t>
        </is>
      </c>
      <c r="G66" s="673" t="inlineStr">
        <is>
          <t>Y09BM1366820</t>
        </is>
      </c>
      <c r="H66" s="504" t="n">
        <v>174029</v>
      </c>
      <c r="I66" s="678" t="inlineStr">
        <is>
          <t>SZK202206010018</t>
        </is>
      </c>
      <c r="J66" s="678" t="inlineStr">
        <is>
          <t>SZK202206100068</t>
        </is>
      </c>
      <c r="K66" s="676" t="n">
        <v>34.1939009241791</v>
      </c>
      <c r="L66" s="677" t="inlineStr">
        <is>
          <t>朗华</t>
        </is>
      </c>
    </row>
    <row r="67" ht="22.5" customHeight="1" s="184">
      <c r="A67" s="681" t="n">
        <v>1</v>
      </c>
      <c r="B67" s="512" t="inlineStr">
        <is>
          <t>海南比特</t>
        </is>
      </c>
      <c r="C67" s="682" t="n">
        <v>44713</v>
      </c>
      <c r="D67" s="681" t="inlineStr">
        <is>
          <t>世纪云芯</t>
        </is>
      </c>
      <c r="E67" s="683" t="inlineStr">
        <is>
          <t>湖南越摩</t>
        </is>
      </c>
      <c r="F67" s="683" t="inlineStr">
        <is>
          <t>BM1366AG</t>
        </is>
      </c>
      <c r="G67" s="673" t="inlineStr">
        <is>
          <t>Y09BM1366820</t>
        </is>
      </c>
      <c r="H67" s="516" t="n">
        <v>1193</v>
      </c>
      <c r="I67" s="684" t="inlineStr">
        <is>
          <t>SZK202206070003</t>
        </is>
      </c>
      <c r="J67" s="684" t="inlineStr">
        <is>
          <t>SZK202206090030</t>
        </is>
      </c>
      <c r="K67" s="685" t="n">
        <v>33.8459675007131</v>
      </c>
      <c r="L67" s="683" t="inlineStr">
        <is>
          <t>朗华</t>
        </is>
      </c>
    </row>
    <row r="68" ht="22.5" customHeight="1" s="184">
      <c r="A68" s="681" t="n">
        <v>2</v>
      </c>
      <c r="B68" s="512" t="inlineStr">
        <is>
          <t>海南比特</t>
        </is>
      </c>
      <c r="C68" s="682" t="n">
        <v>44713</v>
      </c>
      <c r="D68" s="681" t="inlineStr">
        <is>
          <t>世纪云芯</t>
        </is>
      </c>
      <c r="E68" s="683" t="inlineStr">
        <is>
          <t>asekh</t>
        </is>
      </c>
      <c r="F68" s="683" t="inlineStr">
        <is>
          <t>BM1366AB</t>
        </is>
      </c>
      <c r="G68" s="673" t="inlineStr">
        <is>
          <t>Y09BM1366120</t>
        </is>
      </c>
      <c r="H68" s="516" t="n">
        <v>231</v>
      </c>
      <c r="I68" s="684" t="inlineStr">
        <is>
          <t>SZK202206070004</t>
        </is>
      </c>
      <c r="J68" s="684" t="inlineStr">
        <is>
          <t>SZK202206090031</t>
        </is>
      </c>
      <c r="K68" s="685" t="n">
        <v>33.8459675007131</v>
      </c>
      <c r="L68" s="683" t="inlineStr">
        <is>
          <t>朗华</t>
        </is>
      </c>
    </row>
    <row r="69" ht="22.5" customHeight="1" s="184">
      <c r="A69" s="681" t="n">
        <v>3</v>
      </c>
      <c r="B69" s="512" t="inlineStr">
        <is>
          <t>海南比特</t>
        </is>
      </c>
      <c r="C69" s="682" t="n">
        <v>44713</v>
      </c>
      <c r="D69" s="681" t="inlineStr">
        <is>
          <t>世纪云芯</t>
        </is>
      </c>
      <c r="E69" s="683" t="inlineStr">
        <is>
          <t>XJ</t>
        </is>
      </c>
      <c r="F69" s="683" t="inlineStr">
        <is>
          <t>BM1366AG</t>
        </is>
      </c>
      <c r="G69" s="673" t="inlineStr">
        <is>
          <t>Y09BM1366820</t>
        </is>
      </c>
      <c r="H69" s="516" t="n">
        <v>30875</v>
      </c>
      <c r="I69" s="684" t="inlineStr">
        <is>
          <t>SZK202206070005</t>
        </is>
      </c>
      <c r="J69" s="684" t="inlineStr">
        <is>
          <t>SZK202206090032</t>
        </is>
      </c>
      <c r="K69" s="685" t="n">
        <v>33.8459675007131</v>
      </c>
      <c r="L69" s="683" t="inlineStr">
        <is>
          <t>朗华</t>
        </is>
      </c>
    </row>
    <row r="70" ht="22.5" customHeight="1" s="184">
      <c r="A70" s="681" t="n">
        <v>4</v>
      </c>
      <c r="B70" s="512" t="inlineStr">
        <is>
          <t>海南比特</t>
        </is>
      </c>
      <c r="C70" s="682" t="n">
        <v>44713</v>
      </c>
      <c r="D70" s="681" t="inlineStr">
        <is>
          <t>世纪云芯</t>
        </is>
      </c>
      <c r="E70" s="683" t="inlineStr">
        <is>
          <t>捷策创</t>
        </is>
      </c>
      <c r="F70" s="683" t="inlineStr">
        <is>
          <t>BM1366AG</t>
        </is>
      </c>
      <c r="G70" s="673" t="inlineStr">
        <is>
          <t>Y09BM1366820</t>
        </is>
      </c>
      <c r="H70" s="516" t="n">
        <v>361316</v>
      </c>
      <c r="I70" s="684" t="inlineStr">
        <is>
          <t>SZK202206070006</t>
        </is>
      </c>
      <c r="J70" s="684" t="inlineStr">
        <is>
          <t>SZK202206090033</t>
        </is>
      </c>
      <c r="K70" s="685" t="n">
        <v>33.8459675007131</v>
      </c>
      <c r="L70" s="683" t="inlineStr">
        <is>
          <t>朗华</t>
        </is>
      </c>
    </row>
    <row r="71" ht="22.5" customHeight="1" s="184">
      <c r="A71" s="681" t="n">
        <v>5</v>
      </c>
      <c r="B71" s="512" t="inlineStr">
        <is>
          <t>海南比特</t>
        </is>
      </c>
      <c r="C71" s="682" t="n">
        <v>44713</v>
      </c>
      <c r="D71" s="681" t="inlineStr">
        <is>
          <t>世纪云芯</t>
        </is>
      </c>
      <c r="E71" s="683" t="inlineStr">
        <is>
          <t>SCK</t>
        </is>
      </c>
      <c r="F71" s="683" t="inlineStr">
        <is>
          <t>BM1366AH</t>
        </is>
      </c>
      <c r="G71" s="673" t="inlineStr">
        <is>
          <t>Y09BM1366930</t>
        </is>
      </c>
      <c r="H71" s="516" t="n">
        <v>77</v>
      </c>
      <c r="I71" s="684" t="inlineStr">
        <is>
          <t>SZK202206070007</t>
        </is>
      </c>
      <c r="J71" s="684" t="inlineStr">
        <is>
          <t>SZK202206090034</t>
        </is>
      </c>
      <c r="K71" s="685" t="n">
        <v>33.8459675007131</v>
      </c>
      <c r="L71" s="683" t="inlineStr">
        <is>
          <t>朗华</t>
        </is>
      </c>
    </row>
    <row r="72" ht="22.5" customHeight="1" s="184">
      <c r="A72" s="681" t="n">
        <v>6</v>
      </c>
      <c r="B72" s="512" t="inlineStr">
        <is>
          <t>海南比特</t>
        </is>
      </c>
      <c r="C72" s="682" t="n">
        <v>44714</v>
      </c>
      <c r="D72" s="681" t="inlineStr">
        <is>
          <t>世纪云芯</t>
        </is>
      </c>
      <c r="E72" s="683" t="inlineStr">
        <is>
          <t>XJ</t>
        </is>
      </c>
      <c r="F72" s="683" t="inlineStr">
        <is>
          <t>BM1362AK</t>
        </is>
      </c>
      <c r="G72" s="673" t="inlineStr">
        <is>
          <t>Y09BM1362310</t>
        </is>
      </c>
      <c r="H72" s="516" t="n">
        <v>2000945</v>
      </c>
      <c r="I72" s="684" t="inlineStr">
        <is>
          <t>SZK202206070008</t>
        </is>
      </c>
      <c r="J72" s="684" t="inlineStr">
        <is>
          <t>SZK202206090035</t>
        </is>
      </c>
      <c r="K72" s="685" t="n">
        <v>20.2196235560928</v>
      </c>
      <c r="L72" s="683" t="inlineStr">
        <is>
          <t>朗华</t>
        </is>
      </c>
    </row>
    <row r="73" ht="22.5" customHeight="1" s="184">
      <c r="A73" s="681" t="n">
        <v>7</v>
      </c>
      <c r="B73" s="512" t="inlineStr">
        <is>
          <t>海南比特</t>
        </is>
      </c>
      <c r="C73" s="682" t="n">
        <v>44714</v>
      </c>
      <c r="D73" s="681" t="inlineStr">
        <is>
          <t>世纪云芯</t>
        </is>
      </c>
      <c r="E73" s="683" t="inlineStr">
        <is>
          <t>XJ</t>
        </is>
      </c>
      <c r="F73" s="683" t="inlineStr">
        <is>
          <t>BM1366AG</t>
        </is>
      </c>
      <c r="G73" s="673" t="inlineStr">
        <is>
          <t>Y09BM1366820</t>
        </is>
      </c>
      <c r="H73" s="516" t="n">
        <v>115724</v>
      </c>
      <c r="I73" s="684" t="inlineStr">
        <is>
          <t>SZK202206070008</t>
        </is>
      </c>
      <c r="J73" s="684" t="inlineStr">
        <is>
          <t>SZK202206090035</t>
        </is>
      </c>
      <c r="K73" s="685" t="n">
        <v>33.8459675007131</v>
      </c>
      <c r="L73" s="683" t="inlineStr">
        <is>
          <t>朗华</t>
        </is>
      </c>
    </row>
    <row r="74" ht="22.5" customHeight="1" s="184">
      <c r="A74" s="681" t="n">
        <v>8</v>
      </c>
      <c r="B74" s="512" t="inlineStr">
        <is>
          <t>海南比特</t>
        </is>
      </c>
      <c r="C74" s="682" t="n">
        <v>44714</v>
      </c>
      <c r="D74" s="681" t="inlineStr">
        <is>
          <t>世纪云芯</t>
        </is>
      </c>
      <c r="E74" s="683" t="inlineStr">
        <is>
          <t>捷策创</t>
        </is>
      </c>
      <c r="F74" s="683" t="inlineStr">
        <is>
          <t>BM1366AG</t>
        </is>
      </c>
      <c r="G74" s="673" t="inlineStr">
        <is>
          <t>Y09BM1366820</t>
        </is>
      </c>
      <c r="H74" s="516" t="n">
        <v>514389</v>
      </c>
      <c r="I74" s="684" t="inlineStr">
        <is>
          <t>SZK202206070009</t>
        </is>
      </c>
      <c r="J74" s="684" t="inlineStr">
        <is>
          <t>SZK202206090036</t>
        </is>
      </c>
      <c r="K74" s="685" t="n">
        <v>33.8459675007131</v>
      </c>
      <c r="L74" s="683" t="inlineStr">
        <is>
          <t>朗华</t>
        </is>
      </c>
    </row>
    <row r="75" ht="22.5" customHeight="1" s="184">
      <c r="A75" s="681" t="n">
        <v>9</v>
      </c>
      <c r="B75" s="512" t="inlineStr">
        <is>
          <t>海南比特</t>
        </is>
      </c>
      <c r="C75" s="682" t="n">
        <v>44714</v>
      </c>
      <c r="D75" s="681" t="inlineStr">
        <is>
          <t>世纪云芯</t>
        </is>
      </c>
      <c r="E75" s="683" t="inlineStr">
        <is>
          <t>TF</t>
        </is>
      </c>
      <c r="F75" s="683" t="inlineStr">
        <is>
          <t>BM1366AB</t>
        </is>
      </c>
      <c r="G75" s="673" t="inlineStr">
        <is>
          <t>Y09BM1366120</t>
        </is>
      </c>
      <c r="H75" s="516" t="n">
        <v>996</v>
      </c>
      <c r="I75" s="684" t="inlineStr">
        <is>
          <t>SZK202206070010</t>
        </is>
      </c>
      <c r="J75" s="684" t="inlineStr">
        <is>
          <t>SZK202206090037</t>
        </is>
      </c>
      <c r="K75" s="685" t="n">
        <v>33.8459675007131</v>
      </c>
      <c r="L75" s="683" t="inlineStr">
        <is>
          <t>朗华</t>
        </is>
      </c>
    </row>
    <row r="76" ht="22.5" customHeight="1" s="184">
      <c r="A76" s="681" t="n">
        <v>11</v>
      </c>
      <c r="B76" s="512" t="inlineStr">
        <is>
          <t>海南比特</t>
        </is>
      </c>
      <c r="C76" s="682" t="n">
        <v>44718</v>
      </c>
      <c r="D76" s="681" t="inlineStr">
        <is>
          <t>世纪云芯</t>
        </is>
      </c>
      <c r="E76" s="683" t="inlineStr">
        <is>
          <t>XJ</t>
        </is>
      </c>
      <c r="F76" s="683" t="inlineStr">
        <is>
          <t>BM1362AK</t>
        </is>
      </c>
      <c r="G76" s="673" t="inlineStr">
        <is>
          <t>Y09BM1362310</t>
        </is>
      </c>
      <c r="H76" s="516" t="n">
        <v>1001415</v>
      </c>
      <c r="I76" s="684" t="inlineStr">
        <is>
          <t>SZK202206070012</t>
        </is>
      </c>
      <c r="J76" s="684" t="inlineStr">
        <is>
          <t>SZK202206090039</t>
        </is>
      </c>
      <c r="K76" s="685" t="n">
        <v>20.2196235560928</v>
      </c>
      <c r="L76" s="683" t="inlineStr">
        <is>
          <t>朗华</t>
        </is>
      </c>
    </row>
    <row r="77" ht="22.5" customHeight="1" s="184">
      <c r="A77" s="681" t="n">
        <v>12</v>
      </c>
      <c r="B77" s="512" t="inlineStr">
        <is>
          <t>海南比特</t>
        </is>
      </c>
      <c r="C77" s="682" t="n">
        <v>44718</v>
      </c>
      <c r="D77" s="681" t="inlineStr">
        <is>
          <t>世纪云芯</t>
        </is>
      </c>
      <c r="E77" s="683" t="inlineStr">
        <is>
          <t>捷策创</t>
        </is>
      </c>
      <c r="F77" s="683" t="inlineStr">
        <is>
          <t>BM1366AG</t>
        </is>
      </c>
      <c r="G77" s="673" t="inlineStr">
        <is>
          <t>Y09BM1366820</t>
        </is>
      </c>
      <c r="H77" s="516" t="n">
        <v>618016</v>
      </c>
      <c r="I77" s="684" t="inlineStr">
        <is>
          <t>SZK202206070013</t>
        </is>
      </c>
      <c r="J77" s="684" t="inlineStr">
        <is>
          <t>SZK202206090040</t>
        </is>
      </c>
      <c r="K77" s="685" t="n">
        <v>33.8459675007131</v>
      </c>
      <c r="L77" s="683" t="inlineStr">
        <is>
          <t>朗华</t>
        </is>
      </c>
    </row>
    <row r="78" ht="22.5" customHeight="1" s="184">
      <c r="A78" s="681" t="n">
        <v>17</v>
      </c>
      <c r="B78" s="512" t="inlineStr">
        <is>
          <t>海南比特</t>
        </is>
      </c>
      <c r="C78" s="682" t="n">
        <v>44718</v>
      </c>
      <c r="D78" s="681" t="inlineStr">
        <is>
          <t>世纪云芯</t>
        </is>
      </c>
      <c r="E78" s="683" t="inlineStr">
        <is>
          <t>SCK</t>
        </is>
      </c>
      <c r="F78" s="683" t="inlineStr">
        <is>
          <t>BM1362AK</t>
        </is>
      </c>
      <c r="G78" s="673" t="inlineStr">
        <is>
          <t>Y09BM1362310</t>
        </is>
      </c>
      <c r="H78" s="516" t="n">
        <v>482174</v>
      </c>
      <c r="I78" s="684" t="inlineStr">
        <is>
          <t>SZK202206070014</t>
        </is>
      </c>
      <c r="J78" s="684" t="inlineStr">
        <is>
          <t>SZK202206090041</t>
        </is>
      </c>
      <c r="K78" s="685" t="n">
        <v>19.3660464160928</v>
      </c>
      <c r="L78" s="683" t="inlineStr">
        <is>
          <t>朗华</t>
        </is>
      </c>
    </row>
    <row r="79" ht="20" customHeight="1" s="184">
      <c r="A79" s="673" t="n"/>
      <c r="B79" s="444" t="n"/>
      <c r="C79" s="674" t="n"/>
      <c r="D79" s="673" t="n"/>
      <c r="E79" s="675" t="n"/>
      <c r="F79" s="675" t="n"/>
      <c r="G79" s="673" t="n"/>
      <c r="H79" s="504" t="n"/>
      <c r="I79" s="678" t="n"/>
      <c r="J79" s="678" t="n"/>
      <c r="K79" s="676" t="n"/>
      <c r="L79" s="677" t="n"/>
    </row>
    <row r="80" ht="20" customHeight="1" s="184"/>
    <row r="81" ht="20" customHeight="1" s="184"/>
    <row r="82" ht="20" customHeight="1" s="184"/>
    <row r="83" ht="20" customHeight="1" s="184"/>
    <row r="84" ht="20" customHeight="1" s="184"/>
    <row r="85" ht="20" customHeight="1" s="184"/>
    <row r="86" ht="20" customHeight="1" s="184"/>
    <row r="87" ht="20" customHeight="1" s="184"/>
    <row r="88" ht="20" customHeight="1" s="184"/>
    <row r="89" ht="20" customHeight="1" s="184"/>
    <row r="90" ht="20" customHeight="1" s="184"/>
    <row r="91" ht="20" customHeight="1" s="184"/>
  </sheetData>
  <autoFilter ref="A1:M78"/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4"/>
  <sheetViews>
    <sheetView zoomScale="70" zoomScaleNormal="70" workbookViewId="0">
      <selection activeCell="K261" sqref="K261"/>
    </sheetView>
  </sheetViews>
  <sheetFormatPr baseColWidth="8" defaultColWidth="8.66666666666667" defaultRowHeight="24" customHeight="1"/>
  <cols>
    <col width="8.66666666666667" customWidth="1" style="658" min="1" max="1"/>
    <col width="11.6666666666667" customWidth="1" style="658" min="2" max="2"/>
    <col width="14.3333333333333" customWidth="1" style="658" min="3" max="3"/>
    <col width="11.6666666666667" customWidth="1" style="658" min="4" max="5"/>
    <col width="14.25" customWidth="1" style="658" min="6" max="6"/>
    <col width="17.9166666666667" customWidth="1" style="658" min="7" max="7"/>
    <col width="12.6666666666667" customWidth="1" style="686" min="8" max="8"/>
    <col hidden="1" width="39.5833333333333" customWidth="1" style="658" min="9" max="9"/>
    <col width="39.5833333333333" customWidth="1" style="687" min="10" max="10"/>
    <col width="12.9166666666667" customWidth="1" style="658" min="11" max="11"/>
    <col width="13" customWidth="1" style="658" min="12" max="12"/>
    <col width="37" customWidth="1" style="658" min="13" max="13"/>
    <col width="8.66666666666667" customWidth="1" style="658" min="14" max="16384"/>
  </cols>
  <sheetData>
    <row r="1" s="184">
      <c r="A1" s="671" t="inlineStr">
        <is>
          <t>序号</t>
        </is>
      </c>
      <c r="B1" s="438" t="inlineStr">
        <is>
          <t>抬头</t>
        </is>
      </c>
      <c r="C1" s="438" t="inlineStr">
        <is>
          <t>出货日期</t>
        </is>
      </c>
      <c r="D1" s="438" t="inlineStr">
        <is>
          <t>主体</t>
        </is>
      </c>
      <c r="E1" s="671" t="inlineStr">
        <is>
          <t>测试厂</t>
        </is>
      </c>
      <c r="F1" s="671" t="inlineStr">
        <is>
          <t>型号</t>
        </is>
      </c>
      <c r="G1" s="671" t="inlineStr">
        <is>
          <t>物料编码</t>
        </is>
      </c>
      <c r="H1" s="688" t="inlineStr">
        <is>
          <t>数量</t>
        </is>
      </c>
      <c r="I1" s="671" t="inlineStr">
        <is>
          <t>采购订单号</t>
        </is>
      </c>
      <c r="J1" s="689" t="inlineStr">
        <is>
          <t>新PO</t>
        </is>
      </c>
      <c r="K1" s="671" t="inlineStr">
        <is>
          <t>单价</t>
        </is>
      </c>
      <c r="L1" s="441" t="n">
        <v>10000900</v>
      </c>
    </row>
    <row r="2" customFormat="1" s="661">
      <c r="A2" s="673" t="n">
        <v>1</v>
      </c>
      <c r="B2" s="444" t="inlineStr">
        <is>
          <t>海南比特</t>
        </is>
      </c>
      <c r="C2" s="690" t="n">
        <v>44713</v>
      </c>
      <c r="D2" s="673" t="inlineStr">
        <is>
          <t>世纪云芯</t>
        </is>
      </c>
      <c r="E2" s="639" t="inlineStr">
        <is>
          <t>湖南越摩</t>
        </is>
      </c>
      <c r="F2" s="640" t="inlineStr">
        <is>
          <t>BM1366AG</t>
        </is>
      </c>
      <c r="G2" s="673" t="inlineStr">
        <is>
          <t>Y09BM1366820</t>
        </is>
      </c>
      <c r="H2" s="691" t="n">
        <v>1193</v>
      </c>
      <c r="I2" s="471" t="inlineStr">
        <is>
          <t>SZK202206070003</t>
        </is>
      </c>
      <c r="J2" s="415" t="inlineStr">
        <is>
          <t>SZK202206090030</t>
        </is>
      </c>
      <c r="K2" s="692" t="n">
        <v>33.8459675007131</v>
      </c>
      <c r="L2" s="640" t="inlineStr">
        <is>
          <t>朗华</t>
        </is>
      </c>
    </row>
    <row r="3" customFormat="1" s="661">
      <c r="A3" s="673" t="n">
        <v>2</v>
      </c>
      <c r="B3" s="444" t="inlineStr">
        <is>
          <t>海南比特</t>
        </is>
      </c>
      <c r="C3" s="690" t="n">
        <v>44713</v>
      </c>
      <c r="D3" s="673" t="inlineStr">
        <is>
          <t>世纪云芯</t>
        </is>
      </c>
      <c r="E3" s="639" t="inlineStr">
        <is>
          <t>asekh</t>
        </is>
      </c>
      <c r="F3" s="640" t="inlineStr">
        <is>
          <t>BM1366AB</t>
        </is>
      </c>
      <c r="G3" s="673" t="inlineStr">
        <is>
          <t>Y09BM1366120</t>
        </is>
      </c>
      <c r="H3" s="691" t="n">
        <v>231</v>
      </c>
      <c r="I3" s="471" t="inlineStr">
        <is>
          <t>SZK202206070004</t>
        </is>
      </c>
      <c r="J3" s="415" t="inlineStr">
        <is>
          <t>SZK202206090031</t>
        </is>
      </c>
      <c r="K3" s="692" t="n">
        <v>33.8459675007131</v>
      </c>
      <c r="L3" s="640" t="inlineStr">
        <is>
          <t>朗华</t>
        </is>
      </c>
    </row>
    <row r="4" customFormat="1" s="661">
      <c r="A4" s="673" t="n">
        <v>3</v>
      </c>
      <c r="B4" s="444" t="inlineStr">
        <is>
          <t>海南比特</t>
        </is>
      </c>
      <c r="C4" s="690" t="n">
        <v>44713</v>
      </c>
      <c r="D4" s="673" t="inlineStr">
        <is>
          <t>世纪云芯</t>
        </is>
      </c>
      <c r="E4" s="639" t="inlineStr">
        <is>
          <t>XJ</t>
        </is>
      </c>
      <c r="F4" s="640" t="inlineStr">
        <is>
          <t>BM1366AG</t>
        </is>
      </c>
      <c r="G4" s="673" t="inlineStr">
        <is>
          <t>Y09BM1366820</t>
        </is>
      </c>
      <c r="H4" s="691" t="n">
        <v>30875</v>
      </c>
      <c r="I4" s="471" t="inlineStr">
        <is>
          <t>SZK202206070005</t>
        </is>
      </c>
      <c r="J4" s="415" t="inlineStr">
        <is>
          <t>SZK202206090032</t>
        </is>
      </c>
      <c r="K4" s="692" t="n">
        <v>33.8459675007131</v>
      </c>
      <c r="L4" s="640" t="inlineStr">
        <is>
          <t>朗华</t>
        </is>
      </c>
    </row>
    <row r="5" customFormat="1" s="661">
      <c r="A5" s="673" t="n">
        <v>4</v>
      </c>
      <c r="B5" s="444" t="inlineStr">
        <is>
          <t>海南比特</t>
        </is>
      </c>
      <c r="C5" s="690" t="n">
        <v>44713</v>
      </c>
      <c r="D5" s="673" t="inlineStr">
        <is>
          <t>世纪云芯</t>
        </is>
      </c>
      <c r="E5" s="639" t="inlineStr">
        <is>
          <t>捷策创</t>
        </is>
      </c>
      <c r="F5" s="640" t="inlineStr">
        <is>
          <t>BM1366AG</t>
        </is>
      </c>
      <c r="G5" s="673" t="inlineStr">
        <is>
          <t>Y09BM1366820</t>
        </is>
      </c>
      <c r="H5" s="691" t="n">
        <v>361316</v>
      </c>
      <c r="I5" s="471" t="inlineStr">
        <is>
          <t>SZK202206070006</t>
        </is>
      </c>
      <c r="J5" s="415" t="inlineStr">
        <is>
          <t>SZK202206090033</t>
        </is>
      </c>
      <c r="K5" s="692" t="n">
        <v>33.8459675007131</v>
      </c>
      <c r="L5" s="640" t="inlineStr">
        <is>
          <t>朗华</t>
        </is>
      </c>
    </row>
    <row r="6" customFormat="1" s="661">
      <c r="A6" s="673" t="n">
        <v>5</v>
      </c>
      <c r="B6" s="444" t="inlineStr">
        <is>
          <t>海南比特</t>
        </is>
      </c>
      <c r="C6" s="690" t="n">
        <v>44713</v>
      </c>
      <c r="D6" s="673" t="inlineStr">
        <is>
          <t>世纪云芯</t>
        </is>
      </c>
      <c r="E6" s="639" t="inlineStr">
        <is>
          <t>SCK</t>
        </is>
      </c>
      <c r="F6" s="640" t="inlineStr">
        <is>
          <t>BM1366AH</t>
        </is>
      </c>
      <c r="G6" s="673" t="inlineStr">
        <is>
          <t>Y09BM1366930</t>
        </is>
      </c>
      <c r="H6" s="691" t="n">
        <v>77</v>
      </c>
      <c r="I6" s="471" t="inlineStr">
        <is>
          <t>SZK202206070007</t>
        </is>
      </c>
      <c r="J6" s="415" t="inlineStr">
        <is>
          <t>SZK202206090034</t>
        </is>
      </c>
      <c r="K6" s="692" t="n">
        <v>33.8459675007131</v>
      </c>
      <c r="L6" s="640" t="inlineStr">
        <is>
          <t>朗华</t>
        </is>
      </c>
    </row>
    <row r="7" customFormat="1" s="661">
      <c r="A7" s="673" t="n">
        <v>6</v>
      </c>
      <c r="B7" s="444" t="inlineStr">
        <is>
          <t>海南比特</t>
        </is>
      </c>
      <c r="C7" s="690" t="n">
        <v>44714</v>
      </c>
      <c r="D7" s="673" t="inlineStr">
        <is>
          <t>世纪云芯</t>
        </is>
      </c>
      <c r="E7" s="639" t="inlineStr">
        <is>
          <t>XJ</t>
        </is>
      </c>
      <c r="F7" s="640" t="inlineStr">
        <is>
          <t>BM1362AK</t>
        </is>
      </c>
      <c r="G7" s="673" t="inlineStr">
        <is>
          <t>Y09BM1362310</t>
        </is>
      </c>
      <c r="H7" s="691" t="n">
        <v>2000945</v>
      </c>
      <c r="I7" s="471" t="inlineStr">
        <is>
          <t>SZK202206070008</t>
        </is>
      </c>
      <c r="J7" s="415" t="inlineStr">
        <is>
          <t>SZK202206090035</t>
        </is>
      </c>
      <c r="K7" s="692" t="n">
        <v>20.2196235560928</v>
      </c>
      <c r="L7" s="640" t="inlineStr">
        <is>
          <t>朗华</t>
        </is>
      </c>
    </row>
    <row r="8" customFormat="1" s="661">
      <c r="A8" s="673" t="n">
        <v>7</v>
      </c>
      <c r="B8" s="444" t="inlineStr">
        <is>
          <t>海南比特</t>
        </is>
      </c>
      <c r="C8" s="690" t="n">
        <v>44714</v>
      </c>
      <c r="D8" s="673" t="inlineStr">
        <is>
          <t>世纪云芯</t>
        </is>
      </c>
      <c r="E8" s="639" t="inlineStr">
        <is>
          <t>XJ</t>
        </is>
      </c>
      <c r="F8" s="640" t="inlineStr">
        <is>
          <t>BM1366AG</t>
        </is>
      </c>
      <c r="G8" s="673" t="inlineStr">
        <is>
          <t>Y09BM1366820</t>
        </is>
      </c>
      <c r="H8" s="691" t="n">
        <v>115724</v>
      </c>
      <c r="I8" s="471" t="inlineStr">
        <is>
          <t>SZK202206070008</t>
        </is>
      </c>
      <c r="J8" s="415" t="inlineStr">
        <is>
          <t>SZK202206090035</t>
        </is>
      </c>
      <c r="K8" s="692" t="n">
        <v>33.8459675007131</v>
      </c>
      <c r="L8" s="640" t="inlineStr">
        <is>
          <t>朗华</t>
        </is>
      </c>
    </row>
    <row r="9" customFormat="1" s="661">
      <c r="A9" s="673" t="n">
        <v>8</v>
      </c>
      <c r="B9" s="444" t="inlineStr">
        <is>
          <t>海南比特</t>
        </is>
      </c>
      <c r="C9" s="690" t="n">
        <v>44714</v>
      </c>
      <c r="D9" s="673" t="inlineStr">
        <is>
          <t>世纪云芯</t>
        </is>
      </c>
      <c r="E9" s="639" t="inlineStr">
        <is>
          <t>捷策创</t>
        </is>
      </c>
      <c r="F9" s="640" t="inlineStr">
        <is>
          <t>BM1366AG</t>
        </is>
      </c>
      <c r="G9" s="673" t="inlineStr">
        <is>
          <t>Y09BM1366820</t>
        </is>
      </c>
      <c r="H9" s="691" t="n">
        <v>514389</v>
      </c>
      <c r="I9" s="471" t="inlineStr">
        <is>
          <t>SZK202206070009</t>
        </is>
      </c>
      <c r="J9" s="415" t="inlineStr">
        <is>
          <t>SZK202206090036</t>
        </is>
      </c>
      <c r="K9" s="692" t="n">
        <v>33.8459675007131</v>
      </c>
      <c r="L9" s="640" t="inlineStr">
        <is>
          <t>朗华</t>
        </is>
      </c>
    </row>
    <row r="10" customFormat="1" s="661">
      <c r="A10" s="673" t="n">
        <v>9</v>
      </c>
      <c r="B10" s="444" t="inlineStr">
        <is>
          <t>海南比特</t>
        </is>
      </c>
      <c r="C10" s="690" t="n">
        <v>44714</v>
      </c>
      <c r="D10" s="673" t="inlineStr">
        <is>
          <t>世纪云芯</t>
        </is>
      </c>
      <c r="E10" s="639" t="inlineStr">
        <is>
          <t>TF</t>
        </is>
      </c>
      <c r="F10" s="640" t="inlineStr">
        <is>
          <t>BM1366AB</t>
        </is>
      </c>
      <c r="G10" s="673" t="inlineStr">
        <is>
          <t>Y09BM1366120</t>
        </is>
      </c>
      <c r="H10" s="691" t="n">
        <v>996</v>
      </c>
      <c r="I10" s="471" t="inlineStr">
        <is>
          <t>SZK202206070010</t>
        </is>
      </c>
      <c r="J10" s="415" t="inlineStr">
        <is>
          <t>SZK202206090037</t>
        </is>
      </c>
      <c r="K10" s="692" t="n">
        <v>33.8459675007131</v>
      </c>
      <c r="L10" s="640" t="inlineStr">
        <is>
          <t>朗华</t>
        </is>
      </c>
    </row>
    <row r="11" customFormat="1" s="661">
      <c r="A11" s="673" t="n">
        <v>10</v>
      </c>
      <c r="B11" s="444" t="inlineStr">
        <is>
          <t>海南比特</t>
        </is>
      </c>
      <c r="C11" s="690" t="n">
        <v>44718</v>
      </c>
      <c r="D11" s="673" t="inlineStr">
        <is>
          <t>世纪云芯</t>
        </is>
      </c>
      <c r="E11" s="639" t="inlineStr">
        <is>
          <t>spilsz</t>
        </is>
      </c>
      <c r="F11" s="640" t="inlineStr">
        <is>
          <t>BM1366AG</t>
        </is>
      </c>
      <c r="G11" s="673" t="inlineStr">
        <is>
          <t>Y09BM1366820</t>
        </is>
      </c>
      <c r="H11" s="691" t="n">
        <v>4193</v>
      </c>
      <c r="I11" s="471" t="n"/>
      <c r="J11" s="415" t="inlineStr">
        <is>
          <t>SZK202206090038</t>
        </is>
      </c>
      <c r="K11" s="692" t="n">
        <v>33.8459675007131</v>
      </c>
      <c r="L11" s="640" t="inlineStr">
        <is>
          <t>朗华</t>
        </is>
      </c>
    </row>
    <row r="12" customFormat="1" s="661">
      <c r="A12" s="673" t="n">
        <v>11</v>
      </c>
      <c r="B12" s="444" t="inlineStr">
        <is>
          <t>海南比特</t>
        </is>
      </c>
      <c r="C12" s="690" t="n">
        <v>44718</v>
      </c>
      <c r="D12" s="673" t="inlineStr">
        <is>
          <t>世纪云芯</t>
        </is>
      </c>
      <c r="E12" s="639" t="inlineStr">
        <is>
          <t>XJ</t>
        </is>
      </c>
      <c r="F12" s="640" t="inlineStr">
        <is>
          <t>BM1362AK</t>
        </is>
      </c>
      <c r="G12" s="673" t="inlineStr">
        <is>
          <t>Y09BM1362310</t>
        </is>
      </c>
      <c r="H12" s="691" t="n">
        <v>1001415</v>
      </c>
      <c r="I12" s="471" t="inlineStr">
        <is>
          <t>SZK202206070012</t>
        </is>
      </c>
      <c r="J12" s="415" t="inlineStr">
        <is>
          <t>SZK202206090039</t>
        </is>
      </c>
      <c r="K12" s="692" t="n">
        <v>20.2196235560928</v>
      </c>
      <c r="L12" s="640" t="inlineStr">
        <is>
          <t>朗华</t>
        </is>
      </c>
    </row>
    <row r="13" customFormat="1" s="661">
      <c r="A13" s="673" t="n">
        <v>12</v>
      </c>
      <c r="B13" s="444" t="inlineStr">
        <is>
          <t>海南比特</t>
        </is>
      </c>
      <c r="C13" s="690" t="n">
        <v>44718</v>
      </c>
      <c r="D13" s="673" t="inlineStr">
        <is>
          <t>世纪云芯</t>
        </is>
      </c>
      <c r="E13" s="639" t="inlineStr">
        <is>
          <t>捷策创</t>
        </is>
      </c>
      <c r="F13" s="640" t="inlineStr">
        <is>
          <t>BM1366AG</t>
        </is>
      </c>
      <c r="G13" s="673" t="inlineStr">
        <is>
          <t>Y09BM1366820</t>
        </is>
      </c>
      <c r="H13" s="691" t="n">
        <v>618016</v>
      </c>
      <c r="I13" s="471" t="inlineStr">
        <is>
          <t>SZK202206070013</t>
        </is>
      </c>
      <c r="J13" s="415" t="inlineStr">
        <is>
          <t>SZK202206090040</t>
        </is>
      </c>
      <c r="K13" s="692" t="n">
        <v>33.8459675007131</v>
      </c>
      <c r="L13" s="640" t="inlineStr">
        <is>
          <t>朗华</t>
        </is>
      </c>
    </row>
    <row r="14" customFormat="1" s="661">
      <c r="A14" s="673" t="n">
        <v>13</v>
      </c>
      <c r="B14" s="444" t="inlineStr">
        <is>
          <t>海南比特</t>
        </is>
      </c>
      <c r="C14" s="690" t="n">
        <v>44718</v>
      </c>
      <c r="D14" s="673" t="inlineStr">
        <is>
          <t>世纪云芯</t>
        </is>
      </c>
      <c r="E14" s="639" t="inlineStr">
        <is>
          <t>SCK</t>
        </is>
      </c>
      <c r="F14" s="640" t="inlineStr">
        <is>
          <t>BM1727AA</t>
        </is>
      </c>
      <c r="G14" s="673" t="inlineStr">
        <is>
          <t>Y09BM1727010</t>
        </is>
      </c>
      <c r="H14" s="691" t="n">
        <v>12066</v>
      </c>
      <c r="I14" s="471" t="n"/>
      <c r="J14" s="415" t="inlineStr">
        <is>
          <t>SZK202206090027</t>
        </is>
      </c>
      <c r="K14" s="692" t="n">
        <v>29.582180881791</v>
      </c>
      <c r="L14" s="640" t="inlineStr">
        <is>
          <t>朗华</t>
        </is>
      </c>
    </row>
    <row r="15" customFormat="1" s="661">
      <c r="A15" s="673" t="n">
        <v>14</v>
      </c>
      <c r="B15" s="444" t="inlineStr">
        <is>
          <t>海南比特</t>
        </is>
      </c>
      <c r="C15" s="690" t="n">
        <v>44718</v>
      </c>
      <c r="D15" s="673" t="inlineStr">
        <is>
          <t>世纪云芯</t>
        </is>
      </c>
      <c r="E15" s="639" t="inlineStr">
        <is>
          <t>SCK</t>
        </is>
      </c>
      <c r="F15" s="640" t="inlineStr">
        <is>
          <t>BM2042AA</t>
        </is>
      </c>
      <c r="G15" s="673" t="inlineStr">
        <is>
          <t>Y09BM2042010</t>
        </is>
      </c>
      <c r="H15" s="691" t="n">
        <v>12046</v>
      </c>
      <c r="I15" s="471" t="n"/>
      <c r="J15" s="415" t="inlineStr">
        <is>
          <t>SZK202206090027</t>
        </is>
      </c>
      <c r="K15" s="692" t="n">
        <v>29.582180881791</v>
      </c>
      <c r="L15" s="640" t="inlineStr">
        <is>
          <t>朗华</t>
        </is>
      </c>
    </row>
    <row r="16" customFormat="1" s="661">
      <c r="A16" s="673" t="n">
        <v>15</v>
      </c>
      <c r="B16" s="444" t="inlineStr">
        <is>
          <t>海南比特</t>
        </is>
      </c>
      <c r="C16" s="690" t="n">
        <v>44718</v>
      </c>
      <c r="D16" s="673" t="inlineStr">
        <is>
          <t>世纪云芯</t>
        </is>
      </c>
      <c r="E16" s="639" t="inlineStr">
        <is>
          <t>SCK</t>
        </is>
      </c>
      <c r="F16" s="640" t="inlineStr">
        <is>
          <t>BM2110AA</t>
        </is>
      </c>
      <c r="G16" s="673" t="inlineStr">
        <is>
          <t>Y09BM2110010</t>
        </is>
      </c>
      <c r="H16" s="691" t="n">
        <v>11728</v>
      </c>
      <c r="I16" s="471" t="n"/>
      <c r="J16" s="415" t="inlineStr">
        <is>
          <t>SZK202206090027</t>
        </is>
      </c>
      <c r="K16" s="692" t="n">
        <v>29.582180881791</v>
      </c>
      <c r="L16" s="640" t="inlineStr">
        <is>
          <t>朗华</t>
        </is>
      </c>
    </row>
    <row r="17" customFormat="1" s="661">
      <c r="A17" s="673" t="n">
        <v>16</v>
      </c>
      <c r="B17" s="444" t="inlineStr">
        <is>
          <t>海南比特</t>
        </is>
      </c>
      <c r="C17" s="690" t="n">
        <v>44718</v>
      </c>
      <c r="D17" s="673" t="inlineStr">
        <is>
          <t>世纪云芯</t>
        </is>
      </c>
      <c r="E17" s="639" t="inlineStr">
        <is>
          <t>SCK</t>
        </is>
      </c>
      <c r="F17" s="640" t="inlineStr">
        <is>
          <t>BM2130AA</t>
        </is>
      </c>
      <c r="G17" s="673" t="inlineStr">
        <is>
          <t>Y09BM2130010</t>
        </is>
      </c>
      <c r="H17" s="691" t="n">
        <v>11944</v>
      </c>
      <c r="I17" s="471" t="n"/>
      <c r="J17" s="415" t="inlineStr">
        <is>
          <t>SZK202206090027</t>
        </is>
      </c>
      <c r="K17" s="692" t="n">
        <v>29.582180881791</v>
      </c>
      <c r="L17" s="640" t="inlineStr">
        <is>
          <t>朗华</t>
        </is>
      </c>
    </row>
    <row r="18" customFormat="1" s="661">
      <c r="A18" s="673" t="n">
        <v>17</v>
      </c>
      <c r="B18" s="444" t="inlineStr">
        <is>
          <t>海南比特</t>
        </is>
      </c>
      <c r="C18" s="690" t="n">
        <v>44718</v>
      </c>
      <c r="D18" s="673" t="inlineStr">
        <is>
          <t>世纪云芯</t>
        </is>
      </c>
      <c r="E18" s="639" t="inlineStr">
        <is>
          <t>SCK</t>
        </is>
      </c>
      <c r="F18" s="640" t="inlineStr">
        <is>
          <t>BM1362AK</t>
        </is>
      </c>
      <c r="G18" s="673" t="inlineStr">
        <is>
          <t>Y09BM1362310</t>
        </is>
      </c>
      <c r="H18" s="691" t="n">
        <v>482174</v>
      </c>
      <c r="I18" s="471" t="inlineStr">
        <is>
          <t>SZK202206070014</t>
        </is>
      </c>
      <c r="J18" s="415" t="inlineStr">
        <is>
          <t>SZK202206090041</t>
        </is>
      </c>
      <c r="K18" s="692" t="n">
        <v>19.3660464160928</v>
      </c>
      <c r="L18" s="640" t="inlineStr">
        <is>
          <t>朗华</t>
        </is>
      </c>
    </row>
    <row r="19" customFormat="1" s="661">
      <c r="A19" s="673" t="n">
        <v>18</v>
      </c>
      <c r="B19" s="444" t="inlineStr">
        <is>
          <t>海南比特</t>
        </is>
      </c>
      <c r="C19" s="690" t="n">
        <v>44719</v>
      </c>
      <c r="D19" s="673" t="inlineStr">
        <is>
          <t>世纪云芯</t>
        </is>
      </c>
      <c r="E19" s="639" t="inlineStr">
        <is>
          <t>SCK</t>
        </is>
      </c>
      <c r="F19" s="640" t="inlineStr">
        <is>
          <t>BM1766AA</t>
        </is>
      </c>
      <c r="G19" s="673" t="inlineStr">
        <is>
          <t>Y09BM1766010</t>
        </is>
      </c>
      <c r="H19" s="691" t="n">
        <v>39627</v>
      </c>
      <c r="I19" s="471" t="n"/>
      <c r="J19" s="415" t="inlineStr">
        <is>
          <t>SZK202206090042</t>
        </is>
      </c>
      <c r="K19" s="692" t="n">
        <v>29.582180881791</v>
      </c>
      <c r="L19" s="640" t="inlineStr">
        <is>
          <t>世纪通</t>
        </is>
      </c>
    </row>
    <row r="20" customFormat="1" s="661">
      <c r="A20" s="673" t="n">
        <v>19</v>
      </c>
      <c r="B20" s="444" t="inlineStr">
        <is>
          <t>海南比特</t>
        </is>
      </c>
      <c r="C20" s="690" t="n">
        <v>44719</v>
      </c>
      <c r="D20" s="673" t="inlineStr">
        <is>
          <t>世纪云芯</t>
        </is>
      </c>
      <c r="E20" s="639" t="inlineStr">
        <is>
          <t>SCK</t>
        </is>
      </c>
      <c r="F20" s="640" t="inlineStr">
        <is>
          <t>BM2042AA</t>
        </is>
      </c>
      <c r="G20" s="673" t="inlineStr">
        <is>
          <t>Y09BM2042010</t>
        </is>
      </c>
      <c r="H20" s="691" t="n">
        <v>27734</v>
      </c>
      <c r="I20" s="471" t="n"/>
      <c r="J20" s="415" t="inlineStr">
        <is>
          <t>SZK202206090042</t>
        </is>
      </c>
      <c r="K20" s="692" t="n">
        <v>29.582180881791</v>
      </c>
      <c r="L20" s="640" t="inlineStr">
        <is>
          <t>世纪通</t>
        </is>
      </c>
    </row>
    <row r="21" customFormat="1" s="661">
      <c r="A21" s="673" t="n">
        <v>20</v>
      </c>
      <c r="B21" s="444" t="inlineStr">
        <is>
          <t>海南比特</t>
        </is>
      </c>
      <c r="C21" s="690" t="n">
        <v>44719</v>
      </c>
      <c r="D21" s="673" t="inlineStr">
        <is>
          <t>世纪云芯</t>
        </is>
      </c>
      <c r="E21" s="639" t="inlineStr">
        <is>
          <t>SCK</t>
        </is>
      </c>
      <c r="F21" s="640" t="inlineStr">
        <is>
          <t>BM2110AA</t>
        </is>
      </c>
      <c r="G21" s="673" t="inlineStr">
        <is>
          <t>Y09BM2110010</t>
        </is>
      </c>
      <c r="H21" s="691" t="n">
        <v>27014</v>
      </c>
      <c r="I21" s="471" t="n"/>
      <c r="J21" s="415" t="inlineStr">
        <is>
          <t>SZK202206090042</t>
        </is>
      </c>
      <c r="K21" s="692" t="n">
        <v>29.582180881791</v>
      </c>
      <c r="L21" s="640" t="inlineStr">
        <is>
          <t>世纪通</t>
        </is>
      </c>
    </row>
    <row r="22" customFormat="1" s="661">
      <c r="A22" s="673" t="n">
        <v>21</v>
      </c>
      <c r="B22" s="444" t="inlineStr">
        <is>
          <t>海南比特</t>
        </is>
      </c>
      <c r="C22" s="690" t="n">
        <v>44719</v>
      </c>
      <c r="D22" s="673" t="inlineStr">
        <is>
          <t>世纪云芯</t>
        </is>
      </c>
      <c r="E22" s="639" t="inlineStr">
        <is>
          <t>SCK</t>
        </is>
      </c>
      <c r="F22" s="640" t="inlineStr">
        <is>
          <t>BM2130AA</t>
        </is>
      </c>
      <c r="G22" s="673" t="inlineStr">
        <is>
          <t>Y09BM2130010</t>
        </is>
      </c>
      <c r="H22" s="691" t="n">
        <v>27470</v>
      </c>
      <c r="I22" s="471" t="n"/>
      <c r="J22" s="415" t="inlineStr">
        <is>
          <t>SZK202206090042</t>
        </is>
      </c>
      <c r="K22" s="692" t="n">
        <v>29.582180881791</v>
      </c>
      <c r="L22" s="640" t="inlineStr">
        <is>
          <t>世纪通</t>
        </is>
      </c>
    </row>
    <row r="23" customFormat="1" s="661">
      <c r="A23" s="673" t="n">
        <v>22</v>
      </c>
      <c r="B23" s="444" t="inlineStr">
        <is>
          <t>海南比特</t>
        </is>
      </c>
      <c r="C23" s="690" t="n">
        <v>44720</v>
      </c>
      <c r="D23" s="673" t="inlineStr">
        <is>
          <t>世纪云芯</t>
        </is>
      </c>
      <c r="E23" s="639" t="inlineStr">
        <is>
          <t>XJ</t>
        </is>
      </c>
      <c r="F23" s="640" t="inlineStr">
        <is>
          <t>BM1362AK</t>
        </is>
      </c>
      <c r="G23" s="673" t="inlineStr">
        <is>
          <t>Y09BM1362310</t>
        </is>
      </c>
      <c r="H23" s="691" t="n">
        <v>2008347</v>
      </c>
      <c r="I23" s="471" t="n"/>
      <c r="J23" s="415" t="inlineStr">
        <is>
          <t>SZK202206090043</t>
        </is>
      </c>
      <c r="K23" s="692" t="n">
        <v>20.2196235560928</v>
      </c>
      <c r="L23" s="640" t="inlineStr">
        <is>
          <t>朗华</t>
        </is>
      </c>
    </row>
    <row r="24" customFormat="1" s="661">
      <c r="A24" s="673" t="n">
        <v>23</v>
      </c>
      <c r="B24" s="444" t="inlineStr">
        <is>
          <t>海南比特</t>
        </is>
      </c>
      <c r="C24" s="690" t="n">
        <v>44720</v>
      </c>
      <c r="D24" s="673" t="inlineStr">
        <is>
          <t>世纪云芯</t>
        </is>
      </c>
      <c r="E24" s="639" t="inlineStr">
        <is>
          <t>XJ</t>
        </is>
      </c>
      <c r="F24" s="640" t="inlineStr">
        <is>
          <t>BM1366AG</t>
        </is>
      </c>
      <c r="G24" s="673" t="inlineStr">
        <is>
          <t>Y09BM1366820</t>
        </is>
      </c>
      <c r="H24" s="691" t="n">
        <v>980875</v>
      </c>
      <c r="I24" s="471" t="n"/>
      <c r="J24" s="415" t="inlineStr">
        <is>
          <t>SZK202206090043</t>
        </is>
      </c>
      <c r="K24" s="692" t="n">
        <v>33.8459675007131</v>
      </c>
      <c r="L24" s="640" t="inlineStr">
        <is>
          <t>朗华</t>
        </is>
      </c>
    </row>
    <row r="25" customFormat="1" s="661">
      <c r="A25" s="673" t="n">
        <v>24</v>
      </c>
      <c r="B25" s="444" t="inlineStr">
        <is>
          <t>海南比特</t>
        </is>
      </c>
      <c r="C25" s="690" t="n">
        <v>44720</v>
      </c>
      <c r="D25" s="673" t="inlineStr">
        <is>
          <t>世纪云芯</t>
        </is>
      </c>
      <c r="E25" s="639" t="inlineStr">
        <is>
          <t>XJ</t>
        </is>
      </c>
      <c r="F25" s="640" t="inlineStr">
        <is>
          <t>BM1398BB</t>
        </is>
      </c>
      <c r="G25" s="673" t="inlineStr">
        <is>
          <t>Y09BM1398240</t>
        </is>
      </c>
      <c r="H25" s="691" t="n">
        <v>863</v>
      </c>
      <c r="I25" s="471" t="n"/>
      <c r="J25" s="415" t="inlineStr">
        <is>
          <t>SZK202206090043</t>
        </is>
      </c>
      <c r="K25" s="692" t="n">
        <v>38.4631708789338</v>
      </c>
      <c r="L25" s="640" t="inlineStr">
        <is>
          <t>朗华</t>
        </is>
      </c>
    </row>
    <row r="26" customFormat="1" s="661">
      <c r="A26" s="673" t="n">
        <v>25</v>
      </c>
      <c r="B26" s="444" t="inlineStr">
        <is>
          <t>海南比特</t>
        </is>
      </c>
      <c r="C26" s="690" t="n">
        <v>44720</v>
      </c>
      <c r="D26" s="673" t="inlineStr">
        <is>
          <t>世纪云芯</t>
        </is>
      </c>
      <c r="E26" s="639" t="inlineStr">
        <is>
          <t>XJ</t>
        </is>
      </c>
      <c r="F26" s="640" t="inlineStr">
        <is>
          <t>BM1746AA</t>
        </is>
      </c>
      <c r="G26" s="673" t="inlineStr">
        <is>
          <t>Y09BM1746010</t>
        </is>
      </c>
      <c r="H26" s="691" t="n">
        <v>905</v>
      </c>
      <c r="I26" s="471" t="n"/>
      <c r="J26" s="415" t="inlineStr">
        <is>
          <t>SZK202206090043</t>
        </is>
      </c>
      <c r="K26" s="692" t="n">
        <v>450.195285168036</v>
      </c>
      <c r="L26" s="640" t="inlineStr">
        <is>
          <t>朗华</t>
        </is>
      </c>
    </row>
    <row r="27" customFormat="1" s="661">
      <c r="A27" s="673" t="n">
        <v>26</v>
      </c>
      <c r="B27" s="444" t="inlineStr">
        <is>
          <t>海南比特</t>
        </is>
      </c>
      <c r="C27" s="690" t="n">
        <v>44720</v>
      </c>
      <c r="D27" s="673" t="inlineStr">
        <is>
          <t>世纪云芯</t>
        </is>
      </c>
      <c r="E27" s="639" t="inlineStr">
        <is>
          <t>捷策创</t>
        </is>
      </c>
      <c r="F27" s="640" t="inlineStr">
        <is>
          <t>BM1366AG</t>
        </is>
      </c>
      <c r="G27" s="673" t="inlineStr">
        <is>
          <t>Y09BM1366820</t>
        </is>
      </c>
      <c r="H27" s="691" t="n">
        <v>650342</v>
      </c>
      <c r="I27" s="471" t="n"/>
      <c r="J27" s="415" t="inlineStr">
        <is>
          <t>SZK202206090044</t>
        </is>
      </c>
      <c r="K27" s="692" t="n">
        <v>33.8459675007131</v>
      </c>
      <c r="L27" s="640" t="inlineStr">
        <is>
          <t>迅宇</t>
        </is>
      </c>
    </row>
    <row r="28" customFormat="1" s="661">
      <c r="A28" s="673" t="n">
        <v>27</v>
      </c>
      <c r="B28" s="444" t="inlineStr">
        <is>
          <t>海南比特</t>
        </is>
      </c>
      <c r="C28" s="690" t="n">
        <v>44720</v>
      </c>
      <c r="D28" s="673" t="inlineStr">
        <is>
          <t>世纪云芯</t>
        </is>
      </c>
      <c r="E28" s="639" t="inlineStr">
        <is>
          <t>捷策创</t>
        </is>
      </c>
      <c r="F28" s="640" t="inlineStr">
        <is>
          <t>BM1362AK</t>
        </is>
      </c>
      <c r="G28" s="673" t="inlineStr">
        <is>
          <t>Y09BM1362310</t>
        </is>
      </c>
      <c r="H28" s="691" t="n">
        <v>1013212</v>
      </c>
      <c r="I28" s="471" t="n"/>
      <c r="J28" s="415" t="inlineStr">
        <is>
          <t>SZK202206090044</t>
        </is>
      </c>
      <c r="K28" s="692" t="n">
        <v>20.2196235560928</v>
      </c>
      <c r="L28" s="640" t="inlineStr">
        <is>
          <t>迅宇</t>
        </is>
      </c>
    </row>
    <row r="29" s="184">
      <c r="A29" s="673" t="n">
        <v>28</v>
      </c>
      <c r="B29" s="444" t="inlineStr">
        <is>
          <t>海南比特</t>
        </is>
      </c>
      <c r="C29" s="690" t="n">
        <v>44721</v>
      </c>
      <c r="D29" s="673" t="inlineStr">
        <is>
          <t>世纪云芯</t>
        </is>
      </c>
      <c r="E29" s="639" t="inlineStr">
        <is>
          <t>SCK</t>
        </is>
      </c>
      <c r="F29" s="640" t="inlineStr">
        <is>
          <t>BM1727AA</t>
        </is>
      </c>
      <c r="G29" s="673" t="inlineStr">
        <is>
          <t>Y09BM1727010</t>
        </is>
      </c>
      <c r="H29" s="691" t="n">
        <v>30175</v>
      </c>
      <c r="I29" s="693" t="n"/>
      <c r="J29" s="415" t="inlineStr">
        <is>
          <t>SZK202206130021</t>
        </is>
      </c>
      <c r="K29" s="692" t="n">
        <v>29.582180881791</v>
      </c>
      <c r="L29" s="640" t="inlineStr">
        <is>
          <t>世纪通</t>
        </is>
      </c>
    </row>
    <row r="30" s="184">
      <c r="A30" s="673" t="n">
        <v>29</v>
      </c>
      <c r="B30" s="444" t="inlineStr">
        <is>
          <t>海南比特</t>
        </is>
      </c>
      <c r="C30" s="690" t="n">
        <v>44721</v>
      </c>
      <c r="D30" s="673" t="inlineStr">
        <is>
          <t>世纪云芯</t>
        </is>
      </c>
      <c r="E30" s="639" t="inlineStr">
        <is>
          <t>SCK</t>
        </is>
      </c>
      <c r="F30" s="640" t="inlineStr">
        <is>
          <t>BM1766AA</t>
        </is>
      </c>
      <c r="G30" s="673" t="inlineStr">
        <is>
          <t>Y09BM1766010</t>
        </is>
      </c>
      <c r="H30" s="691" t="n">
        <v>30001</v>
      </c>
      <c r="I30" s="693" t="n"/>
      <c r="J30" s="415" t="inlineStr">
        <is>
          <t>SZK202206130021</t>
        </is>
      </c>
      <c r="K30" s="692" t="n">
        <v>29.582180881791</v>
      </c>
      <c r="L30" s="640" t="inlineStr">
        <is>
          <t>世纪通</t>
        </is>
      </c>
    </row>
    <row r="31" s="184">
      <c r="A31" s="673" t="n">
        <v>30</v>
      </c>
      <c r="B31" s="444" t="inlineStr">
        <is>
          <t>海南比特</t>
        </is>
      </c>
      <c r="C31" s="690" t="n">
        <v>44721</v>
      </c>
      <c r="D31" s="673" t="inlineStr">
        <is>
          <t>世纪云芯</t>
        </is>
      </c>
      <c r="E31" s="639" t="inlineStr">
        <is>
          <t>SCK</t>
        </is>
      </c>
      <c r="F31" s="640" t="inlineStr">
        <is>
          <t>BM2042AA</t>
        </is>
      </c>
      <c r="G31" s="673" t="inlineStr">
        <is>
          <t>Y09BM2042010</t>
        </is>
      </c>
      <c r="H31" s="691" t="n">
        <v>30134</v>
      </c>
      <c r="I31" s="693" t="n"/>
      <c r="J31" s="415" t="inlineStr">
        <is>
          <t>SZK202206130021</t>
        </is>
      </c>
      <c r="K31" s="692" t="n">
        <v>29.582180881791</v>
      </c>
      <c r="L31" s="640" t="inlineStr">
        <is>
          <t>世纪通</t>
        </is>
      </c>
    </row>
    <row r="32" s="184">
      <c r="A32" s="673" t="n">
        <v>31</v>
      </c>
      <c r="B32" s="444" t="inlineStr">
        <is>
          <t>海南比特</t>
        </is>
      </c>
      <c r="C32" s="690" t="n">
        <v>44721</v>
      </c>
      <c r="D32" s="673" t="inlineStr">
        <is>
          <t>世纪云芯</t>
        </is>
      </c>
      <c r="E32" s="639" t="inlineStr">
        <is>
          <t>SCK</t>
        </is>
      </c>
      <c r="F32" s="640" t="inlineStr">
        <is>
          <t>BM2110AA</t>
        </is>
      </c>
      <c r="G32" s="673" t="inlineStr">
        <is>
          <t>Y09BM2110010</t>
        </is>
      </c>
      <c r="H32" s="691" t="n">
        <v>29369</v>
      </c>
      <c r="I32" s="693" t="n"/>
      <c r="J32" s="415" t="inlineStr">
        <is>
          <t>SZK202206130021</t>
        </is>
      </c>
      <c r="K32" s="692" t="n">
        <v>29.582180881791</v>
      </c>
      <c r="L32" s="640" t="inlineStr">
        <is>
          <t>世纪通</t>
        </is>
      </c>
    </row>
    <row r="33" s="184">
      <c r="A33" s="673" t="n">
        <v>32</v>
      </c>
      <c r="B33" s="444" t="inlineStr">
        <is>
          <t>海南比特</t>
        </is>
      </c>
      <c r="C33" s="690" t="n">
        <v>44721</v>
      </c>
      <c r="D33" s="673" t="inlineStr">
        <is>
          <t>世纪云芯</t>
        </is>
      </c>
      <c r="E33" s="639" t="inlineStr">
        <is>
          <t>SCK</t>
        </is>
      </c>
      <c r="F33" s="640" t="inlineStr">
        <is>
          <t>BM2130AA</t>
        </is>
      </c>
      <c r="G33" s="673" t="inlineStr">
        <is>
          <t>Y09BM2130010</t>
        </is>
      </c>
      <c r="H33" s="691" t="n">
        <v>29866</v>
      </c>
      <c r="I33" s="693" t="n"/>
      <c r="J33" s="415" t="inlineStr">
        <is>
          <t>SZK202206130021</t>
        </is>
      </c>
      <c r="K33" s="692" t="n">
        <v>29.582180881791</v>
      </c>
      <c r="L33" s="640" t="inlineStr">
        <is>
          <t>世纪通</t>
        </is>
      </c>
    </row>
    <row r="34" s="184">
      <c r="A34" s="673" t="n">
        <v>33</v>
      </c>
      <c r="B34" s="444" t="inlineStr">
        <is>
          <t>海南比特</t>
        </is>
      </c>
      <c r="C34" s="690" t="n">
        <v>44722</v>
      </c>
      <c r="D34" s="673" t="inlineStr">
        <is>
          <t>世纪云芯</t>
        </is>
      </c>
      <c r="E34" s="639" t="inlineStr">
        <is>
          <t>捷策创</t>
        </is>
      </c>
      <c r="F34" s="640" t="inlineStr">
        <is>
          <t>BM1362AK</t>
        </is>
      </c>
      <c r="G34" s="673" t="inlineStr">
        <is>
          <t>Y09BM1362310</t>
        </is>
      </c>
      <c r="H34" s="691" t="n">
        <v>1080115</v>
      </c>
      <c r="I34" s="693" t="n"/>
      <c r="J34" s="415" t="inlineStr">
        <is>
          <t>SZK202206130020</t>
        </is>
      </c>
      <c r="K34" s="692" t="n">
        <v>20.2196235560928</v>
      </c>
      <c r="L34" s="640" t="inlineStr">
        <is>
          <t>世纪通</t>
        </is>
      </c>
    </row>
    <row r="35" s="184">
      <c r="A35" s="673" t="n">
        <v>34</v>
      </c>
      <c r="B35" s="444" t="inlineStr">
        <is>
          <t>海南比特</t>
        </is>
      </c>
      <c r="C35" s="690" t="n">
        <v>44722</v>
      </c>
      <c r="D35" s="673" t="inlineStr">
        <is>
          <t>世纪云芯</t>
        </is>
      </c>
      <c r="E35" s="639" t="inlineStr">
        <is>
          <t>捷策创</t>
        </is>
      </c>
      <c r="F35" s="640" t="inlineStr">
        <is>
          <t>BM1366AG</t>
        </is>
      </c>
      <c r="G35" s="673" t="inlineStr">
        <is>
          <t>Y09BM1366820</t>
        </is>
      </c>
      <c r="H35" s="691" t="n">
        <v>661405</v>
      </c>
      <c r="I35" s="693" t="n"/>
      <c r="J35" s="415" t="inlineStr">
        <is>
          <t>SZK202206130020</t>
        </is>
      </c>
      <c r="K35" s="692" t="n">
        <v>33.8459675007131</v>
      </c>
      <c r="L35" s="640" t="inlineStr">
        <is>
          <t>世纪通</t>
        </is>
      </c>
    </row>
    <row r="36" s="184">
      <c r="A36" s="673" t="n">
        <v>35</v>
      </c>
      <c r="B36" s="444" t="inlineStr">
        <is>
          <t>海南比特</t>
        </is>
      </c>
      <c r="C36" s="690" t="n">
        <v>44722</v>
      </c>
      <c r="D36" s="673" t="inlineStr">
        <is>
          <t>世纪云芯</t>
        </is>
      </c>
      <c r="E36" s="639" t="inlineStr">
        <is>
          <t>XJ</t>
        </is>
      </c>
      <c r="F36" s="640" t="inlineStr">
        <is>
          <t>BM1362AK</t>
        </is>
      </c>
      <c r="G36" s="673" t="inlineStr">
        <is>
          <t>Y09BM1362310</t>
        </is>
      </c>
      <c r="H36" s="691" t="n">
        <v>2687233</v>
      </c>
      <c r="I36" s="693" t="n"/>
      <c r="J36" s="415" t="inlineStr">
        <is>
          <t>SZK202206130022</t>
        </is>
      </c>
      <c r="K36" s="692" t="n">
        <v>20.2196235560928</v>
      </c>
      <c r="L36" s="640" t="inlineStr">
        <is>
          <t>朗华</t>
        </is>
      </c>
    </row>
    <row r="37" customFormat="1" s="694">
      <c r="A37" s="695" t="n">
        <v>36</v>
      </c>
      <c r="B37" s="453" t="inlineStr">
        <is>
          <t>海南比特</t>
        </is>
      </c>
      <c r="C37" s="696" t="n">
        <v>44722</v>
      </c>
      <c r="D37" s="695" t="inlineStr">
        <is>
          <t>世纪云芯</t>
        </is>
      </c>
      <c r="E37" s="697" t="inlineStr">
        <is>
          <t>ASE</t>
        </is>
      </c>
      <c r="F37" s="698" t="inlineStr">
        <is>
          <t>BM1362AT</t>
        </is>
      </c>
      <c r="G37" s="673" t="inlineStr">
        <is>
          <t>Y09BM1366750</t>
        </is>
      </c>
      <c r="H37" s="699" t="n">
        <v>917</v>
      </c>
      <c r="I37" s="700" t="n"/>
      <c r="J37" s="476" t="inlineStr">
        <is>
          <t>SZK202207080001</t>
        </is>
      </c>
      <c r="K37" s="701" t="n">
        <v>19.3660464160928</v>
      </c>
      <c r="L37" s="698" t="inlineStr">
        <is>
          <t>世纪通</t>
        </is>
      </c>
    </row>
    <row r="38" s="184">
      <c r="A38" s="673" t="n">
        <v>37</v>
      </c>
      <c r="B38" s="444" t="inlineStr">
        <is>
          <t>海南比特</t>
        </is>
      </c>
      <c r="C38" s="690" t="n">
        <v>44725</v>
      </c>
      <c r="D38" s="673" t="inlineStr">
        <is>
          <t>世纪云芯</t>
        </is>
      </c>
      <c r="E38" s="639" t="inlineStr">
        <is>
          <t>spilsz</t>
        </is>
      </c>
      <c r="F38" s="640" t="inlineStr">
        <is>
          <t>BM1366AH</t>
        </is>
      </c>
      <c r="G38" s="673" t="inlineStr">
        <is>
          <t>Y09BM1366930</t>
        </is>
      </c>
      <c r="H38" s="691" t="n">
        <v>200</v>
      </c>
      <c r="I38" s="693" t="n"/>
      <c r="J38" s="702" t="inlineStr">
        <is>
          <t>SZK202206140015</t>
        </is>
      </c>
      <c r="K38" s="692" t="n">
        <v>33.8459675007131</v>
      </c>
      <c r="L38" s="640" t="inlineStr">
        <is>
          <t>朗华</t>
        </is>
      </c>
    </row>
    <row r="39" s="184">
      <c r="A39" s="673" t="n">
        <v>38</v>
      </c>
      <c r="B39" s="444" t="inlineStr">
        <is>
          <t>海南比特</t>
        </is>
      </c>
      <c r="C39" s="690" t="n">
        <v>44725</v>
      </c>
      <c r="D39" s="673" t="inlineStr">
        <is>
          <t>世纪云芯</t>
        </is>
      </c>
      <c r="E39" s="639" t="inlineStr">
        <is>
          <t>spilsz</t>
        </is>
      </c>
      <c r="F39" s="640" t="inlineStr">
        <is>
          <t>BM1366AG</t>
        </is>
      </c>
      <c r="G39" s="673" t="inlineStr">
        <is>
          <t>Y09BM1366820</t>
        </is>
      </c>
      <c r="H39" s="691" t="n">
        <v>8114</v>
      </c>
      <c r="I39" s="693" t="n"/>
      <c r="J39" s="702" t="inlineStr">
        <is>
          <t>SZK202206140015</t>
        </is>
      </c>
      <c r="K39" s="692" t="n">
        <v>33.8459675007131</v>
      </c>
      <c r="L39" s="640" t="inlineStr">
        <is>
          <t>朗华</t>
        </is>
      </c>
    </row>
    <row r="40" s="184">
      <c r="A40" s="673" t="n">
        <v>39</v>
      </c>
      <c r="B40" s="444" t="inlineStr">
        <is>
          <t>海南比特</t>
        </is>
      </c>
      <c r="C40" s="690" t="n">
        <v>44725</v>
      </c>
      <c r="D40" s="673" t="inlineStr">
        <is>
          <t>世纪云芯</t>
        </is>
      </c>
      <c r="E40" s="639" t="inlineStr">
        <is>
          <t>SCK</t>
        </is>
      </c>
      <c r="F40" s="640" t="inlineStr">
        <is>
          <t>BM1727AA</t>
        </is>
      </c>
      <c r="G40" s="673" t="inlineStr">
        <is>
          <t>Y09BM1727010</t>
        </is>
      </c>
      <c r="H40" s="691" t="n">
        <v>27769</v>
      </c>
      <c r="I40" s="693" t="n"/>
      <c r="J40" s="702" t="inlineStr">
        <is>
          <t>SZK202206140016</t>
        </is>
      </c>
      <c r="K40" s="692" t="n">
        <v>29.582180881791</v>
      </c>
      <c r="L40" s="640" t="inlineStr">
        <is>
          <t>朗华</t>
        </is>
      </c>
    </row>
    <row r="41" s="184">
      <c r="A41" s="673" t="n">
        <v>40</v>
      </c>
      <c r="B41" s="444" t="inlineStr">
        <is>
          <t>海南比特</t>
        </is>
      </c>
      <c r="C41" s="690" t="n">
        <v>44725</v>
      </c>
      <c r="D41" s="673" t="inlineStr">
        <is>
          <t>世纪云芯</t>
        </is>
      </c>
      <c r="E41" s="639" t="inlineStr">
        <is>
          <t>SCK</t>
        </is>
      </c>
      <c r="F41" s="640" t="inlineStr">
        <is>
          <t>BM1766AA</t>
        </is>
      </c>
      <c r="G41" s="673" t="inlineStr">
        <is>
          <t>Y09BM1766010</t>
        </is>
      </c>
      <c r="H41" s="691" t="n">
        <v>30011</v>
      </c>
      <c r="I41" s="693" t="n"/>
      <c r="J41" s="702" t="inlineStr">
        <is>
          <t>SZK202206140016</t>
        </is>
      </c>
      <c r="K41" s="692" t="n">
        <v>29.582180881791</v>
      </c>
      <c r="L41" s="640" t="inlineStr">
        <is>
          <t>朗华</t>
        </is>
      </c>
    </row>
    <row r="42" s="184">
      <c r="A42" s="673" t="n">
        <v>41</v>
      </c>
      <c r="B42" s="444" t="inlineStr">
        <is>
          <t>海南比特</t>
        </is>
      </c>
      <c r="C42" s="690" t="n">
        <v>44725</v>
      </c>
      <c r="D42" s="673" t="inlineStr">
        <is>
          <t>世纪云芯</t>
        </is>
      </c>
      <c r="E42" s="639" t="inlineStr">
        <is>
          <t>SCK</t>
        </is>
      </c>
      <c r="F42" s="640" t="inlineStr">
        <is>
          <t>BM2110AA</t>
        </is>
      </c>
      <c r="G42" s="673" t="inlineStr">
        <is>
          <t>Y09BM2110010</t>
        </is>
      </c>
      <c r="H42" s="691" t="n">
        <v>29353</v>
      </c>
      <c r="I42" s="693" t="n"/>
      <c r="J42" s="702" t="inlineStr">
        <is>
          <t>SZK202206140016</t>
        </is>
      </c>
      <c r="K42" s="692" t="n">
        <v>29.582180881791</v>
      </c>
      <c r="L42" s="640" t="inlineStr">
        <is>
          <t>朗华</t>
        </is>
      </c>
    </row>
    <row r="43" s="184">
      <c r="A43" s="673" t="n">
        <v>42</v>
      </c>
      <c r="B43" s="444" t="inlineStr">
        <is>
          <t>海南比特</t>
        </is>
      </c>
      <c r="C43" s="690" t="n">
        <v>44725</v>
      </c>
      <c r="D43" s="673" t="inlineStr">
        <is>
          <t>世纪云芯</t>
        </is>
      </c>
      <c r="E43" s="639" t="inlineStr">
        <is>
          <t>SCK</t>
        </is>
      </c>
      <c r="F43" s="640" t="inlineStr">
        <is>
          <t>BM2130AA</t>
        </is>
      </c>
      <c r="G43" s="673" t="inlineStr">
        <is>
          <t>Y09BM2130010</t>
        </is>
      </c>
      <c r="H43" s="691" t="n">
        <v>29839</v>
      </c>
      <c r="I43" s="693" t="n"/>
      <c r="J43" s="702" t="inlineStr">
        <is>
          <t>SZK202206140016</t>
        </is>
      </c>
      <c r="K43" s="692" t="n">
        <v>29.582180881791</v>
      </c>
      <c r="L43" s="640" t="inlineStr">
        <is>
          <t>朗华</t>
        </is>
      </c>
    </row>
    <row r="44" s="184">
      <c r="A44" s="673" t="n">
        <v>43</v>
      </c>
      <c r="B44" s="444" t="inlineStr">
        <is>
          <t>海南比特</t>
        </is>
      </c>
      <c r="C44" s="690" t="n">
        <v>44725</v>
      </c>
      <c r="D44" s="673" t="inlineStr">
        <is>
          <t>世纪云芯</t>
        </is>
      </c>
      <c r="E44" s="639" t="inlineStr">
        <is>
          <t>SCK</t>
        </is>
      </c>
      <c r="F44" s="640" t="inlineStr">
        <is>
          <t>BM1727AA</t>
        </is>
      </c>
      <c r="G44" s="673" t="inlineStr">
        <is>
          <t>Y09BM1727010</t>
        </is>
      </c>
      <c r="H44" s="691" t="n">
        <v>30172</v>
      </c>
      <c r="I44" s="693" t="n"/>
      <c r="J44" s="702" t="inlineStr">
        <is>
          <t>SZK202206140016</t>
        </is>
      </c>
      <c r="K44" s="692" t="n">
        <v>29.582180881791</v>
      </c>
      <c r="L44" s="640" t="inlineStr">
        <is>
          <t>朗华</t>
        </is>
      </c>
    </row>
    <row r="45" s="184">
      <c r="A45" s="673" t="n">
        <v>44</v>
      </c>
      <c r="B45" s="444" t="inlineStr">
        <is>
          <t>海南比特</t>
        </is>
      </c>
      <c r="C45" s="690" t="n">
        <v>44725</v>
      </c>
      <c r="D45" s="673" t="inlineStr">
        <is>
          <t>世纪云芯</t>
        </is>
      </c>
      <c r="E45" s="639" t="inlineStr">
        <is>
          <t>捷策创</t>
        </is>
      </c>
      <c r="F45" s="640" t="inlineStr">
        <is>
          <t>BM1362BD</t>
        </is>
      </c>
      <c r="G45" s="673" t="inlineStr">
        <is>
          <t>Y09BM1362D40</t>
        </is>
      </c>
      <c r="H45" s="691" t="n">
        <v>38203</v>
      </c>
      <c r="I45" s="693" t="n"/>
      <c r="J45" s="702" t="inlineStr">
        <is>
          <t>SZK202206140017</t>
        </is>
      </c>
      <c r="K45" s="692" t="n">
        <v>20.2196235560928</v>
      </c>
      <c r="L45" s="640" t="inlineStr">
        <is>
          <t>朗华</t>
        </is>
      </c>
    </row>
    <row r="46" s="184">
      <c r="A46" s="673" t="n">
        <v>45</v>
      </c>
      <c r="B46" s="444" t="inlineStr">
        <is>
          <t>海南比特</t>
        </is>
      </c>
      <c r="C46" s="690" t="n">
        <v>44725</v>
      </c>
      <c r="D46" s="673" t="inlineStr">
        <is>
          <t>世纪云芯</t>
        </is>
      </c>
      <c r="E46" s="639" t="inlineStr">
        <is>
          <t>捷策创</t>
        </is>
      </c>
      <c r="F46" s="640" t="inlineStr">
        <is>
          <t>BM1366AG</t>
        </is>
      </c>
      <c r="G46" s="673" t="inlineStr">
        <is>
          <t>Y09BM1366820</t>
        </is>
      </c>
      <c r="H46" s="691" t="n">
        <v>1027338</v>
      </c>
      <c r="I46" s="693" t="n"/>
      <c r="J46" s="702" t="inlineStr">
        <is>
          <t>SZK202206140017</t>
        </is>
      </c>
      <c r="K46" s="692" t="n">
        <v>33.8459675007131</v>
      </c>
      <c r="L46" s="640" t="inlineStr">
        <is>
          <t>朗华</t>
        </is>
      </c>
    </row>
    <row r="47" s="184">
      <c r="A47" s="673" t="n">
        <v>46</v>
      </c>
      <c r="B47" s="444" t="inlineStr">
        <is>
          <t>海南比特</t>
        </is>
      </c>
      <c r="C47" s="690" t="n">
        <v>44725</v>
      </c>
      <c r="D47" s="673" t="inlineStr">
        <is>
          <t>世纪云芯</t>
        </is>
      </c>
      <c r="E47" s="639" t="inlineStr">
        <is>
          <t>捷策创</t>
        </is>
      </c>
      <c r="F47" s="640" t="inlineStr">
        <is>
          <t>BM1362AK</t>
        </is>
      </c>
      <c r="G47" s="673" t="inlineStr">
        <is>
          <t>Y09BM1362310</t>
        </is>
      </c>
      <c r="H47" s="691" t="n">
        <v>3001985</v>
      </c>
      <c r="I47" s="693" t="n"/>
      <c r="J47" s="702" t="inlineStr">
        <is>
          <t>SZK202206140017</t>
        </is>
      </c>
      <c r="K47" s="692" t="n">
        <v>20.2196235560928</v>
      </c>
      <c r="L47" s="640" t="inlineStr">
        <is>
          <t>朗华</t>
        </is>
      </c>
    </row>
    <row r="48" s="184">
      <c r="A48" s="673" t="n">
        <v>47</v>
      </c>
      <c r="B48" s="444" t="inlineStr">
        <is>
          <t>海南比特</t>
        </is>
      </c>
      <c r="C48" s="690" t="n">
        <v>44725</v>
      </c>
      <c r="D48" s="673" t="inlineStr">
        <is>
          <t>世纪云芯</t>
        </is>
      </c>
      <c r="E48" s="639" t="inlineStr">
        <is>
          <t>XJ</t>
        </is>
      </c>
      <c r="F48" s="640" t="inlineStr">
        <is>
          <t>BM1366AG</t>
        </is>
      </c>
      <c r="G48" s="673" t="inlineStr">
        <is>
          <t>Y09BM1366820</t>
        </is>
      </c>
      <c r="H48" s="691" t="n">
        <v>829803</v>
      </c>
      <c r="I48" s="693" t="n"/>
      <c r="J48" s="702" t="inlineStr">
        <is>
          <t>SZK202206140018</t>
        </is>
      </c>
      <c r="K48" s="692" t="n">
        <v>33.8459675007131</v>
      </c>
      <c r="L48" s="640" t="inlineStr">
        <is>
          <t>朗华</t>
        </is>
      </c>
    </row>
    <row r="49" s="184">
      <c r="A49" s="673" t="n">
        <v>48</v>
      </c>
      <c r="B49" s="444" t="inlineStr">
        <is>
          <t>海南比特</t>
        </is>
      </c>
      <c r="C49" s="690" t="n">
        <v>44725</v>
      </c>
      <c r="D49" s="673" t="inlineStr">
        <is>
          <t>世纪云芯</t>
        </is>
      </c>
      <c r="E49" s="639" t="inlineStr">
        <is>
          <t>XJ</t>
        </is>
      </c>
      <c r="F49" s="640" t="inlineStr">
        <is>
          <t>BM1362AC</t>
        </is>
      </c>
      <c r="G49" s="673" t="inlineStr">
        <is>
          <t>Y09BM1362C00</t>
        </is>
      </c>
      <c r="H49" s="691" t="n">
        <v>48937</v>
      </c>
      <c r="I49" s="693" t="n"/>
      <c r="J49" s="702" t="inlineStr">
        <is>
          <t>SZK202206140018</t>
        </is>
      </c>
      <c r="K49" s="692" t="n">
        <v>20.2196235560928</v>
      </c>
      <c r="L49" s="640" t="inlineStr">
        <is>
          <t>朗华</t>
        </is>
      </c>
    </row>
    <row r="50" s="184">
      <c r="A50" s="673" t="n">
        <v>49</v>
      </c>
      <c r="B50" s="444" t="inlineStr">
        <is>
          <t>海南比特</t>
        </is>
      </c>
      <c r="C50" s="690" t="n">
        <v>44725</v>
      </c>
      <c r="D50" s="673" t="inlineStr">
        <is>
          <t>世纪云芯</t>
        </is>
      </c>
      <c r="E50" s="639" t="inlineStr">
        <is>
          <t>XJ</t>
        </is>
      </c>
      <c r="F50" s="640" t="inlineStr">
        <is>
          <t>BM1746AA</t>
        </is>
      </c>
      <c r="G50" s="673" t="inlineStr">
        <is>
          <t>Y09BM1746010</t>
        </is>
      </c>
      <c r="H50" s="691" t="n">
        <v>3920</v>
      </c>
      <c r="I50" s="693" t="n"/>
      <c r="J50" s="702" t="inlineStr">
        <is>
          <t>SZK202206140018</t>
        </is>
      </c>
      <c r="K50" s="692" t="n">
        <v>450.195285168036</v>
      </c>
      <c r="L50" s="640" t="inlineStr">
        <is>
          <t>朗华</t>
        </is>
      </c>
    </row>
    <row r="51" s="184">
      <c r="A51" s="673" t="n">
        <v>50</v>
      </c>
      <c r="B51" s="444" t="inlineStr">
        <is>
          <t>海南比特</t>
        </is>
      </c>
      <c r="C51" s="690" t="n">
        <v>44701</v>
      </c>
      <c r="D51" s="673" t="inlineStr">
        <is>
          <t>世纪云芯</t>
        </is>
      </c>
      <c r="E51" s="639" t="inlineStr">
        <is>
          <t>ASEKH</t>
        </is>
      </c>
      <c r="F51" s="640" t="inlineStr">
        <is>
          <t>BM1366AB</t>
        </is>
      </c>
      <c r="G51" s="673" t="inlineStr">
        <is>
          <t>Y09BM1366120</t>
        </is>
      </c>
      <c r="H51" s="691" t="n">
        <v>2190</v>
      </c>
      <c r="I51" s="693" t="inlineStr">
        <is>
          <t>SZK202206100052</t>
        </is>
      </c>
      <c r="J51" s="702" t="inlineStr">
        <is>
          <t>SZK202207080002</t>
        </is>
      </c>
      <c r="K51" s="692" t="n">
        <v>34.1939009241791</v>
      </c>
      <c r="L51" s="640" t="inlineStr">
        <is>
          <t>朗华</t>
        </is>
      </c>
      <c r="M51" s="658" t="inlineStr">
        <is>
          <t>5月份报关进品的一直被卡关，实物6月份才进来</t>
        </is>
      </c>
    </row>
    <row r="52" s="184">
      <c r="A52" s="673" t="n">
        <v>51</v>
      </c>
      <c r="B52" s="444" t="inlineStr">
        <is>
          <t>海南比特</t>
        </is>
      </c>
      <c r="C52" s="690" t="n">
        <v>44727</v>
      </c>
      <c r="D52" s="673" t="inlineStr">
        <is>
          <t>世纪云芯</t>
        </is>
      </c>
      <c r="E52" s="639" t="inlineStr">
        <is>
          <t>SCK</t>
        </is>
      </c>
      <c r="F52" s="640" t="inlineStr">
        <is>
          <t>BM2042AA</t>
        </is>
      </c>
      <c r="G52" s="673" t="inlineStr">
        <is>
          <t>Y09BM2042010</t>
        </is>
      </c>
      <c r="H52" s="691" t="n">
        <v>30124</v>
      </c>
      <c r="I52" s="693" t="n"/>
      <c r="J52" s="702" t="inlineStr">
        <is>
          <t>SZK202206170036</t>
        </is>
      </c>
      <c r="K52" s="692" t="n">
        <v>29.5822</v>
      </c>
      <c r="L52" s="640" t="inlineStr">
        <is>
          <t>朗华</t>
        </is>
      </c>
      <c r="M52" s="692" t="n"/>
    </row>
    <row r="53" s="184">
      <c r="A53" s="673" t="n">
        <v>52</v>
      </c>
      <c r="B53" s="444" t="inlineStr">
        <is>
          <t>海南比特</t>
        </is>
      </c>
      <c r="C53" s="690" t="n">
        <v>44727</v>
      </c>
      <c r="D53" s="673" t="inlineStr">
        <is>
          <t>世纪云芯</t>
        </is>
      </c>
      <c r="E53" s="639" t="inlineStr">
        <is>
          <t>捷策创</t>
        </is>
      </c>
      <c r="F53" s="640" t="inlineStr">
        <is>
          <t>BM1398BB</t>
        </is>
      </c>
      <c r="G53" s="673" t="inlineStr">
        <is>
          <t>Y09BM1398240</t>
        </is>
      </c>
      <c r="H53" s="691" t="n">
        <v>14296</v>
      </c>
      <c r="I53" s="693" t="n"/>
      <c r="J53" s="702" t="inlineStr">
        <is>
          <t>SZK202206170038</t>
        </is>
      </c>
      <c r="K53" s="692" t="n">
        <v>38.4632</v>
      </c>
      <c r="L53" s="640" t="inlineStr">
        <is>
          <t>朗华</t>
        </is>
      </c>
      <c r="M53" s="692" t="n"/>
    </row>
    <row r="54" s="184">
      <c r="A54" s="673" t="n">
        <v>53</v>
      </c>
      <c r="B54" s="444" t="inlineStr">
        <is>
          <t>海南比特</t>
        </is>
      </c>
      <c r="C54" s="690" t="n">
        <v>44727</v>
      </c>
      <c r="D54" s="673" t="inlineStr">
        <is>
          <t>世纪云芯</t>
        </is>
      </c>
      <c r="E54" s="639" t="inlineStr">
        <is>
          <t>捷策创</t>
        </is>
      </c>
      <c r="F54" s="640" t="inlineStr">
        <is>
          <t>BM1362AK</t>
        </is>
      </c>
      <c r="G54" s="673" t="inlineStr">
        <is>
          <t>Y09BM1362310</t>
        </is>
      </c>
      <c r="H54" s="691" t="n">
        <v>402497</v>
      </c>
      <c r="I54" s="693" t="n"/>
      <c r="J54" s="702" t="inlineStr">
        <is>
          <t>SZK202206170038</t>
        </is>
      </c>
      <c r="K54" s="692" t="n">
        <v>20.2196</v>
      </c>
      <c r="L54" s="640" t="inlineStr">
        <is>
          <t>朗华</t>
        </is>
      </c>
      <c r="M54" s="692" t="n"/>
    </row>
    <row r="55" s="184">
      <c r="A55" s="673" t="n">
        <v>54</v>
      </c>
      <c r="B55" s="444" t="inlineStr">
        <is>
          <t>海南比特</t>
        </is>
      </c>
      <c r="C55" s="690" t="n">
        <v>44727</v>
      </c>
      <c r="D55" s="673" t="inlineStr">
        <is>
          <t>世纪云芯</t>
        </is>
      </c>
      <c r="E55" s="639" t="inlineStr">
        <is>
          <t>XJ</t>
        </is>
      </c>
      <c r="F55" s="640" t="inlineStr">
        <is>
          <t>BM1362AK</t>
        </is>
      </c>
      <c r="G55" s="673" t="inlineStr">
        <is>
          <t>Y09BM1362310</t>
        </is>
      </c>
      <c r="H55" s="691" t="n">
        <v>4001973</v>
      </c>
      <c r="I55" s="693" t="n"/>
      <c r="J55" s="702" t="inlineStr">
        <is>
          <t>SZK202206170039</t>
        </is>
      </c>
      <c r="K55" s="692" t="n">
        <v>20.2196</v>
      </c>
      <c r="L55" s="640" t="inlineStr">
        <is>
          <t>朗华</t>
        </is>
      </c>
      <c r="M55" s="692" t="n"/>
    </row>
    <row r="56" s="184">
      <c r="A56" s="673" t="n">
        <v>55</v>
      </c>
      <c r="B56" s="444" t="inlineStr">
        <is>
          <t>海南比特</t>
        </is>
      </c>
      <c r="C56" s="690" t="n">
        <v>44727</v>
      </c>
      <c r="D56" s="673" t="inlineStr">
        <is>
          <t>世纪云芯</t>
        </is>
      </c>
      <c r="E56" s="639" t="inlineStr">
        <is>
          <t>伟测</t>
        </is>
      </c>
      <c r="F56" s="640" t="inlineStr">
        <is>
          <t>BM1362AK</t>
        </is>
      </c>
      <c r="G56" s="673" t="inlineStr">
        <is>
          <t>Y09BM1362310</t>
        </is>
      </c>
      <c r="H56" s="691" t="n">
        <v>2360723</v>
      </c>
      <c r="I56" s="693" t="n"/>
      <c r="J56" s="702" t="inlineStr">
        <is>
          <t>SZK202206170040</t>
        </is>
      </c>
      <c r="K56" s="692" t="n">
        <v>20.2196</v>
      </c>
      <c r="L56" s="640" t="inlineStr">
        <is>
          <t>朗华</t>
        </is>
      </c>
      <c r="M56" s="692" t="n"/>
    </row>
    <row r="57" s="184">
      <c r="A57" s="673" t="n">
        <v>56</v>
      </c>
      <c r="B57" s="444" t="inlineStr">
        <is>
          <t>海南比特</t>
        </is>
      </c>
      <c r="C57" s="690" t="n">
        <v>44729</v>
      </c>
      <c r="D57" s="673" t="inlineStr">
        <is>
          <t>世纪云芯</t>
        </is>
      </c>
      <c r="E57" s="639" t="inlineStr">
        <is>
          <t>ASESH</t>
        </is>
      </c>
      <c r="F57" s="640" t="inlineStr">
        <is>
          <t>BM1366AH</t>
        </is>
      </c>
      <c r="G57" s="673" t="inlineStr">
        <is>
          <t>Y09BM1366930</t>
        </is>
      </c>
      <c r="H57" s="691" t="n">
        <v>208</v>
      </c>
      <c r="I57" s="693" t="n"/>
      <c r="J57" s="702" t="inlineStr">
        <is>
          <t>SZK202206200001</t>
        </is>
      </c>
      <c r="K57" s="692" t="n">
        <v>33.846</v>
      </c>
      <c r="L57" s="640" t="inlineStr">
        <is>
          <t>朗华</t>
        </is>
      </c>
      <c r="M57" s="692" t="n">
        <v>4.43</v>
      </c>
    </row>
    <row r="58" s="184">
      <c r="A58" s="673" t="n">
        <v>57</v>
      </c>
      <c r="B58" s="444" t="inlineStr">
        <is>
          <t>海南比特</t>
        </is>
      </c>
      <c r="C58" s="690" t="n">
        <v>44729</v>
      </c>
      <c r="D58" s="673" t="inlineStr">
        <is>
          <t>世纪云芯</t>
        </is>
      </c>
      <c r="E58" s="639" t="inlineStr">
        <is>
          <t>伟测</t>
        </is>
      </c>
      <c r="F58" s="640" t="inlineStr">
        <is>
          <t>BM1362AK</t>
        </is>
      </c>
      <c r="G58" s="673" t="inlineStr">
        <is>
          <t>Y09BM1362310</t>
        </is>
      </c>
      <c r="H58" s="691" t="n">
        <v>1511564</v>
      </c>
      <c r="I58" s="693" t="n"/>
      <c r="J58" s="702" t="inlineStr">
        <is>
          <t>SZK202206200002</t>
        </is>
      </c>
      <c r="K58" s="692" t="n">
        <v>20.2196</v>
      </c>
      <c r="L58" s="640" t="inlineStr">
        <is>
          <t>朗华</t>
        </is>
      </c>
      <c r="M58" s="692" t="n">
        <v>2.65</v>
      </c>
    </row>
    <row r="59" s="184">
      <c r="A59" s="673" t="n">
        <v>58</v>
      </c>
      <c r="B59" s="444" t="inlineStr">
        <is>
          <t>海南比特</t>
        </is>
      </c>
      <c r="C59" s="690" t="n">
        <v>44729</v>
      </c>
      <c r="D59" s="673" t="inlineStr">
        <is>
          <t>世纪云芯</t>
        </is>
      </c>
      <c r="E59" s="639" t="inlineStr">
        <is>
          <t>XJ</t>
        </is>
      </c>
      <c r="F59" s="640" t="inlineStr">
        <is>
          <t>BM1362AK</t>
        </is>
      </c>
      <c r="G59" s="673" t="inlineStr">
        <is>
          <t>Y09BM1362310</t>
        </is>
      </c>
      <c r="H59" s="691" t="n">
        <v>3742238</v>
      </c>
      <c r="I59" s="693" t="n"/>
      <c r="J59" s="702" t="inlineStr">
        <is>
          <t>SZK202206200003</t>
        </is>
      </c>
      <c r="K59" s="692" t="n">
        <v>20.2196</v>
      </c>
      <c r="L59" s="640" t="inlineStr">
        <is>
          <t>朗华</t>
        </is>
      </c>
      <c r="M59" s="692" t="n">
        <v>2.65</v>
      </c>
    </row>
    <row r="60" s="184">
      <c r="A60" s="673" t="n">
        <v>59</v>
      </c>
      <c r="B60" s="444" t="inlineStr">
        <is>
          <t>海南比特</t>
        </is>
      </c>
      <c r="C60" s="690" t="n">
        <v>44729</v>
      </c>
      <c r="D60" s="673" t="inlineStr">
        <is>
          <t>世纪云芯</t>
        </is>
      </c>
      <c r="E60" s="639" t="inlineStr">
        <is>
          <t>XJ</t>
        </is>
      </c>
      <c r="F60" s="640" t="inlineStr">
        <is>
          <t>BM1362AA</t>
        </is>
      </c>
      <c r="G60" s="673" t="inlineStr">
        <is>
          <t>Y09BM1362A00</t>
        </is>
      </c>
      <c r="H60" s="691" t="n">
        <v>4902</v>
      </c>
      <c r="I60" s="693" t="n"/>
      <c r="J60" s="702" t="inlineStr">
        <is>
          <t>SZK202206200003</t>
        </is>
      </c>
      <c r="K60" s="692" t="n">
        <v>20.2196</v>
      </c>
      <c r="L60" s="640" t="inlineStr">
        <is>
          <t>朗华</t>
        </is>
      </c>
      <c r="M60" s="692" t="n">
        <v>2.65</v>
      </c>
    </row>
    <row r="61" s="184">
      <c r="A61" s="673" t="n">
        <v>59</v>
      </c>
      <c r="B61" s="444" t="inlineStr">
        <is>
          <t>海南比特</t>
        </is>
      </c>
      <c r="C61" s="690" t="n">
        <v>44729</v>
      </c>
      <c r="D61" s="673" t="inlineStr">
        <is>
          <t>世纪云芯</t>
        </is>
      </c>
      <c r="E61" s="639" t="inlineStr">
        <is>
          <t>XJ</t>
        </is>
      </c>
      <c r="F61" s="640" t="inlineStr">
        <is>
          <t>BM1362AB</t>
        </is>
      </c>
      <c r="G61" s="673" t="inlineStr">
        <is>
          <t>Y09BM1362B00</t>
        </is>
      </c>
      <c r="H61" s="691" t="n">
        <v>524</v>
      </c>
      <c r="I61" s="693" t="n"/>
      <c r="J61" s="702" t="inlineStr">
        <is>
          <t>SZK202206200003</t>
        </is>
      </c>
      <c r="K61" s="692" t="n">
        <v>20.2196</v>
      </c>
      <c r="L61" s="640" t="inlineStr">
        <is>
          <t>朗华</t>
        </is>
      </c>
      <c r="M61" s="692" t="n">
        <v>2.65</v>
      </c>
    </row>
    <row r="62" s="184">
      <c r="A62" s="673" t="n">
        <v>61</v>
      </c>
      <c r="B62" s="444" t="inlineStr">
        <is>
          <t>海南比特</t>
        </is>
      </c>
      <c r="C62" s="690" t="n">
        <v>44729</v>
      </c>
      <c r="D62" s="673" t="inlineStr">
        <is>
          <t>世纪云芯</t>
        </is>
      </c>
      <c r="E62" s="639" t="inlineStr">
        <is>
          <t>XJ</t>
        </is>
      </c>
      <c r="F62" s="640" t="inlineStr">
        <is>
          <t>BM1366AG</t>
        </is>
      </c>
      <c r="G62" s="673" t="inlineStr">
        <is>
          <t>Y09BM1366820</t>
        </is>
      </c>
      <c r="H62" s="691" t="n">
        <v>416694</v>
      </c>
      <c r="I62" s="693" t="n"/>
      <c r="J62" s="702" t="inlineStr">
        <is>
          <t>SZK202206200003</t>
        </is>
      </c>
      <c r="K62" s="692" t="n">
        <v>33.846</v>
      </c>
      <c r="L62" s="640" t="inlineStr">
        <is>
          <t>朗华</t>
        </is>
      </c>
      <c r="M62" s="692" t="n">
        <v>4.43</v>
      </c>
    </row>
    <row r="63" s="184">
      <c r="A63" s="673" t="n">
        <v>62</v>
      </c>
      <c r="B63" s="444" t="inlineStr">
        <is>
          <t>海南比特</t>
        </is>
      </c>
      <c r="C63" s="690" t="n">
        <v>44729</v>
      </c>
      <c r="D63" s="673" t="inlineStr">
        <is>
          <t>世纪云芯</t>
        </is>
      </c>
      <c r="E63" s="639" t="inlineStr">
        <is>
          <t>XJ</t>
        </is>
      </c>
      <c r="F63" s="640" t="inlineStr">
        <is>
          <t>BM1362AC</t>
        </is>
      </c>
      <c r="G63" s="673" t="inlineStr">
        <is>
          <t>Y09BM1362C00</t>
        </is>
      </c>
      <c r="H63" s="691" t="n">
        <v>3920732</v>
      </c>
      <c r="I63" s="693" t="n"/>
      <c r="J63" s="702" t="inlineStr">
        <is>
          <t>SZK202206200003</t>
        </is>
      </c>
      <c r="K63" s="692" t="n">
        <v>20.2196</v>
      </c>
      <c r="L63" s="640" t="inlineStr">
        <is>
          <t>朗华</t>
        </is>
      </c>
      <c r="M63" s="692" t="n">
        <v>2.65</v>
      </c>
    </row>
    <row r="64" s="184">
      <c r="A64" s="673" t="n">
        <v>63</v>
      </c>
      <c r="B64" s="444" t="inlineStr">
        <is>
          <t>海南比特</t>
        </is>
      </c>
      <c r="C64" s="690" t="n">
        <v>44729</v>
      </c>
      <c r="D64" s="673" t="inlineStr">
        <is>
          <t>世纪云芯</t>
        </is>
      </c>
      <c r="E64" s="639" t="inlineStr">
        <is>
          <t>XJ</t>
        </is>
      </c>
      <c r="F64" s="640" t="inlineStr">
        <is>
          <t>BM1362AI</t>
        </is>
      </c>
      <c r="G64" s="673" t="inlineStr">
        <is>
          <t>Y09BM1362110</t>
        </is>
      </c>
      <c r="H64" s="691" t="n">
        <v>218012</v>
      </c>
      <c r="I64" s="693" t="n"/>
      <c r="J64" s="702" t="inlineStr">
        <is>
          <t>SZK202206200003</t>
        </is>
      </c>
      <c r="K64" s="692" t="n">
        <v>20.2196</v>
      </c>
      <c r="L64" s="640" t="inlineStr">
        <is>
          <t>朗华</t>
        </is>
      </c>
      <c r="M64" s="692" t="n">
        <v>2.65</v>
      </c>
    </row>
    <row r="65" s="184">
      <c r="A65" s="673" t="n">
        <v>64</v>
      </c>
      <c r="B65" s="444" t="inlineStr">
        <is>
          <t>海南比特</t>
        </is>
      </c>
      <c r="C65" s="690" t="n">
        <v>44729</v>
      </c>
      <c r="D65" s="673" t="inlineStr">
        <is>
          <t>世纪云芯</t>
        </is>
      </c>
      <c r="E65" s="639" t="inlineStr">
        <is>
          <t>ASE</t>
        </is>
      </c>
      <c r="F65" s="640" t="inlineStr">
        <is>
          <t>BM1366AG</t>
        </is>
      </c>
      <c r="G65" s="673" t="inlineStr">
        <is>
          <t>Y09BM1366820</t>
        </is>
      </c>
      <c r="H65" s="691" t="n">
        <v>1993</v>
      </c>
      <c r="I65" s="693" t="n"/>
      <c r="J65" s="702" t="inlineStr">
        <is>
          <t>SZK202206200004</t>
        </is>
      </c>
      <c r="K65" s="692" t="n">
        <v>33.846</v>
      </c>
      <c r="L65" s="640" t="inlineStr">
        <is>
          <t>朗华</t>
        </is>
      </c>
      <c r="M65" s="692" t="n">
        <v>4.43</v>
      </c>
    </row>
    <row r="66" s="184">
      <c r="A66" s="673" t="n">
        <v>65</v>
      </c>
      <c r="B66" s="444" t="inlineStr">
        <is>
          <t>海南比特</t>
        </is>
      </c>
      <c r="C66" s="690" t="n">
        <v>44729</v>
      </c>
      <c r="D66" s="673" t="inlineStr">
        <is>
          <t>世纪云芯</t>
        </is>
      </c>
      <c r="E66" s="639" t="inlineStr">
        <is>
          <t>捷策创</t>
        </is>
      </c>
      <c r="F66" s="640" t="inlineStr">
        <is>
          <t>BM1366AG</t>
        </is>
      </c>
      <c r="G66" s="673" t="inlineStr">
        <is>
          <t>Y09BM1366820</t>
        </is>
      </c>
      <c r="H66" s="691" t="n">
        <v>971630</v>
      </c>
      <c r="I66" s="693" t="n"/>
      <c r="J66" s="702" t="inlineStr">
        <is>
          <t>SZK202206200005</t>
        </is>
      </c>
      <c r="K66" s="692" t="n">
        <v>33.846</v>
      </c>
      <c r="L66" s="640" t="inlineStr">
        <is>
          <t>朗华</t>
        </is>
      </c>
      <c r="M66" s="692" t="n">
        <v>4.43</v>
      </c>
    </row>
    <row r="67" s="184">
      <c r="A67" s="673" t="n">
        <v>66</v>
      </c>
      <c r="B67" s="444" t="inlineStr">
        <is>
          <t>海南比特</t>
        </is>
      </c>
      <c r="C67" s="690" t="n">
        <v>44732</v>
      </c>
      <c r="D67" s="673" t="inlineStr">
        <is>
          <t>世纪云芯</t>
        </is>
      </c>
      <c r="E67" s="639" t="inlineStr">
        <is>
          <t>XJ</t>
        </is>
      </c>
      <c r="F67" s="640" t="inlineStr">
        <is>
          <t>BM1362AK</t>
        </is>
      </c>
      <c r="G67" s="673" t="inlineStr">
        <is>
          <t>Y09BM1362310</t>
        </is>
      </c>
      <c r="H67" s="691" t="n">
        <v>3418965</v>
      </c>
      <c r="I67" s="693" t="n"/>
      <c r="J67" s="702" t="inlineStr">
        <is>
          <t>SZK202206220013</t>
        </is>
      </c>
      <c r="K67" s="692" t="n">
        <v>20.2196</v>
      </c>
      <c r="L67" s="640" t="inlineStr">
        <is>
          <t>世纪通</t>
        </is>
      </c>
      <c r="M67" s="692" t="n">
        <v>2.65</v>
      </c>
    </row>
    <row r="68" s="184">
      <c r="A68" s="673" t="n">
        <v>67</v>
      </c>
      <c r="B68" s="444" t="inlineStr">
        <is>
          <t>海南比特</t>
        </is>
      </c>
      <c r="C68" s="690" t="n">
        <v>44732</v>
      </c>
      <c r="D68" s="673" t="inlineStr">
        <is>
          <t>世纪云芯</t>
        </is>
      </c>
      <c r="E68" s="639" t="inlineStr">
        <is>
          <t>XJ</t>
        </is>
      </c>
      <c r="F68" s="640" t="inlineStr">
        <is>
          <t>BM1366AG</t>
        </is>
      </c>
      <c r="G68" s="673" t="inlineStr">
        <is>
          <t>Y09BM1366820</t>
        </is>
      </c>
      <c r="H68" s="691" t="n">
        <v>294676</v>
      </c>
      <c r="I68" s="693" t="n"/>
      <c r="J68" s="702" t="inlineStr">
        <is>
          <t>SZK202206220013</t>
        </is>
      </c>
      <c r="K68" s="692" t="n">
        <v>33.846</v>
      </c>
      <c r="L68" s="640" t="inlineStr">
        <is>
          <t>世纪通</t>
        </is>
      </c>
      <c r="M68" s="692" t="n">
        <v>4.43</v>
      </c>
    </row>
    <row r="69" s="184">
      <c r="A69" s="673" t="n">
        <v>68</v>
      </c>
      <c r="B69" s="444" t="inlineStr">
        <is>
          <t>海南比特</t>
        </is>
      </c>
      <c r="C69" s="690" t="n">
        <v>44732</v>
      </c>
      <c r="D69" s="673" t="inlineStr">
        <is>
          <t>世纪云芯</t>
        </is>
      </c>
      <c r="E69" s="639" t="inlineStr">
        <is>
          <t>捷策创</t>
        </is>
      </c>
      <c r="F69" s="640" t="inlineStr">
        <is>
          <t>BM1366AG</t>
        </is>
      </c>
      <c r="G69" s="673" t="inlineStr">
        <is>
          <t>Y09BM1366820</t>
        </is>
      </c>
      <c r="H69" s="691" t="n">
        <v>1149103</v>
      </c>
      <c r="I69" s="693" t="n"/>
      <c r="J69" s="702" t="inlineStr">
        <is>
          <t>SZK202206220014</t>
        </is>
      </c>
      <c r="K69" s="692" t="n">
        <v>33.846</v>
      </c>
      <c r="L69" s="640" t="inlineStr">
        <is>
          <t>迅宇</t>
        </is>
      </c>
      <c r="M69" s="692" t="n">
        <v>4.43</v>
      </c>
    </row>
    <row r="70" customFormat="1" s="703">
      <c r="A70" s="704" t="n">
        <v>69</v>
      </c>
      <c r="B70" s="479" t="inlineStr">
        <is>
          <t>海南比特</t>
        </is>
      </c>
      <c r="C70" s="705" t="n">
        <v>44732</v>
      </c>
      <c r="D70" s="704" t="inlineStr">
        <is>
          <t>世纪云芯</t>
        </is>
      </c>
      <c r="E70" s="706" t="inlineStr">
        <is>
          <t>捷策创</t>
        </is>
      </c>
      <c r="F70" s="707" t="inlineStr">
        <is>
          <t>BM1489</t>
        </is>
      </c>
      <c r="G70" s="673" t="inlineStr">
        <is>
          <t>Y09BM1489010</t>
        </is>
      </c>
      <c r="H70" s="708" t="n">
        <v>4048</v>
      </c>
      <c r="I70" s="709" t="n"/>
      <c r="J70" s="710" t="inlineStr">
        <is>
          <t>SZK202206220014</t>
        </is>
      </c>
      <c r="K70" s="711" t="n">
        <v>56.02</v>
      </c>
      <c r="L70" s="640" t="inlineStr">
        <is>
          <t>迅宇</t>
        </is>
      </c>
      <c r="M70" s="711" t="n">
        <v>7.33</v>
      </c>
    </row>
    <row r="71" s="184">
      <c r="A71" s="673" t="n">
        <v>70</v>
      </c>
      <c r="B71" s="444" t="inlineStr">
        <is>
          <t>海南比特</t>
        </is>
      </c>
      <c r="C71" s="690" t="n">
        <v>44732</v>
      </c>
      <c r="D71" s="673" t="inlineStr">
        <is>
          <t>世纪云芯</t>
        </is>
      </c>
      <c r="E71" s="639" t="inlineStr">
        <is>
          <t>合肥矽迈</t>
        </is>
      </c>
      <c r="F71" s="640" t="inlineStr">
        <is>
          <t>BM1362AM</t>
        </is>
      </c>
      <c r="G71" s="673" t="inlineStr">
        <is>
          <t>Y09BM1362540</t>
        </is>
      </c>
      <c r="H71" s="691" t="n">
        <v>1813</v>
      </c>
      <c r="I71" s="693" t="n"/>
      <c r="J71" s="702" t="inlineStr">
        <is>
          <t>SZK202206220015</t>
        </is>
      </c>
      <c r="K71" s="692" t="n">
        <v>20.2196</v>
      </c>
      <c r="L71" s="640" t="inlineStr">
        <is>
          <t>迅宇</t>
        </is>
      </c>
      <c r="M71" s="692" t="n">
        <v>2.65</v>
      </c>
    </row>
    <row r="72" s="184">
      <c r="A72" s="673" t="n">
        <v>71</v>
      </c>
      <c r="B72" s="444" t="inlineStr">
        <is>
          <t>海南比特</t>
        </is>
      </c>
      <c r="C72" s="690" t="n">
        <v>44733</v>
      </c>
      <c r="D72" s="673" t="inlineStr">
        <is>
          <t>世纪云芯</t>
        </is>
      </c>
      <c r="E72" s="639" t="inlineStr">
        <is>
          <t>无锡伟测</t>
        </is>
      </c>
      <c r="F72" s="640" t="inlineStr">
        <is>
          <t>BM1362AK</t>
        </is>
      </c>
      <c r="G72" s="673" t="inlineStr">
        <is>
          <t>Y09BM1362310</t>
        </is>
      </c>
      <c r="H72" s="691" t="n">
        <v>1363762</v>
      </c>
      <c r="I72" s="693" t="n"/>
      <c r="J72" s="702" t="inlineStr">
        <is>
          <t>SZK202206220016</t>
        </is>
      </c>
      <c r="K72" s="692" t="n">
        <v>20.2196</v>
      </c>
      <c r="L72" s="640" t="inlineStr">
        <is>
          <t>迅宇</t>
        </is>
      </c>
      <c r="M72" s="692" t="n">
        <v>2.65</v>
      </c>
    </row>
    <row r="73" s="184">
      <c r="A73" s="673" t="n">
        <v>72</v>
      </c>
      <c r="B73" s="444" t="inlineStr">
        <is>
          <t>海南比特</t>
        </is>
      </c>
      <c r="C73" s="690" t="n">
        <v>44733</v>
      </c>
      <c r="D73" s="673" t="inlineStr">
        <is>
          <t>世纪云芯</t>
        </is>
      </c>
      <c r="E73" s="639" t="inlineStr">
        <is>
          <t>南京伟测</t>
        </is>
      </c>
      <c r="F73" s="640" t="inlineStr">
        <is>
          <t>BM1366AG</t>
        </is>
      </c>
      <c r="G73" s="673" t="inlineStr">
        <is>
          <t>Y09BM1366820</t>
        </is>
      </c>
      <c r="H73" s="691" t="n">
        <v>45244</v>
      </c>
      <c r="I73" s="693" t="n"/>
      <c r="J73" s="702" t="inlineStr">
        <is>
          <t>SZK202206220017</t>
        </is>
      </c>
      <c r="K73" s="692" t="n">
        <v>33.846</v>
      </c>
      <c r="L73" s="640" t="inlineStr">
        <is>
          <t>世纪通</t>
        </is>
      </c>
      <c r="M73" s="692" t="n">
        <v>4.43</v>
      </c>
    </row>
    <row r="74" s="184">
      <c r="A74" s="673" t="n">
        <v>73</v>
      </c>
      <c r="B74" s="444" t="inlineStr">
        <is>
          <t>海南比特</t>
        </is>
      </c>
      <c r="C74" s="690" t="n">
        <v>44733</v>
      </c>
      <c r="D74" s="673" t="inlineStr">
        <is>
          <t>世纪云芯</t>
        </is>
      </c>
      <c r="E74" s="639" t="inlineStr">
        <is>
          <t>XJ</t>
        </is>
      </c>
      <c r="F74" s="640" t="inlineStr">
        <is>
          <t>BM1362AK</t>
        </is>
      </c>
      <c r="G74" s="673" t="inlineStr">
        <is>
          <t>Y09BM1362310</t>
        </is>
      </c>
      <c r="H74" s="691" t="n">
        <v>8840205</v>
      </c>
      <c r="I74" s="693" t="n"/>
      <c r="J74" s="702" t="inlineStr">
        <is>
          <t>SZK202206220018</t>
        </is>
      </c>
      <c r="K74" s="692" t="n">
        <v>20.2196</v>
      </c>
      <c r="L74" s="640" t="inlineStr">
        <is>
          <t>朗华</t>
        </is>
      </c>
      <c r="M74" s="692" t="n">
        <v>2.65</v>
      </c>
    </row>
    <row r="75" s="184">
      <c r="A75" s="673" t="n">
        <v>74</v>
      </c>
      <c r="B75" s="444" t="inlineStr">
        <is>
          <t>海南比特</t>
        </is>
      </c>
      <c r="C75" s="690" t="n">
        <v>44733</v>
      </c>
      <c r="D75" s="673" t="inlineStr">
        <is>
          <t>世纪云芯</t>
        </is>
      </c>
      <c r="E75" s="639" t="inlineStr">
        <is>
          <t>无锡伟测</t>
        </is>
      </c>
      <c r="F75" s="640" t="inlineStr">
        <is>
          <t>BM1366AG</t>
        </is>
      </c>
      <c r="G75" s="673" t="inlineStr">
        <is>
          <t>Y09BM1366820</t>
        </is>
      </c>
      <c r="H75" s="691" t="n">
        <v>111570</v>
      </c>
      <c r="I75" s="693" t="n"/>
      <c r="J75" s="702" t="inlineStr">
        <is>
          <t>SZK202206220019</t>
        </is>
      </c>
      <c r="K75" s="692" t="n">
        <v>33.846</v>
      </c>
      <c r="L75" s="640" t="inlineStr">
        <is>
          <t>朗华</t>
        </is>
      </c>
      <c r="M75" s="692" t="n">
        <v>4.43</v>
      </c>
    </row>
    <row r="76" s="184">
      <c r="A76" s="673" t="n">
        <v>75</v>
      </c>
      <c r="B76" s="444" t="inlineStr">
        <is>
          <t>海南比特</t>
        </is>
      </c>
      <c r="C76" s="712" t="n">
        <v>44734</v>
      </c>
      <c r="D76" s="673" t="inlineStr">
        <is>
          <t>世纪云芯</t>
        </is>
      </c>
      <c r="E76" s="713" t="inlineStr">
        <is>
          <t>捷策创</t>
        </is>
      </c>
      <c r="F76" s="714" t="inlineStr">
        <is>
          <t>BM1362AC</t>
        </is>
      </c>
      <c r="G76" s="673" t="inlineStr">
        <is>
          <t>Y09BM1362C00</t>
        </is>
      </c>
      <c r="H76" s="715" t="n">
        <v>190632</v>
      </c>
      <c r="J76" s="716" t="inlineStr">
        <is>
          <t>SZK202206230026</t>
        </is>
      </c>
      <c r="K76" s="717" t="n">
        <v>20.2196</v>
      </c>
      <c r="L76" s="640" t="n"/>
    </row>
    <row r="77" s="184">
      <c r="A77" s="673" t="n">
        <v>76</v>
      </c>
      <c r="B77" s="444" t="inlineStr">
        <is>
          <t>海南比特</t>
        </is>
      </c>
      <c r="C77" s="712" t="n">
        <v>44734</v>
      </c>
      <c r="D77" s="673" t="inlineStr">
        <is>
          <t>世纪云芯</t>
        </is>
      </c>
      <c r="E77" s="713" t="inlineStr">
        <is>
          <t>XJ</t>
        </is>
      </c>
      <c r="F77" s="714" t="inlineStr">
        <is>
          <t>BM1362AK</t>
        </is>
      </c>
      <c r="G77" s="673" t="inlineStr">
        <is>
          <t>Y09BM1362310</t>
        </is>
      </c>
      <c r="H77" s="715" t="n">
        <v>2000145</v>
      </c>
      <c r="J77" s="716" t="inlineStr">
        <is>
          <t>SZK202206230027</t>
        </is>
      </c>
      <c r="K77" s="717" t="n">
        <v>20.2196</v>
      </c>
      <c r="L77" s="640" t="inlineStr">
        <is>
          <t>朗华</t>
        </is>
      </c>
    </row>
    <row r="78" s="184">
      <c r="A78" s="673" t="n">
        <v>77</v>
      </c>
      <c r="B78" s="444" t="inlineStr">
        <is>
          <t>海南比特</t>
        </is>
      </c>
      <c r="C78" s="712" t="n">
        <v>44734</v>
      </c>
      <c r="D78" s="673" t="inlineStr">
        <is>
          <t>世纪云芯</t>
        </is>
      </c>
      <c r="E78" s="713" t="inlineStr">
        <is>
          <t>ASE</t>
        </is>
      </c>
      <c r="F78" s="714" t="inlineStr">
        <is>
          <t>BM1366AB</t>
        </is>
      </c>
      <c r="G78" s="673" t="inlineStr">
        <is>
          <t>Y09BM1366120</t>
        </is>
      </c>
      <c r="H78" s="715" t="n">
        <v>231</v>
      </c>
      <c r="J78" s="716" t="inlineStr">
        <is>
          <t>SZK202206230028</t>
        </is>
      </c>
      <c r="K78" s="717" t="n">
        <v>33.846</v>
      </c>
      <c r="L78" s="640" t="inlineStr">
        <is>
          <t>朗华</t>
        </is>
      </c>
    </row>
    <row r="79" s="184">
      <c r="A79" s="673" t="n">
        <v>78</v>
      </c>
      <c r="B79" s="444" t="inlineStr">
        <is>
          <t>海南比特</t>
        </is>
      </c>
      <c r="C79" s="712" t="n">
        <v>44734</v>
      </c>
      <c r="D79" s="673" t="inlineStr">
        <is>
          <t>世纪云芯</t>
        </is>
      </c>
      <c r="E79" s="713" t="inlineStr">
        <is>
          <t>ASE</t>
        </is>
      </c>
      <c r="F79" s="714" t="inlineStr">
        <is>
          <t>BM1366AG</t>
        </is>
      </c>
      <c r="G79" s="673" t="inlineStr">
        <is>
          <t>Y09BM1366820</t>
        </is>
      </c>
      <c r="H79" s="715" t="n">
        <v>1989</v>
      </c>
      <c r="J79" s="716" t="inlineStr">
        <is>
          <t>SZK202206230029</t>
        </is>
      </c>
      <c r="K79" s="717" t="n">
        <v>33.846</v>
      </c>
      <c r="L79" s="640" t="inlineStr">
        <is>
          <t>朗华</t>
        </is>
      </c>
    </row>
    <row r="80" s="184">
      <c r="A80" s="673" t="n">
        <v>79</v>
      </c>
      <c r="B80" s="444" t="inlineStr">
        <is>
          <t>海南比特</t>
        </is>
      </c>
      <c r="C80" s="712" t="n">
        <v>44734</v>
      </c>
      <c r="D80" s="673" t="inlineStr">
        <is>
          <t>世纪云芯</t>
        </is>
      </c>
      <c r="E80" s="713" t="inlineStr">
        <is>
          <t>无锡伟测</t>
        </is>
      </c>
      <c r="F80" s="714" t="inlineStr">
        <is>
          <t>BM1366AG</t>
        </is>
      </c>
      <c r="G80" s="673" t="inlineStr">
        <is>
          <t>Y09BM1366820</t>
        </is>
      </c>
      <c r="H80" s="715" t="n">
        <v>356890</v>
      </c>
      <c r="J80" s="716" t="inlineStr">
        <is>
          <t>SZK202206230030</t>
        </is>
      </c>
      <c r="K80" s="717" t="n">
        <v>33.846</v>
      </c>
      <c r="L80" s="640" t="inlineStr">
        <is>
          <t>朗华</t>
        </is>
      </c>
    </row>
    <row r="81" s="184">
      <c r="A81" s="673" t="n">
        <v>80</v>
      </c>
      <c r="B81" s="444" t="inlineStr">
        <is>
          <t>海南比特</t>
        </is>
      </c>
      <c r="C81" s="712" t="n">
        <v>44735</v>
      </c>
      <c r="D81" s="673" t="inlineStr">
        <is>
          <t>世纪云芯</t>
        </is>
      </c>
      <c r="E81" s="713" t="inlineStr">
        <is>
          <t>无锡伟测</t>
        </is>
      </c>
      <c r="F81" s="714" t="inlineStr">
        <is>
          <t>BM1362AC</t>
        </is>
      </c>
      <c r="G81" s="673" t="inlineStr">
        <is>
          <t>Y09BM1362C00</t>
        </is>
      </c>
      <c r="H81" s="718" t="n">
        <v>246416</v>
      </c>
      <c r="J81" s="716" t="inlineStr">
        <is>
          <t>SZK202206230031</t>
        </is>
      </c>
      <c r="K81" s="717" t="n">
        <v>20.2196</v>
      </c>
      <c r="L81" s="640" t="inlineStr">
        <is>
          <t>迅宇</t>
        </is>
      </c>
    </row>
    <row r="82" s="184">
      <c r="A82" s="673" t="n">
        <v>81</v>
      </c>
      <c r="B82" s="444" t="inlineStr">
        <is>
          <t>海南比特</t>
        </is>
      </c>
      <c r="C82" s="690" t="n">
        <v>44739</v>
      </c>
      <c r="D82" s="673" t="inlineStr">
        <is>
          <t>世纪云芯</t>
        </is>
      </c>
      <c r="E82" s="713" t="inlineStr">
        <is>
          <t>XJ</t>
        </is>
      </c>
      <c r="F82" s="640" t="inlineStr">
        <is>
          <t>BM1362AK</t>
        </is>
      </c>
      <c r="G82" s="673" t="inlineStr">
        <is>
          <t>Y09BM1362310</t>
        </is>
      </c>
      <c r="H82" s="691">
        <f>195004+729360+1079425</f>
        <v/>
      </c>
      <c r="J82" s="716" t="inlineStr">
        <is>
          <t>SZK202206270021</t>
        </is>
      </c>
      <c r="K82" s="717" t="n">
        <v>20.2196</v>
      </c>
      <c r="L82" s="640" t="inlineStr">
        <is>
          <t>朗华</t>
        </is>
      </c>
    </row>
    <row r="83" s="184">
      <c r="A83" s="673" t="n">
        <v>82</v>
      </c>
      <c r="B83" s="444" t="inlineStr">
        <is>
          <t>海南比特</t>
        </is>
      </c>
      <c r="C83" s="690" t="n">
        <v>44739</v>
      </c>
      <c r="D83" s="673" t="inlineStr">
        <is>
          <t>世纪云芯</t>
        </is>
      </c>
      <c r="E83" s="713" t="inlineStr">
        <is>
          <t>XJ</t>
        </is>
      </c>
      <c r="F83" s="640" t="inlineStr">
        <is>
          <t>BM1746AA</t>
        </is>
      </c>
      <c r="G83" s="673" t="inlineStr">
        <is>
          <t>Y09BM1746010</t>
        </is>
      </c>
      <c r="H83" s="691" t="n">
        <v>710</v>
      </c>
      <c r="J83" s="716" t="inlineStr">
        <is>
          <t>SZK202206270021</t>
        </is>
      </c>
      <c r="K83" s="717" t="n">
        <v>450.195285168036</v>
      </c>
      <c r="L83" s="640" t="inlineStr">
        <is>
          <t>朗华</t>
        </is>
      </c>
    </row>
    <row r="84" s="184">
      <c r="A84" s="673" t="n">
        <v>83</v>
      </c>
      <c r="B84" s="444" t="inlineStr">
        <is>
          <t>海南比特</t>
        </is>
      </c>
      <c r="C84" s="690" t="n">
        <v>44739</v>
      </c>
      <c r="D84" s="673" t="inlineStr">
        <is>
          <t>世纪云芯</t>
        </is>
      </c>
      <c r="E84" s="639" t="inlineStr">
        <is>
          <t>捷策创</t>
        </is>
      </c>
      <c r="F84" s="640" t="inlineStr">
        <is>
          <t>BM1398BB</t>
        </is>
      </c>
      <c r="G84" s="673" t="inlineStr">
        <is>
          <t>Y09BM1398240</t>
        </is>
      </c>
      <c r="H84" s="691" t="n">
        <v>653445</v>
      </c>
      <c r="J84" s="716" t="inlineStr">
        <is>
          <t>SZK202206270022</t>
        </is>
      </c>
      <c r="K84" s="717" t="n">
        <v>38.4631708789338</v>
      </c>
      <c r="L84" s="640" t="inlineStr">
        <is>
          <t>朗华</t>
        </is>
      </c>
    </row>
    <row r="85" s="184">
      <c r="A85" s="673" t="n">
        <v>84</v>
      </c>
      <c r="B85" s="444" t="inlineStr">
        <is>
          <t>海南比特</t>
        </is>
      </c>
      <c r="C85" s="690" t="n">
        <v>44736</v>
      </c>
      <c r="D85" s="673" t="inlineStr">
        <is>
          <t>世纪云芯</t>
        </is>
      </c>
      <c r="E85" s="639" t="inlineStr">
        <is>
          <t>无锡伟测</t>
        </is>
      </c>
      <c r="F85" s="640" t="inlineStr">
        <is>
          <t>BM1362AK</t>
        </is>
      </c>
      <c r="G85" s="673" t="inlineStr">
        <is>
          <t>Y09BM1362310</t>
        </is>
      </c>
      <c r="H85" s="691" t="n">
        <v>597355</v>
      </c>
      <c r="J85" s="716" t="inlineStr">
        <is>
          <t>SZK202206280002</t>
        </is>
      </c>
      <c r="K85" s="717" t="n">
        <v>20.2196</v>
      </c>
      <c r="L85" s="640" t="inlineStr">
        <is>
          <t>朗华</t>
        </is>
      </c>
    </row>
    <row r="86" s="184">
      <c r="A86" s="673" t="n">
        <v>85</v>
      </c>
      <c r="B86" s="444" t="inlineStr">
        <is>
          <t>海南比特</t>
        </is>
      </c>
      <c r="C86" s="690" t="n">
        <v>44736</v>
      </c>
      <c r="D86" s="673" t="inlineStr">
        <is>
          <t>世纪云芯</t>
        </is>
      </c>
      <c r="E86" s="639" t="inlineStr">
        <is>
          <t>捷策创</t>
        </is>
      </c>
      <c r="F86" s="640" t="inlineStr">
        <is>
          <t>BM1362AC</t>
        </is>
      </c>
      <c r="G86" s="673" t="inlineStr">
        <is>
          <t>Y09BM1362C00</t>
        </is>
      </c>
      <c r="H86" s="691" t="n">
        <v>36944</v>
      </c>
      <c r="J86" s="716" t="inlineStr">
        <is>
          <t>SZK202206280003</t>
        </is>
      </c>
      <c r="K86" s="717" t="n">
        <v>20.2196</v>
      </c>
      <c r="L86" s="640" t="inlineStr">
        <is>
          <t>朗华</t>
        </is>
      </c>
    </row>
    <row r="87" s="184">
      <c r="A87" s="673" t="n">
        <v>86</v>
      </c>
      <c r="B87" s="444" t="inlineStr">
        <is>
          <t>海南比特</t>
        </is>
      </c>
      <c r="C87" s="690" t="n">
        <v>44736</v>
      </c>
      <c r="D87" s="673" t="inlineStr">
        <is>
          <t>世纪云芯</t>
        </is>
      </c>
      <c r="E87" s="639" t="inlineStr">
        <is>
          <t>捷策创</t>
        </is>
      </c>
      <c r="F87" s="640" t="inlineStr">
        <is>
          <t>BM1398BB</t>
        </is>
      </c>
      <c r="G87" s="673" t="inlineStr">
        <is>
          <t>Y09BM1398240</t>
        </is>
      </c>
      <c r="H87" s="691" t="n">
        <v>6405</v>
      </c>
      <c r="J87" s="716" t="inlineStr">
        <is>
          <t>SZK202206280003</t>
        </is>
      </c>
      <c r="K87" s="717" t="n">
        <v>38.4631708789338</v>
      </c>
      <c r="L87" s="640" t="inlineStr">
        <is>
          <t>朗华</t>
        </is>
      </c>
    </row>
    <row r="88" s="184">
      <c r="A88" s="673" t="n">
        <v>87</v>
      </c>
      <c r="B88" s="444" t="inlineStr">
        <is>
          <t>海南比特</t>
        </is>
      </c>
      <c r="C88" s="690" t="n">
        <v>44736</v>
      </c>
      <c r="D88" s="673" t="inlineStr">
        <is>
          <t>世纪云芯</t>
        </is>
      </c>
      <c r="E88" s="639" t="inlineStr">
        <is>
          <t>捷策创</t>
        </is>
      </c>
      <c r="F88" s="640" t="inlineStr">
        <is>
          <t>BM1362AB</t>
        </is>
      </c>
      <c r="G88" s="673" t="inlineStr">
        <is>
          <t>Y09BM1362B00</t>
        </is>
      </c>
      <c r="H88" s="691" t="n">
        <v>389</v>
      </c>
      <c r="J88" s="716" t="inlineStr">
        <is>
          <t>SZK202206280003</t>
        </is>
      </c>
      <c r="K88" s="717" t="n">
        <v>20.2196</v>
      </c>
      <c r="L88" s="640" t="inlineStr">
        <is>
          <t>朗华</t>
        </is>
      </c>
    </row>
    <row r="89" s="184">
      <c r="A89" s="673" t="n">
        <v>88</v>
      </c>
      <c r="B89" s="444" t="inlineStr">
        <is>
          <t>海南比特</t>
        </is>
      </c>
      <c r="C89" s="690" t="n">
        <v>44736</v>
      </c>
      <c r="D89" s="673" t="inlineStr">
        <is>
          <t>世纪云芯</t>
        </is>
      </c>
      <c r="E89" s="639" t="inlineStr">
        <is>
          <t>XJ</t>
        </is>
      </c>
      <c r="F89" s="640" t="inlineStr">
        <is>
          <t>BM1362AC</t>
        </is>
      </c>
      <c r="G89" s="673" t="inlineStr">
        <is>
          <t>Y09BM1362C00</t>
        </is>
      </c>
      <c r="H89" s="691" t="n">
        <v>17351</v>
      </c>
      <c r="J89" s="716" t="inlineStr">
        <is>
          <t>SZK202206280004</t>
        </is>
      </c>
      <c r="K89" s="717" t="n">
        <v>20.2196</v>
      </c>
      <c r="L89" s="640" t="inlineStr">
        <is>
          <t>朗华</t>
        </is>
      </c>
    </row>
    <row r="90" s="184">
      <c r="A90" s="673" t="n">
        <v>89</v>
      </c>
      <c r="B90" s="444" t="inlineStr">
        <is>
          <t>海南比特</t>
        </is>
      </c>
      <c r="C90" s="690" t="n">
        <v>44736</v>
      </c>
      <c r="D90" s="673" t="inlineStr">
        <is>
          <t>世纪云芯</t>
        </is>
      </c>
      <c r="E90" s="639" t="inlineStr">
        <is>
          <t>XJ</t>
        </is>
      </c>
      <c r="F90" s="640" t="inlineStr">
        <is>
          <t>BM1362AK</t>
        </is>
      </c>
      <c r="G90" s="673" t="inlineStr">
        <is>
          <t>Y09BM1362310</t>
        </is>
      </c>
      <c r="H90" s="691" t="n">
        <v>2000881</v>
      </c>
      <c r="J90" s="716" t="inlineStr">
        <is>
          <t>SZK202206280004</t>
        </is>
      </c>
      <c r="K90" s="717" t="n">
        <v>20.2196</v>
      </c>
      <c r="L90" s="640" t="inlineStr">
        <is>
          <t>朗华</t>
        </is>
      </c>
    </row>
    <row r="91" s="184">
      <c r="A91" s="673" t="n">
        <v>90</v>
      </c>
      <c r="B91" s="444" t="inlineStr">
        <is>
          <t>海南比特</t>
        </is>
      </c>
      <c r="C91" s="690" t="n">
        <v>44741</v>
      </c>
      <c r="D91" s="673" t="inlineStr">
        <is>
          <t>世纪云芯</t>
        </is>
      </c>
      <c r="E91" s="639" t="inlineStr">
        <is>
          <t>SCK</t>
        </is>
      </c>
      <c r="F91" s="640" t="inlineStr">
        <is>
          <t>BM1366AH</t>
        </is>
      </c>
      <c r="G91" s="673" t="inlineStr">
        <is>
          <t>Y09BM1366930</t>
        </is>
      </c>
      <c r="H91" s="691" t="n">
        <v>77</v>
      </c>
      <c r="J91" s="716" t="inlineStr">
        <is>
          <t>SZK202206290013</t>
        </is>
      </c>
      <c r="K91" s="717" t="n">
        <v>33.846</v>
      </c>
      <c r="L91" s="640" t="inlineStr">
        <is>
          <t>朗华</t>
        </is>
      </c>
    </row>
    <row r="92" s="184">
      <c r="A92" s="673" t="n">
        <v>91</v>
      </c>
      <c r="B92" s="444" t="inlineStr">
        <is>
          <t>海南比特</t>
        </is>
      </c>
      <c r="C92" s="690" t="n">
        <v>44741</v>
      </c>
      <c r="D92" s="673" t="inlineStr">
        <is>
          <t>世纪云芯</t>
        </is>
      </c>
      <c r="E92" s="639" t="inlineStr">
        <is>
          <t>捷策创</t>
        </is>
      </c>
      <c r="F92" s="640" t="inlineStr">
        <is>
          <t>BM1398BB</t>
        </is>
      </c>
      <c r="G92" s="673" t="inlineStr">
        <is>
          <t>Y09BM1398240</t>
        </is>
      </c>
      <c r="H92" s="691" t="n">
        <v>363124</v>
      </c>
      <c r="J92" s="716" t="inlineStr">
        <is>
          <t>SZK202206290014</t>
        </is>
      </c>
      <c r="K92" s="717" t="n">
        <v>38.4631708789338</v>
      </c>
      <c r="L92" s="640" t="inlineStr">
        <is>
          <t>朗华</t>
        </is>
      </c>
    </row>
    <row r="93" s="184">
      <c r="A93" s="673" t="n">
        <v>92</v>
      </c>
      <c r="B93" s="444" t="inlineStr">
        <is>
          <t>海南比特</t>
        </is>
      </c>
      <c r="C93" s="690" t="n">
        <v>44741</v>
      </c>
      <c r="D93" s="673" t="inlineStr">
        <is>
          <t>世纪云芯</t>
        </is>
      </c>
      <c r="E93" s="639" t="inlineStr">
        <is>
          <t>捷策创</t>
        </is>
      </c>
      <c r="F93" s="640" t="inlineStr">
        <is>
          <t>BM1362AK</t>
        </is>
      </c>
      <c r="G93" s="673" t="inlineStr">
        <is>
          <t>Y09BM1362310</t>
        </is>
      </c>
      <c r="H93" s="691" t="n">
        <v>77904</v>
      </c>
      <c r="J93" s="716" t="inlineStr">
        <is>
          <t>SZK202206290014</t>
        </is>
      </c>
      <c r="K93" s="717" t="n">
        <v>20.2196</v>
      </c>
      <c r="L93" s="640" t="inlineStr">
        <is>
          <t>朗华</t>
        </is>
      </c>
    </row>
    <row r="94" s="184">
      <c r="A94" s="673" t="n">
        <v>93</v>
      </c>
      <c r="B94" s="444" t="inlineStr">
        <is>
          <t>海南比特</t>
        </is>
      </c>
      <c r="C94" s="690" t="n">
        <v>44741</v>
      </c>
      <c r="D94" s="673" t="inlineStr">
        <is>
          <t>世纪云芯</t>
        </is>
      </c>
      <c r="E94" s="639" t="inlineStr">
        <is>
          <t>XJ</t>
        </is>
      </c>
      <c r="F94" s="640" t="inlineStr">
        <is>
          <t>BM1362AK</t>
        </is>
      </c>
      <c r="G94" s="673" t="inlineStr">
        <is>
          <t>Y09BM1362310</t>
        </is>
      </c>
      <c r="H94" s="691" t="n">
        <v>2566532</v>
      </c>
      <c r="J94" s="716" t="inlineStr">
        <is>
          <t>SZK202206290015</t>
        </is>
      </c>
      <c r="K94" s="717" t="n">
        <v>20.2196</v>
      </c>
      <c r="L94" s="640" t="inlineStr">
        <is>
          <t>朗华</t>
        </is>
      </c>
    </row>
    <row r="95" customFormat="1" s="658">
      <c r="A95" s="673" t="n">
        <v>94</v>
      </c>
      <c r="B95" s="444" t="inlineStr">
        <is>
          <t>海南比特</t>
        </is>
      </c>
      <c r="C95" s="690" t="n">
        <v>44741</v>
      </c>
      <c r="D95" s="673" t="inlineStr">
        <is>
          <t>世纪云芯</t>
        </is>
      </c>
      <c r="E95" s="639" t="inlineStr">
        <is>
          <t>SCK</t>
        </is>
      </c>
      <c r="F95" s="640" t="inlineStr">
        <is>
          <t>BM1366AH</t>
        </is>
      </c>
      <c r="G95" s="673" t="inlineStr">
        <is>
          <t>Y09BM1366930</t>
        </is>
      </c>
      <c r="H95" s="691" t="n">
        <v>77</v>
      </c>
      <c r="J95" s="716" t="inlineStr">
        <is>
          <t>SZK202207010020</t>
        </is>
      </c>
      <c r="K95" s="717" t="n">
        <v>33.846</v>
      </c>
      <c r="L95" s="640" t="inlineStr">
        <is>
          <t>朗华</t>
        </is>
      </c>
    </row>
    <row r="96" s="184">
      <c r="A96" s="673" t="n">
        <v>95</v>
      </c>
      <c r="B96" s="444" t="inlineStr">
        <is>
          <t>海南比特</t>
        </is>
      </c>
      <c r="C96" s="690" t="n">
        <v>44741</v>
      </c>
      <c r="D96" s="673" t="inlineStr">
        <is>
          <t>世纪云芯</t>
        </is>
      </c>
      <c r="E96" s="639" t="inlineStr">
        <is>
          <t>捷策创</t>
        </is>
      </c>
      <c r="F96" s="640" t="inlineStr">
        <is>
          <t>BM1398BB</t>
        </is>
      </c>
      <c r="G96" s="673" t="inlineStr">
        <is>
          <t>Y09BM1398240</t>
        </is>
      </c>
      <c r="H96" s="691" t="n">
        <v>363124</v>
      </c>
      <c r="J96" s="716" t="inlineStr">
        <is>
          <t>SZK202207010021</t>
        </is>
      </c>
      <c r="K96" s="717" t="n">
        <v>38.4631708789338</v>
      </c>
      <c r="L96" s="640" t="inlineStr">
        <is>
          <t>朗华</t>
        </is>
      </c>
    </row>
    <row r="97" s="184">
      <c r="A97" s="673" t="n">
        <v>96</v>
      </c>
      <c r="B97" s="444" t="inlineStr">
        <is>
          <t>海南比特</t>
        </is>
      </c>
      <c r="C97" s="690" t="n">
        <v>44741</v>
      </c>
      <c r="D97" s="673" t="inlineStr">
        <is>
          <t>世纪云芯</t>
        </is>
      </c>
      <c r="E97" s="639" t="inlineStr">
        <is>
          <t>捷策创</t>
        </is>
      </c>
      <c r="F97" s="640" t="inlineStr">
        <is>
          <t>BM1362AK</t>
        </is>
      </c>
      <c r="G97" s="673" t="inlineStr">
        <is>
          <t>Y09BM1362310</t>
        </is>
      </c>
      <c r="H97" s="691" t="n">
        <v>77904</v>
      </c>
      <c r="J97" s="716" t="inlineStr">
        <is>
          <t>SZK202207010021</t>
        </is>
      </c>
      <c r="K97" s="717" t="n">
        <v>20.2196</v>
      </c>
      <c r="L97" s="640" t="inlineStr">
        <is>
          <t>朗华</t>
        </is>
      </c>
    </row>
    <row r="98" s="184">
      <c r="A98" s="673" t="n">
        <v>97</v>
      </c>
      <c r="B98" s="444" t="inlineStr">
        <is>
          <t>海南比特</t>
        </is>
      </c>
      <c r="C98" s="690" t="n">
        <v>44741</v>
      </c>
      <c r="D98" s="673" t="inlineStr">
        <is>
          <t>世纪云芯</t>
        </is>
      </c>
      <c r="E98" s="639" t="inlineStr">
        <is>
          <t>XJ</t>
        </is>
      </c>
      <c r="F98" s="640" t="inlineStr">
        <is>
          <t>BM1362AK</t>
        </is>
      </c>
      <c r="G98" s="673" t="inlineStr">
        <is>
          <t>Y09BM1362310</t>
        </is>
      </c>
      <c r="H98" s="691" t="n">
        <v>2566532</v>
      </c>
      <c r="J98" s="716" t="inlineStr">
        <is>
          <t>SZK202207010022</t>
        </is>
      </c>
      <c r="K98" s="717" t="n">
        <v>20.2196</v>
      </c>
      <c r="L98" s="640" t="inlineStr">
        <is>
          <t>朗华</t>
        </is>
      </c>
    </row>
    <row r="99" s="184">
      <c r="A99" s="673" t="n">
        <v>98</v>
      </c>
      <c r="B99" s="444" t="inlineStr">
        <is>
          <t>海南比特</t>
        </is>
      </c>
      <c r="C99" s="690" t="n">
        <v>44741</v>
      </c>
      <c r="D99" s="673" t="inlineStr">
        <is>
          <t>世纪云芯</t>
        </is>
      </c>
      <c r="E99" s="639" t="inlineStr">
        <is>
          <t>无锡伟测</t>
        </is>
      </c>
      <c r="F99" s="640" t="inlineStr">
        <is>
          <t>BM1362AC</t>
        </is>
      </c>
      <c r="G99" s="673" t="inlineStr">
        <is>
          <t>Y09BM1362C00</t>
        </is>
      </c>
      <c r="H99" s="691" t="n">
        <v>91978</v>
      </c>
      <c r="J99" s="716" t="inlineStr">
        <is>
          <t>SZK202207010023</t>
        </is>
      </c>
      <c r="K99" s="717" t="n">
        <v>20.2196</v>
      </c>
      <c r="L99" s="640" t="inlineStr">
        <is>
          <t>迅宇</t>
        </is>
      </c>
    </row>
    <row r="100" s="184">
      <c r="A100" s="673" t="n">
        <v>99</v>
      </c>
      <c r="B100" s="444" t="inlineStr">
        <is>
          <t>海南比特</t>
        </is>
      </c>
      <c r="C100" s="690" t="n">
        <v>44741</v>
      </c>
      <c r="D100" s="673" t="inlineStr">
        <is>
          <t>世纪云芯</t>
        </is>
      </c>
      <c r="E100" s="639" t="inlineStr">
        <is>
          <t>捷策创</t>
        </is>
      </c>
      <c r="F100" s="640" t="inlineStr">
        <is>
          <t>BM1362AJ</t>
        </is>
      </c>
      <c r="G100" s="673" t="inlineStr">
        <is>
          <t>Y09BM1362210</t>
        </is>
      </c>
      <c r="H100" s="691" t="n">
        <v>7529</v>
      </c>
      <c r="J100" s="716" t="inlineStr">
        <is>
          <t>SZK202207020001</t>
        </is>
      </c>
      <c r="K100" s="717" t="n">
        <v>20.2196</v>
      </c>
      <c r="L100" s="640" t="inlineStr">
        <is>
          <t>迅宇</t>
        </is>
      </c>
    </row>
    <row r="101" s="184">
      <c r="A101" s="673" t="n">
        <v>100</v>
      </c>
      <c r="B101" s="444" t="inlineStr">
        <is>
          <t>海南比特</t>
        </is>
      </c>
      <c r="C101" s="690" t="n">
        <v>44741</v>
      </c>
      <c r="D101" s="673" t="inlineStr">
        <is>
          <t>世纪云芯</t>
        </is>
      </c>
      <c r="E101" s="639" t="inlineStr">
        <is>
          <t>捷策创</t>
        </is>
      </c>
      <c r="F101" s="640" t="inlineStr">
        <is>
          <t>BM1362AC</t>
        </is>
      </c>
      <c r="G101" s="673" t="inlineStr">
        <is>
          <t>Y09BM1362C00</t>
        </is>
      </c>
      <c r="H101" s="691" t="n">
        <v>38</v>
      </c>
      <c r="J101" s="716" t="inlineStr">
        <is>
          <t>SZK202207020001</t>
        </is>
      </c>
      <c r="K101" s="717" t="n">
        <v>20.2196</v>
      </c>
      <c r="L101" s="640" t="inlineStr">
        <is>
          <t>迅宇</t>
        </is>
      </c>
    </row>
    <row r="102" customFormat="1" s="694">
      <c r="A102" s="695" t="n">
        <v>1</v>
      </c>
      <c r="B102" s="453" t="inlineStr">
        <is>
          <t>海南比特</t>
        </is>
      </c>
      <c r="C102" s="696" t="n">
        <v>44743</v>
      </c>
      <c r="D102" s="695" t="inlineStr">
        <is>
          <t>世纪云芯</t>
        </is>
      </c>
      <c r="E102" s="697" t="inlineStr">
        <is>
          <t>XJ</t>
        </is>
      </c>
      <c r="F102" s="698" t="inlineStr">
        <is>
          <t>BM1362AK</t>
        </is>
      </c>
      <c r="G102" s="673" t="inlineStr">
        <is>
          <t>Y09BM1362310</t>
        </is>
      </c>
      <c r="H102" s="699">
        <f>13214+1454357+195984</f>
        <v/>
      </c>
      <c r="J102" s="719" t="inlineStr">
        <is>
          <t>SZK202207060001</t>
        </is>
      </c>
      <c r="K102" s="701" t="n">
        <v>20.2839</v>
      </c>
      <c r="L102" s="698" t="inlineStr">
        <is>
          <t>朗华</t>
        </is>
      </c>
      <c r="M102" s="720" t="inlineStr">
        <is>
          <t>SZK202207310006</t>
        </is>
      </c>
    </row>
    <row r="103" customFormat="1" s="658">
      <c r="A103" s="673" t="n">
        <v>2</v>
      </c>
      <c r="B103" s="444" t="inlineStr">
        <is>
          <t>海南比特</t>
        </is>
      </c>
      <c r="C103" s="690" t="n">
        <v>44743</v>
      </c>
      <c r="D103" s="673" t="inlineStr">
        <is>
          <t>世纪云芯</t>
        </is>
      </c>
      <c r="E103" s="639" t="inlineStr">
        <is>
          <t>XJ</t>
        </is>
      </c>
      <c r="F103" s="640" t="inlineStr">
        <is>
          <t>BM1398BB</t>
        </is>
      </c>
      <c r="G103" s="673" t="inlineStr">
        <is>
          <t>Y09BM1398240</t>
        </is>
      </c>
      <c r="H103" s="691" t="n">
        <v>30846</v>
      </c>
      <c r="J103" s="716" t="inlineStr">
        <is>
          <t>SZK202207060001</t>
        </is>
      </c>
      <c r="K103" s="692" t="n">
        <v>38.4631708789338</v>
      </c>
      <c r="L103" s="640" t="inlineStr">
        <is>
          <t>朗华</t>
        </is>
      </c>
      <c r="M103" s="687" t="inlineStr">
        <is>
          <t>SZK202207310006</t>
        </is>
      </c>
    </row>
    <row r="104" customFormat="1" s="658">
      <c r="A104" s="673" t="n">
        <v>3</v>
      </c>
      <c r="B104" s="444" t="inlineStr">
        <is>
          <t>海南比特</t>
        </is>
      </c>
      <c r="C104" s="690" t="n">
        <v>44743</v>
      </c>
      <c r="D104" s="673" t="inlineStr">
        <is>
          <t>世纪云芯</t>
        </is>
      </c>
      <c r="E104" s="639" t="inlineStr">
        <is>
          <t>捷策创</t>
        </is>
      </c>
      <c r="F104" s="640" t="inlineStr">
        <is>
          <t>BM1362AK</t>
        </is>
      </c>
      <c r="G104" s="673" t="inlineStr">
        <is>
          <t>Y09BM1362310</t>
        </is>
      </c>
      <c r="H104" s="691">
        <f>3714+55980</f>
        <v/>
      </c>
      <c r="J104" s="716" t="inlineStr">
        <is>
          <t>SZK202207040010</t>
        </is>
      </c>
      <c r="K104" s="692" t="n">
        <v>20.2839</v>
      </c>
      <c r="L104" s="640" t="inlineStr">
        <is>
          <t>朗华</t>
        </is>
      </c>
      <c r="M104" s="687" t="inlineStr">
        <is>
          <t>SZK202207310007</t>
        </is>
      </c>
    </row>
    <row r="105" customFormat="1" s="658">
      <c r="A105" s="673" t="n">
        <v>4</v>
      </c>
      <c r="B105" s="444" t="inlineStr">
        <is>
          <t>海南比特</t>
        </is>
      </c>
      <c r="C105" s="690" t="n">
        <v>44743</v>
      </c>
      <c r="D105" s="673" t="inlineStr">
        <is>
          <t>世纪云芯</t>
        </is>
      </c>
      <c r="E105" s="639" t="inlineStr">
        <is>
          <t>捷策创</t>
        </is>
      </c>
      <c r="F105" s="640" t="inlineStr">
        <is>
          <t>BM1362BD</t>
        </is>
      </c>
      <c r="G105" s="673" t="inlineStr">
        <is>
          <t>Y09BM1362D40</t>
        </is>
      </c>
      <c r="H105" s="691" t="n">
        <v>40</v>
      </c>
      <c r="J105" s="716" t="inlineStr">
        <is>
          <t>SZK202207040010</t>
        </is>
      </c>
      <c r="K105" s="692" t="n">
        <v>20.2839</v>
      </c>
      <c r="L105" s="640" t="inlineStr">
        <is>
          <t>朗华</t>
        </is>
      </c>
      <c r="M105" s="687" t="inlineStr">
        <is>
          <t>SZK202207310007</t>
        </is>
      </c>
    </row>
    <row r="106" customFormat="1" s="703">
      <c r="A106" s="704" t="n">
        <v>5</v>
      </c>
      <c r="B106" s="479" t="inlineStr">
        <is>
          <t>海南比特</t>
        </is>
      </c>
      <c r="C106" s="705" t="n">
        <v>44746</v>
      </c>
      <c r="D106" s="704" t="inlineStr">
        <is>
          <t>世纪云芯</t>
        </is>
      </c>
      <c r="E106" s="706" t="inlineStr">
        <is>
          <t>XJ</t>
        </is>
      </c>
      <c r="F106" s="707" t="inlineStr">
        <is>
          <t>BM1362AK</t>
        </is>
      </c>
      <c r="G106" s="673" t="inlineStr">
        <is>
          <t>Y09BM1362310</t>
        </is>
      </c>
      <c r="H106" s="708" t="n">
        <v>1829636</v>
      </c>
      <c r="J106" s="721" t="inlineStr">
        <is>
          <t>SZK202207060018</t>
        </is>
      </c>
      <c r="K106" s="711" t="n">
        <v>18.6786</v>
      </c>
      <c r="L106" s="640" t="inlineStr">
        <is>
          <t>朗华</t>
        </is>
      </c>
    </row>
    <row r="107" s="184">
      <c r="A107" s="673" t="n">
        <v>6</v>
      </c>
      <c r="B107" s="444" t="inlineStr">
        <is>
          <t>海南比特</t>
        </is>
      </c>
      <c r="C107" s="690" t="n">
        <v>44746</v>
      </c>
      <c r="D107" s="673" t="inlineStr">
        <is>
          <t>世纪云芯</t>
        </is>
      </c>
      <c r="E107" s="639" t="inlineStr">
        <is>
          <t>XJ</t>
        </is>
      </c>
      <c r="F107" s="640" t="inlineStr">
        <is>
          <t>BM1362AC</t>
        </is>
      </c>
      <c r="G107" s="673" t="inlineStr">
        <is>
          <t>Y09BM1362C00</t>
        </is>
      </c>
      <c r="H107" s="691" t="n">
        <v>303087</v>
      </c>
      <c r="J107" s="687" t="inlineStr">
        <is>
          <t>SZK202207060018</t>
        </is>
      </c>
      <c r="K107" s="692" t="n">
        <v>18.6786</v>
      </c>
      <c r="L107" s="640" t="inlineStr">
        <is>
          <t>朗华</t>
        </is>
      </c>
    </row>
    <row r="108" s="184">
      <c r="A108" s="673" t="n">
        <v>7</v>
      </c>
      <c r="B108" s="444" t="inlineStr">
        <is>
          <t>海南比特</t>
        </is>
      </c>
      <c r="C108" s="690" t="n">
        <v>44746</v>
      </c>
      <c r="D108" s="673" t="inlineStr">
        <is>
          <t>世纪云芯</t>
        </is>
      </c>
      <c r="E108" s="639" t="inlineStr">
        <is>
          <t>无锡伟测</t>
        </is>
      </c>
      <c r="F108" s="640" t="inlineStr">
        <is>
          <t>BM1362AK</t>
        </is>
      </c>
      <c r="G108" s="673" t="inlineStr">
        <is>
          <t>Y09BM1362310</t>
        </is>
      </c>
      <c r="H108" s="691" t="n">
        <v>351407</v>
      </c>
      <c r="J108" s="687" t="inlineStr">
        <is>
          <t>SZK202207060019</t>
        </is>
      </c>
      <c r="K108" s="692" t="n">
        <v>18.6786</v>
      </c>
      <c r="L108" s="640" t="inlineStr">
        <is>
          <t>朗华</t>
        </is>
      </c>
    </row>
    <row r="109" s="184">
      <c r="A109" s="673" t="n">
        <v>8</v>
      </c>
      <c r="B109" s="444" t="inlineStr">
        <is>
          <t>海南比特</t>
        </is>
      </c>
      <c r="C109" s="690" t="n">
        <v>44746</v>
      </c>
      <c r="D109" s="673" t="inlineStr">
        <is>
          <t>世纪云芯</t>
        </is>
      </c>
      <c r="E109" s="639" t="inlineStr">
        <is>
          <t>无锡伟测</t>
        </is>
      </c>
      <c r="F109" s="640" t="inlineStr">
        <is>
          <t>BM1362AK</t>
        </is>
      </c>
      <c r="G109" s="673" t="inlineStr">
        <is>
          <t>Y09BM1362310</t>
        </is>
      </c>
      <c r="H109" s="691" t="n">
        <v>1304816</v>
      </c>
      <c r="J109" s="687" t="inlineStr">
        <is>
          <t>SZK202207060019</t>
        </is>
      </c>
      <c r="K109" s="692" t="n">
        <v>18.6786</v>
      </c>
      <c r="L109" s="640" t="inlineStr">
        <is>
          <t>朗华</t>
        </is>
      </c>
    </row>
    <row r="110" s="184">
      <c r="A110" s="673" t="n">
        <v>9</v>
      </c>
      <c r="B110" s="444" t="inlineStr">
        <is>
          <t>海南比特</t>
        </is>
      </c>
      <c r="C110" s="690" t="n">
        <v>44747</v>
      </c>
      <c r="D110" s="673" t="inlineStr">
        <is>
          <t>世纪云芯</t>
        </is>
      </c>
      <c r="E110" s="639" t="inlineStr">
        <is>
          <t>湖南越摩</t>
        </is>
      </c>
      <c r="F110" s="640" t="inlineStr">
        <is>
          <t>BM1366AG</t>
        </is>
      </c>
      <c r="G110" s="673" t="inlineStr">
        <is>
          <t>Y09BM1366820</t>
        </is>
      </c>
      <c r="H110" s="691" t="n">
        <v>999</v>
      </c>
      <c r="J110" s="687" t="inlineStr">
        <is>
          <t>SZK202207070043</t>
        </is>
      </c>
      <c r="K110" s="692" t="n">
        <v>36.7568</v>
      </c>
      <c r="L110" s="640" t="inlineStr">
        <is>
          <t>朗华</t>
        </is>
      </c>
    </row>
    <row r="111" s="184">
      <c r="A111" s="673" t="n">
        <v>10</v>
      </c>
      <c r="B111" s="444" t="inlineStr">
        <is>
          <t>海南比特</t>
        </is>
      </c>
      <c r="C111" s="690" t="n">
        <v>44748</v>
      </c>
      <c r="D111" s="673" t="inlineStr">
        <is>
          <t>世纪云芯</t>
        </is>
      </c>
      <c r="E111" s="639" t="inlineStr">
        <is>
          <t>捷策创</t>
        </is>
      </c>
      <c r="F111" s="640" t="inlineStr">
        <is>
          <t>BM1489</t>
        </is>
      </c>
      <c r="G111" s="673" t="inlineStr">
        <is>
          <t>Y09BM1489010</t>
        </is>
      </c>
      <c r="H111" s="691" t="n">
        <v>3547</v>
      </c>
      <c r="J111" s="687" t="inlineStr">
        <is>
          <t>SZK202207070044</t>
        </is>
      </c>
      <c r="K111" s="692" t="n">
        <v>55.2101</v>
      </c>
      <c r="L111" s="640" t="inlineStr">
        <is>
          <t>朗华</t>
        </is>
      </c>
    </row>
    <row r="112" s="184">
      <c r="A112" s="673" t="n">
        <v>11</v>
      </c>
      <c r="B112" s="444" t="inlineStr">
        <is>
          <t>海南比特</t>
        </is>
      </c>
      <c r="C112" s="690" t="n">
        <v>44748</v>
      </c>
      <c r="D112" s="673" t="inlineStr">
        <is>
          <t>世纪云芯</t>
        </is>
      </c>
      <c r="E112" s="639" t="inlineStr">
        <is>
          <t>捷策创</t>
        </is>
      </c>
      <c r="F112" s="640" t="inlineStr">
        <is>
          <t>BM1398BB</t>
        </is>
      </c>
      <c r="G112" s="673" t="inlineStr">
        <is>
          <t>Y09BM1398240</t>
        </is>
      </c>
      <c r="H112" s="691" t="n">
        <v>63936</v>
      </c>
      <c r="J112" s="687" t="inlineStr">
        <is>
          <t>SZK202207070044</t>
        </is>
      </c>
      <c r="K112" s="692" t="n">
        <v>32.7976</v>
      </c>
      <c r="L112" s="640" t="inlineStr">
        <is>
          <t>朗华</t>
        </is>
      </c>
    </row>
    <row r="113" s="184">
      <c r="A113" s="673" t="n">
        <v>12</v>
      </c>
      <c r="B113" s="444" t="inlineStr">
        <is>
          <t>海南比特</t>
        </is>
      </c>
      <c r="C113" s="690" t="n">
        <v>44748</v>
      </c>
      <c r="D113" s="673" t="inlineStr">
        <is>
          <t>世纪云芯</t>
        </is>
      </c>
      <c r="E113" s="639" t="inlineStr">
        <is>
          <t>XJ</t>
        </is>
      </c>
      <c r="F113" s="640" t="inlineStr">
        <is>
          <t>BM1362AK</t>
        </is>
      </c>
      <c r="G113" s="673" t="inlineStr">
        <is>
          <t>Y09BM1362310</t>
        </is>
      </c>
      <c r="H113" s="691" t="n">
        <v>2331835</v>
      </c>
      <c r="J113" s="687" t="inlineStr">
        <is>
          <t>SZK202207070045</t>
        </is>
      </c>
      <c r="K113" s="692" t="n">
        <v>18.6786</v>
      </c>
      <c r="L113" s="640" t="inlineStr">
        <is>
          <t>朗华</t>
        </is>
      </c>
    </row>
    <row r="114" s="184">
      <c r="A114" s="673" t="n">
        <v>13</v>
      </c>
      <c r="B114" s="444" t="inlineStr">
        <is>
          <t>海南比特</t>
        </is>
      </c>
      <c r="C114" s="690" t="n">
        <v>44748</v>
      </c>
      <c r="D114" s="673" t="inlineStr">
        <is>
          <t>世纪云芯</t>
        </is>
      </c>
      <c r="E114" s="639" t="inlineStr">
        <is>
          <t>XJ</t>
        </is>
      </c>
      <c r="F114" s="640" t="inlineStr">
        <is>
          <t>BM1362AC</t>
        </is>
      </c>
      <c r="G114" s="673" t="inlineStr">
        <is>
          <t>Y09BM1362C00</t>
        </is>
      </c>
      <c r="H114" s="691" t="n">
        <v>13932</v>
      </c>
      <c r="J114" s="687" t="inlineStr">
        <is>
          <t>SZK202207070045</t>
        </is>
      </c>
      <c r="K114" s="692" t="n">
        <v>18.6786</v>
      </c>
      <c r="L114" s="640" t="inlineStr">
        <is>
          <t>朗华</t>
        </is>
      </c>
    </row>
    <row r="115" customFormat="1" s="694">
      <c r="A115" s="695" t="n">
        <v>14</v>
      </c>
      <c r="B115" s="453" t="inlineStr">
        <is>
          <t>海南比特</t>
        </is>
      </c>
      <c r="C115" s="696" t="n">
        <v>44750</v>
      </c>
      <c r="D115" s="695" t="inlineStr">
        <is>
          <t>世纪云芯</t>
        </is>
      </c>
      <c r="E115" s="697" t="inlineStr">
        <is>
          <t>XJ</t>
        </is>
      </c>
      <c r="F115" s="698" t="inlineStr">
        <is>
          <t>BM1362AK</t>
        </is>
      </c>
      <c r="G115" s="673" t="inlineStr">
        <is>
          <t>Y09BM1362310</t>
        </is>
      </c>
      <c r="H115" s="699" t="n">
        <v>1206290</v>
      </c>
      <c r="J115" s="720" t="inlineStr">
        <is>
          <t>SZK202207310008</t>
        </is>
      </c>
      <c r="K115" s="701" t="n">
        <v>20.2839</v>
      </c>
      <c r="L115" s="698" t="inlineStr">
        <is>
          <t>朗华</t>
        </is>
      </c>
      <c r="M115" s="720" t="inlineStr">
        <is>
          <t>SZK202208020060</t>
        </is>
      </c>
    </row>
    <row r="116" customFormat="1" s="694">
      <c r="A116" s="695" t="n">
        <v>15</v>
      </c>
      <c r="B116" s="453" t="inlineStr">
        <is>
          <t>海南比特</t>
        </is>
      </c>
      <c r="C116" s="696" t="n">
        <v>44750</v>
      </c>
      <c r="D116" s="695" t="inlineStr">
        <is>
          <t>世纪云芯</t>
        </is>
      </c>
      <c r="E116" s="697" t="inlineStr">
        <is>
          <t>XJ</t>
        </is>
      </c>
      <c r="F116" s="698" t="inlineStr">
        <is>
          <t>BM1489</t>
        </is>
      </c>
      <c r="G116" s="673" t="inlineStr">
        <is>
          <t>Y09BM1489010</t>
        </is>
      </c>
      <c r="H116" s="699" t="n">
        <v>12660</v>
      </c>
      <c r="J116" s="720" t="inlineStr">
        <is>
          <t>SZK202207310008</t>
        </is>
      </c>
      <c r="K116" s="701" t="n">
        <v>55.2101</v>
      </c>
      <c r="L116" s="698" t="inlineStr">
        <is>
          <t>朗华</t>
        </is>
      </c>
      <c r="M116" s="720" t="inlineStr">
        <is>
          <t>SZK202208020060</t>
        </is>
      </c>
    </row>
    <row r="117" customFormat="1" s="658">
      <c r="A117" s="673" t="n">
        <v>16</v>
      </c>
      <c r="B117" s="444" t="inlineStr">
        <is>
          <t>海南比特</t>
        </is>
      </c>
      <c r="C117" s="690" t="n">
        <v>44750</v>
      </c>
      <c r="D117" s="673" t="inlineStr">
        <is>
          <t>世纪云芯</t>
        </is>
      </c>
      <c r="E117" s="639" t="inlineStr">
        <is>
          <t>无锡伟测</t>
        </is>
      </c>
      <c r="F117" s="640" t="inlineStr">
        <is>
          <t>BM1362AK</t>
        </is>
      </c>
      <c r="G117" s="673" t="inlineStr">
        <is>
          <t>Y09BM1362310</t>
        </is>
      </c>
      <c r="H117" s="691" t="n">
        <v>283580</v>
      </c>
      <c r="J117" s="687" t="inlineStr">
        <is>
          <t>SZK202207090008</t>
        </is>
      </c>
      <c r="K117" s="692" t="n">
        <v>20.2839</v>
      </c>
      <c r="L117" s="640" t="inlineStr">
        <is>
          <t>朗华</t>
        </is>
      </c>
      <c r="M117" s="687" t="inlineStr">
        <is>
          <t>SZK202207310009</t>
        </is>
      </c>
    </row>
    <row r="118" s="184">
      <c r="A118" s="673" t="n">
        <v>17</v>
      </c>
      <c r="B118" s="444" t="inlineStr">
        <is>
          <t>海南比特</t>
        </is>
      </c>
      <c r="C118" s="690" t="n">
        <v>44750</v>
      </c>
      <c r="D118" s="673" t="inlineStr">
        <is>
          <t>世纪云芯</t>
        </is>
      </c>
      <c r="E118" s="639" t="inlineStr">
        <is>
          <t>SCK</t>
        </is>
      </c>
      <c r="F118" s="640" t="inlineStr">
        <is>
          <t>BM1727AA</t>
        </is>
      </c>
      <c r="G118" s="673" t="inlineStr">
        <is>
          <t>Y09BM1727010</t>
        </is>
      </c>
      <c r="H118" s="691" t="n">
        <v>154</v>
      </c>
      <c r="J118" s="687" t="inlineStr">
        <is>
          <t>SZK202207090009</t>
        </is>
      </c>
      <c r="K118" s="692" t="n">
        <v>26.5203</v>
      </c>
      <c r="L118" s="640" t="inlineStr">
        <is>
          <t>朗华</t>
        </is>
      </c>
    </row>
    <row r="119" s="184">
      <c r="A119" s="673" t="n">
        <v>18</v>
      </c>
      <c r="B119" s="444" t="inlineStr">
        <is>
          <t>海南比特</t>
        </is>
      </c>
      <c r="C119" s="690" t="n">
        <v>44753</v>
      </c>
      <c r="D119" s="673" t="inlineStr">
        <is>
          <t>世纪云芯</t>
        </is>
      </c>
      <c r="E119" s="639" t="inlineStr">
        <is>
          <t>捷策创</t>
        </is>
      </c>
      <c r="F119" s="640" t="inlineStr">
        <is>
          <t>BM1398BB</t>
        </is>
      </c>
      <c r="G119" s="673" t="inlineStr">
        <is>
          <t>Y09BM1398240</t>
        </is>
      </c>
      <c r="H119" s="691" t="n">
        <v>596531</v>
      </c>
      <c r="J119" s="687" t="inlineStr">
        <is>
          <t>SZK202207120001</t>
        </is>
      </c>
      <c r="K119" s="692" t="n">
        <v>32.7976</v>
      </c>
      <c r="L119" s="640" t="inlineStr">
        <is>
          <t>朗华</t>
        </is>
      </c>
    </row>
    <row r="120" customFormat="1" s="658">
      <c r="A120" s="673" t="n">
        <v>19</v>
      </c>
      <c r="B120" s="444" t="inlineStr">
        <is>
          <t>海南比特</t>
        </is>
      </c>
      <c r="C120" s="690" t="n">
        <v>44753</v>
      </c>
      <c r="D120" s="673" t="inlineStr">
        <is>
          <t>世纪云芯</t>
        </is>
      </c>
      <c r="E120" s="639" t="inlineStr">
        <is>
          <t>确安</t>
        </is>
      </c>
      <c r="F120" s="640" t="inlineStr">
        <is>
          <t>BM1362AC</t>
        </is>
      </c>
      <c r="G120" s="673" t="inlineStr">
        <is>
          <t>Y09BM1362C00</t>
        </is>
      </c>
      <c r="H120" s="691" t="n">
        <v>121701</v>
      </c>
      <c r="J120" s="687" t="inlineStr">
        <is>
          <t>SZK202207120002</t>
        </is>
      </c>
      <c r="K120" s="692" t="n">
        <v>20.2839</v>
      </c>
      <c r="L120" s="640" t="inlineStr">
        <is>
          <t>世纪通</t>
        </is>
      </c>
      <c r="M120" s="687" t="inlineStr">
        <is>
          <t>SZK202207310010</t>
        </is>
      </c>
    </row>
    <row r="121" customFormat="1" s="658">
      <c r="A121" s="673" t="n">
        <v>20</v>
      </c>
      <c r="B121" s="444" t="inlineStr">
        <is>
          <t>香港比特</t>
        </is>
      </c>
      <c r="C121" s="690" t="n">
        <v>44755</v>
      </c>
      <c r="D121" s="673" t="inlineStr">
        <is>
          <t>世纪云芯</t>
        </is>
      </c>
      <c r="E121" s="639" t="inlineStr">
        <is>
          <t>spilsz</t>
        </is>
      </c>
      <c r="F121" s="640" t="inlineStr">
        <is>
          <t>BM1366AL</t>
        </is>
      </c>
      <c r="G121" s="673" t="inlineStr">
        <is>
          <t>Y09BM1366D10</t>
        </is>
      </c>
      <c r="H121" s="691" t="n">
        <v>835031</v>
      </c>
      <c r="J121" s="687" t="inlineStr">
        <is>
          <t>SZK202207180010</t>
        </is>
      </c>
      <c r="K121" s="722" t="n">
        <v>4.75</v>
      </c>
      <c r="L121" s="640" t="inlineStr">
        <is>
          <t>朗华</t>
        </is>
      </c>
    </row>
    <row r="122" customFormat="1" s="658">
      <c r="A122" s="673" t="n">
        <v>21</v>
      </c>
      <c r="B122" s="444" t="inlineStr">
        <is>
          <t>香港比特</t>
        </is>
      </c>
      <c r="C122" s="690" t="n">
        <v>44755</v>
      </c>
      <c r="D122" s="673" t="inlineStr">
        <is>
          <t>世纪云芯</t>
        </is>
      </c>
      <c r="E122" s="639" t="inlineStr">
        <is>
          <t>捷策创</t>
        </is>
      </c>
      <c r="F122" s="640" t="inlineStr">
        <is>
          <t>BM1362AA</t>
        </is>
      </c>
      <c r="G122" s="673" t="inlineStr">
        <is>
          <t>Y09BM1362A00</t>
        </is>
      </c>
      <c r="H122" s="691" t="n">
        <v>242499</v>
      </c>
      <c r="J122" s="687" t="inlineStr">
        <is>
          <t>SZK202207180004</t>
        </is>
      </c>
      <c r="K122" s="722" t="n">
        <v>2.68</v>
      </c>
      <c r="L122" s="640" t="inlineStr">
        <is>
          <t>朗华</t>
        </is>
      </c>
    </row>
    <row r="123" customFormat="1" s="658">
      <c r="A123" s="673" t="n">
        <v>22</v>
      </c>
      <c r="B123" s="444" t="inlineStr">
        <is>
          <t>香港比特</t>
        </is>
      </c>
      <c r="C123" s="690" t="n">
        <v>44755</v>
      </c>
      <c r="D123" s="673" t="inlineStr">
        <is>
          <t>世纪云芯</t>
        </is>
      </c>
      <c r="E123" s="639" t="inlineStr">
        <is>
          <t>捷策创</t>
        </is>
      </c>
      <c r="F123" s="640" t="inlineStr">
        <is>
          <t>BM1489</t>
        </is>
      </c>
      <c r="G123" s="673" t="inlineStr">
        <is>
          <t>Y09BM1489010</t>
        </is>
      </c>
      <c r="H123" s="691" t="n">
        <v>114</v>
      </c>
      <c r="J123" s="687" t="inlineStr">
        <is>
          <t>SZK202207180004</t>
        </is>
      </c>
      <c r="K123" s="722" t="n">
        <v>7.31</v>
      </c>
      <c r="L123" s="640" t="inlineStr">
        <is>
          <t>朗华</t>
        </is>
      </c>
    </row>
    <row r="124" customFormat="1" s="658">
      <c r="A124" s="673" t="n">
        <v>23</v>
      </c>
      <c r="B124" s="444" t="inlineStr">
        <is>
          <t>香港比特</t>
        </is>
      </c>
      <c r="C124" s="690" t="n">
        <v>44755</v>
      </c>
      <c r="D124" s="673" t="inlineStr">
        <is>
          <t>世纪云芯</t>
        </is>
      </c>
      <c r="E124" s="639" t="inlineStr">
        <is>
          <t>捷策创</t>
        </is>
      </c>
      <c r="F124" s="640" t="inlineStr">
        <is>
          <t>BM1362AK</t>
        </is>
      </c>
      <c r="G124" s="673" t="inlineStr">
        <is>
          <t>Y09BM1362310</t>
        </is>
      </c>
      <c r="H124" s="691" t="n">
        <v>71956</v>
      </c>
      <c r="J124" s="687" t="inlineStr">
        <is>
          <t>SZK202207180004</t>
        </is>
      </c>
      <c r="K124" s="722" t="n">
        <v>2.68</v>
      </c>
      <c r="L124" s="640" t="inlineStr">
        <is>
          <t>朗华</t>
        </is>
      </c>
    </row>
    <row r="125" customFormat="1" s="658">
      <c r="A125" s="673" t="n">
        <v>24</v>
      </c>
      <c r="B125" s="444" t="inlineStr">
        <is>
          <t>香港比特</t>
        </is>
      </c>
      <c r="C125" s="690" t="n">
        <v>44755</v>
      </c>
      <c r="D125" s="673" t="inlineStr">
        <is>
          <t>世纪云芯</t>
        </is>
      </c>
      <c r="E125" s="639" t="inlineStr">
        <is>
          <t>ASEKH</t>
        </is>
      </c>
      <c r="F125" s="640" t="inlineStr">
        <is>
          <t>BM1366AG</t>
        </is>
      </c>
      <c r="G125" s="673" t="inlineStr">
        <is>
          <t>Y09BM1366820</t>
        </is>
      </c>
      <c r="H125" s="691" t="n">
        <v>2183</v>
      </c>
      <c r="J125" s="687" t="inlineStr">
        <is>
          <t>SZK202207180005</t>
        </is>
      </c>
      <c r="K125" s="722" t="n">
        <v>4.86</v>
      </c>
      <c r="L125" s="640" t="inlineStr">
        <is>
          <t>朗华</t>
        </is>
      </c>
    </row>
    <row r="126" customFormat="1" s="658">
      <c r="A126" s="673" t="n">
        <v>25</v>
      </c>
      <c r="B126" s="444" t="inlineStr">
        <is>
          <t>香港比特</t>
        </is>
      </c>
      <c r="C126" s="690" t="n">
        <v>44755</v>
      </c>
      <c r="D126" s="673" t="inlineStr">
        <is>
          <t>世纪云芯</t>
        </is>
      </c>
      <c r="E126" s="639" t="inlineStr">
        <is>
          <t>SCK</t>
        </is>
      </c>
      <c r="F126" s="640" t="inlineStr">
        <is>
          <t>BM1366AG</t>
        </is>
      </c>
      <c r="G126" s="673" t="inlineStr">
        <is>
          <t>Y09BM1366820</t>
        </is>
      </c>
      <c r="H126" s="691" t="n">
        <v>477229</v>
      </c>
      <c r="J126" s="687" t="inlineStr">
        <is>
          <t>SZK202207180006</t>
        </is>
      </c>
      <c r="K126" s="722" t="n">
        <v>4.86</v>
      </c>
      <c r="L126" s="640" t="inlineStr">
        <is>
          <t>朗华</t>
        </is>
      </c>
    </row>
    <row r="127" customFormat="1" s="658">
      <c r="A127" s="673" t="n">
        <v>26</v>
      </c>
      <c r="B127" s="444" t="inlineStr">
        <is>
          <t>香港比特</t>
        </is>
      </c>
      <c r="C127" s="690" t="n">
        <v>44755</v>
      </c>
      <c r="D127" s="673" t="inlineStr">
        <is>
          <t>世纪云芯</t>
        </is>
      </c>
      <c r="E127" s="639" t="inlineStr">
        <is>
          <t>SCK</t>
        </is>
      </c>
      <c r="F127" s="640" t="inlineStr">
        <is>
          <t>BM1366AH</t>
        </is>
      </c>
      <c r="G127" s="673" t="inlineStr">
        <is>
          <t>Y09BM1366930</t>
        </is>
      </c>
      <c r="H127" s="691" t="n">
        <v>996</v>
      </c>
      <c r="J127" s="687" t="inlineStr">
        <is>
          <t>SZK202207180006</t>
        </is>
      </c>
      <c r="K127" s="722" t="n">
        <v>4.86</v>
      </c>
      <c r="L127" s="640" t="inlineStr">
        <is>
          <t>朗华</t>
        </is>
      </c>
    </row>
    <row r="128" customFormat="1" s="658">
      <c r="A128" s="673" t="n">
        <v>27</v>
      </c>
      <c r="B128" s="444" t="inlineStr">
        <is>
          <t>香港比特</t>
        </is>
      </c>
      <c r="C128" s="690" t="n">
        <v>44756</v>
      </c>
      <c r="D128" s="673" t="inlineStr">
        <is>
          <t>世纪云芯</t>
        </is>
      </c>
      <c r="E128" s="639" t="inlineStr">
        <is>
          <t>SCK</t>
        </is>
      </c>
      <c r="F128" s="640" t="inlineStr">
        <is>
          <t>BM1366AG</t>
        </is>
      </c>
      <c r="G128" s="673" t="inlineStr">
        <is>
          <t>Y09BM1366820</t>
        </is>
      </c>
      <c r="H128" s="691" t="n">
        <v>207985</v>
      </c>
      <c r="J128" s="687" t="inlineStr">
        <is>
          <t>SZK202207180007</t>
        </is>
      </c>
      <c r="K128" s="722" t="n">
        <v>4.75</v>
      </c>
      <c r="L128" s="640" t="inlineStr">
        <is>
          <t>讯宇</t>
        </is>
      </c>
    </row>
    <row r="129" customFormat="1" s="658">
      <c r="A129" s="673" t="n">
        <v>28</v>
      </c>
      <c r="B129" s="444" t="inlineStr">
        <is>
          <t>香港比特</t>
        </is>
      </c>
      <c r="C129" s="690" t="n">
        <v>44756</v>
      </c>
      <c r="D129" s="673" t="inlineStr">
        <is>
          <t>世纪云芯</t>
        </is>
      </c>
      <c r="E129" s="639" t="inlineStr">
        <is>
          <t>SCK</t>
        </is>
      </c>
      <c r="F129" s="640" t="inlineStr">
        <is>
          <t>BM1362BD</t>
        </is>
      </c>
      <c r="G129" s="673" t="inlineStr">
        <is>
          <t>Y09BM1362D40</t>
        </is>
      </c>
      <c r="H129" s="691" t="n">
        <v>683015</v>
      </c>
      <c r="J129" s="687" t="inlineStr">
        <is>
          <t>SZK202207180007</t>
        </is>
      </c>
      <c r="K129" s="722" t="n">
        <v>2.57</v>
      </c>
      <c r="L129" s="640" t="inlineStr">
        <is>
          <t>世纪通</t>
        </is>
      </c>
    </row>
    <row r="130" customFormat="1" s="658">
      <c r="A130" s="673" t="n">
        <v>29</v>
      </c>
      <c r="B130" s="444" t="inlineStr">
        <is>
          <t>香港比特</t>
        </is>
      </c>
      <c r="C130" s="690" t="n">
        <v>44757</v>
      </c>
      <c r="D130" s="673" t="inlineStr">
        <is>
          <t>世纪云芯</t>
        </is>
      </c>
      <c r="E130" s="639" t="inlineStr">
        <is>
          <t>SPILSZ</t>
        </is>
      </c>
      <c r="F130" s="640" t="inlineStr">
        <is>
          <t xml:space="preserve">BM1366AL </t>
        </is>
      </c>
      <c r="G130" s="673" t="e">
        <v>#N/A</v>
      </c>
      <c r="H130" s="691" t="n">
        <v>12489</v>
      </c>
      <c r="J130" s="687" t="inlineStr">
        <is>
          <t>SZK202207180011</t>
        </is>
      </c>
      <c r="K130" s="722" t="n">
        <v>4.86</v>
      </c>
      <c r="L130" s="640" t="inlineStr">
        <is>
          <t>讯宇</t>
        </is>
      </c>
    </row>
    <row r="131" customFormat="1" s="658">
      <c r="A131" s="673" t="n">
        <v>30</v>
      </c>
      <c r="B131" s="444" t="inlineStr">
        <is>
          <t>香港比特</t>
        </is>
      </c>
      <c r="C131" s="690" t="n">
        <v>44757</v>
      </c>
      <c r="D131" s="673" t="inlineStr">
        <is>
          <t>世纪云芯</t>
        </is>
      </c>
      <c r="E131" s="639" t="inlineStr">
        <is>
          <t>捷策创</t>
        </is>
      </c>
      <c r="F131" s="640" t="inlineStr">
        <is>
          <t>BM1362AK</t>
        </is>
      </c>
      <c r="G131" s="673" t="inlineStr">
        <is>
          <t>Y09BM1362310</t>
        </is>
      </c>
      <c r="H131" s="691" t="n">
        <v>214513</v>
      </c>
      <c r="J131" s="687" t="inlineStr">
        <is>
          <t>SZK202207180008</t>
        </is>
      </c>
      <c r="K131" s="722" t="n">
        <v>2.68</v>
      </c>
      <c r="L131" s="640" t="inlineStr">
        <is>
          <t>朗华</t>
        </is>
      </c>
    </row>
    <row r="132" customFormat="1" s="658">
      <c r="A132" s="673" t="n"/>
      <c r="B132" s="444" t="n"/>
      <c r="C132" s="690" t="n"/>
      <c r="D132" s="673" t="n"/>
      <c r="E132" s="723" t="n"/>
      <c r="F132" s="657" t="n"/>
      <c r="G132" s="673" t="n"/>
      <c r="H132" s="501" t="n"/>
      <c r="J132" s="687" t="n"/>
      <c r="K132" s="722" t="n"/>
      <c r="L132" s="657" t="n"/>
    </row>
    <row r="133" customFormat="1" s="658">
      <c r="A133" s="673" t="n"/>
      <c r="B133" s="444" t="n"/>
      <c r="C133" s="690" t="n"/>
      <c r="D133" s="673" t="n"/>
      <c r="E133" s="723" t="n"/>
      <c r="F133" s="657" t="n"/>
      <c r="G133" s="673" t="n"/>
      <c r="H133" s="724" t="n"/>
      <c r="J133" s="687" t="n"/>
      <c r="K133" s="722" t="n"/>
      <c r="L133" s="657" t="n"/>
    </row>
    <row r="134" customFormat="1" s="658">
      <c r="A134" s="673" t="n"/>
      <c r="B134" s="444" t="n"/>
      <c r="C134" s="690" t="n"/>
      <c r="D134" s="673" t="n"/>
      <c r="E134" s="723" t="n"/>
      <c r="F134" s="657" t="n"/>
      <c r="G134" s="673" t="n"/>
      <c r="H134" s="724" t="n"/>
      <c r="J134" s="687" t="n"/>
      <c r="K134" s="722" t="n"/>
      <c r="L134" s="657" t="n"/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0"/>
  <sheetViews>
    <sheetView zoomScale="70" zoomScaleNormal="70" workbookViewId="0">
      <selection activeCell="K261" sqref="K261"/>
    </sheetView>
  </sheetViews>
  <sheetFormatPr baseColWidth="8" defaultColWidth="8.66666666666667" defaultRowHeight="24" customHeight="1"/>
  <cols>
    <col width="18.3333333333333" customWidth="1" style="693" min="1" max="1"/>
    <col width="11.6666666666667" customWidth="1" style="693" min="2" max="2"/>
    <col width="14.3333333333333" customWidth="1" style="693" min="3" max="3"/>
    <col width="11.6666666666667" customWidth="1" style="693" min="4" max="4"/>
    <col width="12.5833333333333" customWidth="1" style="693" min="5" max="5"/>
    <col width="15" customWidth="1" style="693" min="6" max="6"/>
    <col width="18.25" customWidth="1" style="693" min="7" max="7"/>
    <col width="12.5833333333333" customWidth="1" style="725" min="8" max="8"/>
    <col hidden="1" width="14.25" customWidth="1" style="693" min="9" max="9"/>
    <col width="22" customWidth="1" style="716" min="10" max="10"/>
    <col width="12.9166666666667" customWidth="1" style="693" min="11" max="11"/>
    <col width="13" customWidth="1" style="693" min="12" max="12"/>
    <col width="22" customWidth="1" style="693" min="13" max="13"/>
    <col width="8.66666666666667" customWidth="1" style="693" min="14" max="16384"/>
  </cols>
  <sheetData>
    <row r="1" ht="22.5" customHeight="1" s="184">
      <c r="A1" s="671" t="inlineStr">
        <is>
          <t>序号</t>
        </is>
      </c>
      <c r="B1" s="438" t="inlineStr">
        <is>
          <t>抬头</t>
        </is>
      </c>
      <c r="C1" s="438" t="inlineStr">
        <is>
          <t>出货日期</t>
        </is>
      </c>
      <c r="D1" s="438" t="inlineStr">
        <is>
          <t>主体</t>
        </is>
      </c>
      <c r="E1" s="671" t="inlineStr">
        <is>
          <t>测试厂</t>
        </is>
      </c>
      <c r="F1" s="671" t="inlineStr">
        <is>
          <t>型号</t>
        </is>
      </c>
      <c r="G1" s="671" t="inlineStr">
        <is>
          <t>物料编码</t>
        </is>
      </c>
      <c r="H1" s="688" t="inlineStr">
        <is>
          <t>数量</t>
        </is>
      </c>
      <c r="I1" s="671" t="inlineStr">
        <is>
          <t>采购订单号</t>
        </is>
      </c>
      <c r="J1" s="671" t="inlineStr">
        <is>
          <t>新PO</t>
        </is>
      </c>
      <c r="K1" s="671" t="inlineStr">
        <is>
          <t>单价</t>
        </is>
      </c>
      <c r="L1" s="441" t="n">
        <v>10000900</v>
      </c>
      <c r="M1" s="726" t="n"/>
    </row>
    <row r="2" ht="22.5" customFormat="1" customHeight="1" s="693">
      <c r="A2" s="673" t="n">
        <v>1</v>
      </c>
      <c r="B2" s="444" t="inlineStr">
        <is>
          <t>香港比特</t>
        </is>
      </c>
      <c r="C2" s="727" t="n">
        <v>44755</v>
      </c>
      <c r="D2" s="673" t="inlineStr">
        <is>
          <t>世纪云芯</t>
        </is>
      </c>
      <c r="E2" s="673" t="inlineStr">
        <is>
          <t>spilsz</t>
        </is>
      </c>
      <c r="F2" s="673" t="inlineStr">
        <is>
          <t>BM1366AL</t>
        </is>
      </c>
      <c r="G2" s="673" t="inlineStr">
        <is>
          <t>Y09BM1366D10</t>
        </is>
      </c>
      <c r="H2" s="728" t="n">
        <v>835031</v>
      </c>
      <c r="I2" s="673" t="n"/>
      <c r="J2" s="673" t="inlineStr">
        <is>
          <t>SZK202207180010</t>
        </is>
      </c>
      <c r="K2" s="692" t="n">
        <v>4.75</v>
      </c>
      <c r="L2" s="673" t="inlineStr">
        <is>
          <t>朗华</t>
        </is>
      </c>
      <c r="M2" s="673" t="n"/>
    </row>
    <row r="3" ht="22.5" customFormat="1" customHeight="1" s="693">
      <c r="A3" s="673" t="n">
        <v>2</v>
      </c>
      <c r="B3" s="444" t="inlineStr">
        <is>
          <t>香港比特</t>
        </is>
      </c>
      <c r="C3" s="727" t="n">
        <v>44755</v>
      </c>
      <c r="D3" s="673" t="inlineStr">
        <is>
          <t>世纪云芯</t>
        </is>
      </c>
      <c r="E3" s="673" t="inlineStr">
        <is>
          <t>捷策创</t>
        </is>
      </c>
      <c r="F3" s="673" t="inlineStr">
        <is>
          <t>BM1362AA</t>
        </is>
      </c>
      <c r="G3" s="673" t="inlineStr">
        <is>
          <t>Y09BM1362A00</t>
        </is>
      </c>
      <c r="H3" s="728" t="n">
        <v>242499</v>
      </c>
      <c r="I3" s="673" t="n"/>
      <c r="J3" s="673" t="inlineStr">
        <is>
          <t>SZK202207180004</t>
        </is>
      </c>
      <c r="K3" s="692" t="n">
        <v>2.68</v>
      </c>
      <c r="L3" s="673" t="inlineStr">
        <is>
          <t>朗华</t>
        </is>
      </c>
      <c r="M3" s="673" t="n"/>
    </row>
    <row r="4" ht="22.5" customFormat="1" customHeight="1" s="693">
      <c r="A4" s="673" t="n">
        <v>3</v>
      </c>
      <c r="B4" s="444" t="inlineStr">
        <is>
          <t>香港比特</t>
        </is>
      </c>
      <c r="C4" s="727" t="n">
        <v>44755</v>
      </c>
      <c r="D4" s="673" t="inlineStr">
        <is>
          <t>世纪云芯</t>
        </is>
      </c>
      <c r="E4" s="673" t="inlineStr">
        <is>
          <t>捷策创</t>
        </is>
      </c>
      <c r="F4" s="673" t="inlineStr">
        <is>
          <t>BM1489</t>
        </is>
      </c>
      <c r="G4" s="673" t="inlineStr">
        <is>
          <t>Y09BM1489010</t>
        </is>
      </c>
      <c r="H4" s="728" t="n">
        <v>114</v>
      </c>
      <c r="I4" s="673" t="n"/>
      <c r="J4" s="673" t="inlineStr">
        <is>
          <t>SZK202207180004</t>
        </is>
      </c>
      <c r="K4" s="692" t="n">
        <v>7.31</v>
      </c>
      <c r="L4" s="673" t="inlineStr">
        <is>
          <t>朗华</t>
        </is>
      </c>
      <c r="M4" s="673" t="n"/>
    </row>
    <row r="5" ht="22.5" customFormat="1" customHeight="1" s="693">
      <c r="A5" s="673" t="n">
        <v>4</v>
      </c>
      <c r="B5" s="444" t="inlineStr">
        <is>
          <t>香港比特</t>
        </is>
      </c>
      <c r="C5" s="727" t="n">
        <v>44755</v>
      </c>
      <c r="D5" s="673" t="inlineStr">
        <is>
          <t>世纪云芯</t>
        </is>
      </c>
      <c r="E5" s="673" t="inlineStr">
        <is>
          <t>捷策创</t>
        </is>
      </c>
      <c r="F5" s="673" t="inlineStr">
        <is>
          <t>BM1362AK</t>
        </is>
      </c>
      <c r="G5" s="673" t="inlineStr">
        <is>
          <t>Y09BM1362310</t>
        </is>
      </c>
      <c r="H5" s="728" t="n">
        <v>71956</v>
      </c>
      <c r="I5" s="673" t="n"/>
      <c r="J5" s="673" t="inlineStr">
        <is>
          <t>SZK202207180004</t>
        </is>
      </c>
      <c r="K5" s="692" t="n">
        <v>2.68</v>
      </c>
      <c r="L5" s="673" t="inlineStr">
        <is>
          <t>朗华</t>
        </is>
      </c>
      <c r="M5" s="673" t="n"/>
    </row>
    <row r="6" ht="22.5" customFormat="1" customHeight="1" s="693">
      <c r="A6" s="673" t="n">
        <v>5</v>
      </c>
      <c r="B6" s="444" t="inlineStr">
        <is>
          <t>香港比特</t>
        </is>
      </c>
      <c r="C6" s="727" t="n">
        <v>44755</v>
      </c>
      <c r="D6" s="673" t="inlineStr">
        <is>
          <t>世纪云芯</t>
        </is>
      </c>
      <c r="E6" s="673" t="inlineStr">
        <is>
          <t>ASEKH</t>
        </is>
      </c>
      <c r="F6" s="673" t="inlineStr">
        <is>
          <t>BM1366AG</t>
        </is>
      </c>
      <c r="G6" s="673" t="inlineStr">
        <is>
          <t>Y09BM1366820</t>
        </is>
      </c>
      <c r="H6" s="728" t="n">
        <v>2183</v>
      </c>
      <c r="I6" s="673" t="n"/>
      <c r="J6" s="673" t="inlineStr">
        <is>
          <t>SZK202207180005</t>
        </is>
      </c>
      <c r="K6" s="692" t="n">
        <v>4.86</v>
      </c>
      <c r="L6" s="673" t="inlineStr">
        <is>
          <t>朗华</t>
        </is>
      </c>
      <c r="M6" s="673" t="n"/>
    </row>
    <row r="7" ht="22.5" customFormat="1" customHeight="1" s="693">
      <c r="A7" s="673" t="n">
        <v>6</v>
      </c>
      <c r="B7" s="444" t="inlineStr">
        <is>
          <t>香港比特</t>
        </is>
      </c>
      <c r="C7" s="727" t="n">
        <v>44755</v>
      </c>
      <c r="D7" s="673" t="inlineStr">
        <is>
          <t>世纪云芯</t>
        </is>
      </c>
      <c r="E7" s="673" t="inlineStr">
        <is>
          <t>SCK</t>
        </is>
      </c>
      <c r="F7" s="673" t="inlineStr">
        <is>
          <t>BM1366AG</t>
        </is>
      </c>
      <c r="G7" s="673" t="inlineStr">
        <is>
          <t>Y09BM1366820</t>
        </is>
      </c>
      <c r="H7" s="728" t="n">
        <v>477229</v>
      </c>
      <c r="I7" s="673" t="n"/>
      <c r="J7" s="673" t="inlineStr">
        <is>
          <t>SZK202207180006</t>
        </is>
      </c>
      <c r="K7" s="692" t="n">
        <v>4.86</v>
      </c>
      <c r="L7" s="673" t="inlineStr">
        <is>
          <t>朗华</t>
        </is>
      </c>
      <c r="M7" s="673" t="n"/>
    </row>
    <row r="8" ht="22.5" customFormat="1" customHeight="1" s="693">
      <c r="A8" s="673" t="n">
        <v>7</v>
      </c>
      <c r="B8" s="444" t="inlineStr">
        <is>
          <t>香港比特</t>
        </is>
      </c>
      <c r="C8" s="727" t="n">
        <v>44755</v>
      </c>
      <c r="D8" s="673" t="inlineStr">
        <is>
          <t>世纪云芯</t>
        </is>
      </c>
      <c r="E8" s="673" t="inlineStr">
        <is>
          <t>SCK</t>
        </is>
      </c>
      <c r="F8" s="673" t="inlineStr">
        <is>
          <t>BM1366AH</t>
        </is>
      </c>
      <c r="G8" s="673" t="inlineStr">
        <is>
          <t>Y09BM1366930</t>
        </is>
      </c>
      <c r="H8" s="728" t="n">
        <v>996</v>
      </c>
      <c r="I8" s="673" t="n"/>
      <c r="J8" s="673" t="inlineStr">
        <is>
          <t>SZK202207180006</t>
        </is>
      </c>
      <c r="K8" s="692" t="n">
        <v>4.86</v>
      </c>
      <c r="L8" s="673" t="inlineStr">
        <is>
          <t>朗华</t>
        </is>
      </c>
      <c r="M8" s="673" t="n"/>
    </row>
    <row r="9" ht="22.5" customFormat="1" customHeight="1" s="693">
      <c r="A9" s="673" t="n">
        <v>8</v>
      </c>
      <c r="B9" s="444" t="inlineStr">
        <is>
          <t>香港比特</t>
        </is>
      </c>
      <c r="C9" s="727" t="n">
        <v>44756</v>
      </c>
      <c r="D9" s="673" t="inlineStr">
        <is>
          <t>世纪云芯</t>
        </is>
      </c>
      <c r="E9" s="673" t="inlineStr">
        <is>
          <t>SCK</t>
        </is>
      </c>
      <c r="F9" s="673" t="inlineStr">
        <is>
          <t>BM1366AG</t>
        </is>
      </c>
      <c r="G9" s="673" t="inlineStr">
        <is>
          <t>Y09BM1366820</t>
        </is>
      </c>
      <c r="H9" s="728" t="n">
        <v>207985</v>
      </c>
      <c r="I9" s="673" t="n"/>
      <c r="J9" s="673" t="inlineStr">
        <is>
          <t>SZK202207180007</t>
        </is>
      </c>
      <c r="K9" s="692" t="n">
        <v>4.75</v>
      </c>
      <c r="L9" s="673" t="inlineStr">
        <is>
          <t>讯宇</t>
        </is>
      </c>
      <c r="M9" s="673" t="n"/>
    </row>
    <row r="10" ht="22.5" customFormat="1" customHeight="1" s="693">
      <c r="A10" s="673" t="n">
        <v>9</v>
      </c>
      <c r="B10" s="444" t="inlineStr">
        <is>
          <t>香港比特</t>
        </is>
      </c>
      <c r="C10" s="727" t="n">
        <v>44756</v>
      </c>
      <c r="D10" s="673" t="inlineStr">
        <is>
          <t>世纪云芯</t>
        </is>
      </c>
      <c r="E10" s="673" t="inlineStr">
        <is>
          <t>SCK</t>
        </is>
      </c>
      <c r="F10" s="673" t="inlineStr">
        <is>
          <t>BM1362BD</t>
        </is>
      </c>
      <c r="G10" s="673" t="inlineStr">
        <is>
          <t>Y09BM1362D40</t>
        </is>
      </c>
      <c r="H10" s="728" t="n">
        <v>683015</v>
      </c>
      <c r="I10" s="673" t="n"/>
      <c r="J10" s="673" t="inlineStr">
        <is>
          <t>SZK202207180007</t>
        </is>
      </c>
      <c r="K10" s="692" t="n">
        <v>2.57</v>
      </c>
      <c r="L10" s="673" t="inlineStr">
        <is>
          <t>世纪通</t>
        </is>
      </c>
      <c r="M10" s="673" t="n"/>
    </row>
    <row r="11" ht="22.5" customFormat="1" customHeight="1" s="693">
      <c r="A11" s="673" t="n">
        <v>10</v>
      </c>
      <c r="B11" s="444" t="inlineStr">
        <is>
          <t>香港比特</t>
        </is>
      </c>
      <c r="C11" s="727" t="n">
        <v>44757</v>
      </c>
      <c r="D11" s="673" t="inlineStr">
        <is>
          <t>世纪云芯</t>
        </is>
      </c>
      <c r="E11" s="673" t="inlineStr">
        <is>
          <t>SPILSZ</t>
        </is>
      </c>
      <c r="F11" s="673" t="inlineStr">
        <is>
          <t>BM1366AL</t>
        </is>
      </c>
      <c r="G11" s="673" t="inlineStr">
        <is>
          <t>Y09BM1366D10</t>
        </is>
      </c>
      <c r="H11" s="728" t="n">
        <v>12489</v>
      </c>
      <c r="I11" s="673" t="n"/>
      <c r="J11" s="673" t="inlineStr">
        <is>
          <t>SZK202207180011</t>
        </is>
      </c>
      <c r="K11" s="692" t="n">
        <v>4.86</v>
      </c>
      <c r="L11" s="673" t="inlineStr">
        <is>
          <t>讯宇</t>
        </is>
      </c>
      <c r="M11" s="673" t="n"/>
    </row>
    <row r="12" ht="22.5" customFormat="1" customHeight="1" s="693">
      <c r="A12" s="673" t="n">
        <v>11</v>
      </c>
      <c r="B12" s="444" t="inlineStr">
        <is>
          <t>香港比特</t>
        </is>
      </c>
      <c r="C12" s="727" t="n">
        <v>44757</v>
      </c>
      <c r="D12" s="673" t="inlineStr">
        <is>
          <t>世纪云芯</t>
        </is>
      </c>
      <c r="E12" s="673" t="inlineStr">
        <is>
          <t>捷策创</t>
        </is>
      </c>
      <c r="F12" s="673" t="inlineStr">
        <is>
          <t>BM1362AK</t>
        </is>
      </c>
      <c r="G12" s="673" t="inlineStr">
        <is>
          <t>Y09BM1362310</t>
        </is>
      </c>
      <c r="H12" s="728" t="n">
        <v>214513</v>
      </c>
      <c r="I12" s="673" t="n"/>
      <c r="J12" s="673" t="inlineStr">
        <is>
          <t>SZK202207180008</t>
        </is>
      </c>
      <c r="K12" s="692" t="n">
        <v>2.68</v>
      </c>
      <c r="L12" s="673" t="inlineStr">
        <is>
          <t>朗华</t>
        </is>
      </c>
      <c r="M12" s="673" t="n"/>
    </row>
    <row r="13" ht="22.5" customHeight="1" s="184">
      <c r="A13" s="673" t="n">
        <v>12</v>
      </c>
      <c r="B13" s="444" t="inlineStr">
        <is>
          <t>香港比特</t>
        </is>
      </c>
      <c r="C13" s="674" t="inlineStr">
        <is>
          <t>2022-07-16</t>
        </is>
      </c>
      <c r="D13" s="673" t="inlineStr">
        <is>
          <t>世纪云芯</t>
        </is>
      </c>
      <c r="E13" s="675" t="inlineStr">
        <is>
          <t>XJ</t>
        </is>
      </c>
      <c r="F13" s="675" t="inlineStr">
        <is>
          <t>BM1798AA</t>
        </is>
      </c>
      <c r="G13" s="673" t="inlineStr">
        <is>
          <t>Y09BM1798010</t>
        </is>
      </c>
      <c r="H13" s="729" t="n">
        <v>500</v>
      </c>
      <c r="I13" s="673" t="n"/>
      <c r="J13" s="673" t="inlineStr">
        <is>
          <t>SZK202207180027</t>
        </is>
      </c>
      <c r="K13" s="692" t="n">
        <v>261.94</v>
      </c>
      <c r="L13" s="675" t="inlineStr">
        <is>
          <t>朗华</t>
        </is>
      </c>
      <c r="M13" s="673" t="n"/>
    </row>
    <row r="14" ht="22.5" customHeight="1" s="184">
      <c r="A14" s="673" t="n">
        <v>13</v>
      </c>
      <c r="B14" s="444" t="inlineStr">
        <is>
          <t>香港比特</t>
        </is>
      </c>
      <c r="C14" s="674" t="inlineStr">
        <is>
          <t>2022-07-16</t>
        </is>
      </c>
      <c r="D14" s="673" t="inlineStr">
        <is>
          <t>世纪云芯</t>
        </is>
      </c>
      <c r="E14" s="675" t="inlineStr">
        <is>
          <t>XJ</t>
        </is>
      </c>
      <c r="F14" s="675" t="inlineStr">
        <is>
          <t>BM1798AA</t>
        </is>
      </c>
      <c r="G14" s="673" t="inlineStr">
        <is>
          <t>Y09BM1798010</t>
        </is>
      </c>
      <c r="H14" s="729" t="n">
        <v>200</v>
      </c>
      <c r="I14" s="673" t="n"/>
      <c r="J14" s="673" t="inlineStr">
        <is>
          <t>SZK202207180027</t>
        </is>
      </c>
      <c r="K14" s="692" t="n">
        <v>261.94</v>
      </c>
      <c r="L14" s="675" t="inlineStr">
        <is>
          <t>朗华</t>
        </is>
      </c>
      <c r="M14" s="673" t="n"/>
    </row>
    <row r="15" ht="22.5" customHeight="1" s="184">
      <c r="A15" s="673" t="n">
        <v>14</v>
      </c>
      <c r="B15" s="444" t="inlineStr">
        <is>
          <t>香港比特</t>
        </is>
      </c>
      <c r="C15" s="674" t="inlineStr">
        <is>
          <t>2022-07-17</t>
        </is>
      </c>
      <c r="D15" s="673" t="inlineStr">
        <is>
          <t>世纪云芯</t>
        </is>
      </c>
      <c r="E15" s="675" t="inlineStr">
        <is>
          <t>XJ</t>
        </is>
      </c>
      <c r="F15" s="675" t="inlineStr">
        <is>
          <t>BM1798AA</t>
        </is>
      </c>
      <c r="G15" s="673" t="inlineStr">
        <is>
          <t>Y09BM1798010</t>
        </is>
      </c>
      <c r="H15" s="729" t="n">
        <v>600</v>
      </c>
      <c r="I15" s="673" t="n"/>
      <c r="J15" s="673" t="inlineStr">
        <is>
          <t>SZK202207180028</t>
        </is>
      </c>
      <c r="K15" s="692" t="n">
        <v>261.94</v>
      </c>
      <c r="L15" s="675" t="inlineStr">
        <is>
          <t>朗华</t>
        </is>
      </c>
      <c r="M15" s="673" t="n"/>
    </row>
    <row r="16" ht="22.5" customHeight="1" s="184">
      <c r="A16" s="673" t="n">
        <v>15</v>
      </c>
      <c r="B16" s="444" t="inlineStr">
        <is>
          <t>香港比特</t>
        </is>
      </c>
      <c r="C16" s="674" t="inlineStr">
        <is>
          <t>2022-07-18</t>
        </is>
      </c>
      <c r="D16" s="673" t="inlineStr">
        <is>
          <t>世纪云芯</t>
        </is>
      </c>
      <c r="E16" s="675" t="inlineStr">
        <is>
          <t>XJ</t>
        </is>
      </c>
      <c r="F16" s="675" t="inlineStr">
        <is>
          <t>BM1798AA</t>
        </is>
      </c>
      <c r="G16" s="673" t="inlineStr">
        <is>
          <t>Y09BM1798010</t>
        </is>
      </c>
      <c r="H16" s="729" t="n">
        <v>800</v>
      </c>
      <c r="I16" s="673" t="n"/>
      <c r="J16" s="673" t="inlineStr">
        <is>
          <t>SZK202207180029</t>
        </is>
      </c>
      <c r="K16" s="692" t="n">
        <v>261.94</v>
      </c>
      <c r="L16" s="675" t="inlineStr">
        <is>
          <t>朗华</t>
        </is>
      </c>
      <c r="M16" s="673" t="n"/>
    </row>
    <row r="17" ht="22.5" customHeight="1" s="184">
      <c r="A17" s="673" t="n">
        <v>16</v>
      </c>
      <c r="B17" s="444" t="inlineStr">
        <is>
          <t>香港比特</t>
        </is>
      </c>
      <c r="C17" s="674" t="inlineStr">
        <is>
          <t>2022-07-18</t>
        </is>
      </c>
      <c r="D17" s="673" t="inlineStr">
        <is>
          <t>世纪云芯</t>
        </is>
      </c>
      <c r="E17" s="675" t="inlineStr">
        <is>
          <t>捷策创</t>
        </is>
      </c>
      <c r="F17" s="675" t="inlineStr">
        <is>
          <t>BM1362AK</t>
        </is>
      </c>
      <c r="G17" s="673" t="inlineStr">
        <is>
          <t>Y09BM1362310</t>
        </is>
      </c>
      <c r="H17" s="729" t="n">
        <v>677817</v>
      </c>
      <c r="I17" s="673" t="n"/>
      <c r="J17" s="673" t="inlineStr">
        <is>
          <t>SZK202207180030</t>
        </is>
      </c>
      <c r="K17" s="692" t="n">
        <v>2.68</v>
      </c>
      <c r="L17" s="675" t="inlineStr">
        <is>
          <t>朗华</t>
        </is>
      </c>
      <c r="M17" s="673" t="n"/>
    </row>
    <row r="18" ht="22.5" customHeight="1" s="184">
      <c r="A18" s="673" t="n">
        <v>17</v>
      </c>
      <c r="B18" s="444" t="inlineStr">
        <is>
          <t>香港比特</t>
        </is>
      </c>
      <c r="C18" s="674" t="inlineStr">
        <is>
          <t>2022-07-18</t>
        </is>
      </c>
      <c r="D18" s="673" t="inlineStr">
        <is>
          <t>世纪云芯</t>
        </is>
      </c>
      <c r="E18" s="675" t="inlineStr">
        <is>
          <t>捷策创</t>
        </is>
      </c>
      <c r="F18" s="675" t="inlineStr">
        <is>
          <t>BM1362AK</t>
        </is>
      </c>
      <c r="G18" s="673" t="inlineStr">
        <is>
          <t>Y09BM1362310</t>
        </is>
      </c>
      <c r="H18" s="729" t="n">
        <v>156522</v>
      </c>
      <c r="I18" s="673" t="n"/>
      <c r="J18" s="673" t="inlineStr">
        <is>
          <t>SZK202207180030</t>
        </is>
      </c>
      <c r="K18" s="692" t="n">
        <v>2.68</v>
      </c>
      <c r="L18" s="675" t="inlineStr">
        <is>
          <t>朗华</t>
        </is>
      </c>
      <c r="M18" s="673" t="n"/>
    </row>
    <row r="19" ht="22.5" customFormat="1" customHeight="1" s="693">
      <c r="A19" s="673" t="inlineStr">
        <is>
          <t>插入（花姐下的）</t>
        </is>
      </c>
      <c r="B19" s="444" t="inlineStr">
        <is>
          <t>香港比特</t>
        </is>
      </c>
      <c r="C19" s="727" t="n">
        <v>44755</v>
      </c>
      <c r="D19" s="673" t="inlineStr">
        <is>
          <t>世纪云芯</t>
        </is>
      </c>
      <c r="E19" s="675" t="inlineStr">
        <is>
          <t>WINSTEK</t>
        </is>
      </c>
      <c r="F19" s="673" t="inlineStr">
        <is>
          <t>BM1366AL</t>
        </is>
      </c>
      <c r="G19" s="673" t="inlineStr">
        <is>
          <t>Y09BM1366D10</t>
        </is>
      </c>
      <c r="H19" s="729" t="n">
        <v>1333</v>
      </c>
      <c r="I19" s="673" t="n"/>
      <c r="J19" s="673" t="inlineStr">
        <is>
          <t>SZK202207200013</t>
        </is>
      </c>
      <c r="K19" s="692" t="n">
        <v>4.86</v>
      </c>
      <c r="L19" s="675" t="n"/>
      <c r="M19" s="673" t="n"/>
    </row>
    <row r="20" ht="22.5" customFormat="1" customHeight="1" s="700">
      <c r="A20" s="695" t="n">
        <v>18</v>
      </c>
      <c r="B20" s="453" t="inlineStr">
        <is>
          <t>香港比特</t>
        </is>
      </c>
      <c r="C20" s="730" t="n">
        <v>44762</v>
      </c>
      <c r="D20" s="695" t="inlineStr">
        <is>
          <t>世纪云芯</t>
        </is>
      </c>
      <c r="E20" s="731" t="inlineStr">
        <is>
          <t>捷策创</t>
        </is>
      </c>
      <c r="F20" s="731" t="inlineStr">
        <is>
          <t>BM1362AA</t>
        </is>
      </c>
      <c r="G20" s="673" t="inlineStr">
        <is>
          <t>Y09BM1362A00</t>
        </is>
      </c>
      <c r="H20" s="732" t="n">
        <v>54096</v>
      </c>
      <c r="I20" s="695" t="n"/>
      <c r="J20" s="695" t="inlineStr">
        <is>
          <t>SZK202207200022</t>
        </is>
      </c>
      <c r="K20" s="701" t="n">
        <v>2.68</v>
      </c>
      <c r="L20" s="731" t="inlineStr">
        <is>
          <t>世纪通</t>
        </is>
      </c>
      <c r="M20" s="695" t="inlineStr">
        <is>
          <t>SZK202208020059</t>
        </is>
      </c>
    </row>
    <row r="21" ht="22.5" customFormat="1" customHeight="1" s="700">
      <c r="A21" s="695" t="n">
        <v>19</v>
      </c>
      <c r="B21" s="453" t="inlineStr">
        <is>
          <t>香港比特</t>
        </is>
      </c>
      <c r="C21" s="730" t="n">
        <v>44762</v>
      </c>
      <c r="D21" s="695" t="inlineStr">
        <is>
          <t>世纪云芯</t>
        </is>
      </c>
      <c r="E21" s="731" t="inlineStr">
        <is>
          <t>捷策创</t>
        </is>
      </c>
      <c r="F21" s="731" t="inlineStr">
        <is>
          <t>BM1362AC</t>
        </is>
      </c>
      <c r="G21" s="673" t="inlineStr">
        <is>
          <t>Y09BM1362C00</t>
        </is>
      </c>
      <c r="H21" s="732" t="n">
        <v>37899</v>
      </c>
      <c r="I21" s="695" t="n"/>
      <c r="J21" s="695" t="inlineStr">
        <is>
          <t>SZK202207200022</t>
        </is>
      </c>
      <c r="K21" s="701" t="n">
        <v>2.68</v>
      </c>
      <c r="L21" s="731" t="inlineStr">
        <is>
          <t>世纪通</t>
        </is>
      </c>
      <c r="M21" s="695" t="inlineStr">
        <is>
          <t>SZK202208020059</t>
        </is>
      </c>
    </row>
    <row r="22" ht="22.5" customFormat="1" customHeight="1" s="700">
      <c r="A22" s="695" t="n">
        <v>20</v>
      </c>
      <c r="B22" s="453" t="inlineStr">
        <is>
          <t>香港比特</t>
        </is>
      </c>
      <c r="C22" s="730" t="n">
        <v>44762</v>
      </c>
      <c r="D22" s="695" t="inlineStr">
        <is>
          <t>世纪云芯</t>
        </is>
      </c>
      <c r="E22" s="731" t="inlineStr">
        <is>
          <t>捷策创</t>
        </is>
      </c>
      <c r="F22" s="731" t="inlineStr">
        <is>
          <t>BM1398BB</t>
        </is>
      </c>
      <c r="G22" s="673" t="inlineStr">
        <is>
          <t>Y09BM1398240</t>
        </is>
      </c>
      <c r="H22" s="732" t="n">
        <v>656680</v>
      </c>
      <c r="I22" s="695" t="n"/>
      <c r="J22" s="695" t="inlineStr">
        <is>
          <t>SZK202207200022</t>
        </is>
      </c>
      <c r="K22" s="701" t="n">
        <v>4.28</v>
      </c>
      <c r="L22" s="731" t="inlineStr">
        <is>
          <t>世纪通</t>
        </is>
      </c>
      <c r="M22" s="695" t="inlineStr">
        <is>
          <t>SZK202208020059</t>
        </is>
      </c>
    </row>
    <row r="23" ht="22.5" customHeight="1" s="184">
      <c r="A23" s="673" t="n">
        <v>21</v>
      </c>
      <c r="B23" s="444" t="inlineStr">
        <is>
          <t>香港比特</t>
        </is>
      </c>
      <c r="C23" s="674" t="n">
        <v>44762</v>
      </c>
      <c r="D23" s="673" t="inlineStr">
        <is>
          <t>世纪云芯</t>
        </is>
      </c>
      <c r="E23" s="675" t="inlineStr">
        <is>
          <t>SCK</t>
        </is>
      </c>
      <c r="F23" s="675" t="inlineStr">
        <is>
          <t>BM1727AA</t>
        </is>
      </c>
      <c r="G23" s="673" t="inlineStr">
        <is>
          <t>Y09BM1727010</t>
        </is>
      </c>
      <c r="H23" s="729" t="n">
        <v>77</v>
      </c>
      <c r="I23" s="673" t="n"/>
      <c r="J23" s="673" t="inlineStr">
        <is>
          <t>SZK202207200023</t>
        </is>
      </c>
      <c r="K23" s="692" t="n">
        <v>3.51</v>
      </c>
      <c r="L23" s="675" t="inlineStr">
        <is>
          <t>讯宇</t>
        </is>
      </c>
      <c r="M23" s="673" t="n"/>
    </row>
    <row r="24" ht="22.5" customHeight="1" s="184">
      <c r="A24" s="673" t="n">
        <v>22</v>
      </c>
      <c r="B24" s="444" t="inlineStr">
        <is>
          <t>香港比特</t>
        </is>
      </c>
      <c r="C24" s="674" t="n">
        <v>44762</v>
      </c>
      <c r="D24" s="673" t="inlineStr">
        <is>
          <t>世纪云芯</t>
        </is>
      </c>
      <c r="E24" s="675" t="inlineStr">
        <is>
          <t>XJ</t>
        </is>
      </c>
      <c r="F24" s="675" t="inlineStr">
        <is>
          <t>BM1798AA</t>
        </is>
      </c>
      <c r="G24" s="673" t="inlineStr">
        <is>
          <t>Y09BM1798010</t>
        </is>
      </c>
      <c r="H24" s="729" t="n">
        <v>1400</v>
      </c>
      <c r="I24" s="673" t="n"/>
      <c r="J24" s="673" t="inlineStr">
        <is>
          <t>SZK202207200023</t>
        </is>
      </c>
      <c r="K24" s="692" t="n">
        <v>261.94</v>
      </c>
      <c r="L24" s="675" t="inlineStr">
        <is>
          <t>讯宇</t>
        </is>
      </c>
      <c r="M24" s="673" t="n"/>
    </row>
    <row r="25" ht="22.5" customHeight="1" s="184">
      <c r="A25" s="673" t="n">
        <v>23</v>
      </c>
      <c r="B25" s="444" t="inlineStr">
        <is>
          <t>香港比特</t>
        </is>
      </c>
      <c r="C25" s="674" t="n">
        <v>44763</v>
      </c>
      <c r="D25" s="673" t="inlineStr">
        <is>
          <t>世纪云芯</t>
        </is>
      </c>
      <c r="E25" s="675" t="inlineStr">
        <is>
          <t>SCK</t>
        </is>
      </c>
      <c r="F25" s="675" t="inlineStr">
        <is>
          <t>BM1366AG</t>
        </is>
      </c>
      <c r="G25" s="673" t="inlineStr">
        <is>
          <t>Y09BM1366820</t>
        </is>
      </c>
      <c r="H25" s="729" t="n">
        <v>4198</v>
      </c>
      <c r="I25" s="673" t="n"/>
      <c r="J25" s="673" t="inlineStr">
        <is>
          <t>SZK202207210009</t>
        </is>
      </c>
      <c r="K25" s="692" t="n">
        <v>4.86</v>
      </c>
      <c r="L25" s="675" t="inlineStr">
        <is>
          <t>讯宇</t>
        </is>
      </c>
      <c r="M25" s="673" t="n"/>
    </row>
    <row r="26" ht="22.5" customHeight="1" s="184">
      <c r="A26" s="673" t="n">
        <v>24</v>
      </c>
      <c r="B26" s="444" t="inlineStr">
        <is>
          <t>香港比特</t>
        </is>
      </c>
      <c r="C26" s="674" t="n">
        <v>44763</v>
      </c>
      <c r="D26" s="673" t="inlineStr">
        <is>
          <t>世纪云芯</t>
        </is>
      </c>
      <c r="E26" s="675" t="inlineStr">
        <is>
          <t>XJ</t>
        </is>
      </c>
      <c r="F26" s="675" t="inlineStr">
        <is>
          <t>BM1798AA</t>
        </is>
      </c>
      <c r="G26" s="673" t="inlineStr">
        <is>
          <t>Y09BM1798010</t>
        </is>
      </c>
      <c r="H26" s="729" t="n">
        <v>1000</v>
      </c>
      <c r="I26" s="673" t="n"/>
      <c r="J26" s="673" t="inlineStr">
        <is>
          <t>SZK202207210010</t>
        </is>
      </c>
      <c r="K26" s="692" t="n">
        <v>261.94</v>
      </c>
      <c r="L26" s="675" t="inlineStr">
        <is>
          <t>讯宇</t>
        </is>
      </c>
      <c r="M26" s="673" t="n"/>
    </row>
    <row r="27" ht="22.5" customFormat="1" customHeight="1" s="693">
      <c r="A27" s="673" t="n">
        <v>25</v>
      </c>
      <c r="B27" s="444" t="inlineStr">
        <is>
          <t>香港比特</t>
        </is>
      </c>
      <c r="C27" s="674" t="n">
        <v>44764</v>
      </c>
      <c r="D27" s="673" t="inlineStr">
        <is>
          <t>世纪云芯</t>
        </is>
      </c>
      <c r="E27" s="675" t="inlineStr">
        <is>
          <t>XJ</t>
        </is>
      </c>
      <c r="F27" s="675" t="inlineStr">
        <is>
          <t>BM1366AG</t>
        </is>
      </c>
      <c r="G27" s="673" t="inlineStr">
        <is>
          <t>Y09BM1366820</t>
        </is>
      </c>
      <c r="H27" s="729" t="n">
        <v>237765</v>
      </c>
      <c r="I27" s="673" t="n"/>
      <c r="J27" s="673" t="inlineStr">
        <is>
          <t>SZK202207230001</t>
        </is>
      </c>
      <c r="K27" s="692" t="n">
        <v>4.86</v>
      </c>
      <c r="L27" s="675" t="inlineStr">
        <is>
          <t>朗华</t>
        </is>
      </c>
      <c r="M27" s="673" t="n"/>
    </row>
    <row r="28" ht="22.5" customFormat="1" customHeight="1" s="693">
      <c r="A28" s="673" t="n">
        <v>26</v>
      </c>
      <c r="B28" s="444" t="inlineStr">
        <is>
          <t>香港比特</t>
        </is>
      </c>
      <c r="C28" s="674" t="n">
        <v>44764</v>
      </c>
      <c r="D28" s="673" t="inlineStr">
        <is>
          <t>世纪云芯</t>
        </is>
      </c>
      <c r="E28" s="675" t="inlineStr">
        <is>
          <t>XJ</t>
        </is>
      </c>
      <c r="F28" s="675" t="inlineStr">
        <is>
          <t>BM1366AL</t>
        </is>
      </c>
      <c r="G28" s="673" t="inlineStr">
        <is>
          <t>Y09BM1366D10</t>
        </is>
      </c>
      <c r="H28" s="729" t="n">
        <v>237865</v>
      </c>
      <c r="I28" s="673" t="n"/>
      <c r="J28" s="673" t="inlineStr">
        <is>
          <t>SZK202207230001</t>
        </is>
      </c>
      <c r="K28" s="692" t="n">
        <v>4.86</v>
      </c>
      <c r="L28" s="675" t="inlineStr">
        <is>
          <t>朗华</t>
        </is>
      </c>
      <c r="M28" s="673" t="n"/>
    </row>
    <row r="29" ht="22.5" customFormat="1" customHeight="1" s="693">
      <c r="A29" s="673" t="n">
        <v>27</v>
      </c>
      <c r="B29" s="444" t="inlineStr">
        <is>
          <t>香港比特</t>
        </is>
      </c>
      <c r="C29" s="674" t="n">
        <v>44764</v>
      </c>
      <c r="D29" s="673" t="inlineStr">
        <is>
          <t>世纪云芯</t>
        </is>
      </c>
      <c r="E29" s="675" t="inlineStr">
        <is>
          <t>XJ</t>
        </is>
      </c>
      <c r="F29" s="675" t="inlineStr">
        <is>
          <t>BM1366AG</t>
        </is>
      </c>
      <c r="G29" s="673" t="inlineStr">
        <is>
          <t>Y09BM1366820</t>
        </is>
      </c>
      <c r="H29" s="729" t="n">
        <v>589893</v>
      </c>
      <c r="I29" s="673" t="n"/>
      <c r="J29" s="673" t="inlineStr">
        <is>
          <t>SZK202207230001</t>
        </is>
      </c>
      <c r="K29" s="692" t="n">
        <v>4.86</v>
      </c>
      <c r="L29" s="675" t="inlineStr">
        <is>
          <t>朗华</t>
        </is>
      </c>
      <c r="M29" s="673" t="n"/>
    </row>
    <row r="30" ht="22.5" customFormat="1" customHeight="1" s="693">
      <c r="A30" s="673" t="n">
        <v>28</v>
      </c>
      <c r="B30" s="444" t="inlineStr">
        <is>
          <t>香港比特</t>
        </is>
      </c>
      <c r="C30" s="674" t="n">
        <v>44764</v>
      </c>
      <c r="D30" s="673" t="inlineStr">
        <is>
          <t>世纪云芯</t>
        </is>
      </c>
      <c r="E30" s="675" t="inlineStr">
        <is>
          <t>XJ</t>
        </is>
      </c>
      <c r="F30" s="675" t="inlineStr">
        <is>
          <t>BM1798AA</t>
        </is>
      </c>
      <c r="G30" s="673" t="inlineStr">
        <is>
          <t>Y09BM1798010</t>
        </is>
      </c>
      <c r="H30" s="729" t="n">
        <v>600</v>
      </c>
      <c r="I30" s="673" t="n"/>
      <c r="J30" s="673" t="inlineStr">
        <is>
          <t>SZK202207230001</t>
        </is>
      </c>
      <c r="K30" s="692" t="n">
        <v>261.94</v>
      </c>
      <c r="L30" s="675" t="inlineStr">
        <is>
          <t>朗华</t>
        </is>
      </c>
      <c r="M30" s="673" t="n"/>
    </row>
    <row r="31" ht="22.5" customFormat="1" customHeight="1" s="700">
      <c r="A31" s="695" t="n">
        <v>29</v>
      </c>
      <c r="B31" s="453" t="inlineStr">
        <is>
          <t>香港比特</t>
        </is>
      </c>
      <c r="C31" s="730" t="n">
        <v>44764</v>
      </c>
      <c r="D31" s="695" t="inlineStr">
        <is>
          <t>世纪云芯</t>
        </is>
      </c>
      <c r="E31" s="731" t="inlineStr">
        <is>
          <t>spil</t>
        </is>
      </c>
      <c r="F31" s="731" t="inlineStr">
        <is>
          <t>BM1798AB</t>
        </is>
      </c>
      <c r="G31" s="673" t="inlineStr">
        <is>
          <t>Y09BM1798110</t>
        </is>
      </c>
      <c r="H31" s="732" t="n">
        <v>631</v>
      </c>
      <c r="I31" s="695" t="n"/>
      <c r="J31" s="695" t="inlineStr">
        <is>
          <t>SZK202207250001</t>
        </is>
      </c>
      <c r="K31" s="701" t="n">
        <v>261.94</v>
      </c>
      <c r="L31" s="731" t="inlineStr">
        <is>
          <t>朗华</t>
        </is>
      </c>
      <c r="M31" s="695" t="inlineStr">
        <is>
          <t>SZK202208100013</t>
        </is>
      </c>
    </row>
    <row r="32" ht="22.5" customFormat="1" customHeight="1" s="693">
      <c r="A32" s="673" t="n">
        <v>30</v>
      </c>
      <c r="B32" s="444" t="inlineStr">
        <is>
          <t>香港比特</t>
        </is>
      </c>
      <c r="C32" s="674" t="n">
        <v>44764</v>
      </c>
      <c r="D32" s="673" t="inlineStr">
        <is>
          <t>世纪云芯</t>
        </is>
      </c>
      <c r="E32" s="675" t="inlineStr">
        <is>
          <t>JSCC</t>
        </is>
      </c>
      <c r="F32" s="675" t="inlineStr">
        <is>
          <t>BM1366AG</t>
        </is>
      </c>
      <c r="G32" s="673" t="inlineStr">
        <is>
          <t>Y09BM1366820</t>
        </is>
      </c>
      <c r="H32" s="729" t="n">
        <v>130310</v>
      </c>
      <c r="I32" s="673" t="n"/>
      <c r="J32" s="673" t="inlineStr">
        <is>
          <t>SZK202207230002</t>
        </is>
      </c>
      <c r="K32" s="692" t="n">
        <v>4.86</v>
      </c>
      <c r="L32" s="675" t="inlineStr">
        <is>
          <t>朗华</t>
        </is>
      </c>
      <c r="M32" s="673" t="n"/>
    </row>
    <row r="33" ht="22.5" customFormat="1" customHeight="1" s="693">
      <c r="A33" s="673" t="n">
        <v>31</v>
      </c>
      <c r="B33" s="444" t="inlineStr">
        <is>
          <t>香港比特</t>
        </is>
      </c>
      <c r="C33" s="674" t="n">
        <v>44764</v>
      </c>
      <c r="D33" s="673" t="inlineStr">
        <is>
          <t>世纪云芯</t>
        </is>
      </c>
      <c r="E33" s="675" t="inlineStr">
        <is>
          <t>JSCC</t>
        </is>
      </c>
      <c r="F33" s="675" t="inlineStr">
        <is>
          <t>BM1366AL</t>
        </is>
      </c>
      <c r="G33" s="673" t="inlineStr">
        <is>
          <t>Y09BM1366D10</t>
        </is>
      </c>
      <c r="H33" s="729" t="n">
        <v>1225200</v>
      </c>
      <c r="I33" s="673" t="n"/>
      <c r="J33" s="673" t="inlineStr">
        <is>
          <t>SZK202207230002</t>
        </is>
      </c>
      <c r="K33" s="692" t="n">
        <v>4.86</v>
      </c>
      <c r="L33" s="675" t="inlineStr">
        <is>
          <t>朗华</t>
        </is>
      </c>
      <c r="M33" s="673" t="n"/>
    </row>
    <row r="34" ht="22.5" customFormat="1" customHeight="1" s="693">
      <c r="A34" s="673" t="n">
        <v>32</v>
      </c>
      <c r="B34" s="444" t="inlineStr">
        <is>
          <t>香港比特</t>
        </is>
      </c>
      <c r="C34" s="674" t="n">
        <v>44764</v>
      </c>
      <c r="D34" s="673" t="inlineStr">
        <is>
          <t>世纪云芯</t>
        </is>
      </c>
      <c r="E34" s="675" t="inlineStr">
        <is>
          <t>捷策创</t>
        </is>
      </c>
      <c r="F34" s="675" t="inlineStr">
        <is>
          <t>BM1398BB</t>
        </is>
      </c>
      <c r="G34" s="673" t="inlineStr">
        <is>
          <t>Y09BM1398240</t>
        </is>
      </c>
      <c r="H34" s="729" t="n">
        <v>499575</v>
      </c>
      <c r="I34" s="673" t="n"/>
      <c r="J34" s="673" t="inlineStr">
        <is>
          <t>SZK202207230003</t>
        </is>
      </c>
      <c r="K34" s="692" t="n">
        <v>4.28</v>
      </c>
      <c r="L34" s="675" t="inlineStr">
        <is>
          <t>讯宇</t>
        </is>
      </c>
      <c r="M34" s="673" t="n"/>
    </row>
    <row r="35" ht="22.5" customFormat="1" customHeight="1" s="693">
      <c r="A35" s="673" t="n">
        <v>33</v>
      </c>
      <c r="B35" s="444" t="inlineStr">
        <is>
          <t>香港比特</t>
        </is>
      </c>
      <c r="C35" s="674" t="n">
        <v>44764</v>
      </c>
      <c r="D35" s="673" t="inlineStr">
        <is>
          <t>智能云芯</t>
        </is>
      </c>
      <c r="E35" s="675" t="inlineStr">
        <is>
          <t>XJ</t>
        </is>
      </c>
      <c r="F35" s="675" t="inlineStr">
        <is>
          <t>BM1684AE</t>
        </is>
      </c>
      <c r="G35" s="673" t="inlineStr">
        <is>
          <t>Y09BM1684440</t>
        </is>
      </c>
      <c r="H35" s="729" t="n">
        <v>2229</v>
      </c>
      <c r="I35" s="673" t="n"/>
      <c r="J35" s="673" t="inlineStr">
        <is>
          <t>ICK202207250001</t>
        </is>
      </c>
      <c r="K35" s="692" t="n">
        <v>58.86</v>
      </c>
      <c r="L35" s="675" t="inlineStr">
        <is>
          <t>朗华</t>
        </is>
      </c>
      <c r="M35" s="673" t="n"/>
    </row>
    <row r="36" ht="22.5" customFormat="1" customHeight="1" s="693">
      <c r="A36" s="673" t="n">
        <v>34</v>
      </c>
      <c r="B36" s="444" t="inlineStr">
        <is>
          <t>香港比特</t>
        </is>
      </c>
      <c r="C36" s="674" t="n">
        <v>44767</v>
      </c>
      <c r="D36" s="673" t="inlineStr">
        <is>
          <t>世纪云芯</t>
        </is>
      </c>
      <c r="E36" s="675" t="inlineStr">
        <is>
          <t>捷策创</t>
        </is>
      </c>
      <c r="F36" s="675" t="inlineStr">
        <is>
          <t>BM1398BB</t>
        </is>
      </c>
      <c r="G36" s="673" t="inlineStr">
        <is>
          <t>Y09BM1398240</t>
        </is>
      </c>
      <c r="H36" s="729" t="n">
        <v>788496</v>
      </c>
      <c r="I36" s="673" t="n"/>
      <c r="J36" s="673" t="inlineStr">
        <is>
          <t>SZK202207260003</t>
        </is>
      </c>
      <c r="K36" s="692" t="n">
        <v>4.28</v>
      </c>
      <c r="L36" s="675" t="n"/>
      <c r="M36" s="673" t="n"/>
    </row>
    <row r="37" ht="22.5" customFormat="1" customHeight="1" s="693">
      <c r="A37" s="673" t="n">
        <v>35</v>
      </c>
      <c r="B37" s="444" t="inlineStr">
        <is>
          <t>香港比特</t>
        </is>
      </c>
      <c r="C37" s="674" t="n">
        <v>44767</v>
      </c>
      <c r="D37" s="673" t="inlineStr">
        <is>
          <t>世纪云芯</t>
        </is>
      </c>
      <c r="E37" s="675" t="inlineStr">
        <is>
          <t>XJ</t>
        </is>
      </c>
      <c r="F37" s="675" t="inlineStr">
        <is>
          <t>BM1366AG</t>
        </is>
      </c>
      <c r="G37" s="673" t="inlineStr">
        <is>
          <t>Y09BM1366820</t>
        </is>
      </c>
      <c r="H37" s="729" t="n">
        <v>629693</v>
      </c>
      <c r="I37" s="673" t="n"/>
      <c r="J37" s="673" t="inlineStr">
        <is>
          <t>SZK202207260004</t>
        </is>
      </c>
      <c r="K37" s="692" t="n">
        <v>4.86</v>
      </c>
      <c r="L37" s="675" t="inlineStr">
        <is>
          <t>世纪通</t>
        </is>
      </c>
      <c r="M37" s="673" t="n"/>
    </row>
    <row r="38" ht="22.5" customFormat="1" customHeight="1" s="693">
      <c r="A38" s="673" t="n">
        <v>36</v>
      </c>
      <c r="B38" s="444" t="inlineStr">
        <is>
          <t>香港比特</t>
        </is>
      </c>
      <c r="C38" s="674" t="n">
        <v>44767</v>
      </c>
      <c r="D38" s="673" t="inlineStr">
        <is>
          <t>世纪云芯</t>
        </is>
      </c>
      <c r="E38" s="675" t="inlineStr">
        <is>
          <t>XJ</t>
        </is>
      </c>
      <c r="F38" s="675" t="inlineStr">
        <is>
          <t>BM1366AL</t>
        </is>
      </c>
      <c r="G38" s="673" t="inlineStr">
        <is>
          <t>Y09BM1366D10</t>
        </is>
      </c>
      <c r="H38" s="729" t="n">
        <v>217395</v>
      </c>
      <c r="I38" s="673" t="n"/>
      <c r="J38" s="673" t="inlineStr">
        <is>
          <t>SZK202207260004</t>
        </is>
      </c>
      <c r="K38" s="692" t="n">
        <v>4.86</v>
      </c>
      <c r="L38" s="675" t="inlineStr">
        <is>
          <t>世纪通</t>
        </is>
      </c>
      <c r="M38" s="673" t="n"/>
    </row>
    <row r="39" ht="22.5" customFormat="1" customHeight="1" s="693">
      <c r="A39" s="673" t="n">
        <v>37</v>
      </c>
      <c r="B39" s="444" t="inlineStr">
        <is>
          <t>香港比特</t>
        </is>
      </c>
      <c r="C39" s="674" t="n">
        <v>44767</v>
      </c>
      <c r="D39" s="673" t="inlineStr">
        <is>
          <t>世纪云芯</t>
        </is>
      </c>
      <c r="E39" s="675" t="inlineStr">
        <is>
          <t>XJ</t>
        </is>
      </c>
      <c r="F39" s="675" t="inlineStr">
        <is>
          <t>BM1798AA</t>
        </is>
      </c>
      <c r="G39" s="673" t="inlineStr">
        <is>
          <t>Y09BM1798010</t>
        </is>
      </c>
      <c r="H39" s="729" t="n">
        <v>172</v>
      </c>
      <c r="I39" s="673" t="n"/>
      <c r="J39" s="673" t="inlineStr">
        <is>
          <t>SZK202207260004</t>
        </is>
      </c>
      <c r="K39" s="692" t="n">
        <v>261.94</v>
      </c>
      <c r="L39" s="675" t="inlineStr">
        <is>
          <t>世纪通</t>
        </is>
      </c>
      <c r="M39" s="673" t="n"/>
    </row>
    <row r="40" ht="22.5" customFormat="1" customHeight="1" s="693">
      <c r="A40" s="673" t="n">
        <v>38</v>
      </c>
      <c r="B40" s="444" t="inlineStr">
        <is>
          <t>香港比特</t>
        </is>
      </c>
      <c r="C40" s="674" t="n">
        <v>44767</v>
      </c>
      <c r="D40" s="673" t="inlineStr">
        <is>
          <t>世纪云芯</t>
        </is>
      </c>
      <c r="E40" s="675" t="inlineStr">
        <is>
          <t>spilsz</t>
        </is>
      </c>
      <c r="F40" s="675" t="inlineStr">
        <is>
          <t>BM1366AH</t>
        </is>
      </c>
      <c r="G40" s="673" t="inlineStr">
        <is>
          <t>Y09BM1366930</t>
        </is>
      </c>
      <c r="H40" s="729" t="n">
        <v>254</v>
      </c>
      <c r="I40" s="673" t="n"/>
      <c r="J40" s="673" t="inlineStr">
        <is>
          <t>SZK202207260005</t>
        </is>
      </c>
      <c r="K40" s="692" t="n">
        <v>4.86</v>
      </c>
      <c r="L40" s="675" t="inlineStr">
        <is>
          <t>世纪通</t>
        </is>
      </c>
      <c r="M40" s="673" t="n"/>
    </row>
    <row r="41" ht="22.5" customFormat="1" customHeight="1" s="693">
      <c r="A41" s="673" t="n">
        <v>39</v>
      </c>
      <c r="B41" s="444" t="inlineStr">
        <is>
          <t>香港比特</t>
        </is>
      </c>
      <c r="C41" s="674" t="n">
        <v>44769</v>
      </c>
      <c r="D41" s="673" t="inlineStr">
        <is>
          <t>世纪云芯</t>
        </is>
      </c>
      <c r="E41" s="675" t="inlineStr">
        <is>
          <t>ASEKH</t>
        </is>
      </c>
      <c r="F41" s="675" t="inlineStr">
        <is>
          <t>BM1366AB</t>
        </is>
      </c>
      <c r="G41" s="673" t="inlineStr">
        <is>
          <t>Y09BM1366120</t>
        </is>
      </c>
      <c r="H41" s="729" t="n">
        <v>385</v>
      </c>
      <c r="I41" s="673" t="n"/>
      <c r="J41" s="673" t="inlineStr">
        <is>
          <t>SZK202207280047</t>
        </is>
      </c>
      <c r="K41" s="692" t="n">
        <v>4.86</v>
      </c>
      <c r="L41" s="675" t="inlineStr">
        <is>
          <t>讯宇</t>
        </is>
      </c>
      <c r="M41" s="673" t="n"/>
    </row>
    <row r="42" ht="22.5" customFormat="1" customHeight="1" s="693">
      <c r="A42" s="673" t="n">
        <v>40</v>
      </c>
      <c r="B42" s="444" t="inlineStr">
        <is>
          <t>香港比特</t>
        </is>
      </c>
      <c r="C42" s="674" t="n">
        <v>44769</v>
      </c>
      <c r="D42" s="673" t="inlineStr">
        <is>
          <t>世纪云芯</t>
        </is>
      </c>
      <c r="E42" s="675" t="inlineStr">
        <is>
          <t>捷策创</t>
        </is>
      </c>
      <c r="F42" s="675" t="inlineStr">
        <is>
          <t>BM1398BB</t>
        </is>
      </c>
      <c r="G42" s="673" t="inlineStr">
        <is>
          <t>Y09BM1398240</t>
        </is>
      </c>
      <c r="H42" s="729" t="n">
        <v>633582</v>
      </c>
      <c r="I42" s="673" t="n"/>
      <c r="J42" s="673" t="inlineStr">
        <is>
          <t>SZK202207280048</t>
        </is>
      </c>
      <c r="K42" s="692" t="n">
        <v>4.28</v>
      </c>
      <c r="L42" s="675" t="inlineStr">
        <is>
          <t>讯宇</t>
        </is>
      </c>
      <c r="M42" s="673" t="n"/>
    </row>
    <row r="43" ht="22.5" customFormat="1" customHeight="1" s="693">
      <c r="A43" s="673" t="n">
        <v>41</v>
      </c>
      <c r="B43" s="444" t="inlineStr">
        <is>
          <t>香港比特</t>
        </is>
      </c>
      <c r="C43" s="674" t="n">
        <v>44770</v>
      </c>
      <c r="D43" s="673" t="inlineStr">
        <is>
          <t>世纪云芯</t>
        </is>
      </c>
      <c r="E43" s="675" t="inlineStr">
        <is>
          <t>spilsz</t>
        </is>
      </c>
      <c r="F43" s="675" t="inlineStr">
        <is>
          <t>BM1366AL</t>
        </is>
      </c>
      <c r="G43" s="673" t="inlineStr">
        <is>
          <t>Y09BM1366D10</t>
        </is>
      </c>
      <c r="H43" s="729" t="n">
        <v>1860995</v>
      </c>
      <c r="I43" s="673" t="n"/>
      <c r="J43" s="673" t="inlineStr">
        <is>
          <t>SZK202207290018</t>
        </is>
      </c>
      <c r="K43" s="692" t="n">
        <v>4.75</v>
      </c>
      <c r="L43" s="675" t="inlineStr">
        <is>
          <t>朗华</t>
        </is>
      </c>
      <c r="M43" s="673" t="n"/>
    </row>
    <row r="44" ht="22.5" customFormat="1" customHeight="1" s="693">
      <c r="A44" s="673" t="n">
        <v>42</v>
      </c>
      <c r="B44" s="444" t="inlineStr">
        <is>
          <t>香港比特</t>
        </is>
      </c>
      <c r="C44" s="674" t="n">
        <v>44771</v>
      </c>
      <c r="D44" s="673" t="inlineStr">
        <is>
          <t>世纪云芯</t>
        </is>
      </c>
      <c r="E44" s="675" t="inlineStr">
        <is>
          <t>JSCC</t>
        </is>
      </c>
      <c r="F44" s="675" t="inlineStr">
        <is>
          <t>BM1398BB</t>
        </is>
      </c>
      <c r="G44" s="673" t="inlineStr">
        <is>
          <t>Y09BM1398240</t>
        </is>
      </c>
      <c r="H44" s="729" t="n">
        <v>509014</v>
      </c>
      <c r="I44" s="673" t="n"/>
      <c r="J44" s="673" t="inlineStr">
        <is>
          <t>SZK202207310001</t>
        </is>
      </c>
      <c r="K44" s="692" t="n">
        <v>4.28</v>
      </c>
      <c r="L44" s="675" t="inlineStr">
        <is>
          <t>朗华</t>
        </is>
      </c>
      <c r="M44" s="673" t="n"/>
    </row>
    <row r="45" ht="22.5" customFormat="1" customHeight="1" s="693">
      <c r="A45" s="675" t="n">
        <v>43</v>
      </c>
      <c r="B45" s="444" t="inlineStr">
        <is>
          <t>香港比特</t>
        </is>
      </c>
      <c r="C45" s="674" t="n">
        <v>44771</v>
      </c>
      <c r="D45" s="673" t="inlineStr">
        <is>
          <t>世纪云芯</t>
        </is>
      </c>
      <c r="E45" s="675" t="inlineStr">
        <is>
          <t>捷策创</t>
        </is>
      </c>
      <c r="F45" s="675" t="inlineStr">
        <is>
          <t>BM1366AG</t>
        </is>
      </c>
      <c r="G45" s="673" t="inlineStr">
        <is>
          <t>Y09BM1366820</t>
        </is>
      </c>
      <c r="H45" s="729" t="n">
        <v>1720</v>
      </c>
      <c r="I45" s="673" t="n"/>
      <c r="J45" s="673" t="inlineStr">
        <is>
          <t>SZK202208020057</t>
        </is>
      </c>
      <c r="K45" s="692" t="n">
        <v>4.86</v>
      </c>
      <c r="L45" s="675" t="inlineStr">
        <is>
          <t>朗华</t>
        </is>
      </c>
      <c r="M45" s="673" t="n"/>
    </row>
    <row r="46" ht="22.5" customFormat="1" customHeight="1" s="693">
      <c r="A46" s="675" t="n">
        <v>44</v>
      </c>
      <c r="B46" s="444" t="inlineStr">
        <is>
          <t>香港比特</t>
        </is>
      </c>
      <c r="C46" s="674" t="n">
        <v>44771</v>
      </c>
      <c r="D46" s="673" t="inlineStr">
        <is>
          <t>世纪云芯</t>
        </is>
      </c>
      <c r="E46" s="675" t="inlineStr">
        <is>
          <t>捷策创</t>
        </is>
      </c>
      <c r="F46" s="675" t="inlineStr">
        <is>
          <t>BM1366AL</t>
        </is>
      </c>
      <c r="G46" s="673" t="inlineStr">
        <is>
          <t>Y09BM1366D10</t>
        </is>
      </c>
      <c r="H46" s="729" t="n">
        <v>592723</v>
      </c>
      <c r="I46" s="673" t="n"/>
      <c r="J46" s="673" t="inlineStr">
        <is>
          <t>SZK202208020057</t>
        </is>
      </c>
      <c r="K46" s="692" t="n">
        <v>4.86</v>
      </c>
      <c r="L46" s="675" t="inlineStr">
        <is>
          <t>朗华</t>
        </is>
      </c>
      <c r="M46" s="673" t="n"/>
    </row>
    <row r="47" ht="22.5" customFormat="1" customHeight="1" s="693">
      <c r="A47" s="673" t="n">
        <v>45</v>
      </c>
      <c r="B47" s="444" t="inlineStr">
        <is>
          <t>香港比特</t>
        </is>
      </c>
      <c r="C47" s="674" t="n">
        <v>44771</v>
      </c>
      <c r="D47" s="673" t="inlineStr">
        <is>
          <t>世纪云芯</t>
        </is>
      </c>
      <c r="E47" s="675" t="inlineStr">
        <is>
          <t>SPILSZ</t>
        </is>
      </c>
      <c r="F47" s="675" t="inlineStr">
        <is>
          <t>BM1366AL</t>
        </is>
      </c>
      <c r="G47" s="673" t="inlineStr">
        <is>
          <t>Y09BM1366D10</t>
        </is>
      </c>
      <c r="H47" s="729" t="n">
        <v>418355</v>
      </c>
      <c r="I47" s="673" t="n"/>
      <c r="J47" s="673" t="inlineStr">
        <is>
          <t>SZK202207310003</t>
        </is>
      </c>
      <c r="K47" s="692" t="n">
        <v>4.75</v>
      </c>
      <c r="L47" s="675" t="inlineStr">
        <is>
          <t>讯宇</t>
        </is>
      </c>
      <c r="M47" s="673" t="n"/>
    </row>
    <row r="48" ht="22.5" customFormat="1" customHeight="1" s="693">
      <c r="A48" s="673" t="n">
        <v>46</v>
      </c>
      <c r="B48" s="444" t="inlineStr">
        <is>
          <t>香港比特</t>
        </is>
      </c>
      <c r="C48" s="674" t="n">
        <v>44771</v>
      </c>
      <c r="D48" s="673" t="inlineStr">
        <is>
          <t>世纪云芯</t>
        </is>
      </c>
      <c r="E48" s="675" t="inlineStr">
        <is>
          <t>SCK</t>
        </is>
      </c>
      <c r="F48" s="675" t="inlineStr">
        <is>
          <t>BM1798AC</t>
        </is>
      </c>
      <c r="G48" s="673" t="inlineStr">
        <is>
          <t>Y09BM1798130</t>
        </is>
      </c>
      <c r="H48" s="729" t="n">
        <v>4</v>
      </c>
      <c r="I48" s="673" t="n"/>
      <c r="J48" s="673" t="inlineStr">
        <is>
          <t>SZK202208010003</t>
        </is>
      </c>
      <c r="K48" s="692" t="n">
        <v>261.94</v>
      </c>
      <c r="L48" s="675" t="inlineStr">
        <is>
          <t>讯宇</t>
        </is>
      </c>
      <c r="M48" s="673" t="n"/>
    </row>
    <row r="49" ht="22.5" customFormat="1" customHeight="1" s="693">
      <c r="A49" s="673" t="n">
        <v>47</v>
      </c>
      <c r="B49" s="444" t="inlineStr">
        <is>
          <t>香港比特</t>
        </is>
      </c>
      <c r="C49" s="674" t="n">
        <v>44771</v>
      </c>
      <c r="D49" s="673" t="inlineStr">
        <is>
          <t>世纪云芯</t>
        </is>
      </c>
      <c r="E49" s="675" t="inlineStr">
        <is>
          <t>ASEKH</t>
        </is>
      </c>
      <c r="F49" s="675" t="inlineStr">
        <is>
          <t>BM1366AB</t>
        </is>
      </c>
      <c r="G49" s="673" t="inlineStr">
        <is>
          <t>Y09BM1366120</t>
        </is>
      </c>
      <c r="H49" s="729" t="n">
        <v>308</v>
      </c>
      <c r="I49" s="673" t="n"/>
      <c r="J49" s="673" t="inlineStr">
        <is>
          <t>SZK202207310004</t>
        </is>
      </c>
      <c r="K49" s="692" t="n">
        <v>4.86</v>
      </c>
      <c r="L49" s="675" t="inlineStr">
        <is>
          <t>讯宇</t>
        </is>
      </c>
      <c r="M49" s="673" t="n"/>
    </row>
    <row r="50" ht="22.5" customFormat="1" customHeight="1" s="693">
      <c r="A50" s="673" t="n">
        <v>48</v>
      </c>
      <c r="B50" s="444" t="inlineStr">
        <is>
          <t>香港比特</t>
        </is>
      </c>
      <c r="C50" s="674" t="n">
        <v>44771</v>
      </c>
      <c r="D50" s="673" t="inlineStr">
        <is>
          <t>世纪云芯</t>
        </is>
      </c>
      <c r="E50" s="675" t="inlineStr">
        <is>
          <t>ASEKH</t>
        </is>
      </c>
      <c r="F50" s="675" t="inlineStr">
        <is>
          <t>BM1366AG</t>
        </is>
      </c>
      <c r="G50" s="673" t="inlineStr">
        <is>
          <t>Y09BM1366820</t>
        </is>
      </c>
      <c r="H50" s="729" t="n">
        <v>231</v>
      </c>
      <c r="I50" s="673" t="n"/>
      <c r="J50" s="673" t="inlineStr">
        <is>
          <t>SZK202207310005</t>
        </is>
      </c>
      <c r="K50" s="692" t="n">
        <v>4.86</v>
      </c>
      <c r="L50" s="675" t="inlineStr">
        <is>
          <t>讯宇</t>
        </is>
      </c>
      <c r="M50" s="673" t="n"/>
    </row>
  </sheetData>
  <autoFilter ref="A1:L50"/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zoomScale="70" zoomScaleNormal="70" workbookViewId="0">
      <pane ySplit="1" topLeftCell="A36" activePane="bottomLeft" state="frozen"/>
      <selection activeCell="A1" sqref="A1"/>
      <selection pane="bottomLeft" activeCell="K261" sqref="K261"/>
    </sheetView>
  </sheetViews>
  <sheetFormatPr baseColWidth="8" defaultColWidth="8.66666666666667" defaultRowHeight="24" customHeight="1"/>
  <cols>
    <col width="18.3333333333333" customWidth="1" style="1" min="1" max="1"/>
    <col width="11.6666666666667" customWidth="1" style="733" min="2" max="2"/>
    <col width="14.3333333333333" customWidth="1" style="733" min="3" max="3"/>
    <col width="11.6666666666667" customWidth="1" style="673" min="4" max="4"/>
    <col width="12.5833333333333" customWidth="1" style="734" min="5" max="5"/>
    <col width="15" customWidth="1" style="734" min="6" max="6"/>
    <col width="18.25" customWidth="1" style="673" min="7" max="7"/>
    <col width="12.5833333333333" customWidth="1" style="734" min="8" max="8"/>
    <col width="22" customWidth="1" style="735" min="9" max="9"/>
    <col width="12.9166666666667" customWidth="1" style="736" min="10" max="10"/>
    <col width="20.25" customWidth="1" style="734" min="11" max="11"/>
    <col width="12.9166666666667" customWidth="1" style="736" min="12" max="12"/>
    <col width="22" customWidth="1" style="693" min="13" max="13"/>
    <col width="15.25" customWidth="1" style="693" min="14" max="14"/>
    <col width="8.66666666666667" customWidth="1" style="693" min="15" max="16384"/>
  </cols>
  <sheetData>
    <row r="1" ht="20" customHeight="1" s="184">
      <c r="A1" s="8" t="inlineStr">
        <is>
          <t>序号</t>
        </is>
      </c>
      <c r="B1" s="9" t="inlineStr">
        <is>
          <t>抬头</t>
        </is>
      </c>
      <c r="C1" s="9" t="inlineStr">
        <is>
          <t>出货日期</t>
        </is>
      </c>
      <c r="D1" s="9" t="inlineStr">
        <is>
          <t>主体</t>
        </is>
      </c>
      <c r="E1" s="726" t="inlineStr">
        <is>
          <t>测试厂</t>
        </is>
      </c>
      <c r="F1" s="726" t="inlineStr">
        <is>
          <t>型号</t>
        </is>
      </c>
      <c r="G1" s="726" t="inlineStr">
        <is>
          <t>物料编码</t>
        </is>
      </c>
      <c r="H1" s="737" t="inlineStr">
        <is>
          <t>数量</t>
        </is>
      </c>
      <c r="I1" s="726" t="inlineStr">
        <is>
          <t>新PO</t>
        </is>
      </c>
      <c r="J1" s="726" t="inlineStr">
        <is>
          <t>发料外协</t>
        </is>
      </c>
      <c r="K1" s="441" t="n">
        <v>10000900</v>
      </c>
      <c r="L1" s="726" t="inlineStr">
        <is>
          <t>单价</t>
        </is>
      </c>
      <c r="M1" s="726" t="n"/>
    </row>
    <row r="2" s="184">
      <c r="A2" s="1" t="n">
        <v>1</v>
      </c>
      <c r="B2" s="733" t="inlineStr">
        <is>
          <t>chanhua</t>
        </is>
      </c>
      <c r="C2" s="733" t="n">
        <v>45212</v>
      </c>
      <c r="D2" s="673" t="inlineStr">
        <is>
          <t>香港比特</t>
        </is>
      </c>
      <c r="E2" s="734" t="inlineStr">
        <is>
          <t>WX-HN</t>
        </is>
      </c>
      <c r="F2" s="734" t="inlineStr">
        <is>
          <t>BM1366AL</t>
        </is>
      </c>
      <c r="G2" s="673">
        <f>VLOOKUP(F2,编码对账表!C:D,2,0)</f>
        <v/>
      </c>
      <c r="H2" s="396" t="n">
        <v>159277</v>
      </c>
      <c r="I2" s="735" t="inlineStr">
        <is>
          <t>HKK202310160002</t>
        </is>
      </c>
      <c r="J2" s="738" t="n"/>
      <c r="K2" s="734" t="inlineStr">
        <is>
          <t>CHANHUA PTE. LTD.</t>
        </is>
      </c>
      <c r="L2" s="739" t="n">
        <v>4.07007696209333</v>
      </c>
    </row>
    <row r="3" s="184">
      <c r="A3" s="1" t="n">
        <v>2</v>
      </c>
      <c r="B3" s="733" t="inlineStr">
        <is>
          <t>福建湛华</t>
        </is>
      </c>
      <c r="C3" s="733" t="n">
        <v>45212</v>
      </c>
      <c r="D3" s="673" t="inlineStr">
        <is>
          <t>香港比特</t>
        </is>
      </c>
      <c r="E3" s="734" t="inlineStr">
        <is>
          <t>世纪</t>
        </is>
      </c>
      <c r="F3" s="734" t="inlineStr">
        <is>
          <t>BM1368PA</t>
        </is>
      </c>
      <c r="G3" s="673">
        <f>VLOOKUP(F3,编码对账表!C:D,2,0)</f>
        <v/>
      </c>
      <c r="H3" s="396" t="n">
        <v>250</v>
      </c>
      <c r="I3" s="735" t="inlineStr">
        <is>
          <t>HKK202310170001</t>
        </is>
      </c>
      <c r="J3" s="738" t="n"/>
      <c r="L3" s="739" t="n">
        <v>6.97512</v>
      </c>
    </row>
    <row r="4" s="184">
      <c r="A4" s="1" t="n">
        <v>3</v>
      </c>
      <c r="B4" s="733" t="inlineStr">
        <is>
          <t>chanhua</t>
        </is>
      </c>
      <c r="C4" s="733" t="n">
        <v>45233</v>
      </c>
      <c r="D4" s="673" t="inlineStr">
        <is>
          <t>香港比特</t>
        </is>
      </c>
      <c r="E4" s="734" t="inlineStr">
        <is>
          <t>WX-HN</t>
        </is>
      </c>
      <c r="F4" s="734" t="inlineStr">
        <is>
          <t>BM1366AL</t>
        </is>
      </c>
      <c r="G4" s="673">
        <f>VLOOKUP(F4,编码对账表!C:D,2,0)</f>
        <v/>
      </c>
      <c r="H4" s="396" t="n">
        <v>94986</v>
      </c>
      <c r="I4" s="735" t="inlineStr">
        <is>
          <t>HKK202311090001</t>
        </is>
      </c>
      <c r="J4" s="738" t="inlineStr">
        <is>
          <t>泰国群光</t>
        </is>
      </c>
      <c r="K4" s="734" t="inlineStr">
        <is>
          <t>CHANHUA PTE. LTD.</t>
        </is>
      </c>
      <c r="L4" s="739" t="n">
        <v>4.07</v>
      </c>
    </row>
    <row r="5" s="184">
      <c r="A5" s="1" t="n">
        <v>4</v>
      </c>
      <c r="B5" s="733" t="inlineStr">
        <is>
          <t>chanhua</t>
        </is>
      </c>
      <c r="C5" s="733" t="n">
        <v>45238</v>
      </c>
      <c r="D5" s="673" t="inlineStr">
        <is>
          <t>香港比特</t>
        </is>
      </c>
      <c r="E5" s="734" t="inlineStr">
        <is>
          <t>XJ</t>
        </is>
      </c>
      <c r="F5" s="734" t="inlineStr">
        <is>
          <t>BM1366BP</t>
        </is>
      </c>
      <c r="G5" s="673">
        <f>VLOOKUP(F5,编码对账表!C:D,2,0)</f>
        <v/>
      </c>
      <c r="H5" s="396" t="n">
        <v>812102</v>
      </c>
      <c r="I5" s="735" t="inlineStr">
        <is>
          <t>HKK202311160002</t>
        </is>
      </c>
      <c r="J5" s="738" t="inlineStr">
        <is>
          <t>印尼奥海</t>
        </is>
      </c>
      <c r="K5" s="734" t="inlineStr">
        <is>
          <t>CHANHUA PTE. LTD.</t>
        </is>
      </c>
      <c r="L5" s="739" t="n">
        <v>4.07</v>
      </c>
    </row>
    <row r="6" s="184">
      <c r="A6" s="1" t="n">
        <v>5</v>
      </c>
      <c r="B6" s="733" t="inlineStr">
        <is>
          <t>chanhua</t>
        </is>
      </c>
      <c r="C6" s="733" t="n">
        <v>45244</v>
      </c>
      <c r="D6" s="673" t="inlineStr">
        <is>
          <t>香港比特</t>
        </is>
      </c>
      <c r="E6" s="734" t="inlineStr">
        <is>
          <t>XJ</t>
        </is>
      </c>
      <c r="F6" s="734" t="inlineStr">
        <is>
          <t>BM1366BP</t>
        </is>
      </c>
      <c r="G6" s="673">
        <f>VLOOKUP(F6,编码对账表!C:D,2,0)</f>
        <v/>
      </c>
      <c r="H6" s="396" t="n">
        <v>109666</v>
      </c>
      <c r="I6" s="735" t="inlineStr">
        <is>
          <t>HKK202311230006</t>
        </is>
      </c>
      <c r="J6" s="738" t="inlineStr">
        <is>
          <t>泰国群光</t>
        </is>
      </c>
      <c r="K6" s="734" t="inlineStr">
        <is>
          <t>CHANHUA PTE. LTD.</t>
        </is>
      </c>
      <c r="L6" s="739" t="n">
        <v>4.07</v>
      </c>
    </row>
    <row r="7" s="184">
      <c r="A7" s="1" t="n">
        <v>6</v>
      </c>
      <c r="B7" s="733" t="inlineStr">
        <is>
          <t>chanhua</t>
        </is>
      </c>
      <c r="C7" s="733" t="n">
        <v>45243</v>
      </c>
      <c r="D7" s="673" t="inlineStr">
        <is>
          <t>香港比特</t>
        </is>
      </c>
      <c r="E7" s="734" t="inlineStr">
        <is>
          <t>XJ</t>
        </is>
      </c>
      <c r="F7" s="734" t="inlineStr">
        <is>
          <t>BM1366BP</t>
        </is>
      </c>
      <c r="G7" s="673">
        <f>VLOOKUP(F7,编码对账表!C:D,2,0)</f>
        <v/>
      </c>
      <c r="H7" s="396" t="n">
        <v>1021095</v>
      </c>
      <c r="I7" s="735" t="inlineStr">
        <is>
          <t>HKK202311230007</t>
        </is>
      </c>
      <c r="J7" s="738" t="inlineStr">
        <is>
          <t>印尼奥海</t>
        </is>
      </c>
      <c r="K7" s="734" t="inlineStr">
        <is>
          <t>CHANHUA PTE. LTD.</t>
        </is>
      </c>
      <c r="L7" s="739" t="n">
        <v>4.07</v>
      </c>
    </row>
    <row r="8" s="184">
      <c r="A8" s="1" t="n">
        <v>7</v>
      </c>
      <c r="B8" s="733" t="inlineStr">
        <is>
          <t>chanhua</t>
        </is>
      </c>
      <c r="C8" s="733" t="n">
        <v>45251</v>
      </c>
      <c r="D8" s="673" t="inlineStr">
        <is>
          <t>香港比特</t>
        </is>
      </c>
      <c r="E8" s="734" t="inlineStr">
        <is>
          <t>XJ</t>
        </is>
      </c>
      <c r="F8" s="734" t="inlineStr">
        <is>
          <t>BM1366BP</t>
        </is>
      </c>
      <c r="G8" s="673">
        <f>VLOOKUP(F8,编码对账表!C:D,2,0)</f>
        <v/>
      </c>
      <c r="H8" s="396" t="n">
        <v>429228</v>
      </c>
      <c r="I8" s="735" t="inlineStr">
        <is>
          <t>HKK202311230008</t>
        </is>
      </c>
      <c r="J8" s="738" t="inlineStr">
        <is>
          <t>泰国群光</t>
        </is>
      </c>
      <c r="K8" s="734" t="inlineStr">
        <is>
          <t>CHANHUA PTE. LTD.</t>
        </is>
      </c>
      <c r="L8" s="739" t="n">
        <v>4.07</v>
      </c>
    </row>
    <row r="9" s="184">
      <c r="A9" s="1" t="n">
        <v>8</v>
      </c>
      <c r="B9" s="733" t="inlineStr">
        <is>
          <t>chanhua</t>
        </is>
      </c>
      <c r="C9" s="733" t="n">
        <v>45252</v>
      </c>
      <c r="D9" s="673" t="inlineStr">
        <is>
          <t>香港比特</t>
        </is>
      </c>
      <c r="E9" s="734" t="inlineStr">
        <is>
          <t>XJ</t>
        </is>
      </c>
      <c r="F9" s="734" t="inlineStr">
        <is>
          <t>BM1366BP</t>
        </is>
      </c>
      <c r="G9" s="673">
        <f>VLOOKUP(F9,编码对账表!C:D,2,0)</f>
        <v/>
      </c>
      <c r="H9" s="396" t="n">
        <v>181661</v>
      </c>
      <c r="I9" s="735" t="inlineStr">
        <is>
          <t>HKK202311230009</t>
        </is>
      </c>
      <c r="J9" s="738" t="inlineStr">
        <is>
          <t>泰国群光</t>
        </is>
      </c>
      <c r="K9" s="734" t="inlineStr">
        <is>
          <t>CHANHUA PTE. LTD.</t>
        </is>
      </c>
      <c r="L9" s="739" t="n">
        <v>4.07</v>
      </c>
    </row>
    <row r="10" s="184">
      <c r="A10" s="1" t="n">
        <v>9</v>
      </c>
      <c r="B10" s="733" t="inlineStr">
        <is>
          <t>chanhua</t>
        </is>
      </c>
      <c r="C10" s="733" t="n">
        <v>45251</v>
      </c>
      <c r="D10" s="673" t="inlineStr">
        <is>
          <t>香港比特</t>
        </is>
      </c>
      <c r="E10" s="734" t="inlineStr">
        <is>
          <t>XJ</t>
        </is>
      </c>
      <c r="F10" s="734" t="inlineStr">
        <is>
          <t>BM1366BP</t>
        </is>
      </c>
      <c r="G10" s="673">
        <f>VLOOKUP(F10,编码对账表!C:D,2,0)</f>
        <v/>
      </c>
      <c r="H10" s="396" t="n">
        <v>51657</v>
      </c>
      <c r="I10" s="735" t="inlineStr">
        <is>
          <t>HKK202311230010</t>
        </is>
      </c>
      <c r="J10" s="738" t="inlineStr">
        <is>
          <t>印尼奥海</t>
        </is>
      </c>
      <c r="K10" s="734" t="inlineStr">
        <is>
          <t>CHANHUA PTE. LTD.</t>
        </is>
      </c>
      <c r="L10" s="739" t="n">
        <v>4.07</v>
      </c>
    </row>
    <row r="11" s="184">
      <c r="A11" s="1" t="n">
        <v>10</v>
      </c>
      <c r="B11" s="733" t="inlineStr">
        <is>
          <t>chanhua</t>
        </is>
      </c>
      <c r="C11" s="733" t="n">
        <v>45254</v>
      </c>
      <c r="D11" s="673" t="inlineStr">
        <is>
          <t>香港比特</t>
        </is>
      </c>
      <c r="E11" s="734" t="inlineStr">
        <is>
          <t>XJ</t>
        </is>
      </c>
      <c r="F11" s="734" t="inlineStr">
        <is>
          <t>BM1366BP</t>
        </is>
      </c>
      <c r="G11" s="673">
        <f>VLOOKUP(F11,编码对账表!C:D,2,0)</f>
        <v/>
      </c>
      <c r="H11" s="396" t="n">
        <v>1007680</v>
      </c>
      <c r="I11" s="735" t="inlineStr">
        <is>
          <t>HKK202312010001</t>
        </is>
      </c>
      <c r="J11" s="738" t="inlineStr">
        <is>
          <t>印尼奥海</t>
        </is>
      </c>
      <c r="K11" s="734" t="inlineStr">
        <is>
          <t>CHANHUA PTE. LTD.</t>
        </is>
      </c>
      <c r="L11" s="739" t="n">
        <v>4.07</v>
      </c>
    </row>
    <row r="12" s="184">
      <c r="A12" s="1" t="n">
        <v>11</v>
      </c>
      <c r="B12" s="733" t="inlineStr">
        <is>
          <t>chanhua</t>
        </is>
      </c>
      <c r="C12" s="733" t="n">
        <v>45254</v>
      </c>
      <c r="D12" s="673" t="inlineStr">
        <is>
          <t>香港比特</t>
        </is>
      </c>
      <c r="E12" s="734" t="inlineStr">
        <is>
          <t>NJ-VT</t>
        </is>
      </c>
      <c r="F12" s="734" t="inlineStr">
        <is>
          <t>BM1366BP</t>
        </is>
      </c>
      <c r="G12" s="673">
        <f>VLOOKUP(F12,编码对账表!C:D,2,0)</f>
        <v/>
      </c>
      <c r="H12" s="396" t="n">
        <v>93348</v>
      </c>
      <c r="I12" s="735" t="inlineStr">
        <is>
          <t>HKK202312010003</t>
        </is>
      </c>
      <c r="J12" s="738" t="inlineStr">
        <is>
          <t>印尼奥海</t>
        </is>
      </c>
      <c r="K12" s="734" t="inlineStr">
        <is>
          <t>CHANHUA PTE. LTD.</t>
        </is>
      </c>
      <c r="L12" s="739" t="n">
        <v>4.07</v>
      </c>
    </row>
    <row r="13" s="184">
      <c r="A13" s="1" t="n">
        <v>12</v>
      </c>
      <c r="B13" s="733" t="inlineStr">
        <is>
          <t>chanhua</t>
        </is>
      </c>
      <c r="C13" s="733" t="n">
        <v>45254</v>
      </c>
      <c r="D13" s="673" t="inlineStr">
        <is>
          <t>香港比特</t>
        </is>
      </c>
      <c r="E13" s="734" t="inlineStr">
        <is>
          <t>XJ</t>
        </is>
      </c>
      <c r="F13" s="734" t="inlineStr">
        <is>
          <t>BM1366AL</t>
        </is>
      </c>
      <c r="G13" s="673">
        <f>VLOOKUP(F13,编码对账表!C:D,2,0)</f>
        <v/>
      </c>
      <c r="H13" s="396" t="n">
        <v>178297</v>
      </c>
      <c r="I13" s="735" t="inlineStr">
        <is>
          <t>HKK202312010002</t>
        </is>
      </c>
      <c r="J13" s="738" t="inlineStr">
        <is>
          <t>印尼奥海</t>
        </is>
      </c>
      <c r="K13" s="734" t="inlineStr">
        <is>
          <t>CHANHUA PTE. LTD.</t>
        </is>
      </c>
      <c r="L13" s="739" t="n">
        <v>4.07</v>
      </c>
    </row>
    <row r="14" s="184">
      <c r="A14" s="1" t="n">
        <v>13</v>
      </c>
      <c r="B14" s="733" t="inlineStr">
        <is>
          <t>chanhua</t>
        </is>
      </c>
      <c r="C14" s="733" t="n">
        <v>45254</v>
      </c>
      <c r="D14" s="673" t="inlineStr">
        <is>
          <t>香港比特</t>
        </is>
      </c>
      <c r="E14" s="734" t="inlineStr">
        <is>
          <t>WX-HN</t>
        </is>
      </c>
      <c r="F14" s="734" t="inlineStr">
        <is>
          <t>BM1366AL</t>
        </is>
      </c>
      <c r="G14" s="673">
        <f>VLOOKUP(F14,编码对账表!C:D,2,0)</f>
        <v/>
      </c>
      <c r="H14" s="396" t="n">
        <v>544692</v>
      </c>
      <c r="I14" s="735" t="inlineStr">
        <is>
          <t>HKK202312010004</t>
        </is>
      </c>
      <c r="J14" s="738" t="inlineStr">
        <is>
          <t>印尼奥海</t>
        </is>
      </c>
      <c r="K14" s="734" t="inlineStr">
        <is>
          <t>CHANHUA PTE. LTD.</t>
        </is>
      </c>
      <c r="L14" s="739" t="n">
        <v>4.07</v>
      </c>
    </row>
    <row r="15" s="184">
      <c r="A15" s="1" t="n">
        <v>14</v>
      </c>
      <c r="B15" s="733" t="inlineStr">
        <is>
          <t>chanhua</t>
        </is>
      </c>
      <c r="C15" s="733" t="n">
        <v>45257</v>
      </c>
      <c r="D15" s="673" t="inlineStr">
        <is>
          <t>香港比特</t>
        </is>
      </c>
      <c r="E15" s="734" t="inlineStr">
        <is>
          <t>NJ-VT</t>
        </is>
      </c>
      <c r="F15" s="734" t="inlineStr">
        <is>
          <t>BM1366AL</t>
        </is>
      </c>
      <c r="G15" s="673">
        <f>VLOOKUP(F15,编码对账表!C:D,2,0)</f>
        <v/>
      </c>
      <c r="H15" s="396" t="n">
        <v>96852</v>
      </c>
      <c r="I15" s="735" t="inlineStr">
        <is>
          <t>HKK202312010005</t>
        </is>
      </c>
      <c r="J15" s="738" t="inlineStr">
        <is>
          <t>印尼奥海</t>
        </is>
      </c>
      <c r="K15" s="734" t="inlineStr">
        <is>
          <t>CHANHUA PTE. LTD.</t>
        </is>
      </c>
      <c r="L15" s="739" t="n">
        <v>4.07</v>
      </c>
    </row>
    <row r="16" s="184">
      <c r="A16" s="1" t="n">
        <v>15</v>
      </c>
      <c r="B16" s="733" t="inlineStr">
        <is>
          <t>chanhua</t>
        </is>
      </c>
      <c r="C16" s="733" t="n">
        <v>45257</v>
      </c>
      <c r="D16" s="673" t="inlineStr">
        <is>
          <t>香港比特</t>
        </is>
      </c>
      <c r="E16" s="734" t="inlineStr">
        <is>
          <t>XJ</t>
        </is>
      </c>
      <c r="F16" s="734" t="inlineStr">
        <is>
          <t>BM1366BP</t>
        </is>
      </c>
      <c r="G16" s="673">
        <f>VLOOKUP(F16,编码对账表!C:D,2,0)</f>
        <v/>
      </c>
      <c r="H16" s="396" t="n">
        <v>1847707</v>
      </c>
      <c r="I16" s="735" t="inlineStr">
        <is>
          <t>HKK202312010006</t>
        </is>
      </c>
      <c r="J16" s="738" t="inlineStr">
        <is>
          <t>印尼奥海</t>
        </is>
      </c>
      <c r="K16" s="734" t="inlineStr">
        <is>
          <t>CHANHUA PTE. LTD.</t>
        </is>
      </c>
      <c r="L16" s="739" t="n">
        <v>4.07</v>
      </c>
    </row>
    <row r="17" s="184">
      <c r="A17" s="1" t="n">
        <v>16</v>
      </c>
      <c r="B17" s="733" t="inlineStr">
        <is>
          <t>chanhua</t>
        </is>
      </c>
      <c r="C17" s="733" t="n">
        <v>45259</v>
      </c>
      <c r="D17" s="673" t="inlineStr">
        <is>
          <t>香港比特</t>
        </is>
      </c>
      <c r="E17" s="734" t="inlineStr">
        <is>
          <t>XJ</t>
        </is>
      </c>
      <c r="F17" s="734" t="inlineStr">
        <is>
          <t>BM1366BP</t>
        </is>
      </c>
      <c r="G17" s="673">
        <f>VLOOKUP(F17,编码对账表!C:D,2,0)</f>
        <v/>
      </c>
      <c r="H17" s="396" t="n">
        <v>831118</v>
      </c>
      <c r="I17" s="735" t="inlineStr">
        <is>
          <t>HKK202312010007</t>
        </is>
      </c>
      <c r="J17" s="738" t="inlineStr">
        <is>
          <t>印尼奥海</t>
        </is>
      </c>
      <c r="K17" s="734" t="inlineStr">
        <is>
          <t>CHANHUA PTE. LTD.</t>
        </is>
      </c>
      <c r="L17" s="739" t="n">
        <v>4.07</v>
      </c>
    </row>
    <row r="18" s="184">
      <c r="A18" s="1" t="n">
        <v>17</v>
      </c>
      <c r="B18" s="733" t="inlineStr">
        <is>
          <t>chanhua</t>
        </is>
      </c>
      <c r="C18" s="733" t="n">
        <v>45257</v>
      </c>
      <c r="D18" s="673" t="inlineStr">
        <is>
          <t>香港比特</t>
        </is>
      </c>
      <c r="E18" s="734" t="inlineStr">
        <is>
          <t>NJ-VT</t>
        </is>
      </c>
      <c r="F18" s="734" t="inlineStr">
        <is>
          <t>BM1366BP</t>
        </is>
      </c>
      <c r="G18" s="673">
        <f>VLOOKUP(F18,编码对账表!C:D,2,0)</f>
        <v/>
      </c>
      <c r="H18" s="396" t="n">
        <v>479741</v>
      </c>
      <c r="I18" s="735" t="inlineStr">
        <is>
          <t>HKK202312010008</t>
        </is>
      </c>
      <c r="J18" s="736" t="inlineStr">
        <is>
          <t>泰国群光</t>
        </is>
      </c>
      <c r="K18" s="734" t="inlineStr">
        <is>
          <t>CHANHUA PTE. LTD.</t>
        </is>
      </c>
      <c r="L18" s="739" t="n">
        <v>4.07</v>
      </c>
    </row>
    <row r="19" s="184">
      <c r="A19" s="1" t="n">
        <v>18</v>
      </c>
      <c r="B19" s="733" t="inlineStr">
        <is>
          <t>chanhua</t>
        </is>
      </c>
      <c r="C19" s="733" t="n">
        <v>45259</v>
      </c>
      <c r="D19" s="673" t="inlineStr">
        <is>
          <t>香港比特</t>
        </is>
      </c>
      <c r="E19" s="734" t="inlineStr">
        <is>
          <t>JSCC</t>
        </is>
      </c>
      <c r="F19" s="734" t="inlineStr">
        <is>
          <t>BM1368PB</t>
        </is>
      </c>
      <c r="G19" s="673">
        <f>VLOOKUP(F19,编码对账表!C:D,2,0)</f>
        <v/>
      </c>
      <c r="H19" s="396" t="n">
        <v>126110</v>
      </c>
      <c r="I19" s="735" t="inlineStr">
        <is>
          <t>HKK202312010009</t>
        </is>
      </c>
      <c r="J19" s="736" t="inlineStr">
        <is>
          <t>泰国群光</t>
        </is>
      </c>
      <c r="K19" s="734" t="inlineStr">
        <is>
          <t>CHANHUA PTE. LTD.</t>
        </is>
      </c>
      <c r="L19" s="739" t="n">
        <v>4.42</v>
      </c>
    </row>
    <row r="20" s="184">
      <c r="A20" s="1" t="n">
        <v>19</v>
      </c>
      <c r="B20" s="733" t="inlineStr">
        <is>
          <t>chanhua</t>
        </is>
      </c>
      <c r="C20" s="733" t="n">
        <v>45265</v>
      </c>
      <c r="D20" s="673" t="inlineStr">
        <is>
          <t>香港比特</t>
        </is>
      </c>
      <c r="E20" s="734" t="inlineStr">
        <is>
          <t>XJ</t>
        </is>
      </c>
      <c r="F20" s="734" t="inlineStr">
        <is>
          <t>BM1366AL</t>
        </is>
      </c>
      <c r="G20" s="673">
        <f>VLOOKUP(F20,编码对账表!C:D,2,0)</f>
        <v/>
      </c>
      <c r="H20" s="396" t="n">
        <v>212336</v>
      </c>
      <c r="I20" s="735" t="inlineStr">
        <is>
          <t>HKK202312070004</t>
        </is>
      </c>
      <c r="J20" s="736" t="inlineStr">
        <is>
          <t>泰国益权</t>
        </is>
      </c>
      <c r="K20" s="734" t="inlineStr">
        <is>
          <t>CHANHUA PTE. LTD.</t>
        </is>
      </c>
      <c r="L20" s="739" t="n">
        <v>4.07</v>
      </c>
    </row>
    <row r="21" s="184">
      <c r="A21" s="1" t="n">
        <v>20</v>
      </c>
      <c r="B21" s="733" t="inlineStr">
        <is>
          <t>chanhua</t>
        </is>
      </c>
      <c r="C21" s="733" t="n">
        <v>45265</v>
      </c>
      <c r="D21" s="673" t="inlineStr">
        <is>
          <t>香港比特</t>
        </is>
      </c>
      <c r="E21" s="734" t="inlineStr">
        <is>
          <t>WXHN</t>
        </is>
      </c>
      <c r="F21" s="734" t="inlineStr">
        <is>
          <t>BM1366AL</t>
        </is>
      </c>
      <c r="G21" s="673">
        <f>VLOOKUP(F21,编码对账表!C:D,2,0)</f>
        <v/>
      </c>
      <c r="H21" s="396" t="n">
        <v>126420</v>
      </c>
      <c r="I21" s="735" t="inlineStr">
        <is>
          <t>HKK202312070005</t>
        </is>
      </c>
      <c r="J21" s="736" t="inlineStr">
        <is>
          <t>泰国益权</t>
        </is>
      </c>
      <c r="K21" s="734" t="inlineStr">
        <is>
          <t>CHANHUA PTE. LTD.</t>
        </is>
      </c>
      <c r="L21" s="739" t="n">
        <v>4.07</v>
      </c>
    </row>
    <row r="22" s="184">
      <c r="A22" s="1" t="n">
        <v>21</v>
      </c>
      <c r="B22" s="733" t="inlineStr">
        <is>
          <t>chanhua</t>
        </is>
      </c>
      <c r="C22" s="733" t="n">
        <v>45265</v>
      </c>
      <c r="D22" s="673" t="inlineStr">
        <is>
          <t>香港比特</t>
        </is>
      </c>
      <c r="E22" s="734" t="inlineStr">
        <is>
          <t>NJ-VT</t>
        </is>
      </c>
      <c r="F22" s="734" t="inlineStr">
        <is>
          <t>BM1366AL</t>
        </is>
      </c>
      <c r="G22" s="673">
        <f>VLOOKUP(F22,编码对账表!C:D,2,0)</f>
        <v/>
      </c>
      <c r="H22" s="396" t="n">
        <v>164775</v>
      </c>
      <c r="I22" s="735" t="inlineStr">
        <is>
          <t>HKK202312070008</t>
        </is>
      </c>
      <c r="J22" s="736" t="inlineStr">
        <is>
          <t>泰国益权</t>
        </is>
      </c>
      <c r="K22" s="734" t="inlineStr">
        <is>
          <t>CHANHUA PTE. LTD.</t>
        </is>
      </c>
      <c r="L22" s="739" t="n">
        <v>4.07</v>
      </c>
    </row>
    <row r="23" s="184">
      <c r="A23" s="1" t="n">
        <v>22</v>
      </c>
      <c r="B23" s="733" t="inlineStr">
        <is>
          <t>chanhua</t>
        </is>
      </c>
      <c r="C23" s="733" t="n">
        <v>45261</v>
      </c>
      <c r="D23" s="673" t="inlineStr">
        <is>
          <t>香港比特</t>
        </is>
      </c>
      <c r="E23" s="734" t="inlineStr">
        <is>
          <t>JSCC</t>
        </is>
      </c>
      <c r="F23" s="734" t="inlineStr">
        <is>
          <t>BM1368PB</t>
        </is>
      </c>
      <c r="G23" s="673">
        <f>VLOOKUP(F23,编码对账表!C:D,2,0)</f>
        <v/>
      </c>
      <c r="H23" s="396" t="n">
        <v>1343743</v>
      </c>
      <c r="I23" s="735" t="inlineStr">
        <is>
          <t>HKK202312070009</t>
        </is>
      </c>
      <c r="J23" s="736" t="inlineStr">
        <is>
          <t>泰国益权</t>
        </is>
      </c>
      <c r="K23" s="734" t="inlineStr">
        <is>
          <t>CHANHUA PTE. LTD.</t>
        </is>
      </c>
      <c r="L23" s="740" t="n">
        <v>4.42</v>
      </c>
    </row>
    <row r="24" s="184">
      <c r="A24" s="1" t="n">
        <v>23</v>
      </c>
      <c r="B24" s="733" t="inlineStr">
        <is>
          <t>chanhua</t>
        </is>
      </c>
      <c r="C24" s="733" t="n">
        <v>45266</v>
      </c>
      <c r="D24" s="673" t="inlineStr">
        <is>
          <t>香港比特</t>
        </is>
      </c>
      <c r="E24" s="734" t="inlineStr">
        <is>
          <t>SPILSZ</t>
        </is>
      </c>
      <c r="F24" s="734" t="inlineStr">
        <is>
          <t>BM1368PB</t>
        </is>
      </c>
      <c r="G24" s="673">
        <f>VLOOKUP(F24,编码对账表!C:D,2,0)</f>
        <v/>
      </c>
      <c r="H24" s="396" t="n">
        <v>711504</v>
      </c>
      <c r="I24" s="735" t="inlineStr">
        <is>
          <t>HKK202312080001</t>
        </is>
      </c>
      <c r="J24" s="736" t="inlineStr">
        <is>
          <t>泰国群光</t>
        </is>
      </c>
      <c r="K24" s="734" t="inlineStr">
        <is>
          <t>CHANHUA PTE. LTD.</t>
        </is>
      </c>
      <c r="L24" s="740" t="n">
        <v>4.42</v>
      </c>
    </row>
    <row r="25" s="184">
      <c r="A25" s="1" t="n">
        <v>24</v>
      </c>
      <c r="B25" s="733" t="inlineStr">
        <is>
          <t>chanhua</t>
        </is>
      </c>
      <c r="C25" s="733" t="n">
        <v>45268</v>
      </c>
      <c r="D25" s="673" t="inlineStr">
        <is>
          <t>香港比特</t>
        </is>
      </c>
      <c r="E25" s="734" t="inlineStr">
        <is>
          <t>XJ</t>
        </is>
      </c>
      <c r="F25" s="734" t="inlineStr">
        <is>
          <t>BM1366AL</t>
        </is>
      </c>
      <c r="G25" s="673">
        <f>VLOOKUP(F25,编码对账表!C:D,2,0)</f>
        <v/>
      </c>
      <c r="H25" s="396" t="n">
        <v>347281</v>
      </c>
      <c r="I25" s="735" t="inlineStr">
        <is>
          <t>HKK202312110004</t>
        </is>
      </c>
      <c r="J25" s="738" t="inlineStr">
        <is>
          <t>印尼奥海</t>
        </is>
      </c>
      <c r="K25" s="734" t="inlineStr">
        <is>
          <t>CHANHUA PTE. LTD.</t>
        </is>
      </c>
      <c r="L25" s="739" t="n">
        <v>4.07</v>
      </c>
    </row>
    <row r="26" s="184">
      <c r="A26" s="1" t="n">
        <v>25</v>
      </c>
      <c r="B26" s="733" t="inlineStr">
        <is>
          <t>chanhua</t>
        </is>
      </c>
      <c r="C26" s="733" t="n">
        <v>45268</v>
      </c>
      <c r="D26" s="673" t="inlineStr">
        <is>
          <t>香港比特</t>
        </is>
      </c>
      <c r="E26" s="734" t="inlineStr">
        <is>
          <t>WXHN</t>
        </is>
      </c>
      <c r="F26" s="734" t="inlineStr">
        <is>
          <t>BM1366AL</t>
        </is>
      </c>
      <c r="G26" s="673">
        <f>VLOOKUP(F26,编码对账表!C:D,2,0)</f>
        <v/>
      </c>
      <c r="H26" s="396" t="n">
        <v>304200</v>
      </c>
      <c r="I26" s="735" t="inlineStr">
        <is>
          <t>HKK202312110005</t>
        </is>
      </c>
      <c r="J26" s="736" t="inlineStr">
        <is>
          <t>泰国群光</t>
        </is>
      </c>
      <c r="K26" s="734" t="inlineStr">
        <is>
          <t>CHANHUA PTE. LTD.</t>
        </is>
      </c>
      <c r="L26" s="739" t="n">
        <v>4.07</v>
      </c>
    </row>
    <row r="27" s="184">
      <c r="A27" s="1" t="n">
        <v>26</v>
      </c>
      <c r="B27" s="733" t="inlineStr">
        <is>
          <t>chanhua</t>
        </is>
      </c>
      <c r="C27" s="733" t="n">
        <v>45269</v>
      </c>
      <c r="D27" s="673" t="inlineStr">
        <is>
          <t>香港比特</t>
        </is>
      </c>
      <c r="E27" s="734" t="inlineStr">
        <is>
          <t>JSCC</t>
        </is>
      </c>
      <c r="F27" s="734" t="inlineStr">
        <is>
          <t>BM1368PB</t>
        </is>
      </c>
      <c r="G27" s="673">
        <f>VLOOKUP(F27,编码对账表!C:D,2,0)</f>
        <v/>
      </c>
      <c r="H27" s="396" t="n">
        <v>802831</v>
      </c>
      <c r="I27" s="735" t="inlineStr">
        <is>
          <t>HKK202312110006</t>
        </is>
      </c>
      <c r="J27" s="736" t="inlineStr">
        <is>
          <t>泰国群光</t>
        </is>
      </c>
      <c r="K27" s="734" t="inlineStr">
        <is>
          <t>CHANHUA PTE. LTD.</t>
        </is>
      </c>
      <c r="L27" s="740" t="n">
        <v>4.42</v>
      </c>
    </row>
    <row r="28" s="184">
      <c r="A28" s="1" t="n">
        <v>27</v>
      </c>
      <c r="B28" s="733" t="inlineStr">
        <is>
          <t>chanhua</t>
        </is>
      </c>
      <c r="C28" s="733" t="n">
        <v>45269</v>
      </c>
      <c r="D28" s="673" t="inlineStr">
        <is>
          <t>香港比特</t>
        </is>
      </c>
      <c r="E28" s="734" t="inlineStr">
        <is>
          <t>JSCC</t>
        </is>
      </c>
      <c r="F28" s="734" t="inlineStr">
        <is>
          <t>BM1368PB</t>
        </is>
      </c>
      <c r="G28" s="673">
        <f>VLOOKUP(F28,编码对账表!C:D,2,0)</f>
        <v/>
      </c>
      <c r="H28" s="396" t="n">
        <v>1114006</v>
      </c>
      <c r="I28" s="735" t="inlineStr">
        <is>
          <t>HKK202312110007</t>
        </is>
      </c>
      <c r="J28" s="736" t="inlineStr">
        <is>
          <t>泰国益权</t>
        </is>
      </c>
      <c r="K28" s="734" t="inlineStr">
        <is>
          <t>CHANHUA PTE. LTD.</t>
        </is>
      </c>
      <c r="L28" s="740" t="n">
        <v>4.42</v>
      </c>
    </row>
    <row r="29" s="184">
      <c r="A29" s="1" t="n">
        <v>28</v>
      </c>
      <c r="B29" s="733" t="inlineStr">
        <is>
          <t>chanhua</t>
        </is>
      </c>
      <c r="C29" s="733" t="n">
        <v>45269</v>
      </c>
      <c r="D29" s="673" t="inlineStr">
        <is>
          <t>香港比特</t>
        </is>
      </c>
      <c r="E29" s="734" t="inlineStr">
        <is>
          <t>JSCC</t>
        </is>
      </c>
      <c r="F29" s="734" t="inlineStr">
        <is>
          <t>BM1368PB</t>
        </is>
      </c>
      <c r="G29" s="673">
        <f>VLOOKUP(F29,编码对账表!C:D,2,0)</f>
        <v/>
      </c>
      <c r="H29" s="396" t="n">
        <v>852109</v>
      </c>
      <c r="I29" s="735" t="inlineStr">
        <is>
          <t>HKK202312110008</t>
        </is>
      </c>
      <c r="J29" s="738" t="inlineStr">
        <is>
          <t>印尼奥海</t>
        </is>
      </c>
      <c r="K29" s="734" t="inlineStr">
        <is>
          <t>CHANHUA PTE. LTD.</t>
        </is>
      </c>
      <c r="L29" s="740" t="n">
        <v>4.42</v>
      </c>
    </row>
    <row r="30" s="184">
      <c r="A30" s="1" t="n">
        <v>29</v>
      </c>
      <c r="B30" s="733" t="inlineStr">
        <is>
          <t>chanhua</t>
        </is>
      </c>
      <c r="C30" s="733" t="n">
        <v>45270</v>
      </c>
      <c r="D30" s="673" t="inlineStr">
        <is>
          <t>香港比特</t>
        </is>
      </c>
      <c r="E30" s="734" t="inlineStr">
        <is>
          <t>SPILSZ</t>
        </is>
      </c>
      <c r="F30" s="734" t="inlineStr">
        <is>
          <t>BM1368PB</t>
        </is>
      </c>
      <c r="G30" s="673">
        <f>VLOOKUP(F30,编码对账表!C:D,2,0)</f>
        <v/>
      </c>
      <c r="H30" s="396" t="n">
        <v>97200</v>
      </c>
      <c r="I30" s="735" t="inlineStr">
        <is>
          <t>HKK202312120001</t>
        </is>
      </c>
      <c r="J30" s="736" t="inlineStr">
        <is>
          <t>泰国益权</t>
        </is>
      </c>
      <c r="K30" s="734" t="inlineStr">
        <is>
          <t>CHANHUA PTE. LTD.</t>
        </is>
      </c>
      <c r="L30" s="740" t="n">
        <v>4.42</v>
      </c>
    </row>
    <row r="31" s="184">
      <c r="A31" s="1" t="n">
        <v>30</v>
      </c>
      <c r="B31" s="733" t="inlineStr">
        <is>
          <t>chanhua</t>
        </is>
      </c>
      <c r="C31" s="733" t="n">
        <v>45247</v>
      </c>
      <c r="D31" s="673" t="inlineStr">
        <is>
          <t>chanhua</t>
        </is>
      </c>
      <c r="E31" s="734" t="inlineStr">
        <is>
          <t>世纪云芯</t>
        </is>
      </c>
      <c r="F31" s="734" t="inlineStr">
        <is>
          <t>BM1368PA</t>
        </is>
      </c>
      <c r="G31" s="673">
        <f>VLOOKUP(F31,编码对账表!C:D,2,0)</f>
        <v/>
      </c>
      <c r="H31" s="396" t="n">
        <v>2400</v>
      </c>
      <c r="I31" s="741" t="inlineStr">
        <is>
          <t>202312140001</t>
        </is>
      </c>
      <c r="J31" s="736" t="inlineStr">
        <is>
          <t>ASE</t>
        </is>
      </c>
      <c r="K31" s="734" t="inlineStr">
        <is>
          <t>已接收</t>
        </is>
      </c>
      <c r="L31" s="740" t="n">
        <v>6.95376666666667</v>
      </c>
    </row>
    <row r="32" s="184">
      <c r="A32" s="1" t="n">
        <v>31</v>
      </c>
      <c r="B32" s="673" t="inlineStr">
        <is>
          <t>香港比特</t>
        </is>
      </c>
      <c r="C32" s="733" t="n">
        <v>45247</v>
      </c>
      <c r="D32" s="673" t="inlineStr">
        <is>
          <t>香港比特</t>
        </is>
      </c>
      <c r="E32" s="734" t="inlineStr">
        <is>
          <t>世纪云芯</t>
        </is>
      </c>
      <c r="F32" s="734" t="inlineStr">
        <is>
          <t>BM1368PA</t>
        </is>
      </c>
      <c r="G32" s="673">
        <f>VLOOKUP(F32,编码对账表!C:D,2,0)</f>
        <v/>
      </c>
      <c r="H32" s="396" t="n">
        <v>2400</v>
      </c>
      <c r="I32" s="735" t="inlineStr">
        <is>
          <t>HKK202312140001</t>
        </is>
      </c>
      <c r="J32" s="736" t="inlineStr">
        <is>
          <t>TF</t>
        </is>
      </c>
      <c r="K32" s="734" t="inlineStr">
        <is>
          <t>已接收</t>
        </is>
      </c>
      <c r="L32" s="740" t="n">
        <v>7.1701</v>
      </c>
    </row>
    <row r="33" s="184">
      <c r="A33" s="1" t="n">
        <v>32</v>
      </c>
      <c r="B33" s="673" t="inlineStr">
        <is>
          <t>香港比特</t>
        </is>
      </c>
      <c r="C33" s="733" t="n">
        <v>45247</v>
      </c>
      <c r="D33" s="673" t="inlineStr">
        <is>
          <t>香港比特</t>
        </is>
      </c>
      <c r="E33" s="734" t="inlineStr">
        <is>
          <t>世纪云芯</t>
        </is>
      </c>
      <c r="F33" s="734" t="inlineStr">
        <is>
          <t>BM1366AL</t>
        </is>
      </c>
      <c r="G33" s="673">
        <f>VLOOKUP(F33,编码对账表!C:D,2,0)</f>
        <v/>
      </c>
      <c r="H33" s="396" t="n">
        <v>2851568</v>
      </c>
      <c r="I33" s="735" t="inlineStr">
        <is>
          <t>HKK202312140002</t>
        </is>
      </c>
      <c r="J33" s="736" t="inlineStr">
        <is>
          <t>SCK</t>
        </is>
      </c>
      <c r="K33" s="734" t="inlineStr">
        <is>
          <t>已接收</t>
        </is>
      </c>
      <c r="L33" s="740" t="n">
        <v>5.03640000168328</v>
      </c>
    </row>
    <row r="34" s="184">
      <c r="A34" s="1" t="n">
        <v>33</v>
      </c>
      <c r="B34" s="673" t="inlineStr">
        <is>
          <t>香港比特</t>
        </is>
      </c>
      <c r="C34" s="733" t="n">
        <v>45247</v>
      </c>
      <c r="D34" s="673" t="inlineStr">
        <is>
          <t>香港比特</t>
        </is>
      </c>
      <c r="E34" s="734" t="inlineStr">
        <is>
          <t>世纪云芯</t>
        </is>
      </c>
      <c r="F34" s="734" t="inlineStr">
        <is>
          <t>BM1366AG</t>
        </is>
      </c>
      <c r="G34" s="673">
        <f>VLOOKUP(F34,编码对账表!C:D,2,0)</f>
        <v/>
      </c>
      <c r="H34" s="396" t="n">
        <v>293501</v>
      </c>
      <c r="I34" s="735" t="inlineStr">
        <is>
          <t>HKK202312140002</t>
        </is>
      </c>
      <c r="J34" s="736" t="inlineStr">
        <is>
          <t>SCK</t>
        </is>
      </c>
      <c r="K34" s="734" t="inlineStr">
        <is>
          <t>已接收</t>
        </is>
      </c>
      <c r="L34" s="740" t="n">
        <v>5.03640001226572</v>
      </c>
    </row>
    <row r="35" s="184">
      <c r="A35" s="1" t="n">
        <v>34</v>
      </c>
      <c r="B35" s="673" t="inlineStr">
        <is>
          <t>香港比特</t>
        </is>
      </c>
      <c r="C35" s="733" t="n">
        <v>45247</v>
      </c>
      <c r="D35" s="673" t="inlineStr">
        <is>
          <t>香港比特</t>
        </is>
      </c>
      <c r="E35" s="734" t="inlineStr">
        <is>
          <t>世纪云芯</t>
        </is>
      </c>
      <c r="F35" s="734" t="inlineStr">
        <is>
          <t>BM1362AK</t>
        </is>
      </c>
      <c r="G35" s="673">
        <f>VLOOKUP(F35,编码对账表!C:D,2,0)</f>
        <v/>
      </c>
      <c r="H35" s="396" t="n">
        <v>451962</v>
      </c>
      <c r="I35" s="735" t="inlineStr">
        <is>
          <t>HKK202401110001</t>
        </is>
      </c>
      <c r="J35" s="736" t="inlineStr">
        <is>
          <t>WXHN</t>
        </is>
      </c>
      <c r="K35" s="734" t="inlineStr">
        <is>
          <t>已接收</t>
        </is>
      </c>
      <c r="L35" s="740" t="n">
        <v>2.57439999380479</v>
      </c>
    </row>
    <row r="36" s="184">
      <c r="A36" s="1" t="n">
        <v>35</v>
      </c>
      <c r="B36" s="733" t="inlineStr">
        <is>
          <t>chanhua</t>
        </is>
      </c>
      <c r="C36" s="733" t="n">
        <v>45271</v>
      </c>
      <c r="D36" s="673" t="inlineStr">
        <is>
          <t>香港比特</t>
        </is>
      </c>
      <c r="E36" s="734" t="inlineStr">
        <is>
          <t>NJ-VT</t>
        </is>
      </c>
      <c r="F36" s="734" t="inlineStr">
        <is>
          <t>BM1366AL</t>
        </is>
      </c>
      <c r="G36" s="673">
        <f>VLOOKUP(F36,编码对账表!C:D,2,0)</f>
        <v/>
      </c>
      <c r="H36" s="396" t="n">
        <v>329321</v>
      </c>
      <c r="I36" s="735" t="inlineStr">
        <is>
          <t>HKK202312120002</t>
        </is>
      </c>
      <c r="J36" s="736" t="inlineStr">
        <is>
          <t>泰国群光</t>
        </is>
      </c>
      <c r="K36" s="734" t="inlineStr">
        <is>
          <t>CHANHUA PTE. LTD.</t>
        </is>
      </c>
      <c r="L36" s="740" t="n">
        <v>4.07</v>
      </c>
    </row>
    <row r="37" s="184">
      <c r="A37" s="1" t="n">
        <v>36</v>
      </c>
      <c r="B37" s="733" t="inlineStr">
        <is>
          <t>chanhua</t>
        </is>
      </c>
      <c r="C37" s="733" t="n">
        <v>45273</v>
      </c>
      <c r="D37" s="673" t="inlineStr">
        <is>
          <t>香港比特</t>
        </is>
      </c>
      <c r="E37" s="734" t="inlineStr">
        <is>
          <t>SPILSZ</t>
        </is>
      </c>
      <c r="F37" s="734" t="inlineStr">
        <is>
          <t>BM1368PB</t>
        </is>
      </c>
      <c r="G37" s="673">
        <f>VLOOKUP(F37,编码对账表!C:D,2,0)</f>
        <v/>
      </c>
      <c r="H37" s="396" t="n">
        <v>42768</v>
      </c>
      <c r="I37" s="735" t="inlineStr">
        <is>
          <t>HKK202312200013</t>
        </is>
      </c>
      <c r="J37" s="736" t="inlineStr">
        <is>
          <t>泰国益权</t>
        </is>
      </c>
      <c r="K37" s="734" t="inlineStr">
        <is>
          <t>CHANHUA PTE. LTD.</t>
        </is>
      </c>
      <c r="L37" s="740" t="n">
        <v>4.42</v>
      </c>
    </row>
    <row r="38" s="184">
      <c r="A38" s="1" t="n">
        <v>37</v>
      </c>
      <c r="B38" s="733" t="inlineStr">
        <is>
          <t>chanhua</t>
        </is>
      </c>
      <c r="C38" s="733" t="n">
        <v>45281</v>
      </c>
      <c r="D38" s="673" t="inlineStr">
        <is>
          <t>香港比特</t>
        </is>
      </c>
      <c r="E38" s="734" t="inlineStr">
        <is>
          <t>JSCC</t>
        </is>
      </c>
      <c r="F38" s="734" t="inlineStr">
        <is>
          <t>BM1366AL</t>
        </is>
      </c>
      <c r="G38" s="673">
        <f>VLOOKUP(F38,编码对账表!C:D,2,0)</f>
        <v/>
      </c>
      <c r="H38" s="396" t="n">
        <v>1454314</v>
      </c>
      <c r="I38" s="735" t="inlineStr">
        <is>
          <t>HKK202312290004</t>
        </is>
      </c>
      <c r="J38" s="736" t="inlineStr">
        <is>
          <t>印尼奥海</t>
        </is>
      </c>
      <c r="K38" s="734" t="inlineStr">
        <is>
          <t>CHANHUA PTE. LTD.</t>
        </is>
      </c>
      <c r="L38" s="736" t="n">
        <v>4.0649</v>
      </c>
    </row>
    <row r="39" s="184">
      <c r="A39" s="1" t="n">
        <v>38</v>
      </c>
      <c r="B39" s="733" t="inlineStr">
        <is>
          <t>chanhua</t>
        </is>
      </c>
      <c r="C39" s="733" t="n">
        <v>45281</v>
      </c>
      <c r="D39" s="673" t="inlineStr">
        <is>
          <t>香港比特</t>
        </is>
      </c>
      <c r="E39" s="734" t="inlineStr">
        <is>
          <t>SPILSZ</t>
        </is>
      </c>
      <c r="F39" s="734" t="inlineStr">
        <is>
          <t>BM1368PB</t>
        </is>
      </c>
      <c r="G39" s="673">
        <f>VLOOKUP(F39,编码对账表!C:D,2,0)</f>
        <v/>
      </c>
      <c r="H39" s="396" t="n">
        <v>649296</v>
      </c>
      <c r="I39" s="735" t="inlineStr">
        <is>
          <t>HKK202312290005</t>
        </is>
      </c>
      <c r="J39" s="736" t="inlineStr">
        <is>
          <t>印尼奥海</t>
        </is>
      </c>
      <c r="K39" s="734" t="inlineStr">
        <is>
          <t>CHANHUA PTE. LTD.</t>
        </is>
      </c>
      <c r="L39" s="736" t="n">
        <v>4.3949</v>
      </c>
    </row>
    <row r="40" s="184">
      <c r="A40" s="1" t="n">
        <v>39</v>
      </c>
      <c r="B40" s="733" t="inlineStr">
        <is>
          <t>chanhua</t>
        </is>
      </c>
      <c r="C40" s="733" t="n">
        <v>45281</v>
      </c>
      <c r="D40" s="673" t="inlineStr">
        <is>
          <t>香港比特</t>
        </is>
      </c>
      <c r="E40" s="734" t="inlineStr">
        <is>
          <t>SPILSZ</t>
        </is>
      </c>
      <c r="F40" s="734" t="inlineStr">
        <is>
          <t>BM1368PB</t>
        </is>
      </c>
      <c r="G40" s="673">
        <f>VLOOKUP(F40,编码对账表!C:D,2,0)</f>
        <v/>
      </c>
      <c r="H40" s="396" t="n">
        <v>1095481</v>
      </c>
      <c r="I40" s="735" t="inlineStr">
        <is>
          <t>HKK202312290006</t>
        </is>
      </c>
      <c r="J40" s="736" t="inlineStr">
        <is>
          <t>泰国益权</t>
        </is>
      </c>
      <c r="K40" s="734" t="inlineStr">
        <is>
          <t>CHANHUA PTE. LTD.</t>
        </is>
      </c>
      <c r="L40" s="736" t="n">
        <v>4.3949</v>
      </c>
    </row>
    <row r="41" s="184">
      <c r="A41" s="1" t="n">
        <v>40</v>
      </c>
      <c r="B41" s="733" t="inlineStr">
        <is>
          <t>chanhua</t>
        </is>
      </c>
      <c r="C41" s="733" t="n">
        <v>45282</v>
      </c>
      <c r="D41" s="673" t="inlineStr">
        <is>
          <t>香港比特</t>
        </is>
      </c>
      <c r="E41" s="734" t="inlineStr">
        <is>
          <t>JSCC</t>
        </is>
      </c>
      <c r="F41" s="734" t="inlineStr">
        <is>
          <t>BM1368PB</t>
        </is>
      </c>
      <c r="G41" s="673">
        <f>VLOOKUP(F41,编码对账表!C:D,2,0)</f>
        <v/>
      </c>
      <c r="H41" s="396" t="n">
        <v>267194</v>
      </c>
      <c r="I41" s="735" t="inlineStr">
        <is>
          <t>HKK202312290007</t>
        </is>
      </c>
      <c r="J41" s="736" t="inlineStr">
        <is>
          <t>泰国益权</t>
        </is>
      </c>
      <c r="K41" s="734" t="inlineStr">
        <is>
          <t>CHANHUA PTE. LTD.</t>
        </is>
      </c>
      <c r="L41" s="736" t="n">
        <v>4.3949</v>
      </c>
    </row>
    <row r="42" s="184">
      <c r="A42" s="1" t="n">
        <v>41</v>
      </c>
      <c r="B42" s="733" t="inlineStr">
        <is>
          <t>chanhua</t>
        </is>
      </c>
      <c r="C42" s="733" t="n">
        <v>45285</v>
      </c>
      <c r="D42" s="673" t="inlineStr">
        <is>
          <t>香港比特</t>
        </is>
      </c>
      <c r="E42" s="734" t="inlineStr">
        <is>
          <t>JSCC</t>
        </is>
      </c>
      <c r="F42" s="734" t="inlineStr">
        <is>
          <t>BM1368PB</t>
        </is>
      </c>
      <c r="G42" s="673">
        <f>VLOOKUP(F42,编码对账表!C:D,2,0)</f>
        <v/>
      </c>
      <c r="H42" s="396" t="n">
        <v>1818464</v>
      </c>
      <c r="I42" s="735" t="inlineStr">
        <is>
          <t>HKK202312290008</t>
        </is>
      </c>
      <c r="J42" s="736" t="inlineStr">
        <is>
          <t>泰国益权</t>
        </is>
      </c>
      <c r="K42" s="734" t="inlineStr">
        <is>
          <t>CHANHUA PTE. LTD.</t>
        </is>
      </c>
      <c r="L42" s="736" t="n">
        <v>4.3949</v>
      </c>
    </row>
    <row r="43" s="184">
      <c r="A43" s="1" t="n">
        <v>42</v>
      </c>
      <c r="B43" s="733" t="inlineStr">
        <is>
          <t>chanhua</t>
        </is>
      </c>
      <c r="C43" s="733" t="n">
        <v>45285</v>
      </c>
      <c r="D43" s="673" t="inlineStr">
        <is>
          <t>香港比特</t>
        </is>
      </c>
      <c r="E43" s="734" t="inlineStr">
        <is>
          <t>JSCC</t>
        </is>
      </c>
      <c r="F43" s="734" t="inlineStr">
        <is>
          <t>BM1368PB</t>
        </is>
      </c>
      <c r="G43" s="673">
        <f>VLOOKUP(F43,编码对账表!C:D,2,0)</f>
        <v/>
      </c>
      <c r="H43" s="396" t="n">
        <v>1005574</v>
      </c>
      <c r="I43" s="735" t="inlineStr">
        <is>
          <t>HKK202312290009</t>
        </is>
      </c>
      <c r="J43" s="736" t="inlineStr">
        <is>
          <t>泰国群光</t>
        </is>
      </c>
      <c r="K43" s="734" t="inlineStr">
        <is>
          <t>CHANHUA PTE. LTD.</t>
        </is>
      </c>
      <c r="L43" s="736" t="n">
        <v>4.3949</v>
      </c>
    </row>
    <row r="44" s="184">
      <c r="A44" s="1" t="n">
        <v>43</v>
      </c>
      <c r="B44" s="733" t="inlineStr">
        <is>
          <t>chanhua</t>
        </is>
      </c>
      <c r="C44" s="733" t="n">
        <v>45288</v>
      </c>
      <c r="D44" s="673" t="inlineStr">
        <is>
          <t>香港比特</t>
        </is>
      </c>
      <c r="E44" s="734" t="inlineStr">
        <is>
          <t>WX-HN</t>
        </is>
      </c>
      <c r="F44" s="734" t="inlineStr">
        <is>
          <t>BM1368PB</t>
        </is>
      </c>
      <c r="G44" s="673">
        <f>VLOOKUP(F44,编码对账表!C:D,2,0)</f>
        <v/>
      </c>
      <c r="H44" s="396" t="n">
        <v>121692</v>
      </c>
      <c r="I44" s="735" t="inlineStr">
        <is>
          <t>HKK202401050005</t>
        </is>
      </c>
      <c r="J44" s="736" t="inlineStr">
        <is>
          <t>泰国群光</t>
        </is>
      </c>
      <c r="K44" s="734" t="inlineStr">
        <is>
          <t>CHANHUA PTE. LTD.</t>
        </is>
      </c>
      <c r="L44" s="736" t="n">
        <v>4.3949</v>
      </c>
    </row>
    <row r="45" s="184">
      <c r="A45" s="1" t="n">
        <v>44</v>
      </c>
      <c r="B45" s="733" t="inlineStr">
        <is>
          <t>chanhua</t>
        </is>
      </c>
      <c r="C45" s="733" t="n">
        <v>45288</v>
      </c>
      <c r="D45" s="673" t="inlineStr">
        <is>
          <t>香港比特</t>
        </is>
      </c>
      <c r="E45" s="734" t="inlineStr">
        <is>
          <t>SPILSZ</t>
        </is>
      </c>
      <c r="F45" s="734" t="inlineStr">
        <is>
          <t>BM1368PB</t>
        </is>
      </c>
      <c r="G45" s="673">
        <f>VLOOKUP(F45,编码对账表!C:D,2,0)</f>
        <v/>
      </c>
      <c r="H45" s="396" t="n">
        <v>244944</v>
      </c>
      <c r="I45" s="735" t="inlineStr">
        <is>
          <t>HKK202401050006</t>
        </is>
      </c>
      <c r="J45" s="736" t="inlineStr">
        <is>
          <t>泰国益权</t>
        </is>
      </c>
      <c r="K45" s="734" t="inlineStr">
        <is>
          <t>CHANHUA PTE. LTD.</t>
        </is>
      </c>
      <c r="L45" s="736" t="n">
        <v>4.3949</v>
      </c>
    </row>
    <row r="46" s="184">
      <c r="A46" s="1" t="n">
        <v>45</v>
      </c>
      <c r="B46" s="733" t="inlineStr">
        <is>
          <t>chanhua</t>
        </is>
      </c>
      <c r="C46" s="733" t="n">
        <v>45289</v>
      </c>
      <c r="D46" s="673" t="inlineStr">
        <is>
          <t>香港比特</t>
        </is>
      </c>
      <c r="E46" s="734" t="inlineStr">
        <is>
          <t>JSCC</t>
        </is>
      </c>
      <c r="F46" s="734" t="inlineStr">
        <is>
          <t>BM1368PB</t>
        </is>
      </c>
      <c r="G46" s="673">
        <f>VLOOKUP(F46,编码对账表!C:D,2,0)</f>
        <v/>
      </c>
      <c r="H46" s="396" t="n">
        <v>446404</v>
      </c>
      <c r="I46" s="735" t="inlineStr">
        <is>
          <t>HKK202401050007</t>
        </is>
      </c>
      <c r="J46" s="736" t="inlineStr">
        <is>
          <t>泰国益权</t>
        </is>
      </c>
      <c r="K46" s="734" t="inlineStr">
        <is>
          <t>CHANHUA PTE. LTD.</t>
        </is>
      </c>
      <c r="L46" s="736" t="n">
        <v>4.3949</v>
      </c>
    </row>
    <row r="47" s="184">
      <c r="A47" s="1" t="n">
        <v>46</v>
      </c>
      <c r="B47" s="733" t="inlineStr">
        <is>
          <t>chanhua</t>
        </is>
      </c>
      <c r="C47" s="733" t="n">
        <v>45289</v>
      </c>
      <c r="D47" s="673" t="inlineStr">
        <is>
          <t>香港比特</t>
        </is>
      </c>
      <c r="E47" s="734" t="inlineStr">
        <is>
          <t>SPILSZ</t>
        </is>
      </c>
      <c r="F47" s="734" t="inlineStr">
        <is>
          <t>BM1368PB</t>
        </is>
      </c>
      <c r="G47" s="673">
        <f>VLOOKUP(F47,编码对账表!C:D,2,0)</f>
        <v/>
      </c>
      <c r="H47" s="396" t="n">
        <v>198288</v>
      </c>
      <c r="I47" s="735" t="inlineStr">
        <is>
          <t>HKK202401050008</t>
        </is>
      </c>
      <c r="J47" s="736" t="inlineStr">
        <is>
          <t>泰国益权</t>
        </is>
      </c>
      <c r="K47" s="734" t="inlineStr">
        <is>
          <t>CHANHUA PTE. LTD.</t>
        </is>
      </c>
      <c r="L47" s="736" t="n">
        <v>4.3949</v>
      </c>
    </row>
  </sheetData>
  <autoFilter ref="A1:K47"/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96"/>
  <sheetViews>
    <sheetView zoomScale="70" zoomScaleNormal="70" workbookViewId="0">
      <pane ySplit="1" topLeftCell="A2" activePane="bottomLeft" state="frozen"/>
      <selection activeCell="A1" sqref="A1"/>
      <selection pane="bottomLeft" activeCell="K261" sqref="K261"/>
    </sheetView>
  </sheetViews>
  <sheetFormatPr baseColWidth="8" defaultColWidth="8.66666666666667" defaultRowHeight="24" customHeight="1"/>
  <cols>
    <col width="18.3333333333333" customWidth="1" style="1" min="1" max="1"/>
    <col width="11.6666666666667" customWidth="1" style="733" min="2" max="2"/>
    <col width="14.3333333333333" customWidth="1" style="733" min="3" max="3"/>
    <col width="11.6666666666667" customWidth="1" style="673" min="4" max="4"/>
    <col width="12.9166666666667" customWidth="1" style="734" min="5" max="5"/>
    <col width="15" customWidth="1" style="734" min="6" max="6"/>
    <col width="18.25" customWidth="1" style="673" min="7" max="7"/>
    <col width="12.5833333333333" customWidth="1" style="396" min="8" max="8"/>
    <col width="20" customWidth="1" style="85" min="9" max="9"/>
    <col width="17" customWidth="1" style="736" min="10" max="10"/>
    <col width="20.25" customWidth="1" style="734" min="11" max="11"/>
    <col width="12.9166666666667" customWidth="1" style="736" min="12" max="12"/>
    <col width="22" customWidth="1" style="397" min="13" max="13"/>
    <col width="23.0833333333333" customWidth="1" style="398" min="14" max="14"/>
    <col width="8.66666666666667" customWidth="1" style="693" min="15" max="16384"/>
  </cols>
  <sheetData>
    <row r="1" ht="20" customFormat="1" customHeight="1" s="1">
      <c r="A1" s="8" t="inlineStr">
        <is>
          <t>序号</t>
        </is>
      </c>
      <c r="B1" s="9" t="inlineStr">
        <is>
          <t>抬头</t>
        </is>
      </c>
      <c r="C1" s="9" t="inlineStr">
        <is>
          <t>出货日期</t>
        </is>
      </c>
      <c r="D1" s="9" t="inlineStr">
        <is>
          <t>主体</t>
        </is>
      </c>
      <c r="E1" s="726" t="inlineStr">
        <is>
          <t>测试厂</t>
        </is>
      </c>
      <c r="F1" s="726" t="inlineStr">
        <is>
          <t>型号</t>
        </is>
      </c>
      <c r="G1" s="726" t="inlineStr">
        <is>
          <t>物料编码</t>
        </is>
      </c>
      <c r="H1" s="8" t="inlineStr">
        <is>
          <t>数量</t>
        </is>
      </c>
      <c r="I1" s="441" t="inlineStr">
        <is>
          <t>新PO</t>
        </is>
      </c>
      <c r="J1" s="726" t="inlineStr">
        <is>
          <t>发料外协</t>
        </is>
      </c>
      <c r="K1" s="441" t="n">
        <v>10000900</v>
      </c>
      <c r="L1" s="726" t="inlineStr">
        <is>
          <t>单价</t>
        </is>
      </c>
      <c r="M1" s="12" t="inlineStr">
        <is>
          <t>SO</t>
        </is>
      </c>
      <c r="N1" s="398" t="n"/>
    </row>
    <row r="2" customFormat="1" s="1">
      <c r="A2" s="1" t="n">
        <v>1</v>
      </c>
      <c r="B2" s="733" t="inlineStr">
        <is>
          <t>chanhua</t>
        </is>
      </c>
      <c r="C2" s="733" t="n">
        <v>45301</v>
      </c>
      <c r="D2" s="673" t="inlineStr">
        <is>
          <t>香港比特</t>
        </is>
      </c>
      <c r="E2" s="734" t="inlineStr">
        <is>
          <t>XJ</t>
        </is>
      </c>
      <c r="F2" s="734" t="inlineStr">
        <is>
          <t>BM1368AA</t>
        </is>
      </c>
      <c r="G2" s="673">
        <f>VLOOKUP(F2,编码对账表!C:D,2,0)</f>
        <v/>
      </c>
      <c r="H2" s="396" t="n">
        <v>162222</v>
      </c>
      <c r="I2" s="735" t="inlineStr">
        <is>
          <t>HKK202401170010</t>
        </is>
      </c>
      <c r="J2" s="736" t="inlineStr">
        <is>
          <t>印尼奥海</t>
        </is>
      </c>
      <c r="K2" s="734" t="inlineStr">
        <is>
          <t>CHANHUA PTE. LTD.</t>
        </is>
      </c>
      <c r="L2" s="736" t="n">
        <v>5.428</v>
      </c>
      <c r="M2" s="398" t="n"/>
      <c r="N2" s="693" t="n"/>
    </row>
    <row r="3" customFormat="1" s="1">
      <c r="A3" s="1" t="n">
        <v>2</v>
      </c>
      <c r="B3" s="733" t="inlineStr">
        <is>
          <t>chanhua</t>
        </is>
      </c>
      <c r="C3" s="733" t="n">
        <v>45302</v>
      </c>
      <c r="D3" s="673" t="inlineStr">
        <is>
          <t>香港比特</t>
        </is>
      </c>
      <c r="E3" s="734" t="inlineStr">
        <is>
          <t>JSCC</t>
        </is>
      </c>
      <c r="F3" s="734" t="inlineStr">
        <is>
          <t>BM1368PB</t>
        </is>
      </c>
      <c r="G3" s="673">
        <f>VLOOKUP(F3,编码对账表!C:D,2,0)</f>
        <v/>
      </c>
      <c r="H3" s="396" t="n">
        <v>885687</v>
      </c>
      <c r="I3" s="735" t="inlineStr">
        <is>
          <t>HKK202401170003</t>
        </is>
      </c>
      <c r="J3" s="736" t="inlineStr">
        <is>
          <t>印尼奥海</t>
        </is>
      </c>
      <c r="K3" s="734" t="inlineStr">
        <is>
          <t>CHANHUA PTE. LTD.</t>
        </is>
      </c>
      <c r="L3" s="736" t="n">
        <v>4.3949</v>
      </c>
      <c r="M3" s="398" t="n"/>
      <c r="N3" s="693" t="n"/>
    </row>
    <row r="4" customFormat="1" s="1">
      <c r="A4" s="1" t="n">
        <v>3</v>
      </c>
      <c r="B4" s="733" t="inlineStr">
        <is>
          <t>chanhua</t>
        </is>
      </c>
      <c r="C4" s="733" t="n">
        <v>45303</v>
      </c>
      <c r="D4" s="673" t="inlineStr">
        <is>
          <t>香港比特</t>
        </is>
      </c>
      <c r="E4" s="734" t="inlineStr">
        <is>
          <t>NJ-VT</t>
        </is>
      </c>
      <c r="F4" s="734" t="inlineStr">
        <is>
          <t>BM1366AL</t>
        </is>
      </c>
      <c r="G4" s="673">
        <f>VLOOKUP(F4,编码对账表!C:D,2,0)</f>
        <v/>
      </c>
      <c r="H4" s="396" t="n">
        <v>7335</v>
      </c>
      <c r="I4" s="735" t="inlineStr">
        <is>
          <t>HKK202401170004</t>
        </is>
      </c>
      <c r="J4" s="736" t="inlineStr">
        <is>
          <t>印尼奥海</t>
        </is>
      </c>
      <c r="K4" s="734" t="inlineStr">
        <is>
          <t>CHANHUA PTE. LTD.</t>
        </is>
      </c>
      <c r="L4" s="736" t="n">
        <v>4.0649</v>
      </c>
      <c r="M4" s="398" t="n"/>
      <c r="N4" s="693" t="n"/>
    </row>
    <row r="5" customFormat="1" s="1">
      <c r="A5" s="1" t="n">
        <v>4</v>
      </c>
      <c r="B5" s="733" t="inlineStr">
        <is>
          <t>chanhua</t>
        </is>
      </c>
      <c r="C5" s="733" t="n">
        <v>45303</v>
      </c>
      <c r="D5" s="673" t="inlineStr">
        <is>
          <t>香港比特</t>
        </is>
      </c>
      <c r="E5" s="734" t="inlineStr">
        <is>
          <t>XJ</t>
        </is>
      </c>
      <c r="F5" s="734" t="inlineStr">
        <is>
          <t>BM1368AA</t>
        </is>
      </c>
      <c r="G5" s="673">
        <f>VLOOKUP(F5,编码对账表!C:D,2,0)</f>
        <v/>
      </c>
      <c r="H5" s="396" t="n">
        <v>124762</v>
      </c>
      <c r="I5" s="735" t="inlineStr">
        <is>
          <t>HKK202401170005</t>
        </is>
      </c>
      <c r="J5" s="736" t="inlineStr">
        <is>
          <t>印尼奥海</t>
        </is>
      </c>
      <c r="K5" s="734" t="inlineStr">
        <is>
          <t>CHANHUA PTE. LTD.</t>
        </is>
      </c>
      <c r="L5" s="736" t="n">
        <v>5.428</v>
      </c>
      <c r="M5" s="398" t="n"/>
      <c r="N5" s="693" t="n"/>
    </row>
    <row r="6" customFormat="1" s="1">
      <c r="A6" s="1" t="n">
        <v>5</v>
      </c>
      <c r="B6" s="733" t="inlineStr">
        <is>
          <t>chanhua</t>
        </is>
      </c>
      <c r="C6" s="733" t="n">
        <v>45303</v>
      </c>
      <c r="D6" s="673" t="inlineStr">
        <is>
          <t>香港比特</t>
        </is>
      </c>
      <c r="E6" s="734" t="inlineStr">
        <is>
          <t>SPIL</t>
        </is>
      </c>
      <c r="F6" s="734" t="inlineStr">
        <is>
          <t>BM1368PB</t>
        </is>
      </c>
      <c r="G6" s="673">
        <f>VLOOKUP(F6,编码对账表!C:D,2,0)</f>
        <v/>
      </c>
      <c r="H6" s="396" t="n">
        <v>2201734</v>
      </c>
      <c r="I6" s="735" t="inlineStr">
        <is>
          <t>HKK202401170006</t>
        </is>
      </c>
      <c r="J6" s="736" t="inlineStr">
        <is>
          <t>印尼奥海</t>
        </is>
      </c>
      <c r="K6" s="734" t="inlineStr">
        <is>
          <t>CHANHUA PTE. LTD.</t>
        </is>
      </c>
      <c r="L6" s="736" t="n">
        <v>4.3949</v>
      </c>
      <c r="M6" s="398" t="n"/>
      <c r="N6" s="693" t="n"/>
    </row>
    <row r="7" customFormat="1" s="1">
      <c r="A7" s="1" t="n">
        <v>6</v>
      </c>
      <c r="B7" s="733" t="inlineStr">
        <is>
          <t>chanhua</t>
        </is>
      </c>
      <c r="C7" s="733" t="n">
        <v>45303</v>
      </c>
      <c r="D7" s="673" t="inlineStr">
        <is>
          <t>香港比特</t>
        </is>
      </c>
      <c r="E7" s="734" t="inlineStr">
        <is>
          <t>WXHN</t>
        </is>
      </c>
      <c r="F7" s="734" t="inlineStr">
        <is>
          <t>BM1368PB</t>
        </is>
      </c>
      <c r="G7" s="673">
        <f>VLOOKUP(F7,编码对账表!C:D,2,0)</f>
        <v/>
      </c>
      <c r="H7" s="396" t="n">
        <v>1766492</v>
      </c>
      <c r="I7" s="735" t="inlineStr">
        <is>
          <t>HKK202401170007</t>
        </is>
      </c>
      <c r="J7" s="736" t="inlineStr">
        <is>
          <t>泰国益权</t>
        </is>
      </c>
      <c r="K7" s="734" t="inlineStr">
        <is>
          <t>CHANHUA PTE. LTD.</t>
        </is>
      </c>
      <c r="L7" s="736" t="n">
        <v>4.3949</v>
      </c>
      <c r="M7" s="398" t="n"/>
      <c r="N7" s="693" t="n"/>
    </row>
    <row r="8" customFormat="1" s="1">
      <c r="A8" s="1" t="n">
        <v>7</v>
      </c>
      <c r="B8" s="733" t="inlineStr">
        <is>
          <t>chanhua</t>
        </is>
      </c>
      <c r="C8" s="733" t="n">
        <v>45303</v>
      </c>
      <c r="D8" s="673" t="inlineStr">
        <is>
          <t>香港比特</t>
        </is>
      </c>
      <c r="E8" s="734" t="inlineStr">
        <is>
          <t>XJ</t>
        </is>
      </c>
      <c r="F8" s="734" t="inlineStr">
        <is>
          <t>BM1368AA</t>
        </is>
      </c>
      <c r="G8" s="673">
        <f>VLOOKUP(F8,编码对账表!C:D,2,0)</f>
        <v/>
      </c>
      <c r="H8" s="396" t="n">
        <v>162754</v>
      </c>
      <c r="I8" s="735" t="inlineStr">
        <is>
          <t>HKK202401170008</t>
        </is>
      </c>
      <c r="J8" s="736" t="inlineStr">
        <is>
          <t>泰国群光</t>
        </is>
      </c>
      <c r="K8" s="734" t="inlineStr">
        <is>
          <t>CHANHUA PTE. LTD.</t>
        </is>
      </c>
      <c r="L8" s="736" t="n">
        <v>5.428</v>
      </c>
      <c r="M8" s="398" t="n"/>
      <c r="N8" s="693" t="n"/>
    </row>
    <row r="9" customFormat="1" s="1">
      <c r="A9" s="1" t="n">
        <v>8</v>
      </c>
      <c r="B9" s="733" t="inlineStr">
        <is>
          <t>chanhua</t>
        </is>
      </c>
      <c r="C9" s="733" t="n">
        <v>45304</v>
      </c>
      <c r="D9" s="673" t="inlineStr">
        <is>
          <t>香港比特</t>
        </is>
      </c>
      <c r="E9" s="734" t="inlineStr">
        <is>
          <t>NJ-VT</t>
        </is>
      </c>
      <c r="F9" s="734" t="inlineStr">
        <is>
          <t>BM1366AL</t>
        </is>
      </c>
      <c r="G9" s="673">
        <f>VLOOKUP(F9,编码对账表!C:D,2,0)</f>
        <v/>
      </c>
      <c r="H9" s="396" t="n">
        <v>108869</v>
      </c>
      <c r="I9" s="735" t="inlineStr">
        <is>
          <t>HKK202401170009</t>
        </is>
      </c>
      <c r="J9" s="736" t="inlineStr">
        <is>
          <t>泰国益权</t>
        </is>
      </c>
      <c r="K9" s="734" t="inlineStr">
        <is>
          <t>CHANHUA PTE. LTD.</t>
        </is>
      </c>
      <c r="L9" s="736" t="n">
        <v>4.0649</v>
      </c>
      <c r="M9" s="398" t="n"/>
      <c r="N9" s="693" t="n"/>
    </row>
    <row r="10" customFormat="1" s="1">
      <c r="A10" s="1" t="n">
        <v>9</v>
      </c>
      <c r="B10" s="673" t="inlineStr">
        <is>
          <t>香港比特</t>
        </is>
      </c>
      <c r="C10" s="733" t="n">
        <v>45310</v>
      </c>
      <c r="D10" s="673" t="inlineStr">
        <is>
          <t>香港比特</t>
        </is>
      </c>
      <c r="E10" s="734" t="inlineStr">
        <is>
          <t>世纪云芯</t>
        </is>
      </c>
      <c r="F10" s="734" t="inlineStr">
        <is>
          <t>BM1366AG</t>
        </is>
      </c>
      <c r="G10" s="673">
        <f>VLOOKUP(F10,编码对账表!C:D,2,0)</f>
        <v/>
      </c>
      <c r="H10" s="396" t="n">
        <v>1402815</v>
      </c>
      <c r="I10" s="735" t="inlineStr">
        <is>
          <t>HKK202401190002</t>
        </is>
      </c>
      <c r="J10" s="736" t="inlineStr">
        <is>
          <t>WXHN</t>
        </is>
      </c>
      <c r="K10" s="734" t="inlineStr">
        <is>
          <t>CHANHUA PTE. LTD.</t>
        </is>
      </c>
      <c r="L10" s="742" t="n">
        <v>5.0841</v>
      </c>
      <c r="M10" s="398" t="n"/>
      <c r="N10" s="693" t="n"/>
    </row>
    <row r="11" customFormat="1" s="1">
      <c r="A11" s="1" t="n">
        <v>10</v>
      </c>
      <c r="B11" s="673" t="inlineStr">
        <is>
          <t>香港比特</t>
        </is>
      </c>
      <c r="C11" s="733" t="n">
        <v>45310</v>
      </c>
      <c r="D11" s="673" t="inlineStr">
        <is>
          <t>香港比特</t>
        </is>
      </c>
      <c r="E11" s="734" t="inlineStr">
        <is>
          <t>世纪云芯</t>
        </is>
      </c>
      <c r="F11" s="734" t="inlineStr">
        <is>
          <t>BM1366AL</t>
        </is>
      </c>
      <c r="G11" s="673">
        <f>VLOOKUP(F11,编码对账表!C:D,2,0)</f>
        <v/>
      </c>
      <c r="H11" s="396" t="n">
        <v>1580851</v>
      </c>
      <c r="I11" s="735" t="inlineStr">
        <is>
          <t>HKK202401190002</t>
        </is>
      </c>
      <c r="J11" s="736" t="inlineStr">
        <is>
          <t>WXHN</t>
        </is>
      </c>
      <c r="K11" s="734" t="inlineStr">
        <is>
          <t>CHANHUA PTE. LTD.</t>
        </is>
      </c>
      <c r="L11" s="742" t="n">
        <v>5.0841</v>
      </c>
      <c r="M11" s="398" t="n"/>
      <c r="N11" s="693" t="n"/>
    </row>
    <row r="12" customFormat="1" s="1">
      <c r="A12" s="1" t="n">
        <v>11</v>
      </c>
      <c r="B12" s="673" t="inlineStr">
        <is>
          <t>香港比特</t>
        </is>
      </c>
      <c r="C12" s="733" t="n">
        <v>45310</v>
      </c>
      <c r="D12" s="673" t="inlineStr">
        <is>
          <t>香港比特</t>
        </is>
      </c>
      <c r="E12" s="734" t="inlineStr">
        <is>
          <t>世纪云芯</t>
        </is>
      </c>
      <c r="F12" s="734" t="inlineStr">
        <is>
          <t>BM1489</t>
        </is>
      </c>
      <c r="G12" s="673">
        <f>VLOOKUP(F12,编码对账表!C:D,2,0)</f>
        <v/>
      </c>
      <c r="H12" s="396" t="n">
        <v>173351</v>
      </c>
      <c r="I12" s="735" t="inlineStr">
        <is>
          <t>HKK202401190003</t>
        </is>
      </c>
      <c r="J12" s="736" t="inlineStr">
        <is>
          <t>XJ</t>
        </is>
      </c>
      <c r="K12" s="734" t="inlineStr">
        <is>
          <t>CHANHUA PTE. LTD.</t>
        </is>
      </c>
      <c r="L12" s="742" t="n">
        <v>7.3261</v>
      </c>
      <c r="M12" s="398" t="n"/>
      <c r="N12" s="693" t="n"/>
    </row>
    <row r="13" customFormat="1" s="1">
      <c r="A13" s="1" t="n">
        <v>12</v>
      </c>
      <c r="B13" s="733" t="inlineStr">
        <is>
          <t>chanhua</t>
        </is>
      </c>
      <c r="C13" s="733" t="n">
        <v>45306</v>
      </c>
      <c r="D13" s="673" t="inlineStr">
        <is>
          <t>香港比特</t>
        </is>
      </c>
      <c r="E13" s="734" t="inlineStr">
        <is>
          <t>WXHN</t>
        </is>
      </c>
      <c r="F13" s="734" t="inlineStr">
        <is>
          <t>BM1366AL</t>
        </is>
      </c>
      <c r="G13" s="673">
        <f>VLOOKUP(F13,编码对账表!C:D,2,0)</f>
        <v/>
      </c>
      <c r="H13" s="396" t="n">
        <v>128377</v>
      </c>
      <c r="I13" s="735" t="inlineStr">
        <is>
          <t>HKK202401240001</t>
        </is>
      </c>
      <c r="J13" s="736" t="inlineStr">
        <is>
          <t>泰国益权</t>
        </is>
      </c>
      <c r="K13" s="734" t="inlineStr">
        <is>
          <t>CHANHUA PTE. LTD.</t>
        </is>
      </c>
      <c r="L13" s="736" t="n">
        <v>4.0649</v>
      </c>
      <c r="M13" s="398" t="n"/>
      <c r="N13" s="693" t="n"/>
    </row>
    <row r="14" customFormat="1" s="1">
      <c r="A14" s="1" t="n">
        <v>13</v>
      </c>
      <c r="B14" s="733" t="inlineStr">
        <is>
          <t>chanhua</t>
        </is>
      </c>
      <c r="C14" s="733" t="n">
        <v>45306</v>
      </c>
      <c r="D14" s="673" t="inlineStr">
        <is>
          <t>香港比特</t>
        </is>
      </c>
      <c r="E14" s="734" t="inlineStr">
        <is>
          <t>WXHN</t>
        </is>
      </c>
      <c r="F14" s="734" t="inlineStr">
        <is>
          <t>BM1366AL</t>
        </is>
      </c>
      <c r="G14" s="673">
        <f>VLOOKUP(F14,编码对账表!C:D,2,0)</f>
        <v/>
      </c>
      <c r="H14" s="396" t="n">
        <v>99327</v>
      </c>
      <c r="I14" s="735" t="inlineStr">
        <is>
          <t>HKK202401240001</t>
        </is>
      </c>
      <c r="J14" s="736" t="inlineStr">
        <is>
          <t>泰国群光</t>
        </is>
      </c>
      <c r="K14" s="734" t="inlineStr">
        <is>
          <t>CHANHUA PTE. LTD.</t>
        </is>
      </c>
      <c r="L14" s="736" t="n">
        <v>4.0649</v>
      </c>
      <c r="M14" s="398" t="n"/>
      <c r="N14" s="693" t="n"/>
    </row>
    <row r="15" customFormat="1" s="1">
      <c r="A15" s="1" t="n">
        <v>14</v>
      </c>
      <c r="B15" s="733" t="inlineStr">
        <is>
          <t>chanhua</t>
        </is>
      </c>
      <c r="C15" s="733" t="n">
        <v>45306</v>
      </c>
      <c r="D15" s="673" t="inlineStr">
        <is>
          <t>香港比特</t>
        </is>
      </c>
      <c r="E15" s="734" t="inlineStr">
        <is>
          <t>NJ-VT</t>
        </is>
      </c>
      <c r="F15" s="734" t="inlineStr">
        <is>
          <t>BM1366AL</t>
        </is>
      </c>
      <c r="G15" s="673">
        <f>VLOOKUP(F15,编码对账表!C:D,2,0)</f>
        <v/>
      </c>
      <c r="H15" s="396" t="n">
        <v>28093</v>
      </c>
      <c r="I15" s="735" t="inlineStr">
        <is>
          <t>HKK202401240002</t>
        </is>
      </c>
      <c r="J15" s="736" t="inlineStr">
        <is>
          <t>泰国益权</t>
        </is>
      </c>
      <c r="K15" s="734" t="inlineStr">
        <is>
          <t>CHANHUA PTE. LTD.</t>
        </is>
      </c>
      <c r="L15" s="736" t="n">
        <v>4.0649</v>
      </c>
      <c r="M15" s="398" t="n"/>
      <c r="N15" s="693" t="n"/>
    </row>
    <row r="16" customFormat="1" s="1">
      <c r="A16" s="1" t="n">
        <v>15</v>
      </c>
      <c r="B16" s="733" t="inlineStr">
        <is>
          <t>chanhua</t>
        </is>
      </c>
      <c r="C16" s="733" t="n">
        <v>45307</v>
      </c>
      <c r="D16" s="673" t="inlineStr">
        <is>
          <t>香港比特</t>
        </is>
      </c>
      <c r="E16" s="734" t="inlineStr">
        <is>
          <t>WXHN</t>
        </is>
      </c>
      <c r="F16" s="734" t="inlineStr">
        <is>
          <t>BM1366AL</t>
        </is>
      </c>
      <c r="G16" s="673">
        <f>VLOOKUP(F16,编码对账表!C:D,2,0)</f>
        <v/>
      </c>
      <c r="H16" s="396" t="n">
        <v>167162</v>
      </c>
      <c r="I16" s="735" t="inlineStr">
        <is>
          <t>HKK202401240003</t>
        </is>
      </c>
      <c r="J16" s="736" t="inlineStr">
        <is>
          <t>泰国益权</t>
        </is>
      </c>
      <c r="K16" s="734" t="inlineStr">
        <is>
          <t>CHANHUA PTE. LTD.</t>
        </is>
      </c>
      <c r="L16" s="736" t="n">
        <v>4.0649</v>
      </c>
      <c r="M16" s="398" t="n"/>
      <c r="N16" s="693" t="n"/>
    </row>
    <row r="17" customFormat="1" s="693">
      <c r="A17" s="1" t="n">
        <v>16</v>
      </c>
      <c r="B17" s="733" t="inlineStr">
        <is>
          <t>chanhua</t>
        </is>
      </c>
      <c r="C17" s="733" t="n">
        <v>45308</v>
      </c>
      <c r="D17" s="673" t="inlineStr">
        <is>
          <t>香港比特</t>
        </is>
      </c>
      <c r="E17" s="734" t="inlineStr">
        <is>
          <t>WX-HN</t>
        </is>
      </c>
      <c r="F17" s="734" t="inlineStr">
        <is>
          <t>BM1366AL</t>
        </is>
      </c>
      <c r="G17" s="673">
        <f>VLOOKUP(F17,编码对账表!C:D,2,0)</f>
        <v/>
      </c>
      <c r="H17" s="396" t="n">
        <v>643634</v>
      </c>
      <c r="I17" s="735" t="inlineStr">
        <is>
          <t>HKK202401240004</t>
        </is>
      </c>
      <c r="J17" s="736" t="inlineStr">
        <is>
          <t>印尼奥海</t>
        </is>
      </c>
      <c r="K17" s="734" t="inlineStr">
        <is>
          <t>CHANHUA PTE. LTD.</t>
        </is>
      </c>
      <c r="L17" s="736" t="n">
        <v>4.0649</v>
      </c>
      <c r="M17" s="398" t="n"/>
    </row>
    <row r="18" customFormat="1" s="693">
      <c r="A18" s="1" t="n">
        <v>17</v>
      </c>
      <c r="B18" s="733" t="inlineStr">
        <is>
          <t>chanhua</t>
        </is>
      </c>
      <c r="C18" s="733" t="n">
        <v>45309</v>
      </c>
      <c r="D18" s="673" t="inlineStr">
        <is>
          <t>香港比特</t>
        </is>
      </c>
      <c r="E18" s="734" t="inlineStr">
        <is>
          <t>NJ-VT</t>
        </is>
      </c>
      <c r="F18" s="734" t="inlineStr">
        <is>
          <t>BM1366AL</t>
        </is>
      </c>
      <c r="G18" s="673">
        <f>VLOOKUP(F18,编码对账表!C:D,2,0)</f>
        <v/>
      </c>
      <c r="H18" s="396" t="n">
        <v>45181</v>
      </c>
      <c r="I18" s="735" t="inlineStr">
        <is>
          <t>HKK202401240005</t>
        </is>
      </c>
      <c r="J18" s="736" t="inlineStr">
        <is>
          <t>印尼奥海</t>
        </is>
      </c>
      <c r="K18" s="734" t="inlineStr">
        <is>
          <t>CHANHUA PTE. LTD.</t>
        </is>
      </c>
      <c r="L18" s="736" t="n">
        <v>4.0649</v>
      </c>
      <c r="M18" s="398" t="n"/>
    </row>
    <row r="19" customFormat="1" s="693">
      <c r="A19" s="1" t="n">
        <v>18</v>
      </c>
      <c r="B19" s="733" t="inlineStr">
        <is>
          <t>chanhua</t>
        </is>
      </c>
      <c r="C19" s="733" t="n">
        <v>45311</v>
      </c>
      <c r="D19" s="673" t="inlineStr">
        <is>
          <t>香港比特</t>
        </is>
      </c>
      <c r="E19" s="734" t="inlineStr">
        <is>
          <t>XJ</t>
        </is>
      </c>
      <c r="F19" s="734" t="inlineStr">
        <is>
          <t>BM1368AA</t>
        </is>
      </c>
      <c r="G19" s="673">
        <f>VLOOKUP(F19,编码对账表!C:D,2,0)</f>
        <v/>
      </c>
      <c r="H19" s="396" t="n">
        <v>407477</v>
      </c>
      <c r="I19" s="735" t="inlineStr">
        <is>
          <t>HKK202401240006</t>
        </is>
      </c>
      <c r="J19" s="736" t="inlineStr">
        <is>
          <t>印尼奥海</t>
        </is>
      </c>
      <c r="K19" s="734" t="inlineStr">
        <is>
          <t>CHANHUA PTE. LTD.</t>
        </is>
      </c>
      <c r="L19" s="736" t="n">
        <v>5.428</v>
      </c>
      <c r="M19" s="398" t="n"/>
    </row>
    <row r="20" customFormat="1" s="693">
      <c r="A20" s="1" t="n">
        <v>19</v>
      </c>
      <c r="B20" s="733" t="inlineStr">
        <is>
          <t>chanhua</t>
        </is>
      </c>
      <c r="C20" s="733" t="n">
        <v>45316</v>
      </c>
      <c r="D20" s="673" t="inlineStr">
        <is>
          <t>香港比特</t>
        </is>
      </c>
      <c r="E20" s="734" t="inlineStr">
        <is>
          <t>XJ</t>
        </is>
      </c>
      <c r="F20" s="734" t="inlineStr">
        <is>
          <t>BM1368AA</t>
        </is>
      </c>
      <c r="G20" s="673">
        <f>VLOOKUP(F20,编码对账表!C:D,2,0)</f>
        <v/>
      </c>
      <c r="H20" s="396" t="n">
        <v>582325</v>
      </c>
      <c r="I20" s="735" t="inlineStr">
        <is>
          <t>HKK202401290010</t>
        </is>
      </c>
      <c r="J20" s="736" t="inlineStr">
        <is>
          <t>印尼奥海</t>
        </is>
      </c>
      <c r="K20" s="734" t="inlineStr">
        <is>
          <t>CHANHUA PTE. LTD.</t>
        </is>
      </c>
      <c r="L20" s="736" t="n">
        <v>5.428</v>
      </c>
      <c r="M20" s="398" t="n"/>
    </row>
    <row r="21" customFormat="1" s="693">
      <c r="A21" s="1" t="n">
        <v>20</v>
      </c>
      <c r="B21" s="733" t="inlineStr">
        <is>
          <t>chanhua</t>
        </is>
      </c>
      <c r="C21" s="733" t="n">
        <v>45316</v>
      </c>
      <c r="D21" s="673" t="inlineStr">
        <is>
          <t>香港比特</t>
        </is>
      </c>
      <c r="E21" s="734" t="inlineStr">
        <is>
          <t>SPIL</t>
        </is>
      </c>
      <c r="F21" s="734" t="inlineStr">
        <is>
          <t>BM1368PB</t>
        </is>
      </c>
      <c r="G21" s="673">
        <f>VLOOKUP(F21,编码对账表!C:D,2,0)</f>
        <v/>
      </c>
      <c r="H21" s="396" t="n">
        <v>2235600</v>
      </c>
      <c r="I21" s="735" t="inlineStr">
        <is>
          <t>HKK202401290011</t>
        </is>
      </c>
      <c r="J21" s="736" t="inlineStr">
        <is>
          <t>泰国益权</t>
        </is>
      </c>
      <c r="K21" s="734" t="inlineStr">
        <is>
          <t>CHANHUA PTE. LTD.</t>
        </is>
      </c>
      <c r="L21" s="736" t="n">
        <v>4.3949</v>
      </c>
      <c r="M21" s="398" t="n"/>
    </row>
    <row r="22" customFormat="1" s="693">
      <c r="A22" s="1" t="n">
        <v>21</v>
      </c>
      <c r="B22" s="733" t="inlineStr">
        <is>
          <t>chanhua</t>
        </is>
      </c>
      <c r="C22" s="733" t="n">
        <v>45316</v>
      </c>
      <c r="D22" s="673" t="inlineStr">
        <is>
          <t>香港比特</t>
        </is>
      </c>
      <c r="E22" s="734" t="inlineStr">
        <is>
          <t>WX-HN</t>
        </is>
      </c>
      <c r="F22" s="734" t="inlineStr">
        <is>
          <t>BM1368PB</t>
        </is>
      </c>
      <c r="G22" s="673">
        <f>VLOOKUP(F22,编码对账表!C:D,2,0)</f>
        <v/>
      </c>
      <c r="H22" s="396" t="n">
        <v>642023</v>
      </c>
      <c r="I22" s="735" t="inlineStr">
        <is>
          <t>HKK202401290012</t>
        </is>
      </c>
      <c r="J22" s="736" t="inlineStr">
        <is>
          <t>泰国益权</t>
        </is>
      </c>
      <c r="K22" s="734" t="inlineStr">
        <is>
          <t>CHANHUA PTE. LTD.</t>
        </is>
      </c>
      <c r="L22" s="736" t="n">
        <v>4.3949</v>
      </c>
      <c r="M22" s="398" t="n"/>
    </row>
    <row r="23" customFormat="1" s="693">
      <c r="A23" s="1" t="n">
        <v>22</v>
      </c>
      <c r="B23" s="733" t="inlineStr">
        <is>
          <t>chanhua</t>
        </is>
      </c>
      <c r="C23" s="733" t="n">
        <v>45317</v>
      </c>
      <c r="D23" s="673" t="inlineStr">
        <is>
          <t>香港比特</t>
        </is>
      </c>
      <c r="E23" s="734" t="inlineStr">
        <is>
          <t>JSCC</t>
        </is>
      </c>
      <c r="F23" s="734" t="inlineStr">
        <is>
          <t>BM1368PB</t>
        </is>
      </c>
      <c r="G23" s="673">
        <f>VLOOKUP(F23,编码对账表!C:D,2,0)</f>
        <v/>
      </c>
      <c r="H23" s="396" t="n">
        <v>753862</v>
      </c>
      <c r="I23" s="735" t="inlineStr">
        <is>
          <t>HKK202402020030</t>
        </is>
      </c>
      <c r="J23" s="736" t="inlineStr">
        <is>
          <t>泰国益权</t>
        </is>
      </c>
      <c r="K23" s="734" t="inlineStr">
        <is>
          <t>CHANHUA PTE. LTD.</t>
        </is>
      </c>
      <c r="L23" s="736" t="n">
        <v>4.3949</v>
      </c>
      <c r="M23" s="398" t="n"/>
    </row>
    <row r="24" customFormat="1" s="693">
      <c r="A24" s="1" t="n">
        <v>23</v>
      </c>
      <c r="B24" s="733" t="inlineStr">
        <is>
          <t>chanhua</t>
        </is>
      </c>
      <c r="C24" s="733" t="n">
        <v>45317</v>
      </c>
      <c r="D24" s="673" t="inlineStr">
        <is>
          <t>香港比特</t>
        </is>
      </c>
      <c r="E24" s="734" t="inlineStr">
        <is>
          <t>NJ-VT</t>
        </is>
      </c>
      <c r="F24" s="734" t="inlineStr">
        <is>
          <t>BM1366AL</t>
        </is>
      </c>
      <c r="G24" s="673">
        <f>VLOOKUP(F24,编码对账表!C:D,2,0)</f>
        <v/>
      </c>
      <c r="H24" s="396" t="n">
        <v>374544</v>
      </c>
      <c r="I24" s="735" t="inlineStr">
        <is>
          <t>HKK202402020031</t>
        </is>
      </c>
      <c r="J24" s="736" t="inlineStr">
        <is>
          <t>泰国益权</t>
        </is>
      </c>
      <c r="K24" s="734" t="inlineStr">
        <is>
          <t>CHANHUA PTE. LTD.</t>
        </is>
      </c>
      <c r="L24" s="736" t="n">
        <v>4.0649</v>
      </c>
      <c r="M24" s="398" t="n"/>
    </row>
    <row r="25" customFormat="1" s="693">
      <c r="A25" s="1" t="n">
        <v>24</v>
      </c>
      <c r="B25" s="733" t="inlineStr">
        <is>
          <t>chanhua</t>
        </is>
      </c>
      <c r="C25" s="733" t="n">
        <v>45317</v>
      </c>
      <c r="D25" s="673" t="inlineStr">
        <is>
          <t>香港比特</t>
        </is>
      </c>
      <c r="E25" s="734" t="inlineStr">
        <is>
          <t>WX-HN</t>
        </is>
      </c>
      <c r="F25" s="734" t="inlineStr">
        <is>
          <t>BM1366AL</t>
        </is>
      </c>
      <c r="G25" s="673">
        <f>VLOOKUP(F25,编码对账表!C:D,2,0)</f>
        <v/>
      </c>
      <c r="H25" s="396" t="n">
        <v>316998</v>
      </c>
      <c r="I25" s="735" t="inlineStr">
        <is>
          <t>HKK202402020032</t>
        </is>
      </c>
      <c r="J25" s="736" t="inlineStr">
        <is>
          <t>泰国益权</t>
        </is>
      </c>
      <c r="K25" s="734" t="inlineStr">
        <is>
          <t>CHANHUA PTE. LTD.</t>
        </is>
      </c>
      <c r="L25" s="736" t="n">
        <v>4.0649</v>
      </c>
      <c r="M25" s="398" t="n"/>
    </row>
    <row r="26" customFormat="1" s="693">
      <c r="A26" s="1" t="n">
        <v>25</v>
      </c>
      <c r="B26" s="733" t="inlineStr">
        <is>
          <t>chanhua</t>
        </is>
      </c>
      <c r="C26" s="733" t="n">
        <v>45317</v>
      </c>
      <c r="D26" s="673" t="inlineStr">
        <is>
          <t>香港比特</t>
        </is>
      </c>
      <c r="E26" s="734" t="inlineStr">
        <is>
          <t>XJ</t>
        </is>
      </c>
      <c r="F26" s="734" t="inlineStr">
        <is>
          <t>BM1366AL</t>
        </is>
      </c>
      <c r="G26" s="673">
        <f>VLOOKUP(F26,编码对账表!C:D,2,0)</f>
        <v/>
      </c>
      <c r="H26" s="396" t="n">
        <v>484478</v>
      </c>
      <c r="I26" s="735" t="inlineStr">
        <is>
          <t>HKK202402020033</t>
        </is>
      </c>
      <c r="J26" s="736" t="inlineStr">
        <is>
          <t>泰国益权</t>
        </is>
      </c>
      <c r="K26" s="734" t="inlineStr">
        <is>
          <t>CHANHUA PTE. LTD.</t>
        </is>
      </c>
      <c r="L26" s="736" t="n">
        <v>4.0649</v>
      </c>
      <c r="M26" s="398" t="n"/>
    </row>
    <row r="27" customFormat="1" s="693">
      <c r="A27" s="1" t="n">
        <v>26</v>
      </c>
      <c r="B27" s="733" t="inlineStr">
        <is>
          <t>chanhua</t>
        </is>
      </c>
      <c r="C27" s="733" t="n">
        <v>45317</v>
      </c>
      <c r="D27" s="673" t="inlineStr">
        <is>
          <t>香港比特</t>
        </is>
      </c>
      <c r="E27" s="734" t="inlineStr">
        <is>
          <t>XJ</t>
        </is>
      </c>
      <c r="F27" s="734" t="inlineStr">
        <is>
          <t>BM1368PB</t>
        </is>
      </c>
      <c r="G27" s="673">
        <f>VLOOKUP(F27,编码对账表!C:D,2,0)</f>
        <v/>
      </c>
      <c r="H27" s="396" t="n">
        <v>388608</v>
      </c>
      <c r="I27" s="735" t="inlineStr">
        <is>
          <t>HKK202402020034</t>
        </is>
      </c>
      <c r="J27" s="736" t="inlineStr">
        <is>
          <t>泰国益权</t>
        </is>
      </c>
      <c r="K27" s="734" t="inlineStr">
        <is>
          <t>CHANHUA PTE. LTD.</t>
        </is>
      </c>
      <c r="L27" s="736" t="n">
        <v>4.3949</v>
      </c>
      <c r="M27" s="398" t="n"/>
    </row>
    <row r="28" customFormat="1" s="693">
      <c r="A28" s="1" t="n">
        <v>27</v>
      </c>
      <c r="B28" s="733" t="inlineStr">
        <is>
          <t>chanhua</t>
        </is>
      </c>
      <c r="C28" s="733" t="n">
        <v>45317</v>
      </c>
      <c r="D28" s="673" t="inlineStr">
        <is>
          <t>新加坡比特</t>
        </is>
      </c>
      <c r="E28" s="734" t="inlineStr">
        <is>
          <t>WX-HN</t>
        </is>
      </c>
      <c r="F28" s="734" t="inlineStr">
        <is>
          <t>BM1368PB</t>
        </is>
      </c>
      <c r="G28" s="673">
        <f>VLOOKUP(F28,编码对账表!C:D,2,0)</f>
        <v/>
      </c>
      <c r="H28" s="396" t="n">
        <v>1328315</v>
      </c>
      <c r="I28" s="741" t="inlineStr">
        <is>
          <t>202402020002</t>
        </is>
      </c>
      <c r="J28" s="736" t="inlineStr">
        <is>
          <t>泰国ONETEC</t>
        </is>
      </c>
      <c r="K28" s="734" t="n"/>
      <c r="L28" s="736" t="n">
        <v>4.3949</v>
      </c>
      <c r="M28" s="398" t="n"/>
    </row>
    <row r="29" customFormat="1" s="693">
      <c r="A29" s="1" t="n">
        <v>28</v>
      </c>
      <c r="B29" s="733" t="inlineStr">
        <is>
          <t>chanhua</t>
        </is>
      </c>
      <c r="C29" s="733" t="n">
        <v>45320</v>
      </c>
      <c r="D29" s="673" t="inlineStr">
        <is>
          <t>香港比特</t>
        </is>
      </c>
      <c r="E29" s="734" t="inlineStr">
        <is>
          <t>WX-HN</t>
        </is>
      </c>
      <c r="F29" s="734" t="inlineStr">
        <is>
          <t>BM1366AL</t>
        </is>
      </c>
      <c r="G29" s="673">
        <f>VLOOKUP(F29,编码对账表!C:D,2,0)</f>
        <v/>
      </c>
      <c r="H29" s="396" t="n">
        <v>381192</v>
      </c>
      <c r="I29" s="735" t="inlineStr">
        <is>
          <t>HKK202402020035</t>
        </is>
      </c>
      <c r="J29" s="736" t="inlineStr">
        <is>
          <t>印尼奥海</t>
        </is>
      </c>
      <c r="K29" s="734" t="inlineStr">
        <is>
          <t>CHANHUA PTE. LTD.</t>
        </is>
      </c>
      <c r="L29" s="736" t="n">
        <v>4.0649</v>
      </c>
      <c r="M29" s="398" t="n"/>
    </row>
    <row r="30" customFormat="1" s="693">
      <c r="A30" s="1" t="n">
        <v>29</v>
      </c>
      <c r="B30" s="733" t="inlineStr">
        <is>
          <t>chanhua</t>
        </is>
      </c>
      <c r="C30" s="733" t="n">
        <v>45320</v>
      </c>
      <c r="D30" s="673" t="inlineStr">
        <is>
          <t>香港比特</t>
        </is>
      </c>
      <c r="E30" s="734" t="inlineStr">
        <is>
          <t>XJ</t>
        </is>
      </c>
      <c r="F30" s="734" t="inlineStr">
        <is>
          <t>BM1368AA</t>
        </is>
      </c>
      <c r="G30" s="673">
        <f>VLOOKUP(F30,编码对账表!C:D,2,0)</f>
        <v/>
      </c>
      <c r="H30" s="396" t="n">
        <v>1413717</v>
      </c>
      <c r="I30" s="743" t="inlineStr">
        <is>
          <t>HKK202402020036</t>
        </is>
      </c>
      <c r="J30" s="736" t="inlineStr">
        <is>
          <t>印尼奥海</t>
        </is>
      </c>
      <c r="K30" s="734" t="inlineStr">
        <is>
          <t>CHANHUA PTE. LTD.</t>
        </is>
      </c>
      <c r="L30" s="736" t="n">
        <v>5.428</v>
      </c>
      <c r="M30" s="398" t="n"/>
    </row>
    <row r="31" customFormat="1" s="693">
      <c r="A31" s="1" t="n">
        <v>30</v>
      </c>
      <c r="B31" s="733" t="inlineStr">
        <is>
          <t>chanhua</t>
        </is>
      </c>
      <c r="C31" s="733" t="n">
        <v>45320</v>
      </c>
      <c r="D31" s="673" t="inlineStr">
        <is>
          <t>香港比特</t>
        </is>
      </c>
      <c r="E31" s="734" t="inlineStr">
        <is>
          <t>JSCC</t>
        </is>
      </c>
      <c r="F31" s="734" t="inlineStr">
        <is>
          <t>BM1368PB</t>
        </is>
      </c>
      <c r="G31" s="673">
        <f>VLOOKUP(F31,编码对账表!C:D,2,0)</f>
        <v/>
      </c>
      <c r="H31" s="396" t="n">
        <v>1225823</v>
      </c>
      <c r="I31" s="735" t="inlineStr">
        <is>
          <t>HKK202402020037</t>
        </is>
      </c>
      <c r="J31" s="736" t="inlineStr">
        <is>
          <t>泰国益权</t>
        </is>
      </c>
      <c r="K31" s="734" t="inlineStr">
        <is>
          <t>CHANHUA PTE. LTD.</t>
        </is>
      </c>
      <c r="L31" s="736" t="n">
        <v>4.3949</v>
      </c>
      <c r="M31" s="398" t="n"/>
    </row>
    <row r="32" customFormat="1" s="693">
      <c r="A32" s="1" t="n">
        <v>31</v>
      </c>
      <c r="B32" s="733" t="inlineStr">
        <is>
          <t>chanhua</t>
        </is>
      </c>
      <c r="C32" s="733" t="n">
        <v>45322</v>
      </c>
      <c r="D32" s="673" t="inlineStr">
        <is>
          <t>香港比特</t>
        </is>
      </c>
      <c r="E32" s="734" t="inlineStr">
        <is>
          <t>WX-HN</t>
        </is>
      </c>
      <c r="F32" s="734" t="inlineStr">
        <is>
          <t>BM1368PB</t>
        </is>
      </c>
      <c r="G32" s="673">
        <f>VLOOKUP(F32,编码对账表!C:D,2,0)</f>
        <v/>
      </c>
      <c r="H32" s="396" t="n">
        <v>783344</v>
      </c>
      <c r="I32" s="735" t="inlineStr">
        <is>
          <t>HKK202402020038</t>
        </is>
      </c>
      <c r="J32" s="736" t="inlineStr">
        <is>
          <t>泰国益权</t>
        </is>
      </c>
      <c r="K32" s="734" t="inlineStr">
        <is>
          <t>CHANHUA PTE. LTD.</t>
        </is>
      </c>
      <c r="L32" s="736" t="n">
        <v>4.3949</v>
      </c>
      <c r="M32" s="398" t="n"/>
    </row>
    <row r="33" customFormat="1" s="693">
      <c r="A33" s="1" t="n">
        <v>32</v>
      </c>
      <c r="B33" s="733" t="inlineStr">
        <is>
          <t>chanhua</t>
        </is>
      </c>
      <c r="C33" s="733" t="n">
        <v>45322</v>
      </c>
      <c r="D33" s="673" t="inlineStr">
        <is>
          <t>香港比特</t>
        </is>
      </c>
      <c r="E33" s="734" t="inlineStr">
        <is>
          <t>XJ</t>
        </is>
      </c>
      <c r="F33" s="734" t="inlineStr">
        <is>
          <t>BM1366AL</t>
        </is>
      </c>
      <c r="G33" s="673">
        <f>VLOOKUP(F33,编码对账表!C:D,2,0)</f>
        <v/>
      </c>
      <c r="H33" s="396" t="n">
        <v>348383</v>
      </c>
      <c r="I33" s="735" t="inlineStr">
        <is>
          <t>HKK202402020039</t>
        </is>
      </c>
      <c r="J33" s="736" t="inlineStr">
        <is>
          <t>泰国益权</t>
        </is>
      </c>
      <c r="K33" s="734" t="inlineStr">
        <is>
          <t>CHANHUA PTE. LTD.</t>
        </is>
      </c>
      <c r="L33" s="736" t="n">
        <v>4.0649</v>
      </c>
      <c r="M33" s="398" t="n"/>
    </row>
    <row r="34" customFormat="1" s="693">
      <c r="A34" s="1" t="n">
        <v>33</v>
      </c>
      <c r="B34" s="733" t="inlineStr">
        <is>
          <t>chanhua</t>
        </is>
      </c>
      <c r="C34" s="733" t="n">
        <v>45322</v>
      </c>
      <c r="D34" s="673" t="inlineStr">
        <is>
          <t>香港比特</t>
        </is>
      </c>
      <c r="E34" s="734" t="inlineStr">
        <is>
          <t>XJ</t>
        </is>
      </c>
      <c r="F34" s="734" t="inlineStr">
        <is>
          <t>BM1368AA</t>
        </is>
      </c>
      <c r="G34" s="673">
        <f>VLOOKUP(F34,编码对账表!C:D,2,0)</f>
        <v/>
      </c>
      <c r="H34" s="396" t="n">
        <v>1127272</v>
      </c>
      <c r="I34" s="735" t="inlineStr">
        <is>
          <t>HKK202402020040</t>
        </is>
      </c>
      <c r="J34" s="736" t="inlineStr">
        <is>
          <t>泰国群光</t>
        </is>
      </c>
      <c r="K34" s="734" t="inlineStr">
        <is>
          <t>CHANHUA PTE. LTD.</t>
        </is>
      </c>
      <c r="L34" s="736" t="n">
        <v>5.428</v>
      </c>
      <c r="M34" s="398" t="n"/>
    </row>
    <row r="35" customFormat="1" s="693">
      <c r="A35" s="1" t="n">
        <v>34</v>
      </c>
      <c r="B35" s="733" t="inlineStr">
        <is>
          <t>chanhua</t>
        </is>
      </c>
      <c r="C35" s="733" t="n">
        <v>45323</v>
      </c>
      <c r="D35" s="673" t="inlineStr">
        <is>
          <t>香港比特</t>
        </is>
      </c>
      <c r="E35" s="734" t="inlineStr">
        <is>
          <t>SPILSZ</t>
        </is>
      </c>
      <c r="F35" s="734" t="inlineStr">
        <is>
          <t>BM1368PB</t>
        </is>
      </c>
      <c r="G35" s="673">
        <f>VLOOKUP(F35,编码对账表!C:D,2,0)</f>
        <v/>
      </c>
      <c r="H35" s="396" t="n">
        <v>79597</v>
      </c>
      <c r="I35" s="735" t="inlineStr">
        <is>
          <t>HKK202402080001</t>
        </is>
      </c>
      <c r="J35" s="736" t="inlineStr">
        <is>
          <t>泰国益权</t>
        </is>
      </c>
      <c r="K35" s="734" t="inlineStr">
        <is>
          <t>CHANHUA PTE. LTD.</t>
        </is>
      </c>
      <c r="L35" s="736" t="n">
        <v>4.3949</v>
      </c>
      <c r="M35" s="398" t="n"/>
    </row>
    <row r="36" customFormat="1" s="693">
      <c r="A36" s="1" t="n">
        <v>35</v>
      </c>
      <c r="B36" s="733" t="inlineStr">
        <is>
          <t>chanhua</t>
        </is>
      </c>
      <c r="C36" s="733" t="n">
        <v>45324</v>
      </c>
      <c r="D36" s="673" t="inlineStr">
        <is>
          <t>香港比特</t>
        </is>
      </c>
      <c r="E36" s="734" t="inlineStr">
        <is>
          <t>XJ</t>
        </is>
      </c>
      <c r="F36" s="734" t="inlineStr">
        <is>
          <t>BM1368AA</t>
        </is>
      </c>
      <c r="G36" s="673">
        <f>VLOOKUP(F36,编码对账表!C:D,2,0)</f>
        <v/>
      </c>
      <c r="H36" s="396" t="n">
        <v>183951</v>
      </c>
      <c r="I36" s="735" t="inlineStr">
        <is>
          <t>HKK202402080002</t>
        </is>
      </c>
      <c r="J36" s="736" t="inlineStr">
        <is>
          <t>泰国群光</t>
        </is>
      </c>
      <c r="K36" s="734" t="inlineStr">
        <is>
          <t>CHANHUA PTE. LTD.</t>
        </is>
      </c>
      <c r="L36" s="736" t="n">
        <v>5.428</v>
      </c>
      <c r="M36" s="398" t="n"/>
    </row>
    <row r="37" customFormat="1" s="693">
      <c r="A37" s="1" t="n">
        <v>36</v>
      </c>
      <c r="B37" s="733" t="inlineStr">
        <is>
          <t>chanhua</t>
        </is>
      </c>
      <c r="C37" s="733" t="n">
        <v>45324</v>
      </c>
      <c r="D37" s="673" t="inlineStr">
        <is>
          <t>香港比特</t>
        </is>
      </c>
      <c r="E37" s="734" t="inlineStr">
        <is>
          <t>XJ</t>
        </is>
      </c>
      <c r="F37" s="734" t="inlineStr">
        <is>
          <t>BM1368AA</t>
        </is>
      </c>
      <c r="G37" s="673">
        <f>VLOOKUP(F37,编码对账表!C:D,2,0)</f>
        <v/>
      </c>
      <c r="H37" s="396" t="n">
        <v>451567</v>
      </c>
      <c r="I37" s="735" t="inlineStr">
        <is>
          <t>HKK202402080003</t>
        </is>
      </c>
      <c r="J37" s="736" t="inlineStr">
        <is>
          <t>印尼奥海</t>
        </is>
      </c>
      <c r="K37" s="734" t="inlineStr">
        <is>
          <t>CHANHUA PTE. LTD.</t>
        </is>
      </c>
      <c r="L37" s="736" t="n">
        <v>5.428</v>
      </c>
      <c r="M37" s="398" t="n"/>
    </row>
    <row r="38" customFormat="1" s="693">
      <c r="A38" s="1" t="n">
        <v>37</v>
      </c>
      <c r="B38" s="733" t="inlineStr">
        <is>
          <t>chanhua</t>
        </is>
      </c>
      <c r="C38" s="733" t="n">
        <v>45324</v>
      </c>
      <c r="D38" s="673" t="inlineStr">
        <is>
          <t>香港比特</t>
        </is>
      </c>
      <c r="E38" s="734" t="inlineStr">
        <is>
          <t>WX-HN</t>
        </is>
      </c>
      <c r="F38" s="734" t="inlineStr">
        <is>
          <t>BM1368AA</t>
        </is>
      </c>
      <c r="G38" s="673">
        <f>VLOOKUP(F38,编码对账表!C:D,2,0)</f>
        <v/>
      </c>
      <c r="H38" s="396" t="n">
        <v>1243730</v>
      </c>
      <c r="I38" s="735" t="inlineStr">
        <is>
          <t>HKK202402080004</t>
        </is>
      </c>
      <c r="J38" s="736" t="inlineStr">
        <is>
          <t>印尼奥海</t>
        </is>
      </c>
      <c r="K38" s="734" t="inlineStr">
        <is>
          <t>CHANHUA PTE. LTD.</t>
        </is>
      </c>
      <c r="L38" s="736" t="n">
        <v>5.428</v>
      </c>
      <c r="M38" s="398" t="n"/>
    </row>
    <row r="39" customFormat="1" s="693">
      <c r="A39" s="1" t="n">
        <v>38</v>
      </c>
      <c r="B39" s="733" t="inlineStr">
        <is>
          <t>chanhua</t>
        </is>
      </c>
      <c r="C39" s="733" t="n">
        <v>45326</v>
      </c>
      <c r="D39" s="673" t="inlineStr">
        <is>
          <t>香港比特</t>
        </is>
      </c>
      <c r="E39" s="734" t="inlineStr">
        <is>
          <t>SPILSZ</t>
        </is>
      </c>
      <c r="F39" s="734" t="inlineStr">
        <is>
          <t>BM1368PB</t>
        </is>
      </c>
      <c r="G39" s="673">
        <f>VLOOKUP(F39,编码对账表!C:D,2,0)</f>
        <v/>
      </c>
      <c r="H39" s="396" t="n">
        <v>69308</v>
      </c>
      <c r="I39" s="735" t="inlineStr">
        <is>
          <t>HKK202402080005</t>
        </is>
      </c>
      <c r="J39" s="736" t="inlineStr">
        <is>
          <t>泰国群光</t>
        </is>
      </c>
      <c r="K39" s="734" t="inlineStr">
        <is>
          <t>CHANHUA PTE. LTD.</t>
        </is>
      </c>
      <c r="L39" s="736" t="n">
        <v>4.3949</v>
      </c>
      <c r="M39" s="398" t="n"/>
    </row>
    <row r="40" customFormat="1" s="693">
      <c r="A40" s="1" t="n">
        <v>39</v>
      </c>
      <c r="B40" s="733" t="inlineStr">
        <is>
          <t>chanhua</t>
        </is>
      </c>
      <c r="C40" s="733" t="n">
        <v>45326</v>
      </c>
      <c r="D40" s="673" t="inlineStr">
        <is>
          <t>香港比特</t>
        </is>
      </c>
      <c r="E40" s="734" t="inlineStr">
        <is>
          <t>SPILSZ</t>
        </is>
      </c>
      <c r="F40" s="734" t="inlineStr">
        <is>
          <t>BM1368PV</t>
        </is>
      </c>
      <c r="G40" s="673">
        <f>VLOOKUP(F40,编码对账表!C:D,2,0)</f>
        <v/>
      </c>
      <c r="H40" s="396" t="n">
        <v>287712</v>
      </c>
      <c r="I40" s="735" t="inlineStr">
        <is>
          <t>HKK202402080006</t>
        </is>
      </c>
      <c r="J40" s="736" t="inlineStr">
        <is>
          <t>泰国群光</t>
        </is>
      </c>
      <c r="K40" s="734" t="inlineStr">
        <is>
          <t>CHANHUA PTE. LTD.</t>
        </is>
      </c>
      <c r="L40" s="736" t="n">
        <v>4.3949</v>
      </c>
      <c r="M40" s="398" t="n"/>
    </row>
    <row r="41" customFormat="1" s="693">
      <c r="A41" s="1" t="n">
        <v>40</v>
      </c>
      <c r="B41" s="733" t="inlineStr">
        <is>
          <t>chanhua</t>
        </is>
      </c>
      <c r="C41" s="733" t="n">
        <v>45326</v>
      </c>
      <c r="D41" s="673" t="inlineStr">
        <is>
          <t>香港比特</t>
        </is>
      </c>
      <c r="E41" s="734" t="inlineStr">
        <is>
          <t>WX-HN</t>
        </is>
      </c>
      <c r="F41" s="734" t="inlineStr">
        <is>
          <t>BM1368PB</t>
        </is>
      </c>
      <c r="G41" s="673">
        <f>VLOOKUP(F41,编码对账表!C:D,2,0)</f>
        <v/>
      </c>
      <c r="H41" s="396" t="n">
        <v>47940</v>
      </c>
      <c r="I41" s="735" t="inlineStr">
        <is>
          <t>HKK202402080007</t>
        </is>
      </c>
      <c r="J41" s="736" t="inlineStr">
        <is>
          <t>泰国群光</t>
        </is>
      </c>
      <c r="K41" s="734" t="inlineStr">
        <is>
          <t>CHANHUA PTE. LTD.</t>
        </is>
      </c>
      <c r="L41" s="736" t="n">
        <v>4.3949</v>
      </c>
      <c r="M41" s="398" t="n"/>
    </row>
    <row r="42" customFormat="1" s="693">
      <c r="A42" s="1" t="n">
        <v>41</v>
      </c>
      <c r="B42" s="733" t="inlineStr">
        <is>
          <t>chanhua</t>
        </is>
      </c>
      <c r="C42" s="733" t="n">
        <v>45326</v>
      </c>
      <c r="D42" s="673" t="inlineStr">
        <is>
          <t>香港比特</t>
        </is>
      </c>
      <c r="E42" s="734" t="inlineStr">
        <is>
          <t>WX-HN</t>
        </is>
      </c>
      <c r="F42" s="734" t="inlineStr">
        <is>
          <t>BM1368PV</t>
        </is>
      </c>
      <c r="G42" s="673">
        <f>VLOOKUP(F42,编码对账表!C:D,2,0)</f>
        <v/>
      </c>
      <c r="H42" s="396" t="n">
        <v>1529699</v>
      </c>
      <c r="I42" s="735" t="inlineStr">
        <is>
          <t>HKK202402080007</t>
        </is>
      </c>
      <c r="J42" s="736" t="inlineStr">
        <is>
          <t>泰国群光</t>
        </is>
      </c>
      <c r="K42" s="734" t="inlineStr">
        <is>
          <t>CHANHUA PTE. LTD.</t>
        </is>
      </c>
      <c r="L42" s="736" t="n">
        <v>4.3949</v>
      </c>
      <c r="M42" s="398" t="n"/>
    </row>
    <row r="43" customFormat="1" s="693">
      <c r="A43" s="1" t="n">
        <v>42</v>
      </c>
      <c r="B43" s="733" t="inlineStr">
        <is>
          <t>chanhua</t>
        </is>
      </c>
      <c r="C43" s="733" t="n">
        <v>45326</v>
      </c>
      <c r="D43" s="673" t="inlineStr">
        <is>
          <t>香港比特</t>
        </is>
      </c>
      <c r="E43" s="734" t="inlineStr">
        <is>
          <t>WX-HN</t>
        </is>
      </c>
      <c r="F43" s="734" t="inlineStr">
        <is>
          <t>BM1368PB</t>
        </is>
      </c>
      <c r="G43" s="673">
        <f>VLOOKUP(F43,编码对账表!C:D,2,0)</f>
        <v/>
      </c>
      <c r="H43" s="396" t="n">
        <v>382802</v>
      </c>
      <c r="I43" s="735" t="inlineStr">
        <is>
          <t>HKK202402080008</t>
        </is>
      </c>
      <c r="J43" s="736" t="inlineStr">
        <is>
          <t>泰国益权</t>
        </is>
      </c>
      <c r="K43" s="734" t="inlineStr">
        <is>
          <t>CHANHUA PTE. LTD.</t>
        </is>
      </c>
      <c r="L43" s="736" t="n">
        <v>4.3949</v>
      </c>
      <c r="M43" s="398" t="n"/>
    </row>
    <row r="44" customFormat="1" s="693">
      <c r="A44" s="1" t="n">
        <v>43</v>
      </c>
      <c r="B44" s="733" t="inlineStr">
        <is>
          <t>chanhua</t>
        </is>
      </c>
      <c r="C44" s="733" t="n">
        <v>45326</v>
      </c>
      <c r="D44" s="673" t="inlineStr">
        <is>
          <t>香港比特</t>
        </is>
      </c>
      <c r="E44" s="734" t="inlineStr">
        <is>
          <t>WX-HN</t>
        </is>
      </c>
      <c r="F44" s="734" t="inlineStr">
        <is>
          <t>BM1368PV</t>
        </is>
      </c>
      <c r="G44" s="673">
        <f>VLOOKUP(F44,编码对账表!C:D,2,0)</f>
        <v/>
      </c>
      <c r="H44" s="396" t="n">
        <v>1264291</v>
      </c>
      <c r="I44" s="735" t="inlineStr">
        <is>
          <t>HKK202402080008</t>
        </is>
      </c>
      <c r="J44" s="736" t="inlineStr">
        <is>
          <t>泰国益权</t>
        </is>
      </c>
      <c r="K44" s="734" t="inlineStr">
        <is>
          <t>CHANHUA PTE. LTD.</t>
        </is>
      </c>
      <c r="L44" s="736" t="n">
        <v>4.3949</v>
      </c>
      <c r="M44" s="398" t="n"/>
    </row>
    <row r="45" customFormat="1" s="693">
      <c r="A45" s="1" t="n">
        <v>44</v>
      </c>
      <c r="B45" s="733" t="inlineStr">
        <is>
          <t>chanhua</t>
        </is>
      </c>
      <c r="C45" s="733" t="n">
        <v>45327</v>
      </c>
      <c r="D45" s="673" t="inlineStr">
        <is>
          <t>香港比特</t>
        </is>
      </c>
      <c r="E45" s="734" t="inlineStr">
        <is>
          <t>XJ</t>
        </is>
      </c>
      <c r="F45" s="734" t="inlineStr">
        <is>
          <t>BM1368AA</t>
        </is>
      </c>
      <c r="G45" s="673">
        <f>VLOOKUP(F45,编码对账表!C:D,2,0)</f>
        <v/>
      </c>
      <c r="H45" s="396" t="n">
        <v>949030</v>
      </c>
      <c r="I45" s="735" t="inlineStr">
        <is>
          <t>HKK202402080009</t>
        </is>
      </c>
      <c r="J45" s="736" t="inlineStr">
        <is>
          <t>泰国群光</t>
        </is>
      </c>
      <c r="K45" s="734" t="inlineStr">
        <is>
          <t>CHANHUA PTE. LTD.</t>
        </is>
      </c>
      <c r="L45" s="736" t="n">
        <v>5.428</v>
      </c>
      <c r="M45" s="398" t="n"/>
    </row>
    <row r="46" customFormat="1" s="693">
      <c r="A46" s="1" t="n">
        <v>45</v>
      </c>
      <c r="B46" s="733" t="inlineStr">
        <is>
          <t>chanhua</t>
        </is>
      </c>
      <c r="C46" s="733" t="n">
        <v>45328</v>
      </c>
      <c r="D46" s="673" t="inlineStr">
        <is>
          <t>香港比特</t>
        </is>
      </c>
      <c r="E46" s="734" t="inlineStr">
        <is>
          <t>XJ</t>
        </is>
      </c>
      <c r="F46" s="734" t="inlineStr">
        <is>
          <t>BM1368AA</t>
        </is>
      </c>
      <c r="G46" s="673">
        <f>VLOOKUP(F46,编码对账表!C:D,2,0)</f>
        <v/>
      </c>
      <c r="H46" s="396" t="n">
        <v>274546</v>
      </c>
      <c r="I46" s="735" t="inlineStr">
        <is>
          <t>HKK202402210001</t>
        </is>
      </c>
      <c r="J46" s="736" t="inlineStr">
        <is>
          <t>泰国群光</t>
        </is>
      </c>
      <c r="K46" s="734" t="inlineStr">
        <is>
          <t>CHANHUA PTE. LTD.</t>
        </is>
      </c>
      <c r="L46" s="736" t="n">
        <v>5.428</v>
      </c>
      <c r="M46" s="398" t="n"/>
    </row>
    <row r="47" customFormat="1" s="693">
      <c r="A47" s="1" t="n">
        <v>46</v>
      </c>
      <c r="B47" s="733" t="inlineStr">
        <is>
          <t>chanhua</t>
        </is>
      </c>
      <c r="C47" s="733" t="n">
        <v>45329</v>
      </c>
      <c r="D47" s="673" t="inlineStr">
        <is>
          <t>香港比特</t>
        </is>
      </c>
      <c r="E47" s="734" t="inlineStr">
        <is>
          <t>JSCC</t>
        </is>
      </c>
      <c r="F47" s="734" t="inlineStr">
        <is>
          <t>BM1368PB</t>
        </is>
      </c>
      <c r="G47" s="673">
        <f>VLOOKUP(F47,编码对账表!C:D,2,0)</f>
        <v/>
      </c>
      <c r="H47" s="396" t="n">
        <v>237227</v>
      </c>
      <c r="I47" s="735" t="inlineStr">
        <is>
          <t>HKK202402210002</t>
        </is>
      </c>
      <c r="J47" s="736" t="inlineStr">
        <is>
          <t>泰国群光</t>
        </is>
      </c>
      <c r="K47" s="734" t="inlineStr">
        <is>
          <t>CHANHUA PTE. LTD.</t>
        </is>
      </c>
      <c r="L47" s="736" t="n">
        <v>4.3949</v>
      </c>
      <c r="M47" s="398" t="n"/>
    </row>
    <row r="48" customFormat="1" s="693">
      <c r="A48" s="1" t="n">
        <v>47</v>
      </c>
      <c r="B48" s="733" t="inlineStr">
        <is>
          <t>chanhua</t>
        </is>
      </c>
      <c r="C48" s="733" t="n">
        <v>45329</v>
      </c>
      <c r="D48" s="673" t="inlineStr">
        <is>
          <t>香港比特</t>
        </is>
      </c>
      <c r="E48" s="734" t="inlineStr">
        <is>
          <t>JSCC</t>
        </is>
      </c>
      <c r="F48" s="734" t="inlineStr">
        <is>
          <t>BM1368PV</t>
        </is>
      </c>
      <c r="G48" s="673">
        <f>VLOOKUP(F48,编码对账表!C:D,2,0)</f>
        <v/>
      </c>
      <c r="H48" s="396" t="n">
        <v>634174</v>
      </c>
      <c r="I48" s="735" t="inlineStr">
        <is>
          <t>HKK202402210003</t>
        </is>
      </c>
      <c r="J48" s="736" t="inlineStr">
        <is>
          <t>泰国群光</t>
        </is>
      </c>
      <c r="K48" s="734" t="inlineStr">
        <is>
          <t>CHANHUA PTE. LTD.</t>
        </is>
      </c>
      <c r="L48" s="736" t="n">
        <v>4.3949</v>
      </c>
      <c r="M48" s="398" t="n"/>
    </row>
    <row r="49" customFormat="1" s="693">
      <c r="A49" s="1" t="n">
        <v>48</v>
      </c>
      <c r="B49" s="733" t="inlineStr">
        <is>
          <t>chanhua</t>
        </is>
      </c>
      <c r="C49" s="733" t="n">
        <v>45330</v>
      </c>
      <c r="D49" s="673" t="inlineStr">
        <is>
          <t>香港比特</t>
        </is>
      </c>
      <c r="E49" s="734" t="inlineStr">
        <is>
          <t>WX-HN</t>
        </is>
      </c>
      <c r="F49" s="734" t="inlineStr">
        <is>
          <t>BM1368AA</t>
        </is>
      </c>
      <c r="G49" s="673">
        <f>VLOOKUP(F49,编码对账表!C:D,2,0)</f>
        <v/>
      </c>
      <c r="H49" s="396" t="n">
        <v>1260069</v>
      </c>
      <c r="I49" s="735" t="inlineStr">
        <is>
          <t>HKK202402210004</t>
        </is>
      </c>
      <c r="J49" s="736" t="inlineStr">
        <is>
          <t>泰国群光</t>
        </is>
      </c>
      <c r="K49" s="734" t="inlineStr">
        <is>
          <t>CHANHUA PTE. LTD.</t>
        </is>
      </c>
      <c r="L49" s="736" t="n">
        <v>5.428</v>
      </c>
      <c r="M49" s="398" t="n"/>
    </row>
    <row r="50" customFormat="1" s="693">
      <c r="A50" s="1" t="n">
        <v>49</v>
      </c>
      <c r="B50" s="733" t="inlineStr">
        <is>
          <t>chanhua</t>
        </is>
      </c>
      <c r="C50" s="733" t="n">
        <v>45330</v>
      </c>
      <c r="D50" s="673" t="inlineStr">
        <is>
          <t>香港比特</t>
        </is>
      </c>
      <c r="E50" s="734" t="inlineStr">
        <is>
          <t>XJ</t>
        </is>
      </c>
      <c r="F50" s="734" t="inlineStr">
        <is>
          <t>BM1368AA</t>
        </is>
      </c>
      <c r="G50" s="673">
        <f>VLOOKUP(F50,编码对账表!C:D,2,0)</f>
        <v/>
      </c>
      <c r="H50" s="396" t="n">
        <v>510401</v>
      </c>
      <c r="I50" s="735" t="inlineStr">
        <is>
          <t>HKK202402210005</t>
        </is>
      </c>
      <c r="J50" s="736" t="inlineStr">
        <is>
          <t>泰国群光</t>
        </is>
      </c>
      <c r="K50" s="734" t="inlineStr">
        <is>
          <t>CHANHUA PTE. LTD.</t>
        </is>
      </c>
      <c r="L50" s="736" t="n">
        <v>5.428</v>
      </c>
      <c r="M50" s="398" t="n"/>
    </row>
    <row r="51" customFormat="1" s="693">
      <c r="A51" s="1" t="n">
        <v>50</v>
      </c>
      <c r="B51" s="733" t="inlineStr">
        <is>
          <t>chanhua</t>
        </is>
      </c>
      <c r="C51" s="733" t="n">
        <v>45337</v>
      </c>
      <c r="D51" s="673" t="inlineStr">
        <is>
          <t>香港比特</t>
        </is>
      </c>
      <c r="E51" s="734" t="inlineStr">
        <is>
          <t>JSCC</t>
        </is>
      </c>
      <c r="F51" s="734" t="inlineStr">
        <is>
          <t>BM1368PB</t>
        </is>
      </c>
      <c r="G51" s="673">
        <f>VLOOKUP(F51,编码对账表!C:D,2,0)</f>
        <v/>
      </c>
      <c r="H51" s="396" t="n">
        <v>300566</v>
      </c>
      <c r="I51" s="735" t="inlineStr">
        <is>
          <t>HKK202402210006</t>
        </is>
      </c>
      <c r="J51" s="736" t="inlineStr">
        <is>
          <t>泰国群光</t>
        </is>
      </c>
      <c r="K51" s="734" t="inlineStr">
        <is>
          <t>CHANHUA PTE. LTD.</t>
        </is>
      </c>
      <c r="L51" s="736" t="n">
        <v>4.3949</v>
      </c>
      <c r="M51" s="398" t="n"/>
    </row>
    <row r="52" customFormat="1" s="693">
      <c r="A52" s="1" t="n">
        <v>51</v>
      </c>
      <c r="B52" s="733" t="inlineStr">
        <is>
          <t>chanhua</t>
        </is>
      </c>
      <c r="C52" s="733" t="n">
        <v>45329</v>
      </c>
      <c r="D52" s="673" t="inlineStr">
        <is>
          <t>香港比特</t>
        </is>
      </c>
      <c r="E52" s="734" t="inlineStr">
        <is>
          <t>WX-HN</t>
        </is>
      </c>
      <c r="F52" s="734" t="inlineStr">
        <is>
          <t>BM1368PB</t>
        </is>
      </c>
      <c r="G52" s="673">
        <f>VLOOKUP(F52,编码对账表!C:D,2,0)</f>
        <v/>
      </c>
      <c r="H52" s="396" t="n">
        <v>842848</v>
      </c>
      <c r="I52" s="735" t="inlineStr">
        <is>
          <t>HKK202402210007</t>
        </is>
      </c>
      <c r="J52" s="736" t="inlineStr">
        <is>
          <t>泰国益权</t>
        </is>
      </c>
      <c r="K52" s="734" t="inlineStr">
        <is>
          <t>CHANHUA PTE. LTD.</t>
        </is>
      </c>
      <c r="L52" s="736" t="n">
        <v>4.3949</v>
      </c>
      <c r="M52" s="398" t="n"/>
    </row>
    <row r="53" customFormat="1" s="693">
      <c r="A53" s="1" t="n">
        <v>52</v>
      </c>
      <c r="B53" s="733" t="inlineStr">
        <is>
          <t>chanhua</t>
        </is>
      </c>
      <c r="C53" s="733" t="n">
        <v>45334</v>
      </c>
      <c r="D53" s="673" t="inlineStr">
        <is>
          <t>香港比特</t>
        </is>
      </c>
      <c r="E53" s="734" t="inlineStr">
        <is>
          <t>XJ</t>
        </is>
      </c>
      <c r="F53" s="734" t="inlineStr">
        <is>
          <t>BM1368AA</t>
        </is>
      </c>
      <c r="G53" s="673">
        <f>VLOOKUP(F53,编码对账表!C:D,2,0)</f>
        <v/>
      </c>
      <c r="H53" s="396" t="n">
        <v>516261</v>
      </c>
      <c r="I53" s="735" t="inlineStr">
        <is>
          <t>HKK202402210008</t>
        </is>
      </c>
      <c r="J53" s="736" t="inlineStr">
        <is>
          <t>泰国益权</t>
        </is>
      </c>
      <c r="K53" s="734" t="inlineStr">
        <is>
          <t>CHANHUA PTE. LTD.</t>
        </is>
      </c>
      <c r="L53" s="736" t="n">
        <v>5.428</v>
      </c>
      <c r="M53" s="398" t="n"/>
    </row>
    <row r="54" customFormat="1" s="693">
      <c r="A54" s="1" t="n">
        <v>53</v>
      </c>
      <c r="B54" s="733" t="inlineStr">
        <is>
          <t>chanhua</t>
        </is>
      </c>
      <c r="C54" s="733" t="n">
        <v>45334</v>
      </c>
      <c r="D54" s="673" t="inlineStr">
        <is>
          <t>香港比特</t>
        </is>
      </c>
      <c r="E54" s="734" t="inlineStr">
        <is>
          <t>WX-HN</t>
        </is>
      </c>
      <c r="F54" s="734" t="inlineStr">
        <is>
          <t>BM1368PB</t>
        </is>
      </c>
      <c r="G54" s="673">
        <f>VLOOKUP(F54,编码对账表!C:D,2,0)</f>
        <v/>
      </c>
      <c r="H54" s="396" t="n">
        <v>1132924</v>
      </c>
      <c r="I54" s="735" t="inlineStr">
        <is>
          <t>HKK202402210009</t>
        </is>
      </c>
      <c r="J54" s="736" t="inlineStr">
        <is>
          <t>泰国益权</t>
        </is>
      </c>
      <c r="K54" s="734" t="inlineStr">
        <is>
          <t>CHANHUA PTE. LTD.</t>
        </is>
      </c>
      <c r="L54" s="736" t="n">
        <v>4.3949</v>
      </c>
      <c r="M54" s="398" t="n"/>
    </row>
    <row r="55" customFormat="1" s="693">
      <c r="A55" s="1" t="n">
        <v>54</v>
      </c>
      <c r="B55" s="733" t="inlineStr">
        <is>
          <t>chanhua</t>
        </is>
      </c>
      <c r="C55" s="733" t="n">
        <v>45337</v>
      </c>
      <c r="D55" s="673" t="inlineStr">
        <is>
          <t>香港比特</t>
        </is>
      </c>
      <c r="E55" s="734" t="inlineStr">
        <is>
          <t>XJ</t>
        </is>
      </c>
      <c r="F55" s="734" t="inlineStr">
        <is>
          <t>BM1368AA</t>
        </is>
      </c>
      <c r="G55" s="673">
        <f>VLOOKUP(F55,编码对账表!C:D,2,0)</f>
        <v/>
      </c>
      <c r="H55" s="396" t="n">
        <v>302831</v>
      </c>
      <c r="I55" s="735" t="inlineStr">
        <is>
          <t>HKK202402210010</t>
        </is>
      </c>
      <c r="J55" s="736" t="inlineStr">
        <is>
          <t>泰国益权</t>
        </is>
      </c>
      <c r="K55" s="734" t="inlineStr">
        <is>
          <t>CHANHUA PTE. LTD.</t>
        </is>
      </c>
      <c r="L55" s="736" t="n">
        <v>5.428</v>
      </c>
      <c r="M55" s="398" t="n"/>
    </row>
    <row r="56" customFormat="1" s="693">
      <c r="A56" s="1" t="n">
        <v>55</v>
      </c>
      <c r="B56" s="733" t="inlineStr">
        <is>
          <t>chanhua</t>
        </is>
      </c>
      <c r="C56" s="733" t="n">
        <v>45337</v>
      </c>
      <c r="D56" s="673" t="inlineStr">
        <is>
          <t>香港比特</t>
        </is>
      </c>
      <c r="E56" s="734" t="inlineStr">
        <is>
          <t>NJ-VT</t>
        </is>
      </c>
      <c r="F56" s="734" t="inlineStr">
        <is>
          <t>BM1368PB</t>
        </is>
      </c>
      <c r="G56" s="673">
        <f>VLOOKUP(F56,编码对账表!C:D,2,0)</f>
        <v/>
      </c>
      <c r="H56" s="396" t="n">
        <v>448830</v>
      </c>
      <c r="I56" s="735" t="inlineStr">
        <is>
          <t>HKK202402210011</t>
        </is>
      </c>
      <c r="J56" s="736" t="inlineStr">
        <is>
          <t>泰国益权</t>
        </is>
      </c>
      <c r="K56" s="734" t="inlineStr">
        <is>
          <t>CHANHUA PTE. LTD.</t>
        </is>
      </c>
      <c r="L56" s="736" t="n">
        <v>4.3949</v>
      </c>
      <c r="M56" s="398" t="n"/>
    </row>
    <row r="57" customFormat="1" s="693">
      <c r="A57" s="1" t="n">
        <v>56</v>
      </c>
      <c r="B57" s="733" t="inlineStr">
        <is>
          <t>chanhua</t>
        </is>
      </c>
      <c r="C57" s="733" t="n">
        <v>45337</v>
      </c>
      <c r="D57" s="673" t="inlineStr">
        <is>
          <t>香港比特</t>
        </is>
      </c>
      <c r="E57" s="734" t="inlineStr">
        <is>
          <t>NJ-VT</t>
        </is>
      </c>
      <c r="F57" s="734" t="inlineStr">
        <is>
          <t>BM1368PV</t>
        </is>
      </c>
      <c r="G57" s="673">
        <f>VLOOKUP(F57,编码对账表!C:D,2,0)</f>
        <v/>
      </c>
      <c r="H57" s="396" t="n">
        <v>252246</v>
      </c>
      <c r="I57" s="735" t="inlineStr">
        <is>
          <t>HKK202402210012</t>
        </is>
      </c>
      <c r="J57" s="736" t="inlineStr">
        <is>
          <t>泰国益权</t>
        </is>
      </c>
      <c r="K57" s="734" t="inlineStr">
        <is>
          <t>CHANHUA PTE. LTD.</t>
        </is>
      </c>
      <c r="L57" s="736" t="n">
        <v>4.3949</v>
      </c>
      <c r="M57" s="398" t="n"/>
    </row>
    <row r="58" customFormat="1" s="693">
      <c r="A58" s="1" t="n">
        <v>57</v>
      </c>
      <c r="B58" s="733" t="inlineStr">
        <is>
          <t>chanhua</t>
        </is>
      </c>
      <c r="C58" s="733" t="n">
        <v>45328</v>
      </c>
      <c r="D58" s="673" t="inlineStr">
        <is>
          <t>香港比特</t>
        </is>
      </c>
      <c r="E58" s="734" t="inlineStr">
        <is>
          <t>SPILSZ</t>
        </is>
      </c>
      <c r="F58" s="734" t="inlineStr">
        <is>
          <t>BM1368PB</t>
        </is>
      </c>
      <c r="G58" s="673">
        <f>VLOOKUP(F58,编码对账表!C:D,2,0)</f>
        <v/>
      </c>
      <c r="H58" s="396" t="n">
        <v>133477</v>
      </c>
      <c r="I58" s="735" t="inlineStr">
        <is>
          <t>HKK202402210015</t>
        </is>
      </c>
      <c r="J58" s="736" t="inlineStr">
        <is>
          <t>印尼奥海</t>
        </is>
      </c>
      <c r="K58" s="734" t="inlineStr">
        <is>
          <t>CHANHUA PTE. LTD.</t>
        </is>
      </c>
      <c r="L58" s="736" t="n">
        <v>4.3949</v>
      </c>
      <c r="M58" s="398" t="n"/>
    </row>
    <row r="59" customFormat="1" s="693">
      <c r="A59" s="1" t="n">
        <v>58</v>
      </c>
      <c r="B59" s="733" t="inlineStr">
        <is>
          <t>chanhua</t>
        </is>
      </c>
      <c r="C59" s="733" t="n">
        <v>45328</v>
      </c>
      <c r="D59" s="673" t="inlineStr">
        <is>
          <t>香港比特</t>
        </is>
      </c>
      <c r="E59" s="734" t="inlineStr">
        <is>
          <t>SPILSZ</t>
        </is>
      </c>
      <c r="F59" s="734" t="inlineStr">
        <is>
          <t>BM1368PV</t>
        </is>
      </c>
      <c r="G59" s="673">
        <f>VLOOKUP(F59,编码对账表!C:D,2,0)</f>
        <v/>
      </c>
      <c r="H59" s="396" t="n">
        <v>27216</v>
      </c>
      <c r="I59" s="735" t="inlineStr">
        <is>
          <t>HKK202402210016</t>
        </is>
      </c>
      <c r="J59" s="736" t="inlineStr">
        <is>
          <t>印尼奥海</t>
        </is>
      </c>
      <c r="K59" s="734" t="inlineStr">
        <is>
          <t>CHANHUA PTE. LTD.</t>
        </is>
      </c>
      <c r="L59" s="736" t="n">
        <v>4.3949</v>
      </c>
      <c r="M59" s="398" t="n"/>
    </row>
    <row r="60" customFormat="1" s="693">
      <c r="A60" s="1" t="n">
        <v>59</v>
      </c>
      <c r="B60" s="733" t="inlineStr">
        <is>
          <t>chanhua</t>
        </is>
      </c>
      <c r="C60" s="733" t="n">
        <v>45329</v>
      </c>
      <c r="D60" s="673" t="inlineStr">
        <is>
          <t>香港比特</t>
        </is>
      </c>
      <c r="E60" s="734" t="inlineStr">
        <is>
          <t>XJ</t>
        </is>
      </c>
      <c r="F60" s="734" t="inlineStr">
        <is>
          <t>BM1368AA</t>
        </is>
      </c>
      <c r="G60" s="673">
        <f>VLOOKUP(F60,编码对账表!C:D,2,0)</f>
        <v/>
      </c>
      <c r="H60" s="396" t="n">
        <v>2228509</v>
      </c>
      <c r="I60" s="735" t="inlineStr">
        <is>
          <t>HKK202402210017</t>
        </is>
      </c>
      <c r="J60" s="736" t="inlineStr">
        <is>
          <t>印尼奥海</t>
        </is>
      </c>
      <c r="K60" s="734" t="inlineStr">
        <is>
          <t>CHANHUA PTE. LTD.</t>
        </is>
      </c>
      <c r="L60" s="736" t="n">
        <v>5.428</v>
      </c>
      <c r="M60" s="398" t="n"/>
    </row>
    <row r="61" customFormat="1" s="693">
      <c r="A61" s="1" t="n">
        <v>60</v>
      </c>
      <c r="B61" s="733" t="inlineStr">
        <is>
          <t>chanhua</t>
        </is>
      </c>
      <c r="C61" s="733" t="n">
        <v>45333</v>
      </c>
      <c r="D61" s="673" t="inlineStr">
        <is>
          <t>香港比特</t>
        </is>
      </c>
      <c r="E61" s="734" t="inlineStr">
        <is>
          <t>SPILSZ</t>
        </is>
      </c>
      <c r="F61" s="734" t="inlineStr">
        <is>
          <t>BM1368PB</t>
        </is>
      </c>
      <c r="G61" s="673">
        <f>VLOOKUP(F61,编码对账表!C:D,2,0)</f>
        <v/>
      </c>
      <c r="H61" s="396" t="n">
        <v>217957</v>
      </c>
      <c r="I61" s="735" t="inlineStr">
        <is>
          <t>HKK202402210015</t>
        </is>
      </c>
      <c r="J61" s="736" t="inlineStr">
        <is>
          <t>印尼奥海</t>
        </is>
      </c>
      <c r="K61" s="734" t="inlineStr">
        <is>
          <t>CHANHUA PTE. LTD.</t>
        </is>
      </c>
      <c r="L61" s="736" t="n">
        <v>4.3949</v>
      </c>
      <c r="M61" s="398" t="n"/>
    </row>
    <row r="62" customFormat="1" s="693">
      <c r="A62" s="1" t="n">
        <v>61</v>
      </c>
      <c r="B62" s="733" t="inlineStr">
        <is>
          <t>chanhua</t>
        </is>
      </c>
      <c r="C62" s="733" t="n">
        <v>45333</v>
      </c>
      <c r="D62" s="673" t="inlineStr">
        <is>
          <t>香港比特</t>
        </is>
      </c>
      <c r="E62" s="734" t="inlineStr">
        <is>
          <t>SPILSZ</t>
        </is>
      </c>
      <c r="F62" s="734" t="inlineStr">
        <is>
          <t>BM1368PV</t>
        </is>
      </c>
      <c r="G62" s="673">
        <f>VLOOKUP(F62,编码对账表!C:D,2,0)</f>
        <v/>
      </c>
      <c r="H62" s="396" t="n">
        <v>108864</v>
      </c>
      <c r="I62" s="735" t="inlineStr">
        <is>
          <t>HKK202402210016</t>
        </is>
      </c>
      <c r="J62" s="736" t="inlineStr">
        <is>
          <t>印尼奥海</t>
        </is>
      </c>
      <c r="K62" s="734" t="inlineStr">
        <is>
          <t>CHANHUA PTE. LTD.</t>
        </is>
      </c>
      <c r="L62" s="736" t="n">
        <v>4.3949</v>
      </c>
      <c r="M62" s="398" t="n"/>
    </row>
    <row r="63" customFormat="1" s="693">
      <c r="A63" s="1" t="n">
        <v>62</v>
      </c>
      <c r="B63" s="733" t="inlineStr">
        <is>
          <t>chanhua</t>
        </is>
      </c>
      <c r="C63" s="733" t="n">
        <v>45334</v>
      </c>
      <c r="D63" s="673" t="inlineStr">
        <is>
          <t>香港比特</t>
        </is>
      </c>
      <c r="E63" s="734" t="inlineStr">
        <is>
          <t>XJ</t>
        </is>
      </c>
      <c r="F63" s="734" t="inlineStr">
        <is>
          <t>BM1368AA</t>
        </is>
      </c>
      <c r="G63" s="673">
        <f>VLOOKUP(F63,编码对账表!C:D,2,0)</f>
        <v/>
      </c>
      <c r="H63" s="396" t="n">
        <v>11220</v>
      </c>
      <c r="I63" s="735" t="inlineStr">
        <is>
          <t>HKK202402210017</t>
        </is>
      </c>
      <c r="J63" s="736" t="inlineStr">
        <is>
          <t>印尼奥海</t>
        </is>
      </c>
      <c r="K63" s="734" t="inlineStr">
        <is>
          <t>CHANHUA PTE. LTD.</t>
        </is>
      </c>
      <c r="L63" s="736" t="n">
        <v>5.428</v>
      </c>
      <c r="M63" s="398" t="n"/>
    </row>
    <row r="64" customFormat="1" s="693">
      <c r="A64" s="1" t="n">
        <v>63</v>
      </c>
      <c r="B64" s="733" t="inlineStr">
        <is>
          <t>chanhua</t>
        </is>
      </c>
      <c r="C64" s="733" t="n">
        <v>45337</v>
      </c>
      <c r="D64" s="673" t="inlineStr">
        <is>
          <t>香港比特</t>
        </is>
      </c>
      <c r="E64" s="734" t="inlineStr">
        <is>
          <t>NJ-VT</t>
        </is>
      </c>
      <c r="F64" s="734" t="inlineStr">
        <is>
          <t>BM1368PB</t>
        </is>
      </c>
      <c r="G64" s="673">
        <f>VLOOKUP(F64,编码对账表!C:D,2,0)</f>
        <v/>
      </c>
      <c r="H64" s="396" t="n">
        <v>744757</v>
      </c>
      <c r="I64" s="735" t="inlineStr">
        <is>
          <t>HKK202402210013</t>
        </is>
      </c>
      <c r="J64" s="736" t="inlineStr">
        <is>
          <t>印尼奥海</t>
        </is>
      </c>
      <c r="K64" s="734" t="inlineStr">
        <is>
          <t>CHANHUA PTE. LTD.</t>
        </is>
      </c>
      <c r="L64" s="736" t="n">
        <v>4.3949</v>
      </c>
      <c r="M64" s="398" t="n"/>
    </row>
    <row r="65" customFormat="1" s="693">
      <c r="A65" s="1" t="n">
        <v>64</v>
      </c>
      <c r="B65" s="733" t="inlineStr">
        <is>
          <t>chanhua</t>
        </is>
      </c>
      <c r="C65" s="733" t="n">
        <v>45336</v>
      </c>
      <c r="D65" s="673" t="inlineStr">
        <is>
          <t>香港比特</t>
        </is>
      </c>
      <c r="E65" s="734" t="inlineStr">
        <is>
          <t>SPILSZ</t>
        </is>
      </c>
      <c r="F65" s="734" t="inlineStr">
        <is>
          <t>BM1368PB</t>
        </is>
      </c>
      <c r="G65" s="673">
        <f>VLOOKUP(F65,编码对账表!C:D,2,0)</f>
        <v/>
      </c>
      <c r="H65" s="396" t="n">
        <v>364896</v>
      </c>
      <c r="I65" s="735" t="inlineStr">
        <is>
          <t>HKK202402210015</t>
        </is>
      </c>
      <c r="J65" s="736" t="inlineStr">
        <is>
          <t>印尼奥海</t>
        </is>
      </c>
      <c r="K65" s="734" t="inlineStr">
        <is>
          <t>CHANHUA PTE. LTD.</t>
        </is>
      </c>
      <c r="L65" s="736" t="n">
        <v>4.3949</v>
      </c>
      <c r="M65" s="398" t="n"/>
    </row>
    <row r="66" customFormat="1" s="693">
      <c r="A66" s="1" t="n">
        <v>65</v>
      </c>
      <c r="B66" s="733" t="inlineStr">
        <is>
          <t>chanhua</t>
        </is>
      </c>
      <c r="C66" s="733" t="n">
        <v>45337</v>
      </c>
      <c r="D66" s="673" t="inlineStr">
        <is>
          <t>香港比特</t>
        </is>
      </c>
      <c r="E66" s="734" t="inlineStr">
        <is>
          <t>NJ-VT</t>
        </is>
      </c>
      <c r="F66" s="734" t="inlineStr">
        <is>
          <t>BM1368PV</t>
        </is>
      </c>
      <c r="G66" s="673">
        <f>VLOOKUP(F66,编码对账表!C:D,2,0)</f>
        <v/>
      </c>
      <c r="H66" s="396" t="n">
        <v>356447</v>
      </c>
      <c r="I66" s="735" t="inlineStr">
        <is>
          <t>HKK202402210014</t>
        </is>
      </c>
      <c r="J66" s="736" t="inlineStr">
        <is>
          <t>印尼奥海</t>
        </is>
      </c>
      <c r="K66" s="734" t="inlineStr">
        <is>
          <t>CHANHUA PTE. LTD.</t>
        </is>
      </c>
      <c r="L66" s="736" t="n">
        <v>4.3949</v>
      </c>
      <c r="M66" s="398" t="n"/>
    </row>
    <row r="67" customFormat="1" s="693">
      <c r="A67" s="1" t="n">
        <v>66</v>
      </c>
      <c r="B67" s="733" t="inlineStr">
        <is>
          <t>chanhua</t>
        </is>
      </c>
      <c r="C67" s="733" t="n">
        <v>45336</v>
      </c>
      <c r="D67" s="673" t="inlineStr">
        <is>
          <t>香港比特</t>
        </is>
      </c>
      <c r="E67" s="734" t="inlineStr">
        <is>
          <t>SPILSZ</t>
        </is>
      </c>
      <c r="F67" s="734" t="inlineStr">
        <is>
          <t>BM1368PV</t>
        </is>
      </c>
      <c r="G67" s="673">
        <f>VLOOKUP(F67,编码对账表!C:D,2,0)</f>
        <v/>
      </c>
      <c r="H67" s="396" t="n">
        <v>128304</v>
      </c>
      <c r="I67" s="735" t="inlineStr">
        <is>
          <t>HKK202402210016</t>
        </is>
      </c>
      <c r="J67" s="736" t="inlineStr">
        <is>
          <t>印尼奥海</t>
        </is>
      </c>
      <c r="K67" s="734" t="inlineStr">
        <is>
          <t>CHANHUA PTE. LTD.</t>
        </is>
      </c>
      <c r="L67" s="736" t="n">
        <v>4.3949</v>
      </c>
      <c r="M67" s="398" t="n"/>
    </row>
    <row r="68" customFormat="1" s="693">
      <c r="A68" s="1" t="n">
        <v>67</v>
      </c>
      <c r="B68" s="733" t="inlineStr">
        <is>
          <t>chanhua</t>
        </is>
      </c>
      <c r="C68" s="733" t="n">
        <v>45348</v>
      </c>
      <c r="D68" s="673" t="inlineStr">
        <is>
          <t>香港比特</t>
        </is>
      </c>
      <c r="E68" s="734" t="inlineStr">
        <is>
          <t>NJ-VT</t>
        </is>
      </c>
      <c r="F68" s="734" t="inlineStr">
        <is>
          <t>BM1368PB</t>
        </is>
      </c>
      <c r="G68" s="673">
        <f>VLOOKUP(F68,编码对账表!C:D,2,0)</f>
        <v/>
      </c>
      <c r="H68" s="396" t="n">
        <v>2014808</v>
      </c>
      <c r="I68" s="735" t="inlineStr">
        <is>
          <t>HKK202403010018</t>
        </is>
      </c>
      <c r="J68" s="736" t="inlineStr">
        <is>
          <t>印尼奥海</t>
        </is>
      </c>
      <c r="K68" s="734" t="inlineStr">
        <is>
          <t>CHANHUA PTE. LTD.</t>
        </is>
      </c>
      <c r="L68" s="736" t="n">
        <v>4.3949</v>
      </c>
      <c r="M68" s="398" t="n"/>
    </row>
    <row r="69" customFormat="1" s="693">
      <c r="A69" s="1" t="n">
        <v>68</v>
      </c>
      <c r="B69" s="733" t="inlineStr">
        <is>
          <t>chanhua</t>
        </is>
      </c>
      <c r="C69" s="733" t="n">
        <v>45344</v>
      </c>
      <c r="D69" s="673" t="inlineStr">
        <is>
          <t>香港比特</t>
        </is>
      </c>
      <c r="E69" s="734" t="inlineStr">
        <is>
          <t>SPILSZ</t>
        </is>
      </c>
      <c r="F69" s="734" t="inlineStr">
        <is>
          <t>BM1368PB</t>
        </is>
      </c>
      <c r="G69" s="673">
        <f>VLOOKUP(F69,编码对账表!C:D,2,0)</f>
        <v/>
      </c>
      <c r="H69" s="396" t="n">
        <v>1452282</v>
      </c>
      <c r="I69" s="735" t="inlineStr">
        <is>
          <t>HKK202403010019</t>
        </is>
      </c>
      <c r="J69" s="736" t="inlineStr">
        <is>
          <t>印尼奥海</t>
        </is>
      </c>
      <c r="K69" s="734" t="inlineStr">
        <is>
          <t>CHANHUA PTE. LTD.</t>
        </is>
      </c>
      <c r="L69" s="736" t="n">
        <v>4.3949</v>
      </c>
      <c r="M69" s="398" t="n"/>
    </row>
    <row r="70" customFormat="1" s="693">
      <c r="A70" s="1" t="n">
        <v>69</v>
      </c>
      <c r="B70" s="733" t="inlineStr">
        <is>
          <t>chanhua</t>
        </is>
      </c>
      <c r="C70" s="733" t="n">
        <v>45345</v>
      </c>
      <c r="D70" s="673" t="inlineStr">
        <is>
          <t>香港比特</t>
        </is>
      </c>
      <c r="E70" s="734" t="inlineStr">
        <is>
          <t>WX-HN</t>
        </is>
      </c>
      <c r="F70" s="734" t="inlineStr">
        <is>
          <t>BM1368PB</t>
        </is>
      </c>
      <c r="G70" s="673">
        <f>VLOOKUP(F70,编码对账表!C:D,2,0)</f>
        <v/>
      </c>
      <c r="H70" s="396" t="n">
        <v>1148942</v>
      </c>
      <c r="I70" s="735" t="inlineStr">
        <is>
          <t>HKK202403010020</t>
        </is>
      </c>
      <c r="J70" s="736" t="inlineStr">
        <is>
          <t>印尼奥海</t>
        </is>
      </c>
      <c r="K70" s="734" t="inlineStr">
        <is>
          <t>CHANHUA PTE. LTD.</t>
        </is>
      </c>
      <c r="L70" s="736" t="n">
        <v>4.3949</v>
      </c>
      <c r="M70" s="398" t="n"/>
    </row>
    <row r="71" customFormat="1" s="693">
      <c r="A71" s="1" t="n">
        <v>70</v>
      </c>
      <c r="B71" s="733" t="inlineStr">
        <is>
          <t>chanhua</t>
        </is>
      </c>
      <c r="C71" s="733" t="n">
        <v>45348</v>
      </c>
      <c r="D71" s="673" t="inlineStr">
        <is>
          <t>香港比特</t>
        </is>
      </c>
      <c r="E71" s="734" t="inlineStr">
        <is>
          <t>WX-HN</t>
        </is>
      </c>
      <c r="F71" s="734" t="inlineStr">
        <is>
          <t>BM1368PB</t>
        </is>
      </c>
      <c r="G71" s="673">
        <f>VLOOKUP(F71,编码对账表!C:D,2,0)</f>
        <v/>
      </c>
      <c r="H71" s="396" t="n">
        <v>504368</v>
      </c>
      <c r="I71" s="735" t="inlineStr">
        <is>
          <t>HKK202403010021</t>
        </is>
      </c>
      <c r="J71" s="736" t="inlineStr">
        <is>
          <t>印尼奥海</t>
        </is>
      </c>
      <c r="K71" s="734" t="inlineStr">
        <is>
          <t>CHANHUA PTE. LTD.</t>
        </is>
      </c>
      <c r="L71" s="736" t="n">
        <v>4.3949</v>
      </c>
      <c r="M71" s="398" t="n"/>
    </row>
    <row r="72" customFormat="1" s="693">
      <c r="A72" s="1" t="n">
        <v>71</v>
      </c>
      <c r="B72" s="733" t="inlineStr">
        <is>
          <t>chanhua</t>
        </is>
      </c>
      <c r="C72" s="733" t="n">
        <v>45348</v>
      </c>
      <c r="D72" s="673" t="inlineStr">
        <is>
          <t>香港比特</t>
        </is>
      </c>
      <c r="E72" s="734" t="inlineStr">
        <is>
          <t>NJ-VT</t>
        </is>
      </c>
      <c r="F72" s="734" t="inlineStr">
        <is>
          <t>BM1368PB</t>
        </is>
      </c>
      <c r="G72" s="673">
        <f>VLOOKUP(F72,编码对账表!C:D,2,0)</f>
        <v/>
      </c>
      <c r="H72" s="396" t="n">
        <v>719272</v>
      </c>
      <c r="I72" s="735" t="inlineStr">
        <is>
          <t>HKK202403010022</t>
        </is>
      </c>
      <c r="J72" s="736" t="inlineStr">
        <is>
          <t>泰国益权</t>
        </is>
      </c>
      <c r="K72" s="734" t="inlineStr">
        <is>
          <t>CHANHUA PTE. LTD.</t>
        </is>
      </c>
      <c r="L72" s="736" t="n">
        <v>4.3949</v>
      </c>
      <c r="M72" s="398" t="n"/>
    </row>
    <row r="73" customFormat="1" s="693">
      <c r="A73" s="1" t="n">
        <v>72</v>
      </c>
      <c r="B73" s="733" t="inlineStr">
        <is>
          <t>chanhua</t>
        </is>
      </c>
      <c r="C73" s="733" t="n">
        <v>45348</v>
      </c>
      <c r="D73" s="673" t="inlineStr">
        <is>
          <t>香港比特</t>
        </is>
      </c>
      <c r="E73" s="734" t="inlineStr">
        <is>
          <t>NJ-VT</t>
        </is>
      </c>
      <c r="F73" s="734" t="inlineStr">
        <is>
          <t>BM1368PV</t>
        </is>
      </c>
      <c r="G73" s="673">
        <f>VLOOKUP(F73,编码对账表!C:D,2,0)</f>
        <v/>
      </c>
      <c r="H73" s="396" t="n">
        <v>621258</v>
      </c>
      <c r="I73" s="735" t="inlineStr">
        <is>
          <t>HKK202403010023</t>
        </is>
      </c>
      <c r="J73" s="736" t="inlineStr">
        <is>
          <t>泰国益权</t>
        </is>
      </c>
      <c r="K73" s="734" t="inlineStr">
        <is>
          <t>CHANHUA PTE. LTD.</t>
        </is>
      </c>
      <c r="L73" s="736" t="n">
        <v>4.3949</v>
      </c>
      <c r="M73" s="398" t="n"/>
    </row>
    <row r="74" customFormat="1" s="693">
      <c r="A74" s="1" t="n">
        <v>73</v>
      </c>
      <c r="B74" s="733" t="inlineStr">
        <is>
          <t>chanhua</t>
        </is>
      </c>
      <c r="C74" s="733" t="n">
        <v>45350</v>
      </c>
      <c r="D74" s="673" t="inlineStr">
        <is>
          <t>香港比特</t>
        </is>
      </c>
      <c r="E74" s="734" t="inlineStr">
        <is>
          <t>SPILSZ</t>
        </is>
      </c>
      <c r="F74" s="734" t="inlineStr">
        <is>
          <t>BM1368PV</t>
        </is>
      </c>
      <c r="G74" s="673">
        <f>VLOOKUP(F74,编码对账表!C:D,2,0)</f>
        <v/>
      </c>
      <c r="H74" s="396" t="n">
        <v>283119</v>
      </c>
      <c r="I74" s="735" t="inlineStr">
        <is>
          <t>HKK202403010024</t>
        </is>
      </c>
      <c r="J74" s="736" t="inlineStr">
        <is>
          <t>泰国益权</t>
        </is>
      </c>
      <c r="K74" s="734" t="inlineStr">
        <is>
          <t>CHANHUA PTE. LTD.</t>
        </is>
      </c>
      <c r="L74" s="736" t="n">
        <v>4.3949</v>
      </c>
      <c r="M74" s="398" t="n"/>
    </row>
    <row r="75" customFormat="1" s="693">
      <c r="A75" s="1" t="n">
        <v>74</v>
      </c>
      <c r="B75" s="733" t="inlineStr">
        <is>
          <t>chanhua</t>
        </is>
      </c>
      <c r="C75" s="733" t="n">
        <v>45350</v>
      </c>
      <c r="D75" s="673" t="inlineStr">
        <is>
          <t>香港比特</t>
        </is>
      </c>
      <c r="E75" s="734" t="inlineStr">
        <is>
          <t>XJ</t>
        </is>
      </c>
      <c r="F75" s="734" t="inlineStr">
        <is>
          <t>BM1368PB</t>
        </is>
      </c>
      <c r="G75" s="673">
        <f>VLOOKUP(F75,编码对账表!C:D,2,0)</f>
        <v/>
      </c>
      <c r="H75" s="396" t="n">
        <v>326367</v>
      </c>
      <c r="I75" s="735" t="inlineStr">
        <is>
          <t>HKK202403010025</t>
        </is>
      </c>
      <c r="J75" s="736" t="inlineStr">
        <is>
          <t>泰国益权</t>
        </is>
      </c>
      <c r="K75" s="734" t="inlineStr">
        <is>
          <t>CHANHUA PTE. LTD.</t>
        </is>
      </c>
      <c r="L75" s="736" t="n">
        <v>4.3949</v>
      </c>
      <c r="M75" s="398" t="n"/>
    </row>
    <row r="76" customFormat="1" s="693">
      <c r="A76" s="1" t="n">
        <v>75</v>
      </c>
      <c r="B76" s="733" t="inlineStr">
        <is>
          <t>chanhua</t>
        </is>
      </c>
      <c r="C76" s="733" t="n">
        <v>45345</v>
      </c>
      <c r="D76" s="673" t="inlineStr">
        <is>
          <t>新加坡比特</t>
        </is>
      </c>
      <c r="E76" s="734" t="inlineStr">
        <is>
          <t>JSCC</t>
        </is>
      </c>
      <c r="F76" s="734" t="inlineStr">
        <is>
          <t>BM1368PB</t>
        </is>
      </c>
      <c r="G76" s="673">
        <f>VLOOKUP(F76,编码对账表!C:D,2,0)</f>
        <v/>
      </c>
      <c r="H76" s="396" t="n">
        <v>2014041</v>
      </c>
      <c r="I76" s="744" t="inlineStr">
        <is>
          <t>202403010007</t>
        </is>
      </c>
      <c r="J76" s="736" t="inlineStr">
        <is>
          <t>泰国ONETEC</t>
        </is>
      </c>
      <c r="K76" s="734" t="inlineStr">
        <is>
          <t>CHANHUA PTE. LTD.</t>
        </is>
      </c>
      <c r="L76" s="736" t="n">
        <v>4.3949</v>
      </c>
      <c r="M76" s="398" t="n"/>
    </row>
    <row r="77" customFormat="1" s="693">
      <c r="A77" s="1" t="n">
        <v>76</v>
      </c>
      <c r="B77" s="733" t="inlineStr">
        <is>
          <t>chanhua</t>
        </is>
      </c>
      <c r="C77" s="733" t="n">
        <v>45345</v>
      </c>
      <c r="D77" s="673" t="inlineStr">
        <is>
          <t>新加坡比特</t>
        </is>
      </c>
      <c r="E77" s="734" t="inlineStr">
        <is>
          <t>WX-HN</t>
        </is>
      </c>
      <c r="F77" s="734" t="inlineStr">
        <is>
          <t>BM1368PB</t>
        </is>
      </c>
      <c r="G77" s="673">
        <f>VLOOKUP(F77,编码对账表!C:D,2,0)</f>
        <v/>
      </c>
      <c r="H77" s="396" t="n">
        <v>1546255</v>
      </c>
      <c r="I77" s="744" t="inlineStr">
        <is>
          <t>202403010008</t>
        </is>
      </c>
      <c r="J77" s="736" t="inlineStr">
        <is>
          <t>泰国ONETEC</t>
        </is>
      </c>
      <c r="K77" s="734" t="inlineStr">
        <is>
          <t>CHANHUA PTE. LTD.</t>
        </is>
      </c>
      <c r="L77" s="736" t="n">
        <v>4.3949</v>
      </c>
      <c r="M77" s="398" t="n"/>
    </row>
    <row r="78" customFormat="1" s="693">
      <c r="A78" s="1" t="n">
        <v>77</v>
      </c>
      <c r="B78" s="733" t="inlineStr">
        <is>
          <t>chanhua</t>
        </is>
      </c>
      <c r="C78" s="733" t="n">
        <v>45348</v>
      </c>
      <c r="D78" s="673" t="inlineStr">
        <is>
          <t>新加坡比特</t>
        </is>
      </c>
      <c r="E78" s="734" t="inlineStr">
        <is>
          <t>WX-HN</t>
        </is>
      </c>
      <c r="F78" s="734" t="inlineStr">
        <is>
          <t>BM1368PB</t>
        </is>
      </c>
      <c r="G78" s="673">
        <f>VLOOKUP(F78,编码对账表!C:D,2,0)</f>
        <v/>
      </c>
      <c r="H78" s="396" t="n">
        <v>1505378</v>
      </c>
      <c r="I78" s="744" t="inlineStr">
        <is>
          <t>202403010009</t>
        </is>
      </c>
      <c r="J78" s="736" t="inlineStr">
        <is>
          <t>泰国ONETEC</t>
        </is>
      </c>
      <c r="K78" s="734" t="inlineStr">
        <is>
          <t>CHANHUA PTE. LTD.</t>
        </is>
      </c>
      <c r="L78" s="736" t="n">
        <v>4.3949</v>
      </c>
      <c r="M78" s="398" t="n"/>
    </row>
    <row r="79" customFormat="1" s="693">
      <c r="A79" s="1" t="n">
        <v>78</v>
      </c>
      <c r="B79" s="733" t="inlineStr">
        <is>
          <t>chanhua</t>
        </is>
      </c>
      <c r="C79" s="733" t="n">
        <v>45352</v>
      </c>
      <c r="D79" s="673" t="inlineStr">
        <is>
          <t>香港比特</t>
        </is>
      </c>
      <c r="E79" s="734" t="inlineStr">
        <is>
          <t>XJ</t>
        </is>
      </c>
      <c r="F79" s="734" t="inlineStr">
        <is>
          <t>BM1368AA</t>
        </is>
      </c>
      <c r="G79" s="673">
        <f>VLOOKUP(F79,编码对账表!C:D,2,0)</f>
        <v/>
      </c>
      <c r="H79" s="396" t="n">
        <v>2607042</v>
      </c>
      <c r="I79" s="745" t="inlineStr">
        <is>
          <t>HKK202403080001</t>
        </is>
      </c>
      <c r="J79" s="736" t="inlineStr">
        <is>
          <t>泰国群光</t>
        </is>
      </c>
      <c r="K79" s="734" t="inlineStr">
        <is>
          <t>CHANHUA PTE. LTD.</t>
        </is>
      </c>
      <c r="L79" s="736" t="n">
        <v>5.428</v>
      </c>
      <c r="M79" s="398" t="n"/>
    </row>
    <row r="80" customFormat="1" s="693">
      <c r="A80" s="1" t="n">
        <v>79</v>
      </c>
      <c r="B80" s="733" t="inlineStr">
        <is>
          <t>chanhua</t>
        </is>
      </c>
      <c r="C80" s="733" t="n">
        <v>45352</v>
      </c>
      <c r="D80" s="673" t="inlineStr">
        <is>
          <t>香港比特</t>
        </is>
      </c>
      <c r="E80" s="734" t="inlineStr">
        <is>
          <t>WX-HN</t>
        </is>
      </c>
      <c r="F80" s="734" t="inlineStr">
        <is>
          <t>BM1368PB</t>
        </is>
      </c>
      <c r="G80" s="673">
        <f>VLOOKUP(F80,编码对账表!C:D,2,0)</f>
        <v/>
      </c>
      <c r="H80" s="396" t="n">
        <v>437641</v>
      </c>
      <c r="I80" s="745" t="inlineStr">
        <is>
          <t>HKK202403080002</t>
        </is>
      </c>
      <c r="J80" s="736" t="inlineStr">
        <is>
          <t>印尼奥海</t>
        </is>
      </c>
      <c r="K80" s="734" t="inlineStr">
        <is>
          <t>CHANHUA PTE. LTD.</t>
        </is>
      </c>
      <c r="L80" s="736" t="n">
        <v>4.3949</v>
      </c>
      <c r="M80" s="398" t="n"/>
    </row>
    <row r="81" customFormat="1" s="693">
      <c r="A81" s="1" t="n">
        <v>80</v>
      </c>
      <c r="B81" s="733" t="inlineStr">
        <is>
          <t>chanhua</t>
        </is>
      </c>
      <c r="C81" s="733" t="n">
        <v>45352</v>
      </c>
      <c r="D81" s="673" t="inlineStr">
        <is>
          <t>香港比特</t>
        </is>
      </c>
      <c r="E81" s="734" t="inlineStr">
        <is>
          <t>WX-HN</t>
        </is>
      </c>
      <c r="F81" s="734" t="inlineStr">
        <is>
          <t>BM1368PB</t>
        </is>
      </c>
      <c r="G81" s="673">
        <f>VLOOKUP(F81,编码对账表!C:D,2,0)</f>
        <v/>
      </c>
      <c r="H81" s="396" t="n">
        <v>3113296</v>
      </c>
      <c r="I81" s="745" t="inlineStr">
        <is>
          <t>HKK202403080003</t>
        </is>
      </c>
      <c r="J81" s="736" t="inlineStr">
        <is>
          <t>泰国群光</t>
        </is>
      </c>
      <c r="K81" s="734" t="inlineStr">
        <is>
          <t>CHANHUA PTE. LTD.</t>
        </is>
      </c>
      <c r="L81" s="736" t="n">
        <v>4.3949</v>
      </c>
      <c r="M81" s="398" t="n"/>
    </row>
    <row r="82" customFormat="1" s="693">
      <c r="A82" s="1" t="n">
        <v>81</v>
      </c>
      <c r="B82" s="733" t="inlineStr">
        <is>
          <t>chanhua</t>
        </is>
      </c>
      <c r="C82" s="733" t="n">
        <v>45352</v>
      </c>
      <c r="D82" s="673" t="inlineStr">
        <is>
          <t>新加坡比特</t>
        </is>
      </c>
      <c r="E82" s="734" t="inlineStr">
        <is>
          <t>WX-HN</t>
        </is>
      </c>
      <c r="F82" s="734" t="inlineStr">
        <is>
          <t>BM1368PB</t>
        </is>
      </c>
      <c r="G82" s="673">
        <f>VLOOKUP(F82,编码对账表!C:D,2,0)</f>
        <v/>
      </c>
      <c r="H82" s="396" t="n">
        <v>924192</v>
      </c>
      <c r="I82" s="744" t="inlineStr">
        <is>
          <t>202403080001</t>
        </is>
      </c>
      <c r="J82" s="736" t="inlineStr">
        <is>
          <t>泰国ONETEC</t>
        </is>
      </c>
      <c r="K82" s="734" t="inlineStr">
        <is>
          <t>CHANHUA PTE. LTD.</t>
        </is>
      </c>
      <c r="L82" s="736" t="n">
        <v>4.3949</v>
      </c>
      <c r="M82" s="398" t="n"/>
    </row>
    <row r="83" customFormat="1" s="693">
      <c r="A83" s="1" t="n">
        <v>82</v>
      </c>
      <c r="B83" s="733" t="inlineStr">
        <is>
          <t>chanhua</t>
        </is>
      </c>
      <c r="C83" s="733" t="n">
        <v>45352</v>
      </c>
      <c r="D83" s="673" t="inlineStr">
        <is>
          <t>香港比特</t>
        </is>
      </c>
      <c r="E83" s="734" t="inlineStr">
        <is>
          <t>SPILSZ</t>
        </is>
      </c>
      <c r="F83" s="734" t="inlineStr">
        <is>
          <t>BM1368PB</t>
        </is>
      </c>
      <c r="G83" s="673">
        <f>VLOOKUP(F83,编码对账表!C:D,2,0)</f>
        <v/>
      </c>
      <c r="H83" s="396" t="n">
        <v>972000</v>
      </c>
      <c r="I83" s="745" t="inlineStr">
        <is>
          <t>HKK202403080005</t>
        </is>
      </c>
      <c r="J83" s="736" t="inlineStr">
        <is>
          <t>泰国益权</t>
        </is>
      </c>
      <c r="K83" s="734" t="inlineStr">
        <is>
          <t>CHANHUA PTE. LTD.</t>
        </is>
      </c>
      <c r="L83" s="736" t="n">
        <v>4.3949</v>
      </c>
      <c r="M83" s="398" t="n"/>
    </row>
    <row r="84" customFormat="1" s="693">
      <c r="A84" s="1" t="n">
        <v>83</v>
      </c>
      <c r="B84" s="733" t="inlineStr">
        <is>
          <t>chanhua</t>
        </is>
      </c>
      <c r="C84" s="733" t="n">
        <v>45352</v>
      </c>
      <c r="D84" s="673" t="inlineStr">
        <is>
          <t>香港比特</t>
        </is>
      </c>
      <c r="E84" s="734" t="inlineStr">
        <is>
          <t>SPILSZ</t>
        </is>
      </c>
      <c r="F84" s="734" t="inlineStr">
        <is>
          <t>BM1368PV</t>
        </is>
      </c>
      <c r="G84" s="673">
        <f>VLOOKUP(F84,编码对账表!C:D,2,0)</f>
        <v/>
      </c>
      <c r="H84" s="396" t="n">
        <v>3888</v>
      </c>
      <c r="I84" s="745" t="inlineStr">
        <is>
          <t>HKK202403080006</t>
        </is>
      </c>
      <c r="J84" s="736" t="inlineStr">
        <is>
          <t>泰国益权</t>
        </is>
      </c>
      <c r="K84" s="734" t="inlineStr">
        <is>
          <t>CHANHUA PTE. LTD.</t>
        </is>
      </c>
      <c r="L84" s="736" t="n">
        <v>4.3949</v>
      </c>
      <c r="M84" s="398" t="n"/>
    </row>
    <row r="85" customFormat="1" s="693">
      <c r="A85" s="1" t="n">
        <v>84</v>
      </c>
      <c r="B85" s="733" t="inlineStr">
        <is>
          <t>chanhua</t>
        </is>
      </c>
      <c r="C85" s="733" t="n">
        <v>45355</v>
      </c>
      <c r="D85" s="673" t="inlineStr">
        <is>
          <t>香港比特</t>
        </is>
      </c>
      <c r="E85" s="734" t="inlineStr">
        <is>
          <t>NJ-VT</t>
        </is>
      </c>
      <c r="F85" s="734" t="inlineStr">
        <is>
          <t>BM1368PB</t>
        </is>
      </c>
      <c r="G85" s="673">
        <f>VLOOKUP(F85,编码对账表!C:D,2,0)</f>
        <v/>
      </c>
      <c r="H85" s="396" t="n">
        <v>1952816</v>
      </c>
      <c r="I85" s="745" t="inlineStr">
        <is>
          <t>HKK202403080007</t>
        </is>
      </c>
      <c r="J85" s="736" t="inlineStr">
        <is>
          <t>印尼奥海</t>
        </is>
      </c>
      <c r="K85" s="734" t="inlineStr">
        <is>
          <t>CHANHUA PTE. LTD.</t>
        </is>
      </c>
      <c r="L85" s="736" t="n">
        <v>4.3949</v>
      </c>
      <c r="M85" s="398" t="n"/>
    </row>
    <row r="86" customFormat="1" s="693">
      <c r="A86" s="1" t="n">
        <v>85</v>
      </c>
      <c r="B86" s="733" t="inlineStr">
        <is>
          <t>chanhua</t>
        </is>
      </c>
      <c r="C86" s="733" t="n">
        <v>45352</v>
      </c>
      <c r="D86" s="673" t="inlineStr">
        <is>
          <t>香港比特</t>
        </is>
      </c>
      <c r="E86" s="734" t="inlineStr">
        <is>
          <t>NJ-VT</t>
        </is>
      </c>
      <c r="F86" s="734" t="inlineStr">
        <is>
          <t>BM1368PB</t>
        </is>
      </c>
      <c r="G86" s="673">
        <f>VLOOKUP(F86,编码对账表!C:D,2,0)</f>
        <v/>
      </c>
      <c r="H86" s="396" t="n">
        <v>440510</v>
      </c>
      <c r="I86" s="745" t="inlineStr">
        <is>
          <t>HKK202403080008</t>
        </is>
      </c>
      <c r="J86" s="736" t="inlineStr">
        <is>
          <t>泰国群光</t>
        </is>
      </c>
      <c r="K86" s="734" t="inlineStr">
        <is>
          <t>CHANHUA PTE. LTD.</t>
        </is>
      </c>
      <c r="L86" s="736" t="n">
        <v>4.3949</v>
      </c>
      <c r="M86" s="398" t="n"/>
    </row>
    <row r="87" customFormat="1" s="693">
      <c r="A87" s="1" t="n">
        <v>86</v>
      </c>
      <c r="B87" s="733" t="inlineStr">
        <is>
          <t>chanhua</t>
        </is>
      </c>
      <c r="C87" s="733" t="n">
        <v>45352</v>
      </c>
      <c r="D87" s="673" t="inlineStr">
        <is>
          <t>香港比特</t>
        </is>
      </c>
      <c r="E87" s="734" t="inlineStr">
        <is>
          <t>NJ-VT</t>
        </is>
      </c>
      <c r="F87" s="734" t="inlineStr">
        <is>
          <t>BM1368PV</t>
        </is>
      </c>
      <c r="G87" s="673">
        <f>VLOOKUP(F87,编码对账表!C:D,2,0)</f>
        <v/>
      </c>
      <c r="H87" s="396" t="n">
        <v>872107</v>
      </c>
      <c r="I87" s="745" t="inlineStr">
        <is>
          <t>HKK202403080008</t>
        </is>
      </c>
      <c r="J87" s="736" t="inlineStr">
        <is>
          <t>泰国群光</t>
        </is>
      </c>
      <c r="K87" s="734" t="inlineStr">
        <is>
          <t>CHANHUA PTE. LTD.</t>
        </is>
      </c>
      <c r="L87" s="736" t="n">
        <v>4.3949</v>
      </c>
      <c r="M87" s="398" t="n"/>
    </row>
    <row r="88" customFormat="1" s="693">
      <c r="A88" s="1" t="n">
        <v>87</v>
      </c>
      <c r="B88" s="733" t="inlineStr">
        <is>
          <t>chanhua</t>
        </is>
      </c>
      <c r="C88" s="733" t="n">
        <v>45356</v>
      </c>
      <c r="D88" s="673" t="inlineStr">
        <is>
          <t>香港比特</t>
        </is>
      </c>
      <c r="E88" s="734" t="inlineStr">
        <is>
          <t>JSCC</t>
        </is>
      </c>
      <c r="F88" s="734" t="inlineStr">
        <is>
          <t>BM1368PB</t>
        </is>
      </c>
      <c r="G88" s="673">
        <f>VLOOKUP(F88,编码对账表!C:D,2,0)</f>
        <v/>
      </c>
      <c r="H88" s="396" t="n">
        <v>2053495</v>
      </c>
      <c r="I88" s="745" t="inlineStr">
        <is>
          <t>HKK202403080009</t>
        </is>
      </c>
      <c r="J88" s="736" t="inlineStr">
        <is>
          <t>印尼奥海</t>
        </is>
      </c>
      <c r="K88" s="734" t="inlineStr">
        <is>
          <t>CHANHUA PTE. LTD.</t>
        </is>
      </c>
      <c r="L88" s="736" t="n">
        <v>4.3949</v>
      </c>
      <c r="M88" s="398" t="n"/>
    </row>
    <row r="89" customFormat="1" s="693">
      <c r="A89" s="1" t="n">
        <v>88</v>
      </c>
      <c r="B89" s="733" t="inlineStr">
        <is>
          <t>chanhua</t>
        </is>
      </c>
      <c r="C89" s="733" t="n">
        <v>45356</v>
      </c>
      <c r="D89" s="673" t="inlineStr">
        <is>
          <t>新加坡比特</t>
        </is>
      </c>
      <c r="E89" s="734" t="inlineStr">
        <is>
          <t>JSCC</t>
        </is>
      </c>
      <c r="F89" s="734" t="inlineStr">
        <is>
          <t>BM1368PB</t>
        </is>
      </c>
      <c r="G89" s="673">
        <f>VLOOKUP(F89,编码对账表!C:D,2,0)</f>
        <v/>
      </c>
      <c r="H89" s="396" t="n">
        <v>1588154</v>
      </c>
      <c r="I89" s="744" t="inlineStr">
        <is>
          <t>202403080002</t>
        </is>
      </c>
      <c r="J89" s="736" t="inlineStr">
        <is>
          <t>泰国ONETEC</t>
        </is>
      </c>
      <c r="K89" s="734" t="inlineStr">
        <is>
          <t>CHANHUA PTE. LTD.</t>
        </is>
      </c>
      <c r="L89" s="736" t="n">
        <v>4.3949</v>
      </c>
      <c r="M89" s="398" t="n"/>
    </row>
    <row r="90" customFormat="1" s="693">
      <c r="A90" s="1" t="n">
        <v>89</v>
      </c>
      <c r="B90" s="733" t="inlineStr">
        <is>
          <t>chanhua</t>
        </is>
      </c>
      <c r="C90" s="733" t="n">
        <v>45357</v>
      </c>
      <c r="D90" s="673" t="inlineStr">
        <is>
          <t>香港比特</t>
        </is>
      </c>
      <c r="E90" s="734" t="inlineStr">
        <is>
          <t>JSCC</t>
        </is>
      </c>
      <c r="F90" s="734" t="inlineStr">
        <is>
          <t>BM1368PB</t>
        </is>
      </c>
      <c r="G90" s="673">
        <f>VLOOKUP(F90,编码对账表!C:D,2,0)</f>
        <v/>
      </c>
      <c r="H90" s="396" t="n">
        <v>1926561</v>
      </c>
      <c r="I90" s="735" t="inlineStr">
        <is>
          <t>HKK202403130001</t>
        </is>
      </c>
      <c r="J90" s="736" t="inlineStr">
        <is>
          <t>印尼奥海</t>
        </is>
      </c>
      <c r="K90" s="734" t="inlineStr">
        <is>
          <t>CHANHUA PTE. LTD.</t>
        </is>
      </c>
      <c r="L90" s="736" t="n">
        <v>4.3949</v>
      </c>
      <c r="M90" s="398" t="n"/>
    </row>
    <row r="91" customFormat="1" s="693">
      <c r="A91" s="1" t="n">
        <v>90</v>
      </c>
      <c r="B91" s="733" t="inlineStr">
        <is>
          <t>chanhua</t>
        </is>
      </c>
      <c r="C91" s="733" t="n">
        <v>45357</v>
      </c>
      <c r="D91" s="673" t="inlineStr">
        <is>
          <t>香港比特</t>
        </is>
      </c>
      <c r="E91" s="734" t="inlineStr">
        <is>
          <t>JSCC</t>
        </is>
      </c>
      <c r="F91" s="734" t="inlineStr">
        <is>
          <t>BM1368PV</t>
        </is>
      </c>
      <c r="G91" s="673">
        <f>VLOOKUP(F91,编码对账表!C:D,2,0)</f>
        <v/>
      </c>
      <c r="H91" s="396" t="n">
        <v>22935</v>
      </c>
      <c r="I91" s="735" t="inlineStr">
        <is>
          <t>HKK202403130002</t>
        </is>
      </c>
      <c r="J91" s="736" t="inlineStr">
        <is>
          <t>印尼奥海</t>
        </is>
      </c>
      <c r="K91" s="734" t="inlineStr">
        <is>
          <t>CHANHUA PTE. LTD.</t>
        </is>
      </c>
      <c r="L91" s="736" t="n">
        <v>4.3949</v>
      </c>
      <c r="M91" s="398" t="n"/>
    </row>
    <row r="92" customFormat="1" s="693">
      <c r="A92" s="1" t="n">
        <v>91</v>
      </c>
      <c r="B92" s="733" t="inlineStr">
        <is>
          <t>chanhua</t>
        </is>
      </c>
      <c r="C92" s="733" t="n">
        <v>45358</v>
      </c>
      <c r="D92" s="673" t="inlineStr">
        <is>
          <t>香港比特</t>
        </is>
      </c>
      <c r="E92" s="734" t="inlineStr">
        <is>
          <t>JSCC</t>
        </is>
      </c>
      <c r="F92" s="734" t="inlineStr">
        <is>
          <t>BM1368PB</t>
        </is>
      </c>
      <c r="G92" s="673">
        <f>VLOOKUP(F92,编码对账表!C:D,2,0)</f>
        <v/>
      </c>
      <c r="H92" s="396" t="n">
        <v>546280</v>
      </c>
      <c r="I92" s="735" t="inlineStr">
        <is>
          <t>HKK202403130003</t>
        </is>
      </c>
      <c r="J92" s="736" t="inlineStr">
        <is>
          <t>印尼奥海</t>
        </is>
      </c>
      <c r="K92" s="734" t="inlineStr">
        <is>
          <t>CHANHUA PTE. LTD.</t>
        </is>
      </c>
      <c r="L92" s="736" t="n">
        <v>4.3949</v>
      </c>
      <c r="M92" s="398" t="n"/>
    </row>
    <row r="93" customFormat="1" s="693">
      <c r="A93" s="1" t="n">
        <v>92</v>
      </c>
      <c r="B93" s="733" t="inlineStr">
        <is>
          <t>chanhua</t>
        </is>
      </c>
      <c r="C93" s="733" t="n">
        <v>45358</v>
      </c>
      <c r="D93" s="673" t="inlineStr">
        <is>
          <t>香港比特</t>
        </is>
      </c>
      <c r="E93" s="734" t="inlineStr">
        <is>
          <t>JSCC</t>
        </is>
      </c>
      <c r="F93" s="734" t="inlineStr">
        <is>
          <t>BM1368PV</t>
        </is>
      </c>
      <c r="G93" s="673">
        <f>VLOOKUP(F93,编码对账表!C:D,2,0)</f>
        <v/>
      </c>
      <c r="H93" s="396" t="n">
        <v>78051</v>
      </c>
      <c r="I93" s="735" t="inlineStr">
        <is>
          <t>HKK202403130003</t>
        </is>
      </c>
      <c r="J93" s="736" t="inlineStr">
        <is>
          <t>印尼奥海</t>
        </is>
      </c>
      <c r="K93" s="734" t="inlineStr">
        <is>
          <t>CHANHUA PTE. LTD.</t>
        </is>
      </c>
      <c r="L93" s="736" t="n">
        <v>4.3949</v>
      </c>
      <c r="M93" s="398" t="n"/>
    </row>
    <row r="94" customFormat="1" s="693">
      <c r="A94" s="1" t="n">
        <v>93</v>
      </c>
      <c r="B94" s="733" t="inlineStr">
        <is>
          <t>chanhua</t>
        </is>
      </c>
      <c r="C94" s="733" t="n">
        <v>45358</v>
      </c>
      <c r="D94" s="673" t="inlineStr">
        <is>
          <t>香港比特</t>
        </is>
      </c>
      <c r="E94" s="734" t="inlineStr">
        <is>
          <t>WX-HN</t>
        </is>
      </c>
      <c r="F94" s="734" t="inlineStr">
        <is>
          <t>BM1368PB</t>
        </is>
      </c>
      <c r="G94" s="673">
        <f>VLOOKUP(F94,编码对账表!C:D,2,0)</f>
        <v/>
      </c>
      <c r="H94" s="396" t="n">
        <v>993553</v>
      </c>
      <c r="I94" s="735" t="inlineStr">
        <is>
          <t>HKK202403130004</t>
        </is>
      </c>
      <c r="J94" s="736" t="inlineStr">
        <is>
          <t>印尼奥海</t>
        </is>
      </c>
      <c r="K94" s="734" t="inlineStr">
        <is>
          <t>CHANHUA PTE. LTD.</t>
        </is>
      </c>
      <c r="L94" s="736" t="n">
        <v>4.3949</v>
      </c>
      <c r="M94" s="398" t="n"/>
    </row>
    <row r="95" customFormat="1" s="693">
      <c r="A95" s="1" t="n">
        <v>94</v>
      </c>
      <c r="B95" s="733" t="inlineStr">
        <is>
          <t>chanhua</t>
        </is>
      </c>
      <c r="C95" s="733" t="n">
        <v>45359</v>
      </c>
      <c r="D95" s="673" t="inlineStr">
        <is>
          <t>香港比特</t>
        </is>
      </c>
      <c r="E95" s="734" t="inlineStr">
        <is>
          <t>WX-HN</t>
        </is>
      </c>
      <c r="F95" s="734" t="inlineStr">
        <is>
          <t>BM1368AA</t>
        </is>
      </c>
      <c r="G95" s="673">
        <f>VLOOKUP(F95,编码对账表!C:D,2,0)</f>
        <v/>
      </c>
      <c r="H95" s="396" t="n">
        <v>1482623</v>
      </c>
      <c r="I95" s="735" t="inlineStr">
        <is>
          <t>HKK202403130005</t>
        </is>
      </c>
      <c r="J95" s="736" t="inlineStr">
        <is>
          <t>印尼奥海</t>
        </is>
      </c>
      <c r="K95" s="734" t="inlineStr">
        <is>
          <t>CHANHUA PTE. LTD.</t>
        </is>
      </c>
      <c r="L95" s="736" t="n">
        <v>5.428</v>
      </c>
      <c r="M95" s="398" t="n"/>
    </row>
    <row r="96" customFormat="1" s="693">
      <c r="A96" s="1" t="n">
        <v>95</v>
      </c>
      <c r="B96" s="733" t="inlineStr">
        <is>
          <t>chanhua</t>
        </is>
      </c>
      <c r="C96" s="733" t="n">
        <v>45359</v>
      </c>
      <c r="D96" s="673" t="inlineStr">
        <is>
          <t>香港比特</t>
        </is>
      </c>
      <c r="E96" s="734" t="inlineStr">
        <is>
          <t>XJ</t>
        </is>
      </c>
      <c r="F96" s="734" t="inlineStr">
        <is>
          <t>BM1368AA</t>
        </is>
      </c>
      <c r="G96" s="673">
        <f>VLOOKUP(F96,编码对账表!C:D,2,0)</f>
        <v/>
      </c>
      <c r="H96" s="396" t="n">
        <v>609786</v>
      </c>
      <c r="I96" s="735" t="inlineStr">
        <is>
          <t>HKK202403130006</t>
        </is>
      </c>
      <c r="J96" s="736" t="inlineStr">
        <is>
          <t>印尼奥海</t>
        </is>
      </c>
      <c r="K96" s="734" t="inlineStr">
        <is>
          <t>CHANHUA PTE. LTD.</t>
        </is>
      </c>
      <c r="L96" s="736" t="n">
        <v>5.428</v>
      </c>
      <c r="M96" s="398" t="n"/>
    </row>
    <row r="97" customFormat="1" s="693">
      <c r="A97" s="1" t="n">
        <v>96</v>
      </c>
      <c r="B97" s="733" t="inlineStr">
        <is>
          <t>chanhua</t>
        </is>
      </c>
      <c r="C97" s="733" t="n">
        <v>45362</v>
      </c>
      <c r="D97" s="673" t="inlineStr">
        <is>
          <t>香港比特</t>
        </is>
      </c>
      <c r="E97" s="734" t="inlineStr">
        <is>
          <t>JSCC</t>
        </is>
      </c>
      <c r="F97" s="734" t="inlineStr">
        <is>
          <t>BM1368PB</t>
        </is>
      </c>
      <c r="G97" s="673">
        <f>VLOOKUP(F97,编码对账表!C:D,2,0)</f>
        <v/>
      </c>
      <c r="H97" s="396" t="n">
        <v>2785829</v>
      </c>
      <c r="I97" s="735" t="inlineStr">
        <is>
          <t>HKK202403130007</t>
        </is>
      </c>
      <c r="J97" s="736" t="inlineStr">
        <is>
          <t>印尼奥海</t>
        </is>
      </c>
      <c r="K97" s="734" t="inlineStr">
        <is>
          <t>CHANHUA PTE. LTD.</t>
        </is>
      </c>
      <c r="L97" s="736" t="n">
        <v>4.3949</v>
      </c>
      <c r="M97" s="398" t="n"/>
    </row>
    <row r="98" customFormat="1" s="693">
      <c r="A98" s="1" t="n">
        <v>97</v>
      </c>
      <c r="B98" s="733" t="inlineStr">
        <is>
          <t>chanhua</t>
        </is>
      </c>
      <c r="C98" s="733" t="n">
        <v>45358</v>
      </c>
      <c r="D98" s="673" t="inlineStr">
        <is>
          <t>香港比特</t>
        </is>
      </c>
      <c r="E98" s="734" t="inlineStr">
        <is>
          <t>SPILSZ</t>
        </is>
      </c>
      <c r="F98" s="734" t="inlineStr">
        <is>
          <t>BM1368PB</t>
        </is>
      </c>
      <c r="G98" s="673">
        <f>VLOOKUP(F98,编码对账表!C:D,2,0)</f>
        <v/>
      </c>
      <c r="H98" s="396" t="n">
        <v>147744</v>
      </c>
      <c r="I98" s="735" t="inlineStr">
        <is>
          <t>HKK202403130008</t>
        </is>
      </c>
      <c r="J98" s="736" t="inlineStr">
        <is>
          <t>泰国益权</t>
        </is>
      </c>
      <c r="K98" s="734" t="inlineStr">
        <is>
          <t>CHANHUA PTE. LTD.</t>
        </is>
      </c>
      <c r="L98" s="736" t="n">
        <v>4.3949</v>
      </c>
      <c r="M98" s="398" t="n"/>
    </row>
    <row r="99" customFormat="1" s="693">
      <c r="A99" s="1" t="n">
        <v>98</v>
      </c>
      <c r="B99" s="733" t="inlineStr">
        <is>
          <t>chanhua</t>
        </is>
      </c>
      <c r="C99" s="733" t="n">
        <v>45358</v>
      </c>
      <c r="D99" s="673" t="inlineStr">
        <is>
          <t>香港比特</t>
        </is>
      </c>
      <c r="E99" s="734" t="inlineStr">
        <is>
          <t>SPILSZ</t>
        </is>
      </c>
      <c r="F99" s="734" t="inlineStr">
        <is>
          <t>BM1368PV</t>
        </is>
      </c>
      <c r="G99" s="673">
        <f>VLOOKUP(F99,编码对账表!C:D,2,0)</f>
        <v/>
      </c>
      <c r="H99" s="396" t="n">
        <v>66096</v>
      </c>
      <c r="I99" s="735" t="inlineStr">
        <is>
          <t>HKK202403130008</t>
        </is>
      </c>
      <c r="J99" s="736" t="inlineStr">
        <is>
          <t>泰国益权</t>
        </is>
      </c>
      <c r="K99" s="734" t="inlineStr">
        <is>
          <t>CHANHUA PTE. LTD.</t>
        </is>
      </c>
      <c r="L99" s="736" t="n">
        <v>4.3949</v>
      </c>
      <c r="M99" s="398" t="n"/>
    </row>
    <row r="100" customFormat="1" s="693">
      <c r="A100" s="1" t="n">
        <v>99</v>
      </c>
      <c r="B100" s="733" t="inlineStr">
        <is>
          <t>chanhua</t>
        </is>
      </c>
      <c r="C100" s="733" t="n">
        <v>45359</v>
      </c>
      <c r="D100" s="673" t="inlineStr">
        <is>
          <t>香港比特</t>
        </is>
      </c>
      <c r="E100" s="734" t="inlineStr">
        <is>
          <t>NJ-VT</t>
        </is>
      </c>
      <c r="F100" s="734" t="inlineStr">
        <is>
          <t>BM1368PB</t>
        </is>
      </c>
      <c r="G100" s="673">
        <f>VLOOKUP(F100,编码对账表!C:D,2,0)</f>
        <v/>
      </c>
      <c r="H100" s="396" t="n">
        <v>57350</v>
      </c>
      <c r="I100" s="735" t="inlineStr">
        <is>
          <t>HKK202403130009</t>
        </is>
      </c>
      <c r="J100" s="736" t="inlineStr">
        <is>
          <t>泰国益权</t>
        </is>
      </c>
      <c r="K100" s="734" t="inlineStr">
        <is>
          <t>CHANHUA PTE. LTD.</t>
        </is>
      </c>
      <c r="L100" s="736" t="n">
        <v>4.3949</v>
      </c>
      <c r="M100" s="398" t="n"/>
    </row>
    <row r="101" customFormat="1" s="693">
      <c r="A101" s="1" t="n">
        <v>100</v>
      </c>
      <c r="B101" s="733" t="inlineStr">
        <is>
          <t>chanhua</t>
        </is>
      </c>
      <c r="C101" s="733" t="n">
        <v>45359</v>
      </c>
      <c r="D101" s="673" t="inlineStr">
        <is>
          <t>香港比特</t>
        </is>
      </c>
      <c r="E101" s="734" t="inlineStr">
        <is>
          <t>NJ-VT</t>
        </is>
      </c>
      <c r="F101" s="734" t="inlineStr">
        <is>
          <t>BM1368PV</t>
        </is>
      </c>
      <c r="G101" s="673">
        <f>VLOOKUP(F101,编码对账表!C:D,2,0)</f>
        <v/>
      </c>
      <c r="H101" s="396" t="n">
        <v>708495</v>
      </c>
      <c r="I101" s="735" t="inlineStr">
        <is>
          <t>HKK202403130009</t>
        </is>
      </c>
      <c r="J101" s="736" t="inlineStr">
        <is>
          <t>泰国益权</t>
        </is>
      </c>
      <c r="K101" s="734" t="inlineStr">
        <is>
          <t>CHANHUA PTE. LTD.</t>
        </is>
      </c>
      <c r="L101" s="736" t="n">
        <v>4.3949</v>
      </c>
      <c r="M101" s="398" t="n"/>
    </row>
    <row r="102" customFormat="1" s="693">
      <c r="A102" s="1" t="n">
        <v>101</v>
      </c>
      <c r="B102" s="733" t="inlineStr">
        <is>
          <t>chanhua</t>
        </is>
      </c>
      <c r="C102" s="733" t="n">
        <v>45362</v>
      </c>
      <c r="D102" s="673" t="inlineStr">
        <is>
          <t>香港比特</t>
        </is>
      </c>
      <c r="E102" s="734" t="inlineStr">
        <is>
          <t>JSCC</t>
        </is>
      </c>
      <c r="F102" s="734" t="inlineStr">
        <is>
          <t>BM1368PB</t>
        </is>
      </c>
      <c r="G102" s="673">
        <f>VLOOKUP(F102,编码对账表!C:D,2,0)</f>
        <v/>
      </c>
      <c r="H102" s="396" t="n">
        <v>420274</v>
      </c>
      <c r="I102" s="735" t="inlineStr">
        <is>
          <t>HKK202403130010</t>
        </is>
      </c>
      <c r="J102" s="736" t="inlineStr">
        <is>
          <t>泰国益权</t>
        </is>
      </c>
      <c r="K102" s="734" t="inlineStr">
        <is>
          <t>CHANHUA PTE. LTD.</t>
        </is>
      </c>
      <c r="L102" s="736" t="n">
        <v>4.3949</v>
      </c>
      <c r="M102" s="398" t="n"/>
    </row>
    <row r="103" customFormat="1" s="693">
      <c r="A103" s="1" t="n">
        <v>102</v>
      </c>
      <c r="B103" s="733" t="inlineStr">
        <is>
          <t>chanhua</t>
        </is>
      </c>
      <c r="C103" s="733" t="n">
        <v>45362</v>
      </c>
      <c r="D103" s="673" t="inlineStr">
        <is>
          <t>香港比特</t>
        </is>
      </c>
      <c r="E103" s="734" t="inlineStr">
        <is>
          <t>WX-HN</t>
        </is>
      </c>
      <c r="F103" s="734" t="inlineStr">
        <is>
          <t>BM1368AA</t>
        </is>
      </c>
      <c r="G103" s="673">
        <f>VLOOKUP(F103,编码对账表!C:D,2,0)</f>
        <v/>
      </c>
      <c r="H103" s="396" t="n">
        <v>696272</v>
      </c>
      <c r="I103" s="735" t="inlineStr">
        <is>
          <t>HKK202403130011</t>
        </is>
      </c>
      <c r="J103" s="736" t="inlineStr">
        <is>
          <t>泰国益权</t>
        </is>
      </c>
      <c r="K103" s="734" t="inlineStr">
        <is>
          <t>CHANHUA PTE. LTD.</t>
        </is>
      </c>
      <c r="L103" s="736" t="n">
        <v>5.428</v>
      </c>
      <c r="M103" s="398" t="n"/>
    </row>
    <row r="104" customFormat="1" s="693">
      <c r="A104" s="1" t="n">
        <v>103</v>
      </c>
      <c r="B104" s="733" t="inlineStr">
        <is>
          <t>chanhua</t>
        </is>
      </c>
      <c r="C104" s="733" t="n">
        <v>45357</v>
      </c>
      <c r="D104" s="673" t="inlineStr">
        <is>
          <t>香港比特</t>
        </is>
      </c>
      <c r="E104" s="734" t="inlineStr">
        <is>
          <t>JSCC</t>
        </is>
      </c>
      <c r="F104" s="734" t="inlineStr">
        <is>
          <t>BM1368PB</t>
        </is>
      </c>
      <c r="G104" s="673">
        <f>VLOOKUP(F104,编码对账表!C:D,2,0)</f>
        <v/>
      </c>
      <c r="H104" s="396" t="n">
        <v>428187</v>
      </c>
      <c r="I104" s="735" t="inlineStr">
        <is>
          <t>HKK202403130012</t>
        </is>
      </c>
      <c r="J104" s="736" t="inlineStr">
        <is>
          <t>泰国群光</t>
        </is>
      </c>
      <c r="K104" s="734" t="inlineStr">
        <is>
          <t>CHANHUA PTE. LTD.</t>
        </is>
      </c>
      <c r="L104" s="736" t="n">
        <v>4.3949</v>
      </c>
      <c r="M104" s="398" t="n"/>
    </row>
    <row r="105" customFormat="1" s="693">
      <c r="A105" s="1" t="n">
        <v>104</v>
      </c>
      <c r="B105" s="733" t="inlineStr">
        <is>
          <t>chanhua</t>
        </is>
      </c>
      <c r="C105" s="733" t="n">
        <v>45358</v>
      </c>
      <c r="D105" s="673" t="inlineStr">
        <is>
          <t>香港比特</t>
        </is>
      </c>
      <c r="E105" s="734" t="inlineStr">
        <is>
          <t>SPILSZ</t>
        </is>
      </c>
      <c r="F105" s="734" t="inlineStr">
        <is>
          <t>BM1368PB</t>
        </is>
      </c>
      <c r="G105" s="673">
        <f>VLOOKUP(F105,编码对账表!C:D,2,0)</f>
        <v/>
      </c>
      <c r="H105" s="396" t="n">
        <v>458427</v>
      </c>
      <c r="I105" s="735" t="inlineStr">
        <is>
          <t>HKK202403130013</t>
        </is>
      </c>
      <c r="J105" s="736" t="inlineStr">
        <is>
          <t>泰国群光</t>
        </is>
      </c>
      <c r="K105" s="734" t="inlineStr">
        <is>
          <t>CHANHUA PTE. LTD.</t>
        </is>
      </c>
      <c r="L105" s="736" t="n">
        <v>4.3949</v>
      </c>
      <c r="M105" s="398" t="n"/>
    </row>
    <row r="106" customFormat="1" s="693">
      <c r="A106" s="1" t="n">
        <v>105</v>
      </c>
      <c r="B106" s="733" t="inlineStr">
        <is>
          <t>chanhua</t>
        </is>
      </c>
      <c r="C106" s="733" t="n">
        <v>45358</v>
      </c>
      <c r="D106" s="673" t="inlineStr">
        <is>
          <t>香港比特</t>
        </is>
      </c>
      <c r="E106" s="734" t="inlineStr">
        <is>
          <t>WX-HN</t>
        </is>
      </c>
      <c r="F106" s="734" t="inlineStr">
        <is>
          <t>BM1368AA</t>
        </is>
      </c>
      <c r="G106" s="673">
        <f>VLOOKUP(F106,编码对账表!C:D,2,0)</f>
        <v/>
      </c>
      <c r="H106" s="396" t="n">
        <v>1319026</v>
      </c>
      <c r="I106" s="735" t="inlineStr">
        <is>
          <t>HKK202403130014</t>
        </is>
      </c>
      <c r="J106" s="736" t="inlineStr">
        <is>
          <t>泰国群光</t>
        </is>
      </c>
      <c r="K106" s="734" t="inlineStr">
        <is>
          <t>CHANHUA PTE. LTD.</t>
        </is>
      </c>
      <c r="L106" s="736" t="n">
        <v>5.428</v>
      </c>
      <c r="M106" s="398" t="n"/>
    </row>
    <row r="107" customFormat="1" s="693">
      <c r="A107" s="1" t="n">
        <v>106</v>
      </c>
      <c r="B107" s="733" t="inlineStr">
        <is>
          <t>chanhua</t>
        </is>
      </c>
      <c r="C107" s="733" t="n">
        <v>45359</v>
      </c>
      <c r="D107" s="673" t="inlineStr">
        <is>
          <t>香港比特</t>
        </is>
      </c>
      <c r="E107" s="734" t="inlineStr">
        <is>
          <t>NJ-VT</t>
        </is>
      </c>
      <c r="F107" s="734" t="inlineStr">
        <is>
          <t>BM1368PB</t>
        </is>
      </c>
      <c r="G107" s="673">
        <f>VLOOKUP(F107,编码对账表!C:D,2,0)</f>
        <v/>
      </c>
      <c r="H107" s="396" t="n">
        <v>1183897</v>
      </c>
      <c r="I107" s="735" t="inlineStr">
        <is>
          <t>HKK202403130015</t>
        </is>
      </c>
      <c r="J107" s="736" t="inlineStr">
        <is>
          <t>泰国群光</t>
        </is>
      </c>
      <c r="K107" s="734" t="inlineStr">
        <is>
          <t>CHANHUA PTE. LTD.</t>
        </is>
      </c>
      <c r="L107" s="736" t="n">
        <v>4.3949</v>
      </c>
      <c r="M107" s="398" t="n"/>
    </row>
    <row r="108" customFormat="1" s="693">
      <c r="A108" s="1" t="n">
        <v>107</v>
      </c>
      <c r="B108" s="733" t="inlineStr">
        <is>
          <t>chanhua</t>
        </is>
      </c>
      <c r="C108" s="733" t="n">
        <v>45359</v>
      </c>
      <c r="D108" s="673" t="inlineStr">
        <is>
          <t>香港比特</t>
        </is>
      </c>
      <c r="E108" s="734" t="inlineStr">
        <is>
          <t>NJ-VT</t>
        </is>
      </c>
      <c r="F108" s="734" t="inlineStr">
        <is>
          <t>BM1368PV</t>
        </is>
      </c>
      <c r="G108" s="673">
        <f>VLOOKUP(F108,编码对账表!C:D,2,0)</f>
        <v/>
      </c>
      <c r="H108" s="396" t="n">
        <v>527293</v>
      </c>
      <c r="I108" s="735" t="inlineStr">
        <is>
          <t>HKK202403130015</t>
        </is>
      </c>
      <c r="J108" s="736" t="inlineStr">
        <is>
          <t>泰国群光</t>
        </is>
      </c>
      <c r="K108" s="734" t="inlineStr">
        <is>
          <t>CHANHUA PTE. LTD.</t>
        </is>
      </c>
      <c r="L108" s="736" t="n">
        <v>4.3949</v>
      </c>
      <c r="M108" s="398" t="n"/>
    </row>
    <row r="109" customFormat="1" s="693">
      <c r="A109" s="1" t="n">
        <v>108</v>
      </c>
      <c r="B109" s="733" t="inlineStr">
        <is>
          <t>chanhua</t>
        </is>
      </c>
      <c r="C109" s="733" t="n">
        <v>45357</v>
      </c>
      <c r="D109" s="673" t="inlineStr">
        <is>
          <t>新加坡比特</t>
        </is>
      </c>
      <c r="E109" s="734" t="inlineStr">
        <is>
          <t>JSCC</t>
        </is>
      </c>
      <c r="F109" s="734" t="inlineStr">
        <is>
          <t>BM1368PB</t>
        </is>
      </c>
      <c r="G109" s="673">
        <f>VLOOKUP(F109,编码对账表!C:D,2,0)</f>
        <v/>
      </c>
      <c r="H109" s="396" t="n">
        <v>404668</v>
      </c>
      <c r="I109" s="741" t="inlineStr">
        <is>
          <t>202403130004</t>
        </is>
      </c>
      <c r="J109" s="736" t="inlineStr">
        <is>
          <t>泰国ONETEC</t>
        </is>
      </c>
      <c r="K109" s="734" t="inlineStr">
        <is>
          <t>CHANHUA PTE. LTD.</t>
        </is>
      </c>
      <c r="L109" s="736" t="n">
        <v>4.3949</v>
      </c>
      <c r="M109" s="398" t="n"/>
    </row>
    <row r="110" customFormat="1" s="693">
      <c r="A110" s="1" t="n">
        <v>109</v>
      </c>
      <c r="B110" s="733" t="inlineStr">
        <is>
          <t>chanhua</t>
        </is>
      </c>
      <c r="C110" s="733" t="n">
        <v>45358</v>
      </c>
      <c r="D110" s="673" t="inlineStr">
        <is>
          <t>新加坡比特</t>
        </is>
      </c>
      <c r="E110" s="734" t="inlineStr">
        <is>
          <t>SPILSZ</t>
        </is>
      </c>
      <c r="F110" s="734" t="inlineStr">
        <is>
          <t>BM1368PB</t>
        </is>
      </c>
      <c r="G110" s="673">
        <f>VLOOKUP(F110,编码对账表!C:D,2,0)</f>
        <v/>
      </c>
      <c r="H110" s="396" t="n">
        <v>202176</v>
      </c>
      <c r="I110" s="741" t="inlineStr">
        <is>
          <t>202403130005</t>
        </is>
      </c>
      <c r="J110" s="736" t="inlineStr">
        <is>
          <t>泰国ONETEC</t>
        </is>
      </c>
      <c r="K110" s="734" t="inlineStr">
        <is>
          <t>CHANHUA PTE. LTD.</t>
        </is>
      </c>
      <c r="L110" s="736" t="n">
        <v>4.3949</v>
      </c>
      <c r="M110" s="398" t="n"/>
    </row>
    <row r="111" customFormat="1" s="693">
      <c r="A111" s="1" t="n">
        <v>110</v>
      </c>
      <c r="B111" s="733" t="inlineStr">
        <is>
          <t>chanhua</t>
        </is>
      </c>
      <c r="C111" s="733" t="n">
        <v>45359</v>
      </c>
      <c r="D111" s="673" t="inlineStr">
        <is>
          <t>新加坡比特</t>
        </is>
      </c>
      <c r="E111" s="734" t="inlineStr">
        <is>
          <t>XJ</t>
        </is>
      </c>
      <c r="F111" s="734" t="inlineStr">
        <is>
          <t>BM1368AA</t>
        </is>
      </c>
      <c r="G111" s="673">
        <f>VLOOKUP(F111,编码对账表!C:D,2,0)</f>
        <v/>
      </c>
      <c r="H111" s="396" t="n">
        <v>1218845</v>
      </c>
      <c r="I111" s="741" t="inlineStr">
        <is>
          <t>202403130006</t>
        </is>
      </c>
      <c r="J111" s="736" t="inlineStr">
        <is>
          <t>泰国ONETEC</t>
        </is>
      </c>
      <c r="K111" s="734" t="inlineStr">
        <is>
          <t>CHANHUA PTE. LTD.</t>
        </is>
      </c>
      <c r="L111" s="736" t="n">
        <v>5.428</v>
      </c>
      <c r="M111" s="398" t="n"/>
    </row>
    <row r="112" customFormat="1" s="693">
      <c r="A112" s="1" t="n">
        <v>111</v>
      </c>
      <c r="B112" s="733" t="inlineStr">
        <is>
          <t>chanhua</t>
        </is>
      </c>
      <c r="C112" s="733" t="n">
        <v>45364</v>
      </c>
      <c r="D112" s="673" t="inlineStr">
        <is>
          <t>香港比特</t>
        </is>
      </c>
      <c r="E112" s="734" t="inlineStr">
        <is>
          <t>NJ-VT</t>
        </is>
      </c>
      <c r="F112" s="734" t="inlineStr">
        <is>
          <t>BM1368PB</t>
        </is>
      </c>
      <c r="G112" s="673">
        <f>VLOOKUP(F112,编码对账表!C:D,2,0)</f>
        <v/>
      </c>
      <c r="H112" s="396" t="n">
        <v>1178409</v>
      </c>
      <c r="I112" s="735" t="inlineStr">
        <is>
          <t>HKK202403210002</t>
        </is>
      </c>
      <c r="J112" s="736" t="inlineStr">
        <is>
          <t>印尼奥海</t>
        </is>
      </c>
      <c r="K112" s="734" t="inlineStr">
        <is>
          <t>CHANHUA PTE. LTD.</t>
        </is>
      </c>
      <c r="L112" s="736" t="n">
        <v>4.3949</v>
      </c>
      <c r="M112" s="398" t="n"/>
    </row>
    <row r="113" customFormat="1" s="693">
      <c r="A113" s="1" t="n">
        <v>112</v>
      </c>
      <c r="B113" s="733" t="inlineStr">
        <is>
          <t>chanhua</t>
        </is>
      </c>
      <c r="C113" s="733" t="n">
        <v>45364</v>
      </c>
      <c r="D113" s="673" t="inlineStr">
        <is>
          <t>香港比特</t>
        </is>
      </c>
      <c r="E113" s="734" t="inlineStr">
        <is>
          <t>SPILSZ</t>
        </is>
      </c>
      <c r="F113" s="734" t="inlineStr">
        <is>
          <t>BM1368PB</t>
        </is>
      </c>
      <c r="G113" s="673">
        <f>VLOOKUP(F113,编码对账表!C:D,2,0)</f>
        <v/>
      </c>
      <c r="H113" s="396" t="n">
        <v>555984</v>
      </c>
      <c r="I113" s="735" t="inlineStr">
        <is>
          <t>HKK202403210003</t>
        </is>
      </c>
      <c r="J113" s="736" t="inlineStr">
        <is>
          <t>印尼奥海</t>
        </is>
      </c>
      <c r="K113" s="734" t="inlineStr">
        <is>
          <t>CHANHUA PTE. LTD.</t>
        </is>
      </c>
      <c r="L113" s="736" t="n">
        <v>4.3949</v>
      </c>
      <c r="M113" s="398" t="n"/>
    </row>
    <row r="114" customFormat="1" s="693">
      <c r="A114" s="1" t="n">
        <v>113</v>
      </c>
      <c r="B114" s="733" t="inlineStr">
        <is>
          <t>chanhua</t>
        </is>
      </c>
      <c r="C114" s="733" t="n">
        <v>45364</v>
      </c>
      <c r="D114" s="673" t="inlineStr">
        <is>
          <t>香港比特</t>
        </is>
      </c>
      <c r="E114" s="734" t="inlineStr">
        <is>
          <t>SPILSZ</t>
        </is>
      </c>
      <c r="F114" s="734" t="inlineStr">
        <is>
          <t>BM1368PV</t>
        </is>
      </c>
      <c r="G114" s="673">
        <f>VLOOKUP(F114,编码对账表!C:D,2,0)</f>
        <v/>
      </c>
      <c r="H114" s="396" t="n">
        <v>112752</v>
      </c>
      <c r="I114" s="735" t="inlineStr">
        <is>
          <t>HKK202403210003</t>
        </is>
      </c>
      <c r="J114" s="736" t="inlineStr">
        <is>
          <t>印尼奥海</t>
        </is>
      </c>
      <c r="K114" s="734" t="inlineStr">
        <is>
          <t>CHANHUA PTE. LTD.</t>
        </is>
      </c>
      <c r="L114" s="736" t="n">
        <v>4.3949</v>
      </c>
      <c r="M114" s="398" t="n"/>
    </row>
    <row r="115" customFormat="1" s="693">
      <c r="A115" s="1" t="n">
        <v>114</v>
      </c>
      <c r="B115" s="733" t="inlineStr">
        <is>
          <t>chanhua</t>
        </is>
      </c>
      <c r="C115" s="733" t="n">
        <v>45365</v>
      </c>
      <c r="D115" s="673" t="inlineStr">
        <is>
          <t>香港比特</t>
        </is>
      </c>
      <c r="E115" s="734" t="inlineStr">
        <is>
          <t>WX-HN</t>
        </is>
      </c>
      <c r="F115" s="734" t="inlineStr">
        <is>
          <t>BM1368AA</t>
        </is>
      </c>
      <c r="G115" s="673">
        <f>VLOOKUP(F115,编码对账表!C:D,2,0)</f>
        <v/>
      </c>
      <c r="H115" s="396" t="n">
        <v>2031744</v>
      </c>
      <c r="I115" s="735" t="inlineStr">
        <is>
          <t>HKK202403210004</t>
        </is>
      </c>
      <c r="J115" s="736" t="inlineStr">
        <is>
          <t>印尼奥海</t>
        </is>
      </c>
      <c r="K115" s="734" t="inlineStr">
        <is>
          <t>CHANHUA PTE. LTD.</t>
        </is>
      </c>
      <c r="L115" s="736" t="n">
        <v>5.428</v>
      </c>
      <c r="M115" s="398" t="n"/>
    </row>
    <row r="116" customFormat="1" s="693">
      <c r="A116" s="1" t="n">
        <v>115</v>
      </c>
      <c r="B116" s="733" t="inlineStr">
        <is>
          <t>chanhua</t>
        </is>
      </c>
      <c r="C116" s="733" t="n">
        <v>45368</v>
      </c>
      <c r="D116" s="673" t="inlineStr">
        <is>
          <t>香港比特</t>
        </is>
      </c>
      <c r="E116" s="734" t="inlineStr">
        <is>
          <t>SPILSZ</t>
        </is>
      </c>
      <c r="F116" s="734" t="inlineStr">
        <is>
          <t>BM1368AA</t>
        </is>
      </c>
      <c r="G116" s="673">
        <f>VLOOKUP(F116,编码对账表!C:D,2,0)</f>
        <v/>
      </c>
      <c r="H116" s="396" t="n">
        <v>120528</v>
      </c>
      <c r="I116" s="735" t="inlineStr">
        <is>
          <t>HKK202403210005</t>
        </is>
      </c>
      <c r="J116" s="736" t="inlineStr">
        <is>
          <t>印尼奥海</t>
        </is>
      </c>
      <c r="K116" s="734" t="inlineStr">
        <is>
          <t>CHANHUA PTE. LTD.</t>
        </is>
      </c>
      <c r="L116" s="736" t="n">
        <v>5.428</v>
      </c>
      <c r="M116" s="398" t="n"/>
    </row>
    <row r="117" customFormat="1" s="693">
      <c r="A117" s="1" t="n">
        <v>116</v>
      </c>
      <c r="B117" s="733" t="inlineStr">
        <is>
          <t>chanhua</t>
        </is>
      </c>
      <c r="C117" s="733" t="n">
        <v>45368</v>
      </c>
      <c r="D117" s="673" t="inlineStr">
        <is>
          <t>香港比特</t>
        </is>
      </c>
      <c r="E117" s="734" t="inlineStr">
        <is>
          <t>SPILSZ</t>
        </is>
      </c>
      <c r="F117" s="734" t="inlineStr">
        <is>
          <t>BM1368PB</t>
        </is>
      </c>
      <c r="G117" s="673">
        <f>VLOOKUP(F117,编码对账表!C:D,2,0)</f>
        <v/>
      </c>
      <c r="H117" s="396" t="n">
        <v>101088</v>
      </c>
      <c r="I117" s="735" t="inlineStr">
        <is>
          <t>HKK202403210005</t>
        </is>
      </c>
      <c r="J117" s="736" t="inlineStr">
        <is>
          <t>印尼奥海</t>
        </is>
      </c>
      <c r="K117" s="734" t="inlineStr">
        <is>
          <t>CHANHUA PTE. LTD.</t>
        </is>
      </c>
      <c r="L117" s="736" t="n">
        <v>4.3949</v>
      </c>
      <c r="M117" s="398" t="n"/>
    </row>
    <row r="118" customFormat="1" s="693">
      <c r="A118" s="1" t="n">
        <v>117</v>
      </c>
      <c r="B118" s="733" t="inlineStr">
        <is>
          <t>chanhua</t>
        </is>
      </c>
      <c r="C118" s="733" t="n">
        <v>45368</v>
      </c>
      <c r="D118" s="673" t="inlineStr">
        <is>
          <t>香港比特</t>
        </is>
      </c>
      <c r="E118" s="734" t="inlineStr">
        <is>
          <t>SPILSZ</t>
        </is>
      </c>
      <c r="F118" s="734" t="inlineStr">
        <is>
          <t>BM1368PV</t>
        </is>
      </c>
      <c r="G118" s="673">
        <f>VLOOKUP(F118,编码对账表!C:D,2,0)</f>
        <v/>
      </c>
      <c r="H118" s="396" t="n">
        <v>116640</v>
      </c>
      <c r="I118" s="735" t="inlineStr">
        <is>
          <t>HKK202403210005</t>
        </is>
      </c>
      <c r="J118" s="736" t="inlineStr">
        <is>
          <t>印尼奥海</t>
        </is>
      </c>
      <c r="K118" s="734" t="inlineStr">
        <is>
          <t>CHANHUA PTE. LTD.</t>
        </is>
      </c>
      <c r="L118" s="736" t="n">
        <v>4.3949</v>
      </c>
      <c r="M118" s="398" t="n"/>
    </row>
    <row r="119" customFormat="1" s="693">
      <c r="A119" s="1" t="n">
        <v>118</v>
      </c>
      <c r="B119" s="733" t="inlineStr">
        <is>
          <t>chanhua</t>
        </is>
      </c>
      <c r="C119" s="733" t="n">
        <v>45369</v>
      </c>
      <c r="D119" s="673" t="inlineStr">
        <is>
          <t>香港比特</t>
        </is>
      </c>
      <c r="E119" s="734" t="inlineStr">
        <is>
          <t>NJ-VT</t>
        </is>
      </c>
      <c r="F119" s="734" t="inlineStr">
        <is>
          <t>BM1368AA</t>
        </is>
      </c>
      <c r="G119" s="673">
        <f>VLOOKUP(F119,编码对账表!C:D,2,0)</f>
        <v/>
      </c>
      <c r="H119" s="396" t="n">
        <v>357304</v>
      </c>
      <c r="I119" s="735" t="inlineStr">
        <is>
          <t>HKK202403210006</t>
        </is>
      </c>
      <c r="J119" s="736" t="inlineStr">
        <is>
          <t>印尼奥海</t>
        </is>
      </c>
      <c r="K119" s="734" t="inlineStr">
        <is>
          <t>CHANHUA PTE. LTD.</t>
        </is>
      </c>
      <c r="L119" s="736" t="n">
        <v>5.428</v>
      </c>
      <c r="M119" s="398" t="n"/>
    </row>
    <row r="120" customFormat="1" s="693">
      <c r="A120" s="1" t="n">
        <v>119</v>
      </c>
      <c r="B120" s="733" t="inlineStr">
        <is>
          <t>chanhua</t>
        </is>
      </c>
      <c r="C120" s="733" t="n">
        <v>45366</v>
      </c>
      <c r="D120" s="673" t="inlineStr">
        <is>
          <t>香港比特</t>
        </is>
      </c>
      <c r="E120" s="734" t="inlineStr">
        <is>
          <t>NJ-VT</t>
        </is>
      </c>
      <c r="F120" s="734" t="inlineStr">
        <is>
          <t>BM1368PB</t>
        </is>
      </c>
      <c r="G120" s="673">
        <f>VLOOKUP(F120,编码对账表!C:D,2,0)</f>
        <v/>
      </c>
      <c r="H120" s="396" t="n">
        <v>811085</v>
      </c>
      <c r="I120" s="735" t="inlineStr">
        <is>
          <t>HKK202403210007</t>
        </is>
      </c>
      <c r="J120" s="736" t="inlineStr">
        <is>
          <t>泰国益权</t>
        </is>
      </c>
      <c r="K120" s="734" t="inlineStr">
        <is>
          <t>CHANHUA PTE. LTD.</t>
        </is>
      </c>
      <c r="L120" s="736" t="n">
        <v>4.3949</v>
      </c>
      <c r="M120" s="398" t="n"/>
    </row>
    <row r="121" customFormat="1" s="693">
      <c r="A121" s="1" t="n">
        <v>120</v>
      </c>
      <c r="B121" s="733" t="inlineStr">
        <is>
          <t>chanhua</t>
        </is>
      </c>
      <c r="C121" s="733" t="n">
        <v>45366</v>
      </c>
      <c r="D121" s="673" t="inlineStr">
        <is>
          <t>香港比特</t>
        </is>
      </c>
      <c r="E121" s="734" t="inlineStr">
        <is>
          <t>NJ-VT</t>
        </is>
      </c>
      <c r="F121" s="734" t="inlineStr">
        <is>
          <t>BM1368PV</t>
        </is>
      </c>
      <c r="G121" s="673">
        <f>VLOOKUP(F121,编码对账表!C:D,2,0)</f>
        <v/>
      </c>
      <c r="H121" s="396" t="n">
        <v>290964</v>
      </c>
      <c r="I121" s="735" t="inlineStr">
        <is>
          <t>HKK202403210007</t>
        </is>
      </c>
      <c r="J121" s="736" t="inlineStr">
        <is>
          <t>泰国益权</t>
        </is>
      </c>
      <c r="K121" s="734" t="inlineStr">
        <is>
          <t>CHANHUA PTE. LTD.</t>
        </is>
      </c>
      <c r="L121" s="736" t="n">
        <v>4.3949</v>
      </c>
      <c r="M121" s="398" t="n"/>
    </row>
    <row r="122" customFormat="1" s="693">
      <c r="A122" s="1" t="n">
        <v>121</v>
      </c>
      <c r="B122" s="733" t="inlineStr">
        <is>
          <t>chanhua</t>
        </is>
      </c>
      <c r="C122" s="733" t="n">
        <v>45369</v>
      </c>
      <c r="D122" s="673" t="inlineStr">
        <is>
          <t>香港比特</t>
        </is>
      </c>
      <c r="E122" s="734" t="inlineStr">
        <is>
          <t>WX-HN</t>
        </is>
      </c>
      <c r="F122" s="734" t="inlineStr">
        <is>
          <t>BM1368AA</t>
        </is>
      </c>
      <c r="G122" s="673">
        <f>VLOOKUP(F122,编码对账表!C:D,2,0)</f>
        <v/>
      </c>
      <c r="H122" s="396" t="n">
        <v>164549</v>
      </c>
      <c r="I122" s="735" t="inlineStr">
        <is>
          <t>HKK202403210008</t>
        </is>
      </c>
      <c r="J122" s="736" t="inlineStr">
        <is>
          <t>泰国益权</t>
        </is>
      </c>
      <c r="K122" s="734" t="inlineStr">
        <is>
          <t>CHANHUA PTE. LTD.</t>
        </is>
      </c>
      <c r="L122" s="736" t="n">
        <v>5.428</v>
      </c>
      <c r="M122" s="398" t="n"/>
    </row>
    <row r="123" customFormat="1" s="693">
      <c r="A123" s="1" t="n">
        <v>122</v>
      </c>
      <c r="B123" s="733" t="inlineStr">
        <is>
          <t>chanhua</t>
        </is>
      </c>
      <c r="C123" s="733" t="n">
        <v>45365</v>
      </c>
      <c r="D123" s="673" t="inlineStr">
        <is>
          <t>香港比特</t>
        </is>
      </c>
      <c r="E123" s="734" t="inlineStr">
        <is>
          <t>XJ</t>
        </is>
      </c>
      <c r="F123" s="734" t="inlineStr">
        <is>
          <t>BM1368AA</t>
        </is>
      </c>
      <c r="G123" s="673">
        <f>VLOOKUP(F123,编码对账表!C:D,2,0)</f>
        <v/>
      </c>
      <c r="H123" s="396" t="n">
        <v>1300079</v>
      </c>
      <c r="I123" s="735" t="inlineStr">
        <is>
          <t>HKK202403210009</t>
        </is>
      </c>
      <c r="J123" s="736" t="inlineStr">
        <is>
          <t>泰国群光</t>
        </is>
      </c>
      <c r="K123" s="734" t="inlineStr">
        <is>
          <t>CHANHUA PTE. LTD.</t>
        </is>
      </c>
      <c r="L123" s="736" t="n">
        <v>5.428</v>
      </c>
      <c r="M123" s="398" t="n"/>
    </row>
    <row r="124" customFormat="1" s="693">
      <c r="A124" s="1" t="n">
        <v>123</v>
      </c>
      <c r="B124" s="733" t="inlineStr">
        <is>
          <t>chanhua</t>
        </is>
      </c>
      <c r="C124" s="733" t="n">
        <v>45369</v>
      </c>
      <c r="D124" s="673" t="inlineStr">
        <is>
          <t>香港比特</t>
        </is>
      </c>
      <c r="E124" s="734" t="inlineStr">
        <is>
          <t>XJ</t>
        </is>
      </c>
      <c r="F124" s="734" t="inlineStr">
        <is>
          <t>BM1368AA</t>
        </is>
      </c>
      <c r="G124" s="673">
        <f>VLOOKUP(F124,编码对账表!C:D,2,0)</f>
        <v/>
      </c>
      <c r="H124" s="396" t="n">
        <v>977693</v>
      </c>
      <c r="I124" s="735" t="inlineStr">
        <is>
          <t>HKK202403210010</t>
        </is>
      </c>
      <c r="J124" s="736" t="inlineStr">
        <is>
          <t>泰国群光</t>
        </is>
      </c>
      <c r="K124" s="734" t="inlineStr">
        <is>
          <t>CHANHUA PTE. LTD.</t>
        </is>
      </c>
      <c r="L124" s="736" t="n">
        <v>5.428</v>
      </c>
      <c r="M124" s="398" t="n"/>
    </row>
    <row r="125" customFormat="1" s="693">
      <c r="A125" s="1" t="n">
        <v>124</v>
      </c>
      <c r="B125" s="733" t="inlineStr">
        <is>
          <t>chanhua</t>
        </is>
      </c>
      <c r="C125" s="733" t="n">
        <v>45364</v>
      </c>
      <c r="D125" s="673" t="inlineStr">
        <is>
          <t>新加坡比特</t>
        </is>
      </c>
      <c r="E125" s="734" t="inlineStr">
        <is>
          <t>NJ-VT</t>
        </is>
      </c>
      <c r="F125" s="734" t="inlineStr">
        <is>
          <t>BM1368PB</t>
        </is>
      </c>
      <c r="G125" s="673">
        <f>VLOOKUP(F125,编码对账表!C:D,2,0)</f>
        <v/>
      </c>
      <c r="H125" s="396" t="n">
        <v>410504</v>
      </c>
      <c r="I125" s="741" t="inlineStr">
        <is>
          <t>202403210002</t>
        </is>
      </c>
      <c r="J125" s="736" t="inlineStr">
        <is>
          <t>泰国onetec</t>
        </is>
      </c>
      <c r="K125" s="734" t="inlineStr">
        <is>
          <t>CHANHUA PTE. LTD.</t>
        </is>
      </c>
      <c r="L125" s="736" t="n">
        <v>4.3949</v>
      </c>
      <c r="M125" s="398" t="n"/>
    </row>
    <row r="126" customFormat="1" s="693">
      <c r="A126" s="1" t="n">
        <v>125</v>
      </c>
      <c r="B126" s="733" t="inlineStr">
        <is>
          <t>chanhua</t>
        </is>
      </c>
      <c r="C126" s="733" t="n">
        <v>45364</v>
      </c>
      <c r="D126" s="673" t="inlineStr">
        <is>
          <t>新加坡比特</t>
        </is>
      </c>
      <c r="E126" s="734" t="inlineStr">
        <is>
          <t>NJ-VT</t>
        </is>
      </c>
      <c r="F126" s="734" t="inlineStr">
        <is>
          <t>BM1368PV</t>
        </is>
      </c>
      <c r="G126" s="673">
        <f>VLOOKUP(F126,编码对账表!C:D,2,0)</f>
        <v/>
      </c>
      <c r="H126" s="396" t="n">
        <v>690286</v>
      </c>
      <c r="I126" s="741" t="inlineStr">
        <is>
          <t>202403210003</t>
        </is>
      </c>
      <c r="J126" s="736" t="inlineStr">
        <is>
          <t>泰国onetec</t>
        </is>
      </c>
      <c r="K126" s="734" t="inlineStr">
        <is>
          <t>CHANHUA PTE. LTD.</t>
        </is>
      </c>
      <c r="L126" s="736" t="n">
        <v>4.3949</v>
      </c>
      <c r="M126" s="398" t="n"/>
    </row>
    <row r="127" customFormat="1" s="693">
      <c r="A127" s="1" t="n">
        <v>126</v>
      </c>
      <c r="B127" s="733" t="inlineStr">
        <is>
          <t>chanhua</t>
        </is>
      </c>
      <c r="C127" s="733" t="n">
        <v>45366</v>
      </c>
      <c r="D127" s="673" t="inlineStr">
        <is>
          <t>新加坡比特</t>
        </is>
      </c>
      <c r="E127" s="734" t="inlineStr">
        <is>
          <t>XJ</t>
        </is>
      </c>
      <c r="F127" s="734" t="inlineStr">
        <is>
          <t>BM1368AA</t>
        </is>
      </c>
      <c r="G127" s="673">
        <f>VLOOKUP(F127,编码对账表!C:D,2,0)</f>
        <v/>
      </c>
      <c r="H127" s="396" t="n">
        <v>1298523</v>
      </c>
      <c r="I127" s="741" t="inlineStr">
        <is>
          <t>202403210004</t>
        </is>
      </c>
      <c r="J127" s="736" t="inlineStr">
        <is>
          <t>泰国onetec</t>
        </is>
      </c>
      <c r="K127" s="734" t="inlineStr">
        <is>
          <t>CHANHUA PTE. LTD.</t>
        </is>
      </c>
      <c r="L127" s="736" t="n">
        <v>5.428</v>
      </c>
      <c r="M127" s="398" t="n"/>
    </row>
    <row r="128" customFormat="1" s="693">
      <c r="A128" s="1" t="n">
        <v>127</v>
      </c>
      <c r="B128" s="733" t="inlineStr">
        <is>
          <t>chanhua</t>
        </is>
      </c>
      <c r="C128" s="733" t="n">
        <v>45369</v>
      </c>
      <c r="D128" s="673" t="inlineStr">
        <is>
          <t>新加坡比特</t>
        </is>
      </c>
      <c r="E128" s="734" t="inlineStr">
        <is>
          <t>NJ-VT</t>
        </is>
      </c>
      <c r="F128" s="734" t="inlineStr">
        <is>
          <t>BM1368PB</t>
        </is>
      </c>
      <c r="G128" s="673">
        <f>VLOOKUP(F128,编码对账表!C:D,2,0)</f>
        <v/>
      </c>
      <c r="H128" s="396" t="n">
        <v>338591</v>
      </c>
      <c r="I128" s="741" t="inlineStr">
        <is>
          <t>202403210005</t>
        </is>
      </c>
      <c r="J128" s="736" t="inlineStr">
        <is>
          <t>泰国onetec</t>
        </is>
      </c>
      <c r="K128" s="734" t="inlineStr">
        <is>
          <t>CHANHUA PTE. LTD.</t>
        </is>
      </c>
      <c r="L128" s="736" t="n">
        <v>4.3949</v>
      </c>
      <c r="M128" s="398" t="n"/>
    </row>
    <row r="129" customFormat="1" s="693">
      <c r="A129" s="1" t="n">
        <v>128</v>
      </c>
      <c r="B129" s="733" t="inlineStr">
        <is>
          <t>chanhua</t>
        </is>
      </c>
      <c r="C129" s="733" t="n">
        <v>45369</v>
      </c>
      <c r="D129" s="673" t="inlineStr">
        <is>
          <t>新加坡比特</t>
        </is>
      </c>
      <c r="E129" s="734" t="inlineStr">
        <is>
          <t>NJ-VT</t>
        </is>
      </c>
      <c r="F129" s="734" t="inlineStr">
        <is>
          <t>BM1368PV</t>
        </is>
      </c>
      <c r="G129" s="673">
        <f>VLOOKUP(F129,编码对账表!C:D,2,0)</f>
        <v/>
      </c>
      <c r="H129" s="396" t="n">
        <v>496482</v>
      </c>
      <c r="I129" s="741" t="inlineStr">
        <is>
          <t>202403210005</t>
        </is>
      </c>
      <c r="J129" s="736" t="inlineStr">
        <is>
          <t>泰国onetec</t>
        </is>
      </c>
      <c r="K129" s="734" t="inlineStr">
        <is>
          <t>CHANHUA PTE. LTD.</t>
        </is>
      </c>
      <c r="L129" s="736" t="n">
        <v>4.3949</v>
      </c>
      <c r="M129" s="398" t="n"/>
    </row>
    <row r="130" customFormat="1" s="693">
      <c r="A130" s="1" t="n">
        <v>129</v>
      </c>
      <c r="B130" s="733" t="inlineStr">
        <is>
          <t>chanhua</t>
        </is>
      </c>
      <c r="C130" s="733" t="n">
        <v>45369</v>
      </c>
      <c r="D130" s="673" t="inlineStr">
        <is>
          <t>新加坡比特</t>
        </is>
      </c>
      <c r="E130" s="734" t="inlineStr">
        <is>
          <t>WX-HN</t>
        </is>
      </c>
      <c r="F130" s="734" t="inlineStr">
        <is>
          <t>BM1368AA</t>
        </is>
      </c>
      <c r="G130" s="673">
        <f>VLOOKUP(F130,编码对账表!C:D,2,0)</f>
        <v/>
      </c>
      <c r="H130" s="396" t="n">
        <v>423559</v>
      </c>
      <c r="I130" s="741" t="inlineStr">
        <is>
          <t>202403210006</t>
        </is>
      </c>
      <c r="J130" s="736" t="inlineStr">
        <is>
          <t>泰国onetec</t>
        </is>
      </c>
      <c r="K130" s="734" t="inlineStr">
        <is>
          <t>CHANHUA PTE. LTD.</t>
        </is>
      </c>
      <c r="L130" s="736" t="n">
        <v>5.428</v>
      </c>
      <c r="M130" s="398" t="n"/>
    </row>
    <row r="131" customFormat="1" s="693">
      <c r="A131" s="1" t="n">
        <v>130</v>
      </c>
      <c r="B131" s="733" t="inlineStr">
        <is>
          <t>chanhua</t>
        </is>
      </c>
      <c r="C131" s="733" t="n">
        <v>45373</v>
      </c>
      <c r="D131" s="673" t="inlineStr">
        <is>
          <t>香港比特</t>
        </is>
      </c>
      <c r="E131" s="734" t="inlineStr">
        <is>
          <t>JSCC</t>
        </is>
      </c>
      <c r="F131" s="734" t="inlineStr">
        <is>
          <t>BM1368PB</t>
        </is>
      </c>
      <c r="G131" s="673">
        <f>VLOOKUP(F131,编码对账表!C:D,2,0)</f>
        <v/>
      </c>
      <c r="H131" s="396" t="n">
        <v>912514</v>
      </c>
      <c r="I131" s="735" t="inlineStr">
        <is>
          <t>HKK202403300001</t>
        </is>
      </c>
      <c r="J131" s="736" t="inlineStr">
        <is>
          <t>泰国益权</t>
        </is>
      </c>
      <c r="K131" s="734" t="inlineStr">
        <is>
          <t>CHANHUA PTE. LTD.</t>
        </is>
      </c>
      <c r="L131" s="736" t="n">
        <v>4.3949</v>
      </c>
      <c r="M131" s="398" t="n"/>
    </row>
    <row r="132" customFormat="1" s="693">
      <c r="A132" s="1" t="n">
        <v>131</v>
      </c>
      <c r="B132" s="733" t="inlineStr">
        <is>
          <t>chanhua</t>
        </is>
      </c>
      <c r="C132" s="733" t="n">
        <v>45373</v>
      </c>
      <c r="D132" s="673" t="inlineStr">
        <is>
          <t>香港比特</t>
        </is>
      </c>
      <c r="E132" s="734" t="inlineStr">
        <is>
          <t>JSCC</t>
        </is>
      </c>
      <c r="F132" s="734" t="inlineStr">
        <is>
          <t>BM1368PV</t>
        </is>
      </c>
      <c r="G132" s="673">
        <f>VLOOKUP(F132,编码对账表!C:D,2,0)</f>
        <v/>
      </c>
      <c r="H132" s="396" t="n">
        <v>39085</v>
      </c>
      <c r="I132" s="735" t="inlineStr">
        <is>
          <t>HKK202403300001</t>
        </is>
      </c>
      <c r="J132" s="736" t="inlineStr">
        <is>
          <t>泰国益权</t>
        </is>
      </c>
      <c r="K132" s="734" t="inlineStr">
        <is>
          <t>CHANHUA PTE. LTD.</t>
        </is>
      </c>
      <c r="L132" s="736" t="n">
        <v>4.3949</v>
      </c>
      <c r="M132" s="398" t="n"/>
    </row>
    <row r="133" customFormat="1" s="693">
      <c r="A133" s="1" t="n">
        <v>132</v>
      </c>
      <c r="B133" s="733" t="inlineStr">
        <is>
          <t>chanhua</t>
        </is>
      </c>
      <c r="C133" s="733" t="n">
        <v>45372</v>
      </c>
      <c r="D133" s="673" t="inlineStr">
        <is>
          <t>香港比特</t>
        </is>
      </c>
      <c r="E133" s="734" t="inlineStr">
        <is>
          <t>WX-HN</t>
        </is>
      </c>
      <c r="F133" s="734" t="inlineStr">
        <is>
          <t>BM1368AA</t>
        </is>
      </c>
      <c r="G133" s="673">
        <f>VLOOKUP(F133,编码对账表!C:D,2,0)</f>
        <v/>
      </c>
      <c r="H133" s="396" t="n">
        <v>2000299</v>
      </c>
      <c r="I133" s="735" t="inlineStr">
        <is>
          <t>HKK202403300002</t>
        </is>
      </c>
      <c r="J133" s="736" t="inlineStr">
        <is>
          <t>泰国群光</t>
        </is>
      </c>
      <c r="K133" s="734" t="inlineStr">
        <is>
          <t>CHANHUA PTE. LTD.</t>
        </is>
      </c>
      <c r="L133" s="736" t="n">
        <v>5.428</v>
      </c>
      <c r="M133" s="398" t="n"/>
    </row>
    <row r="134" customFormat="1" s="693">
      <c r="A134" s="1" t="n">
        <v>133</v>
      </c>
      <c r="B134" s="733" t="inlineStr">
        <is>
          <t>chanhua</t>
        </is>
      </c>
      <c r="C134" s="733" t="n">
        <v>45371</v>
      </c>
      <c r="D134" s="673" t="inlineStr">
        <is>
          <t>新加坡比特</t>
        </is>
      </c>
      <c r="E134" s="734" t="inlineStr">
        <is>
          <t>NJ-VT</t>
        </is>
      </c>
      <c r="F134" s="734" t="inlineStr">
        <is>
          <t>BM1368PB</t>
        </is>
      </c>
      <c r="G134" s="673">
        <f>VLOOKUP(F134,编码对账表!C:D,2,0)</f>
        <v/>
      </c>
      <c r="H134" s="396" t="n">
        <v>141229</v>
      </c>
      <c r="I134" s="741" t="inlineStr">
        <is>
          <t>202403300001</t>
        </is>
      </c>
      <c r="J134" s="736" t="inlineStr">
        <is>
          <t>泰国onetec</t>
        </is>
      </c>
      <c r="K134" s="734" t="inlineStr">
        <is>
          <t>CHANHUA PTE. LTD.</t>
        </is>
      </c>
      <c r="L134" s="736" t="n">
        <v>4.3949</v>
      </c>
      <c r="M134" s="398" t="n"/>
    </row>
    <row r="135" customFormat="1" s="693">
      <c r="A135" s="1" t="n">
        <v>134</v>
      </c>
      <c r="B135" s="733" t="inlineStr">
        <is>
          <t>chanhua</t>
        </is>
      </c>
      <c r="C135" s="733" t="n">
        <v>45371</v>
      </c>
      <c r="D135" s="673" t="inlineStr">
        <is>
          <t>新加坡比特</t>
        </is>
      </c>
      <c r="E135" s="734" t="inlineStr">
        <is>
          <t>NJ-VT</t>
        </is>
      </c>
      <c r="F135" s="734" t="inlineStr">
        <is>
          <t>BM1368PV</t>
        </is>
      </c>
      <c r="G135" s="673">
        <f>VLOOKUP(F135,编码对账表!C:D,2,0)</f>
        <v/>
      </c>
      <c r="H135" s="396" t="n">
        <v>478034</v>
      </c>
      <c r="I135" s="741" t="inlineStr">
        <is>
          <t>202403300001</t>
        </is>
      </c>
      <c r="J135" s="736" t="inlineStr">
        <is>
          <t>泰国onetec</t>
        </is>
      </c>
      <c r="K135" s="734" t="inlineStr">
        <is>
          <t>CHANHUA PTE. LTD.</t>
        </is>
      </c>
      <c r="L135" s="736" t="n">
        <v>4.3949</v>
      </c>
      <c r="M135" s="398" t="n"/>
    </row>
    <row r="136" customFormat="1" s="693">
      <c r="A136" s="1" t="n">
        <v>135</v>
      </c>
      <c r="B136" s="733" t="inlineStr">
        <is>
          <t>chanhua</t>
        </is>
      </c>
      <c r="C136" s="733" t="n">
        <v>45376</v>
      </c>
      <c r="D136" s="673" t="inlineStr">
        <is>
          <t>新加坡比特</t>
        </is>
      </c>
      <c r="E136" s="734" t="inlineStr">
        <is>
          <t>WX-HN</t>
        </is>
      </c>
      <c r="F136" s="734" t="inlineStr">
        <is>
          <t>BM1368PB</t>
        </is>
      </c>
      <c r="G136" s="673">
        <f>VLOOKUP(F136,编码对账表!C:D,2,0)</f>
        <v/>
      </c>
      <c r="H136" s="396" t="n">
        <v>1119342</v>
      </c>
      <c r="I136" s="741" t="inlineStr">
        <is>
          <t>202403300002</t>
        </is>
      </c>
      <c r="J136" s="736" t="inlineStr">
        <is>
          <t>泰国onetec</t>
        </is>
      </c>
      <c r="K136" s="734" t="inlineStr">
        <is>
          <t>CHANHUA PTE. LTD.</t>
        </is>
      </c>
      <c r="L136" s="736" t="n">
        <v>4.3949</v>
      </c>
      <c r="M136" s="398" t="n"/>
    </row>
    <row r="137" customFormat="1" s="693">
      <c r="A137" s="1" t="n">
        <v>136</v>
      </c>
      <c r="B137" s="733" t="inlineStr">
        <is>
          <t>chanhua</t>
        </is>
      </c>
      <c r="C137" s="733" t="n">
        <v>45377</v>
      </c>
      <c r="D137" s="673" t="inlineStr">
        <is>
          <t>香港比特</t>
        </is>
      </c>
      <c r="E137" s="734" t="inlineStr">
        <is>
          <t>WX-HN</t>
        </is>
      </c>
      <c r="F137" s="734" t="inlineStr">
        <is>
          <t>BM2382AA</t>
        </is>
      </c>
      <c r="G137" s="673">
        <f>VLOOKUP(F137,编码对账表!C:D,2,0)</f>
        <v/>
      </c>
      <c r="H137" s="396" t="n">
        <v>30481</v>
      </c>
      <c r="I137" s="735" t="inlineStr">
        <is>
          <t>HKK202404030004</t>
        </is>
      </c>
      <c r="J137" s="736" t="inlineStr">
        <is>
          <t>印尼奥海</t>
        </is>
      </c>
      <c r="K137" s="734" t="inlineStr">
        <is>
          <t>CHANHUA PTE. LTD.</t>
        </is>
      </c>
      <c r="L137" s="736" t="n">
        <v>3.5251</v>
      </c>
      <c r="M137" s="398" t="n"/>
    </row>
    <row r="138" customFormat="1" s="693">
      <c r="A138" s="1" t="n">
        <v>137</v>
      </c>
      <c r="B138" s="733" t="inlineStr">
        <is>
          <t>chanhua</t>
        </is>
      </c>
      <c r="C138" s="733" t="n">
        <v>45379</v>
      </c>
      <c r="D138" s="673" t="inlineStr">
        <is>
          <t>香港比特</t>
        </is>
      </c>
      <c r="E138" s="734" t="inlineStr">
        <is>
          <t>NJ-VT</t>
        </is>
      </c>
      <c r="F138" s="734" t="inlineStr">
        <is>
          <t>BM1368PB</t>
        </is>
      </c>
      <c r="G138" s="673">
        <f>VLOOKUP(F138,编码对账表!C:D,2,0)</f>
        <v/>
      </c>
      <c r="H138" s="396" t="n">
        <v>1302063</v>
      </c>
      <c r="I138" s="735" t="inlineStr">
        <is>
          <t>HKK202404030006</t>
        </is>
      </c>
      <c r="J138" s="736" t="inlineStr">
        <is>
          <t>印尼奥海</t>
        </is>
      </c>
      <c r="K138" s="734" t="inlineStr">
        <is>
          <t>CHANHUA PTE. LTD.</t>
        </is>
      </c>
      <c r="L138" s="736" t="n">
        <v>5.4206</v>
      </c>
      <c r="M138" s="398" t="n"/>
    </row>
    <row r="139" customFormat="1" s="693">
      <c r="A139" s="1" t="n">
        <v>138</v>
      </c>
      <c r="B139" s="733" t="inlineStr">
        <is>
          <t>chanhua</t>
        </is>
      </c>
      <c r="C139" s="733" t="n">
        <v>45379</v>
      </c>
      <c r="D139" s="673" t="inlineStr">
        <is>
          <t>香港比特</t>
        </is>
      </c>
      <c r="E139" s="734" t="inlineStr">
        <is>
          <t>WX-HN</t>
        </is>
      </c>
      <c r="F139" s="734" t="inlineStr">
        <is>
          <t>BM1368PB</t>
        </is>
      </c>
      <c r="G139" s="673">
        <f>VLOOKUP(F139,编码对账表!C:D,2,0)</f>
        <v/>
      </c>
      <c r="H139" s="396" t="n">
        <v>881083</v>
      </c>
      <c r="I139" s="735" t="inlineStr">
        <is>
          <t>HKK202404030007</t>
        </is>
      </c>
      <c r="J139" s="736" t="inlineStr">
        <is>
          <t>印尼奥海</t>
        </is>
      </c>
      <c r="K139" s="734" t="inlineStr">
        <is>
          <t>CHANHUA PTE. LTD.</t>
        </is>
      </c>
      <c r="L139" s="736" t="n">
        <v>5.4206</v>
      </c>
      <c r="M139" s="398" t="n"/>
    </row>
    <row r="140" customFormat="1" s="693">
      <c r="A140" s="1" t="n">
        <v>139</v>
      </c>
      <c r="B140" s="733" t="inlineStr">
        <is>
          <t>chanhua</t>
        </is>
      </c>
      <c r="C140" s="733" t="n">
        <v>45379</v>
      </c>
      <c r="D140" s="673" t="inlineStr">
        <is>
          <t>香港比特</t>
        </is>
      </c>
      <c r="E140" s="734" t="inlineStr">
        <is>
          <t>WX-HN</t>
        </is>
      </c>
      <c r="F140" s="734" t="inlineStr">
        <is>
          <t>BM1368PV</t>
        </is>
      </c>
      <c r="G140" s="673">
        <f>VLOOKUP(F140,编码对账表!C:D,2,0)</f>
        <v/>
      </c>
      <c r="H140" s="396" t="n">
        <v>31267</v>
      </c>
      <c r="I140" s="735" t="inlineStr">
        <is>
          <t>HKK202404030007</t>
        </is>
      </c>
      <c r="J140" s="736" t="inlineStr">
        <is>
          <t>印尼奥海</t>
        </is>
      </c>
      <c r="K140" s="734" t="inlineStr">
        <is>
          <t>CHANHUA PTE. LTD.</t>
        </is>
      </c>
      <c r="L140" s="736" t="n">
        <v>5.4206</v>
      </c>
      <c r="M140" s="398" t="n"/>
    </row>
    <row r="141" customFormat="1" s="693">
      <c r="A141" s="1" t="n">
        <v>140</v>
      </c>
      <c r="B141" s="733" t="inlineStr">
        <is>
          <t>chanhua</t>
        </is>
      </c>
      <c r="C141" s="733" t="n">
        <v>45379</v>
      </c>
      <c r="D141" s="673" t="inlineStr">
        <is>
          <t>香港比特</t>
        </is>
      </c>
      <c r="E141" s="734" t="inlineStr">
        <is>
          <t>JSCC</t>
        </is>
      </c>
      <c r="F141" s="734" t="inlineStr">
        <is>
          <t>BM1368PB</t>
        </is>
      </c>
      <c r="G141" s="673">
        <f>VLOOKUP(F141,编码对账表!C:D,2,0)</f>
        <v/>
      </c>
      <c r="H141" s="396" t="n">
        <v>445898</v>
      </c>
      <c r="I141" s="735" t="inlineStr">
        <is>
          <t>HKK202404030008</t>
        </is>
      </c>
      <c r="J141" s="736" t="inlineStr">
        <is>
          <t>泰国益权</t>
        </is>
      </c>
      <c r="K141" s="734" t="inlineStr">
        <is>
          <t>CHANHUA PTE. LTD.</t>
        </is>
      </c>
      <c r="L141" s="736" t="n">
        <v>5.4206</v>
      </c>
      <c r="M141" s="398" t="n"/>
    </row>
    <row r="142" customFormat="1" s="693">
      <c r="A142" s="1" t="n">
        <v>141</v>
      </c>
      <c r="B142" s="733" t="inlineStr">
        <is>
          <t>chanhua</t>
        </is>
      </c>
      <c r="C142" s="733" t="n">
        <v>45379</v>
      </c>
      <c r="D142" s="673" t="inlineStr">
        <is>
          <t>香港比特</t>
        </is>
      </c>
      <c r="E142" s="734" t="inlineStr">
        <is>
          <t>JSCC</t>
        </is>
      </c>
      <c r="F142" s="734" t="inlineStr">
        <is>
          <t>BM1368PB</t>
        </is>
      </c>
      <c r="G142" s="673">
        <f>VLOOKUP(F142,编码对账表!C:D,2,0)</f>
        <v/>
      </c>
      <c r="H142" s="396" t="n">
        <v>1699358</v>
      </c>
      <c r="I142" s="735" t="inlineStr">
        <is>
          <t>HKK202404030009</t>
        </is>
      </c>
      <c r="J142" s="736" t="inlineStr">
        <is>
          <t>泰国群光</t>
        </is>
      </c>
      <c r="K142" s="734" t="inlineStr">
        <is>
          <t>CHANHUA PTE. LTD.</t>
        </is>
      </c>
      <c r="L142" s="736" t="n">
        <v>5.4206</v>
      </c>
      <c r="M142" s="398" t="n"/>
    </row>
    <row r="143" customFormat="1" s="693">
      <c r="A143" s="1" t="n">
        <v>142</v>
      </c>
      <c r="B143" s="733" t="inlineStr">
        <is>
          <t>chanhua</t>
        </is>
      </c>
      <c r="C143" s="733" t="n">
        <v>45379</v>
      </c>
      <c r="D143" s="673" t="inlineStr">
        <is>
          <t>香港比特</t>
        </is>
      </c>
      <c r="E143" s="734" t="inlineStr">
        <is>
          <t>SPILSZ</t>
        </is>
      </c>
      <c r="F143" s="734" t="inlineStr">
        <is>
          <t>BM1368PB</t>
        </is>
      </c>
      <c r="G143" s="673">
        <f>VLOOKUP(F143,编码对账表!C:D,2,0)</f>
        <v/>
      </c>
      <c r="H143" s="396" t="n">
        <v>1010806</v>
      </c>
      <c r="I143" s="735" t="inlineStr">
        <is>
          <t>HKK202404030010</t>
        </is>
      </c>
      <c r="J143" s="736" t="inlineStr">
        <is>
          <t>泰国群光</t>
        </is>
      </c>
      <c r="K143" s="734" t="inlineStr">
        <is>
          <t>CHANHUA PTE. LTD.</t>
        </is>
      </c>
      <c r="L143" s="736" t="n">
        <v>5.4206</v>
      </c>
      <c r="M143" s="398" t="n"/>
    </row>
    <row r="144" customFormat="1" s="693">
      <c r="A144" s="1" t="n">
        <v>143</v>
      </c>
      <c r="B144" s="733" t="inlineStr">
        <is>
          <t>chanhua</t>
        </is>
      </c>
      <c r="C144" s="733" t="n">
        <v>45379</v>
      </c>
      <c r="D144" s="673" t="inlineStr">
        <is>
          <t>香港比特</t>
        </is>
      </c>
      <c r="E144" s="734" t="inlineStr">
        <is>
          <t>SPILSZ</t>
        </is>
      </c>
      <c r="F144" s="734" t="inlineStr">
        <is>
          <t>BM1368PV</t>
        </is>
      </c>
      <c r="G144" s="673">
        <f>VLOOKUP(F144,编码对账表!C:D,2,0)</f>
        <v/>
      </c>
      <c r="H144" s="396" t="n">
        <v>463344</v>
      </c>
      <c r="I144" s="735" t="inlineStr">
        <is>
          <t>HKK202404030010</t>
        </is>
      </c>
      <c r="J144" s="736" t="inlineStr">
        <is>
          <t>泰国群光</t>
        </is>
      </c>
      <c r="K144" s="734" t="inlineStr">
        <is>
          <t>CHANHUA PTE. LTD.</t>
        </is>
      </c>
      <c r="L144" s="736" t="n">
        <v>5.4206</v>
      </c>
      <c r="M144" s="398" t="n"/>
    </row>
    <row r="145" customFormat="1" s="693">
      <c r="A145" s="1" t="n">
        <v>144</v>
      </c>
      <c r="B145" s="733" t="inlineStr">
        <is>
          <t>chanhua</t>
        </is>
      </c>
      <c r="C145" s="733" t="n">
        <v>45379</v>
      </c>
      <c r="D145" s="673" t="inlineStr">
        <is>
          <t>新加坡比特</t>
        </is>
      </c>
      <c r="E145" s="734" t="inlineStr">
        <is>
          <t>JSCC</t>
        </is>
      </c>
      <c r="F145" s="734" t="inlineStr">
        <is>
          <t>BM1368PB</t>
        </is>
      </c>
      <c r="G145" s="673">
        <f>VLOOKUP(F145,编码对账表!C:D,2,0)</f>
        <v/>
      </c>
      <c r="H145" s="396" t="n">
        <v>1778068</v>
      </c>
      <c r="I145" s="741" t="inlineStr">
        <is>
          <t>202404030004</t>
        </is>
      </c>
      <c r="J145" s="736" t="inlineStr">
        <is>
          <t>泰国onetec</t>
        </is>
      </c>
      <c r="K145" s="734" t="inlineStr">
        <is>
          <t>CHANHUA PTE. LTD.</t>
        </is>
      </c>
      <c r="L145" s="736" t="n">
        <v>5.4206</v>
      </c>
      <c r="M145" s="398" t="n"/>
    </row>
    <row r="146" customFormat="1" s="693">
      <c r="A146" s="1" t="n">
        <v>145</v>
      </c>
      <c r="B146" s="733" t="inlineStr">
        <is>
          <t>chanhua</t>
        </is>
      </c>
      <c r="C146" s="733" t="n">
        <v>45358</v>
      </c>
      <c r="D146" s="673" t="inlineStr">
        <is>
          <t>chanhua</t>
        </is>
      </c>
      <c r="E146" s="734" t="inlineStr">
        <is>
          <t>世纪云芯</t>
        </is>
      </c>
      <c r="F146" s="734" t="inlineStr">
        <is>
          <t>BM1370AA</t>
        </is>
      </c>
      <c r="G146" s="673">
        <f>VLOOKUP(F146,编码对账表!C:D,2,0)</f>
        <v/>
      </c>
      <c r="H146" s="396" t="n">
        <v>154</v>
      </c>
      <c r="I146" s="741" t="inlineStr">
        <is>
          <t>202404070001</t>
        </is>
      </c>
      <c r="J146" s="736" t="inlineStr">
        <is>
          <t>SCK</t>
        </is>
      </c>
      <c r="K146" s="734" t="inlineStr">
        <is>
          <t>CHANHUA PTE. LTD.</t>
        </is>
      </c>
      <c r="L146" s="736" t="n">
        <v>5.2301</v>
      </c>
      <c r="M146" s="398" t="inlineStr">
        <is>
          <t>已接收</t>
        </is>
      </c>
    </row>
    <row r="147" customFormat="1" s="693">
      <c r="A147" s="1" t="n">
        <v>145</v>
      </c>
      <c r="B147" s="733" t="inlineStr">
        <is>
          <t>chanhua</t>
        </is>
      </c>
      <c r="C147" s="733" t="n">
        <v>45359</v>
      </c>
      <c r="D147" s="673" t="inlineStr">
        <is>
          <t>chanhua</t>
        </is>
      </c>
      <c r="E147" s="734" t="inlineStr">
        <is>
          <t>世纪云芯</t>
        </is>
      </c>
      <c r="F147" s="734" t="inlineStr">
        <is>
          <t>BM1370AA</t>
        </is>
      </c>
      <c r="G147" s="673">
        <f>VLOOKUP(F147,编码对账表!C:D,2,0)</f>
        <v/>
      </c>
      <c r="H147" s="396" t="n">
        <v>2165</v>
      </c>
      <c r="I147" s="741" t="inlineStr">
        <is>
          <t>202404070002</t>
        </is>
      </c>
      <c r="J147" s="736" t="inlineStr">
        <is>
          <t>JSCC</t>
        </is>
      </c>
      <c r="K147" s="734" t="inlineStr">
        <is>
          <t>CHANHUA PTE. LTD.</t>
        </is>
      </c>
      <c r="L147" s="736" t="n">
        <v>5.2301</v>
      </c>
      <c r="M147" s="398" t="inlineStr">
        <is>
          <t>已接收</t>
        </is>
      </c>
    </row>
    <row r="148" customFormat="1" s="693">
      <c r="A148" s="1" t="n">
        <v>146</v>
      </c>
      <c r="B148" s="733" t="inlineStr">
        <is>
          <t>chanhua</t>
        </is>
      </c>
      <c r="C148" s="733" t="n">
        <v>45369</v>
      </c>
      <c r="D148" s="673" t="inlineStr">
        <is>
          <t>chanhua</t>
        </is>
      </c>
      <c r="E148" s="734" t="inlineStr">
        <is>
          <t>世纪云芯</t>
        </is>
      </c>
      <c r="F148" s="734" t="inlineStr">
        <is>
          <t>BM1370AA</t>
        </is>
      </c>
      <c r="G148" s="673">
        <f>VLOOKUP(F148,编码对账表!C:D,2,0)</f>
        <v/>
      </c>
      <c r="H148" s="396" t="n">
        <v>2456</v>
      </c>
      <c r="I148" s="741" t="inlineStr">
        <is>
          <t>202404070003</t>
        </is>
      </c>
      <c r="J148" s="736" t="inlineStr">
        <is>
          <t>ASE-CL</t>
        </is>
      </c>
      <c r="K148" s="734" t="inlineStr">
        <is>
          <t>CHANHUA PTE. LTD.</t>
        </is>
      </c>
      <c r="L148" s="736" t="n">
        <v>5.2301</v>
      </c>
      <c r="M148" s="398" t="inlineStr">
        <is>
          <t>已接收</t>
        </is>
      </c>
    </row>
    <row r="149" customFormat="1" s="693">
      <c r="A149" s="1" t="n">
        <v>147</v>
      </c>
      <c r="B149" s="733" t="inlineStr">
        <is>
          <t>chanhua</t>
        </is>
      </c>
      <c r="C149" s="733" t="n">
        <v>45369</v>
      </c>
      <c r="D149" s="673" t="inlineStr">
        <is>
          <t>chanhua</t>
        </is>
      </c>
      <c r="E149" s="734" t="inlineStr">
        <is>
          <t>世纪云芯</t>
        </is>
      </c>
      <c r="F149" s="734" t="inlineStr">
        <is>
          <t>BM1370AA</t>
        </is>
      </c>
      <c r="G149" s="673">
        <f>VLOOKUP(F149,编码对账表!C:D,2,0)</f>
        <v/>
      </c>
      <c r="H149" s="396" t="n">
        <v>2400</v>
      </c>
      <c r="I149" s="741" t="inlineStr">
        <is>
          <t>202404070004</t>
        </is>
      </c>
      <c r="J149" s="736" t="inlineStr">
        <is>
          <t>ASE-KH</t>
        </is>
      </c>
      <c r="K149" s="734" t="inlineStr">
        <is>
          <t>CHANHUA PTE. LTD.</t>
        </is>
      </c>
      <c r="L149" s="736" t="n">
        <v>5.2301</v>
      </c>
      <c r="M149" s="398" t="inlineStr">
        <is>
          <t>已接收</t>
        </is>
      </c>
    </row>
    <row r="150" customFormat="1" s="693">
      <c r="A150" s="1" t="n">
        <v>148</v>
      </c>
      <c r="B150" s="733" t="inlineStr">
        <is>
          <t>chanhua</t>
        </is>
      </c>
      <c r="C150" s="733" t="n">
        <v>45371</v>
      </c>
      <c r="D150" s="673" t="inlineStr">
        <is>
          <t>chanhua</t>
        </is>
      </c>
      <c r="E150" s="734" t="inlineStr">
        <is>
          <t>世纪云芯</t>
        </is>
      </c>
      <c r="F150" s="734" t="inlineStr">
        <is>
          <t>BM1370AA</t>
        </is>
      </c>
      <c r="G150" s="673">
        <f>VLOOKUP(F150,编码对账表!C:D,2,0)</f>
        <v/>
      </c>
      <c r="H150" s="396" t="n">
        <v>546</v>
      </c>
      <c r="I150" s="741" t="inlineStr">
        <is>
          <t>202404070005</t>
        </is>
      </c>
      <c r="J150" s="736" t="inlineStr">
        <is>
          <t>ASE-KH</t>
        </is>
      </c>
      <c r="K150" s="734" t="inlineStr">
        <is>
          <t>CHANHUA PTE. LTD.</t>
        </is>
      </c>
      <c r="L150" s="736" t="n">
        <v>5.2301</v>
      </c>
      <c r="M150" s="398" t="inlineStr">
        <is>
          <t>已接收</t>
        </is>
      </c>
    </row>
    <row r="151" customFormat="1" s="693">
      <c r="A151" s="1" t="n">
        <v>149</v>
      </c>
      <c r="B151" s="733" t="inlineStr">
        <is>
          <t>chanhua</t>
        </is>
      </c>
      <c r="C151" s="733" t="n">
        <v>45371</v>
      </c>
      <c r="D151" s="673" t="inlineStr">
        <is>
          <t>chanhua</t>
        </is>
      </c>
      <c r="E151" s="734" t="inlineStr">
        <is>
          <t>世纪云芯</t>
        </is>
      </c>
      <c r="F151" s="734" t="inlineStr">
        <is>
          <t>BM1370AA</t>
        </is>
      </c>
      <c r="G151" s="673">
        <f>VLOOKUP(F151,编码对账表!C:D,2,0)</f>
        <v/>
      </c>
      <c r="H151" s="396" t="n">
        <v>77</v>
      </c>
      <c r="I151" s="741" t="inlineStr">
        <is>
          <t>202404070006</t>
        </is>
      </c>
      <c r="J151" s="736" t="inlineStr">
        <is>
          <t>SCK</t>
        </is>
      </c>
      <c r="K151" s="734" t="inlineStr">
        <is>
          <t>CHANHUA PTE. LTD.</t>
        </is>
      </c>
      <c r="L151" s="736" t="n">
        <v>5.2301</v>
      </c>
      <c r="M151" s="398" t="inlineStr">
        <is>
          <t>已接收</t>
        </is>
      </c>
    </row>
    <row r="152" customFormat="1" s="693">
      <c r="A152" s="1" t="n">
        <v>150</v>
      </c>
      <c r="B152" s="733" t="inlineStr">
        <is>
          <t>chanhua</t>
        </is>
      </c>
      <c r="C152" s="733" t="n">
        <v>45362</v>
      </c>
      <c r="D152" s="673" t="inlineStr">
        <is>
          <t>新加坡比特</t>
        </is>
      </c>
      <c r="E152" s="734" t="inlineStr">
        <is>
          <t>WXHN</t>
        </is>
      </c>
      <c r="F152" s="734" t="inlineStr">
        <is>
          <t>BM1368PV</t>
        </is>
      </c>
      <c r="G152" s="673">
        <f>VLOOKUP(F152,编码对账表!C:D,2,0)</f>
        <v/>
      </c>
      <c r="H152" s="396" t="n">
        <v>69521</v>
      </c>
      <c r="I152" s="741" t="inlineStr">
        <is>
          <t>202404070001</t>
        </is>
      </c>
      <c r="J152" s="736" t="inlineStr">
        <is>
          <t>墨西哥欧陆通</t>
        </is>
      </c>
      <c r="K152" s="734" t="inlineStr">
        <is>
          <t>CHANHUA PTE. LTD.</t>
        </is>
      </c>
      <c r="L152" s="736" t="n">
        <v>5.4206</v>
      </c>
      <c r="M152" s="398" t="n"/>
    </row>
    <row r="153" customFormat="1" s="693">
      <c r="A153" s="1" t="n">
        <v>151</v>
      </c>
      <c r="B153" s="733" t="inlineStr">
        <is>
          <t>chanhua</t>
        </is>
      </c>
      <c r="C153" s="733" t="n">
        <v>45385</v>
      </c>
      <c r="D153" s="673" t="inlineStr">
        <is>
          <t>香港比特</t>
        </is>
      </c>
      <c r="E153" s="734" t="inlineStr">
        <is>
          <t>JSCC</t>
        </is>
      </c>
      <c r="F153" s="734" t="inlineStr">
        <is>
          <t>BM1368PB</t>
        </is>
      </c>
      <c r="G153" s="673">
        <f>VLOOKUP(F153,编码对账表!C:D,2,0)</f>
        <v/>
      </c>
      <c r="H153" s="396" t="n">
        <v>230097</v>
      </c>
      <c r="I153" s="735" t="inlineStr">
        <is>
          <t>HKK202404110001</t>
        </is>
      </c>
      <c r="J153" s="736" t="inlineStr">
        <is>
          <t>印尼奥海</t>
        </is>
      </c>
      <c r="K153" s="734" t="inlineStr">
        <is>
          <t>CHANHUA PTE. LTD.</t>
        </is>
      </c>
      <c r="L153" s="736" t="n">
        <v>5.4206</v>
      </c>
      <c r="M153" s="398" t="n"/>
    </row>
    <row r="154" customFormat="1" s="693">
      <c r="A154" s="1" t="n">
        <v>152</v>
      </c>
      <c r="B154" s="733" t="inlineStr">
        <is>
          <t>chanhua</t>
        </is>
      </c>
      <c r="C154" s="733" t="n">
        <v>45385</v>
      </c>
      <c r="D154" s="673" t="inlineStr">
        <is>
          <t>香港比特</t>
        </is>
      </c>
      <c r="E154" s="734" t="inlineStr">
        <is>
          <t>JSCC</t>
        </is>
      </c>
      <c r="F154" s="734" t="inlineStr">
        <is>
          <t>BM1368PV</t>
        </is>
      </c>
      <c r="G154" s="673">
        <f>VLOOKUP(F154,编码对账表!C:D,2,0)</f>
        <v/>
      </c>
      <c r="H154" s="396" t="n">
        <v>135339</v>
      </c>
      <c r="I154" s="735" t="inlineStr">
        <is>
          <t>HKK202404110001</t>
        </is>
      </c>
      <c r="J154" s="736" t="inlineStr">
        <is>
          <t>印尼奥海</t>
        </is>
      </c>
      <c r="K154" s="734" t="inlineStr">
        <is>
          <t>CHANHUA PTE. LTD.</t>
        </is>
      </c>
      <c r="L154" s="736" t="n">
        <v>5.4206</v>
      </c>
      <c r="M154" s="398" t="n"/>
    </row>
    <row r="155" customFormat="1" s="693">
      <c r="A155" s="1" t="n">
        <v>153</v>
      </c>
      <c r="B155" s="733" t="inlineStr">
        <is>
          <t>chanhua</t>
        </is>
      </c>
      <c r="C155" s="733" t="n">
        <v>45385</v>
      </c>
      <c r="D155" s="673" t="inlineStr">
        <is>
          <t>香港比特</t>
        </is>
      </c>
      <c r="E155" s="734" t="inlineStr">
        <is>
          <t>NJ-VT</t>
        </is>
      </c>
      <c r="F155" s="734" t="inlineStr">
        <is>
          <t>BM1368PB</t>
        </is>
      </c>
      <c r="G155" s="673">
        <f>VLOOKUP(F155,编码对账表!C:D,2,0)</f>
        <v/>
      </c>
      <c r="H155" s="396" t="n">
        <v>200336</v>
      </c>
      <c r="I155" s="735" t="inlineStr">
        <is>
          <t>HKK202404110002</t>
        </is>
      </c>
      <c r="J155" s="736" t="inlineStr">
        <is>
          <t>印尼奥海</t>
        </is>
      </c>
      <c r="K155" s="734" t="inlineStr">
        <is>
          <t>CHANHUA PTE. LTD.</t>
        </is>
      </c>
      <c r="L155" s="736" t="n">
        <v>5.4206</v>
      </c>
      <c r="M155" s="398" t="n"/>
    </row>
    <row r="156" customFormat="1" s="693">
      <c r="A156" s="1" t="n">
        <v>154</v>
      </c>
      <c r="B156" s="733" t="inlineStr">
        <is>
          <t>chanhua</t>
        </is>
      </c>
      <c r="C156" s="733" t="n">
        <v>45385</v>
      </c>
      <c r="D156" s="673" t="inlineStr">
        <is>
          <t>香港比特</t>
        </is>
      </c>
      <c r="E156" s="734" t="inlineStr">
        <is>
          <t>SPILSZ</t>
        </is>
      </c>
      <c r="F156" s="734" t="inlineStr">
        <is>
          <t>BM1368PB</t>
        </is>
      </c>
      <c r="G156" s="673">
        <f>VLOOKUP(F156,编码对账表!C:D,2,0)</f>
        <v/>
      </c>
      <c r="H156" s="396" t="n">
        <v>47534</v>
      </c>
      <c r="I156" s="735" t="inlineStr">
        <is>
          <t>HKK202404110003</t>
        </is>
      </c>
      <c r="J156" s="736" t="inlineStr">
        <is>
          <t>印尼奥海</t>
        </is>
      </c>
      <c r="K156" s="734" t="inlineStr">
        <is>
          <t>CHANHUA PTE. LTD.</t>
        </is>
      </c>
      <c r="L156" s="736" t="n">
        <v>5.4206</v>
      </c>
      <c r="M156" s="398" t="n"/>
    </row>
    <row r="157" customFormat="1" s="693">
      <c r="A157" s="1" t="n">
        <v>155</v>
      </c>
      <c r="B157" s="733" t="inlineStr">
        <is>
          <t>chanhua</t>
        </is>
      </c>
      <c r="C157" s="733" t="n">
        <v>45385</v>
      </c>
      <c r="D157" s="673" t="inlineStr">
        <is>
          <t>香港比特</t>
        </is>
      </c>
      <c r="E157" s="734" t="inlineStr">
        <is>
          <t>WXHN</t>
        </is>
      </c>
      <c r="F157" s="734" t="inlineStr">
        <is>
          <t>BM2382AA</t>
        </is>
      </c>
      <c r="G157" s="673">
        <f>VLOOKUP(F157,编码对账表!C:D,2,0)</f>
        <v/>
      </c>
      <c r="H157" s="396" t="n">
        <v>339080</v>
      </c>
      <c r="I157" s="735" t="inlineStr">
        <is>
          <t>HKK202404110004</t>
        </is>
      </c>
      <c r="J157" s="736" t="inlineStr">
        <is>
          <t>印尼奥海</t>
        </is>
      </c>
      <c r="K157" s="734" t="inlineStr">
        <is>
          <t>CHANHUA PTE. LTD.</t>
        </is>
      </c>
      <c r="L157" s="736" t="n">
        <v>3.5251</v>
      </c>
      <c r="M157" s="398" t="n"/>
    </row>
    <row r="158" customFormat="1" s="693">
      <c r="A158" s="1" t="n">
        <v>156</v>
      </c>
      <c r="B158" s="733" t="inlineStr">
        <is>
          <t>chanhua</t>
        </is>
      </c>
      <c r="C158" s="733" t="n">
        <v>45385</v>
      </c>
      <c r="D158" s="673" t="inlineStr">
        <is>
          <t>香港比特</t>
        </is>
      </c>
      <c r="E158" s="734" t="inlineStr">
        <is>
          <t>JSCC</t>
        </is>
      </c>
      <c r="F158" s="734" t="inlineStr">
        <is>
          <t>BM1368PB</t>
        </is>
      </c>
      <c r="G158" s="673">
        <f>VLOOKUP(F158,编码对账表!C:D,2,0)</f>
        <v/>
      </c>
      <c r="H158" s="396" t="n">
        <v>90180</v>
      </c>
      <c r="I158" s="735" t="inlineStr">
        <is>
          <t>HKK202404110005</t>
        </is>
      </c>
      <c r="J158" s="736" t="inlineStr">
        <is>
          <t>泰国群光</t>
        </is>
      </c>
      <c r="K158" s="734" t="inlineStr">
        <is>
          <t>CHANHUA PTE. LTD.</t>
        </is>
      </c>
      <c r="L158" s="736" t="n">
        <v>5.4206</v>
      </c>
      <c r="M158" s="398" t="n"/>
    </row>
    <row r="159" customFormat="1" s="693">
      <c r="A159" s="1" t="n">
        <v>157</v>
      </c>
      <c r="B159" s="733" t="inlineStr">
        <is>
          <t>chanhua</t>
        </is>
      </c>
      <c r="C159" s="733" t="n">
        <v>45385</v>
      </c>
      <c r="D159" s="673" t="inlineStr">
        <is>
          <t>香港比特</t>
        </is>
      </c>
      <c r="E159" s="734" t="inlineStr">
        <is>
          <t>NJ-VT</t>
        </is>
      </c>
      <c r="F159" s="734" t="inlineStr">
        <is>
          <t>BM1368PB</t>
        </is>
      </c>
      <c r="G159" s="673">
        <f>VLOOKUP(F159,编码对账表!C:D,2,0)</f>
        <v/>
      </c>
      <c r="H159" s="396" t="n">
        <v>150516</v>
      </c>
      <c r="I159" s="735" t="inlineStr">
        <is>
          <t>HKK202404110006</t>
        </is>
      </c>
      <c r="J159" s="736" t="inlineStr">
        <is>
          <t>泰国群光</t>
        </is>
      </c>
      <c r="K159" s="734" t="inlineStr">
        <is>
          <t>CHANHUA PTE. LTD.</t>
        </is>
      </c>
      <c r="L159" s="736" t="n">
        <v>5.4206</v>
      </c>
      <c r="M159" s="398" t="n"/>
    </row>
    <row r="160" customFormat="1" s="693">
      <c r="A160" s="1" t="n">
        <v>158</v>
      </c>
      <c r="B160" s="733" t="inlineStr">
        <is>
          <t>chanhua</t>
        </is>
      </c>
      <c r="C160" s="733" t="n">
        <v>45385</v>
      </c>
      <c r="D160" s="673" t="inlineStr">
        <is>
          <t>香港比特</t>
        </is>
      </c>
      <c r="E160" s="734" t="inlineStr">
        <is>
          <t>NJ-VT</t>
        </is>
      </c>
      <c r="F160" s="734" t="inlineStr">
        <is>
          <t>BM1368PV</t>
        </is>
      </c>
      <c r="G160" s="673">
        <f>VLOOKUP(F160,编码对账表!C:D,2,0)</f>
        <v/>
      </c>
      <c r="H160" s="396" t="n">
        <v>400562</v>
      </c>
      <c r="I160" s="735" t="inlineStr">
        <is>
          <t>HKK202404110006</t>
        </is>
      </c>
      <c r="J160" s="736" t="inlineStr">
        <is>
          <t>泰国群光</t>
        </is>
      </c>
      <c r="K160" s="734" t="inlineStr">
        <is>
          <t>CHANHUA PTE. LTD.</t>
        </is>
      </c>
      <c r="L160" s="736" t="n">
        <v>5.4206</v>
      </c>
      <c r="M160" s="398" t="n"/>
    </row>
    <row r="161" customFormat="1" s="693">
      <c r="A161" s="1" t="n">
        <v>159</v>
      </c>
      <c r="B161" s="733" t="inlineStr">
        <is>
          <t>chanhua</t>
        </is>
      </c>
      <c r="C161" s="733" t="n">
        <v>45385</v>
      </c>
      <c r="D161" s="673" t="inlineStr">
        <is>
          <t>香港比特</t>
        </is>
      </c>
      <c r="E161" s="734" t="inlineStr">
        <is>
          <t>WXHN</t>
        </is>
      </c>
      <c r="F161" s="734" t="inlineStr">
        <is>
          <t>BM1368AA</t>
        </is>
      </c>
      <c r="G161" s="673">
        <f>VLOOKUP(F161,编码对账表!C:D,2,0)</f>
        <v/>
      </c>
      <c r="H161" s="396" t="n">
        <v>300678</v>
      </c>
      <c r="I161" s="735" t="inlineStr">
        <is>
          <t>HKK202404110007</t>
        </is>
      </c>
      <c r="J161" s="736" t="inlineStr">
        <is>
          <t>泰国群光</t>
        </is>
      </c>
      <c r="K161" s="734" t="inlineStr">
        <is>
          <t>CHANHUA PTE. LTD.</t>
        </is>
      </c>
      <c r="L161" s="736" t="n">
        <v>5.4206</v>
      </c>
      <c r="M161" s="398" t="n"/>
    </row>
    <row r="162" customFormat="1" s="693">
      <c r="A162" s="1" t="n">
        <v>160</v>
      </c>
      <c r="B162" s="733" t="inlineStr">
        <is>
          <t>chanhua</t>
        </is>
      </c>
      <c r="C162" s="733" t="n">
        <v>45385</v>
      </c>
      <c r="D162" s="673" t="inlineStr">
        <is>
          <t>香港比特</t>
        </is>
      </c>
      <c r="E162" s="734" t="inlineStr">
        <is>
          <t>WXHN</t>
        </is>
      </c>
      <c r="F162" s="734" t="inlineStr">
        <is>
          <t>BM1368PB</t>
        </is>
      </c>
      <c r="G162" s="673">
        <f>VLOOKUP(F162,编码对账表!C:D,2,0)</f>
        <v/>
      </c>
      <c r="H162" s="396" t="n">
        <v>43854</v>
      </c>
      <c r="I162" s="735" t="inlineStr">
        <is>
          <t>HKK202404110007</t>
        </is>
      </c>
      <c r="J162" s="736" t="inlineStr">
        <is>
          <t>泰国群光</t>
        </is>
      </c>
      <c r="K162" s="734" t="inlineStr">
        <is>
          <t>CHANHUA PTE. LTD.</t>
        </is>
      </c>
      <c r="L162" s="736" t="n">
        <v>5.4206</v>
      </c>
      <c r="M162" s="398" t="n"/>
    </row>
    <row r="163" customFormat="1" s="693">
      <c r="A163" s="1" t="n">
        <v>161</v>
      </c>
      <c r="B163" s="733" t="inlineStr">
        <is>
          <t>chanhua</t>
        </is>
      </c>
      <c r="C163" s="733" t="n">
        <v>45385</v>
      </c>
      <c r="D163" s="673" t="inlineStr">
        <is>
          <t>香港比特</t>
        </is>
      </c>
      <c r="E163" s="734" t="inlineStr">
        <is>
          <t>WXHN</t>
        </is>
      </c>
      <c r="F163" s="734" t="inlineStr">
        <is>
          <t>BM1368PV</t>
        </is>
      </c>
      <c r="G163" s="673">
        <f>VLOOKUP(F163,编码对账表!C:D,2,0)</f>
        <v/>
      </c>
      <c r="H163" s="396" t="n">
        <v>125465</v>
      </c>
      <c r="I163" s="735" t="inlineStr">
        <is>
          <t>HKK202404110007</t>
        </is>
      </c>
      <c r="J163" s="736" t="inlineStr">
        <is>
          <t>泰国群光</t>
        </is>
      </c>
      <c r="K163" s="734" t="inlineStr">
        <is>
          <t>CHANHUA PTE. LTD.</t>
        </is>
      </c>
      <c r="L163" s="736" t="n">
        <v>5.4206</v>
      </c>
      <c r="M163" s="398" t="n"/>
    </row>
    <row r="164" customFormat="1" s="693">
      <c r="A164" s="1" t="n">
        <v>162</v>
      </c>
      <c r="B164" s="733" t="inlineStr">
        <is>
          <t>chanhua</t>
        </is>
      </c>
      <c r="C164" s="733" t="n">
        <v>45385</v>
      </c>
      <c r="D164" s="673" t="inlineStr">
        <is>
          <t>香港比特</t>
        </is>
      </c>
      <c r="E164" s="734" t="inlineStr">
        <is>
          <t>XJ</t>
        </is>
      </c>
      <c r="F164" s="734" t="inlineStr">
        <is>
          <t>BM1368AA</t>
        </is>
      </c>
      <c r="G164" s="673">
        <f>VLOOKUP(F164,编码对账表!C:D,2,0)</f>
        <v/>
      </c>
      <c r="H164" s="396" t="n">
        <v>222820</v>
      </c>
      <c r="I164" s="735" t="inlineStr">
        <is>
          <t>HKK202404110008</t>
        </is>
      </c>
      <c r="J164" s="736" t="inlineStr">
        <is>
          <t>泰国群光</t>
        </is>
      </c>
      <c r="K164" s="734" t="inlineStr">
        <is>
          <t>CHANHUA PTE. LTD.</t>
        </is>
      </c>
      <c r="L164" s="736" t="n">
        <v>5.4206</v>
      </c>
      <c r="M164" s="398" t="n"/>
    </row>
    <row r="165" customFormat="1" s="693">
      <c r="A165" s="1" t="n">
        <v>163</v>
      </c>
      <c r="B165" s="733" t="inlineStr">
        <is>
          <t>chanhua</t>
        </is>
      </c>
      <c r="C165" s="733" t="n">
        <v>45392</v>
      </c>
      <c r="D165" s="673" t="inlineStr">
        <is>
          <t>香港比特</t>
        </is>
      </c>
      <c r="E165" s="734" t="inlineStr">
        <is>
          <t>NJ-VT</t>
        </is>
      </c>
      <c r="F165" s="734" t="inlineStr">
        <is>
          <t>BM1368PB</t>
        </is>
      </c>
      <c r="G165" s="673">
        <f>VLOOKUP(F165,编码对账表!C:D,2,0)</f>
        <v/>
      </c>
      <c r="H165" s="396" t="n">
        <v>136273</v>
      </c>
      <c r="I165" s="735" t="inlineStr">
        <is>
          <t>HKK202404190001</t>
        </is>
      </c>
      <c r="J165" s="736" t="inlineStr">
        <is>
          <t>印尼奥海</t>
        </is>
      </c>
      <c r="K165" s="734" t="inlineStr">
        <is>
          <t>CHANHUA PTE. LTD.</t>
        </is>
      </c>
      <c r="L165" s="736" t="n">
        <v>5.4206</v>
      </c>
      <c r="M165" s="398" t="n"/>
    </row>
    <row r="166" customFormat="1" s="693">
      <c r="A166" s="1" t="n">
        <v>164</v>
      </c>
      <c r="B166" s="733" t="inlineStr">
        <is>
          <t>chanhua</t>
        </is>
      </c>
      <c r="C166" s="733" t="n">
        <v>45392</v>
      </c>
      <c r="D166" s="673" t="inlineStr">
        <is>
          <t>香港比特</t>
        </is>
      </c>
      <c r="E166" s="734" t="inlineStr">
        <is>
          <t>NJ-VT</t>
        </is>
      </c>
      <c r="F166" s="734" t="inlineStr">
        <is>
          <t>BM1368PV</t>
        </is>
      </c>
      <c r="G166" s="673">
        <f>VLOOKUP(F166,编码对账表!C:D,2,0)</f>
        <v/>
      </c>
      <c r="H166" s="396" t="n">
        <v>255371</v>
      </c>
      <c r="I166" s="735" t="inlineStr">
        <is>
          <t>HKK202404190001</t>
        </is>
      </c>
      <c r="J166" s="736" t="inlineStr">
        <is>
          <t>印尼奥海</t>
        </is>
      </c>
      <c r="K166" s="734" t="inlineStr">
        <is>
          <t>CHANHUA PTE. LTD.</t>
        </is>
      </c>
      <c r="L166" s="736" t="n">
        <v>5.4206</v>
      </c>
      <c r="M166" s="398" t="n"/>
    </row>
    <row r="167" customFormat="1" s="693">
      <c r="A167" s="1" t="n">
        <v>165</v>
      </c>
      <c r="B167" s="733" t="inlineStr">
        <is>
          <t>chanhua</t>
        </is>
      </c>
      <c r="C167" s="733" t="n">
        <v>45392</v>
      </c>
      <c r="D167" s="673" t="inlineStr">
        <is>
          <t>香港比特</t>
        </is>
      </c>
      <c r="E167" s="734" t="inlineStr">
        <is>
          <t>WXHN</t>
        </is>
      </c>
      <c r="F167" s="734" t="inlineStr">
        <is>
          <t>BM1368PB</t>
        </is>
      </c>
      <c r="G167" s="673">
        <f>VLOOKUP(F167,编码对账表!C:D,2,0)</f>
        <v/>
      </c>
      <c r="H167" s="396" t="n">
        <v>3287</v>
      </c>
      <c r="I167" s="735" t="inlineStr">
        <is>
          <t>HKK202404190002</t>
        </is>
      </c>
      <c r="J167" s="736" t="inlineStr">
        <is>
          <t>印尼奥海</t>
        </is>
      </c>
      <c r="K167" s="734" t="inlineStr">
        <is>
          <t>CHANHUA PTE. LTD.</t>
        </is>
      </c>
      <c r="L167" s="736" t="n">
        <v>5.4206</v>
      </c>
      <c r="M167" s="398" t="n"/>
    </row>
    <row r="168" customFormat="1" s="693">
      <c r="A168" s="1" t="n">
        <v>166</v>
      </c>
      <c r="B168" s="733" t="inlineStr">
        <is>
          <t>chanhua</t>
        </is>
      </c>
      <c r="C168" s="733" t="n">
        <v>45392</v>
      </c>
      <c r="D168" s="673" t="inlineStr">
        <is>
          <t>香港比特</t>
        </is>
      </c>
      <c r="E168" s="734" t="inlineStr">
        <is>
          <t>WXHN</t>
        </is>
      </c>
      <c r="F168" s="734" t="inlineStr">
        <is>
          <t>BM1368PV</t>
        </is>
      </c>
      <c r="G168" s="673">
        <f>VLOOKUP(F168,编码对账表!C:D,2,0)</f>
        <v/>
      </c>
      <c r="H168" s="396" t="n">
        <v>552992</v>
      </c>
      <c r="I168" s="735" t="inlineStr">
        <is>
          <t>HKK202404190002</t>
        </is>
      </c>
      <c r="J168" s="736" t="inlineStr">
        <is>
          <t>印尼奥海</t>
        </is>
      </c>
      <c r="K168" s="734" t="inlineStr">
        <is>
          <t>CHANHUA PTE. LTD.</t>
        </is>
      </c>
      <c r="L168" s="736" t="n">
        <v>5.4206</v>
      </c>
      <c r="M168" s="398" t="n"/>
    </row>
    <row r="169" customFormat="1" s="693">
      <c r="A169" s="1" t="n">
        <v>167</v>
      </c>
      <c r="B169" s="733" t="inlineStr">
        <is>
          <t>chanhua</t>
        </is>
      </c>
      <c r="C169" s="733" t="n">
        <v>45392</v>
      </c>
      <c r="D169" s="673" t="inlineStr">
        <is>
          <t>香港比特</t>
        </is>
      </c>
      <c r="E169" s="734" t="inlineStr">
        <is>
          <t>WXHN</t>
        </is>
      </c>
      <c r="F169" s="734" t="inlineStr">
        <is>
          <t>BM2382AA</t>
        </is>
      </c>
      <c r="G169" s="673">
        <f>VLOOKUP(F169,编码对账表!C:D,2,0)</f>
        <v/>
      </c>
      <c r="H169" s="396" t="n">
        <v>201711</v>
      </c>
      <c r="I169" s="735" t="inlineStr">
        <is>
          <t>HKK202404190002</t>
        </is>
      </c>
      <c r="J169" s="736" t="inlineStr">
        <is>
          <t>印尼奥海</t>
        </is>
      </c>
      <c r="K169" s="734" t="inlineStr">
        <is>
          <t>CHANHUA PTE. LTD.</t>
        </is>
      </c>
      <c r="L169" s="736" t="n">
        <v>3.5251</v>
      </c>
      <c r="M169" s="398" t="n"/>
    </row>
    <row r="170" customFormat="1" s="693">
      <c r="A170" s="1" t="n">
        <v>168</v>
      </c>
      <c r="B170" s="733" t="inlineStr">
        <is>
          <t>chanhua</t>
        </is>
      </c>
      <c r="C170" s="733" t="n">
        <v>45392</v>
      </c>
      <c r="D170" s="673" t="inlineStr">
        <is>
          <t>香港比特</t>
        </is>
      </c>
      <c r="E170" s="734" t="inlineStr">
        <is>
          <t>XJ</t>
        </is>
      </c>
      <c r="F170" s="734" t="inlineStr">
        <is>
          <t>BM1368PB</t>
        </is>
      </c>
      <c r="G170" s="673">
        <f>VLOOKUP(F170,编码对账表!C:D,2,0)</f>
        <v/>
      </c>
      <c r="H170" s="396" t="n">
        <v>72310</v>
      </c>
      <c r="I170" s="735" t="inlineStr">
        <is>
          <t>HKK202404190003</t>
        </is>
      </c>
      <c r="J170" s="736" t="inlineStr">
        <is>
          <t>印尼奥海</t>
        </is>
      </c>
      <c r="K170" s="734" t="inlineStr">
        <is>
          <t>CHANHUA PTE. LTD.</t>
        </is>
      </c>
      <c r="L170" s="736" t="n">
        <v>5.4206</v>
      </c>
      <c r="M170" s="398" t="n"/>
    </row>
    <row r="171" customFormat="1" s="693">
      <c r="A171" s="1" t="n">
        <v>169</v>
      </c>
      <c r="B171" s="733" t="inlineStr">
        <is>
          <t>chanhua</t>
        </is>
      </c>
      <c r="C171" s="733" t="n">
        <v>45392</v>
      </c>
      <c r="D171" s="673" t="inlineStr">
        <is>
          <t>香港比特</t>
        </is>
      </c>
      <c r="E171" s="734" t="inlineStr">
        <is>
          <t>XJ</t>
        </is>
      </c>
      <c r="F171" s="734" t="inlineStr">
        <is>
          <t>BM1368PV</t>
        </is>
      </c>
      <c r="G171" s="673">
        <f>VLOOKUP(F171,编码对账表!C:D,2,0)</f>
        <v/>
      </c>
      <c r="H171" s="396" t="n">
        <v>3091</v>
      </c>
      <c r="I171" s="735" t="inlineStr">
        <is>
          <t>HKK202404190003</t>
        </is>
      </c>
      <c r="J171" s="736" t="inlineStr">
        <is>
          <t>印尼奥海</t>
        </is>
      </c>
      <c r="K171" s="734" t="inlineStr">
        <is>
          <t>CHANHUA PTE. LTD.</t>
        </is>
      </c>
      <c r="L171" s="736" t="n">
        <v>5.4206</v>
      </c>
      <c r="M171" s="398" t="n"/>
    </row>
    <row r="172" customFormat="1" s="693">
      <c r="A172" s="1" t="n">
        <v>170</v>
      </c>
      <c r="B172" s="733" t="inlineStr">
        <is>
          <t>chanhua</t>
        </is>
      </c>
      <c r="C172" s="733" t="n">
        <v>45392</v>
      </c>
      <c r="D172" s="673" t="inlineStr">
        <is>
          <t>香港比特</t>
        </is>
      </c>
      <c r="E172" s="734" t="inlineStr">
        <is>
          <t>XJ</t>
        </is>
      </c>
      <c r="F172" s="734" t="inlineStr">
        <is>
          <t>BM1368AA</t>
        </is>
      </c>
      <c r="G172" s="673">
        <f>VLOOKUP(F172,编码对账表!C:D,2,0)</f>
        <v/>
      </c>
      <c r="H172" s="396" t="n">
        <v>324611</v>
      </c>
      <c r="I172" s="735" t="inlineStr">
        <is>
          <t>HKK202404190004</t>
        </is>
      </c>
      <c r="J172" s="736" t="inlineStr">
        <is>
          <t>泰国群光</t>
        </is>
      </c>
      <c r="K172" s="734" t="inlineStr">
        <is>
          <t>CHANHUA PTE. LTD.</t>
        </is>
      </c>
      <c r="L172" s="736" t="n">
        <v>5.4206</v>
      </c>
      <c r="M172" s="398" t="n"/>
    </row>
    <row r="173" customFormat="1" s="693">
      <c r="A173" s="1" t="n">
        <v>171</v>
      </c>
      <c r="B173" s="733" t="inlineStr">
        <is>
          <t>chanhua</t>
        </is>
      </c>
      <c r="C173" s="733" t="n">
        <v>45393</v>
      </c>
      <c r="D173" s="673" t="inlineStr">
        <is>
          <t>新加坡比特</t>
        </is>
      </c>
      <c r="E173" s="734" t="inlineStr">
        <is>
          <t>JSCC</t>
        </is>
      </c>
      <c r="F173" s="734" t="inlineStr">
        <is>
          <t>BM1368PV</t>
        </is>
      </c>
      <c r="G173" s="673">
        <f>VLOOKUP(F173,编码对账表!C:D,2,0)</f>
        <v/>
      </c>
      <c r="H173" s="396" t="n">
        <v>328584</v>
      </c>
      <c r="I173" s="741" t="inlineStr">
        <is>
          <t>202404190001</t>
        </is>
      </c>
      <c r="J173" s="736" t="inlineStr">
        <is>
          <t>泰国ONETEC</t>
        </is>
      </c>
      <c r="K173" s="734" t="inlineStr">
        <is>
          <t>CHANHUA PTE. LTD.</t>
        </is>
      </c>
      <c r="L173" s="736" t="n">
        <v>5.4206</v>
      </c>
      <c r="M173" s="398" t="n"/>
    </row>
    <row r="174" customFormat="1" s="693">
      <c r="A174" s="1" t="n">
        <v>172</v>
      </c>
      <c r="B174" s="733" t="inlineStr">
        <is>
          <t>chanhua</t>
        </is>
      </c>
      <c r="C174" s="733" t="n">
        <v>45391</v>
      </c>
      <c r="D174" s="673" t="inlineStr">
        <is>
          <t>chanhua</t>
        </is>
      </c>
      <c r="E174" s="734" t="inlineStr">
        <is>
          <t>世纪云芯</t>
        </is>
      </c>
      <c r="F174" s="734" t="inlineStr">
        <is>
          <t>BM1368PB</t>
        </is>
      </c>
      <c r="G174" s="673">
        <f>VLOOKUP(F174,编码对账表!C:D,2,0)</f>
        <v/>
      </c>
      <c r="H174" s="396" t="n">
        <v>19490</v>
      </c>
      <c r="I174" s="741" t="inlineStr">
        <is>
          <t>202404230001</t>
        </is>
      </c>
      <c r="J174" s="736" t="inlineStr">
        <is>
          <t>XJ</t>
        </is>
      </c>
      <c r="K174" s="734" t="n"/>
      <c r="L174" s="736" t="n">
        <v>4.6245</v>
      </c>
      <c r="M174" s="403" t="inlineStr">
        <is>
          <t>已接收</t>
        </is>
      </c>
    </row>
    <row r="175" customFormat="1" s="693">
      <c r="A175" s="1" t="n">
        <v>173</v>
      </c>
      <c r="B175" s="733" t="inlineStr">
        <is>
          <t>chanhua</t>
        </is>
      </c>
      <c r="C175" s="733" t="n">
        <v>45391</v>
      </c>
      <c r="D175" s="673" t="inlineStr">
        <is>
          <t>chanhua</t>
        </is>
      </c>
      <c r="E175" s="734" t="inlineStr">
        <is>
          <t>世纪云芯</t>
        </is>
      </c>
      <c r="F175" s="734" t="inlineStr">
        <is>
          <t>BM1368PB</t>
        </is>
      </c>
      <c r="G175" s="673">
        <f>VLOOKUP(F175,编码对账表!C:D,2,0)</f>
        <v/>
      </c>
      <c r="H175" s="396" t="n">
        <v>24948</v>
      </c>
      <c r="I175" s="741" t="inlineStr">
        <is>
          <t>202404230002</t>
        </is>
      </c>
      <c r="J175" s="736" t="inlineStr">
        <is>
          <t>SPILSZ</t>
        </is>
      </c>
      <c r="K175" s="734" t="n"/>
      <c r="L175" s="736" t="n">
        <v>4.6245</v>
      </c>
      <c r="M175" s="403" t="inlineStr">
        <is>
          <t>已接收</t>
        </is>
      </c>
    </row>
    <row r="176" customFormat="1" s="693">
      <c r="A176" s="1" t="n">
        <v>174</v>
      </c>
      <c r="B176" s="733" t="inlineStr">
        <is>
          <t>chanhua</t>
        </is>
      </c>
      <c r="C176" s="733" t="n">
        <v>45391</v>
      </c>
      <c r="D176" s="673" t="inlineStr">
        <is>
          <t>chanhua</t>
        </is>
      </c>
      <c r="E176" s="734" t="inlineStr">
        <is>
          <t>世纪云芯</t>
        </is>
      </c>
      <c r="F176" s="734" t="inlineStr">
        <is>
          <t>BM1368PB</t>
        </is>
      </c>
      <c r="G176" s="673">
        <f>VLOOKUP(F176,编码对账表!C:D,2,0)</f>
        <v/>
      </c>
      <c r="H176" s="396" t="n">
        <v>69699</v>
      </c>
      <c r="I176" s="741" t="inlineStr">
        <is>
          <t>202404230003</t>
        </is>
      </c>
      <c r="J176" s="736" t="inlineStr">
        <is>
          <t>WXHN</t>
        </is>
      </c>
      <c r="K176" s="734" t="n"/>
      <c r="L176" s="736" t="n">
        <v>4.6245</v>
      </c>
      <c r="M176" s="403" t="inlineStr">
        <is>
          <t>已接收</t>
        </is>
      </c>
    </row>
    <row r="177" customFormat="1" s="693">
      <c r="A177" s="1" t="n">
        <v>175</v>
      </c>
      <c r="B177" s="733" t="inlineStr">
        <is>
          <t>chanhua</t>
        </is>
      </c>
      <c r="C177" s="733" t="n">
        <v>45391</v>
      </c>
      <c r="D177" s="673" t="inlineStr">
        <is>
          <t>chanhua</t>
        </is>
      </c>
      <c r="E177" s="734" t="inlineStr">
        <is>
          <t>世纪云芯</t>
        </is>
      </c>
      <c r="F177" s="734" t="inlineStr">
        <is>
          <t>BM1368PB</t>
        </is>
      </c>
      <c r="G177" s="673">
        <f>VLOOKUP(F177,编码对账表!C:D,2,0)</f>
        <v/>
      </c>
      <c r="H177" s="396" t="n">
        <v>55136</v>
      </c>
      <c r="I177" s="741" t="inlineStr">
        <is>
          <t>202404230004</t>
        </is>
      </c>
      <c r="J177" s="736" t="inlineStr">
        <is>
          <t>JSCC</t>
        </is>
      </c>
      <c r="K177" s="734" t="n"/>
      <c r="L177" s="736" t="n">
        <v>4.6245</v>
      </c>
      <c r="M177" s="403" t="inlineStr">
        <is>
          <t>已接收</t>
        </is>
      </c>
    </row>
    <row r="178" customFormat="1" s="693">
      <c r="A178" s="1" t="n">
        <v>176</v>
      </c>
      <c r="B178" s="733" t="inlineStr">
        <is>
          <t>香港比特</t>
        </is>
      </c>
      <c r="C178" s="733" t="n">
        <v>45392</v>
      </c>
      <c r="D178" s="673" t="inlineStr">
        <is>
          <t>新加坡比特</t>
        </is>
      </c>
      <c r="E178" s="734" t="inlineStr">
        <is>
          <t>XJ</t>
        </is>
      </c>
      <c r="F178" s="734" t="inlineStr">
        <is>
          <t>BM1366AG</t>
        </is>
      </c>
      <c r="G178" s="673">
        <f>VLOOKUP(F178,编码对账表!C:D,2,0)</f>
        <v/>
      </c>
      <c r="H178" s="396" t="n">
        <v>342450</v>
      </c>
      <c r="I178" s="741" t="inlineStr">
        <is>
          <t>202404250005</t>
        </is>
      </c>
      <c r="J178" s="736" t="inlineStr">
        <is>
          <t>泰国ONETEC</t>
        </is>
      </c>
      <c r="K178" s="734" t="inlineStr">
        <is>
          <t>CHANHUA PTE. LTD.</t>
        </is>
      </c>
      <c r="L178" s="736" t="n">
        <v>4.0649</v>
      </c>
      <c r="M178" s="403" t="n"/>
    </row>
    <row r="179" customFormat="1" s="693">
      <c r="A179" s="1" t="n">
        <v>177</v>
      </c>
      <c r="B179" s="733" t="inlineStr">
        <is>
          <t>香港比特</t>
        </is>
      </c>
      <c r="C179" s="733" t="n">
        <v>45392</v>
      </c>
      <c r="D179" s="673" t="inlineStr">
        <is>
          <t>新加坡比特</t>
        </is>
      </c>
      <c r="E179" s="734" t="inlineStr">
        <is>
          <t>XJ</t>
        </is>
      </c>
      <c r="F179" s="734" t="inlineStr">
        <is>
          <t>BM1366AL</t>
        </is>
      </c>
      <c r="G179" s="673">
        <f>VLOOKUP(F179,编码对账表!C:D,2,0)</f>
        <v/>
      </c>
      <c r="H179" s="396" t="n">
        <v>1282536</v>
      </c>
      <c r="I179" s="741" t="inlineStr">
        <is>
          <t>202404250005</t>
        </is>
      </c>
      <c r="J179" s="736" t="inlineStr">
        <is>
          <t>泰国ONETEC</t>
        </is>
      </c>
      <c r="K179" s="734" t="inlineStr">
        <is>
          <t>CHANHUA PTE. LTD.</t>
        </is>
      </c>
      <c r="L179" s="736" t="n">
        <v>4.0649</v>
      </c>
      <c r="M179" s="403" t="n"/>
    </row>
    <row r="180" customFormat="1" s="693">
      <c r="A180" s="1" t="n">
        <v>178</v>
      </c>
      <c r="B180" s="733" t="inlineStr">
        <is>
          <t>chanhua</t>
        </is>
      </c>
      <c r="C180" s="733" t="n">
        <v>45407</v>
      </c>
      <c r="D180" s="673" t="inlineStr">
        <is>
          <t>香港比特</t>
        </is>
      </c>
      <c r="E180" s="734" t="inlineStr">
        <is>
          <t>NJ-VT</t>
        </is>
      </c>
      <c r="F180" s="734" t="inlineStr">
        <is>
          <t>BM1368PB</t>
        </is>
      </c>
      <c r="G180" s="673">
        <f>VLOOKUP(F180,编码对账表!C:D,2,0)</f>
        <v/>
      </c>
      <c r="H180" s="396" t="n">
        <v>59130</v>
      </c>
      <c r="I180" s="735" t="inlineStr">
        <is>
          <t>HKK202404300003</t>
        </is>
      </c>
      <c r="J180" s="736" t="inlineStr">
        <is>
          <t>印尼奥海</t>
        </is>
      </c>
      <c r="K180" s="734" t="inlineStr">
        <is>
          <t>CHANHUA PTE. LTD.</t>
        </is>
      </c>
      <c r="L180" s="736" t="n">
        <v>5.4206</v>
      </c>
      <c r="M180" s="403" t="n"/>
    </row>
    <row r="181" customFormat="1" s="693">
      <c r="A181" s="1" t="n">
        <v>179</v>
      </c>
      <c r="B181" s="733" t="inlineStr">
        <is>
          <t>chanhua</t>
        </is>
      </c>
      <c r="C181" s="733" t="n">
        <v>45407</v>
      </c>
      <c r="D181" s="673" t="inlineStr">
        <is>
          <t>香港比特</t>
        </is>
      </c>
      <c r="E181" s="734" t="inlineStr">
        <is>
          <t>NJ-VT</t>
        </is>
      </c>
      <c r="F181" s="734" t="inlineStr">
        <is>
          <t>BM1368PV</t>
        </is>
      </c>
      <c r="G181" s="673">
        <f>VLOOKUP(F181,编码对账表!C:D,2,0)</f>
        <v/>
      </c>
      <c r="H181" s="396" t="n">
        <v>227777</v>
      </c>
      <c r="I181" s="735" t="inlineStr">
        <is>
          <t>HKK202404300003</t>
        </is>
      </c>
      <c r="J181" s="736" t="inlineStr">
        <is>
          <t>印尼奥海</t>
        </is>
      </c>
      <c r="K181" s="734" t="inlineStr">
        <is>
          <t>CHANHUA PTE. LTD.</t>
        </is>
      </c>
      <c r="L181" s="736" t="n">
        <v>5.4206</v>
      </c>
      <c r="M181" s="403" t="n"/>
    </row>
    <row r="182" customFormat="1" s="693">
      <c r="A182" s="1" t="n">
        <v>180</v>
      </c>
      <c r="B182" s="733" t="inlineStr">
        <is>
          <t>chanhua</t>
        </is>
      </c>
      <c r="C182" s="733" t="n">
        <v>45412</v>
      </c>
      <c r="D182" s="673" t="inlineStr">
        <is>
          <t>香港比特</t>
        </is>
      </c>
      <c r="E182" s="734" t="inlineStr">
        <is>
          <t>NJ-VT</t>
        </is>
      </c>
      <c r="F182" s="734" t="inlineStr">
        <is>
          <t>BM1368PB</t>
        </is>
      </c>
      <c r="G182" s="673">
        <f>VLOOKUP(F182,编码对账表!C:D,2,0)</f>
        <v/>
      </c>
      <c r="H182" s="396" t="n">
        <v>78509</v>
      </c>
      <c r="I182" s="735" t="inlineStr">
        <is>
          <t>HKK202405080002</t>
        </is>
      </c>
      <c r="J182" s="736" t="inlineStr">
        <is>
          <t>印尼奥海</t>
        </is>
      </c>
      <c r="K182" s="734" t="inlineStr">
        <is>
          <t>CHANHUA PTE. LTD.</t>
        </is>
      </c>
      <c r="L182" s="736" t="n">
        <v>4.38743741920208</v>
      </c>
      <c r="M182" s="403" t="n"/>
    </row>
    <row r="183" customFormat="1" s="693">
      <c r="A183" s="1" t="n">
        <v>181</v>
      </c>
      <c r="B183" s="733" t="inlineStr">
        <is>
          <t>chanhua</t>
        </is>
      </c>
      <c r="C183" s="733" t="n">
        <v>45412</v>
      </c>
      <c r="D183" s="673" t="inlineStr">
        <is>
          <t>香港比特</t>
        </is>
      </c>
      <c r="E183" s="734" t="inlineStr">
        <is>
          <t>NJ-VT</t>
        </is>
      </c>
      <c r="F183" s="734" t="inlineStr">
        <is>
          <t>BM1368PV</t>
        </is>
      </c>
      <c r="G183" s="673">
        <f>VLOOKUP(F183,编码对账表!C:D,2,0)</f>
        <v/>
      </c>
      <c r="H183" s="396" t="n">
        <v>1157230</v>
      </c>
      <c r="I183" s="735" t="inlineStr">
        <is>
          <t>HKK202405080002</t>
        </is>
      </c>
      <c r="J183" s="736" t="inlineStr">
        <is>
          <t>印尼奥海</t>
        </is>
      </c>
      <c r="K183" s="734" t="inlineStr">
        <is>
          <t>CHANHUA PTE. LTD.</t>
        </is>
      </c>
      <c r="L183" s="736" t="n">
        <v>4.38743741920208</v>
      </c>
      <c r="M183" s="403" t="n"/>
    </row>
    <row r="184" customFormat="1" s="693">
      <c r="A184" s="1" t="n">
        <v>182</v>
      </c>
      <c r="B184" s="733" t="inlineStr">
        <is>
          <t>chanhua</t>
        </is>
      </c>
      <c r="C184" s="733" t="n">
        <v>45412</v>
      </c>
      <c r="D184" s="673" t="inlineStr">
        <is>
          <t>香港比特</t>
        </is>
      </c>
      <c r="E184" s="734" t="inlineStr">
        <is>
          <t>JSCC</t>
        </is>
      </c>
      <c r="F184" s="734" t="inlineStr">
        <is>
          <t>BM1368PV</t>
        </is>
      </c>
      <c r="G184" s="673">
        <f>VLOOKUP(F184,编码对账表!C:D,2,0)</f>
        <v/>
      </c>
      <c r="H184" s="396" t="n">
        <v>422687</v>
      </c>
      <c r="I184" s="735" t="inlineStr">
        <is>
          <t>HKK202405080003</t>
        </is>
      </c>
      <c r="J184" s="736" t="inlineStr">
        <is>
          <t>泰国群光</t>
        </is>
      </c>
      <c r="K184" s="734" t="inlineStr">
        <is>
          <t>CHANHUA PTE. LTD.</t>
        </is>
      </c>
      <c r="L184" s="736" t="n">
        <v>4.38743741920208</v>
      </c>
      <c r="M184" s="403" t="n"/>
    </row>
    <row r="185" customFormat="1" s="693">
      <c r="A185" s="1" t="n">
        <v>183</v>
      </c>
      <c r="B185" s="733" t="inlineStr">
        <is>
          <t>chanhua</t>
        </is>
      </c>
      <c r="C185" s="733" t="n">
        <v>45412</v>
      </c>
      <c r="D185" s="673" t="inlineStr">
        <is>
          <t>香港比特</t>
        </is>
      </c>
      <c r="E185" s="734" t="inlineStr">
        <is>
          <t>SPILSZ</t>
        </is>
      </c>
      <c r="F185" s="734" t="inlineStr">
        <is>
          <t>BM1368PV</t>
        </is>
      </c>
      <c r="G185" s="673">
        <f>VLOOKUP(F185,编码对账表!C:D,2,0)</f>
        <v/>
      </c>
      <c r="H185" s="396" t="n">
        <v>242604</v>
      </c>
      <c r="I185" s="735" t="inlineStr">
        <is>
          <t>HKK202405080004</t>
        </is>
      </c>
      <c r="J185" s="736" t="inlineStr">
        <is>
          <t>泰国群光</t>
        </is>
      </c>
      <c r="K185" s="734" t="inlineStr">
        <is>
          <t>CHANHUA PTE. LTD.</t>
        </is>
      </c>
      <c r="L185" s="736" t="n">
        <v>4.38743741920208</v>
      </c>
      <c r="M185" s="403" t="n"/>
    </row>
    <row r="186" customFormat="1" s="693">
      <c r="A186" s="1" t="n">
        <v>184</v>
      </c>
      <c r="B186" s="733" t="inlineStr">
        <is>
          <t>chanhua</t>
        </is>
      </c>
      <c r="C186" s="733" t="n">
        <v>45412</v>
      </c>
      <c r="D186" s="673" t="inlineStr">
        <is>
          <t>香港比特</t>
        </is>
      </c>
      <c r="E186" s="734" t="inlineStr">
        <is>
          <t>WX-HN</t>
        </is>
      </c>
      <c r="F186" s="734" t="inlineStr">
        <is>
          <t>BM1368PV</t>
        </is>
      </c>
      <c r="G186" s="673">
        <f>VLOOKUP(F186,编码对账表!C:D,2,0)</f>
        <v/>
      </c>
      <c r="H186" s="396" t="n">
        <v>406892</v>
      </c>
      <c r="I186" s="735" t="inlineStr">
        <is>
          <t>HKK202405080005</t>
        </is>
      </c>
      <c r="J186" s="736" t="inlineStr">
        <is>
          <t>泰国群光</t>
        </is>
      </c>
      <c r="K186" s="734" t="inlineStr">
        <is>
          <t>CHANHUA PTE. LTD.</t>
        </is>
      </c>
      <c r="L186" s="736" t="n">
        <v>4.38743741920208</v>
      </c>
      <c r="M186" s="403" t="n"/>
    </row>
    <row r="187" customFormat="1" s="693">
      <c r="A187" s="1" t="n">
        <v>185</v>
      </c>
      <c r="B187" s="733" t="inlineStr">
        <is>
          <t>chanhua</t>
        </is>
      </c>
      <c r="C187" s="733" t="n">
        <v>45412</v>
      </c>
      <c r="D187" s="673" t="inlineStr">
        <is>
          <t>香港比特</t>
        </is>
      </c>
      <c r="E187" s="734" t="inlineStr">
        <is>
          <t>XJ</t>
        </is>
      </c>
      <c r="F187" s="734" t="inlineStr">
        <is>
          <t>BM1368PB</t>
        </is>
      </c>
      <c r="G187" s="673">
        <f>VLOOKUP(F187,编码对账表!C:D,2,0)</f>
        <v/>
      </c>
      <c r="H187" s="396" t="n">
        <v>180909</v>
      </c>
      <c r="I187" s="735" t="inlineStr">
        <is>
          <t>HKK202405080006</t>
        </is>
      </c>
      <c r="J187" s="736" t="inlineStr">
        <is>
          <t>泰国群光</t>
        </is>
      </c>
      <c r="K187" s="734" t="inlineStr">
        <is>
          <t>CHANHUA PTE. LTD.</t>
        </is>
      </c>
      <c r="L187" s="736" t="n">
        <v>4.38743741920208</v>
      </c>
      <c r="M187" s="403" t="n"/>
    </row>
    <row r="188" customFormat="1" s="693">
      <c r="A188" s="1" t="n">
        <v>186</v>
      </c>
      <c r="B188" s="733" t="inlineStr">
        <is>
          <t>chanhua</t>
        </is>
      </c>
      <c r="C188" s="733" t="n">
        <v>45392</v>
      </c>
      <c r="D188" s="673" t="inlineStr">
        <is>
          <t>chanhua</t>
        </is>
      </c>
      <c r="E188" s="734" t="inlineStr">
        <is>
          <t>世纪云芯</t>
        </is>
      </c>
      <c r="F188" s="734" t="inlineStr">
        <is>
          <t>BM1370AA</t>
        </is>
      </c>
      <c r="G188" s="673">
        <f>VLOOKUP(F188,编码对账表!C:D,2,0)</f>
        <v/>
      </c>
      <c r="H188" s="396" t="n">
        <v>500</v>
      </c>
      <c r="I188" s="741" t="inlineStr">
        <is>
          <t>202405110001</t>
        </is>
      </c>
      <c r="J188" s="736" t="inlineStr">
        <is>
          <t>ASE-KH</t>
        </is>
      </c>
      <c r="K188" s="734" t="n"/>
      <c r="L188" s="736" t="n">
        <v>5.2744</v>
      </c>
      <c r="M188" s="403" t="inlineStr">
        <is>
          <t>已接收</t>
        </is>
      </c>
    </row>
    <row r="189" customFormat="1" s="693">
      <c r="A189" s="1" t="n">
        <v>187</v>
      </c>
      <c r="B189" s="733" t="inlineStr">
        <is>
          <t>chanhua</t>
        </is>
      </c>
      <c r="C189" s="733" t="n">
        <v>45422</v>
      </c>
      <c r="D189" s="673" t="inlineStr">
        <is>
          <t>香港比特</t>
        </is>
      </c>
      <c r="E189" s="734" t="inlineStr">
        <is>
          <t>JSCC</t>
        </is>
      </c>
      <c r="F189" s="734" t="inlineStr">
        <is>
          <t>BM1368PM</t>
        </is>
      </c>
      <c r="G189" s="673">
        <f>VLOOKUP(F189,编码对账表!C:D,2,0)</f>
        <v/>
      </c>
      <c r="H189" s="396" t="n">
        <v>470399</v>
      </c>
      <c r="I189" s="735" t="inlineStr">
        <is>
          <t>HKK202405150004</t>
        </is>
      </c>
      <c r="J189" s="736" t="inlineStr">
        <is>
          <t>印尼奥海</t>
        </is>
      </c>
      <c r="K189" s="734" t="inlineStr">
        <is>
          <t>CHANHUA PTE. LTD.</t>
        </is>
      </c>
      <c r="L189" s="736" t="n">
        <v>4.38743741920208</v>
      </c>
      <c r="M189" s="403" t="n"/>
    </row>
    <row r="190" customFormat="1" s="693">
      <c r="A190" s="1" t="n">
        <v>188</v>
      </c>
      <c r="B190" s="733" t="inlineStr">
        <is>
          <t>chanhua</t>
        </is>
      </c>
      <c r="C190" s="733" t="n">
        <v>45420</v>
      </c>
      <c r="D190" s="673" t="inlineStr">
        <is>
          <t>香港比特</t>
        </is>
      </c>
      <c r="E190" s="734" t="inlineStr">
        <is>
          <t>XJ</t>
        </is>
      </c>
      <c r="F190" s="734" t="inlineStr">
        <is>
          <t>BM1368PB</t>
        </is>
      </c>
      <c r="G190" s="673">
        <f>VLOOKUP(F190,编码对账表!C:D,2,0)</f>
        <v/>
      </c>
      <c r="H190" s="396" t="n">
        <v>70536</v>
      </c>
      <c r="I190" s="735" t="inlineStr">
        <is>
          <t>HKK202405150005</t>
        </is>
      </c>
      <c r="J190" s="736" t="inlineStr">
        <is>
          <t>泰国群光</t>
        </is>
      </c>
      <c r="K190" s="734" t="inlineStr">
        <is>
          <t>CHANHUA PTE. LTD.</t>
        </is>
      </c>
      <c r="L190" s="736" t="n">
        <v>4.38743741920208</v>
      </c>
      <c r="M190" s="403" t="n"/>
    </row>
    <row r="191" customFormat="1" s="693">
      <c r="A191" s="1" t="n">
        <v>189</v>
      </c>
      <c r="B191" s="733" t="inlineStr">
        <is>
          <t>chanhua</t>
        </is>
      </c>
      <c r="C191" s="733" t="n">
        <v>45420</v>
      </c>
      <c r="D191" s="673" t="inlineStr">
        <is>
          <t>新加坡比特</t>
        </is>
      </c>
      <c r="E191" s="734" t="inlineStr">
        <is>
          <t>NJ-VT</t>
        </is>
      </c>
      <c r="F191" s="734" t="inlineStr">
        <is>
          <t>BM1368PB</t>
        </is>
      </c>
      <c r="G191" s="673">
        <f>VLOOKUP(F191,编码对账表!C:D,2,0)</f>
        <v/>
      </c>
      <c r="H191" s="396" t="n">
        <v>24034</v>
      </c>
      <c r="I191" s="741" t="inlineStr">
        <is>
          <t>202405150004</t>
        </is>
      </c>
      <c r="J191" s="736" t="inlineStr">
        <is>
          <t>泰国ONETEC</t>
        </is>
      </c>
      <c r="K191" s="734" t="inlineStr">
        <is>
          <t>CHANHUA PTE. LTD.</t>
        </is>
      </c>
      <c r="L191" s="736" t="n">
        <v>4.38743741920208</v>
      </c>
      <c r="M191" s="403" t="n"/>
    </row>
    <row r="192" customFormat="1" s="693">
      <c r="A192" s="1" t="n">
        <v>190</v>
      </c>
      <c r="B192" s="733" t="inlineStr">
        <is>
          <t>chanhua</t>
        </is>
      </c>
      <c r="C192" s="733" t="n">
        <v>45420</v>
      </c>
      <c r="D192" s="673" t="inlineStr">
        <is>
          <t>新加坡比特</t>
        </is>
      </c>
      <c r="E192" s="734" t="inlineStr">
        <is>
          <t>NJ-VT</t>
        </is>
      </c>
      <c r="F192" s="734" t="inlineStr">
        <is>
          <t>BM1368PV</t>
        </is>
      </c>
      <c r="G192" s="673">
        <f>VLOOKUP(F192,编码对账表!C:D,2,0)</f>
        <v/>
      </c>
      <c r="H192" s="396" t="n">
        <v>105498</v>
      </c>
      <c r="I192" s="741" t="inlineStr">
        <is>
          <t>202405150004</t>
        </is>
      </c>
      <c r="J192" s="736" t="inlineStr">
        <is>
          <t>泰国ONETEC</t>
        </is>
      </c>
      <c r="K192" s="734" t="inlineStr">
        <is>
          <t>CHANHUA PTE. LTD.</t>
        </is>
      </c>
      <c r="L192" s="736" t="n">
        <v>4.38743741920208</v>
      </c>
      <c r="M192" s="403" t="n"/>
    </row>
    <row r="193" customFormat="1" s="693">
      <c r="A193" s="1" t="n">
        <v>191</v>
      </c>
      <c r="B193" s="733" t="inlineStr">
        <is>
          <t>chanhua</t>
        </is>
      </c>
      <c r="C193" s="733" t="n">
        <v>45420</v>
      </c>
      <c r="D193" s="673" t="inlineStr">
        <is>
          <t>新加坡比特</t>
        </is>
      </c>
      <c r="E193" s="734" t="inlineStr">
        <is>
          <t>XJ</t>
        </is>
      </c>
      <c r="F193" s="734" t="inlineStr">
        <is>
          <t>BM1368PB</t>
        </is>
      </c>
      <c r="G193" s="673">
        <f>VLOOKUP(F193,编码对账表!C:D,2,0)</f>
        <v/>
      </c>
      <c r="H193" s="396" t="n">
        <v>192250</v>
      </c>
      <c r="I193" s="741" t="inlineStr">
        <is>
          <t>202405150005</t>
        </is>
      </c>
      <c r="J193" s="736" t="inlineStr">
        <is>
          <t>泰国ONETEC</t>
        </is>
      </c>
      <c r="K193" s="734" t="inlineStr">
        <is>
          <t>CHANHUA PTE. LTD.</t>
        </is>
      </c>
      <c r="L193" s="736" t="n">
        <v>4.38743741920208</v>
      </c>
      <c r="M193" s="403" t="n"/>
    </row>
    <row r="194" customFormat="1" s="693">
      <c r="A194" s="1" t="n">
        <v>192</v>
      </c>
      <c r="B194" s="733" t="inlineStr">
        <is>
          <t>chanhua</t>
        </is>
      </c>
      <c r="C194" s="733" t="n">
        <v>45420</v>
      </c>
      <c r="D194" s="673" t="inlineStr">
        <is>
          <t>新加坡比特</t>
        </is>
      </c>
      <c r="E194" s="734" t="inlineStr">
        <is>
          <t>XJ</t>
        </is>
      </c>
      <c r="F194" s="734" t="inlineStr">
        <is>
          <t>BM1368PV</t>
        </is>
      </c>
      <c r="G194" s="673">
        <f>VLOOKUP(F194,编码对账表!C:D,2,0)</f>
        <v/>
      </c>
      <c r="H194" s="396" t="n">
        <v>246</v>
      </c>
      <c r="I194" s="741" t="inlineStr">
        <is>
          <t>202405150005</t>
        </is>
      </c>
      <c r="J194" s="736" t="inlineStr">
        <is>
          <t>泰国ONETEC</t>
        </is>
      </c>
      <c r="K194" s="734" t="inlineStr">
        <is>
          <t>CHANHUA PTE. LTD.</t>
        </is>
      </c>
      <c r="L194" s="736" t="n">
        <v>4.38743741920208</v>
      </c>
      <c r="M194" s="403" t="n"/>
    </row>
    <row r="195" customFormat="1" s="693">
      <c r="A195" s="1" t="n">
        <v>193</v>
      </c>
      <c r="B195" s="733" t="inlineStr">
        <is>
          <t>chanhua</t>
        </is>
      </c>
      <c r="C195" s="733" t="n">
        <v>45427</v>
      </c>
      <c r="D195" s="673" t="inlineStr">
        <is>
          <t>香港比特</t>
        </is>
      </c>
      <c r="E195" s="734" t="inlineStr">
        <is>
          <t>XJ</t>
        </is>
      </c>
      <c r="F195" s="734" t="inlineStr">
        <is>
          <t>BM1368AA</t>
        </is>
      </c>
      <c r="G195" s="673">
        <f>VLOOKUP(F195,编码对账表!C:D,2,0)</f>
        <v/>
      </c>
      <c r="H195" s="396" t="n">
        <v>3605504</v>
      </c>
      <c r="I195" s="735" t="inlineStr">
        <is>
          <t>HKK202405270003</t>
        </is>
      </c>
      <c r="J195" s="736" t="inlineStr">
        <is>
          <t>印尼奥海</t>
        </is>
      </c>
      <c r="K195" s="734" t="inlineStr">
        <is>
          <t>CHANHUA PTE. LTD.</t>
        </is>
      </c>
      <c r="L195" s="736" t="n">
        <v>5.4206</v>
      </c>
      <c r="M195" s="403" t="n"/>
    </row>
    <row r="196" customFormat="1" s="693">
      <c r="A196" s="1" t="n">
        <v>194</v>
      </c>
      <c r="B196" s="733" t="inlineStr">
        <is>
          <t>chanhua</t>
        </is>
      </c>
      <c r="C196" s="733" t="n">
        <v>45427</v>
      </c>
      <c r="D196" s="673" t="inlineStr">
        <is>
          <t>香港比特</t>
        </is>
      </c>
      <c r="E196" s="734" t="inlineStr">
        <is>
          <t>XJ</t>
        </is>
      </c>
      <c r="F196" s="734" t="inlineStr">
        <is>
          <t>BM1368PB</t>
        </is>
      </c>
      <c r="G196" s="673">
        <f>VLOOKUP(F196,编码对账表!C:D,2,0)</f>
        <v/>
      </c>
      <c r="H196" s="396" t="n">
        <v>595112</v>
      </c>
      <c r="I196" s="735" t="inlineStr">
        <is>
          <t>HKK202405270003</t>
        </is>
      </c>
      <c r="J196" s="736" t="inlineStr">
        <is>
          <t>印尼奥海</t>
        </is>
      </c>
      <c r="K196" s="734" t="inlineStr">
        <is>
          <t>CHANHUA PTE. LTD.</t>
        </is>
      </c>
      <c r="L196" s="736" t="n">
        <v>4.38743741920208</v>
      </c>
      <c r="M196" s="403" t="n"/>
    </row>
    <row r="197" customFormat="1" s="693">
      <c r="A197" s="1" t="n">
        <v>196</v>
      </c>
      <c r="B197" s="733" t="inlineStr">
        <is>
          <t>chanhua</t>
        </is>
      </c>
      <c r="C197" s="733" t="n">
        <v>45434</v>
      </c>
      <c r="D197" s="673" t="inlineStr">
        <is>
          <t>香港比特</t>
        </is>
      </c>
      <c r="E197" s="734" t="inlineStr">
        <is>
          <t>NJ-VT</t>
        </is>
      </c>
      <c r="F197" s="734" t="inlineStr">
        <is>
          <t>BM1368PB</t>
        </is>
      </c>
      <c r="G197" s="673">
        <f>VLOOKUP(F197,编码对账表!C:D,2,0)</f>
        <v/>
      </c>
      <c r="H197" s="396" t="n">
        <v>398643</v>
      </c>
      <c r="I197" s="735" t="inlineStr">
        <is>
          <t>HKK202405270008</t>
        </is>
      </c>
      <c r="J197" s="736" t="inlineStr">
        <is>
          <t>印尼奥海</t>
        </is>
      </c>
      <c r="K197" s="734" t="inlineStr">
        <is>
          <t>CHANHUA PTE. LTD.</t>
        </is>
      </c>
      <c r="L197" s="736" t="n">
        <v>4.38743741920208</v>
      </c>
      <c r="M197" s="403" t="n"/>
    </row>
    <row r="198" customFormat="1" s="693">
      <c r="A198" s="1" t="n">
        <v>197</v>
      </c>
      <c r="B198" s="733" t="inlineStr">
        <is>
          <t>chanhua</t>
        </is>
      </c>
      <c r="C198" s="733" t="n">
        <v>45434</v>
      </c>
      <c r="D198" s="673" t="inlineStr">
        <is>
          <t>香港比特</t>
        </is>
      </c>
      <c r="E198" s="734" t="inlineStr">
        <is>
          <t>XJ</t>
        </is>
      </c>
      <c r="F198" s="734" t="inlineStr">
        <is>
          <t>BM1368PB</t>
        </is>
      </c>
      <c r="G198" s="673">
        <f>VLOOKUP(F198,编码对账表!C:D,2,0)</f>
        <v/>
      </c>
      <c r="H198" s="396" t="n">
        <v>150165</v>
      </c>
      <c r="I198" s="735" t="inlineStr">
        <is>
          <t>HKK202405270008</t>
        </is>
      </c>
      <c r="J198" s="736" t="inlineStr">
        <is>
          <t>印尼奥海</t>
        </is>
      </c>
      <c r="K198" s="734" t="inlineStr">
        <is>
          <t>CHANHUA PTE. LTD.</t>
        </is>
      </c>
      <c r="L198" s="736" t="n">
        <v>4.38743741920208</v>
      </c>
      <c r="M198" s="403" t="n"/>
    </row>
    <row r="199" customFormat="1" s="693">
      <c r="A199" s="1" t="n">
        <v>198</v>
      </c>
      <c r="B199" s="733" t="inlineStr">
        <is>
          <t>chanhua</t>
        </is>
      </c>
      <c r="C199" s="733" t="n">
        <v>45434</v>
      </c>
      <c r="D199" s="673" t="inlineStr">
        <is>
          <t>香港比特</t>
        </is>
      </c>
      <c r="E199" s="734" t="inlineStr">
        <is>
          <t>JSCC</t>
        </is>
      </c>
      <c r="F199" s="734" t="inlineStr">
        <is>
          <t>BM1368PM</t>
        </is>
      </c>
      <c r="G199" s="673">
        <f>VLOOKUP(F199,编码对账表!C:D,2,0)</f>
        <v/>
      </c>
      <c r="H199" s="396" t="n">
        <v>747786</v>
      </c>
      <c r="I199" s="735" t="inlineStr">
        <is>
          <t>HKK202405270008</t>
        </is>
      </c>
      <c r="J199" s="736" t="inlineStr">
        <is>
          <t>印尼奥海</t>
        </is>
      </c>
      <c r="K199" s="734" t="inlineStr">
        <is>
          <t>CHANHUA PTE. LTD.</t>
        </is>
      </c>
      <c r="L199" s="736" t="n">
        <v>4.38743741920208</v>
      </c>
      <c r="M199" s="403" t="n"/>
    </row>
    <row r="200" customFormat="1" s="693">
      <c r="A200" s="1" t="n">
        <v>199</v>
      </c>
      <c r="B200" s="733" t="inlineStr">
        <is>
          <t>chanhua</t>
        </is>
      </c>
      <c r="C200" s="733" t="n">
        <v>45434</v>
      </c>
      <c r="D200" s="673" t="inlineStr">
        <is>
          <t>香港比特</t>
        </is>
      </c>
      <c r="E200" s="734" t="inlineStr">
        <is>
          <t>XJ</t>
        </is>
      </c>
      <c r="F200" s="734" t="inlineStr">
        <is>
          <t>BM1368PM</t>
        </is>
      </c>
      <c r="G200" s="673">
        <f>VLOOKUP(F200,编码对账表!C:D,2,0)</f>
        <v/>
      </c>
      <c r="H200" s="396" t="n">
        <v>588469</v>
      </c>
      <c r="I200" s="735" t="inlineStr">
        <is>
          <t>HKK202405270008</t>
        </is>
      </c>
      <c r="J200" s="736" t="inlineStr">
        <is>
          <t>印尼奥海</t>
        </is>
      </c>
      <c r="K200" s="734" t="inlineStr">
        <is>
          <t>CHANHUA PTE. LTD.</t>
        </is>
      </c>
      <c r="L200" s="736" t="n">
        <v>4.38743741920208</v>
      </c>
      <c r="M200" s="403" t="n"/>
    </row>
    <row r="201" customFormat="1" s="693">
      <c r="A201" s="1" t="n">
        <v>200</v>
      </c>
      <c r="B201" s="733" t="inlineStr">
        <is>
          <t>chanhua</t>
        </is>
      </c>
      <c r="C201" s="733" t="n">
        <v>45434</v>
      </c>
      <c r="D201" s="673" t="inlineStr">
        <is>
          <t>香港比特</t>
        </is>
      </c>
      <c r="E201" s="734" t="inlineStr">
        <is>
          <t>NJ-VT</t>
        </is>
      </c>
      <c r="F201" s="734" t="inlineStr">
        <is>
          <t>BM1368PV</t>
        </is>
      </c>
      <c r="G201" s="673">
        <f>VLOOKUP(F201,编码对账表!C:D,2,0)</f>
        <v/>
      </c>
      <c r="H201" s="396" t="n">
        <v>354</v>
      </c>
      <c r="I201" s="735" t="inlineStr">
        <is>
          <t>HKK202405270008</t>
        </is>
      </c>
      <c r="J201" s="736" t="inlineStr">
        <is>
          <t>印尼奥海</t>
        </is>
      </c>
      <c r="K201" s="734" t="inlineStr">
        <is>
          <t>CHANHUA PTE. LTD.</t>
        </is>
      </c>
      <c r="L201" s="736" t="n">
        <v>4.38743741920208</v>
      </c>
      <c r="M201" s="403" t="n"/>
    </row>
    <row r="202" customFormat="1" s="693">
      <c r="A202" s="1" t="n">
        <v>201</v>
      </c>
      <c r="B202" s="733" t="inlineStr">
        <is>
          <t>chanhua</t>
        </is>
      </c>
      <c r="C202" s="733" t="n">
        <v>45434</v>
      </c>
      <c r="D202" s="673" t="inlineStr">
        <is>
          <t>香港比特</t>
        </is>
      </c>
      <c r="E202" s="734" t="inlineStr">
        <is>
          <t>JSCC</t>
        </is>
      </c>
      <c r="F202" s="734" t="inlineStr">
        <is>
          <t>BM1370BC</t>
        </is>
      </c>
      <c r="G202" s="673">
        <f>VLOOKUP(F202,编码对账表!C:D,2,0)</f>
        <v/>
      </c>
      <c r="H202" s="396" t="n">
        <v>240867</v>
      </c>
      <c r="I202" s="735" t="inlineStr">
        <is>
          <t>HKK202405270006</t>
        </is>
      </c>
      <c r="J202" s="736" t="inlineStr">
        <is>
          <t>印尼奥海</t>
        </is>
      </c>
      <c r="K202" s="734" t="inlineStr">
        <is>
          <t>CHANHUA PTE. LTD.</t>
        </is>
      </c>
      <c r="L202" s="736" t="n">
        <v>7.5374</v>
      </c>
      <c r="M202" s="403" t="n"/>
    </row>
    <row r="203" customFormat="1" s="693">
      <c r="A203" s="1" t="n">
        <v>202</v>
      </c>
      <c r="B203" s="733" t="inlineStr">
        <is>
          <t>chanhua</t>
        </is>
      </c>
      <c r="C203" s="733" t="n">
        <v>45434</v>
      </c>
      <c r="D203" s="673" t="inlineStr">
        <is>
          <t>香港比特</t>
        </is>
      </c>
      <c r="E203" s="734" t="inlineStr">
        <is>
          <t>NJ-VT</t>
        </is>
      </c>
      <c r="F203" s="734" t="inlineStr">
        <is>
          <t>BM1368PB</t>
        </is>
      </c>
      <c r="G203" s="673">
        <f>VLOOKUP(F203,编码对账表!C:D,2,0)</f>
        <v/>
      </c>
      <c r="H203" s="396" t="n">
        <v>383160</v>
      </c>
      <c r="I203" s="735" t="inlineStr">
        <is>
          <t>HKK202405270005</t>
        </is>
      </c>
      <c r="J203" s="736" t="inlineStr">
        <is>
          <t>泰国群光</t>
        </is>
      </c>
      <c r="K203" s="734" t="inlineStr">
        <is>
          <t>CHANHUA PTE. LTD.</t>
        </is>
      </c>
      <c r="L203" s="736" t="n">
        <v>4.38743741920208</v>
      </c>
      <c r="M203" s="403" t="n"/>
    </row>
    <row r="204" customFormat="1" s="693">
      <c r="A204" s="1" t="n">
        <v>203</v>
      </c>
      <c r="B204" s="733" t="inlineStr">
        <is>
          <t>chanhua</t>
        </is>
      </c>
      <c r="C204" s="733" t="n">
        <v>45434</v>
      </c>
      <c r="D204" s="673" t="inlineStr">
        <is>
          <t>香港比特</t>
        </is>
      </c>
      <c r="E204" s="734" t="inlineStr">
        <is>
          <t>NJ-VT</t>
        </is>
      </c>
      <c r="F204" s="734" t="inlineStr">
        <is>
          <t>BM1368PV</t>
        </is>
      </c>
      <c r="G204" s="673">
        <f>VLOOKUP(F204,编码对账表!C:D,2,0)</f>
        <v/>
      </c>
      <c r="H204" s="396" t="n">
        <v>13559</v>
      </c>
      <c r="I204" s="735" t="inlineStr">
        <is>
          <t>HKK202405270005</t>
        </is>
      </c>
      <c r="J204" s="736" t="inlineStr">
        <is>
          <t>泰国群光</t>
        </is>
      </c>
      <c r="K204" s="734" t="inlineStr">
        <is>
          <t>CHANHUA PTE. LTD.</t>
        </is>
      </c>
      <c r="L204" s="736" t="n">
        <v>4.38743741920208</v>
      </c>
      <c r="M204" s="403" t="n"/>
    </row>
    <row r="205" customFormat="1" s="693">
      <c r="A205" s="1" t="n">
        <v>204</v>
      </c>
      <c r="B205" s="733" t="inlineStr">
        <is>
          <t>chanhua</t>
        </is>
      </c>
      <c r="C205" s="733" t="n">
        <v>45434</v>
      </c>
      <c r="D205" s="673" t="inlineStr">
        <is>
          <t>香港比特</t>
        </is>
      </c>
      <c r="E205" s="734" t="inlineStr">
        <is>
          <t>JSCC</t>
        </is>
      </c>
      <c r="F205" s="734" t="inlineStr">
        <is>
          <t>BM1370BC</t>
        </is>
      </c>
      <c r="G205" s="673">
        <f>VLOOKUP(F205,编码对账表!C:D,2,0)</f>
        <v/>
      </c>
      <c r="H205" s="396" t="n">
        <v>222852</v>
      </c>
      <c r="I205" s="735" t="inlineStr">
        <is>
          <t>HKK202405270007</t>
        </is>
      </c>
      <c r="J205" s="736" t="inlineStr">
        <is>
          <t>泰国群光</t>
        </is>
      </c>
      <c r="K205" s="734" t="inlineStr">
        <is>
          <t>CHANHUA PTE. LTD.</t>
        </is>
      </c>
      <c r="L205" s="736" t="n">
        <v>7.5374</v>
      </c>
      <c r="M205" s="403" t="n"/>
    </row>
    <row r="206" customFormat="1" s="693">
      <c r="A206" s="1" t="n">
        <v>205</v>
      </c>
      <c r="B206" s="733" t="inlineStr">
        <is>
          <t>香港比特</t>
        </is>
      </c>
      <c r="C206" s="733" t="n">
        <v>45428</v>
      </c>
      <c r="D206" s="673" t="inlineStr">
        <is>
          <t>新加坡比特</t>
        </is>
      </c>
      <c r="E206" s="734" t="inlineStr">
        <is>
          <t>XJ</t>
        </is>
      </c>
      <c r="F206" s="734" t="inlineStr">
        <is>
          <t>BM1368AA</t>
        </is>
      </c>
      <c r="G206" s="673">
        <f>VLOOKUP(F206,编码对账表!C:D,2,0)</f>
        <v/>
      </c>
      <c r="H206" s="396" t="n">
        <v>502753</v>
      </c>
      <c r="I206" s="741" t="inlineStr">
        <is>
          <t>202405270002</t>
        </is>
      </c>
      <c r="J206" s="736" t="inlineStr">
        <is>
          <t>泰国ONETEC</t>
        </is>
      </c>
      <c r="K206" s="734" t="inlineStr">
        <is>
          <t>CHANHUA PTE. LTD.</t>
        </is>
      </c>
      <c r="L206" s="736" t="n">
        <v>5.4206</v>
      </c>
      <c r="M206" s="403" t="n"/>
    </row>
    <row r="207" customFormat="1" s="693">
      <c r="A207" s="1" t="n">
        <v>206</v>
      </c>
      <c r="B207" s="733" t="inlineStr">
        <is>
          <t>chanhua</t>
        </is>
      </c>
      <c r="C207" s="733" t="n">
        <v>45428</v>
      </c>
      <c r="D207" s="673" t="inlineStr">
        <is>
          <t>新加坡比特</t>
        </is>
      </c>
      <c r="E207" s="734" t="inlineStr">
        <is>
          <t>WX-HN</t>
        </is>
      </c>
      <c r="F207" s="734" t="inlineStr">
        <is>
          <t>BM1368AA</t>
        </is>
      </c>
      <c r="G207" s="673">
        <f>VLOOKUP(F207,编码对账表!C:D,2,0)</f>
        <v/>
      </c>
      <c r="H207" s="396" t="n">
        <v>3058109</v>
      </c>
      <c r="I207" s="741" t="inlineStr">
        <is>
          <t>202405270003</t>
        </is>
      </c>
      <c r="J207" s="736" t="inlineStr">
        <is>
          <t>泰国ONETEC</t>
        </is>
      </c>
      <c r="K207" s="734" t="inlineStr">
        <is>
          <t>CHANHUA PTE. LTD.</t>
        </is>
      </c>
      <c r="L207" s="736" t="n">
        <v>5.4206</v>
      </c>
      <c r="M207" s="403" t="n"/>
    </row>
    <row r="208" customFormat="1" s="693">
      <c r="A208" s="1" t="n">
        <v>207</v>
      </c>
      <c r="B208" s="733" t="inlineStr">
        <is>
          <t>chanhua</t>
        </is>
      </c>
      <c r="C208" s="733" t="n">
        <v>45432</v>
      </c>
      <c r="D208" s="673" t="inlineStr">
        <is>
          <t>新加坡比特</t>
        </is>
      </c>
      <c r="E208" s="734" t="inlineStr">
        <is>
          <t>NJ-VT</t>
        </is>
      </c>
      <c r="F208" s="734" t="inlineStr">
        <is>
          <t>BM1368PB</t>
        </is>
      </c>
      <c r="G208" s="673">
        <f>VLOOKUP(F208,编码对账表!C:D,2,0)</f>
        <v/>
      </c>
      <c r="H208" s="396" t="n">
        <v>908464</v>
      </c>
      <c r="I208" s="741" t="inlineStr">
        <is>
          <t>202405270004</t>
        </is>
      </c>
      <c r="J208" s="736" t="inlineStr">
        <is>
          <t>泰国ONETEC</t>
        </is>
      </c>
      <c r="K208" s="734" t="inlineStr">
        <is>
          <t>CHANHUA PTE. LTD.</t>
        </is>
      </c>
      <c r="L208" s="736" t="n">
        <v>4.38743741920208</v>
      </c>
      <c r="M208" s="403" t="n"/>
    </row>
    <row r="209" customFormat="1" s="693">
      <c r="A209" s="1" t="n">
        <v>208</v>
      </c>
      <c r="B209" s="733" t="inlineStr">
        <is>
          <t>chanhua</t>
        </is>
      </c>
      <c r="C209" s="733" t="n">
        <v>45432</v>
      </c>
      <c r="D209" s="673" t="inlineStr">
        <is>
          <t>新加坡比特</t>
        </is>
      </c>
      <c r="E209" s="734" t="inlineStr">
        <is>
          <t>SPILSZ</t>
        </is>
      </c>
      <c r="F209" s="734" t="inlineStr">
        <is>
          <t>BM1368PB</t>
        </is>
      </c>
      <c r="G209" s="673">
        <f>VLOOKUP(F209,编码对账表!C:D,2,0)</f>
        <v/>
      </c>
      <c r="H209" s="396" t="n">
        <v>98187</v>
      </c>
      <c r="I209" s="741" t="inlineStr">
        <is>
          <t>202405270004</t>
        </is>
      </c>
      <c r="J209" s="736" t="inlineStr">
        <is>
          <t>泰国ONETEC</t>
        </is>
      </c>
      <c r="K209" s="734" t="inlineStr">
        <is>
          <t>CHANHUA PTE. LTD.</t>
        </is>
      </c>
      <c r="L209" s="736" t="n">
        <v>4.38743741920208</v>
      </c>
      <c r="M209" s="403" t="n"/>
    </row>
    <row r="210" customFormat="1" s="693">
      <c r="A210" s="1" t="n">
        <v>209</v>
      </c>
      <c r="B210" s="733" t="inlineStr">
        <is>
          <t>chanhua</t>
        </is>
      </c>
      <c r="C210" s="733" t="n">
        <v>45432</v>
      </c>
      <c r="D210" s="673" t="inlineStr">
        <is>
          <t>新加坡比特</t>
        </is>
      </c>
      <c r="E210" s="734" t="inlineStr">
        <is>
          <t>WX-HN</t>
        </is>
      </c>
      <c r="F210" s="734" t="inlineStr">
        <is>
          <t>BM1368PB</t>
        </is>
      </c>
      <c r="G210" s="673">
        <f>VLOOKUP(F210,编码对账表!C:D,2,0)</f>
        <v/>
      </c>
      <c r="H210" s="396" t="n">
        <v>391528</v>
      </c>
      <c r="I210" s="741" t="inlineStr">
        <is>
          <t>202405270004</t>
        </is>
      </c>
      <c r="J210" s="736" t="inlineStr">
        <is>
          <t>泰国ONETEC</t>
        </is>
      </c>
      <c r="K210" s="734" t="inlineStr">
        <is>
          <t>CHANHUA PTE. LTD.</t>
        </is>
      </c>
      <c r="L210" s="736" t="n">
        <v>4.38743741920208</v>
      </c>
      <c r="M210" s="403" t="n"/>
    </row>
    <row r="211" customFormat="1" s="693">
      <c r="A211" s="1" t="n">
        <v>210</v>
      </c>
      <c r="B211" s="733" t="inlineStr">
        <is>
          <t>chanhua</t>
        </is>
      </c>
      <c r="C211" s="733" t="n">
        <v>45432</v>
      </c>
      <c r="D211" s="673" t="inlineStr">
        <is>
          <t>新加坡比特</t>
        </is>
      </c>
      <c r="E211" s="734" t="inlineStr">
        <is>
          <t>XJ</t>
        </is>
      </c>
      <c r="F211" s="734" t="inlineStr">
        <is>
          <t>BM1368PB</t>
        </is>
      </c>
      <c r="G211" s="673">
        <f>VLOOKUP(F211,编码对账表!C:D,2,0)</f>
        <v/>
      </c>
      <c r="H211" s="396" t="n">
        <v>1132935</v>
      </c>
      <c r="I211" s="741" t="inlineStr">
        <is>
          <t>202405270004</t>
        </is>
      </c>
      <c r="J211" s="736" t="inlineStr">
        <is>
          <t>泰国ONETEC</t>
        </is>
      </c>
      <c r="K211" s="734" t="inlineStr">
        <is>
          <t>CHANHUA PTE. LTD.</t>
        </is>
      </c>
      <c r="L211" s="736" t="n">
        <v>4.38743741920208</v>
      </c>
      <c r="M211" s="403" t="n"/>
    </row>
    <row r="212" customFormat="1" s="693">
      <c r="A212" s="1" t="n">
        <v>211</v>
      </c>
      <c r="B212" s="733" t="inlineStr">
        <is>
          <t>chanhua</t>
        </is>
      </c>
      <c r="C212" s="733" t="n">
        <v>45432</v>
      </c>
      <c r="D212" s="673" t="inlineStr">
        <is>
          <t>新加坡比特</t>
        </is>
      </c>
      <c r="E212" s="734" t="inlineStr">
        <is>
          <t>NJ-VT</t>
        </is>
      </c>
      <c r="F212" s="734" t="inlineStr">
        <is>
          <t>BM1368PV</t>
        </is>
      </c>
      <c r="G212" s="673">
        <f>VLOOKUP(F212,编码对账表!C:D,2,0)</f>
        <v/>
      </c>
      <c r="H212" s="396" t="n">
        <v>426635</v>
      </c>
      <c r="I212" s="741" t="inlineStr">
        <is>
          <t>202405270004</t>
        </is>
      </c>
      <c r="J212" s="736" t="inlineStr">
        <is>
          <t>泰国ONETEC</t>
        </is>
      </c>
      <c r="K212" s="734" t="inlineStr">
        <is>
          <t>CHANHUA PTE. LTD.</t>
        </is>
      </c>
      <c r="L212" s="736" t="n">
        <v>4.38743741920208</v>
      </c>
      <c r="M212" s="403" t="n"/>
    </row>
    <row r="213" customFormat="1" s="693">
      <c r="A213" s="1" t="n">
        <v>212</v>
      </c>
      <c r="B213" s="733" t="inlineStr">
        <is>
          <t>chanhua</t>
        </is>
      </c>
      <c r="C213" s="733" t="n">
        <v>45432</v>
      </c>
      <c r="D213" s="673" t="inlineStr">
        <is>
          <t>新加坡比特</t>
        </is>
      </c>
      <c r="E213" s="734" t="inlineStr">
        <is>
          <t>SPILSZ</t>
        </is>
      </c>
      <c r="F213" s="734" t="inlineStr">
        <is>
          <t>BM1368PV</t>
        </is>
      </c>
      <c r="G213" s="673">
        <f>VLOOKUP(F213,编码对账表!C:D,2,0)</f>
        <v/>
      </c>
      <c r="H213" s="396" t="n">
        <v>43663</v>
      </c>
      <c r="I213" s="741" t="inlineStr">
        <is>
          <t>202405270004</t>
        </is>
      </c>
      <c r="J213" s="736" t="inlineStr">
        <is>
          <t>泰国ONETEC</t>
        </is>
      </c>
      <c r="K213" s="734" t="inlineStr">
        <is>
          <t>CHANHUA PTE. LTD.</t>
        </is>
      </c>
      <c r="L213" s="736" t="n">
        <v>4.38743741920208</v>
      </c>
      <c r="M213" s="403" t="n"/>
    </row>
    <row r="214" customFormat="1" s="693">
      <c r="A214" s="1" t="n">
        <v>213</v>
      </c>
      <c r="B214" s="733" t="inlineStr">
        <is>
          <t>chanhua</t>
        </is>
      </c>
      <c r="C214" s="733" t="n">
        <v>45432</v>
      </c>
      <c r="D214" s="673" t="inlineStr">
        <is>
          <t>新加坡比特</t>
        </is>
      </c>
      <c r="E214" s="734" t="inlineStr">
        <is>
          <t>WX-HN</t>
        </is>
      </c>
      <c r="F214" s="734" t="inlineStr">
        <is>
          <t>BM1368PV</t>
        </is>
      </c>
      <c r="G214" s="673">
        <f>VLOOKUP(F214,编码对账表!C:D,2,0)</f>
        <v/>
      </c>
      <c r="H214" s="396" t="n">
        <v>117508</v>
      </c>
      <c r="I214" s="741" t="inlineStr">
        <is>
          <t>202405270004</t>
        </is>
      </c>
      <c r="J214" s="736" t="inlineStr">
        <is>
          <t>泰国ONETEC</t>
        </is>
      </c>
      <c r="K214" s="734" t="inlineStr">
        <is>
          <t>CHANHUA PTE. LTD.</t>
        </is>
      </c>
      <c r="L214" s="736" t="n">
        <v>4.38743741920208</v>
      </c>
      <c r="M214" s="403" t="n"/>
    </row>
    <row r="215" customFormat="1" s="693">
      <c r="A215" s="1" t="n">
        <v>214</v>
      </c>
      <c r="B215" s="733" t="inlineStr">
        <is>
          <t>chanhua</t>
        </is>
      </c>
      <c r="C215" s="733" t="n">
        <v>45432</v>
      </c>
      <c r="D215" s="673" t="inlineStr">
        <is>
          <t>新加坡比特</t>
        </is>
      </c>
      <c r="E215" s="734" t="inlineStr">
        <is>
          <t>XJ</t>
        </is>
      </c>
      <c r="F215" s="734" t="inlineStr">
        <is>
          <t>BM1368PV</t>
        </is>
      </c>
      <c r="G215" s="673">
        <f>VLOOKUP(F215,编码对账表!C:D,2,0)</f>
        <v/>
      </c>
      <c r="H215" s="396" t="n">
        <v>395</v>
      </c>
      <c r="I215" s="741" t="inlineStr">
        <is>
          <t>202405270004</t>
        </is>
      </c>
      <c r="J215" s="736" t="inlineStr">
        <is>
          <t>泰国ONETEC</t>
        </is>
      </c>
      <c r="K215" s="734" t="inlineStr">
        <is>
          <t>CHANHUA PTE. LTD.</t>
        </is>
      </c>
      <c r="L215" s="736" t="n">
        <v>4.38743741920208</v>
      </c>
      <c r="M215" s="403" t="n"/>
    </row>
    <row r="216" customFormat="1" s="693">
      <c r="A216" s="1" t="n">
        <v>215</v>
      </c>
      <c r="B216" s="733" t="inlineStr">
        <is>
          <t>chanhua</t>
        </is>
      </c>
      <c r="C216" s="733" t="n">
        <v>45432</v>
      </c>
      <c r="D216" s="673" t="inlineStr">
        <is>
          <t>新加坡比特</t>
        </is>
      </c>
      <c r="E216" s="734" t="inlineStr">
        <is>
          <t>JSCC</t>
        </is>
      </c>
      <c r="F216" s="734" t="inlineStr">
        <is>
          <t>BM1370BC</t>
        </is>
      </c>
      <c r="G216" s="673">
        <f>VLOOKUP(F216,编码对账表!C:D,2,0)</f>
        <v/>
      </c>
      <c r="H216" s="396" t="n">
        <v>218661</v>
      </c>
      <c r="I216" s="741" t="inlineStr">
        <is>
          <t>202405270005</t>
        </is>
      </c>
      <c r="J216" s="736" t="inlineStr">
        <is>
          <t>泰国ONETEC</t>
        </is>
      </c>
      <c r="K216" s="734" t="inlineStr">
        <is>
          <t>CHANHUA PTE. LTD.</t>
        </is>
      </c>
      <c r="L216" s="736" t="n">
        <v>7.5374</v>
      </c>
      <c r="M216" s="403" t="n"/>
    </row>
    <row r="217" customFormat="1" s="693">
      <c r="A217" s="1" t="n">
        <v>216</v>
      </c>
      <c r="B217" s="733" t="inlineStr">
        <is>
          <t>chanhua</t>
        </is>
      </c>
      <c r="C217" s="733" t="n">
        <v>45443</v>
      </c>
      <c r="D217" s="673" t="inlineStr">
        <is>
          <t>香港比特</t>
        </is>
      </c>
      <c r="E217" s="734" t="inlineStr">
        <is>
          <t>XJ</t>
        </is>
      </c>
      <c r="F217" s="734" t="inlineStr">
        <is>
          <t>BM1368AA</t>
        </is>
      </c>
      <c r="G217" s="673">
        <f>VLOOKUP(F217,编码对账表!C:D,2,0)</f>
        <v/>
      </c>
      <c r="H217" s="396" t="n">
        <v>3243257</v>
      </c>
      <c r="I217" s="735" t="inlineStr">
        <is>
          <t>HKK202406060002</t>
        </is>
      </c>
      <c r="J217" s="736" t="inlineStr">
        <is>
          <t>印尼奥海</t>
        </is>
      </c>
      <c r="K217" s="734" t="inlineStr">
        <is>
          <t>CHANHUA PTE. LTD.</t>
        </is>
      </c>
      <c r="L217" s="736" t="n">
        <v>5.4206</v>
      </c>
      <c r="M217" s="403" t="n"/>
    </row>
    <row r="218" customFormat="1" s="693">
      <c r="A218" s="1" t="n">
        <v>217</v>
      </c>
      <c r="B218" s="733" t="inlineStr">
        <is>
          <t>chanhua</t>
        </is>
      </c>
      <c r="C218" s="733" t="n">
        <v>45443</v>
      </c>
      <c r="D218" s="673" t="inlineStr">
        <is>
          <t>香港比特</t>
        </is>
      </c>
      <c r="E218" s="734" t="inlineStr">
        <is>
          <t>XJ</t>
        </is>
      </c>
      <c r="F218" s="734" t="inlineStr">
        <is>
          <t>BM1368PA</t>
        </is>
      </c>
      <c r="G218" s="673">
        <f>VLOOKUP(F218,编码对账表!C:D,2,0)</f>
        <v/>
      </c>
      <c r="H218" s="396" t="n">
        <v>197911</v>
      </c>
      <c r="I218" s="735" t="inlineStr">
        <is>
          <t>HKK202406060002</t>
        </is>
      </c>
      <c r="J218" s="736" t="inlineStr">
        <is>
          <t>印尼奥海</t>
        </is>
      </c>
      <c r="K218" s="734" t="inlineStr">
        <is>
          <t>CHANHUA PTE. LTD.</t>
        </is>
      </c>
      <c r="L218" s="736" t="n">
        <v>4.38743741920208</v>
      </c>
      <c r="M218" s="403" t="n"/>
    </row>
    <row r="219" customFormat="1" s="693">
      <c r="A219" s="1" t="n">
        <v>218</v>
      </c>
      <c r="B219" s="733" t="inlineStr">
        <is>
          <t>chanhua</t>
        </is>
      </c>
      <c r="C219" s="733" t="n">
        <v>45443</v>
      </c>
      <c r="D219" s="673" t="inlineStr">
        <is>
          <t>香港比特</t>
        </is>
      </c>
      <c r="E219" s="734" t="inlineStr">
        <is>
          <t>XJ</t>
        </is>
      </c>
      <c r="F219" s="734" t="inlineStr">
        <is>
          <t>BM1368PB</t>
        </is>
      </c>
      <c r="G219" s="673">
        <f>VLOOKUP(F219,编码对账表!C:D,2,0)</f>
        <v/>
      </c>
      <c r="H219" s="396" t="n">
        <v>112714</v>
      </c>
      <c r="I219" s="735" t="inlineStr">
        <is>
          <t>HKK202406060002</t>
        </is>
      </c>
      <c r="J219" s="736" t="inlineStr">
        <is>
          <t>印尼奥海</t>
        </is>
      </c>
      <c r="K219" s="734" t="inlineStr">
        <is>
          <t>CHANHUA PTE. LTD.</t>
        </is>
      </c>
      <c r="L219" s="736" t="n">
        <v>4.38743741920208</v>
      </c>
      <c r="M219" s="403" t="n"/>
    </row>
    <row r="220" customFormat="1" s="693">
      <c r="A220" s="1" t="n">
        <v>219</v>
      </c>
      <c r="B220" s="733" t="inlineStr">
        <is>
          <t>chanhua</t>
        </is>
      </c>
      <c r="C220" s="733" t="n">
        <v>45443</v>
      </c>
      <c r="D220" s="673" t="inlineStr">
        <is>
          <t>香港比特</t>
        </is>
      </c>
      <c r="E220" s="734" t="inlineStr">
        <is>
          <t>SPILSZ</t>
        </is>
      </c>
      <c r="F220" s="734" t="inlineStr">
        <is>
          <t>BM1370AA</t>
        </is>
      </c>
      <c r="G220" s="673">
        <f>VLOOKUP(F220,编码对账表!C:D,2,0)</f>
        <v/>
      </c>
      <c r="H220" s="396" t="n">
        <v>233164</v>
      </c>
      <c r="I220" s="735" t="inlineStr">
        <is>
          <t>HKK202406060003</t>
        </is>
      </c>
      <c r="J220" s="736" t="inlineStr">
        <is>
          <t>印尼奥海</t>
        </is>
      </c>
      <c r="K220" s="734" t="inlineStr">
        <is>
          <t>CHANHUA PTE. LTD.</t>
        </is>
      </c>
      <c r="L220" s="736" t="n">
        <v>7.5374</v>
      </c>
      <c r="M220" s="403" t="n"/>
    </row>
    <row r="221" customFormat="1" s="693">
      <c r="A221" s="1" t="n">
        <v>220</v>
      </c>
      <c r="B221" s="733" t="inlineStr">
        <is>
          <t>chanhua</t>
        </is>
      </c>
      <c r="C221" s="733" t="n">
        <v>45443</v>
      </c>
      <c r="D221" s="673" t="inlineStr">
        <is>
          <t>香港比特</t>
        </is>
      </c>
      <c r="E221" s="734" t="inlineStr">
        <is>
          <t>SPILSZ</t>
        </is>
      </c>
      <c r="F221" s="734" t="inlineStr">
        <is>
          <t>BM1370BC</t>
        </is>
      </c>
      <c r="G221" s="673">
        <f>VLOOKUP(F221,编码对账表!C:D,2,0)</f>
        <v/>
      </c>
      <c r="H221" s="396" t="n">
        <v>22800</v>
      </c>
      <c r="I221" s="735" t="inlineStr">
        <is>
          <t>HKK202406060003</t>
        </is>
      </c>
      <c r="J221" s="736" t="inlineStr">
        <is>
          <t>印尼奥海</t>
        </is>
      </c>
      <c r="K221" s="734" t="inlineStr">
        <is>
          <t>CHANHUA PTE. LTD.</t>
        </is>
      </c>
      <c r="L221" s="736" t="n">
        <v>7.5374</v>
      </c>
      <c r="M221" s="403" t="n"/>
    </row>
    <row r="222" customFormat="1" s="693">
      <c r="A222" s="1" t="n">
        <v>221</v>
      </c>
      <c r="B222" s="733" t="inlineStr">
        <is>
          <t>chanhua</t>
        </is>
      </c>
      <c r="C222" s="733" t="n">
        <v>45443</v>
      </c>
      <c r="D222" s="673" t="inlineStr">
        <is>
          <t>香港比特</t>
        </is>
      </c>
      <c r="E222" s="734" t="inlineStr">
        <is>
          <t>SPILSZ</t>
        </is>
      </c>
      <c r="F222" s="734" t="inlineStr">
        <is>
          <t>BM1370AA</t>
        </is>
      </c>
      <c r="G222" s="673">
        <f>VLOOKUP(F222,编码对账表!C:D,2,0)</f>
        <v/>
      </c>
      <c r="H222" s="396" t="n">
        <v>257380</v>
      </c>
      <c r="I222" s="735" t="inlineStr">
        <is>
          <t>HKK202406060004</t>
        </is>
      </c>
      <c r="J222" s="736" t="inlineStr">
        <is>
          <t>泰国群光</t>
        </is>
      </c>
      <c r="K222" s="734" t="inlineStr">
        <is>
          <t>CHANHUA PTE. LTD.</t>
        </is>
      </c>
      <c r="L222" s="736" t="n">
        <v>7.5374</v>
      </c>
      <c r="M222" s="403" t="n"/>
    </row>
    <row r="223" customFormat="1" s="693">
      <c r="A223" s="1" t="n">
        <v>222</v>
      </c>
      <c r="B223" s="733" t="inlineStr">
        <is>
          <t>香港比特</t>
        </is>
      </c>
      <c r="C223" s="733" t="n">
        <v>45443</v>
      </c>
      <c r="D223" s="673" t="inlineStr">
        <is>
          <t>新加坡比特</t>
        </is>
      </c>
      <c r="E223" s="734" t="inlineStr">
        <is>
          <t>WX-HN</t>
        </is>
      </c>
      <c r="F223" s="734" t="inlineStr">
        <is>
          <t>BM1368AA</t>
        </is>
      </c>
      <c r="G223" s="673">
        <f>VLOOKUP(F223,编码对账表!C:D,2,0)</f>
        <v/>
      </c>
      <c r="H223" s="396" t="n">
        <v>253</v>
      </c>
      <c r="I223" s="741" t="inlineStr">
        <is>
          <t>202406060001</t>
        </is>
      </c>
      <c r="J223" s="736" t="inlineStr">
        <is>
          <t>泰国ONETEC</t>
        </is>
      </c>
      <c r="K223" s="734" t="inlineStr">
        <is>
          <t>CHANHUA PTE. LTD.</t>
        </is>
      </c>
      <c r="L223" s="736" t="n">
        <v>5.4206</v>
      </c>
      <c r="M223" s="403" t="n"/>
    </row>
    <row r="224" customFormat="1" s="693">
      <c r="A224" s="1" t="n">
        <v>223</v>
      </c>
      <c r="B224" s="733" t="inlineStr">
        <is>
          <t>chanhua</t>
        </is>
      </c>
      <c r="C224" s="733" t="n">
        <v>45443</v>
      </c>
      <c r="D224" s="673" t="inlineStr">
        <is>
          <t>新加坡比特</t>
        </is>
      </c>
      <c r="E224" s="734" t="inlineStr">
        <is>
          <t>JSCC</t>
        </is>
      </c>
      <c r="F224" s="734" t="inlineStr">
        <is>
          <t>BM1370BC</t>
        </is>
      </c>
      <c r="G224" s="673">
        <f>VLOOKUP(F224,编码对账表!C:D,2,0)</f>
        <v/>
      </c>
      <c r="H224" s="396" t="n">
        <v>527612</v>
      </c>
      <c r="I224" s="741" t="inlineStr">
        <is>
          <t>202406060002</t>
        </is>
      </c>
      <c r="J224" s="736" t="inlineStr">
        <is>
          <t>泰国ONETEC</t>
        </is>
      </c>
      <c r="K224" s="734" t="inlineStr">
        <is>
          <t>CHANHUA PTE. LTD.</t>
        </is>
      </c>
      <c r="L224" s="736" t="n">
        <v>7.5374</v>
      </c>
      <c r="M224" s="403" t="n"/>
    </row>
    <row r="225" customFormat="1" s="693">
      <c r="A225" s="1" t="n">
        <v>224</v>
      </c>
      <c r="B225" s="733" t="inlineStr">
        <is>
          <t>chanhua</t>
        </is>
      </c>
      <c r="C225" s="733" t="n">
        <v>45443</v>
      </c>
      <c r="D225" s="673" t="inlineStr">
        <is>
          <t>新加坡比特</t>
        </is>
      </c>
      <c r="E225" s="734" t="inlineStr">
        <is>
          <t>NJ-VT</t>
        </is>
      </c>
      <c r="F225" s="734" t="inlineStr">
        <is>
          <t>BM1368PB</t>
        </is>
      </c>
      <c r="G225" s="673">
        <f>VLOOKUP(F225,编码对账表!C:D,2,0)</f>
        <v/>
      </c>
      <c r="H225" s="396" t="n">
        <v>65142</v>
      </c>
      <c r="I225" s="741" t="inlineStr">
        <is>
          <t>202406060003</t>
        </is>
      </c>
      <c r="J225" s="736" t="inlineStr">
        <is>
          <t>泰国ONETEC</t>
        </is>
      </c>
      <c r="K225" s="734" t="inlineStr">
        <is>
          <t>CHANHUA PTE. LTD.</t>
        </is>
      </c>
      <c r="L225" s="736" t="n">
        <v>4.38743741920208</v>
      </c>
      <c r="M225" s="403" t="n"/>
    </row>
    <row r="226" customFormat="1" s="693">
      <c r="A226" s="1" t="n">
        <v>225</v>
      </c>
      <c r="B226" s="733" t="inlineStr">
        <is>
          <t>chanhua</t>
        </is>
      </c>
      <c r="C226" s="733" t="n">
        <v>45443</v>
      </c>
      <c r="D226" s="673" t="inlineStr">
        <is>
          <t>新加坡比特</t>
        </is>
      </c>
      <c r="E226" s="734" t="inlineStr">
        <is>
          <t>NJ-VT</t>
        </is>
      </c>
      <c r="F226" s="734" t="inlineStr">
        <is>
          <t>BM1368PV</t>
        </is>
      </c>
      <c r="G226" s="673">
        <f>VLOOKUP(F226,编码对账表!C:D,2,0)</f>
        <v/>
      </c>
      <c r="H226" s="396" t="n">
        <v>81455</v>
      </c>
      <c r="I226" s="741" t="inlineStr">
        <is>
          <t>202406060003</t>
        </is>
      </c>
      <c r="J226" s="736" t="inlineStr">
        <is>
          <t>泰国ONETEC</t>
        </is>
      </c>
      <c r="K226" s="734" t="inlineStr">
        <is>
          <t>CHANHUA PTE. LTD.</t>
        </is>
      </c>
      <c r="L226" s="736" t="n">
        <v>4.38743741920208</v>
      </c>
      <c r="M226" s="403" t="n"/>
    </row>
    <row r="227" customFormat="1" s="693">
      <c r="A227" s="1" t="n">
        <v>226</v>
      </c>
      <c r="B227" s="733" t="inlineStr">
        <is>
          <t>chanhua</t>
        </is>
      </c>
      <c r="C227" s="733" t="n">
        <v>45443</v>
      </c>
      <c r="D227" s="673" t="inlineStr">
        <is>
          <t>新加坡比特</t>
        </is>
      </c>
      <c r="E227" s="734" t="inlineStr">
        <is>
          <t>WX-HN</t>
        </is>
      </c>
      <c r="F227" s="734" t="inlineStr">
        <is>
          <t>BM1368AA</t>
        </is>
      </c>
      <c r="G227" s="673">
        <f>VLOOKUP(F227,编码对账表!C:D,2,0)</f>
        <v/>
      </c>
      <c r="H227" s="396" t="n">
        <v>1024934</v>
      </c>
      <c r="I227" s="741" t="inlineStr">
        <is>
          <t>202406060004</t>
        </is>
      </c>
      <c r="J227" s="736" t="inlineStr">
        <is>
          <t>泰国ONETEC</t>
        </is>
      </c>
      <c r="K227" s="734" t="inlineStr">
        <is>
          <t>CHANHUA PTE. LTD.</t>
        </is>
      </c>
      <c r="L227" s="736" t="n">
        <v>5.4206</v>
      </c>
      <c r="M227" s="403" t="n"/>
    </row>
    <row r="228" customFormat="1" s="693">
      <c r="A228" s="1" t="n">
        <v>227</v>
      </c>
      <c r="B228" s="733" t="inlineStr">
        <is>
          <t>chanhua</t>
        </is>
      </c>
      <c r="C228" s="733" t="n">
        <v>45443</v>
      </c>
      <c r="D228" s="673" t="inlineStr">
        <is>
          <t>新加坡比特</t>
        </is>
      </c>
      <c r="E228" s="734" t="inlineStr">
        <is>
          <t>XJ</t>
        </is>
      </c>
      <c r="F228" s="734" t="inlineStr">
        <is>
          <t>BM1368AA</t>
        </is>
      </c>
      <c r="G228" s="673">
        <f>VLOOKUP(F228,编码对账表!C:D,2,0)</f>
        <v/>
      </c>
      <c r="H228" s="396" t="n">
        <v>500213</v>
      </c>
      <c r="I228" s="741" t="inlineStr">
        <is>
          <t>202406060005</t>
        </is>
      </c>
      <c r="J228" s="736" t="inlineStr">
        <is>
          <t>泰国ONETEC</t>
        </is>
      </c>
      <c r="K228" s="734" t="inlineStr">
        <is>
          <t>CHANHUA PTE. LTD.</t>
        </is>
      </c>
      <c r="L228" s="736" t="n">
        <v>5.4206</v>
      </c>
      <c r="M228" s="403" t="n"/>
    </row>
    <row r="229" customFormat="1" s="693">
      <c r="A229" s="1" t="n">
        <v>228</v>
      </c>
      <c r="B229" s="733" t="inlineStr">
        <is>
          <t>chanhua</t>
        </is>
      </c>
      <c r="C229" s="733" t="n">
        <v>45443</v>
      </c>
      <c r="D229" s="673" t="inlineStr">
        <is>
          <t>新加坡比特</t>
        </is>
      </c>
      <c r="E229" s="734" t="inlineStr">
        <is>
          <t>XJ</t>
        </is>
      </c>
      <c r="F229" s="734" t="inlineStr">
        <is>
          <t>BM1368PB</t>
        </is>
      </c>
      <c r="G229" s="673">
        <f>VLOOKUP(F229,编码对账表!C:D,2,0)</f>
        <v/>
      </c>
      <c r="H229" s="396" t="n">
        <v>566420</v>
      </c>
      <c r="I229" s="741" t="inlineStr">
        <is>
          <t>202406060005</t>
        </is>
      </c>
      <c r="J229" s="736" t="inlineStr">
        <is>
          <t>泰国ONETEC</t>
        </is>
      </c>
      <c r="K229" s="734" t="inlineStr">
        <is>
          <t>CHANHUA PTE. LTD.</t>
        </is>
      </c>
      <c r="L229" s="736" t="n">
        <v>4.38743741920208</v>
      </c>
      <c r="M229" s="403" t="n"/>
    </row>
    <row r="230" customFormat="1" s="693">
      <c r="A230" s="1" t="n">
        <v>229</v>
      </c>
      <c r="B230" s="733" t="inlineStr">
        <is>
          <t>chanhua</t>
        </is>
      </c>
      <c r="C230" s="733" t="n">
        <v>45448</v>
      </c>
      <c r="D230" s="673" t="inlineStr">
        <is>
          <t>香港比特</t>
        </is>
      </c>
      <c r="E230" s="734" t="inlineStr">
        <is>
          <t>JSCC</t>
        </is>
      </c>
      <c r="F230" s="734" t="inlineStr">
        <is>
          <t>BM1368PM</t>
        </is>
      </c>
      <c r="G230" s="673">
        <f>VLOOKUP(F230,编码对账表!C:D,2,0)</f>
        <v/>
      </c>
      <c r="H230" s="396" t="n">
        <v>1181616</v>
      </c>
      <c r="I230" s="735" t="inlineStr">
        <is>
          <t>HKK202406180005</t>
        </is>
      </c>
      <c r="J230" s="736" t="inlineStr">
        <is>
          <t>印尼奥海</t>
        </is>
      </c>
      <c r="K230" s="734" t="inlineStr">
        <is>
          <t>CHANHUA PTE. LTD.</t>
        </is>
      </c>
      <c r="L230" s="736" t="n">
        <v>4.38743741920208</v>
      </c>
      <c r="M230" s="403" t="n"/>
    </row>
    <row r="231" customFormat="1" s="693">
      <c r="A231" s="1" t="n">
        <v>230</v>
      </c>
      <c r="B231" s="733" t="inlineStr">
        <is>
          <t>chanhua</t>
        </is>
      </c>
      <c r="C231" s="733" t="n">
        <v>45457</v>
      </c>
      <c r="D231" s="673" t="inlineStr">
        <is>
          <t>香港比特</t>
        </is>
      </c>
      <c r="E231" s="734" t="inlineStr">
        <is>
          <t>XJ</t>
        </is>
      </c>
      <c r="F231" s="734" t="inlineStr">
        <is>
          <t>BM1368PM</t>
        </is>
      </c>
      <c r="G231" s="673">
        <f>VLOOKUP(F231,编码对账表!C:D,2,0)</f>
        <v/>
      </c>
      <c r="H231" s="396" t="n">
        <v>3554615</v>
      </c>
      <c r="I231" s="735" t="inlineStr">
        <is>
          <t>HKK202406180005</t>
        </is>
      </c>
      <c r="J231" s="736" t="inlineStr">
        <is>
          <t>印尼奥海</t>
        </is>
      </c>
      <c r="K231" s="734" t="inlineStr">
        <is>
          <t>CHANHUA PTE. LTD.</t>
        </is>
      </c>
      <c r="L231" s="736" t="n">
        <v>4.38743741920208</v>
      </c>
      <c r="M231" s="403" t="n"/>
    </row>
    <row r="232" customFormat="1" s="693">
      <c r="A232" s="1" t="n">
        <v>231</v>
      </c>
      <c r="B232" s="733" t="inlineStr">
        <is>
          <t>chanhua</t>
        </is>
      </c>
      <c r="C232" s="733" t="n">
        <v>45457</v>
      </c>
      <c r="D232" s="673" t="inlineStr">
        <is>
          <t>香港比特</t>
        </is>
      </c>
      <c r="E232" s="734" t="inlineStr">
        <is>
          <t>JSCC</t>
        </is>
      </c>
      <c r="F232" s="734" t="inlineStr">
        <is>
          <t>BM1370BC</t>
        </is>
      </c>
      <c r="G232" s="673">
        <f>VLOOKUP(F232,编码对账表!C:D,2,0)</f>
        <v/>
      </c>
      <c r="H232" s="396" t="n">
        <v>3822491</v>
      </c>
      <c r="I232" s="735" t="inlineStr">
        <is>
          <t>HKK202406180005</t>
        </is>
      </c>
      <c r="J232" s="736" t="inlineStr">
        <is>
          <t>印尼奥海</t>
        </is>
      </c>
      <c r="K232" s="734" t="inlineStr">
        <is>
          <t>CHANHUA PTE. LTD.</t>
        </is>
      </c>
      <c r="L232" s="736" t="n">
        <v>7.5374</v>
      </c>
      <c r="M232" s="403" t="n"/>
    </row>
    <row r="233" customFormat="1" s="693">
      <c r="A233" s="1" t="n">
        <v>232</v>
      </c>
      <c r="B233" s="733" t="inlineStr">
        <is>
          <t>chanhua</t>
        </is>
      </c>
      <c r="C233" s="733" t="n">
        <v>45454</v>
      </c>
      <c r="D233" s="673" t="inlineStr">
        <is>
          <t>香港比特</t>
        </is>
      </c>
      <c r="E233" s="734" t="inlineStr">
        <is>
          <t>NJ-VT</t>
        </is>
      </c>
      <c r="F233" s="734" t="inlineStr">
        <is>
          <t>BM1368PB</t>
        </is>
      </c>
      <c r="G233" s="673">
        <f>VLOOKUP(F233,编码对账表!C:D,2,0)</f>
        <v/>
      </c>
      <c r="H233" s="396" t="n">
        <v>307113</v>
      </c>
      <c r="I233" s="735" t="inlineStr">
        <is>
          <t>HKK202406180009</t>
        </is>
      </c>
      <c r="J233" s="736" t="inlineStr">
        <is>
          <t>泰国群光</t>
        </is>
      </c>
      <c r="K233" s="734" t="inlineStr">
        <is>
          <t>CHANHUA PTE. LTD.</t>
        </is>
      </c>
      <c r="L233" s="736" t="n">
        <v>4.38743741920208</v>
      </c>
      <c r="M233" s="403" t="n"/>
    </row>
    <row r="234" customFormat="1" s="693">
      <c r="A234" s="1" t="n">
        <v>233</v>
      </c>
      <c r="B234" s="733" t="inlineStr">
        <is>
          <t>chanhua</t>
        </is>
      </c>
      <c r="C234" s="733" t="n">
        <v>45454</v>
      </c>
      <c r="D234" s="673" t="inlineStr">
        <is>
          <t>香港比特</t>
        </is>
      </c>
      <c r="E234" s="734" t="inlineStr">
        <is>
          <t>NJ-VT</t>
        </is>
      </c>
      <c r="F234" s="734" t="inlineStr">
        <is>
          <t>BM1368PV</t>
        </is>
      </c>
      <c r="G234" s="673">
        <f>VLOOKUP(F234,编码对账表!C:D,2,0)</f>
        <v/>
      </c>
      <c r="H234" s="396" t="n">
        <v>18694</v>
      </c>
      <c r="I234" s="735" t="inlineStr">
        <is>
          <t>HKK202406180009</t>
        </is>
      </c>
      <c r="J234" s="736" t="inlineStr">
        <is>
          <t>泰国群光</t>
        </is>
      </c>
      <c r="K234" s="734" t="inlineStr">
        <is>
          <t>CHANHUA PTE. LTD.</t>
        </is>
      </c>
      <c r="L234" s="736" t="n">
        <v>4.38743741920208</v>
      </c>
      <c r="M234" s="403" t="n"/>
    </row>
    <row r="235" customFormat="1" s="693">
      <c r="A235" s="1" t="n">
        <v>234</v>
      </c>
      <c r="B235" s="733" t="inlineStr">
        <is>
          <t>chanhua</t>
        </is>
      </c>
      <c r="C235" s="733" t="n">
        <v>45450</v>
      </c>
      <c r="D235" s="673" t="inlineStr">
        <is>
          <t>香港比特</t>
        </is>
      </c>
      <c r="E235" s="734" t="inlineStr">
        <is>
          <t>JSCC</t>
        </is>
      </c>
      <c r="F235" s="734" t="inlineStr">
        <is>
          <t>BM1370BC</t>
        </is>
      </c>
      <c r="G235" s="673">
        <f>VLOOKUP(F235,编码对账表!C:D,2,0)</f>
        <v/>
      </c>
      <c r="H235" s="396" t="n">
        <v>3325678</v>
      </c>
      <c r="I235" s="735" t="inlineStr">
        <is>
          <t>HKK202406180009</t>
        </is>
      </c>
      <c r="J235" s="736" t="inlineStr">
        <is>
          <t>泰国群光</t>
        </is>
      </c>
      <c r="K235" s="734" t="inlineStr">
        <is>
          <t>CHANHUA PTE. LTD.</t>
        </is>
      </c>
      <c r="L235" s="736" t="n">
        <v>7.5374</v>
      </c>
      <c r="M235" s="403" t="n"/>
    </row>
    <row r="236" customFormat="1" s="693">
      <c r="A236" s="1" t="n">
        <v>235</v>
      </c>
      <c r="B236" s="733" t="inlineStr">
        <is>
          <t>chanhua</t>
        </is>
      </c>
      <c r="C236" s="733" t="n">
        <v>45457</v>
      </c>
      <c r="D236" s="673" t="inlineStr">
        <is>
          <t>香港比特</t>
        </is>
      </c>
      <c r="E236" s="734" t="inlineStr">
        <is>
          <t>SPILSZ</t>
        </is>
      </c>
      <c r="F236" s="734" t="inlineStr">
        <is>
          <t>BM1370BC</t>
        </is>
      </c>
      <c r="G236" s="673">
        <f>VLOOKUP(F236,编码对账表!C:D,2,0)</f>
        <v/>
      </c>
      <c r="H236" s="396" t="n">
        <v>1504800</v>
      </c>
      <c r="I236" s="735" t="inlineStr">
        <is>
          <t>HKK202406180009</t>
        </is>
      </c>
      <c r="J236" s="736" t="inlineStr">
        <is>
          <t>泰国群光</t>
        </is>
      </c>
      <c r="K236" s="734" t="inlineStr">
        <is>
          <t>CHANHUA PTE. LTD.</t>
        </is>
      </c>
      <c r="L236" s="736" t="n">
        <v>7.5374</v>
      </c>
      <c r="M236" s="403" t="n"/>
    </row>
    <row r="237" customFormat="1" s="693">
      <c r="A237" s="1" t="n">
        <v>236</v>
      </c>
      <c r="B237" s="733" t="inlineStr">
        <is>
          <t>chanhua</t>
        </is>
      </c>
      <c r="C237" s="733" t="n">
        <v>45454</v>
      </c>
      <c r="D237" s="673" t="inlineStr">
        <is>
          <t>新加坡比特</t>
        </is>
      </c>
      <c r="E237" s="734" t="inlineStr">
        <is>
          <t>NJ-VT</t>
        </is>
      </c>
      <c r="F237" s="734" t="inlineStr">
        <is>
          <t>BM1368PB</t>
        </is>
      </c>
      <c r="G237" s="673">
        <f>VLOOKUP(F237,编码对账表!C:D,2,0)</f>
        <v/>
      </c>
      <c r="H237" s="396" t="n">
        <v>337037</v>
      </c>
      <c r="I237" s="85" t="inlineStr">
        <is>
          <t>202406180002</t>
        </is>
      </c>
      <c r="J237" s="736" t="inlineStr">
        <is>
          <t>泰国ONETEC</t>
        </is>
      </c>
      <c r="K237" s="734" t="inlineStr">
        <is>
          <t>CHANHUA PTE. LTD.</t>
        </is>
      </c>
      <c r="L237" s="736" t="n">
        <v>4.38743741920208</v>
      </c>
      <c r="M237" s="403" t="n"/>
    </row>
    <row r="238" customFormat="1" s="693">
      <c r="A238" s="1" t="n">
        <v>237</v>
      </c>
      <c r="B238" s="733" t="inlineStr">
        <is>
          <t>chanhua</t>
        </is>
      </c>
      <c r="C238" s="733" t="n">
        <v>45449</v>
      </c>
      <c r="D238" s="673" t="inlineStr">
        <is>
          <t>新加坡比特</t>
        </is>
      </c>
      <c r="E238" s="734" t="inlineStr">
        <is>
          <t>XJ</t>
        </is>
      </c>
      <c r="F238" s="734" t="inlineStr">
        <is>
          <t>BM1368PB</t>
        </is>
      </c>
      <c r="G238" s="673">
        <f>VLOOKUP(F238,编码对账表!C:D,2,0)</f>
        <v/>
      </c>
      <c r="H238" s="396" t="n">
        <v>27155</v>
      </c>
      <c r="I238" s="85" t="inlineStr">
        <is>
          <t>202406180002</t>
        </is>
      </c>
      <c r="J238" s="736" t="inlineStr">
        <is>
          <t>泰国ONETEC</t>
        </is>
      </c>
      <c r="K238" s="734" t="inlineStr">
        <is>
          <t>CHANHUA PTE. LTD.</t>
        </is>
      </c>
      <c r="L238" s="736" t="n">
        <v>4.38743741920208</v>
      </c>
      <c r="M238" s="403" t="n"/>
    </row>
    <row r="239" customFormat="1" s="693">
      <c r="A239" s="1" t="n">
        <v>238</v>
      </c>
      <c r="B239" s="733" t="inlineStr">
        <is>
          <t>chanhua</t>
        </is>
      </c>
      <c r="C239" s="733" t="n">
        <v>45449</v>
      </c>
      <c r="D239" s="673" t="inlineStr">
        <is>
          <t>新加坡比特</t>
        </is>
      </c>
      <c r="E239" s="734" t="inlineStr">
        <is>
          <t>JSCC</t>
        </is>
      </c>
      <c r="F239" s="734" t="inlineStr">
        <is>
          <t>BM1370BC</t>
        </is>
      </c>
      <c r="G239" s="673">
        <f>VLOOKUP(F239,编码对账表!C:D,2,0)</f>
        <v/>
      </c>
      <c r="H239" s="396" t="n">
        <v>1303217</v>
      </c>
      <c r="I239" s="85" t="inlineStr">
        <is>
          <t>202406180002</t>
        </is>
      </c>
      <c r="J239" s="736" t="inlineStr">
        <is>
          <t>泰国ONETEC</t>
        </is>
      </c>
      <c r="K239" s="734" t="inlineStr">
        <is>
          <t>CHANHUA PTE. LTD.</t>
        </is>
      </c>
      <c r="L239" s="736" t="n">
        <v>7.5374</v>
      </c>
      <c r="M239" s="403" t="n"/>
    </row>
    <row r="240" customFormat="1" s="693">
      <c r="A240" s="1" t="n">
        <v>239</v>
      </c>
      <c r="B240" s="733" t="inlineStr">
        <is>
          <t>chanhua</t>
        </is>
      </c>
      <c r="C240" s="733" t="n">
        <v>45457</v>
      </c>
      <c r="D240" s="673" t="inlineStr">
        <is>
          <t>新加坡比特</t>
        </is>
      </c>
      <c r="E240" s="734" t="inlineStr">
        <is>
          <t>SPILSZ</t>
        </is>
      </c>
      <c r="F240" s="734" t="inlineStr">
        <is>
          <t>BM1370BC</t>
        </is>
      </c>
      <c r="G240" s="673">
        <f>VLOOKUP(F240,编码对账表!C:D,2,0)</f>
        <v/>
      </c>
      <c r="H240" s="396" t="n">
        <v>1014233</v>
      </c>
      <c r="I240" s="85" t="inlineStr">
        <is>
          <t>202406180002</t>
        </is>
      </c>
      <c r="J240" s="736" t="inlineStr">
        <is>
          <t>泰国ONETEC</t>
        </is>
      </c>
      <c r="K240" s="734" t="inlineStr">
        <is>
          <t>CHANHUA PTE. LTD.</t>
        </is>
      </c>
      <c r="L240" s="736" t="n">
        <v>7.5374</v>
      </c>
      <c r="M240" s="403" t="n"/>
    </row>
    <row r="241" customFormat="1" s="693">
      <c r="A241" s="1" t="n">
        <v>240</v>
      </c>
      <c r="B241" s="733" t="inlineStr">
        <is>
          <t>chanhua</t>
        </is>
      </c>
      <c r="C241" s="733" t="n">
        <v>45464</v>
      </c>
      <c r="D241" s="673" t="inlineStr">
        <is>
          <t>香港比特</t>
        </is>
      </c>
      <c r="E241" s="734" t="inlineStr">
        <is>
          <t>XJ</t>
        </is>
      </c>
      <c r="F241" s="734" t="inlineStr">
        <is>
          <t>BM1368PM</t>
        </is>
      </c>
      <c r="G241" s="673">
        <f>VLOOKUP(F241,编码对账表!C:D,2,0)</f>
        <v/>
      </c>
      <c r="H241" s="396" t="n">
        <v>668846</v>
      </c>
      <c r="I241" s="735" t="inlineStr">
        <is>
          <t>HKK202406280001</t>
        </is>
      </c>
      <c r="J241" s="736" t="inlineStr">
        <is>
          <t>印尼奥海</t>
        </is>
      </c>
      <c r="K241" s="734" t="inlineStr">
        <is>
          <t>CHANHUA PTE. LTD.</t>
        </is>
      </c>
      <c r="L241" s="736" t="n">
        <v>4.38743741920208</v>
      </c>
      <c r="M241" s="403" t="n"/>
    </row>
    <row r="242" customFormat="1" s="693">
      <c r="A242" s="1" t="n">
        <v>241</v>
      </c>
      <c r="B242" s="733" t="inlineStr">
        <is>
          <t>chanhua</t>
        </is>
      </c>
      <c r="C242" s="733" t="n">
        <v>45470</v>
      </c>
      <c r="D242" s="673" t="inlineStr">
        <is>
          <t>香港比特</t>
        </is>
      </c>
      <c r="E242" s="734" t="inlineStr">
        <is>
          <t>JSCC</t>
        </is>
      </c>
      <c r="F242" s="734" t="inlineStr">
        <is>
          <t>BM1370BC</t>
        </is>
      </c>
      <c r="G242" s="673">
        <f>VLOOKUP(F242,编码对账表!C:D,2,0)</f>
        <v/>
      </c>
      <c r="H242" s="396" t="n">
        <v>717661</v>
      </c>
      <c r="I242" s="735" t="inlineStr">
        <is>
          <t>HKK202406280001</t>
        </is>
      </c>
      <c r="J242" s="736" t="inlineStr">
        <is>
          <t>印尼奥海</t>
        </is>
      </c>
      <c r="K242" s="734" t="inlineStr">
        <is>
          <t>CHANHUA PTE. LTD.</t>
        </is>
      </c>
      <c r="L242" s="736" t="n">
        <v>7.5374</v>
      </c>
      <c r="M242" s="403" t="n"/>
    </row>
    <row r="243" customFormat="1" s="693">
      <c r="A243" s="1" t="n">
        <v>242</v>
      </c>
      <c r="B243" s="733" t="inlineStr">
        <is>
          <t>chanhua</t>
        </is>
      </c>
      <c r="C243" s="733" t="n">
        <v>45466</v>
      </c>
      <c r="D243" s="673" t="inlineStr">
        <is>
          <t>香港比特</t>
        </is>
      </c>
      <c r="E243" s="734" t="inlineStr">
        <is>
          <t>SPILSZ</t>
        </is>
      </c>
      <c r="F243" s="734" t="inlineStr">
        <is>
          <t>BM1370BC</t>
        </is>
      </c>
      <c r="G243" s="673">
        <f>VLOOKUP(F243,编码对账表!C:D,2,0)</f>
        <v/>
      </c>
      <c r="H243" s="396" t="n">
        <v>315400</v>
      </c>
      <c r="I243" s="735" t="inlineStr">
        <is>
          <t>HKK202406280001</t>
        </is>
      </c>
      <c r="J243" s="736" t="inlineStr">
        <is>
          <t>印尼奥海</t>
        </is>
      </c>
      <c r="K243" s="734" t="inlineStr">
        <is>
          <t>CHANHUA PTE. LTD.</t>
        </is>
      </c>
      <c r="L243" s="736" t="n">
        <v>7.5374</v>
      </c>
      <c r="M243" s="403" t="n"/>
    </row>
    <row r="244" customFormat="1" s="693">
      <c r="A244" s="1" t="n">
        <v>243</v>
      </c>
      <c r="B244" s="733" t="inlineStr">
        <is>
          <t>chanhua</t>
        </is>
      </c>
      <c r="C244" s="733" t="n">
        <v>45467</v>
      </c>
      <c r="D244" s="673" t="inlineStr">
        <is>
          <t>香港比特</t>
        </is>
      </c>
      <c r="E244" s="734" t="inlineStr">
        <is>
          <t>JSCC</t>
        </is>
      </c>
      <c r="F244" s="734" t="inlineStr">
        <is>
          <t>BM1370BC</t>
        </is>
      </c>
      <c r="G244" s="673">
        <f>VLOOKUP(F244,编码对账表!C:D,2,0)</f>
        <v/>
      </c>
      <c r="H244" s="396" t="n">
        <v>725973</v>
      </c>
      <c r="I244" s="735" t="inlineStr">
        <is>
          <t>HKK202406280003</t>
        </is>
      </c>
      <c r="J244" s="736" t="inlineStr">
        <is>
          <t>泰国群光</t>
        </is>
      </c>
      <c r="K244" s="734" t="inlineStr">
        <is>
          <t>CHANHUA PTE. LTD.</t>
        </is>
      </c>
      <c r="L244" s="736" t="n">
        <v>7.5374</v>
      </c>
      <c r="M244" s="403" t="n"/>
    </row>
    <row r="245" customFormat="1" s="693">
      <c r="A245" s="1" t="n">
        <v>244</v>
      </c>
      <c r="B245" s="733" t="inlineStr">
        <is>
          <t>chanhua</t>
        </is>
      </c>
      <c r="C245" s="733" t="n">
        <v>45466</v>
      </c>
      <c r="D245" s="673" t="inlineStr">
        <is>
          <t>香港比特</t>
        </is>
      </c>
      <c r="E245" s="734" t="inlineStr">
        <is>
          <t>SPILSZ</t>
        </is>
      </c>
      <c r="F245" s="734" t="inlineStr">
        <is>
          <t>BM1370BC</t>
        </is>
      </c>
      <c r="G245" s="673">
        <f>VLOOKUP(F245,编码对账表!C:D,2,0)</f>
        <v/>
      </c>
      <c r="H245" s="396" t="n">
        <v>307800</v>
      </c>
      <c r="I245" s="735" t="inlineStr">
        <is>
          <t>HKK202406280003</t>
        </is>
      </c>
      <c r="J245" s="736" t="inlineStr">
        <is>
          <t>泰国群光</t>
        </is>
      </c>
      <c r="K245" s="734" t="inlineStr">
        <is>
          <t>CHANHUA PTE. LTD.</t>
        </is>
      </c>
      <c r="L245" s="736" t="n">
        <v>7.5374</v>
      </c>
      <c r="M245" s="403" t="n"/>
    </row>
    <row r="246" customFormat="1" s="693">
      <c r="A246" s="1" t="n">
        <v>245</v>
      </c>
      <c r="B246" s="733" t="inlineStr">
        <is>
          <t>chanhua</t>
        </is>
      </c>
      <c r="C246" s="733" t="n">
        <v>45470</v>
      </c>
      <c r="D246" s="673" t="inlineStr">
        <is>
          <t>新加坡比特</t>
        </is>
      </c>
      <c r="E246" s="734" t="inlineStr">
        <is>
          <t>JSCC</t>
        </is>
      </c>
      <c r="F246" s="734" t="inlineStr">
        <is>
          <t>BM1370BC</t>
        </is>
      </c>
      <c r="G246" s="673">
        <f>VLOOKUP(F246,编码对账表!C:D,2,0)</f>
        <v/>
      </c>
      <c r="H246" s="396" t="n">
        <v>649668</v>
      </c>
      <c r="I246" s="85" t="inlineStr">
        <is>
          <t>202406280001</t>
        </is>
      </c>
      <c r="J246" s="736" t="inlineStr">
        <is>
          <t>泰国ONETEC</t>
        </is>
      </c>
      <c r="K246" s="734" t="inlineStr">
        <is>
          <t>CHANHUA PTE. LTD.</t>
        </is>
      </c>
      <c r="L246" s="736" t="n">
        <v>7.5374</v>
      </c>
      <c r="M246" s="403" t="n"/>
    </row>
    <row r="247" customFormat="1" s="693">
      <c r="A247" s="1" t="n">
        <v>246</v>
      </c>
      <c r="B247" s="733" t="inlineStr">
        <is>
          <t>chanhua</t>
        </is>
      </c>
      <c r="C247" s="733" t="n">
        <v>45463</v>
      </c>
      <c r="D247" s="673" t="inlineStr">
        <is>
          <t>新加坡比特</t>
        </is>
      </c>
      <c r="E247" s="734" t="inlineStr">
        <is>
          <t>SPILSZ</t>
        </is>
      </c>
      <c r="F247" s="734" t="inlineStr">
        <is>
          <t>BM1370BC</t>
        </is>
      </c>
      <c r="G247" s="673">
        <f>VLOOKUP(F247,编码对账表!C:D,2,0)</f>
        <v/>
      </c>
      <c r="H247" s="396" t="n">
        <v>112518</v>
      </c>
      <c r="I247" s="85" t="inlineStr">
        <is>
          <t>202406280001</t>
        </is>
      </c>
      <c r="J247" s="736" t="inlineStr">
        <is>
          <t>泰国ONETEC</t>
        </is>
      </c>
      <c r="K247" s="734" t="inlineStr">
        <is>
          <t>CHANHUA PTE. LTD.</t>
        </is>
      </c>
      <c r="L247" s="736" t="n">
        <v>7.5374</v>
      </c>
      <c r="M247" s="403" t="n"/>
    </row>
    <row r="248" customFormat="1" s="693">
      <c r="A248" s="1" t="n">
        <v>247</v>
      </c>
      <c r="B248" s="733" t="inlineStr">
        <is>
          <t>chanhua</t>
        </is>
      </c>
      <c r="C248" s="733" t="n">
        <v>45463</v>
      </c>
      <c r="D248" s="673" t="inlineStr">
        <is>
          <t>新加坡比特</t>
        </is>
      </c>
      <c r="E248" s="734" t="inlineStr">
        <is>
          <t>JSCC</t>
        </is>
      </c>
      <c r="F248" s="734" t="inlineStr">
        <is>
          <t>BM1370BC</t>
        </is>
      </c>
      <c r="G248" s="673">
        <f>VLOOKUP(F248,编码对账表!C:D,2,0)</f>
        <v/>
      </c>
      <c r="H248" s="396" t="n">
        <v>165457</v>
      </c>
      <c r="I248" s="85" t="inlineStr">
        <is>
          <t>202406280002</t>
        </is>
      </c>
      <c r="J248" s="736" t="inlineStr">
        <is>
          <t>欧陆通</t>
        </is>
      </c>
      <c r="K248" s="734" t="inlineStr">
        <is>
          <t>CHANHUA PTE. LTD.</t>
        </is>
      </c>
      <c r="L248" s="736" t="n">
        <v>7.5374</v>
      </c>
      <c r="M248" s="403" t="n"/>
    </row>
    <row r="249" customFormat="1" s="693">
      <c r="A249" s="1" t="n">
        <v>248</v>
      </c>
      <c r="B249" s="733" t="inlineStr">
        <is>
          <t>chanhua</t>
        </is>
      </c>
      <c r="C249" s="733" t="n">
        <v>45478</v>
      </c>
      <c r="D249" s="673" t="inlineStr">
        <is>
          <t>香港比特</t>
        </is>
      </c>
      <c r="E249" s="734" t="inlineStr">
        <is>
          <t>XJ</t>
        </is>
      </c>
      <c r="F249" s="734" t="inlineStr">
        <is>
          <t>BM1368PM</t>
        </is>
      </c>
      <c r="G249" s="673">
        <f>VLOOKUP(F249,编码对账表!C:D,2,0)</f>
        <v/>
      </c>
      <c r="H249" s="396" t="n">
        <v>1006666</v>
      </c>
      <c r="I249" s="735" t="inlineStr">
        <is>
          <t>HKK202407110001</t>
        </is>
      </c>
      <c r="J249" s="736" t="inlineStr">
        <is>
          <t>印尼奥海</t>
        </is>
      </c>
      <c r="K249" s="734" t="inlineStr">
        <is>
          <t>CHANHUA PTE. LTD.</t>
        </is>
      </c>
      <c r="L249" s="736" t="n">
        <v>4.3874</v>
      </c>
      <c r="M249" s="403" t="inlineStr">
        <is>
          <t>140302408091115</t>
        </is>
      </c>
    </row>
    <row r="250" customFormat="1" s="693">
      <c r="A250" s="1" t="n">
        <v>249</v>
      </c>
      <c r="B250" s="733" t="inlineStr">
        <is>
          <t>chanhua</t>
        </is>
      </c>
      <c r="C250" s="733" t="n">
        <v>45478</v>
      </c>
      <c r="D250" s="673" t="inlineStr">
        <is>
          <t>香港比特</t>
        </is>
      </c>
      <c r="E250" s="734" t="inlineStr">
        <is>
          <t>JSCC</t>
        </is>
      </c>
      <c r="F250" s="734" t="inlineStr">
        <is>
          <t>BM1370BC</t>
        </is>
      </c>
      <c r="G250" s="673">
        <f>VLOOKUP(F250,编码对账表!C:D,2,0)</f>
        <v/>
      </c>
      <c r="H250" s="396" t="n">
        <v>2291692</v>
      </c>
      <c r="I250" s="735" t="inlineStr">
        <is>
          <t>HKK202407110001</t>
        </is>
      </c>
      <c r="J250" s="736" t="inlineStr">
        <is>
          <t>印尼奥海</t>
        </is>
      </c>
      <c r="K250" s="734" t="inlineStr">
        <is>
          <t>CHANHUA PTE. LTD.</t>
        </is>
      </c>
      <c r="L250" s="736" t="n">
        <v>8.552899999999999</v>
      </c>
      <c r="M250" s="403" t="inlineStr">
        <is>
          <t>140302408091109</t>
        </is>
      </c>
    </row>
    <row r="251" customFormat="1" s="693">
      <c r="A251" s="1" t="n">
        <v>250</v>
      </c>
      <c r="B251" s="733" t="inlineStr">
        <is>
          <t>chanhua</t>
        </is>
      </c>
      <c r="C251" s="733" t="n">
        <v>45476</v>
      </c>
      <c r="D251" s="673" t="inlineStr">
        <is>
          <t>香港比特</t>
        </is>
      </c>
      <c r="E251" s="734" t="inlineStr">
        <is>
          <t>JSCC</t>
        </is>
      </c>
      <c r="F251" s="734" t="inlineStr">
        <is>
          <t>BM1370BC</t>
        </is>
      </c>
      <c r="G251" s="673">
        <f>VLOOKUP(F251,编码对账表!C:D,2,0)</f>
        <v/>
      </c>
      <c r="H251" s="396" t="n">
        <v>554270</v>
      </c>
      <c r="I251" s="735" t="inlineStr">
        <is>
          <t>HKK202407110002</t>
        </is>
      </c>
      <c r="J251" s="736" t="inlineStr">
        <is>
          <t>泰国群光</t>
        </is>
      </c>
      <c r="K251" s="734" t="inlineStr">
        <is>
          <t>CHANHUA PTE. LTD.</t>
        </is>
      </c>
      <c r="L251" s="736" t="n">
        <v>8.552899999999999</v>
      </c>
      <c r="M251" s="403" t="inlineStr">
        <is>
          <t>140302408091109</t>
        </is>
      </c>
    </row>
    <row r="252" customFormat="1" s="693">
      <c r="A252" s="1" t="n">
        <v>251</v>
      </c>
      <c r="B252" s="733" t="inlineStr">
        <is>
          <t>chanhua</t>
        </is>
      </c>
      <c r="C252" s="733" t="n">
        <v>45474</v>
      </c>
      <c r="D252" s="673" t="inlineStr">
        <is>
          <t>香港比特</t>
        </is>
      </c>
      <c r="E252" s="734" t="inlineStr">
        <is>
          <t>SPILSZ</t>
        </is>
      </c>
      <c r="F252" s="734" t="inlineStr">
        <is>
          <t>BM1370BC</t>
        </is>
      </c>
      <c r="G252" s="673">
        <f>VLOOKUP(F252,编码对账表!C:D,2,0)</f>
        <v/>
      </c>
      <c r="H252" s="396" t="n">
        <v>1007000</v>
      </c>
      <c r="I252" s="735" t="inlineStr">
        <is>
          <t>HKK202407110002</t>
        </is>
      </c>
      <c r="J252" s="736" t="inlineStr">
        <is>
          <t>泰国群光</t>
        </is>
      </c>
      <c r="K252" s="734" t="inlineStr">
        <is>
          <t>CHANHUA PTE. LTD.</t>
        </is>
      </c>
      <c r="L252" s="736" t="n">
        <v>8.552899999999999</v>
      </c>
      <c r="M252" s="403" t="inlineStr">
        <is>
          <t>140302408091111</t>
        </is>
      </c>
    </row>
    <row r="253" customFormat="1" s="693">
      <c r="A253" s="1" t="n">
        <v>252</v>
      </c>
      <c r="B253" s="733" t="inlineStr">
        <is>
          <t>chanhua</t>
        </is>
      </c>
      <c r="C253" s="733" t="n">
        <v>45478</v>
      </c>
      <c r="D253" s="673" t="inlineStr">
        <is>
          <t>新加坡比特</t>
        </is>
      </c>
      <c r="E253" s="734" t="inlineStr">
        <is>
          <t>SPILSZ</t>
        </is>
      </c>
      <c r="F253" s="734" t="inlineStr">
        <is>
          <t>BM1370BC</t>
        </is>
      </c>
      <c r="G253" s="673">
        <f>VLOOKUP(F253,编码对账表!C:D,2,0)</f>
        <v/>
      </c>
      <c r="H253" s="396" t="n">
        <v>513000</v>
      </c>
      <c r="I253" s="741" t="inlineStr">
        <is>
          <t>202407110001</t>
        </is>
      </c>
      <c r="J253" s="736" t="inlineStr">
        <is>
          <t>泰国ONETEC</t>
        </is>
      </c>
      <c r="K253" s="734" t="inlineStr">
        <is>
          <t>CHANHUA PTE. LTD.</t>
        </is>
      </c>
      <c r="L253" s="736" t="n">
        <v>8.552899999999999</v>
      </c>
      <c r="M253" s="403" t="n"/>
    </row>
    <row r="254" customFormat="1" s="693">
      <c r="A254" s="1" t="n">
        <v>253</v>
      </c>
      <c r="B254" s="733" t="inlineStr">
        <is>
          <t>chanhua</t>
        </is>
      </c>
      <c r="C254" s="733" t="n">
        <v>45485</v>
      </c>
      <c r="D254" s="673" t="inlineStr">
        <is>
          <t>新加坡比特</t>
        </is>
      </c>
      <c r="E254" s="734" t="inlineStr">
        <is>
          <t>JSCC</t>
        </is>
      </c>
      <c r="F254" s="734" t="inlineStr">
        <is>
          <t>BM1370BC</t>
        </is>
      </c>
      <c r="G254" s="673">
        <f>VLOOKUP(F254,编码对账表!C:D,2,0)</f>
        <v/>
      </c>
      <c r="H254" s="396" t="n">
        <v>43145</v>
      </c>
      <c r="I254" s="741" t="inlineStr">
        <is>
          <t>202407160002</t>
        </is>
      </c>
      <c r="J254" s="736" t="inlineStr">
        <is>
          <t>东莞群光(保税）</t>
        </is>
      </c>
      <c r="K254" s="734" t="inlineStr">
        <is>
          <t>CHANHUA PTE. LTD.</t>
        </is>
      </c>
      <c r="L254" s="736" t="n">
        <v>8.552899999999999</v>
      </c>
      <c r="M254" s="403" t="n"/>
    </row>
    <row r="255" customFormat="1" s="693">
      <c r="A255" s="1" t="n">
        <v>254</v>
      </c>
      <c r="B255" s="733" t="inlineStr">
        <is>
          <t>chanhua</t>
        </is>
      </c>
      <c r="C255" s="733" t="n">
        <v>45485</v>
      </c>
      <c r="D255" s="673" t="inlineStr">
        <is>
          <t>香港比特</t>
        </is>
      </c>
      <c r="E255" s="734" t="inlineStr">
        <is>
          <t>XJ</t>
        </is>
      </c>
      <c r="F255" s="734" t="inlineStr">
        <is>
          <t>BM1368PB</t>
        </is>
      </c>
      <c r="G255" s="673">
        <f>VLOOKUP(F255,编码对账表!C:D,2,0)</f>
        <v/>
      </c>
      <c r="H255" s="396" t="n">
        <v>1387546</v>
      </c>
      <c r="I255" s="735" t="inlineStr">
        <is>
          <t>HKK202407190004</t>
        </is>
      </c>
      <c r="J255" s="736" t="inlineStr">
        <is>
          <t>印尼奥海</t>
        </is>
      </c>
      <c r="K255" s="734" t="inlineStr">
        <is>
          <t>CHANHUA PTE. LTD.</t>
        </is>
      </c>
      <c r="L255" s="736" t="n">
        <v>4.3874</v>
      </c>
      <c r="M255" s="403" t="inlineStr">
        <is>
          <t>140302408091113</t>
        </is>
      </c>
    </row>
    <row r="256" customFormat="1" s="693">
      <c r="A256" s="1" t="n">
        <v>255</v>
      </c>
      <c r="B256" s="733" t="inlineStr">
        <is>
          <t>chanhua</t>
        </is>
      </c>
      <c r="C256" s="733" t="n">
        <v>45491</v>
      </c>
      <c r="D256" s="673" t="inlineStr">
        <is>
          <t>香港比特</t>
        </is>
      </c>
      <c r="E256" s="734" t="inlineStr">
        <is>
          <t>ASE-KH</t>
        </is>
      </c>
      <c r="F256" s="734" t="inlineStr">
        <is>
          <t>BM1370BC</t>
        </is>
      </c>
      <c r="G256" s="673">
        <f>VLOOKUP(F256,编码对账表!C:D,2,0)</f>
        <v/>
      </c>
      <c r="H256" s="396" t="n">
        <v>1200561</v>
      </c>
      <c r="I256" s="735" t="inlineStr">
        <is>
          <t>HKK202407190005</t>
        </is>
      </c>
      <c r="J256" s="736" t="inlineStr">
        <is>
          <t>印尼奥海</t>
        </is>
      </c>
      <c r="K256" s="734" t="inlineStr">
        <is>
          <t>CHANHUA PTE. LTD.</t>
        </is>
      </c>
      <c r="L256" s="736" t="n">
        <v>8.552899999999999</v>
      </c>
      <c r="M256" s="403" t="inlineStr">
        <is>
          <t>140302408091108</t>
        </is>
      </c>
    </row>
    <row r="257" customFormat="1" s="1">
      <c r="A257" s="1" t="n">
        <v>256</v>
      </c>
      <c r="B257" s="733" t="inlineStr">
        <is>
          <t>chanhua</t>
        </is>
      </c>
      <c r="C257" s="733" t="n">
        <v>45491</v>
      </c>
      <c r="D257" s="673" t="inlineStr">
        <is>
          <t>香港比特</t>
        </is>
      </c>
      <c r="E257" s="734" t="inlineStr">
        <is>
          <t>ASECL</t>
        </is>
      </c>
      <c r="F257" s="734" t="inlineStr">
        <is>
          <t>BM1370BC</t>
        </is>
      </c>
      <c r="G257" s="673">
        <f>VLOOKUP(F257,编码对账表!C:D,2,0)</f>
        <v/>
      </c>
      <c r="H257" s="396" t="n">
        <v>965463</v>
      </c>
      <c r="I257" s="735" t="inlineStr">
        <is>
          <t>HKK202407190005</t>
        </is>
      </c>
      <c r="J257" s="736" t="inlineStr">
        <is>
          <t>印尼奥海</t>
        </is>
      </c>
      <c r="K257" s="734" t="inlineStr">
        <is>
          <t>CHANHUA PTE. LTD.</t>
        </is>
      </c>
      <c r="L257" s="736" t="n">
        <v>8.552899999999999</v>
      </c>
      <c r="M257" s="403" t="inlineStr">
        <is>
          <t>140302408091107</t>
        </is>
      </c>
      <c r="N257" s="693" t="n"/>
    </row>
    <row r="258" customFormat="1" s="1">
      <c r="A258" s="1" t="n">
        <v>257</v>
      </c>
      <c r="B258" s="733" t="inlineStr">
        <is>
          <t>chanhua</t>
        </is>
      </c>
      <c r="C258" s="733" t="n">
        <v>45490</v>
      </c>
      <c r="D258" s="673" t="inlineStr">
        <is>
          <t>香港比特</t>
        </is>
      </c>
      <c r="E258" s="734" t="inlineStr">
        <is>
          <t>JSCC</t>
        </is>
      </c>
      <c r="F258" s="734" t="inlineStr">
        <is>
          <t>BM1370BC</t>
        </is>
      </c>
      <c r="G258" s="673">
        <f>VLOOKUP(F258,编码对账表!C:D,2,0)</f>
        <v/>
      </c>
      <c r="H258" s="396" t="n">
        <v>503558</v>
      </c>
      <c r="I258" s="735" t="inlineStr">
        <is>
          <t>HKK202407190005</t>
        </is>
      </c>
      <c r="J258" s="736" t="inlineStr">
        <is>
          <t>印尼奥海</t>
        </is>
      </c>
      <c r="K258" s="734" t="inlineStr">
        <is>
          <t>CHANHUA PTE. LTD.</t>
        </is>
      </c>
      <c r="L258" s="736" t="n">
        <v>8.552899999999999</v>
      </c>
      <c r="M258" s="403" t="inlineStr">
        <is>
          <t>140302408091109</t>
        </is>
      </c>
      <c r="N258" s="693" t="n"/>
    </row>
    <row r="259" customFormat="1" s="1">
      <c r="A259" s="1" t="n">
        <v>258</v>
      </c>
      <c r="B259" s="733" t="inlineStr">
        <is>
          <t>chanhua</t>
        </is>
      </c>
      <c r="C259" s="733" t="n">
        <v>45489</v>
      </c>
      <c r="D259" s="673" t="inlineStr">
        <is>
          <t>香港比特</t>
        </is>
      </c>
      <c r="E259" s="734" t="inlineStr">
        <is>
          <t>SPILSZ</t>
        </is>
      </c>
      <c r="F259" s="734" t="inlineStr">
        <is>
          <t>BM1370BC</t>
        </is>
      </c>
      <c r="G259" s="673">
        <f>VLOOKUP(F259,编码对账表!C:D,2,0)</f>
        <v/>
      </c>
      <c r="H259" s="396" t="n">
        <v>781962</v>
      </c>
      <c r="I259" s="735" t="inlineStr">
        <is>
          <t>HKK202407190005</t>
        </is>
      </c>
      <c r="J259" s="736" t="inlineStr">
        <is>
          <t>印尼奥海</t>
        </is>
      </c>
      <c r="K259" s="734" t="inlineStr">
        <is>
          <t>CHANHUA PTE. LTD.</t>
        </is>
      </c>
      <c r="L259" s="736" t="n">
        <v>8.552899999999999</v>
      </c>
      <c r="M259" s="403" t="inlineStr">
        <is>
          <t>140302408091111</t>
        </is>
      </c>
      <c r="N259" s="693" t="n"/>
    </row>
    <row r="260" customFormat="1" s="1">
      <c r="A260" s="1" t="n">
        <v>259</v>
      </c>
      <c r="B260" s="733" t="inlineStr">
        <is>
          <t>chanhua</t>
        </is>
      </c>
      <c r="C260" s="733" t="n">
        <v>45485</v>
      </c>
      <c r="D260" s="673" t="inlineStr">
        <is>
          <t>香港比特</t>
        </is>
      </c>
      <c r="E260" s="734" t="inlineStr">
        <is>
          <t>WX-HN</t>
        </is>
      </c>
      <c r="F260" s="734" t="inlineStr">
        <is>
          <t>BM2382AA</t>
        </is>
      </c>
      <c r="G260" s="673">
        <f>VLOOKUP(F260,编码对账表!C:D,2,0)</f>
        <v/>
      </c>
      <c r="H260" s="396" t="n">
        <v>152365</v>
      </c>
      <c r="I260" s="735" t="inlineStr">
        <is>
          <t>HKK202407190006</t>
        </is>
      </c>
      <c r="J260" s="736" t="inlineStr">
        <is>
          <t>印尼奥海</t>
        </is>
      </c>
      <c r="K260" s="734" t="inlineStr">
        <is>
          <t>CHANHUA PTE. LTD.</t>
        </is>
      </c>
      <c r="L260" s="736" t="n">
        <v>2.9793</v>
      </c>
      <c r="M260" s="403" t="inlineStr">
        <is>
          <t>140302408081112</t>
        </is>
      </c>
      <c r="N260" s="693" t="n"/>
    </row>
    <row r="261" customFormat="1" s="1">
      <c r="A261" s="1" t="n">
        <v>260</v>
      </c>
      <c r="B261" s="733" t="inlineStr">
        <is>
          <t>chanhua</t>
        </is>
      </c>
      <c r="C261" s="733" t="n">
        <v>45488</v>
      </c>
      <c r="D261" s="673" t="inlineStr">
        <is>
          <t>香港比特</t>
        </is>
      </c>
      <c r="E261" s="734" t="inlineStr">
        <is>
          <t>JSCC</t>
        </is>
      </c>
      <c r="F261" s="734" t="inlineStr">
        <is>
          <t>BM1370BC</t>
        </is>
      </c>
      <c r="G261" s="673">
        <f>VLOOKUP(F261,编码对账表!C:D,2,0)</f>
        <v/>
      </c>
      <c r="H261" s="396" t="n">
        <v>1424481</v>
      </c>
      <c r="I261" s="735" t="inlineStr">
        <is>
          <t>HKK202407190007</t>
        </is>
      </c>
      <c r="J261" s="736" t="inlineStr">
        <is>
          <t>泰国群光</t>
        </is>
      </c>
      <c r="K261" s="734" t="inlineStr">
        <is>
          <t>CHANHUA PTE. LTD.</t>
        </is>
      </c>
      <c r="L261" s="736" t="n">
        <v>8.552899999999999</v>
      </c>
      <c r="M261" s="403" t="inlineStr">
        <is>
          <t>140302408091109</t>
        </is>
      </c>
      <c r="N261" s="693" t="n"/>
    </row>
    <row r="262" customFormat="1" s="1">
      <c r="A262" s="1" t="n">
        <v>261</v>
      </c>
      <c r="B262" s="733" t="inlineStr">
        <is>
          <t>chanhua</t>
        </is>
      </c>
      <c r="C262" s="733" t="n">
        <v>45490</v>
      </c>
      <c r="D262" s="673" t="inlineStr">
        <is>
          <t>香港比特</t>
        </is>
      </c>
      <c r="E262" s="734" t="inlineStr">
        <is>
          <t>SPILSZ</t>
        </is>
      </c>
      <c r="F262" s="734" t="inlineStr">
        <is>
          <t>BM1370BC</t>
        </is>
      </c>
      <c r="G262" s="673">
        <f>VLOOKUP(F262,编码对账表!C:D,2,0)</f>
        <v/>
      </c>
      <c r="H262" s="396" t="n">
        <v>129200</v>
      </c>
      <c r="I262" s="735" t="inlineStr">
        <is>
          <t>HKK202407190007</t>
        </is>
      </c>
      <c r="J262" s="736" t="inlineStr">
        <is>
          <t>泰国群光</t>
        </is>
      </c>
      <c r="K262" s="734" t="inlineStr">
        <is>
          <t>CHANHUA PTE. LTD.</t>
        </is>
      </c>
      <c r="L262" s="736" t="n">
        <v>8.552899999999999</v>
      </c>
      <c r="M262" s="403" t="inlineStr">
        <is>
          <t>140302408091111</t>
        </is>
      </c>
      <c r="N262" s="693" t="n"/>
    </row>
    <row r="263" customFormat="1" s="1">
      <c r="A263" s="1" t="n">
        <v>262</v>
      </c>
      <c r="B263" s="733" t="inlineStr">
        <is>
          <t>chanhua</t>
        </is>
      </c>
      <c r="C263" s="733" t="n">
        <v>45491</v>
      </c>
      <c r="D263" s="673" t="inlineStr">
        <is>
          <t>新加坡比特</t>
        </is>
      </c>
      <c r="E263" s="734" t="inlineStr">
        <is>
          <t>JSCC</t>
        </is>
      </c>
      <c r="F263" s="734" t="inlineStr">
        <is>
          <t>BM1370BC</t>
        </is>
      </c>
      <c r="G263" s="673">
        <f>VLOOKUP(F263,编码对账表!C:D,2,0)</f>
        <v/>
      </c>
      <c r="H263" s="396" t="n">
        <v>191907</v>
      </c>
      <c r="I263" s="741" t="inlineStr">
        <is>
          <t>202407190008</t>
        </is>
      </c>
      <c r="J263" s="736" t="inlineStr">
        <is>
          <t>泰国ONETEC</t>
        </is>
      </c>
      <c r="K263" s="734" t="inlineStr">
        <is>
          <t>CHANHUA PTE. LTD.</t>
        </is>
      </c>
      <c r="L263" s="736" t="n">
        <v>8.552899999999999</v>
      </c>
      <c r="M263" s="403" t="n"/>
      <c r="N263" s="693" t="n"/>
    </row>
    <row r="264" customFormat="1" s="1">
      <c r="A264" s="1" t="n">
        <v>263</v>
      </c>
      <c r="B264" s="733" t="inlineStr">
        <is>
          <t>chanhua</t>
        </is>
      </c>
      <c r="C264" s="733" t="n">
        <v>45491</v>
      </c>
      <c r="D264" s="673" t="inlineStr">
        <is>
          <t>新加坡比特</t>
        </is>
      </c>
      <c r="E264" s="734" t="inlineStr">
        <is>
          <t>SPILSZ</t>
        </is>
      </c>
      <c r="F264" s="734" t="inlineStr">
        <is>
          <t>BM1370BC</t>
        </is>
      </c>
      <c r="G264" s="673">
        <f>VLOOKUP(F264,编码对账表!C:D,2,0)</f>
        <v/>
      </c>
      <c r="H264" s="396" t="n">
        <v>826313</v>
      </c>
      <c r="I264" s="741" t="inlineStr">
        <is>
          <t>202407190008</t>
        </is>
      </c>
      <c r="J264" s="736" t="inlineStr">
        <is>
          <t>泰国ONETEC</t>
        </is>
      </c>
      <c r="K264" s="734" t="inlineStr">
        <is>
          <t>CHANHUA PTE. LTD.</t>
        </is>
      </c>
      <c r="L264" s="736" t="n">
        <v>8.552899999999999</v>
      </c>
      <c r="M264" s="403" t="n"/>
      <c r="N264" s="693" t="n"/>
    </row>
    <row r="265" customFormat="1" s="1">
      <c r="A265" s="1" t="n">
        <v>264</v>
      </c>
      <c r="B265" s="733" t="inlineStr">
        <is>
          <t>chanhua</t>
        </is>
      </c>
      <c r="C265" s="733" t="n">
        <v>45495</v>
      </c>
      <c r="D265" s="673" t="inlineStr">
        <is>
          <t>香港比特</t>
        </is>
      </c>
      <c r="E265" s="734" t="inlineStr">
        <is>
          <t>XJ</t>
        </is>
      </c>
      <c r="F265" s="734" t="inlineStr">
        <is>
          <t>BM1368PB</t>
        </is>
      </c>
      <c r="G265" s="673">
        <f>VLOOKUP(F265,编码对账表!C:D,2,0)</f>
        <v/>
      </c>
      <c r="H265" s="404" t="n">
        <v>616233</v>
      </c>
      <c r="I265" s="743" t="inlineStr">
        <is>
          <t>HKK202407310001</t>
        </is>
      </c>
      <c r="J265" s="746" t="inlineStr">
        <is>
          <t>泰国群光</t>
        </is>
      </c>
      <c r="K265" s="747" t="inlineStr">
        <is>
          <t>CHANHUA PTE. LTD.</t>
        </is>
      </c>
      <c r="L265" s="746" t="n">
        <v>4.3874</v>
      </c>
      <c r="M265" s="408" t="inlineStr">
        <is>
          <t>140302408091113</t>
        </is>
      </c>
      <c r="N265" s="693" t="n"/>
    </row>
    <row r="266" customFormat="1" s="1">
      <c r="A266" s="1" t="n">
        <v>265</v>
      </c>
      <c r="B266" s="733" t="inlineStr">
        <is>
          <t>chanhua</t>
        </is>
      </c>
      <c r="C266" s="733" t="n">
        <v>45495</v>
      </c>
      <c r="D266" s="673" t="inlineStr">
        <is>
          <t>香港比特</t>
        </is>
      </c>
      <c r="E266" s="734" t="inlineStr">
        <is>
          <t>ASECL</t>
        </is>
      </c>
      <c r="F266" s="734" t="inlineStr">
        <is>
          <t>BM1370BC</t>
        </is>
      </c>
      <c r="G266" s="673">
        <f>VLOOKUP(F266,编码对账表!C:D,2,0)</f>
        <v/>
      </c>
      <c r="H266" s="404" t="n">
        <v>516800</v>
      </c>
      <c r="I266" s="743" t="inlineStr">
        <is>
          <t>HKK202407310001</t>
        </is>
      </c>
      <c r="J266" s="746" t="inlineStr">
        <is>
          <t>泰国群光</t>
        </is>
      </c>
      <c r="K266" s="747" t="inlineStr">
        <is>
          <t>CHANHUA PTE. LTD.</t>
        </is>
      </c>
      <c r="L266" s="746" t="n">
        <v>8.552899999999999</v>
      </c>
      <c r="M266" s="408" t="inlineStr">
        <is>
          <t>140302408091107</t>
        </is>
      </c>
      <c r="N266" s="693" t="n"/>
    </row>
    <row r="267" customFormat="1" s="1">
      <c r="A267" s="1" t="n">
        <v>266</v>
      </c>
      <c r="B267" s="733" t="inlineStr">
        <is>
          <t>chanhua</t>
        </is>
      </c>
      <c r="C267" s="733" t="n">
        <v>45501</v>
      </c>
      <c r="D267" s="673" t="inlineStr">
        <is>
          <t>香港比特</t>
        </is>
      </c>
      <c r="E267" s="734" t="inlineStr">
        <is>
          <t>SPILSZ</t>
        </is>
      </c>
      <c r="F267" s="734" t="inlineStr">
        <is>
          <t>BM1370BC</t>
        </is>
      </c>
      <c r="G267" s="673">
        <f>VLOOKUP(F267,编码对账表!C:D,2,0)</f>
        <v/>
      </c>
      <c r="H267" s="404" t="n">
        <v>509013</v>
      </c>
      <c r="I267" s="743" t="inlineStr">
        <is>
          <t>HKK202407310001</t>
        </is>
      </c>
      <c r="J267" s="746" t="inlineStr">
        <is>
          <t>泰国群光</t>
        </is>
      </c>
      <c r="K267" s="747" t="inlineStr">
        <is>
          <t>CHANHUA PTE. LTD.</t>
        </is>
      </c>
      <c r="L267" s="746" t="n">
        <v>8.552899999999999</v>
      </c>
      <c r="M267" s="408" t="inlineStr">
        <is>
          <t>140302408091111</t>
        </is>
      </c>
      <c r="N267" s="403" t="n"/>
    </row>
    <row r="268" customFormat="1" s="1">
      <c r="A268" s="1" t="n">
        <v>267</v>
      </c>
      <c r="B268" s="733" t="inlineStr">
        <is>
          <t>chanhua</t>
        </is>
      </c>
      <c r="C268" s="733" t="n">
        <v>45497</v>
      </c>
      <c r="D268" s="673" t="inlineStr">
        <is>
          <t>香港比特</t>
        </is>
      </c>
      <c r="E268" s="734" t="inlineStr">
        <is>
          <t>JSCC</t>
        </is>
      </c>
      <c r="F268" s="734" t="inlineStr">
        <is>
          <t>BM1370PA</t>
        </is>
      </c>
      <c r="G268" s="673">
        <f>VLOOKUP(F268,编码对账表!C:D,2,0)</f>
        <v/>
      </c>
      <c r="H268" s="396" t="n">
        <v>101043</v>
      </c>
      <c r="I268" s="735" t="inlineStr">
        <is>
          <t>HKK202407310001</t>
        </is>
      </c>
      <c r="J268" s="736" t="inlineStr">
        <is>
          <t>泰国群光</t>
        </is>
      </c>
      <c r="K268" s="734" t="inlineStr">
        <is>
          <t>CHANHUA PTE. LTD.</t>
        </is>
      </c>
      <c r="L268" s="736" t="n">
        <v>8.552899999999999</v>
      </c>
      <c r="M268" s="403" t="inlineStr">
        <is>
          <t>140302408091110</t>
        </is>
      </c>
      <c r="N268" s="693" t="n"/>
    </row>
    <row r="269" customFormat="1" s="1">
      <c r="A269" s="1" t="n">
        <v>268</v>
      </c>
      <c r="B269" s="733" t="inlineStr">
        <is>
          <t>chanhua</t>
        </is>
      </c>
      <c r="C269" s="733" t="n">
        <v>45495</v>
      </c>
      <c r="D269" s="673" t="inlineStr">
        <is>
          <t>新加坡比特</t>
        </is>
      </c>
      <c r="E269" s="734" t="inlineStr">
        <is>
          <t>ASE-KH</t>
        </is>
      </c>
      <c r="F269" s="734" t="inlineStr">
        <is>
          <t>BM1370BC</t>
        </is>
      </c>
      <c r="G269" s="673">
        <f>VLOOKUP(F269,编码对账表!C:D,2,0)</f>
        <v/>
      </c>
      <c r="H269" s="396" t="n">
        <v>710834</v>
      </c>
      <c r="I269" s="85" t="inlineStr">
        <is>
          <t>202407310001</t>
        </is>
      </c>
      <c r="J269" s="736" t="inlineStr">
        <is>
          <t>泰国ONETEC</t>
        </is>
      </c>
      <c r="K269" s="734" t="inlineStr">
        <is>
          <t>CHANHUA PTE. LTD.</t>
        </is>
      </c>
      <c r="L269" s="736" t="n">
        <v>8.552899999999999</v>
      </c>
      <c r="M269" s="403" t="n"/>
      <c r="N269" s="693" t="n"/>
    </row>
    <row r="270" customFormat="1" s="1">
      <c r="A270" s="1" t="n">
        <v>269</v>
      </c>
      <c r="B270" s="733" t="inlineStr">
        <is>
          <t>chanhua</t>
        </is>
      </c>
      <c r="C270" s="733" t="n">
        <v>45503</v>
      </c>
      <c r="D270" s="673" t="inlineStr">
        <is>
          <t>新加坡比特</t>
        </is>
      </c>
      <c r="E270" s="734" t="inlineStr">
        <is>
          <t>JSCC</t>
        </is>
      </c>
      <c r="F270" s="734" t="inlineStr">
        <is>
          <t>BM1370BC</t>
        </is>
      </c>
      <c r="G270" s="673">
        <f>VLOOKUP(F270,编码对账表!C:D,2,0)</f>
        <v/>
      </c>
      <c r="H270" s="396" t="n">
        <v>237481</v>
      </c>
      <c r="I270" s="85" t="inlineStr">
        <is>
          <t>202407310001</t>
        </is>
      </c>
      <c r="J270" s="736" t="inlineStr">
        <is>
          <t>泰国ONETEC</t>
        </is>
      </c>
      <c r="K270" s="734" t="inlineStr">
        <is>
          <t>CHANHUA PTE. LTD.</t>
        </is>
      </c>
      <c r="L270" s="736" t="n">
        <v>8.552899999999999</v>
      </c>
      <c r="M270" s="403" t="n"/>
      <c r="N270" s="693" t="n"/>
    </row>
    <row r="271" customFormat="1" s="1">
      <c r="A271" s="1" t="n">
        <v>270</v>
      </c>
      <c r="B271" s="733" t="inlineStr">
        <is>
          <t>chanhua</t>
        </is>
      </c>
      <c r="C271" s="733" t="n">
        <v>45503</v>
      </c>
      <c r="D271" s="673" t="inlineStr">
        <is>
          <t>新加坡比特</t>
        </is>
      </c>
      <c r="E271" s="734" t="inlineStr">
        <is>
          <t>JSCC</t>
        </is>
      </c>
      <c r="F271" s="734" t="inlineStr">
        <is>
          <t>BM1370PA</t>
        </is>
      </c>
      <c r="G271" s="673">
        <f>VLOOKUP(F271,编码对账表!C:D,2,0)</f>
        <v/>
      </c>
      <c r="H271" s="396" t="n">
        <v>307609</v>
      </c>
      <c r="I271" s="741" t="inlineStr">
        <is>
          <t>202408090001</t>
        </is>
      </c>
      <c r="J271" s="736" t="inlineStr">
        <is>
          <t>泰国ONETEC</t>
        </is>
      </c>
      <c r="K271" s="734" t="inlineStr">
        <is>
          <t>CHANHUA PTE. LTD.</t>
        </is>
      </c>
      <c r="L271" s="736" t="n">
        <v>8.552899999999999</v>
      </c>
      <c r="M271" s="403" t="n"/>
      <c r="N271" s="693" t="n"/>
    </row>
    <row r="272" customFormat="1" s="1">
      <c r="A272" s="1" t="n">
        <v>271</v>
      </c>
      <c r="B272" s="733" t="inlineStr">
        <is>
          <t>chanhua</t>
        </is>
      </c>
      <c r="C272" s="733" t="n">
        <v>45503</v>
      </c>
      <c r="D272" s="673" t="inlineStr">
        <is>
          <t>chanhua</t>
        </is>
      </c>
      <c r="E272" s="734" t="inlineStr">
        <is>
          <t>世纪云芯</t>
        </is>
      </c>
      <c r="F272" s="734" t="inlineStr">
        <is>
          <t>BM1370BC</t>
        </is>
      </c>
      <c r="G272" s="673">
        <f>VLOOKUP(F272,编码对账表!C:D,2,0)</f>
        <v/>
      </c>
      <c r="H272" s="396" t="n">
        <v>8848</v>
      </c>
      <c r="I272" s="741" t="inlineStr">
        <is>
          <t>202408070001</t>
        </is>
      </c>
      <c r="J272" s="736" t="inlineStr">
        <is>
          <t>SPILSZ</t>
        </is>
      </c>
      <c r="K272" s="734" t="inlineStr">
        <is>
          <t>CHANHUA PTE. LTD.</t>
        </is>
      </c>
      <c r="L272" s="736" t="n">
        <v>10.5539</v>
      </c>
      <c r="M272" s="403" t="inlineStr">
        <is>
          <t>已接收</t>
        </is>
      </c>
      <c r="N272" s="693" t="n"/>
    </row>
    <row r="273" customFormat="1" s="1">
      <c r="A273" s="1" t="n">
        <v>272</v>
      </c>
      <c r="B273" s="733" t="inlineStr">
        <is>
          <t>chanhua</t>
        </is>
      </c>
      <c r="C273" s="733" t="n">
        <v>45503</v>
      </c>
      <c r="D273" s="673" t="inlineStr">
        <is>
          <t>chanhua</t>
        </is>
      </c>
      <c r="E273" s="734" t="inlineStr">
        <is>
          <t>世纪云芯</t>
        </is>
      </c>
      <c r="F273" s="734" t="inlineStr">
        <is>
          <t>BM2382AA</t>
        </is>
      </c>
      <c r="G273" s="673">
        <f>VLOOKUP(F273,编码对账表!C:D,2,0)</f>
        <v/>
      </c>
      <c r="H273" s="396" t="n">
        <v>556288</v>
      </c>
      <c r="I273" s="741" t="inlineStr">
        <is>
          <t>202408090001</t>
        </is>
      </c>
      <c r="J273" s="736" t="inlineStr">
        <is>
          <t>WXHN</t>
        </is>
      </c>
      <c r="K273" s="734" t="inlineStr">
        <is>
          <t>CHANHUA PTE. LTD.</t>
        </is>
      </c>
      <c r="L273" s="736" t="n">
        <v>3.7186</v>
      </c>
      <c r="M273" s="403" t="inlineStr">
        <is>
          <t>已接收</t>
        </is>
      </c>
      <c r="N273" s="693" t="n"/>
    </row>
    <row r="274" customFormat="1" s="1">
      <c r="A274" s="1" t="n">
        <v>273</v>
      </c>
      <c r="B274" s="733" t="inlineStr">
        <is>
          <t>chanhua</t>
        </is>
      </c>
      <c r="C274" s="733" t="n">
        <v>45512</v>
      </c>
      <c r="D274" s="673" t="inlineStr">
        <is>
          <t>香港比特</t>
        </is>
      </c>
      <c r="E274" s="734" t="inlineStr">
        <is>
          <t>ASE-KH</t>
        </is>
      </c>
      <c r="F274" s="734" t="inlineStr">
        <is>
          <t>BM1370BC</t>
        </is>
      </c>
      <c r="G274" s="673">
        <f>VLOOKUP(F274,编码对账表!C:D,2,0)</f>
        <v/>
      </c>
      <c r="H274" s="396" t="n">
        <v>618503</v>
      </c>
      <c r="I274" s="735" t="inlineStr">
        <is>
          <t>HKK202408090001</t>
        </is>
      </c>
      <c r="J274" s="736" t="inlineStr">
        <is>
          <t>印尼奥海</t>
        </is>
      </c>
      <c r="K274" s="734" t="inlineStr">
        <is>
          <t>CHANHUA PTE. LTD.</t>
        </is>
      </c>
      <c r="L274" s="736" t="n">
        <v>8.552899999999999</v>
      </c>
      <c r="M274" s="410" t="inlineStr">
        <is>
          <t>140302408090006</t>
        </is>
      </c>
      <c r="N274" s="398" t="n"/>
    </row>
    <row r="275" customFormat="1" s="1">
      <c r="A275" s="1" t="n">
        <v>274</v>
      </c>
      <c r="B275" s="733" t="inlineStr">
        <is>
          <t>chanhua</t>
        </is>
      </c>
      <c r="C275" s="733" t="n">
        <v>45510</v>
      </c>
      <c r="D275" s="673" t="inlineStr">
        <is>
          <t>香港比特</t>
        </is>
      </c>
      <c r="E275" s="734" t="inlineStr">
        <is>
          <t>SPILSZ</t>
        </is>
      </c>
      <c r="F275" s="734" t="inlineStr">
        <is>
          <t>BM1370BC</t>
        </is>
      </c>
      <c r="G275" s="673">
        <f>VLOOKUP(F275,编码对账表!C:D,2,0)</f>
        <v/>
      </c>
      <c r="H275" s="396" t="n">
        <v>1008615</v>
      </c>
      <c r="I275" s="735" t="inlineStr">
        <is>
          <t>HKK202408090002</t>
        </is>
      </c>
      <c r="J275" s="736" t="inlineStr">
        <is>
          <t>印尼奥海</t>
        </is>
      </c>
      <c r="K275" s="734" t="inlineStr">
        <is>
          <t>CHANHUA PTE. LTD.</t>
        </is>
      </c>
      <c r="L275" s="736" t="n">
        <v>8.552899999999999</v>
      </c>
      <c r="M275" s="410" t="inlineStr">
        <is>
          <t>140302408090001</t>
        </is>
      </c>
      <c r="N275" s="398" t="n"/>
    </row>
    <row r="276" customFormat="1" s="1">
      <c r="A276" s="1" t="n">
        <v>275</v>
      </c>
      <c r="B276" s="733" t="inlineStr">
        <is>
          <t>chanhua</t>
        </is>
      </c>
      <c r="C276" s="733" t="n">
        <v>45504</v>
      </c>
      <c r="D276" s="673" t="inlineStr">
        <is>
          <t>香港比特</t>
        </is>
      </c>
      <c r="E276" s="734" t="inlineStr">
        <is>
          <t>JSCC</t>
        </is>
      </c>
      <c r="F276" s="734" t="inlineStr">
        <is>
          <t>BM1370PA</t>
        </is>
      </c>
      <c r="G276" s="673">
        <f>VLOOKUP(F276,编码对账表!C:D,2,0)</f>
        <v/>
      </c>
      <c r="H276" s="396" t="n">
        <v>239261</v>
      </c>
      <c r="I276" s="735" t="inlineStr">
        <is>
          <t>HKK202408090003</t>
        </is>
      </c>
      <c r="J276" s="736" t="inlineStr">
        <is>
          <t>印尼奥海</t>
        </is>
      </c>
      <c r="K276" s="734" t="inlineStr">
        <is>
          <t>CHANHUA PTE. LTD.</t>
        </is>
      </c>
      <c r="L276" s="736" t="n">
        <v>8.552899999999999</v>
      </c>
      <c r="M276" s="403" t="inlineStr">
        <is>
          <t>140302408260001</t>
        </is>
      </c>
      <c r="N276" s="693" t="n"/>
    </row>
    <row r="277" customFormat="1" s="1">
      <c r="A277" s="1" t="n">
        <v>276</v>
      </c>
      <c r="B277" s="733" t="inlineStr">
        <is>
          <t>chanhua</t>
        </is>
      </c>
      <c r="C277" s="733" t="n">
        <v>45505</v>
      </c>
      <c r="D277" s="673" t="inlineStr">
        <is>
          <t>香港比特</t>
        </is>
      </c>
      <c r="E277" s="734" t="inlineStr">
        <is>
          <t>SPILSZ</t>
        </is>
      </c>
      <c r="F277" s="734" t="inlineStr">
        <is>
          <t>BM1370PA</t>
        </is>
      </c>
      <c r="G277" s="673">
        <f>VLOOKUP(F277,编码对账表!C:D,2,0)</f>
        <v/>
      </c>
      <c r="H277" s="396" t="n">
        <v>30400</v>
      </c>
      <c r="I277" s="735" t="inlineStr">
        <is>
          <t>HKK202408090004</t>
        </is>
      </c>
      <c r="J277" s="736" t="inlineStr">
        <is>
          <t>印尼奥海</t>
        </is>
      </c>
      <c r="K277" s="734" t="inlineStr">
        <is>
          <t>CHANHUA PTE. LTD.</t>
        </is>
      </c>
      <c r="L277" s="736" t="n">
        <v>8.552899999999999</v>
      </c>
      <c r="M277" s="410" t="inlineStr">
        <is>
          <t>140302408091002</t>
        </is>
      </c>
      <c r="N277" s="398" t="n"/>
    </row>
    <row r="278" customFormat="1" s="1">
      <c r="A278" s="1" t="n">
        <v>277</v>
      </c>
      <c r="B278" s="733" t="inlineStr">
        <is>
          <t>chanhua</t>
        </is>
      </c>
      <c r="C278" s="733" t="n">
        <v>45508</v>
      </c>
      <c r="D278" s="673" t="inlineStr">
        <is>
          <t>香港比特</t>
        </is>
      </c>
      <c r="E278" s="734" t="inlineStr">
        <is>
          <t>SPILSZ</t>
        </is>
      </c>
      <c r="F278" s="734" t="inlineStr">
        <is>
          <t>BM1370AA</t>
        </is>
      </c>
      <c r="G278" s="673">
        <f>VLOOKUP(F278,编码对账表!C:D,2,0)</f>
        <v/>
      </c>
      <c r="H278" s="396" t="n">
        <v>396549</v>
      </c>
      <c r="I278" s="735" t="inlineStr">
        <is>
          <t>HKK202408090005</t>
        </is>
      </c>
      <c r="J278" s="736" t="inlineStr">
        <is>
          <t>泰国群光</t>
        </is>
      </c>
      <c r="K278" s="734" t="inlineStr">
        <is>
          <t>CHANHUA PTE. LTD.</t>
        </is>
      </c>
      <c r="L278" s="736" t="n">
        <v>8.552899999999999</v>
      </c>
      <c r="M278" s="410" t="inlineStr">
        <is>
          <t>140302408090003</t>
        </is>
      </c>
      <c r="N278" s="398" t="n"/>
    </row>
    <row r="279" customFormat="1" s="1">
      <c r="A279" s="1" t="n">
        <v>278</v>
      </c>
      <c r="B279" s="733" t="inlineStr">
        <is>
          <t>chanhua</t>
        </is>
      </c>
      <c r="C279" s="733" t="n">
        <v>45505</v>
      </c>
      <c r="D279" s="673" t="inlineStr">
        <is>
          <t>香港比特</t>
        </is>
      </c>
      <c r="E279" s="734" t="inlineStr">
        <is>
          <t>SPILSZ</t>
        </is>
      </c>
      <c r="F279" s="734" t="inlineStr">
        <is>
          <t>BM1370BC</t>
        </is>
      </c>
      <c r="G279" s="673">
        <f>VLOOKUP(F279,编码对账表!C:D,2,0)</f>
        <v/>
      </c>
      <c r="H279" s="396" t="n">
        <v>945855</v>
      </c>
      <c r="I279" s="735" t="inlineStr">
        <is>
          <t>HKK202408090006</t>
        </is>
      </c>
      <c r="J279" s="736" t="inlineStr">
        <is>
          <t>泰国群光</t>
        </is>
      </c>
      <c r="K279" s="734" t="inlineStr">
        <is>
          <t>CHANHUA PTE. LTD.</t>
        </is>
      </c>
      <c r="L279" s="736" t="n">
        <v>8.552899999999999</v>
      </c>
      <c r="M279" s="410" t="inlineStr">
        <is>
          <t>140302408090004</t>
        </is>
      </c>
      <c r="N279" s="398" t="n"/>
    </row>
    <row r="280" customFormat="1" s="1">
      <c r="A280" s="1" t="n">
        <v>279</v>
      </c>
      <c r="B280" s="733" t="inlineStr">
        <is>
          <t>chanhua</t>
        </is>
      </c>
      <c r="C280" s="733" t="n">
        <v>45504</v>
      </c>
      <c r="D280" s="673" t="inlineStr">
        <is>
          <t>香港比特</t>
        </is>
      </c>
      <c r="E280" s="734" t="inlineStr">
        <is>
          <t>JSCC</t>
        </is>
      </c>
      <c r="F280" s="734" t="inlineStr">
        <is>
          <t>BM1370PA</t>
        </is>
      </c>
      <c r="G280" s="673">
        <f>VLOOKUP(F280,编码对账表!C:D,2,0)</f>
        <v/>
      </c>
      <c r="H280" s="396" t="n">
        <v>817430</v>
      </c>
      <c r="I280" s="735" t="inlineStr">
        <is>
          <t>HKK202408090007</t>
        </is>
      </c>
      <c r="J280" s="736" t="inlineStr">
        <is>
          <t>泰国群光</t>
        </is>
      </c>
      <c r="K280" s="734" t="inlineStr">
        <is>
          <t>CHANHUA PTE. LTD.</t>
        </is>
      </c>
      <c r="L280" s="736" t="n">
        <v>8.552899999999999</v>
      </c>
      <c r="M280" s="403" t="inlineStr">
        <is>
          <t>140302408260002</t>
        </is>
      </c>
      <c r="N280" s="693" t="n"/>
    </row>
    <row r="281" customFormat="1" s="1">
      <c r="A281" s="1" t="n">
        <v>280</v>
      </c>
      <c r="B281" s="733" t="inlineStr">
        <is>
          <t>chanhua</t>
        </is>
      </c>
      <c r="C281" s="733" t="n">
        <v>45505</v>
      </c>
      <c r="D281" s="673" t="inlineStr">
        <is>
          <t>香港比特</t>
        </is>
      </c>
      <c r="E281" s="734" t="inlineStr">
        <is>
          <t>SPILSZ</t>
        </is>
      </c>
      <c r="F281" s="734" t="inlineStr">
        <is>
          <t>BM1370PA</t>
        </is>
      </c>
      <c r="G281" s="673">
        <f>VLOOKUP(F281,编码对账表!C:D,2,0)</f>
        <v/>
      </c>
      <c r="H281" s="396" t="n">
        <v>53200</v>
      </c>
      <c r="I281" s="735" t="inlineStr">
        <is>
          <t>HKK202408090008</t>
        </is>
      </c>
      <c r="J281" s="736" t="inlineStr">
        <is>
          <t>泰国群光</t>
        </is>
      </c>
      <c r="K281" s="734" t="inlineStr">
        <is>
          <t>CHANHUA PTE. LTD.</t>
        </is>
      </c>
      <c r="L281" s="736" t="n">
        <v>8.552899999999999</v>
      </c>
      <c r="M281" s="410" t="inlineStr">
        <is>
          <t>140302408090005</t>
        </is>
      </c>
      <c r="N281" s="398" t="n"/>
    </row>
    <row r="282" customFormat="1" s="1">
      <c r="A282" s="1" t="n">
        <v>281</v>
      </c>
      <c r="B282" s="733" t="inlineStr">
        <is>
          <t>chanhua</t>
        </is>
      </c>
      <c r="C282" s="733" t="n">
        <v>45512</v>
      </c>
      <c r="D282" s="673" t="inlineStr">
        <is>
          <t>香港比特</t>
        </is>
      </c>
      <c r="E282" s="734" t="inlineStr">
        <is>
          <t>SPILSZ</t>
        </is>
      </c>
      <c r="F282" s="734" t="inlineStr">
        <is>
          <t>BM1370AA</t>
        </is>
      </c>
      <c r="G282" s="673">
        <f>VLOOKUP(F282,编码对账表!C:D,2,0)</f>
        <v/>
      </c>
      <c r="H282" s="396" t="n">
        <v>83828</v>
      </c>
      <c r="I282" s="735" t="inlineStr">
        <is>
          <t>HKK202408120002</t>
        </is>
      </c>
      <c r="J282" s="736" t="inlineStr">
        <is>
          <t>印尼奥海</t>
        </is>
      </c>
      <c r="K282" s="734" t="inlineStr">
        <is>
          <t>CHANHUA PTE. LTD.</t>
        </is>
      </c>
      <c r="L282" s="736" t="n">
        <v>8.552899999999999</v>
      </c>
      <c r="M282" s="410" t="inlineStr">
        <is>
          <t>140302408120001</t>
        </is>
      </c>
      <c r="N282" s="398" t="n"/>
    </row>
    <row r="283" customFormat="1" s="1">
      <c r="A283" s="1" t="n">
        <v>282</v>
      </c>
      <c r="B283" s="733" t="inlineStr">
        <is>
          <t>chanhua</t>
        </is>
      </c>
      <c r="C283" s="733" t="n">
        <v>45513</v>
      </c>
      <c r="D283" s="673" t="inlineStr">
        <is>
          <t>香港比特</t>
        </is>
      </c>
      <c r="E283" s="734" t="inlineStr">
        <is>
          <t>ASECL</t>
        </is>
      </c>
      <c r="F283" s="734" t="inlineStr">
        <is>
          <t>BM1370BC</t>
        </is>
      </c>
      <c r="G283" s="673">
        <f>VLOOKUP(F283,编码对账表!C:D,2,0)</f>
        <v/>
      </c>
      <c r="H283" s="396" t="n">
        <v>342363</v>
      </c>
      <c r="I283" s="735" t="inlineStr">
        <is>
          <t>HKK202408120003</t>
        </is>
      </c>
      <c r="J283" s="736" t="inlineStr">
        <is>
          <t>泰国群光</t>
        </is>
      </c>
      <c r="K283" s="734" t="inlineStr">
        <is>
          <t>CHANHUA PTE. LTD.</t>
        </is>
      </c>
      <c r="L283" s="736" t="n">
        <v>8.552899999999999</v>
      </c>
      <c r="M283" s="410" t="inlineStr">
        <is>
          <t>140302408120004</t>
        </is>
      </c>
      <c r="N283" s="398" t="n"/>
    </row>
    <row r="284" customFormat="1" s="1">
      <c r="A284" s="1" t="n">
        <v>283</v>
      </c>
      <c r="B284" s="733" t="inlineStr">
        <is>
          <t>chanhua</t>
        </is>
      </c>
      <c r="C284" s="733" t="n">
        <v>45512</v>
      </c>
      <c r="D284" s="673" t="inlineStr">
        <is>
          <t>香港比特</t>
        </is>
      </c>
      <c r="E284" s="734" t="inlineStr">
        <is>
          <t>JSCC</t>
        </is>
      </c>
      <c r="F284" s="734" t="inlineStr">
        <is>
          <t>BM1370PA</t>
        </is>
      </c>
      <c r="G284" s="673">
        <f>VLOOKUP(F284,编码对账表!C:D,2,0)</f>
        <v/>
      </c>
      <c r="H284" s="396" t="n">
        <v>220944</v>
      </c>
      <c r="I284" s="735" t="inlineStr">
        <is>
          <t>HKK202408120004</t>
        </is>
      </c>
      <c r="J284" s="736" t="inlineStr">
        <is>
          <t>泰国群光</t>
        </is>
      </c>
      <c r="K284" s="734" t="inlineStr">
        <is>
          <t>CHANHUA PTE. LTD.</t>
        </is>
      </c>
      <c r="L284" s="736" t="n">
        <v>8.552899999999999</v>
      </c>
      <c r="M284" s="410" t="inlineStr">
        <is>
          <t>140302408120002</t>
        </is>
      </c>
      <c r="N284" s="398" t="n"/>
    </row>
    <row r="285" customFormat="1" s="1">
      <c r="A285" s="1" t="n">
        <v>284</v>
      </c>
      <c r="B285" s="733" t="inlineStr">
        <is>
          <t>chanhua</t>
        </is>
      </c>
      <c r="C285" s="733" t="n">
        <v>45512</v>
      </c>
      <c r="D285" s="673" t="inlineStr">
        <is>
          <t>香港比特</t>
        </is>
      </c>
      <c r="E285" s="734" t="inlineStr">
        <is>
          <t>SPILSZ</t>
        </is>
      </c>
      <c r="F285" s="734" t="inlineStr">
        <is>
          <t>BM1370PA</t>
        </is>
      </c>
      <c r="G285" s="673">
        <f>VLOOKUP(F285,编码对账表!C:D,2,0)</f>
        <v/>
      </c>
      <c r="H285" s="396" t="n">
        <v>152000</v>
      </c>
      <c r="I285" s="735" t="inlineStr">
        <is>
          <t>HKK202408120005</t>
        </is>
      </c>
      <c r="J285" s="736" t="inlineStr">
        <is>
          <t>泰国群光</t>
        </is>
      </c>
      <c r="K285" s="734" t="inlineStr">
        <is>
          <t>CHANHUA PTE. LTD.</t>
        </is>
      </c>
      <c r="L285" s="736" t="n">
        <v>8.552899999999999</v>
      </c>
      <c r="M285" s="410" t="inlineStr">
        <is>
          <t>140302408120003</t>
        </is>
      </c>
      <c r="N285" s="398" t="n"/>
    </row>
    <row r="286" customFormat="1" s="1">
      <c r="A286" s="1" t="n">
        <v>285</v>
      </c>
      <c r="B286" s="733" t="inlineStr">
        <is>
          <t>chanhua</t>
        </is>
      </c>
      <c r="C286" s="733" t="n">
        <v>45513</v>
      </c>
      <c r="D286" s="673" t="inlineStr">
        <is>
          <t>新加坡比特</t>
        </is>
      </c>
      <c r="E286" s="734" t="inlineStr">
        <is>
          <t>JSCC</t>
        </is>
      </c>
      <c r="F286" s="734" t="inlineStr">
        <is>
          <t>BM1370PA</t>
        </is>
      </c>
      <c r="G286" s="673">
        <f>VLOOKUP(F286,编码对账表!C:D,2,0)</f>
        <v/>
      </c>
      <c r="H286" s="396" t="n">
        <v>450475</v>
      </c>
      <c r="I286" s="741" t="inlineStr">
        <is>
          <t>202408120004</t>
        </is>
      </c>
      <c r="J286" s="736" t="inlineStr">
        <is>
          <t>泰国ONETEC</t>
        </is>
      </c>
      <c r="K286" s="734" t="inlineStr">
        <is>
          <t>CHANHUA PTE. LTD.</t>
        </is>
      </c>
      <c r="L286" s="736" t="n">
        <v>8.552899999999999</v>
      </c>
      <c r="M286" s="410" t="inlineStr">
        <is>
          <t>140302408120005</t>
        </is>
      </c>
      <c r="N286" s="398" t="n"/>
    </row>
    <row r="287" customFormat="1" s="1">
      <c r="A287" s="1" t="n">
        <v>286</v>
      </c>
      <c r="B287" s="733" t="inlineStr">
        <is>
          <t>chanhua</t>
        </is>
      </c>
      <c r="C287" s="733" t="n">
        <v>45516</v>
      </c>
      <c r="D287" s="673" t="inlineStr">
        <is>
          <t>新加坡比特</t>
        </is>
      </c>
      <c r="E287" s="734" t="inlineStr">
        <is>
          <t>JSCC</t>
        </is>
      </c>
      <c r="F287" s="734" t="inlineStr">
        <is>
          <t>BM1370BC</t>
        </is>
      </c>
      <c r="G287" s="673">
        <f>VLOOKUP(F287,编码对账表!C:D,2,0)</f>
        <v/>
      </c>
      <c r="H287" s="396" t="n">
        <v>313</v>
      </c>
      <c r="I287" s="741" t="inlineStr">
        <is>
          <t>202408130005</t>
        </is>
      </c>
      <c r="J287" s="736" t="inlineStr">
        <is>
          <t>前海</t>
        </is>
      </c>
      <c r="K287" s="734" t="inlineStr">
        <is>
          <t>CHANHUA PTE. LTD.</t>
        </is>
      </c>
      <c r="L287" s="736" t="n">
        <v>8.552899999999999</v>
      </c>
      <c r="M287" s="403" t="inlineStr">
        <is>
          <t>140302408130001</t>
        </is>
      </c>
      <c r="N287" s="398" t="inlineStr">
        <is>
          <t>未出</t>
        </is>
      </c>
    </row>
    <row r="288" customFormat="1" s="1">
      <c r="A288" s="1" t="n">
        <v>287</v>
      </c>
      <c r="B288" s="733" t="inlineStr">
        <is>
          <t>chanhua</t>
        </is>
      </c>
      <c r="C288" s="733" t="n">
        <v>45516</v>
      </c>
      <c r="D288" s="673" t="inlineStr">
        <is>
          <t>chanhua</t>
        </is>
      </c>
      <c r="E288" s="734" t="inlineStr">
        <is>
          <t>世纪云芯</t>
        </is>
      </c>
      <c r="F288" s="734" t="inlineStr">
        <is>
          <t>BM2382AA</t>
        </is>
      </c>
      <c r="G288" s="673">
        <f>VLOOKUP(F288,编码对账表!C:D,2,0)</f>
        <v/>
      </c>
      <c r="H288" s="396" t="n">
        <v>93564</v>
      </c>
      <c r="I288" s="741" t="inlineStr">
        <is>
          <t>202408140001</t>
        </is>
      </c>
      <c r="J288" s="736" t="inlineStr">
        <is>
          <t>WXHN</t>
        </is>
      </c>
      <c r="K288" s="734" t="inlineStr">
        <is>
          <t>CHANHUA PTE. LTD.</t>
        </is>
      </c>
      <c r="L288" s="736" t="n">
        <v>3.71560001710059</v>
      </c>
      <c r="M288" s="403" t="inlineStr">
        <is>
          <t>已接收</t>
        </is>
      </c>
      <c r="N288" s="398" t="n"/>
    </row>
    <row r="289" customFormat="1" s="1">
      <c r="A289" s="1" t="n">
        <v>288</v>
      </c>
      <c r="B289" s="733" t="inlineStr">
        <is>
          <t>chanhua</t>
        </is>
      </c>
      <c r="C289" s="733" t="n">
        <v>45516</v>
      </c>
      <c r="D289" s="673" t="inlineStr">
        <is>
          <t>香港比特</t>
        </is>
      </c>
      <c r="E289" s="734" t="inlineStr">
        <is>
          <t>XJ</t>
        </is>
      </c>
      <c r="F289" s="734" t="inlineStr">
        <is>
          <t>BM1368PB</t>
        </is>
      </c>
      <c r="G289" s="673">
        <f>VLOOKUP(F289,编码对账表!C:D,2,0)</f>
        <v/>
      </c>
      <c r="H289" s="396" t="n">
        <v>286883</v>
      </c>
      <c r="I289" s="735" t="inlineStr">
        <is>
          <t>HKK202408210002</t>
        </is>
      </c>
      <c r="J289" s="736" t="inlineStr">
        <is>
          <t>印尼奥海</t>
        </is>
      </c>
      <c r="K289" s="734" t="inlineStr">
        <is>
          <t>CHANHUA PTE. LTD.</t>
        </is>
      </c>
      <c r="L289" s="736" t="n">
        <v>4.3874</v>
      </c>
      <c r="M289" s="403" t="inlineStr">
        <is>
          <t>140302409041010</t>
        </is>
      </c>
      <c r="N289" s="398" t="n"/>
    </row>
    <row r="290" customFormat="1" s="1">
      <c r="A290" s="1" t="n">
        <v>289</v>
      </c>
      <c r="B290" s="733" t="inlineStr">
        <is>
          <t>chanhua</t>
        </is>
      </c>
      <c r="C290" s="733" t="n">
        <v>45522</v>
      </c>
      <c r="D290" s="673" t="inlineStr">
        <is>
          <t>香港比特</t>
        </is>
      </c>
      <c r="E290" s="734" t="inlineStr">
        <is>
          <t>SPILSZ</t>
        </is>
      </c>
      <c r="F290" s="734" t="inlineStr">
        <is>
          <t>BM1370PA</t>
        </is>
      </c>
      <c r="G290" s="673">
        <f>VLOOKUP(F290,编码对账表!C:D,2,0)</f>
        <v/>
      </c>
      <c r="H290" s="396" t="n">
        <v>209000</v>
      </c>
      <c r="I290" s="735" t="inlineStr">
        <is>
          <t>HKK202408210003</t>
        </is>
      </c>
      <c r="J290" s="736" t="inlineStr">
        <is>
          <t>印尼奥海</t>
        </is>
      </c>
      <c r="K290" s="734" t="inlineStr">
        <is>
          <t>CHANHUA PTE. LTD.</t>
        </is>
      </c>
      <c r="L290" s="736" t="n">
        <v>8.552899999999999</v>
      </c>
      <c r="M290" s="403" t="inlineStr">
        <is>
          <t>140302409041011</t>
        </is>
      </c>
      <c r="N290" s="398" t="n"/>
    </row>
    <row r="291" customFormat="1" s="1">
      <c r="A291" s="1" t="n">
        <v>290</v>
      </c>
      <c r="B291" s="733" t="inlineStr">
        <is>
          <t>chanhua</t>
        </is>
      </c>
      <c r="C291" s="733" t="n">
        <v>45519</v>
      </c>
      <c r="D291" s="673" t="inlineStr">
        <is>
          <t>香港比特</t>
        </is>
      </c>
      <c r="E291" s="734" t="inlineStr">
        <is>
          <t>JSCC</t>
        </is>
      </c>
      <c r="F291" s="734" t="inlineStr">
        <is>
          <t>BM1370AA</t>
        </is>
      </c>
      <c r="G291" s="673">
        <f>VLOOKUP(F291,编码对账表!C:D,2,0)</f>
        <v/>
      </c>
      <c r="H291" s="396" t="n">
        <v>5445</v>
      </c>
      <c r="I291" s="735" t="inlineStr">
        <is>
          <t>HKK202408210004</t>
        </is>
      </c>
      <c r="J291" s="736" t="inlineStr">
        <is>
          <t>泰国群光</t>
        </is>
      </c>
      <c r="K291" s="734" t="inlineStr">
        <is>
          <t>CHANHUA PTE. LTD.</t>
        </is>
      </c>
      <c r="L291" s="736" t="n">
        <v>8.552899999999999</v>
      </c>
      <c r="M291" s="403" t="inlineStr">
        <is>
          <t>140302409041012</t>
        </is>
      </c>
      <c r="N291" s="398" t="n"/>
    </row>
    <row r="292" customFormat="1" s="1">
      <c r="A292" s="1" t="n">
        <v>291</v>
      </c>
      <c r="B292" s="733" t="inlineStr">
        <is>
          <t>chanhua</t>
        </is>
      </c>
      <c r="C292" s="733" t="n">
        <v>45519</v>
      </c>
      <c r="D292" s="673" t="inlineStr">
        <is>
          <t>香港比特</t>
        </is>
      </c>
      <c r="E292" s="734" t="inlineStr">
        <is>
          <t>ASE-KH</t>
        </is>
      </c>
      <c r="F292" s="734" t="inlineStr">
        <is>
          <t>BM1370BC</t>
        </is>
      </c>
      <c r="G292" s="673">
        <f>VLOOKUP(F292,编码对账表!C:D,2,0)</f>
        <v/>
      </c>
      <c r="H292" s="396" t="n">
        <v>92942</v>
      </c>
      <c r="I292" s="735" t="inlineStr">
        <is>
          <t>HKK202408210004</t>
        </is>
      </c>
      <c r="J292" s="736" t="inlineStr">
        <is>
          <t>泰国群光</t>
        </is>
      </c>
      <c r="K292" s="734" t="inlineStr">
        <is>
          <t>CHANHUA PTE. LTD.</t>
        </is>
      </c>
      <c r="L292" s="736" t="n">
        <v>8.552899999999999</v>
      </c>
      <c r="M292" s="403" t="inlineStr">
        <is>
          <t>140302409041012</t>
        </is>
      </c>
      <c r="N292" s="398" t="n"/>
    </row>
    <row r="293" customFormat="1" s="1">
      <c r="A293" s="1" t="n">
        <v>292</v>
      </c>
      <c r="B293" s="733" t="inlineStr">
        <is>
          <t>chanhua</t>
        </is>
      </c>
      <c r="C293" s="733" t="n">
        <v>45519</v>
      </c>
      <c r="D293" s="673" t="inlineStr">
        <is>
          <t>香港比特</t>
        </is>
      </c>
      <c r="E293" s="734" t="inlineStr">
        <is>
          <t>JSCC</t>
        </is>
      </c>
      <c r="F293" s="734" t="inlineStr">
        <is>
          <t>BM1370BC</t>
        </is>
      </c>
      <c r="G293" s="673">
        <f>VLOOKUP(F293,编码对账表!C:D,2,0)</f>
        <v/>
      </c>
      <c r="H293" s="396" t="n">
        <v>17889</v>
      </c>
      <c r="I293" s="735" t="inlineStr">
        <is>
          <t>HKK202408210004</t>
        </is>
      </c>
      <c r="J293" s="736" t="inlineStr">
        <is>
          <t>泰国群光</t>
        </is>
      </c>
      <c r="K293" s="734" t="inlineStr">
        <is>
          <t>CHANHUA PTE. LTD.</t>
        </is>
      </c>
      <c r="L293" s="736" t="n">
        <v>8.552899999999999</v>
      </c>
      <c r="M293" s="403" t="inlineStr">
        <is>
          <t>140302409041012</t>
        </is>
      </c>
      <c r="N293" s="398" t="n"/>
    </row>
    <row r="294" customFormat="1" s="1">
      <c r="A294" s="1" t="n">
        <v>293</v>
      </c>
      <c r="B294" s="733" t="inlineStr">
        <is>
          <t>chanhua</t>
        </is>
      </c>
      <c r="C294" s="733" t="n">
        <v>45523</v>
      </c>
      <c r="D294" s="673" t="inlineStr">
        <is>
          <t>香港比特</t>
        </is>
      </c>
      <c r="E294" s="734" t="inlineStr">
        <is>
          <t>ASE-KH</t>
        </is>
      </c>
      <c r="F294" s="734" t="inlineStr">
        <is>
          <t>BM1370PA</t>
        </is>
      </c>
      <c r="G294" s="673">
        <f>VLOOKUP(F294,编码对账表!C:D,2,0)</f>
        <v/>
      </c>
      <c r="H294" s="396" t="n">
        <v>597850</v>
      </c>
      <c r="I294" s="735" t="inlineStr">
        <is>
          <t>HKK202408210005</t>
        </is>
      </c>
      <c r="J294" s="736" t="inlineStr">
        <is>
          <t>泰国群光</t>
        </is>
      </c>
      <c r="K294" s="734" t="inlineStr">
        <is>
          <t>CHANHUA PTE. LTD.</t>
        </is>
      </c>
      <c r="L294" s="736" t="n">
        <v>8.552899999999999</v>
      </c>
      <c r="M294" s="403" t="inlineStr">
        <is>
          <t>140302409041013</t>
        </is>
      </c>
      <c r="N294" s="398" t="n"/>
    </row>
    <row r="295" customFormat="1" s="1">
      <c r="A295" s="1" t="n">
        <v>294</v>
      </c>
      <c r="B295" s="733" t="inlineStr">
        <is>
          <t>chanhua</t>
        </is>
      </c>
      <c r="C295" s="733" t="n">
        <v>45519</v>
      </c>
      <c r="D295" s="673" t="inlineStr">
        <is>
          <t>新加坡比特</t>
        </is>
      </c>
      <c r="E295" s="734" t="inlineStr">
        <is>
          <t>JSCC</t>
        </is>
      </c>
      <c r="F295" s="734" t="inlineStr">
        <is>
          <t>BM1370PA</t>
        </is>
      </c>
      <c r="G295" s="673">
        <f>VLOOKUP(F295,编码对账表!C:D,2,0)</f>
        <v/>
      </c>
      <c r="H295" s="396" t="n">
        <v>556221</v>
      </c>
      <c r="I295" s="599" t="inlineStr">
        <is>
          <t>202408210008</t>
        </is>
      </c>
      <c r="J295" s="736" t="inlineStr">
        <is>
          <t>泰国ONETEC</t>
        </is>
      </c>
      <c r="K295" s="734" t="inlineStr">
        <is>
          <t>CHANHUA PTE. LTD.</t>
        </is>
      </c>
      <c r="L295" s="736" t="n">
        <v>8.552899999999999</v>
      </c>
      <c r="M295" s="403" t="inlineStr">
        <is>
          <t>140302409041018</t>
        </is>
      </c>
      <c r="N295" s="398" t="n"/>
    </row>
    <row r="296" customFormat="1" s="1">
      <c r="A296" s="1" t="n">
        <v>295</v>
      </c>
      <c r="B296" s="733" t="inlineStr">
        <is>
          <t>chanhua</t>
        </is>
      </c>
      <c r="C296" s="733" t="n">
        <v>45522</v>
      </c>
      <c r="D296" s="673" t="inlineStr">
        <is>
          <t>新加坡比特</t>
        </is>
      </c>
      <c r="E296" s="734" t="inlineStr">
        <is>
          <t>SPILSZ</t>
        </is>
      </c>
      <c r="F296" s="734" t="inlineStr">
        <is>
          <t>BM1370PA</t>
        </is>
      </c>
      <c r="G296" s="673">
        <f>VLOOKUP(F296,编码对账表!C:D,2,0)</f>
        <v/>
      </c>
      <c r="H296" s="396" t="n">
        <v>205200</v>
      </c>
      <c r="I296" s="599" t="inlineStr">
        <is>
          <t>202408210009</t>
        </is>
      </c>
      <c r="J296" s="736" t="inlineStr">
        <is>
          <t>泰国ONETEC</t>
        </is>
      </c>
      <c r="K296" s="734" t="inlineStr">
        <is>
          <t>CHANHUA PTE. LTD.</t>
        </is>
      </c>
      <c r="L296" s="736" t="n">
        <v>8.552899999999999</v>
      </c>
      <c r="M296" s="403" t="inlineStr">
        <is>
          <t>140302409041019</t>
        </is>
      </c>
      <c r="N296" s="398" t="n"/>
    </row>
    <row r="297" customFormat="1" s="1">
      <c r="A297" s="1" t="n">
        <v>296</v>
      </c>
      <c r="B297" s="733" t="inlineStr">
        <is>
          <t>chanhua</t>
        </is>
      </c>
      <c r="C297" s="733" t="n">
        <v>45525</v>
      </c>
      <c r="D297" s="673" t="inlineStr">
        <is>
          <t>香港比特</t>
        </is>
      </c>
      <c r="E297" s="734" t="inlineStr">
        <is>
          <t>XJ</t>
        </is>
      </c>
      <c r="F297" s="734" t="inlineStr">
        <is>
          <t>BM1368PB</t>
        </is>
      </c>
      <c r="G297" s="673">
        <f>VLOOKUP(F297,编码对账表!C:D,2,0)</f>
        <v/>
      </c>
      <c r="H297" s="396" t="n">
        <v>4128</v>
      </c>
      <c r="I297" s="735" t="inlineStr">
        <is>
          <t>HKK202408260002</t>
        </is>
      </c>
      <c r="J297" s="736" t="inlineStr">
        <is>
          <t>印尼奥海</t>
        </is>
      </c>
      <c r="K297" s="734" t="inlineStr">
        <is>
          <t>CHANHUA PTE. LTD.</t>
        </is>
      </c>
      <c r="L297" s="736" t="n">
        <v>4.3874</v>
      </c>
      <c r="M297" s="412" t="inlineStr">
        <is>
          <t>140302409041014</t>
        </is>
      </c>
      <c r="N297" s="398" t="n"/>
    </row>
    <row r="298" customFormat="1" s="1">
      <c r="A298" s="1" t="n">
        <v>297</v>
      </c>
      <c r="B298" s="733" t="inlineStr">
        <is>
          <t>chanhua</t>
        </is>
      </c>
      <c r="C298" s="733" t="n">
        <v>45527</v>
      </c>
      <c r="D298" s="673" t="inlineStr">
        <is>
          <t>香港比特</t>
        </is>
      </c>
      <c r="E298" s="734" t="inlineStr">
        <is>
          <t>XJ</t>
        </is>
      </c>
      <c r="F298" s="734" t="inlineStr">
        <is>
          <t>BM1368PM</t>
        </is>
      </c>
      <c r="G298" s="673">
        <f>VLOOKUP(F298,编码对账表!C:D,2,0)</f>
        <v/>
      </c>
      <c r="H298" s="396" t="n">
        <v>1070311</v>
      </c>
      <c r="I298" s="735" t="inlineStr">
        <is>
          <t>HKK202408260002</t>
        </is>
      </c>
      <c r="J298" s="736" t="inlineStr">
        <is>
          <t>印尼奥海</t>
        </is>
      </c>
      <c r="K298" s="734" t="inlineStr">
        <is>
          <t>CHANHUA PTE. LTD.</t>
        </is>
      </c>
      <c r="L298" s="736" t="n">
        <v>4.3874</v>
      </c>
      <c r="M298" s="412" t="inlineStr">
        <is>
          <t>140302409041014</t>
        </is>
      </c>
      <c r="N298" s="398" t="n"/>
    </row>
    <row r="299" customFormat="1" s="1">
      <c r="A299" s="1" t="n">
        <v>298</v>
      </c>
      <c r="B299" s="733" t="inlineStr">
        <is>
          <t>chanhua</t>
        </is>
      </c>
      <c r="C299" s="733" t="n">
        <v>45527</v>
      </c>
      <c r="D299" s="673" t="inlineStr">
        <is>
          <t>香港比特</t>
        </is>
      </c>
      <c r="E299" s="734" t="inlineStr">
        <is>
          <t>JSCC</t>
        </is>
      </c>
      <c r="F299" s="734" t="inlineStr">
        <is>
          <t>BM1370PA</t>
        </is>
      </c>
      <c r="G299" s="673">
        <f>VLOOKUP(F299,编码对账表!C:D,2,0)</f>
        <v/>
      </c>
      <c r="H299" s="396" t="n">
        <v>725423</v>
      </c>
      <c r="I299" s="735" t="inlineStr">
        <is>
          <t>HKK202408260002</t>
        </is>
      </c>
      <c r="J299" s="736" t="inlineStr">
        <is>
          <t>印尼奥海</t>
        </is>
      </c>
      <c r="K299" s="734" t="inlineStr">
        <is>
          <t>CHANHUA PTE. LTD.</t>
        </is>
      </c>
      <c r="L299" s="736" t="n">
        <v>8.552899999999999</v>
      </c>
      <c r="M299" s="412" t="inlineStr">
        <is>
          <t>140302409041014</t>
        </is>
      </c>
      <c r="N299" s="398" t="n"/>
    </row>
    <row r="300" customFormat="1" s="1">
      <c r="A300" s="1" t="n">
        <v>299</v>
      </c>
      <c r="B300" s="733" t="inlineStr">
        <is>
          <t>chanhua</t>
        </is>
      </c>
      <c r="C300" s="733" t="n">
        <v>45526</v>
      </c>
      <c r="D300" s="673" t="inlineStr">
        <is>
          <t>香港比特</t>
        </is>
      </c>
      <c r="E300" s="734" t="inlineStr">
        <is>
          <t>SPILSZ</t>
        </is>
      </c>
      <c r="F300" s="734" t="inlineStr">
        <is>
          <t>BM1370AA</t>
        </is>
      </c>
      <c r="G300" s="673">
        <f>VLOOKUP(F300,编码对账表!C:D,2,0)</f>
        <v/>
      </c>
      <c r="H300" s="396" t="n">
        <v>5430</v>
      </c>
      <c r="I300" s="735" t="inlineStr">
        <is>
          <t>HKK202408260003</t>
        </is>
      </c>
      <c r="J300" s="736" t="inlineStr">
        <is>
          <t>泰国群光</t>
        </is>
      </c>
      <c r="K300" s="734" t="inlineStr">
        <is>
          <t>CHANHUA PTE. LTD.</t>
        </is>
      </c>
      <c r="L300" s="736" t="n">
        <v>8.552899999999999</v>
      </c>
      <c r="M300" s="403" t="inlineStr">
        <is>
          <t>140302409041015</t>
        </is>
      </c>
      <c r="N300" s="398" t="n"/>
    </row>
    <row r="301" customFormat="1" s="1">
      <c r="A301" s="1" t="n">
        <v>300</v>
      </c>
      <c r="B301" s="733" t="inlineStr">
        <is>
          <t>chanhua</t>
        </is>
      </c>
      <c r="C301" s="733" t="n">
        <v>45530</v>
      </c>
      <c r="D301" s="673" t="inlineStr">
        <is>
          <t>香港比特</t>
        </is>
      </c>
      <c r="E301" s="734" t="inlineStr">
        <is>
          <t>ASE-KH</t>
        </is>
      </c>
      <c r="F301" s="734" t="inlineStr">
        <is>
          <t>BM1370PA</t>
        </is>
      </c>
      <c r="G301" s="673">
        <f>VLOOKUP(F301,编码对账表!C:D,2,0)</f>
        <v/>
      </c>
      <c r="H301" s="396" t="n">
        <v>1133980</v>
      </c>
      <c r="I301" s="735" t="inlineStr">
        <is>
          <t>HKK202408260003</t>
        </is>
      </c>
      <c r="J301" s="736" t="inlineStr">
        <is>
          <t>泰国群光</t>
        </is>
      </c>
      <c r="K301" s="734" t="inlineStr">
        <is>
          <t>CHANHUA PTE. LTD.</t>
        </is>
      </c>
      <c r="L301" s="736" t="n">
        <v>8.552899999999999</v>
      </c>
      <c r="M301" s="403" t="inlineStr">
        <is>
          <t>140302409041015</t>
        </is>
      </c>
      <c r="N301" s="398" t="n"/>
    </row>
    <row r="302" customFormat="1" s="1">
      <c r="A302" s="1" t="n">
        <v>301</v>
      </c>
      <c r="B302" s="733" t="inlineStr">
        <is>
          <t>chanhua</t>
        </is>
      </c>
      <c r="C302" s="733" t="n">
        <v>45526</v>
      </c>
      <c r="D302" s="673" t="inlineStr">
        <is>
          <t>香港比特</t>
        </is>
      </c>
      <c r="E302" s="734" t="inlineStr">
        <is>
          <t>ASECL</t>
        </is>
      </c>
      <c r="F302" s="734" t="inlineStr">
        <is>
          <t>BM1370PA</t>
        </is>
      </c>
      <c r="G302" s="673">
        <f>VLOOKUP(F302,编码对账表!C:D,2,0)</f>
        <v/>
      </c>
      <c r="H302" s="396" t="n">
        <v>292600</v>
      </c>
      <c r="I302" s="735" t="inlineStr">
        <is>
          <t>HKK202408260003</t>
        </is>
      </c>
      <c r="J302" s="736" t="inlineStr">
        <is>
          <t>泰国群光</t>
        </is>
      </c>
      <c r="K302" s="734" t="inlineStr">
        <is>
          <t>CHANHUA PTE. LTD.</t>
        </is>
      </c>
      <c r="L302" s="736" t="n">
        <v>8.552899999999999</v>
      </c>
      <c r="M302" s="403" t="inlineStr">
        <is>
          <t>140302409041015</t>
        </is>
      </c>
      <c r="N302" s="398" t="n"/>
    </row>
    <row r="303" customFormat="1" s="1">
      <c r="A303" s="1" t="n">
        <v>302</v>
      </c>
      <c r="B303" s="733" t="inlineStr">
        <is>
          <t>chanhua</t>
        </is>
      </c>
      <c r="C303" s="733" t="n">
        <v>45527</v>
      </c>
      <c r="D303" s="673" t="inlineStr">
        <is>
          <t>香港比特</t>
        </is>
      </c>
      <c r="E303" s="734" t="inlineStr">
        <is>
          <t>JSCC</t>
        </is>
      </c>
      <c r="F303" s="734" t="inlineStr">
        <is>
          <t>BM1370PA</t>
        </is>
      </c>
      <c r="G303" s="673">
        <f>VLOOKUP(F303,编码对账表!C:D,2,0)</f>
        <v/>
      </c>
      <c r="H303" s="396" t="n">
        <v>369048</v>
      </c>
      <c r="I303" s="735" t="inlineStr">
        <is>
          <t>HKK202408260003</t>
        </is>
      </c>
      <c r="J303" s="736" t="inlineStr">
        <is>
          <t>泰国群光</t>
        </is>
      </c>
      <c r="K303" s="734" t="inlineStr">
        <is>
          <t>CHANHUA PTE. LTD.</t>
        </is>
      </c>
      <c r="L303" s="736" t="n">
        <v>8.552899999999999</v>
      </c>
      <c r="M303" s="403" t="inlineStr">
        <is>
          <t>140302409041015</t>
        </is>
      </c>
      <c r="N303" s="398" t="n"/>
    </row>
    <row r="304" customFormat="1" s="1">
      <c r="A304" s="1" t="n">
        <v>303</v>
      </c>
      <c r="B304" s="733" t="inlineStr">
        <is>
          <t>chanhua</t>
        </is>
      </c>
      <c r="C304" s="733" t="n">
        <v>45526</v>
      </c>
      <c r="D304" s="673" t="inlineStr">
        <is>
          <t>香港比特</t>
        </is>
      </c>
      <c r="E304" s="734" t="inlineStr">
        <is>
          <t>SPILSZ</t>
        </is>
      </c>
      <c r="F304" s="734" t="inlineStr">
        <is>
          <t>BM1370PA</t>
        </is>
      </c>
      <c r="G304" s="673">
        <f>VLOOKUP(F304,编码对账表!C:D,2,0)</f>
        <v/>
      </c>
      <c r="H304" s="396" t="n">
        <v>315400</v>
      </c>
      <c r="I304" s="735" t="inlineStr">
        <is>
          <t>HKK202408260003</t>
        </is>
      </c>
      <c r="J304" s="736" t="inlineStr">
        <is>
          <t>泰国群光</t>
        </is>
      </c>
      <c r="K304" s="734" t="inlineStr">
        <is>
          <t>CHANHUA PTE. LTD.</t>
        </is>
      </c>
      <c r="L304" s="736" t="n">
        <v>8.552899999999999</v>
      </c>
      <c r="M304" s="403" t="inlineStr">
        <is>
          <t>140302409041015</t>
        </is>
      </c>
      <c r="N304" s="398" t="n"/>
    </row>
    <row r="305" customFormat="1" s="1">
      <c r="A305" s="1" t="n">
        <v>304</v>
      </c>
      <c r="B305" s="733" t="inlineStr">
        <is>
          <t>chanhua</t>
        </is>
      </c>
      <c r="C305" s="733" t="n">
        <v>45527</v>
      </c>
      <c r="D305" s="673" t="inlineStr">
        <is>
          <t>新加坡比特</t>
        </is>
      </c>
      <c r="E305" s="734" t="inlineStr">
        <is>
          <t>ASE-KH</t>
        </is>
      </c>
      <c r="F305" s="734" t="inlineStr">
        <is>
          <t>BM1370PA</t>
        </is>
      </c>
      <c r="G305" s="673">
        <f>VLOOKUP(F305,编码对账表!C:D,2,0)</f>
        <v/>
      </c>
      <c r="H305" s="396" t="n">
        <v>450500</v>
      </c>
      <c r="I305" s="85" t="inlineStr">
        <is>
          <t>202408260004</t>
        </is>
      </c>
      <c r="J305" s="736" t="inlineStr">
        <is>
          <t>泰国ONETEC</t>
        </is>
      </c>
      <c r="K305" s="734" t="inlineStr">
        <is>
          <t>CHANHUA PTE. LTD.</t>
        </is>
      </c>
      <c r="L305" s="736" t="n">
        <v>8.552899999999999</v>
      </c>
      <c r="M305" s="403" t="inlineStr">
        <is>
          <t>140302409041020</t>
        </is>
      </c>
      <c r="N305" s="398" t="n"/>
    </row>
    <row r="306" customFormat="1" s="1">
      <c r="A306" s="1" t="n">
        <v>305</v>
      </c>
      <c r="B306" s="733" t="inlineStr">
        <is>
          <t>chanhua</t>
        </is>
      </c>
      <c r="C306" s="733" t="n">
        <v>45527</v>
      </c>
      <c r="D306" s="673" t="inlineStr">
        <is>
          <t>新加坡比特</t>
        </is>
      </c>
      <c r="E306" s="734" t="inlineStr">
        <is>
          <t>ASECL</t>
        </is>
      </c>
      <c r="F306" s="734" t="inlineStr">
        <is>
          <t>BM1370PA</t>
        </is>
      </c>
      <c r="G306" s="673">
        <f>VLOOKUP(F306,编码对账表!C:D,2,0)</f>
        <v/>
      </c>
      <c r="H306" s="396" t="n">
        <v>872824</v>
      </c>
      <c r="I306" s="85" t="inlineStr">
        <is>
          <t>202408260004</t>
        </is>
      </c>
      <c r="J306" s="736" t="inlineStr">
        <is>
          <t>泰国ONETEC</t>
        </is>
      </c>
      <c r="K306" s="734" t="inlineStr">
        <is>
          <t>CHANHUA PTE. LTD.</t>
        </is>
      </c>
      <c r="L306" s="736" t="n">
        <v>8.552899999999999</v>
      </c>
      <c r="M306" s="403" t="inlineStr">
        <is>
          <t>140302409041020</t>
        </is>
      </c>
      <c r="N306" s="398" t="n"/>
    </row>
    <row r="307" customFormat="1" s="1">
      <c r="A307" s="1" t="n">
        <v>306</v>
      </c>
      <c r="B307" s="733" t="inlineStr">
        <is>
          <t>chanhua</t>
        </is>
      </c>
      <c r="C307" s="733" t="n">
        <v>45527</v>
      </c>
      <c r="D307" s="673" t="inlineStr">
        <is>
          <t>新加坡比特</t>
        </is>
      </c>
      <c r="E307" s="734" t="inlineStr">
        <is>
          <t>JSCC</t>
        </is>
      </c>
      <c r="F307" s="734" t="inlineStr">
        <is>
          <t>BM1370PA</t>
        </is>
      </c>
      <c r="G307" s="673">
        <f>VLOOKUP(F307,编码对账表!C:D,2,0)</f>
        <v/>
      </c>
      <c r="H307" s="396" t="n">
        <v>236793</v>
      </c>
      <c r="I307" s="85" t="inlineStr">
        <is>
          <t>202408260004</t>
        </is>
      </c>
      <c r="J307" s="736" t="inlineStr">
        <is>
          <t>泰国ONETEC</t>
        </is>
      </c>
      <c r="K307" s="734" t="inlineStr">
        <is>
          <t>CHANHUA PTE. LTD.</t>
        </is>
      </c>
      <c r="L307" s="736" t="n">
        <v>8.552899999999999</v>
      </c>
      <c r="M307" s="403" t="inlineStr">
        <is>
          <t>140302409041020</t>
        </is>
      </c>
      <c r="N307" s="398" t="n"/>
    </row>
    <row r="308" customFormat="1" s="1">
      <c r="A308" s="1" t="n">
        <v>307</v>
      </c>
      <c r="B308" s="733" t="inlineStr">
        <is>
          <t>chanhua</t>
        </is>
      </c>
      <c r="C308" s="733" t="n">
        <v>45527</v>
      </c>
      <c r="D308" s="673" t="inlineStr">
        <is>
          <t>新加坡比特</t>
        </is>
      </c>
      <c r="E308" s="734" t="inlineStr">
        <is>
          <t>SPILSZ</t>
        </is>
      </c>
      <c r="F308" s="734" t="inlineStr">
        <is>
          <t>BM1370PA</t>
        </is>
      </c>
      <c r="G308" s="673">
        <f>VLOOKUP(F308,编码对账表!C:D,2,0)</f>
        <v/>
      </c>
      <c r="H308" s="396" t="n">
        <v>311600</v>
      </c>
      <c r="I308" s="85" t="inlineStr">
        <is>
          <t>202408260004</t>
        </is>
      </c>
      <c r="J308" s="736" t="inlineStr">
        <is>
          <t>泰国ONETEC</t>
        </is>
      </c>
      <c r="K308" s="734" t="inlineStr">
        <is>
          <t>CHANHUA PTE. LTD.</t>
        </is>
      </c>
      <c r="L308" s="736" t="n">
        <v>8.552899999999999</v>
      </c>
      <c r="M308" s="403" t="inlineStr">
        <is>
          <t>140302409041020</t>
        </is>
      </c>
      <c r="N308" s="398" t="n"/>
    </row>
    <row r="309" customFormat="1" s="1">
      <c r="A309" s="1" t="n">
        <v>308</v>
      </c>
      <c r="B309" s="733" t="inlineStr">
        <is>
          <t>chanhua</t>
        </is>
      </c>
      <c r="C309" s="733" t="n">
        <v>45529</v>
      </c>
      <c r="D309" s="673" t="inlineStr">
        <is>
          <t>新加坡比特</t>
        </is>
      </c>
      <c r="E309" s="734" t="inlineStr">
        <is>
          <t>SPILSZ</t>
        </is>
      </c>
      <c r="F309" s="734" t="inlineStr">
        <is>
          <t>BM1370BC</t>
        </is>
      </c>
      <c r="G309" s="673">
        <f>VLOOKUP(F309,编码对账表!C:D,2,0)</f>
        <v/>
      </c>
      <c r="H309" s="396" t="n">
        <v>596600</v>
      </c>
      <c r="I309" s="599" t="inlineStr">
        <is>
          <t>202409020003</t>
        </is>
      </c>
      <c r="J309" s="736" t="inlineStr">
        <is>
          <t>泰国ONETEC</t>
        </is>
      </c>
      <c r="K309" s="734" t="inlineStr">
        <is>
          <t>CHANHUA PTE. LTD.</t>
        </is>
      </c>
      <c r="L309" s="736" t="n">
        <v>8.552899999999999</v>
      </c>
      <c r="M309" s="403" t="inlineStr">
        <is>
          <t>140302409041021</t>
        </is>
      </c>
      <c r="N309" s="398" t="n"/>
    </row>
    <row r="310" customFormat="1" s="1">
      <c r="A310" s="1" t="n">
        <v>309</v>
      </c>
      <c r="B310" s="733" t="inlineStr">
        <is>
          <t>chanhua</t>
        </is>
      </c>
      <c r="C310" s="733" t="n">
        <v>45533</v>
      </c>
      <c r="D310" s="673" t="inlineStr">
        <is>
          <t>新加坡比特</t>
        </is>
      </c>
      <c r="E310" s="734" t="inlineStr">
        <is>
          <t>ASE-KH</t>
        </is>
      </c>
      <c r="F310" s="734" t="inlineStr">
        <is>
          <t>BM1370PA</t>
        </is>
      </c>
      <c r="G310" s="673">
        <f>VLOOKUP(F310,编码对账表!C:D,2,0)</f>
        <v/>
      </c>
      <c r="H310" s="396" t="n">
        <v>104961</v>
      </c>
      <c r="I310" s="599" t="inlineStr">
        <is>
          <t>202409020003</t>
        </is>
      </c>
      <c r="J310" s="736" t="inlineStr">
        <is>
          <t>泰国ONETEC</t>
        </is>
      </c>
      <c r="K310" s="734" t="inlineStr">
        <is>
          <t>CHANHUA PTE. LTD.</t>
        </is>
      </c>
      <c r="L310" s="736" t="n">
        <v>8.552899999999999</v>
      </c>
      <c r="M310" s="403" t="inlineStr">
        <is>
          <t>140302409041021</t>
        </is>
      </c>
      <c r="N310" s="398" t="n"/>
    </row>
    <row r="311" customFormat="1" s="1">
      <c r="A311" s="1" t="n">
        <v>310</v>
      </c>
      <c r="B311" s="733" t="inlineStr">
        <is>
          <t>chanhua</t>
        </is>
      </c>
      <c r="C311" s="733" t="n">
        <v>45533</v>
      </c>
      <c r="D311" s="673" t="inlineStr">
        <is>
          <t>新加坡比特</t>
        </is>
      </c>
      <c r="E311" s="734" t="inlineStr">
        <is>
          <t>ASECL</t>
        </is>
      </c>
      <c r="F311" s="734" t="inlineStr">
        <is>
          <t>BM1370PA</t>
        </is>
      </c>
      <c r="G311" s="673">
        <f>VLOOKUP(F311,编码对账表!C:D,2,0)</f>
        <v/>
      </c>
      <c r="H311" s="396" t="n">
        <v>68400</v>
      </c>
      <c r="I311" s="599" t="inlineStr">
        <is>
          <t>202409020003</t>
        </is>
      </c>
      <c r="J311" s="736" t="inlineStr">
        <is>
          <t>泰国ONETEC</t>
        </is>
      </c>
      <c r="K311" s="734" t="inlineStr">
        <is>
          <t>CHANHUA PTE. LTD.</t>
        </is>
      </c>
      <c r="L311" s="736" t="n">
        <v>8.552899999999999</v>
      </c>
      <c r="M311" s="403" t="inlineStr">
        <is>
          <t>140302409041021</t>
        </is>
      </c>
      <c r="N311" s="398" t="n"/>
    </row>
    <row r="312" customFormat="1" s="1">
      <c r="A312" s="1" t="n">
        <v>311</v>
      </c>
      <c r="B312" s="733" t="inlineStr">
        <is>
          <t>chanhua</t>
        </is>
      </c>
      <c r="C312" s="733" t="n">
        <v>45533</v>
      </c>
      <c r="D312" s="673" t="inlineStr">
        <is>
          <t>新加坡比特</t>
        </is>
      </c>
      <c r="E312" s="734" t="inlineStr">
        <is>
          <t>SPILSZ</t>
        </is>
      </c>
      <c r="F312" s="734" t="inlineStr">
        <is>
          <t>BM1370PA</t>
        </is>
      </c>
      <c r="G312" s="673">
        <f>VLOOKUP(F312,编码对账表!C:D,2,0)</f>
        <v/>
      </c>
      <c r="H312" s="396" t="n">
        <v>608000</v>
      </c>
      <c r="I312" s="599" t="inlineStr">
        <is>
          <t>202409020003</t>
        </is>
      </c>
      <c r="J312" s="736" t="inlineStr">
        <is>
          <t>泰国ONETEC</t>
        </is>
      </c>
      <c r="K312" s="734" t="inlineStr">
        <is>
          <t>CHANHUA PTE. LTD.</t>
        </is>
      </c>
      <c r="L312" s="736" t="n">
        <v>8.552899999999999</v>
      </c>
      <c r="M312" s="403" t="inlineStr">
        <is>
          <t>140302409041021</t>
        </is>
      </c>
      <c r="N312" s="398" t="n"/>
    </row>
    <row r="313" customFormat="1" s="1">
      <c r="A313" s="1" t="n">
        <v>312</v>
      </c>
      <c r="B313" s="733" t="inlineStr">
        <is>
          <t>chanhua</t>
        </is>
      </c>
      <c r="C313" s="733" t="n">
        <v>45530</v>
      </c>
      <c r="D313" s="673" t="inlineStr">
        <is>
          <t>香港比特</t>
        </is>
      </c>
      <c r="E313" s="734" t="inlineStr">
        <is>
          <t>ASECL</t>
        </is>
      </c>
      <c r="F313" s="734" t="inlineStr">
        <is>
          <t>BM1370BC</t>
        </is>
      </c>
      <c r="G313" s="673">
        <f>VLOOKUP(F313,编码对账表!C:D,2,0)</f>
        <v/>
      </c>
      <c r="H313" s="396" t="n">
        <v>703000</v>
      </c>
      <c r="I313" s="735" t="inlineStr">
        <is>
          <t>HKK202409020005</t>
        </is>
      </c>
      <c r="J313" s="736" t="inlineStr">
        <is>
          <t>泰国群光</t>
        </is>
      </c>
      <c r="K313" s="734" t="inlineStr">
        <is>
          <t>CHANHUA PTE. LTD.</t>
        </is>
      </c>
      <c r="L313" s="736" t="n">
        <v>8.552899999999999</v>
      </c>
      <c r="M313" s="403" t="inlineStr">
        <is>
          <t>140302409041016</t>
        </is>
      </c>
      <c r="N313" s="398" t="n"/>
    </row>
    <row r="314" customFormat="1" s="1">
      <c r="A314" s="1" t="n">
        <v>313</v>
      </c>
      <c r="B314" s="733" t="inlineStr">
        <is>
          <t>chanhua</t>
        </is>
      </c>
      <c r="C314" s="733" t="n">
        <v>45533</v>
      </c>
      <c r="D314" s="673" t="inlineStr">
        <is>
          <t>香港比特</t>
        </is>
      </c>
      <c r="E314" s="734" t="inlineStr">
        <is>
          <t>ASECL</t>
        </is>
      </c>
      <c r="F314" s="734" t="inlineStr">
        <is>
          <t>BM1370PA</t>
        </is>
      </c>
      <c r="G314" s="673">
        <f>VLOOKUP(F314,编码对账表!C:D,2,0)</f>
        <v/>
      </c>
      <c r="H314" s="396" t="n">
        <v>577600</v>
      </c>
      <c r="I314" s="735" t="inlineStr">
        <is>
          <t>HKK202409020005</t>
        </is>
      </c>
      <c r="J314" s="736" t="inlineStr">
        <is>
          <t>泰国群光</t>
        </is>
      </c>
      <c r="K314" s="734" t="inlineStr">
        <is>
          <t>CHANHUA PTE. LTD.</t>
        </is>
      </c>
      <c r="L314" s="736" t="n">
        <v>8.552899999999999</v>
      </c>
      <c r="M314" s="403" t="inlineStr">
        <is>
          <t>140302409041016</t>
        </is>
      </c>
      <c r="N314" s="398" t="n"/>
    </row>
    <row r="315" customFormat="1" s="1">
      <c r="A315" s="1" t="n">
        <v>314</v>
      </c>
      <c r="B315" s="733" t="inlineStr">
        <is>
          <t>chanhua</t>
        </is>
      </c>
      <c r="C315" s="733" t="n">
        <v>45533</v>
      </c>
      <c r="D315" s="673" t="inlineStr">
        <is>
          <t>香港比特</t>
        </is>
      </c>
      <c r="E315" s="734" t="inlineStr">
        <is>
          <t>ASE-KH</t>
        </is>
      </c>
      <c r="F315" s="734" t="inlineStr">
        <is>
          <t>BM1370PA</t>
        </is>
      </c>
      <c r="G315" s="673">
        <f>VLOOKUP(F315,编码对账表!C:D,2,0)</f>
        <v/>
      </c>
      <c r="H315" s="396" t="n">
        <v>301424</v>
      </c>
      <c r="I315" s="735" t="inlineStr">
        <is>
          <t>HKK202409020006</t>
        </is>
      </c>
      <c r="J315" s="736" t="inlineStr">
        <is>
          <t>印尼奥海</t>
        </is>
      </c>
      <c r="K315" s="734" t="inlineStr">
        <is>
          <t>CHANHUA PTE. LTD.</t>
        </is>
      </c>
      <c r="L315" s="736" t="n">
        <v>8.552899999999999</v>
      </c>
      <c r="M315" s="403" t="inlineStr">
        <is>
          <t>140302409041017</t>
        </is>
      </c>
      <c r="N315" s="398" t="n"/>
    </row>
    <row r="316" customFormat="1" s="1">
      <c r="A316" s="1" t="n">
        <v>315</v>
      </c>
      <c r="B316" s="733" t="inlineStr">
        <is>
          <t>chanhua</t>
        </is>
      </c>
      <c r="C316" s="733" t="n">
        <v>45541</v>
      </c>
      <c r="D316" s="673" t="inlineStr">
        <is>
          <t>香港比特</t>
        </is>
      </c>
      <c r="E316" s="734" t="inlineStr">
        <is>
          <t>ASE-KH</t>
        </is>
      </c>
      <c r="F316" s="734" t="inlineStr">
        <is>
          <t>BM1370PA</t>
        </is>
      </c>
      <c r="G316" s="673">
        <f>VLOOKUP(F316,编码对账表!C:D,2,0)</f>
        <v/>
      </c>
      <c r="H316" s="396" t="n">
        <v>251025</v>
      </c>
      <c r="I316" s="735" t="inlineStr">
        <is>
          <t>HKK202409230006</t>
        </is>
      </c>
      <c r="J316" s="736" t="inlineStr">
        <is>
          <t>印尼奥海</t>
        </is>
      </c>
      <c r="K316" s="734" t="inlineStr">
        <is>
          <t>CHANHUA PTE. LTD.</t>
        </is>
      </c>
      <c r="L316" s="736" t="n">
        <v>8.552899999999999</v>
      </c>
      <c r="M316" s="403" t="inlineStr">
        <is>
          <t>140302409200002</t>
        </is>
      </c>
      <c r="N316" s="398" t="inlineStr">
        <is>
          <t>1403-1005</t>
        </is>
      </c>
    </row>
    <row r="317" customFormat="1" s="1">
      <c r="A317" s="1" t="n">
        <v>316</v>
      </c>
      <c r="B317" s="733" t="inlineStr">
        <is>
          <t>chanhua</t>
        </is>
      </c>
      <c r="C317" s="733" t="n">
        <v>45541</v>
      </c>
      <c r="D317" s="673" t="inlineStr">
        <is>
          <t>香港比特</t>
        </is>
      </c>
      <c r="E317" s="734" t="inlineStr">
        <is>
          <t>SPILSZ</t>
        </is>
      </c>
      <c r="F317" s="734" t="inlineStr">
        <is>
          <t>BM1370BC</t>
        </is>
      </c>
      <c r="G317" s="673">
        <f>VLOOKUP(F317,编码对账表!C:D,2,0)</f>
        <v/>
      </c>
      <c r="H317" s="396" t="n">
        <v>35997</v>
      </c>
      <c r="I317" s="748" t="inlineStr">
        <is>
          <t>HKK202409230007</t>
        </is>
      </c>
      <c r="J317" s="736" t="inlineStr">
        <is>
          <t>泰国群光</t>
        </is>
      </c>
      <c r="K317" s="734" t="inlineStr">
        <is>
          <t>CHANHUA PTE. LTD.</t>
        </is>
      </c>
      <c r="L317" s="736" t="n">
        <v>8.552899999999999</v>
      </c>
      <c r="M317" s="403" t="inlineStr">
        <is>
          <t>140302409200003</t>
        </is>
      </c>
      <c r="N317" s="398" t="n"/>
    </row>
    <row r="318" customFormat="1" s="1">
      <c r="A318" s="1" t="n">
        <v>317</v>
      </c>
      <c r="B318" s="733" t="inlineStr">
        <is>
          <t>chanhua</t>
        </is>
      </c>
      <c r="C318" s="733" t="n">
        <v>45541</v>
      </c>
      <c r="D318" s="673" t="inlineStr">
        <is>
          <t>香港比特</t>
        </is>
      </c>
      <c r="E318" s="734" t="inlineStr">
        <is>
          <t>SPILSZ</t>
        </is>
      </c>
      <c r="F318" s="734" t="inlineStr">
        <is>
          <t>BM1370PA</t>
        </is>
      </c>
      <c r="G318" s="673">
        <f>VLOOKUP(F318,编码对账表!C:D,2,0)</f>
        <v/>
      </c>
      <c r="H318" s="396" t="n">
        <v>728197</v>
      </c>
      <c r="I318" s="748" t="inlineStr">
        <is>
          <t>HKK202409230007</t>
        </is>
      </c>
      <c r="J318" s="736" t="inlineStr">
        <is>
          <t>泰国群光</t>
        </is>
      </c>
      <c r="K318" s="734" t="inlineStr">
        <is>
          <t>CHANHUA PTE. LTD.</t>
        </is>
      </c>
      <c r="L318" s="736" t="n">
        <v>8.552899999999999</v>
      </c>
      <c r="M318" s="403" t="inlineStr">
        <is>
          <t>140302409200003</t>
        </is>
      </c>
      <c r="N318" s="398" t="n"/>
    </row>
    <row r="319" customFormat="1" s="1">
      <c r="A319" s="1" t="n">
        <v>318</v>
      </c>
      <c r="B319" s="733" t="inlineStr">
        <is>
          <t>chanhua</t>
        </is>
      </c>
      <c r="C319" s="733" t="n">
        <v>45545</v>
      </c>
      <c r="D319" s="673" t="inlineStr">
        <is>
          <t>新加坡比特</t>
        </is>
      </c>
      <c r="E319" s="734" t="inlineStr">
        <is>
          <t>JSCC</t>
        </is>
      </c>
      <c r="F319" s="734" t="inlineStr">
        <is>
          <t>BM1370PA</t>
        </is>
      </c>
      <c r="G319" s="673">
        <f>VLOOKUP(F319,编码对账表!C:D,2,0)</f>
        <v/>
      </c>
      <c r="H319" s="396" t="n">
        <v>518753</v>
      </c>
      <c r="I319" s="85" t="inlineStr">
        <is>
          <t>202409120004</t>
        </is>
      </c>
      <c r="J319" s="736" t="inlineStr">
        <is>
          <t>泰国ONETEC</t>
        </is>
      </c>
      <c r="K319" s="734" t="inlineStr">
        <is>
          <t>CHANHUA PTE. LTD.</t>
        </is>
      </c>
      <c r="L319" s="736" t="n">
        <v>8.552899999999999</v>
      </c>
      <c r="M319" s="410" t="inlineStr">
        <is>
          <t>140302409190010</t>
        </is>
      </c>
      <c r="N319" s="414" t="n"/>
    </row>
    <row r="320" customFormat="1" s="1">
      <c r="A320" s="1" t="n">
        <v>319</v>
      </c>
      <c r="B320" s="733" t="inlineStr">
        <is>
          <t>chanhua</t>
        </is>
      </c>
      <c r="C320" s="733" t="n">
        <v>45545</v>
      </c>
      <c r="D320" s="673" t="inlineStr">
        <is>
          <t>新加坡比特</t>
        </is>
      </c>
      <c r="E320" s="734" t="inlineStr">
        <is>
          <t>SPILSZ</t>
        </is>
      </c>
      <c r="F320" s="734" t="inlineStr">
        <is>
          <t>BM1370PA</t>
        </is>
      </c>
      <c r="G320" s="673">
        <f>VLOOKUP(F320,编码对账表!C:D,2,0)</f>
        <v/>
      </c>
      <c r="H320" s="396" t="n">
        <v>303615</v>
      </c>
      <c r="I320" s="85" t="inlineStr">
        <is>
          <t>202409120004</t>
        </is>
      </c>
      <c r="J320" s="736" t="inlineStr">
        <is>
          <t>泰国ONETEC</t>
        </is>
      </c>
      <c r="K320" s="734" t="inlineStr">
        <is>
          <t>CHANHUA PTE. LTD.</t>
        </is>
      </c>
      <c r="L320" s="736" t="n">
        <v>8.552899999999999</v>
      </c>
      <c r="M320" s="403" t="inlineStr">
        <is>
          <t>140302409190010</t>
        </is>
      </c>
      <c r="N320" s="398" t="inlineStr">
        <is>
          <t>1403-1155</t>
        </is>
      </c>
    </row>
    <row r="321" customFormat="1" s="1">
      <c r="A321" s="1" t="n">
        <v>320</v>
      </c>
      <c r="B321" s="733" t="inlineStr">
        <is>
          <t>chanhua</t>
        </is>
      </c>
      <c r="C321" s="733" t="n">
        <v>45541</v>
      </c>
      <c r="D321" s="673" t="inlineStr">
        <is>
          <t>新加坡比特</t>
        </is>
      </c>
      <c r="E321" s="734" t="inlineStr">
        <is>
          <t>JSCC</t>
        </is>
      </c>
      <c r="F321" s="734" t="inlineStr">
        <is>
          <t>BM1370PA</t>
        </is>
      </c>
      <c r="G321" s="673">
        <f>VLOOKUP(F321,编码对账表!C:D,2,0)</f>
        <v/>
      </c>
      <c r="H321" s="396" t="n">
        <v>404595</v>
      </c>
      <c r="I321" s="85" t="inlineStr">
        <is>
          <t>202409120005</t>
        </is>
      </c>
      <c r="J321" s="736" t="inlineStr">
        <is>
          <t>墨西哥欧陆通</t>
        </is>
      </c>
      <c r="K321" s="734" t="inlineStr">
        <is>
          <t>CHANHUA PTE. LTD.</t>
        </is>
      </c>
      <c r="L321" s="736" t="n">
        <v>8.552899999999999</v>
      </c>
      <c r="M321" s="403" t="inlineStr">
        <is>
          <t>140302409200001</t>
        </is>
      </c>
      <c r="N321" s="398" t="n"/>
    </row>
    <row r="322" customFormat="1" s="1">
      <c r="A322" s="1" t="n">
        <v>321</v>
      </c>
      <c r="B322" s="733" t="inlineStr">
        <is>
          <t>chanhua</t>
        </is>
      </c>
      <c r="C322" s="733" t="n">
        <v>45547</v>
      </c>
      <c r="D322" s="673" t="inlineStr">
        <is>
          <t>香港比特</t>
        </is>
      </c>
      <c r="E322" s="734" t="inlineStr">
        <is>
          <t>ASECL</t>
        </is>
      </c>
      <c r="F322" s="734" t="inlineStr">
        <is>
          <t>BM1370BC</t>
        </is>
      </c>
      <c r="G322" s="673">
        <f>VLOOKUP(F322,编码对账表!C:D,2,0)</f>
        <v/>
      </c>
      <c r="H322" s="396" t="n">
        <v>167200</v>
      </c>
      <c r="I322" s="735" t="inlineStr">
        <is>
          <t>HKK202409200003</t>
        </is>
      </c>
      <c r="J322" s="736" t="inlineStr">
        <is>
          <t>印尼奥海</t>
        </is>
      </c>
      <c r="K322" s="734" t="inlineStr">
        <is>
          <t>CHANHUA PTE. LTD.</t>
        </is>
      </c>
      <c r="L322" s="736" t="n">
        <v>8.552899999999999</v>
      </c>
      <c r="M322" s="403" t="inlineStr">
        <is>
          <t>140302409230010</t>
        </is>
      </c>
      <c r="N322" s="398" t="n"/>
    </row>
    <row r="323" customFormat="1" s="1">
      <c r="A323" s="1" t="n">
        <v>322</v>
      </c>
      <c r="B323" s="733" t="inlineStr">
        <is>
          <t>chanhua</t>
        </is>
      </c>
      <c r="C323" s="733" t="n">
        <v>45547</v>
      </c>
      <c r="D323" s="673" t="inlineStr">
        <is>
          <t>香港比特</t>
        </is>
      </c>
      <c r="E323" s="734" t="inlineStr">
        <is>
          <t>SPILSZ</t>
        </is>
      </c>
      <c r="F323" s="734" t="inlineStr">
        <is>
          <t>BM1370BC</t>
        </is>
      </c>
      <c r="G323" s="673">
        <f>VLOOKUP(F323,编码对账表!C:D,2,0)</f>
        <v/>
      </c>
      <c r="H323" s="396" t="n">
        <v>38000</v>
      </c>
      <c r="I323" s="735" t="inlineStr">
        <is>
          <t>HKK202409200003</t>
        </is>
      </c>
      <c r="J323" s="736" t="inlineStr">
        <is>
          <t>印尼奥海</t>
        </is>
      </c>
      <c r="K323" s="734" t="inlineStr">
        <is>
          <t>CHANHUA PTE. LTD.</t>
        </is>
      </c>
      <c r="L323" s="736" t="n">
        <v>8.552899999999999</v>
      </c>
      <c r="M323" s="403" t="inlineStr">
        <is>
          <t>140302409230010</t>
        </is>
      </c>
      <c r="N323" s="398" t="n"/>
    </row>
    <row r="324" customFormat="1" s="1">
      <c r="A324" s="1" t="n">
        <v>323</v>
      </c>
      <c r="B324" s="733" t="inlineStr">
        <is>
          <t>chanhua</t>
        </is>
      </c>
      <c r="C324" s="733" t="n">
        <v>45547</v>
      </c>
      <c r="D324" s="673" t="inlineStr">
        <is>
          <t>香港比特</t>
        </is>
      </c>
      <c r="E324" s="734" t="inlineStr">
        <is>
          <t>ASE-KH</t>
        </is>
      </c>
      <c r="F324" s="734" t="inlineStr">
        <is>
          <t>BM1370PA</t>
        </is>
      </c>
      <c r="G324" s="673">
        <f>VLOOKUP(F324,编码对账表!C:D,2,0)</f>
        <v/>
      </c>
      <c r="H324" s="396" t="n">
        <v>80273</v>
      </c>
      <c r="I324" s="735" t="inlineStr">
        <is>
          <t>HKK202409200003</t>
        </is>
      </c>
      <c r="J324" s="736" t="inlineStr">
        <is>
          <t>印尼奥海</t>
        </is>
      </c>
      <c r="K324" s="734" t="inlineStr">
        <is>
          <t>CHANHUA PTE. LTD.</t>
        </is>
      </c>
      <c r="L324" s="736" t="n">
        <v>8.552899999999999</v>
      </c>
      <c r="M324" s="403" t="inlineStr">
        <is>
          <t>140302409230010</t>
        </is>
      </c>
      <c r="N324" s="398" t="n"/>
    </row>
    <row r="325" customFormat="1" s="1">
      <c r="A325" s="1" t="n">
        <v>324</v>
      </c>
      <c r="B325" s="733" t="inlineStr">
        <is>
          <t>chanhua</t>
        </is>
      </c>
      <c r="C325" s="733" t="n">
        <v>45548</v>
      </c>
      <c r="D325" s="673" t="inlineStr">
        <is>
          <t>香港比特</t>
        </is>
      </c>
      <c r="E325" s="734" t="inlineStr">
        <is>
          <t>ASECL</t>
        </is>
      </c>
      <c r="F325" s="734" t="inlineStr">
        <is>
          <t>BM1370PA</t>
        </is>
      </c>
      <c r="G325" s="673">
        <f>VLOOKUP(F325,编码对账表!C:D,2,0)</f>
        <v/>
      </c>
      <c r="H325" s="396" t="n">
        <v>412649</v>
      </c>
      <c r="I325" s="735" t="inlineStr">
        <is>
          <t>HKK202409200003</t>
        </is>
      </c>
      <c r="J325" s="736" t="inlineStr">
        <is>
          <t>印尼奥海</t>
        </is>
      </c>
      <c r="K325" s="734" t="inlineStr">
        <is>
          <t>CHANHUA PTE. LTD.</t>
        </is>
      </c>
      <c r="L325" s="736" t="n">
        <v>8.552899999999999</v>
      </c>
      <c r="M325" s="403" t="inlineStr">
        <is>
          <t>140302409230010</t>
        </is>
      </c>
      <c r="N325" s="398" t="n"/>
    </row>
    <row r="326" customFormat="1" s="1">
      <c r="A326" s="1" t="n">
        <v>325</v>
      </c>
      <c r="B326" s="733" t="inlineStr">
        <is>
          <t>chanhua</t>
        </is>
      </c>
      <c r="C326" s="733" t="n">
        <v>45547</v>
      </c>
      <c r="D326" s="673" t="inlineStr">
        <is>
          <t>香港比特</t>
        </is>
      </c>
      <c r="E326" s="734" t="inlineStr">
        <is>
          <t>JSCC</t>
        </is>
      </c>
      <c r="F326" s="734" t="inlineStr">
        <is>
          <t>BM1370PA</t>
        </is>
      </c>
      <c r="G326" s="673">
        <f>VLOOKUP(F326,编码对账表!C:D,2,0)</f>
        <v/>
      </c>
      <c r="H326" s="396" t="n">
        <v>316364</v>
      </c>
      <c r="I326" s="735" t="inlineStr">
        <is>
          <t>HKK202409200003</t>
        </is>
      </c>
      <c r="J326" s="736" t="inlineStr">
        <is>
          <t>印尼奥海</t>
        </is>
      </c>
      <c r="K326" s="734" t="inlineStr">
        <is>
          <t>CHANHUA PTE. LTD.</t>
        </is>
      </c>
      <c r="L326" s="736" t="n">
        <v>8.552899999999999</v>
      </c>
      <c r="M326" s="403" t="inlineStr">
        <is>
          <t>140302409230010</t>
        </is>
      </c>
      <c r="N326" s="398" t="n"/>
    </row>
    <row r="327" customFormat="1" s="1">
      <c r="A327" s="1" t="n">
        <v>326</v>
      </c>
      <c r="B327" s="733" t="inlineStr">
        <is>
          <t>chanhua</t>
        </is>
      </c>
      <c r="C327" s="733" t="n">
        <v>45547</v>
      </c>
      <c r="D327" s="673" t="inlineStr">
        <is>
          <t>香港比特</t>
        </is>
      </c>
      <c r="E327" s="734" t="inlineStr">
        <is>
          <t>ASE-KH</t>
        </is>
      </c>
      <c r="F327" s="734" t="inlineStr">
        <is>
          <t>BM1370BC</t>
        </is>
      </c>
      <c r="G327" s="673">
        <f>VLOOKUP(F327,编码对账表!C:D,2,0)</f>
        <v/>
      </c>
      <c r="H327" s="396" t="n">
        <v>279970</v>
      </c>
      <c r="I327" s="735" t="inlineStr">
        <is>
          <t>HKK202409200004</t>
        </is>
      </c>
      <c r="J327" s="736" t="inlineStr">
        <is>
          <t>泰国群光</t>
        </is>
      </c>
      <c r="K327" s="734" t="inlineStr">
        <is>
          <t>CHANHUA PTE. LTD.</t>
        </is>
      </c>
      <c r="L327" s="736" t="n">
        <v>8.552899999999999</v>
      </c>
      <c r="M327" s="403" t="inlineStr">
        <is>
          <t>140302409230011</t>
        </is>
      </c>
      <c r="N327" s="398" t="n"/>
    </row>
    <row r="328" customFormat="1" s="1">
      <c r="A328" s="1" t="n">
        <v>327</v>
      </c>
      <c r="B328" s="733" t="inlineStr">
        <is>
          <t>chanhua</t>
        </is>
      </c>
      <c r="C328" s="733" t="n">
        <v>45548</v>
      </c>
      <c r="D328" s="673" t="inlineStr">
        <is>
          <t>香港比特</t>
        </is>
      </c>
      <c r="E328" s="734" t="inlineStr">
        <is>
          <t>JSCC</t>
        </is>
      </c>
      <c r="F328" s="734" t="inlineStr">
        <is>
          <t>BM1370BC</t>
        </is>
      </c>
      <c r="G328" s="673">
        <f>VLOOKUP(F328,编码对账表!C:D,2,0)</f>
        <v/>
      </c>
      <c r="H328" s="396" t="n">
        <v>603330</v>
      </c>
      <c r="I328" s="735" t="inlineStr">
        <is>
          <t>HKK202409200004</t>
        </is>
      </c>
      <c r="J328" s="736" t="inlineStr">
        <is>
          <t>泰国群光</t>
        </is>
      </c>
      <c r="K328" s="734" t="inlineStr">
        <is>
          <t>CHANHUA PTE. LTD.</t>
        </is>
      </c>
      <c r="L328" s="736" t="n">
        <v>8.552899999999999</v>
      </c>
      <c r="M328" s="403" t="inlineStr">
        <is>
          <t>140302409230011</t>
        </is>
      </c>
      <c r="N328" s="398" t="n"/>
    </row>
    <row r="329" customFormat="1" s="1">
      <c r="A329" s="1" t="n">
        <v>328</v>
      </c>
      <c r="B329" s="733" t="inlineStr">
        <is>
          <t>chanhua</t>
        </is>
      </c>
      <c r="C329" s="733" t="n">
        <v>45552</v>
      </c>
      <c r="D329" s="673" t="inlineStr">
        <is>
          <t>香港比特</t>
        </is>
      </c>
      <c r="E329" s="734" t="inlineStr">
        <is>
          <t>SPILSZ</t>
        </is>
      </c>
      <c r="F329" s="734" t="inlineStr">
        <is>
          <t>BM1370BC</t>
        </is>
      </c>
      <c r="G329" s="673">
        <f>VLOOKUP(F329,编码对账表!C:D,2,0)</f>
        <v/>
      </c>
      <c r="H329" s="396" t="n">
        <v>49400</v>
      </c>
      <c r="I329" s="735" t="inlineStr">
        <is>
          <t>HKK202409200004</t>
        </is>
      </c>
      <c r="J329" s="736" t="inlineStr">
        <is>
          <t>泰国群光</t>
        </is>
      </c>
      <c r="K329" s="734" t="inlineStr">
        <is>
          <t>CHANHUA PTE. LTD.</t>
        </is>
      </c>
      <c r="L329" s="736" t="n">
        <v>8.552899999999999</v>
      </c>
      <c r="M329" s="403" t="inlineStr">
        <is>
          <t>140302409230011</t>
        </is>
      </c>
      <c r="N329" s="398" t="n"/>
    </row>
    <row r="330" customFormat="1" s="1">
      <c r="A330" s="1" t="n">
        <v>329</v>
      </c>
      <c r="B330" s="733" t="inlineStr">
        <is>
          <t>chanhua</t>
        </is>
      </c>
      <c r="C330" s="733" t="n">
        <v>45547</v>
      </c>
      <c r="D330" s="673" t="inlineStr">
        <is>
          <t>香港比特</t>
        </is>
      </c>
      <c r="E330" s="734" t="inlineStr">
        <is>
          <t>ASE-KH</t>
        </is>
      </c>
      <c r="F330" s="734" t="inlineStr">
        <is>
          <t>BM1370PA</t>
        </is>
      </c>
      <c r="G330" s="673">
        <f>VLOOKUP(F330,编码对账表!C:D,2,0)</f>
        <v/>
      </c>
      <c r="H330" s="396" t="n">
        <v>418137</v>
      </c>
      <c r="I330" s="735" t="inlineStr">
        <is>
          <t>HKK202409200004</t>
        </is>
      </c>
      <c r="J330" s="736" t="inlineStr">
        <is>
          <t>泰国群光</t>
        </is>
      </c>
      <c r="K330" s="734" t="inlineStr">
        <is>
          <t>CHANHUA PTE. LTD.</t>
        </is>
      </c>
      <c r="L330" s="736" t="n">
        <v>8.552899999999999</v>
      </c>
      <c r="M330" s="403" t="inlineStr">
        <is>
          <t>140302409230011</t>
        </is>
      </c>
      <c r="N330" s="398" t="n"/>
    </row>
    <row r="331" customFormat="1" s="1">
      <c r="A331" s="1" t="n">
        <v>330</v>
      </c>
      <c r="B331" s="733" t="inlineStr">
        <is>
          <t>chanhua</t>
        </is>
      </c>
      <c r="C331" s="733" t="n">
        <v>45553</v>
      </c>
      <c r="D331" s="673" t="inlineStr">
        <is>
          <t>香港比特</t>
        </is>
      </c>
      <c r="E331" s="734" t="inlineStr">
        <is>
          <t>JSCC</t>
        </is>
      </c>
      <c r="F331" s="734" t="inlineStr">
        <is>
          <t>BM1370PA</t>
        </is>
      </c>
      <c r="G331" s="673">
        <f>VLOOKUP(F331,编码对账表!C:D,2,0)</f>
        <v/>
      </c>
      <c r="H331" s="396" t="n">
        <v>1235486</v>
      </c>
      <c r="I331" s="735" t="inlineStr">
        <is>
          <t>HKK202409200004</t>
        </is>
      </c>
      <c r="J331" s="736" t="inlineStr">
        <is>
          <t>泰国群光</t>
        </is>
      </c>
      <c r="K331" s="734" t="inlineStr">
        <is>
          <t>CHANHUA PTE. LTD.</t>
        </is>
      </c>
      <c r="L331" s="736" t="n">
        <v>8.552899999999999</v>
      </c>
      <c r="M331" s="403" t="inlineStr">
        <is>
          <t>140302409230011</t>
        </is>
      </c>
      <c r="N331" s="398" t="n"/>
    </row>
    <row r="332" customFormat="1" s="1">
      <c r="A332" s="1" t="n">
        <v>331</v>
      </c>
      <c r="B332" s="733" t="inlineStr">
        <is>
          <t>chanhua</t>
        </is>
      </c>
      <c r="C332" s="733" t="n">
        <v>45553</v>
      </c>
      <c r="D332" s="673" t="inlineStr">
        <is>
          <t>香港比特</t>
        </is>
      </c>
      <c r="E332" s="734" t="inlineStr">
        <is>
          <t>SPILSZ</t>
        </is>
      </c>
      <c r="F332" s="734" t="inlineStr">
        <is>
          <t>BM1370PA</t>
        </is>
      </c>
      <c r="G332" s="673">
        <f>VLOOKUP(F332,编码对账表!C:D,2,0)</f>
        <v/>
      </c>
      <c r="H332" s="396" t="n">
        <v>562400</v>
      </c>
      <c r="I332" s="735" t="inlineStr">
        <is>
          <t>HKK202409200004</t>
        </is>
      </c>
      <c r="J332" s="736" t="inlineStr">
        <is>
          <t>泰国群光</t>
        </is>
      </c>
      <c r="K332" s="734" t="inlineStr">
        <is>
          <t>CHANHUA PTE. LTD.</t>
        </is>
      </c>
      <c r="L332" s="736" t="n">
        <v>8.552899999999999</v>
      </c>
      <c r="M332" s="403" t="inlineStr">
        <is>
          <t>140302409230011</t>
        </is>
      </c>
      <c r="N332" s="398" t="n"/>
    </row>
    <row r="333" customFormat="1" s="1">
      <c r="A333" s="1" t="n">
        <v>332</v>
      </c>
      <c r="B333" s="733" t="inlineStr">
        <is>
          <t>chanhua</t>
        </is>
      </c>
      <c r="C333" s="733" t="n">
        <v>45547</v>
      </c>
      <c r="D333" s="673" t="inlineStr">
        <is>
          <t>新加坡比特</t>
        </is>
      </c>
      <c r="E333" s="734" t="inlineStr">
        <is>
          <t>SPILSZ</t>
        </is>
      </c>
      <c r="F333" s="734" t="inlineStr">
        <is>
          <t>BM1370BC</t>
        </is>
      </c>
      <c r="G333" s="673">
        <f>VLOOKUP(F333,编码对账表!C:D,2,0)</f>
        <v/>
      </c>
      <c r="H333" s="396" t="n">
        <v>239400</v>
      </c>
      <c r="I333" s="85" t="inlineStr">
        <is>
          <t>202409180001</t>
        </is>
      </c>
      <c r="J333" s="736" t="inlineStr">
        <is>
          <t>泰国ONETEC</t>
        </is>
      </c>
      <c r="K333" s="734" t="inlineStr">
        <is>
          <t>CHANHUA PTE. LTD.</t>
        </is>
      </c>
      <c r="L333" s="736" t="n">
        <v>8.552899999999999</v>
      </c>
      <c r="M333" s="403" t="inlineStr">
        <is>
          <t>140302409230012</t>
        </is>
      </c>
      <c r="N333" s="398" t="n"/>
    </row>
    <row r="334" customFormat="1" s="1">
      <c r="A334" s="1" t="n">
        <v>333</v>
      </c>
      <c r="B334" s="733" t="inlineStr">
        <is>
          <t>chanhua</t>
        </is>
      </c>
      <c r="C334" s="733" t="n">
        <v>45548</v>
      </c>
      <c r="D334" s="673" t="inlineStr">
        <is>
          <t>新加坡比特</t>
        </is>
      </c>
      <c r="E334" s="734" t="inlineStr">
        <is>
          <t>ASE-KH</t>
        </is>
      </c>
      <c r="F334" s="734" t="inlineStr">
        <is>
          <t>BM1370PA</t>
        </is>
      </c>
      <c r="G334" s="673">
        <f>VLOOKUP(F334,编码对账表!C:D,2,0)</f>
        <v/>
      </c>
      <c r="H334" s="396" t="n">
        <v>18014</v>
      </c>
      <c r="I334" s="85" t="inlineStr">
        <is>
          <t>202409180001</t>
        </is>
      </c>
      <c r="J334" s="736" t="inlineStr">
        <is>
          <t>泰国ONETEC</t>
        </is>
      </c>
      <c r="K334" s="734" t="inlineStr">
        <is>
          <t>CHANHUA PTE. LTD.</t>
        </is>
      </c>
      <c r="L334" s="736" t="n">
        <v>8.552899999999999</v>
      </c>
      <c r="M334" s="403" t="inlineStr">
        <is>
          <t>140302409230012</t>
        </is>
      </c>
      <c r="N334" s="398" t="n"/>
    </row>
    <row r="335" customFormat="1" s="1">
      <c r="A335" s="1" t="n">
        <v>334</v>
      </c>
      <c r="B335" s="733" t="inlineStr">
        <is>
          <t>chanhua</t>
        </is>
      </c>
      <c r="C335" s="733" t="n">
        <v>45548</v>
      </c>
      <c r="D335" s="673" t="inlineStr">
        <is>
          <t>新加坡比特</t>
        </is>
      </c>
      <c r="E335" s="734" t="inlineStr">
        <is>
          <t>ASECL</t>
        </is>
      </c>
      <c r="F335" s="734" t="inlineStr">
        <is>
          <t>BM1370PA</t>
        </is>
      </c>
      <c r="G335" s="673">
        <f>VLOOKUP(F335,编码对账表!C:D,2,0)</f>
        <v/>
      </c>
      <c r="H335" s="396" t="n">
        <v>9512</v>
      </c>
      <c r="I335" s="85" t="inlineStr">
        <is>
          <t>202409180001</t>
        </is>
      </c>
      <c r="J335" s="736" t="inlineStr">
        <is>
          <t>泰国ONETEC</t>
        </is>
      </c>
      <c r="K335" s="734" t="inlineStr">
        <is>
          <t>CHANHUA PTE. LTD.</t>
        </is>
      </c>
      <c r="L335" s="736" t="n">
        <v>8.552899999999999</v>
      </c>
      <c r="M335" s="403" t="inlineStr">
        <is>
          <t>140302409230012</t>
        </is>
      </c>
      <c r="N335" s="398" t="n"/>
    </row>
    <row r="336" customFormat="1" s="1">
      <c r="A336" s="1" t="n">
        <v>335</v>
      </c>
      <c r="B336" s="733" t="inlineStr">
        <is>
          <t>chanhua</t>
        </is>
      </c>
      <c r="C336" s="733" t="n">
        <v>45548</v>
      </c>
      <c r="D336" s="673" t="inlineStr">
        <is>
          <t>新加坡比特</t>
        </is>
      </c>
      <c r="E336" s="734" t="inlineStr">
        <is>
          <t>JSCC</t>
        </is>
      </c>
      <c r="F336" s="734" t="inlineStr">
        <is>
          <t>BM1370PA</t>
        </is>
      </c>
      <c r="G336" s="673">
        <f>VLOOKUP(F336,编码对账表!C:D,2,0)</f>
        <v/>
      </c>
      <c r="H336" s="396" t="n">
        <v>449226</v>
      </c>
      <c r="I336" s="85" t="inlineStr">
        <is>
          <t>202409180001</t>
        </is>
      </c>
      <c r="J336" s="736" t="inlineStr">
        <is>
          <t>泰国ONETEC</t>
        </is>
      </c>
      <c r="K336" s="734" t="inlineStr">
        <is>
          <t>CHANHUA PTE. LTD.</t>
        </is>
      </c>
      <c r="L336" s="736" t="n">
        <v>8.552899999999999</v>
      </c>
      <c r="M336" s="403" t="inlineStr">
        <is>
          <t>140302409230012</t>
        </is>
      </c>
      <c r="N336" s="398" t="n"/>
    </row>
    <row r="337" customFormat="1" s="1">
      <c r="A337" s="1" t="n">
        <v>336</v>
      </c>
      <c r="B337" s="733" t="inlineStr">
        <is>
          <t>chanhua</t>
        </is>
      </c>
      <c r="C337" s="733" t="n">
        <v>45548</v>
      </c>
      <c r="D337" s="673" t="inlineStr">
        <is>
          <t>新加坡比特</t>
        </is>
      </c>
      <c r="E337" s="734" t="inlineStr">
        <is>
          <t>SPILSZ</t>
        </is>
      </c>
      <c r="F337" s="734" t="inlineStr">
        <is>
          <t>BM1370PA</t>
        </is>
      </c>
      <c r="G337" s="673">
        <f>VLOOKUP(F337,编码对账表!C:D,2,0)</f>
        <v/>
      </c>
      <c r="H337" s="396" t="n">
        <v>763080</v>
      </c>
      <c r="I337" s="85" t="inlineStr">
        <is>
          <t>202409180001</t>
        </is>
      </c>
      <c r="J337" s="736" t="inlineStr">
        <is>
          <t>泰国ONETEC</t>
        </is>
      </c>
      <c r="K337" s="734" t="inlineStr">
        <is>
          <t>CHANHUA PTE. LTD.</t>
        </is>
      </c>
      <c r="L337" s="736" t="n">
        <v>8.552899999999999</v>
      </c>
      <c r="M337" s="403" t="inlineStr">
        <is>
          <t>140302409230012</t>
        </is>
      </c>
      <c r="N337" s="398" t="n"/>
    </row>
    <row r="338" customFormat="1" s="1">
      <c r="A338" s="1" t="n">
        <v>337</v>
      </c>
      <c r="B338" s="733" t="inlineStr">
        <is>
          <t>chanhua</t>
        </is>
      </c>
      <c r="C338" s="733" t="n">
        <v>45553</v>
      </c>
      <c r="D338" s="673" t="inlineStr">
        <is>
          <t>新加坡比特</t>
        </is>
      </c>
      <c r="E338" s="734" t="inlineStr">
        <is>
          <t>JSCC</t>
        </is>
      </c>
      <c r="F338" s="734" t="inlineStr">
        <is>
          <t>BM1370PA</t>
        </is>
      </c>
      <c r="G338" s="673">
        <f>VLOOKUP(F338,编码对账表!C:D,2,0)</f>
        <v/>
      </c>
      <c r="H338" s="396" t="n">
        <v>59916</v>
      </c>
      <c r="I338" s="85" t="inlineStr">
        <is>
          <t>202409200009</t>
        </is>
      </c>
      <c r="J338" s="736" t="inlineStr">
        <is>
          <t>泰国ONETEC</t>
        </is>
      </c>
      <c r="K338" s="734" t="inlineStr">
        <is>
          <t>CHANHUA PTE. LTD.</t>
        </is>
      </c>
      <c r="L338" s="736" t="n">
        <v>8.552899999999999</v>
      </c>
      <c r="M338" s="403" t="inlineStr">
        <is>
          <t>140302409230013</t>
        </is>
      </c>
      <c r="N338" s="398" t="n"/>
    </row>
    <row r="339" customFormat="1" s="1">
      <c r="A339" s="1" t="n">
        <v>338</v>
      </c>
      <c r="B339" s="733" t="inlineStr">
        <is>
          <t>chanhua</t>
        </is>
      </c>
      <c r="C339" s="733" t="n">
        <v>45553</v>
      </c>
      <c r="D339" s="673" t="inlineStr">
        <is>
          <t>新加坡比特</t>
        </is>
      </c>
      <c r="E339" s="734" t="inlineStr">
        <is>
          <t>SPILSZ</t>
        </is>
      </c>
      <c r="F339" s="734" t="inlineStr">
        <is>
          <t>BM1370PA</t>
        </is>
      </c>
      <c r="G339" s="673">
        <f>VLOOKUP(F339,编码对账表!C:D,2,0)</f>
        <v/>
      </c>
      <c r="H339" s="396" t="n">
        <v>136800</v>
      </c>
      <c r="I339" s="85" t="inlineStr">
        <is>
          <t>202409200009</t>
        </is>
      </c>
      <c r="J339" s="736" t="inlineStr">
        <is>
          <t>泰国ONETEC</t>
        </is>
      </c>
      <c r="K339" s="734" t="inlineStr">
        <is>
          <t>CHANHUA PTE. LTD.</t>
        </is>
      </c>
      <c r="L339" s="736" t="n">
        <v>8.552899999999999</v>
      </c>
      <c r="M339" s="403" t="inlineStr">
        <is>
          <t>140302409230013</t>
        </is>
      </c>
      <c r="N339" s="398" t="n"/>
    </row>
    <row r="340" customFormat="1" s="1">
      <c r="A340" s="1" t="n">
        <v>339</v>
      </c>
      <c r="B340" s="733" t="inlineStr">
        <is>
          <t>chanhua</t>
        </is>
      </c>
      <c r="C340" s="733" t="n">
        <v>45548</v>
      </c>
      <c r="D340" s="673" t="inlineStr">
        <is>
          <t>新加坡比特</t>
        </is>
      </c>
      <c r="E340" s="734" t="inlineStr">
        <is>
          <t>JSCC</t>
        </is>
      </c>
      <c r="F340" s="734" t="inlineStr">
        <is>
          <t>BM1370PA</t>
        </is>
      </c>
      <c r="G340" s="673">
        <f>VLOOKUP(F340,编码对账表!C:D,2,0)</f>
        <v/>
      </c>
      <c r="H340" s="396" t="n">
        <v>409872</v>
      </c>
      <c r="I340" s="85" t="inlineStr">
        <is>
          <t>202409200010</t>
        </is>
      </c>
      <c r="J340" s="736" t="inlineStr">
        <is>
          <t>墨西哥欧陆通</t>
        </is>
      </c>
      <c r="K340" s="734" t="inlineStr">
        <is>
          <t>CHANHUA PTE. LTD.</t>
        </is>
      </c>
      <c r="L340" s="736" t="n">
        <v>8.552899999999999</v>
      </c>
      <c r="M340" s="403" t="inlineStr">
        <is>
          <t>140302409230014</t>
        </is>
      </c>
      <c r="N340" s="398" t="n"/>
    </row>
    <row r="341" customFormat="1" s="1">
      <c r="A341" s="1" t="n">
        <v>340</v>
      </c>
      <c r="B341" s="733" t="inlineStr">
        <is>
          <t>chanhua</t>
        </is>
      </c>
      <c r="C341" s="733" t="n">
        <v>45555</v>
      </c>
      <c r="D341" s="673" t="inlineStr">
        <is>
          <t>香港比特</t>
        </is>
      </c>
      <c r="E341" s="734" t="inlineStr">
        <is>
          <t>ASE-KH</t>
        </is>
      </c>
      <c r="F341" s="734" t="inlineStr">
        <is>
          <t>BM1370PA</t>
        </is>
      </c>
      <c r="G341" s="673">
        <f>VLOOKUP(F341,编码对账表!C:D,2,0)</f>
        <v/>
      </c>
      <c r="H341" s="396" t="n">
        <v>31811</v>
      </c>
      <c r="I341" s="735" t="inlineStr">
        <is>
          <t>HKK202409260003</t>
        </is>
      </c>
      <c r="J341" s="736" t="inlineStr">
        <is>
          <t>印尼奥海</t>
        </is>
      </c>
      <c r="K341" s="734" t="inlineStr">
        <is>
          <t>CHANHUA PTE. LTD.</t>
        </is>
      </c>
      <c r="L341" s="736" t="n">
        <v>8.552899999999999</v>
      </c>
      <c r="M341" s="403" t="inlineStr">
        <is>
          <t>140302409260011</t>
        </is>
      </c>
      <c r="N341" s="398" t="n"/>
    </row>
    <row r="342" customFormat="1" s="1">
      <c r="A342" s="1" t="n">
        <v>341</v>
      </c>
      <c r="B342" s="733" t="inlineStr">
        <is>
          <t>chanhua</t>
        </is>
      </c>
      <c r="C342" s="733" t="n">
        <v>45555</v>
      </c>
      <c r="D342" s="673" t="inlineStr">
        <is>
          <t>香港比特</t>
        </is>
      </c>
      <c r="E342" s="734" t="inlineStr">
        <is>
          <t>JSCC</t>
        </is>
      </c>
      <c r="F342" s="734" t="inlineStr">
        <is>
          <t>BM1370PA</t>
        </is>
      </c>
      <c r="G342" s="673">
        <f>VLOOKUP(F342,编码对账表!C:D,2,0)</f>
        <v/>
      </c>
      <c r="H342" s="396" t="n">
        <v>124338</v>
      </c>
      <c r="I342" s="735" t="inlineStr">
        <is>
          <t>HKK202409260003</t>
        </is>
      </c>
      <c r="J342" s="736" t="inlineStr">
        <is>
          <t>印尼奥海</t>
        </is>
      </c>
      <c r="K342" s="734" t="inlineStr">
        <is>
          <t>CHANHUA PTE. LTD.</t>
        </is>
      </c>
      <c r="L342" s="736" t="n">
        <v>8.552899999999999</v>
      </c>
      <c r="M342" s="403" t="inlineStr">
        <is>
          <t>140302409260011</t>
        </is>
      </c>
      <c r="N342" s="398" t="n"/>
    </row>
    <row r="343" customFormat="1" s="1">
      <c r="A343" s="1" t="n">
        <v>342</v>
      </c>
      <c r="B343" s="733" t="inlineStr">
        <is>
          <t>chanhua</t>
        </is>
      </c>
      <c r="C343" s="733" t="n">
        <v>45556</v>
      </c>
      <c r="D343" s="673" t="inlineStr">
        <is>
          <t>香港比特</t>
        </is>
      </c>
      <c r="E343" s="734" t="inlineStr">
        <is>
          <t>SPILSZ</t>
        </is>
      </c>
      <c r="F343" s="734" t="inlineStr">
        <is>
          <t>BM1370PA</t>
        </is>
      </c>
      <c r="G343" s="673">
        <f>VLOOKUP(F343,编码对账表!C:D,2,0)</f>
        <v/>
      </c>
      <c r="H343" s="396" t="n">
        <v>786293</v>
      </c>
      <c r="I343" s="735" t="inlineStr">
        <is>
          <t>HKK202409260003</t>
        </is>
      </c>
      <c r="J343" s="736" t="inlineStr">
        <is>
          <t>印尼奥海</t>
        </is>
      </c>
      <c r="K343" s="734" t="inlineStr">
        <is>
          <t>CHANHUA PTE. LTD.</t>
        </is>
      </c>
      <c r="L343" s="736" t="n">
        <v>8.552899999999999</v>
      </c>
      <c r="M343" s="403" t="inlineStr">
        <is>
          <t>140302409260011</t>
        </is>
      </c>
      <c r="N343" s="398" t="n"/>
    </row>
    <row r="344" customFormat="1" s="1">
      <c r="A344" s="1" t="n">
        <v>343</v>
      </c>
      <c r="B344" s="733" t="inlineStr">
        <is>
          <t>chanhua</t>
        </is>
      </c>
      <c r="C344" s="733" t="n">
        <v>45555</v>
      </c>
      <c r="D344" s="673" t="inlineStr">
        <is>
          <t>香港比特</t>
        </is>
      </c>
      <c r="E344" s="734" t="inlineStr">
        <is>
          <t>SPILSZ</t>
        </is>
      </c>
      <c r="F344" s="734" t="inlineStr">
        <is>
          <t>BM1370BC</t>
        </is>
      </c>
      <c r="G344" s="673">
        <f>VLOOKUP(F344,编码对账表!C:D,2,0)</f>
        <v/>
      </c>
      <c r="H344" s="396" t="n">
        <v>905296</v>
      </c>
      <c r="I344" s="735" t="inlineStr">
        <is>
          <t>HKK202409260004</t>
        </is>
      </c>
      <c r="J344" s="736" t="inlineStr">
        <is>
          <t>泰国群光</t>
        </is>
      </c>
      <c r="K344" s="734" t="inlineStr">
        <is>
          <t>CHANHUA PTE. LTD.</t>
        </is>
      </c>
      <c r="L344" s="736" t="n">
        <v>8.552899999999999</v>
      </c>
      <c r="M344" s="403" t="inlineStr">
        <is>
          <t>140302409260012</t>
        </is>
      </c>
      <c r="N344" s="398" t="n"/>
    </row>
    <row r="345" customFormat="1" s="1">
      <c r="A345" s="1" t="n">
        <v>344</v>
      </c>
      <c r="B345" s="733" t="inlineStr">
        <is>
          <t>chanhua</t>
        </is>
      </c>
      <c r="C345" s="733" t="n">
        <v>45558</v>
      </c>
      <c r="D345" s="673" t="inlineStr">
        <is>
          <t>香港比特</t>
        </is>
      </c>
      <c r="E345" s="734" t="inlineStr">
        <is>
          <t>ASE-KH</t>
        </is>
      </c>
      <c r="F345" s="734" t="inlineStr">
        <is>
          <t>BM1370PA</t>
        </is>
      </c>
      <c r="G345" s="673">
        <f>VLOOKUP(F345,编码对账表!C:D,2,0)</f>
        <v/>
      </c>
      <c r="H345" s="396" t="n">
        <v>260395</v>
      </c>
      <c r="I345" s="735" t="inlineStr">
        <is>
          <t>HKK202409260004</t>
        </is>
      </c>
      <c r="J345" s="736" t="inlineStr">
        <is>
          <t>泰国群光</t>
        </is>
      </c>
      <c r="K345" s="734" t="inlineStr">
        <is>
          <t>CHANHUA PTE. LTD.</t>
        </is>
      </c>
      <c r="L345" s="736" t="n">
        <v>8.552899999999999</v>
      </c>
      <c r="M345" s="403" t="inlineStr">
        <is>
          <t>140302409260012</t>
        </is>
      </c>
      <c r="N345" s="398" t="n"/>
    </row>
    <row r="346" customFormat="1" s="1">
      <c r="A346" s="1" t="n">
        <v>345</v>
      </c>
      <c r="B346" s="733" t="inlineStr">
        <is>
          <t>chanhua</t>
        </is>
      </c>
      <c r="C346" s="733" t="n">
        <v>45558</v>
      </c>
      <c r="D346" s="673" t="inlineStr">
        <is>
          <t>香港比特</t>
        </is>
      </c>
      <c r="E346" s="734" t="inlineStr">
        <is>
          <t>JSCC</t>
        </is>
      </c>
      <c r="F346" s="734" t="inlineStr">
        <is>
          <t>BM1370PA</t>
        </is>
      </c>
      <c r="G346" s="673">
        <f>VLOOKUP(F346,编码对账表!C:D,2,0)</f>
        <v/>
      </c>
      <c r="H346" s="396" t="n">
        <v>709083</v>
      </c>
      <c r="I346" s="735" t="inlineStr">
        <is>
          <t>HKK202409260004</t>
        </is>
      </c>
      <c r="J346" s="736" t="inlineStr">
        <is>
          <t>泰国群光</t>
        </is>
      </c>
      <c r="K346" s="734" t="inlineStr">
        <is>
          <t>CHANHUA PTE. LTD.</t>
        </is>
      </c>
      <c r="L346" s="736" t="n">
        <v>8.552899999999999</v>
      </c>
      <c r="M346" s="403" t="inlineStr">
        <is>
          <t>140302409260012</t>
        </is>
      </c>
      <c r="N346" s="398" t="n"/>
    </row>
    <row r="347" customFormat="1" s="1">
      <c r="A347" s="1" t="n">
        <v>346</v>
      </c>
      <c r="B347" s="733" t="inlineStr">
        <is>
          <t>chanhua</t>
        </is>
      </c>
      <c r="C347" s="733" t="n">
        <v>45555</v>
      </c>
      <c r="D347" s="673" t="inlineStr">
        <is>
          <t>香港比特</t>
        </is>
      </c>
      <c r="E347" s="734" t="inlineStr">
        <is>
          <t>SPILSZ</t>
        </is>
      </c>
      <c r="F347" s="734" t="inlineStr">
        <is>
          <t>BM1370PA</t>
        </is>
      </c>
      <c r="G347" s="673">
        <f>VLOOKUP(F347,编码对账表!C:D,2,0)</f>
        <v/>
      </c>
      <c r="H347" s="396" t="n">
        <v>501600</v>
      </c>
      <c r="I347" s="735" t="inlineStr">
        <is>
          <t>HKK202409260004</t>
        </is>
      </c>
      <c r="J347" s="736" t="inlineStr">
        <is>
          <t>泰国群光</t>
        </is>
      </c>
      <c r="K347" s="734" t="inlineStr">
        <is>
          <t>CHANHUA PTE. LTD.</t>
        </is>
      </c>
      <c r="L347" s="736" t="n">
        <v>8.552899999999999</v>
      </c>
      <c r="M347" s="403" t="inlineStr">
        <is>
          <t>140302409260012</t>
        </is>
      </c>
      <c r="N347" s="398" t="n"/>
    </row>
    <row r="348" customFormat="1" s="1">
      <c r="A348" s="1" t="n">
        <v>347</v>
      </c>
      <c r="B348" s="733" t="inlineStr">
        <is>
          <t>chanhua</t>
        </is>
      </c>
      <c r="C348" s="733" t="n">
        <v>45561</v>
      </c>
      <c r="D348" s="673" t="inlineStr">
        <is>
          <t>新加坡比特</t>
        </is>
      </c>
      <c r="E348" s="734" t="inlineStr">
        <is>
          <t>ASE-KH</t>
        </is>
      </c>
      <c r="F348" s="734" t="inlineStr">
        <is>
          <t>BM1370PA</t>
        </is>
      </c>
      <c r="G348" s="673">
        <f>VLOOKUP(F348,编码对账表!C:D,2,0)</f>
        <v/>
      </c>
      <c r="H348" s="396" t="n">
        <v>381656</v>
      </c>
      <c r="I348" s="85" t="inlineStr">
        <is>
          <t>202409260004</t>
        </is>
      </c>
      <c r="J348" s="736" t="inlineStr">
        <is>
          <t>泰国ONETEC</t>
        </is>
      </c>
      <c r="K348" s="734" t="inlineStr">
        <is>
          <t>CHANHUA PTE. LTD.</t>
        </is>
      </c>
      <c r="L348" s="736" t="n">
        <v>8.552899999999999</v>
      </c>
      <c r="M348" s="403" t="inlineStr">
        <is>
          <t>140302409260010</t>
        </is>
      </c>
      <c r="N348" s="398" t="n"/>
    </row>
    <row r="349" customFormat="1" s="1">
      <c r="A349" s="1" t="n">
        <v>348</v>
      </c>
      <c r="B349" s="733" t="inlineStr">
        <is>
          <t>chanhua</t>
        </is>
      </c>
      <c r="C349" s="733" t="n">
        <v>45558</v>
      </c>
      <c r="D349" s="673" t="inlineStr">
        <is>
          <t>新加坡比特</t>
        </is>
      </c>
      <c r="E349" s="734" t="inlineStr">
        <is>
          <t>JSCC</t>
        </is>
      </c>
      <c r="F349" s="734" t="inlineStr">
        <is>
          <t>BM1370PA</t>
        </is>
      </c>
      <c r="G349" s="673">
        <f>VLOOKUP(F349,编码对账表!C:D,2,0)</f>
        <v/>
      </c>
      <c r="H349" s="396" t="n">
        <v>232557</v>
      </c>
      <c r="I349" s="85" t="inlineStr">
        <is>
          <t>202409260004</t>
        </is>
      </c>
      <c r="J349" s="736" t="inlineStr">
        <is>
          <t>泰国ONETEC</t>
        </is>
      </c>
      <c r="K349" s="734" t="inlineStr">
        <is>
          <t>CHANHUA PTE. LTD.</t>
        </is>
      </c>
      <c r="L349" s="736" t="n">
        <v>8.552899999999999</v>
      </c>
      <c r="M349" s="403" t="inlineStr">
        <is>
          <t>140302409260010</t>
        </is>
      </c>
      <c r="N349" s="398" t="n"/>
    </row>
    <row r="350" customFormat="1" s="1">
      <c r="A350" s="1" t="n">
        <v>349</v>
      </c>
      <c r="B350" s="733" t="inlineStr">
        <is>
          <t>chanhua</t>
        </is>
      </c>
      <c r="C350" s="733" t="n">
        <v>45558</v>
      </c>
      <c r="D350" s="673" t="inlineStr">
        <is>
          <t>香港比特</t>
        </is>
      </c>
      <c r="E350" s="734" t="inlineStr">
        <is>
          <t>ASECL</t>
        </is>
      </c>
      <c r="F350" s="734" t="inlineStr">
        <is>
          <t>BM1370BC</t>
        </is>
      </c>
      <c r="G350" s="673">
        <f>VLOOKUP(F350,编码对账表!C:D,2,0)</f>
        <v/>
      </c>
      <c r="H350" s="396" t="n">
        <v>34863</v>
      </c>
      <c r="I350" s="745" t="inlineStr">
        <is>
          <t>HKK202409270012</t>
        </is>
      </c>
      <c r="J350" s="736" t="inlineStr">
        <is>
          <t>泰国群光</t>
        </is>
      </c>
      <c r="K350" s="734" t="inlineStr">
        <is>
          <t>CHANHUA PTE. LTD.</t>
        </is>
      </c>
      <c r="L350" s="736" t="n">
        <v>8.552899999999999</v>
      </c>
      <c r="M350" s="403" t="inlineStr">
        <is>
          <t>140302409270011</t>
        </is>
      </c>
      <c r="N350" s="398" t="n"/>
    </row>
    <row r="351" customFormat="1" s="1">
      <c r="A351" s="1" t="n">
        <v>350</v>
      </c>
      <c r="B351" s="733" t="inlineStr">
        <is>
          <t>chanhua</t>
        </is>
      </c>
      <c r="C351" s="733" t="n">
        <v>45558</v>
      </c>
      <c r="D351" s="673" t="inlineStr">
        <is>
          <t>香港比特</t>
        </is>
      </c>
      <c r="E351" s="734" t="inlineStr">
        <is>
          <t>ASECL</t>
        </is>
      </c>
      <c r="F351" s="734" t="inlineStr">
        <is>
          <t>BM1370PA</t>
        </is>
      </c>
      <c r="G351" s="673">
        <f>VLOOKUP(F351,编码对账表!C:D,2,0)</f>
        <v/>
      </c>
      <c r="H351" s="396" t="n">
        <v>197637</v>
      </c>
      <c r="I351" s="745" t="inlineStr">
        <is>
          <t>HKK202409270012</t>
        </is>
      </c>
      <c r="J351" s="736" t="inlineStr">
        <is>
          <t>泰国群光</t>
        </is>
      </c>
      <c r="K351" s="734" t="inlineStr">
        <is>
          <t>CHANHUA PTE. LTD.</t>
        </is>
      </c>
      <c r="L351" s="736" t="n">
        <v>8.552899999999999</v>
      </c>
      <c r="M351" s="403" t="inlineStr">
        <is>
          <t>140302409270011</t>
        </is>
      </c>
      <c r="N351" s="398" t="n"/>
    </row>
    <row r="352" customFormat="1" s="1">
      <c r="A352" s="1" t="n">
        <v>351</v>
      </c>
      <c r="B352" s="733" t="inlineStr">
        <is>
          <t>chanhua</t>
        </is>
      </c>
      <c r="C352" s="733" t="n">
        <v>45558</v>
      </c>
      <c r="D352" s="673" t="inlineStr">
        <is>
          <t>香港比特</t>
        </is>
      </c>
      <c r="E352" s="734" t="inlineStr">
        <is>
          <t>ASECL</t>
        </is>
      </c>
      <c r="F352" s="734" t="inlineStr">
        <is>
          <t>BM1370PA</t>
        </is>
      </c>
      <c r="G352" s="673">
        <f>VLOOKUP(F352,编码对账表!C:D,2,0)</f>
        <v/>
      </c>
      <c r="H352" s="396" t="n">
        <v>6731</v>
      </c>
      <c r="I352" s="735" t="inlineStr">
        <is>
          <t>HKK202409270011</t>
        </is>
      </c>
      <c r="J352" s="736" t="inlineStr">
        <is>
          <t>印尼奥海</t>
        </is>
      </c>
      <c r="K352" s="734" t="inlineStr">
        <is>
          <t>CHANHUA PTE. LTD.</t>
        </is>
      </c>
      <c r="L352" s="736" t="n">
        <v>8.552899999999999</v>
      </c>
      <c r="M352" s="403" t="inlineStr">
        <is>
          <t>140302409270010</t>
        </is>
      </c>
      <c r="N352" s="398" t="n"/>
    </row>
    <row r="353" customFormat="1" s="1">
      <c r="A353" s="1" t="n">
        <v>352</v>
      </c>
      <c r="B353" s="733" t="inlineStr">
        <is>
          <t>chanhua</t>
        </is>
      </c>
      <c r="C353" s="733" t="n">
        <v>45562</v>
      </c>
      <c r="D353" s="673" t="inlineStr">
        <is>
          <t>新加坡比特</t>
        </is>
      </c>
      <c r="E353" s="734" t="inlineStr">
        <is>
          <t>JSCC</t>
        </is>
      </c>
      <c r="F353" s="734" t="inlineStr">
        <is>
          <t>BM1368PB</t>
        </is>
      </c>
      <c r="G353" s="673">
        <f>VLOOKUP(F353,编码对账表!C:D,2,0)</f>
        <v/>
      </c>
      <c r="H353" s="396" t="n">
        <v>1817232</v>
      </c>
      <c r="I353" s="85" t="inlineStr">
        <is>
          <t>202410100010</t>
        </is>
      </c>
      <c r="J353" s="736" t="inlineStr">
        <is>
          <t>Nationgate</t>
        </is>
      </c>
      <c r="K353" s="734" t="inlineStr">
        <is>
          <t>CHANHUA PTE. LTD.</t>
        </is>
      </c>
      <c r="L353" s="736" t="n">
        <v>4.382</v>
      </c>
      <c r="M353" s="403" t="inlineStr">
        <is>
          <t>1403241011102347</t>
        </is>
      </c>
      <c r="N353" s="398" t="n"/>
    </row>
    <row r="354" customFormat="1" s="1">
      <c r="A354" s="1" t="n">
        <v>353</v>
      </c>
      <c r="B354" s="733" t="inlineStr">
        <is>
          <t>chanhua</t>
        </is>
      </c>
      <c r="C354" s="733" t="n">
        <v>45569</v>
      </c>
      <c r="D354" s="673" t="inlineStr">
        <is>
          <t>新加坡比特</t>
        </is>
      </c>
      <c r="E354" s="734" t="inlineStr">
        <is>
          <t>JSCC</t>
        </is>
      </c>
      <c r="F354" s="734" t="inlineStr">
        <is>
          <t>BM1370AA</t>
        </is>
      </c>
      <c r="G354" s="673">
        <f>VLOOKUP(F354,编码对账表!C:D,2,0)</f>
        <v/>
      </c>
      <c r="H354" s="396" t="n">
        <v>19399</v>
      </c>
      <c r="I354" s="85" t="inlineStr">
        <is>
          <t>202410100010</t>
        </is>
      </c>
      <c r="J354" s="736" t="inlineStr">
        <is>
          <t>Nationgate</t>
        </is>
      </c>
      <c r="K354" s="734" t="inlineStr">
        <is>
          <t>CHANHUA PTE. LTD.</t>
        </is>
      </c>
      <c r="L354" s="736" t="n">
        <v>8.527799999999999</v>
      </c>
      <c r="M354" s="403" t="inlineStr">
        <is>
          <t>1403241011102347</t>
        </is>
      </c>
      <c r="N354" s="398" t="n"/>
    </row>
    <row r="355" customFormat="1" s="1">
      <c r="A355" s="1" t="n">
        <v>354</v>
      </c>
      <c r="B355" s="733" t="inlineStr">
        <is>
          <t>chanhua</t>
        </is>
      </c>
      <c r="C355" s="733" t="n">
        <v>45569</v>
      </c>
      <c r="D355" s="673" t="inlineStr">
        <is>
          <t>新加坡比特</t>
        </is>
      </c>
      <c r="E355" s="734" t="inlineStr">
        <is>
          <t>JSCC</t>
        </is>
      </c>
      <c r="F355" s="734" t="inlineStr">
        <is>
          <t>BM1370BC</t>
        </is>
      </c>
      <c r="G355" s="673">
        <f>VLOOKUP(F355,编码对账表!C:D,2,0)</f>
        <v/>
      </c>
      <c r="H355" s="396" t="n">
        <v>11790</v>
      </c>
      <c r="I355" s="85" t="inlineStr">
        <is>
          <t>202410100010</t>
        </is>
      </c>
      <c r="J355" s="736" t="inlineStr">
        <is>
          <t>Nationgate</t>
        </is>
      </c>
      <c r="K355" s="734" t="inlineStr">
        <is>
          <t>CHANHUA PTE. LTD.</t>
        </is>
      </c>
      <c r="L355" s="736" t="n">
        <v>8.527799999999999</v>
      </c>
      <c r="M355" s="403" t="inlineStr">
        <is>
          <t>1403241011102347</t>
        </is>
      </c>
      <c r="N355" s="398" t="n"/>
    </row>
    <row r="356" customFormat="1" s="1">
      <c r="A356" s="1" t="n">
        <v>355</v>
      </c>
      <c r="B356" s="733" t="inlineStr">
        <is>
          <t>chanhua</t>
        </is>
      </c>
      <c r="C356" s="733" t="n">
        <v>45569</v>
      </c>
      <c r="D356" s="673" t="inlineStr">
        <is>
          <t>新加坡比特</t>
        </is>
      </c>
      <c r="E356" s="734" t="inlineStr">
        <is>
          <t>JSCC</t>
        </is>
      </c>
      <c r="F356" s="734" t="inlineStr">
        <is>
          <t>BM1370PA</t>
        </is>
      </c>
      <c r="G356" s="673">
        <f>VLOOKUP(F356,编码对账表!C:D,2,0)</f>
        <v/>
      </c>
      <c r="H356" s="396" t="n">
        <v>805581</v>
      </c>
      <c r="I356" s="85" t="inlineStr">
        <is>
          <t>202410100010</t>
        </is>
      </c>
      <c r="J356" s="736" t="inlineStr">
        <is>
          <t>Nationgate</t>
        </is>
      </c>
      <c r="K356" s="734" t="inlineStr">
        <is>
          <t>CHANHUA PTE. LTD.</t>
        </is>
      </c>
      <c r="L356" s="736" t="n">
        <v>8.527799999999999</v>
      </c>
      <c r="M356" s="403" t="inlineStr">
        <is>
          <t>1403241011102347</t>
        </is>
      </c>
      <c r="N356" s="398" t="n"/>
    </row>
    <row r="357" customFormat="1" s="1">
      <c r="A357" s="1" t="n">
        <v>356</v>
      </c>
      <c r="B357" s="733" t="inlineStr">
        <is>
          <t>chanhua</t>
        </is>
      </c>
      <c r="C357" s="733" t="n">
        <v>45563</v>
      </c>
      <c r="D357" s="673" t="inlineStr">
        <is>
          <t>新加坡比特</t>
        </is>
      </c>
      <c r="E357" s="734" t="inlineStr">
        <is>
          <t>JSCC</t>
        </is>
      </c>
      <c r="F357" s="734" t="inlineStr">
        <is>
          <t>BM1370BC</t>
        </is>
      </c>
      <c r="G357" s="673">
        <f>VLOOKUP(F357,编码对账表!C:D,2,0)</f>
        <v/>
      </c>
      <c r="H357" s="396" t="n">
        <v>809753</v>
      </c>
      <c r="I357" s="745" t="inlineStr">
        <is>
          <t>202410110010</t>
        </is>
      </c>
      <c r="J357" s="736" t="inlineStr">
        <is>
          <t>PIE</t>
        </is>
      </c>
      <c r="K357" s="734" t="inlineStr">
        <is>
          <t>CHANHUA PTE. LTD.</t>
        </is>
      </c>
      <c r="L357" s="736" t="n">
        <v>8.527799999999999</v>
      </c>
      <c r="M357" s="403" t="inlineStr">
        <is>
          <t>1403241011102720</t>
        </is>
      </c>
      <c r="N357" s="398" t="n"/>
    </row>
    <row r="358" customFormat="1" s="1">
      <c r="A358" s="1" t="n">
        <v>357</v>
      </c>
      <c r="B358" s="733" t="inlineStr">
        <is>
          <t>chanhua</t>
        </is>
      </c>
      <c r="C358" s="733" t="n">
        <v>45562</v>
      </c>
      <c r="D358" s="673" t="inlineStr">
        <is>
          <t>新加坡比特</t>
        </is>
      </c>
      <c r="E358" s="734" t="inlineStr">
        <is>
          <t>ASE-KH</t>
        </is>
      </c>
      <c r="F358" s="734" t="inlineStr">
        <is>
          <t>BM1370PA</t>
        </is>
      </c>
      <c r="G358" s="673">
        <f>VLOOKUP(F358,编码对账表!C:D,2,0)</f>
        <v/>
      </c>
      <c r="H358" s="396" t="n">
        <v>212213</v>
      </c>
      <c r="I358" s="745" t="inlineStr">
        <is>
          <t>202410110010</t>
        </is>
      </c>
      <c r="J358" s="736" t="inlineStr">
        <is>
          <t>PIE</t>
        </is>
      </c>
      <c r="K358" s="734" t="inlineStr">
        <is>
          <t>CHANHUA PTE. LTD.</t>
        </is>
      </c>
      <c r="L358" s="736" t="n">
        <v>8.527799999999999</v>
      </c>
      <c r="M358" s="403" t="inlineStr">
        <is>
          <t>1403241011102720</t>
        </is>
      </c>
      <c r="N358" s="398" t="n"/>
    </row>
    <row r="359" customFormat="1" s="1">
      <c r="A359" s="1" t="n">
        <v>358</v>
      </c>
      <c r="B359" s="733" t="inlineStr">
        <is>
          <t>chanhua</t>
        </is>
      </c>
      <c r="C359" s="733" t="n">
        <v>45562</v>
      </c>
      <c r="D359" s="673" t="inlineStr">
        <is>
          <t>新加坡比特</t>
        </is>
      </c>
      <c r="E359" s="734" t="inlineStr">
        <is>
          <t>ASECL</t>
        </is>
      </c>
      <c r="F359" s="734" t="inlineStr">
        <is>
          <t>BM1370PA</t>
        </is>
      </c>
      <c r="G359" s="673">
        <f>VLOOKUP(F359,编码对账表!C:D,2,0)</f>
        <v/>
      </c>
      <c r="H359" s="396" t="n">
        <v>7600</v>
      </c>
      <c r="I359" s="745" t="inlineStr">
        <is>
          <t>202410110010</t>
        </is>
      </c>
      <c r="J359" s="736" t="inlineStr">
        <is>
          <t>PIE</t>
        </is>
      </c>
      <c r="K359" s="734" t="inlineStr">
        <is>
          <t>CHANHUA PTE. LTD.</t>
        </is>
      </c>
      <c r="L359" s="736" t="n">
        <v>8.527799999999999</v>
      </c>
      <c r="M359" s="403" t="inlineStr">
        <is>
          <t>1403241011102720</t>
        </is>
      </c>
      <c r="N359" s="398" t="n"/>
    </row>
    <row r="360" customFormat="1" s="1">
      <c r="A360" s="1" t="n">
        <v>359</v>
      </c>
      <c r="B360" s="733" t="inlineStr">
        <is>
          <t>chanhua</t>
        </is>
      </c>
      <c r="C360" s="733" t="n">
        <v>45563</v>
      </c>
      <c r="D360" s="673" t="inlineStr">
        <is>
          <t>新加坡比特</t>
        </is>
      </c>
      <c r="E360" s="734" t="inlineStr">
        <is>
          <t>JSCC</t>
        </is>
      </c>
      <c r="F360" s="734" t="inlineStr">
        <is>
          <t>BM1370PA</t>
        </is>
      </c>
      <c r="G360" s="673">
        <f>VLOOKUP(F360,编码对账表!C:D,2,0)</f>
        <v/>
      </c>
      <c r="H360" s="396" t="n">
        <v>1191979</v>
      </c>
      <c r="I360" s="745" t="inlineStr">
        <is>
          <t>202410110010</t>
        </is>
      </c>
      <c r="J360" s="736" t="inlineStr">
        <is>
          <t>PIE</t>
        </is>
      </c>
      <c r="K360" s="734" t="inlineStr">
        <is>
          <t>CHANHUA PTE. LTD.</t>
        </is>
      </c>
      <c r="L360" s="736" t="n">
        <v>8.527799999999999</v>
      </c>
      <c r="M360" s="403" t="inlineStr">
        <is>
          <t>1403241011102720</t>
        </is>
      </c>
      <c r="N360" s="398" t="n"/>
    </row>
    <row r="361" customFormat="1" s="1">
      <c r="A361" s="1" t="n">
        <v>360</v>
      </c>
      <c r="B361" s="733" t="inlineStr">
        <is>
          <t>chanhua</t>
        </is>
      </c>
      <c r="C361" s="733" t="n">
        <v>45571</v>
      </c>
      <c r="D361" s="673" t="inlineStr">
        <is>
          <t>新加坡比特</t>
        </is>
      </c>
      <c r="E361" s="734" t="inlineStr">
        <is>
          <t>SPILSZ</t>
        </is>
      </c>
      <c r="F361" s="734" t="inlineStr">
        <is>
          <t>BM1370PA</t>
        </is>
      </c>
      <c r="G361" s="673">
        <f>VLOOKUP(F361,编码对账表!C:D,2,0)</f>
        <v/>
      </c>
      <c r="H361" s="396" t="n">
        <v>1446858</v>
      </c>
      <c r="I361" s="745" t="inlineStr">
        <is>
          <t>202410110010</t>
        </is>
      </c>
      <c r="J361" s="736" t="inlineStr">
        <is>
          <t>PIE</t>
        </is>
      </c>
      <c r="K361" s="734" t="inlineStr">
        <is>
          <t>CHANHUA PTE. LTD.</t>
        </is>
      </c>
      <c r="L361" s="736" t="n">
        <v>8.527799999999999</v>
      </c>
      <c r="M361" s="403" t="inlineStr">
        <is>
          <t>1403241011102720</t>
        </is>
      </c>
      <c r="N361" s="398" t="n"/>
    </row>
    <row r="362" customFormat="1" s="1">
      <c r="A362" s="1" t="n">
        <v>361</v>
      </c>
      <c r="B362" s="733" t="inlineStr">
        <is>
          <t>chanhua</t>
        </is>
      </c>
      <c r="C362" s="733" t="n">
        <v>45562</v>
      </c>
      <c r="D362" s="673" t="inlineStr">
        <is>
          <t>新加坡比特</t>
        </is>
      </c>
      <c r="E362" s="734" t="inlineStr">
        <is>
          <t>ASECL</t>
        </is>
      </c>
      <c r="F362" s="734" t="inlineStr">
        <is>
          <t>BM1370PA</t>
        </is>
      </c>
      <c r="G362" s="673">
        <f>VLOOKUP(F362,编码对账表!C:D,2,0)</f>
        <v/>
      </c>
      <c r="H362" s="396" t="n">
        <v>137426</v>
      </c>
      <c r="I362" s="745" t="inlineStr">
        <is>
          <t>202410110011</t>
        </is>
      </c>
      <c r="J362" s="736" t="inlineStr">
        <is>
          <t>SMTT</t>
        </is>
      </c>
      <c r="K362" s="734" t="inlineStr">
        <is>
          <t>CHANHUA PTE. LTD.</t>
        </is>
      </c>
      <c r="L362" s="736" t="n">
        <v>8.527799999999999</v>
      </c>
      <c r="M362" s="403" t="inlineStr">
        <is>
          <t>1403241011102808</t>
        </is>
      </c>
      <c r="N362" s="398" t="n"/>
    </row>
    <row r="363" customFormat="1" s="1">
      <c r="A363" s="1" t="n">
        <v>362</v>
      </c>
      <c r="B363" s="733" t="inlineStr">
        <is>
          <t>chanhua</t>
        </is>
      </c>
      <c r="C363" s="733" t="n">
        <v>45563</v>
      </c>
      <c r="D363" s="673" t="inlineStr">
        <is>
          <t>新加坡比特</t>
        </is>
      </c>
      <c r="E363" s="734" t="inlineStr">
        <is>
          <t>SPILSZ</t>
        </is>
      </c>
      <c r="F363" s="734" t="inlineStr">
        <is>
          <t>BM1370PA</t>
        </is>
      </c>
      <c r="G363" s="673">
        <f>VLOOKUP(F363,编码对账表!C:D,2,0)</f>
        <v/>
      </c>
      <c r="H363" s="396" t="n">
        <v>307800</v>
      </c>
      <c r="I363" s="415" t="inlineStr">
        <is>
          <t>202410110012</t>
        </is>
      </c>
      <c r="J363" s="736" t="inlineStr">
        <is>
          <t>墨西哥欧陆通</t>
        </is>
      </c>
      <c r="K363" s="734" t="inlineStr">
        <is>
          <t>CHANHUA PTE. LTD.</t>
        </is>
      </c>
      <c r="L363" s="736" t="n">
        <v>8.527799999999999</v>
      </c>
      <c r="M363" s="403" t="inlineStr">
        <is>
          <t>1403241011115755</t>
        </is>
      </c>
      <c r="N363" s="398" t="n"/>
    </row>
    <row r="364" customFormat="1" s="1">
      <c r="A364" s="1" t="n">
        <v>363</v>
      </c>
      <c r="B364" s="733" t="inlineStr">
        <is>
          <t>chanhua</t>
        </is>
      </c>
      <c r="C364" s="733" t="n">
        <v>45562</v>
      </c>
      <c r="D364" s="673" t="inlineStr">
        <is>
          <t>新加坡比特</t>
        </is>
      </c>
      <c r="E364" s="734" t="inlineStr">
        <is>
          <t>ASECL</t>
        </is>
      </c>
      <c r="F364" s="734" t="inlineStr">
        <is>
          <t>BM1370BC</t>
        </is>
      </c>
      <c r="G364" s="673">
        <f>VLOOKUP(F364,编码对账表!C:D,2,0)</f>
        <v/>
      </c>
      <c r="H364" s="396" t="n">
        <v>468200</v>
      </c>
      <c r="I364" s="85" t="inlineStr">
        <is>
          <t>202410110014</t>
        </is>
      </c>
      <c r="J364" s="736" t="inlineStr">
        <is>
          <t>泰国ONETEC</t>
        </is>
      </c>
      <c r="K364" s="734" t="inlineStr">
        <is>
          <t>CHANHUA PTE. LTD.</t>
        </is>
      </c>
      <c r="L364" s="736" t="n">
        <v>8.527799999999999</v>
      </c>
      <c r="M364" s="403" t="inlineStr">
        <is>
          <t>1403241011115812</t>
        </is>
      </c>
      <c r="N364" s="398" t="n"/>
    </row>
    <row r="365" customFormat="1" s="1">
      <c r="A365" s="1" t="n">
        <v>365</v>
      </c>
      <c r="B365" s="733" t="inlineStr">
        <is>
          <t>chanhua</t>
        </is>
      </c>
      <c r="C365" s="733" t="n">
        <v>45562</v>
      </c>
      <c r="D365" s="673" t="inlineStr">
        <is>
          <t>新加坡比特</t>
        </is>
      </c>
      <c r="E365" s="734" t="inlineStr">
        <is>
          <t>ASECL</t>
        </is>
      </c>
      <c r="F365" s="734" t="inlineStr">
        <is>
          <t>BM1370PA</t>
        </is>
      </c>
      <c r="G365" s="673">
        <f>VLOOKUP(F365,编码对账表!C:D,2,0)</f>
        <v/>
      </c>
      <c r="H365" s="396" t="n">
        <v>322523</v>
      </c>
      <c r="I365" s="85" t="inlineStr">
        <is>
          <t>202410110014</t>
        </is>
      </c>
      <c r="J365" s="736" t="inlineStr">
        <is>
          <t>泰国ONETEC</t>
        </is>
      </c>
      <c r="K365" s="734" t="inlineStr">
        <is>
          <t>CHANHUA PTE. LTD.</t>
        </is>
      </c>
      <c r="L365" s="736" t="n">
        <v>8.527799999999999</v>
      </c>
      <c r="M365" s="403" t="inlineStr">
        <is>
          <t>1403241011115812</t>
        </is>
      </c>
      <c r="N365" s="398" t="n"/>
    </row>
    <row r="366" customFormat="1" s="1">
      <c r="A366" s="1" t="n">
        <v>366</v>
      </c>
      <c r="B366" s="733" t="inlineStr">
        <is>
          <t>香港比特</t>
        </is>
      </c>
      <c r="C366" s="733" t="n">
        <v>45568</v>
      </c>
      <c r="D366" s="673" t="inlineStr">
        <is>
          <t>新加坡比特</t>
        </is>
      </c>
      <c r="E366" s="734" t="inlineStr">
        <is>
          <t>泰国群光</t>
        </is>
      </c>
      <c r="F366" s="734" t="inlineStr">
        <is>
          <t>BM1370PA</t>
        </is>
      </c>
      <c r="G366" s="673">
        <f>VLOOKUP(F366,编码对账表!C:D,2,0)</f>
        <v/>
      </c>
      <c r="H366" s="396" t="n">
        <v>220401</v>
      </c>
      <c r="I366" s="85" t="inlineStr">
        <is>
          <t>202410170015</t>
        </is>
      </c>
      <c r="J366" s="736" t="inlineStr">
        <is>
          <t>泰国ONETEC</t>
        </is>
      </c>
      <c r="K366" s="734" t="inlineStr">
        <is>
          <t>CHANHUA PTE. LTD.</t>
        </is>
      </c>
      <c r="L366" s="736" t="n">
        <v>8.552899999999999</v>
      </c>
      <c r="M366" s="403" t="inlineStr">
        <is>
          <t>1403241017163320</t>
        </is>
      </c>
      <c r="N366" s="398" t="n"/>
    </row>
    <row r="367" customFormat="1" s="1">
      <c r="A367" s="1" t="n">
        <v>367</v>
      </c>
      <c r="B367" s="733" t="inlineStr">
        <is>
          <t>chanhua</t>
        </is>
      </c>
      <c r="C367" s="733" t="n">
        <v>45562</v>
      </c>
      <c r="D367" s="673" t="inlineStr">
        <is>
          <t>香港比特</t>
        </is>
      </c>
      <c r="E367" s="734" t="inlineStr">
        <is>
          <t>ASE-KH</t>
        </is>
      </c>
      <c r="F367" s="734" t="inlineStr">
        <is>
          <t>BM1370BC</t>
        </is>
      </c>
      <c r="G367" s="673">
        <f>VLOOKUP(F367,编码对账表!C:D,2,0)</f>
        <v/>
      </c>
      <c r="H367" s="396" t="n">
        <v>396763</v>
      </c>
      <c r="I367" s="85" t="inlineStr">
        <is>
          <t>HKK202410110010</t>
        </is>
      </c>
      <c r="J367" s="736" t="inlineStr">
        <is>
          <t>泰国群光</t>
        </is>
      </c>
      <c r="K367" s="734" t="inlineStr">
        <is>
          <t>CHANHUA PTE. LTD.</t>
        </is>
      </c>
      <c r="L367" s="736" t="n">
        <v>8.527799999999999</v>
      </c>
      <c r="M367" s="403" t="inlineStr">
        <is>
          <t>1403241011120006</t>
        </is>
      </c>
      <c r="N367" s="398" t="n"/>
    </row>
    <row r="368" customFormat="1" s="1">
      <c r="A368" s="1" t="n">
        <v>368</v>
      </c>
      <c r="B368" s="733" t="inlineStr">
        <is>
          <t>chanhua</t>
        </is>
      </c>
      <c r="C368" s="733" t="n">
        <v>45562</v>
      </c>
      <c r="D368" s="673" t="inlineStr">
        <is>
          <t>香港比特</t>
        </is>
      </c>
      <c r="E368" s="734" t="inlineStr">
        <is>
          <t>ASECL</t>
        </is>
      </c>
      <c r="F368" s="734" t="inlineStr">
        <is>
          <t>BM1370BC</t>
        </is>
      </c>
      <c r="G368" s="673">
        <f>VLOOKUP(F368,编码对账表!C:D,2,0)</f>
        <v/>
      </c>
      <c r="H368" s="396" t="n">
        <v>657054</v>
      </c>
      <c r="I368" s="85" t="inlineStr">
        <is>
          <t>HKK202410110010</t>
        </is>
      </c>
      <c r="J368" s="736" t="inlineStr">
        <is>
          <t>泰国群光</t>
        </is>
      </c>
      <c r="K368" s="734" t="inlineStr">
        <is>
          <t>CHANHUA PTE. LTD.</t>
        </is>
      </c>
      <c r="L368" s="736" t="n">
        <v>8.527799999999999</v>
      </c>
      <c r="M368" s="403" t="inlineStr">
        <is>
          <t>1403241011120006</t>
        </is>
      </c>
      <c r="N368" s="398" t="n"/>
    </row>
    <row r="369" customFormat="1" s="1">
      <c r="A369" s="1" t="n">
        <v>369</v>
      </c>
      <c r="B369" s="733" t="inlineStr">
        <is>
          <t>chanhua</t>
        </is>
      </c>
      <c r="C369" s="733" t="n">
        <v>45561</v>
      </c>
      <c r="D369" s="673" t="inlineStr">
        <is>
          <t>香港比特</t>
        </is>
      </c>
      <c r="E369" s="734" t="inlineStr">
        <is>
          <t>SPILSZ</t>
        </is>
      </c>
      <c r="F369" s="734" t="inlineStr">
        <is>
          <t>BM1370BC</t>
        </is>
      </c>
      <c r="G369" s="673">
        <f>VLOOKUP(F369,编码对账表!C:D,2,0)</f>
        <v/>
      </c>
      <c r="H369" s="396" t="n">
        <v>153540</v>
      </c>
      <c r="I369" s="85" t="inlineStr">
        <is>
          <t>HKK202410110010</t>
        </is>
      </c>
      <c r="J369" s="736" t="inlineStr">
        <is>
          <t>泰国群光</t>
        </is>
      </c>
      <c r="K369" s="734" t="inlineStr">
        <is>
          <t>CHANHUA PTE. LTD.</t>
        </is>
      </c>
      <c r="L369" s="736" t="n">
        <v>8.527799999999999</v>
      </c>
      <c r="M369" s="403" t="inlineStr">
        <is>
          <t>1403241011120006</t>
        </is>
      </c>
      <c r="N369" s="398" t="n"/>
    </row>
    <row r="370" customFormat="1" s="1">
      <c r="A370" s="1" t="n">
        <v>370</v>
      </c>
      <c r="B370" s="733" t="inlineStr">
        <is>
          <t>chanhua</t>
        </is>
      </c>
      <c r="C370" s="733" t="n">
        <v>45562</v>
      </c>
      <c r="D370" s="673" t="inlineStr">
        <is>
          <t>香港比特</t>
        </is>
      </c>
      <c r="E370" s="734" t="inlineStr">
        <is>
          <t>ASE-KH</t>
        </is>
      </c>
      <c r="F370" s="734" t="inlineStr">
        <is>
          <t>BM1370PA</t>
        </is>
      </c>
      <c r="G370" s="673">
        <f>VLOOKUP(F370,编码对账表!C:D,2,0)</f>
        <v/>
      </c>
      <c r="H370" s="396" t="n">
        <v>129820</v>
      </c>
      <c r="I370" s="85" t="inlineStr">
        <is>
          <t>HKK202410110010</t>
        </is>
      </c>
      <c r="J370" s="736" t="inlineStr">
        <is>
          <t>泰国群光</t>
        </is>
      </c>
      <c r="K370" s="734" t="inlineStr">
        <is>
          <t>CHANHUA PTE. LTD.</t>
        </is>
      </c>
      <c r="L370" s="736" t="n">
        <v>8.527799999999999</v>
      </c>
      <c r="M370" s="403" t="inlineStr">
        <is>
          <t>1403241011120006</t>
        </is>
      </c>
      <c r="N370" s="398" t="n"/>
    </row>
    <row r="371" customFormat="1" s="1">
      <c r="A371" s="1" t="n">
        <v>371</v>
      </c>
      <c r="B371" s="733" t="inlineStr">
        <is>
          <t>chanhua</t>
        </is>
      </c>
      <c r="C371" s="733" t="n">
        <v>45562</v>
      </c>
      <c r="D371" s="673" t="inlineStr">
        <is>
          <t>香港比特</t>
        </is>
      </c>
      <c r="E371" s="734" t="inlineStr">
        <is>
          <t>JSCC</t>
        </is>
      </c>
      <c r="F371" s="734" t="inlineStr">
        <is>
          <t>BM1370PA</t>
        </is>
      </c>
      <c r="G371" s="673">
        <f>VLOOKUP(F371,编码对账表!C:D,2,0)</f>
        <v/>
      </c>
      <c r="H371" s="396" t="n">
        <v>1316702</v>
      </c>
      <c r="I371" s="85" t="inlineStr">
        <is>
          <t>HKK202410110010</t>
        </is>
      </c>
      <c r="J371" s="736" t="inlineStr">
        <is>
          <t>泰国群光</t>
        </is>
      </c>
      <c r="K371" s="734" t="inlineStr">
        <is>
          <t>CHANHUA PTE. LTD.</t>
        </is>
      </c>
      <c r="L371" s="736" t="n">
        <v>8.527799999999999</v>
      </c>
      <c r="M371" s="403" t="inlineStr">
        <is>
          <t>1403241011120006</t>
        </is>
      </c>
      <c r="N371" s="398" t="n"/>
    </row>
    <row r="372" customFormat="1" s="1">
      <c r="A372" s="1" t="n">
        <v>372</v>
      </c>
      <c r="B372" s="733" t="inlineStr">
        <is>
          <t>chanhua</t>
        </is>
      </c>
      <c r="C372" s="733" t="n">
        <v>45568</v>
      </c>
      <c r="D372" s="673" t="inlineStr">
        <is>
          <t>香港比特</t>
        </is>
      </c>
      <c r="E372" s="734" t="inlineStr">
        <is>
          <t>SPILSZ</t>
        </is>
      </c>
      <c r="F372" s="734" t="inlineStr">
        <is>
          <t>BM1370PA</t>
        </is>
      </c>
      <c r="G372" s="673">
        <f>VLOOKUP(F372,编码对账表!C:D,2,0)</f>
        <v/>
      </c>
      <c r="H372" s="396" t="n">
        <v>669260</v>
      </c>
      <c r="I372" s="85" t="inlineStr">
        <is>
          <t>HKK202410110010</t>
        </is>
      </c>
      <c r="J372" s="736" t="inlineStr">
        <is>
          <t>泰国群光</t>
        </is>
      </c>
      <c r="K372" s="734" t="inlineStr">
        <is>
          <t>CHANHUA PTE. LTD.</t>
        </is>
      </c>
      <c r="L372" s="736" t="n">
        <v>8.527799999999999</v>
      </c>
      <c r="M372" s="403" t="inlineStr">
        <is>
          <t>1403241011120006</t>
        </is>
      </c>
      <c r="N372" s="398" t="n"/>
    </row>
    <row r="373" customFormat="1" s="1">
      <c r="A373" s="1" t="n">
        <v>373</v>
      </c>
      <c r="B373" s="733" t="inlineStr">
        <is>
          <t>chanhua</t>
        </is>
      </c>
      <c r="C373" s="733" t="n">
        <v>45561</v>
      </c>
      <c r="D373" s="673" t="inlineStr">
        <is>
          <t>香港比特</t>
        </is>
      </c>
      <c r="E373" s="734" t="inlineStr">
        <is>
          <t>SPILSZ</t>
        </is>
      </c>
      <c r="F373" s="734" t="inlineStr">
        <is>
          <t>BM1370BC</t>
        </is>
      </c>
      <c r="G373" s="673">
        <f>VLOOKUP(F373,编码对账表!C:D,2,0)</f>
        <v/>
      </c>
      <c r="H373" s="396" t="n">
        <v>938600</v>
      </c>
      <c r="I373" s="85" t="inlineStr">
        <is>
          <t>HKK202410110011</t>
        </is>
      </c>
      <c r="J373" s="736" t="inlineStr">
        <is>
          <t>印尼奥海</t>
        </is>
      </c>
      <c r="K373" s="734" t="inlineStr">
        <is>
          <t>CHANHUA PTE. LTD.</t>
        </is>
      </c>
      <c r="L373" s="736" t="n">
        <v>8.527799999999999</v>
      </c>
      <c r="M373" s="403" t="inlineStr">
        <is>
          <t>1403241011120033</t>
        </is>
      </c>
      <c r="N373" s="398" t="n"/>
    </row>
    <row r="374" customFormat="1" s="1">
      <c r="A374" s="1" t="n">
        <v>374</v>
      </c>
      <c r="B374" s="733" t="inlineStr">
        <is>
          <t>chanhua</t>
        </is>
      </c>
      <c r="C374" s="733" t="n">
        <v>45565</v>
      </c>
      <c r="D374" s="673" t="inlineStr">
        <is>
          <t>香港比特</t>
        </is>
      </c>
      <c r="E374" s="734" t="inlineStr">
        <is>
          <t>ASE-KH</t>
        </is>
      </c>
      <c r="F374" s="734" t="inlineStr">
        <is>
          <t>BM1370PA</t>
        </is>
      </c>
      <c r="G374" s="673">
        <f>VLOOKUP(F374,编码对账表!C:D,2,0)</f>
        <v/>
      </c>
      <c r="H374" s="396" t="n">
        <v>586571</v>
      </c>
      <c r="I374" s="85" t="inlineStr">
        <is>
          <t>HKK202410110011</t>
        </is>
      </c>
      <c r="J374" s="736" t="inlineStr">
        <is>
          <t>印尼奥海</t>
        </is>
      </c>
      <c r="K374" s="734" t="inlineStr">
        <is>
          <t>CHANHUA PTE. LTD.</t>
        </is>
      </c>
      <c r="L374" s="736" t="n">
        <v>8.527799999999999</v>
      </c>
      <c r="M374" s="403" t="inlineStr">
        <is>
          <t>1403241011120033</t>
        </is>
      </c>
      <c r="N374" s="398" t="n"/>
    </row>
    <row r="375" customFormat="1" s="1">
      <c r="A375" s="1" t="n">
        <v>375</v>
      </c>
      <c r="B375" s="733" t="inlineStr">
        <is>
          <t>chanhua</t>
        </is>
      </c>
      <c r="C375" s="733" t="n">
        <v>45569</v>
      </c>
      <c r="D375" s="673" t="inlineStr">
        <is>
          <t>香港比特</t>
        </is>
      </c>
      <c r="E375" s="734" t="inlineStr">
        <is>
          <t>JSCC</t>
        </is>
      </c>
      <c r="F375" s="734" t="inlineStr">
        <is>
          <t>BM1370PA</t>
        </is>
      </c>
      <c r="G375" s="673">
        <f>VLOOKUP(F375,编码对账表!C:D,2,0)</f>
        <v/>
      </c>
      <c r="H375" s="396" t="n">
        <v>42733</v>
      </c>
      <c r="I375" s="85" t="inlineStr">
        <is>
          <t>HKK202410110011</t>
        </is>
      </c>
      <c r="J375" s="736" t="inlineStr">
        <is>
          <t>印尼奥海</t>
        </is>
      </c>
      <c r="K375" s="734" t="inlineStr">
        <is>
          <t>CHANHUA PTE. LTD.</t>
        </is>
      </c>
      <c r="L375" s="736" t="n">
        <v>8.527799999999999</v>
      </c>
      <c r="M375" s="403" t="inlineStr">
        <is>
          <t>1403241011120033</t>
        </is>
      </c>
      <c r="N375" s="398" t="n"/>
    </row>
    <row r="376" customFormat="1" s="1">
      <c r="A376" s="1" t="n">
        <v>376</v>
      </c>
      <c r="B376" s="733" t="inlineStr">
        <is>
          <t>chanhua</t>
        </is>
      </c>
      <c r="C376" s="733" t="n">
        <v>45571</v>
      </c>
      <c r="D376" s="673" t="inlineStr">
        <is>
          <t>香港比特</t>
        </is>
      </c>
      <c r="E376" s="734" t="inlineStr">
        <is>
          <t>SPILSZ</t>
        </is>
      </c>
      <c r="F376" s="734" t="inlineStr">
        <is>
          <t>BM1370PA</t>
        </is>
      </c>
      <c r="G376" s="673">
        <f>VLOOKUP(F376,编码对账表!C:D,2,0)</f>
        <v/>
      </c>
      <c r="H376" s="396" t="n">
        <v>2275501</v>
      </c>
      <c r="I376" s="85" t="inlineStr">
        <is>
          <t>HKK202410110011</t>
        </is>
      </c>
      <c r="J376" s="736" t="inlineStr">
        <is>
          <t>印尼奥海</t>
        </is>
      </c>
      <c r="K376" s="734" t="inlineStr">
        <is>
          <t>CHANHUA PTE. LTD.</t>
        </is>
      </c>
      <c r="L376" s="736" t="n">
        <v>8.527799999999999</v>
      </c>
      <c r="M376" s="403" t="inlineStr">
        <is>
          <t>1403241011120033</t>
        </is>
      </c>
      <c r="N376" s="398" t="n"/>
    </row>
    <row r="377" customFormat="1" s="1">
      <c r="A377" s="1" t="n">
        <v>377</v>
      </c>
      <c r="B377" s="733" t="inlineStr">
        <is>
          <t>chanhua</t>
        </is>
      </c>
      <c r="C377" s="733" t="n">
        <v>45561</v>
      </c>
      <c r="D377" s="673" t="inlineStr">
        <is>
          <t>香港比特</t>
        </is>
      </c>
      <c r="E377" s="734" t="inlineStr">
        <is>
          <t>WX-HN</t>
        </is>
      </c>
      <c r="F377" s="734" t="inlineStr">
        <is>
          <t>BM2382AA</t>
        </is>
      </c>
      <c r="G377" s="673">
        <f>VLOOKUP(F377,编码对账表!C:D,2,0)</f>
        <v/>
      </c>
      <c r="H377" s="396" t="n">
        <v>606603</v>
      </c>
      <c r="I377" s="85" t="inlineStr">
        <is>
          <t>HKK202410110011</t>
        </is>
      </c>
      <c r="J377" s="736" t="inlineStr">
        <is>
          <t>印尼奥海</t>
        </is>
      </c>
      <c r="K377" s="734" t="inlineStr">
        <is>
          <t>CHANHUA PTE. LTD.</t>
        </is>
      </c>
      <c r="L377" s="736" t="n">
        <v>2.9899</v>
      </c>
      <c r="M377" s="403" t="inlineStr">
        <is>
          <t>1403241011120033</t>
        </is>
      </c>
      <c r="N377" s="398" t="n"/>
    </row>
    <row r="378" customFormat="1" s="1">
      <c r="A378" s="1" t="n">
        <v>378</v>
      </c>
      <c r="B378" s="733" t="inlineStr">
        <is>
          <t>chanhua</t>
        </is>
      </c>
      <c r="C378" s="733" t="n">
        <v>45582</v>
      </c>
      <c r="D378" s="673" t="inlineStr">
        <is>
          <t>新加坡比特</t>
        </is>
      </c>
      <c r="E378" s="734" t="inlineStr">
        <is>
          <t>XJ</t>
        </is>
      </c>
      <c r="F378" s="734" t="inlineStr">
        <is>
          <t>BM1368PB</t>
        </is>
      </c>
      <c r="G378" s="673">
        <f>VLOOKUP(F378,编码对账表!C:D,2,0)</f>
        <v/>
      </c>
      <c r="H378" s="396" t="n">
        <v>800360</v>
      </c>
      <c r="I378" s="415" t="inlineStr">
        <is>
          <t>202410210010</t>
        </is>
      </c>
      <c r="J378" s="736" t="inlineStr">
        <is>
          <t>Nationgate</t>
        </is>
      </c>
      <c r="K378" s="734" t="inlineStr">
        <is>
          <t>CHANHUA PTE. LTD.</t>
        </is>
      </c>
      <c r="L378" s="736" t="n">
        <v>4.382</v>
      </c>
      <c r="M378" s="403" t="inlineStr">
        <is>
          <t>1403241021171005</t>
        </is>
      </c>
      <c r="N378" s="398" t="n"/>
    </row>
    <row r="379" customFormat="1" s="1">
      <c r="A379" s="1" t="n">
        <v>379</v>
      </c>
      <c r="B379" s="733" t="inlineStr">
        <is>
          <t>chanhua</t>
        </is>
      </c>
      <c r="C379" s="733" t="n">
        <v>45583</v>
      </c>
      <c r="D379" s="673" t="inlineStr">
        <is>
          <t>新加坡比特</t>
        </is>
      </c>
      <c r="E379" s="734" t="inlineStr">
        <is>
          <t>SPILSZ</t>
        </is>
      </c>
      <c r="F379" s="734" t="inlineStr">
        <is>
          <t>BM1370BC</t>
        </is>
      </c>
      <c r="G379" s="673">
        <f>VLOOKUP(F379,编码对账表!C:D,2,0)</f>
        <v/>
      </c>
      <c r="H379" s="396" t="n">
        <v>60834</v>
      </c>
      <c r="I379" s="415" t="inlineStr">
        <is>
          <t>202410210010</t>
        </is>
      </c>
      <c r="J379" s="736" t="inlineStr">
        <is>
          <t>Nationgate</t>
        </is>
      </c>
      <c r="K379" s="734" t="inlineStr">
        <is>
          <t>CHANHUA PTE. LTD.</t>
        </is>
      </c>
      <c r="L379" s="736" t="n">
        <v>8.527799999999999</v>
      </c>
      <c r="M379" s="403" t="inlineStr">
        <is>
          <t>1403241021171005</t>
        </is>
      </c>
      <c r="N379" s="398" t="n"/>
    </row>
    <row r="380" customFormat="1" s="1">
      <c r="A380" s="1" t="n">
        <v>380</v>
      </c>
      <c r="B380" s="733" t="inlineStr">
        <is>
          <t>chanhua</t>
        </is>
      </c>
      <c r="C380" s="733" t="n">
        <v>45583</v>
      </c>
      <c r="D380" s="673" t="inlineStr">
        <is>
          <t>新加坡比特</t>
        </is>
      </c>
      <c r="E380" s="734" t="inlineStr">
        <is>
          <t>SPILSZ</t>
        </is>
      </c>
      <c r="F380" s="734" t="inlineStr">
        <is>
          <t>BM1370PA</t>
        </is>
      </c>
      <c r="G380" s="673">
        <f>VLOOKUP(F380,编码对账表!C:D,2,0)</f>
        <v/>
      </c>
      <c r="H380" s="396" t="n">
        <v>41800</v>
      </c>
      <c r="I380" s="415" t="inlineStr">
        <is>
          <t>202410210010</t>
        </is>
      </c>
      <c r="J380" s="736" t="inlineStr">
        <is>
          <t>Nationgate</t>
        </is>
      </c>
      <c r="K380" s="734" t="inlineStr">
        <is>
          <t>CHANHUA PTE. LTD.</t>
        </is>
      </c>
      <c r="L380" s="736" t="n">
        <v>8.527799999999999</v>
      </c>
      <c r="M380" s="403" t="inlineStr">
        <is>
          <t>1403241021171005</t>
        </is>
      </c>
      <c r="N380" s="398" t="n"/>
    </row>
    <row r="381" customFormat="1" s="1">
      <c r="A381" s="1" t="n">
        <v>381</v>
      </c>
      <c r="B381" s="733" t="inlineStr">
        <is>
          <t>chanhua</t>
        </is>
      </c>
      <c r="C381" s="733" t="n">
        <v>45582</v>
      </c>
      <c r="D381" s="673" t="inlineStr">
        <is>
          <t>新加坡比特</t>
        </is>
      </c>
      <c r="E381" s="734" t="inlineStr">
        <is>
          <t>JSCC</t>
        </is>
      </c>
      <c r="F381" s="734" t="inlineStr">
        <is>
          <t>BM1368PB</t>
        </is>
      </c>
      <c r="G381" s="673">
        <f>VLOOKUP(F381,编码对账表!C:D,2,0)</f>
        <v/>
      </c>
      <c r="H381" s="396" t="n">
        <v>166538</v>
      </c>
      <c r="I381" s="85" t="inlineStr">
        <is>
          <t>202410210011</t>
        </is>
      </c>
      <c r="J381" s="736" t="inlineStr">
        <is>
          <t>PIE</t>
        </is>
      </c>
      <c r="K381" s="734" t="inlineStr">
        <is>
          <t>CHANHUA PTE. LTD.</t>
        </is>
      </c>
      <c r="L381" s="736" t="n">
        <v>4.382</v>
      </c>
      <c r="M381" s="403" t="inlineStr">
        <is>
          <t>1403241021171021</t>
        </is>
      </c>
      <c r="N381" s="398" t="n"/>
    </row>
    <row r="382" customFormat="1" s="1">
      <c r="A382" s="1" t="n">
        <v>382</v>
      </c>
      <c r="B382" s="733" t="inlineStr">
        <is>
          <t>chanhua</t>
        </is>
      </c>
      <c r="C382" s="733" t="n">
        <v>45582</v>
      </c>
      <c r="D382" s="673" t="inlineStr">
        <is>
          <t>新加坡比特</t>
        </is>
      </c>
      <c r="E382" s="734" t="inlineStr">
        <is>
          <t>JSCC</t>
        </is>
      </c>
      <c r="F382" s="734" t="inlineStr">
        <is>
          <t>BM1370PA</t>
        </is>
      </c>
      <c r="G382" s="673">
        <f>VLOOKUP(F382,编码对账表!C:D,2,0)</f>
        <v/>
      </c>
      <c r="H382" s="396" t="n">
        <v>19030</v>
      </c>
      <c r="I382" s="415" t="inlineStr">
        <is>
          <t>202410210011</t>
        </is>
      </c>
      <c r="J382" s="736" t="inlineStr">
        <is>
          <t>PIE</t>
        </is>
      </c>
      <c r="K382" s="734" t="inlineStr">
        <is>
          <t>CHANHUA PTE. LTD.</t>
        </is>
      </c>
      <c r="L382" s="736" t="n">
        <v>8.527799999999999</v>
      </c>
      <c r="M382" s="403" t="inlineStr">
        <is>
          <t>1403241021171021</t>
        </is>
      </c>
      <c r="N382" s="398" t="n"/>
    </row>
    <row r="383" customFormat="1" s="1">
      <c r="A383" s="1" t="n">
        <v>383</v>
      </c>
      <c r="B383" s="733" t="inlineStr">
        <is>
          <t>chanhua</t>
        </is>
      </c>
      <c r="C383" s="733" t="n">
        <v>45585</v>
      </c>
      <c r="D383" s="673" t="inlineStr">
        <is>
          <t>新加坡比特</t>
        </is>
      </c>
      <c r="E383" s="734" t="inlineStr">
        <is>
          <t>SPILSZ</t>
        </is>
      </c>
      <c r="F383" s="734" t="inlineStr">
        <is>
          <t>BM1370PA</t>
        </is>
      </c>
      <c r="G383" s="673">
        <f>VLOOKUP(F383,编码对账表!C:D,2,0)</f>
        <v/>
      </c>
      <c r="H383" s="396" t="n">
        <v>604817</v>
      </c>
      <c r="I383" s="85" t="inlineStr">
        <is>
          <t>202410210011</t>
        </is>
      </c>
      <c r="J383" s="736" t="inlineStr">
        <is>
          <t>PIE</t>
        </is>
      </c>
      <c r="K383" s="734" t="inlineStr">
        <is>
          <t>CHANHUA PTE. LTD.</t>
        </is>
      </c>
      <c r="L383" s="736" t="n">
        <v>8.527799999999999</v>
      </c>
      <c r="M383" s="403" t="inlineStr">
        <is>
          <t>1403241021171021</t>
        </is>
      </c>
      <c r="N383" s="398" t="n"/>
    </row>
    <row r="384" customFormat="1" s="1">
      <c r="A384" s="1" t="n">
        <v>384</v>
      </c>
      <c r="B384" s="733" t="inlineStr">
        <is>
          <t>chanhua</t>
        </is>
      </c>
      <c r="C384" s="733" t="n">
        <v>45583</v>
      </c>
      <c r="D384" s="673" t="inlineStr">
        <is>
          <t>新加坡比特</t>
        </is>
      </c>
      <c r="E384" s="734" t="inlineStr">
        <is>
          <t>JSCC</t>
        </is>
      </c>
      <c r="F384" s="734" t="inlineStr">
        <is>
          <t>BM1370PM</t>
        </is>
      </c>
      <c r="G384" s="673">
        <f>VLOOKUP(F384,编码对账表!C:D,2,0)</f>
        <v/>
      </c>
      <c r="H384" s="396" t="n">
        <v>265367</v>
      </c>
      <c r="I384" s="85" t="inlineStr">
        <is>
          <t>202410210011</t>
        </is>
      </c>
      <c r="J384" s="736" t="inlineStr">
        <is>
          <t>PIE</t>
        </is>
      </c>
      <c r="K384" s="734" t="inlineStr">
        <is>
          <t>CHANHUA PTE. LTD.</t>
        </is>
      </c>
      <c r="L384" s="736" t="n">
        <v>8.527799999999999</v>
      </c>
      <c r="M384" s="403" t="inlineStr">
        <is>
          <t>1403241021171021</t>
        </is>
      </c>
      <c r="N384" s="398" t="n"/>
    </row>
    <row r="385" s="184">
      <c r="A385" s="1" t="n">
        <v>385</v>
      </c>
      <c r="B385" s="733" t="inlineStr">
        <is>
          <t>chanhua</t>
        </is>
      </c>
      <c r="C385" s="733" t="n">
        <v>45582</v>
      </c>
      <c r="D385" s="673" t="inlineStr">
        <is>
          <t>新加坡比特</t>
        </is>
      </c>
      <c r="E385" s="734" t="inlineStr">
        <is>
          <t>JSCC</t>
        </is>
      </c>
      <c r="F385" s="734" t="inlineStr">
        <is>
          <t>BM1370BC</t>
        </is>
      </c>
      <c r="G385" s="673">
        <f>VLOOKUP(F385,编码对账表!C:D,2,0)</f>
        <v/>
      </c>
      <c r="H385" s="396" t="n">
        <v>155483</v>
      </c>
      <c r="I385" s="85" t="inlineStr">
        <is>
          <t>202410210012</t>
        </is>
      </c>
      <c r="J385" s="736" t="inlineStr">
        <is>
          <t>泰国ONETEC</t>
        </is>
      </c>
      <c r="K385" s="734" t="inlineStr">
        <is>
          <t>CHANHUA PTE. LTD.</t>
        </is>
      </c>
      <c r="L385" s="736" t="n">
        <v>8.527799999999999</v>
      </c>
      <c r="M385" s="403" t="inlineStr">
        <is>
          <t>1403241021171034</t>
        </is>
      </c>
    </row>
    <row r="386" s="184">
      <c r="A386" s="1" t="n">
        <v>386</v>
      </c>
      <c r="B386" s="733" t="inlineStr">
        <is>
          <t>chanhua</t>
        </is>
      </c>
      <c r="C386" s="733" t="n">
        <v>45575</v>
      </c>
      <c r="D386" s="673" t="inlineStr">
        <is>
          <t>新加坡比特</t>
        </is>
      </c>
      <c r="E386" s="734" t="inlineStr">
        <is>
          <t>JSCC</t>
        </is>
      </c>
      <c r="F386" s="734" t="inlineStr">
        <is>
          <t>BM1370PA</t>
        </is>
      </c>
      <c r="G386" s="673">
        <f>VLOOKUP(F386,编码对账表!C:D,2,0)</f>
        <v/>
      </c>
      <c r="H386" s="396" t="n">
        <v>459235</v>
      </c>
      <c r="I386" s="85" t="inlineStr">
        <is>
          <t>202410210012</t>
        </is>
      </c>
      <c r="J386" s="736" t="inlineStr">
        <is>
          <t>泰国ONETEC</t>
        </is>
      </c>
      <c r="K386" s="734" t="inlineStr">
        <is>
          <t>CHANHUA PTE. LTD.</t>
        </is>
      </c>
      <c r="L386" s="736" t="n">
        <v>8.527799999999999</v>
      </c>
      <c r="M386" s="403" t="inlineStr">
        <is>
          <t>1403241021171034</t>
        </is>
      </c>
    </row>
    <row r="387" s="184">
      <c r="A387" s="1" t="n">
        <v>387</v>
      </c>
      <c r="B387" s="733" t="inlineStr">
        <is>
          <t>chanhua</t>
        </is>
      </c>
      <c r="C387" s="733" t="n">
        <v>45582</v>
      </c>
      <c r="D387" s="673" t="inlineStr">
        <is>
          <t>新加坡比特</t>
        </is>
      </c>
      <c r="E387" s="734" t="inlineStr">
        <is>
          <t>SPILSZ</t>
        </is>
      </c>
      <c r="F387" s="734" t="inlineStr">
        <is>
          <t>BM1370PA</t>
        </is>
      </c>
      <c r="G387" s="673">
        <f>VLOOKUP(F387,编码对账表!C:D,2,0)</f>
        <v/>
      </c>
      <c r="H387" s="396" t="n">
        <v>1231200</v>
      </c>
      <c r="I387" s="85" t="inlineStr">
        <is>
          <t>202410210012</t>
        </is>
      </c>
      <c r="J387" s="736" t="inlineStr">
        <is>
          <t>泰国ONETEC</t>
        </is>
      </c>
      <c r="K387" s="734" t="inlineStr">
        <is>
          <t>CHANHUA PTE. LTD.</t>
        </is>
      </c>
      <c r="L387" s="736" t="n">
        <v>8.527799999999999</v>
      </c>
      <c r="M387" s="403" t="inlineStr">
        <is>
          <t>1403241021171034</t>
        </is>
      </c>
    </row>
    <row r="388" s="184">
      <c r="A388" s="1" t="n">
        <v>388</v>
      </c>
      <c r="B388" s="733" t="inlineStr">
        <is>
          <t>chanhua</t>
        </is>
      </c>
      <c r="C388" s="733" t="n">
        <v>45579</v>
      </c>
      <c r="D388" s="673" t="inlineStr">
        <is>
          <t>香港比特</t>
        </is>
      </c>
      <c r="E388" s="734" t="inlineStr">
        <is>
          <t>ASE-KH</t>
        </is>
      </c>
      <c r="F388" s="734" t="inlineStr">
        <is>
          <t>BM1370PA</t>
        </is>
      </c>
      <c r="G388" s="673">
        <f>VLOOKUP(F388,编码对账表!C:D,2,0)</f>
        <v/>
      </c>
      <c r="H388" s="396" t="n">
        <v>149587</v>
      </c>
      <c r="I388" s="85" t="inlineStr">
        <is>
          <t>HKK202410210010</t>
        </is>
      </c>
      <c r="J388" s="736" t="inlineStr">
        <is>
          <t>泰国群光</t>
        </is>
      </c>
      <c r="K388" s="734" t="inlineStr">
        <is>
          <t>CHANHUA PTE. LTD.</t>
        </is>
      </c>
      <c r="L388" s="736" t="n">
        <v>8.527799999999999</v>
      </c>
      <c r="M388" s="403" t="inlineStr">
        <is>
          <t>1403241021173305</t>
        </is>
      </c>
    </row>
    <row r="389" s="184">
      <c r="A389" s="1" t="n">
        <v>389</v>
      </c>
      <c r="B389" s="733" t="inlineStr">
        <is>
          <t>chanhua</t>
        </is>
      </c>
      <c r="C389" s="733" t="n">
        <v>45579</v>
      </c>
      <c r="D389" s="673" t="inlineStr">
        <is>
          <t>香港比特</t>
        </is>
      </c>
      <c r="E389" s="734" t="inlineStr">
        <is>
          <t>ASECL</t>
        </is>
      </c>
      <c r="F389" s="734" t="inlineStr">
        <is>
          <t>BM1370PA</t>
        </is>
      </c>
      <c r="G389" s="673">
        <f>VLOOKUP(F389,编码对账表!C:D,2,0)</f>
        <v/>
      </c>
      <c r="H389" s="396" t="n">
        <v>90973</v>
      </c>
      <c r="I389" s="85" t="inlineStr">
        <is>
          <t>HKK202410210010</t>
        </is>
      </c>
      <c r="J389" s="736" t="inlineStr">
        <is>
          <t>泰国群光</t>
        </is>
      </c>
      <c r="K389" s="734" t="inlineStr">
        <is>
          <t>CHANHUA PTE. LTD.</t>
        </is>
      </c>
      <c r="L389" s="736" t="n">
        <v>8.527799999999999</v>
      </c>
      <c r="M389" s="403" t="inlineStr">
        <is>
          <t>1403241021173305</t>
        </is>
      </c>
    </row>
    <row r="390" s="184">
      <c r="A390" s="1" t="n">
        <v>390</v>
      </c>
      <c r="B390" s="733" t="inlineStr">
        <is>
          <t>chanhua</t>
        </is>
      </c>
      <c r="C390" s="733" t="n">
        <v>45579</v>
      </c>
      <c r="D390" s="673" t="inlineStr">
        <is>
          <t>香港比特</t>
        </is>
      </c>
      <c r="E390" s="734" t="inlineStr">
        <is>
          <t>JSCC</t>
        </is>
      </c>
      <c r="F390" s="734" t="inlineStr">
        <is>
          <t>BM1370PA</t>
        </is>
      </c>
      <c r="G390" s="673">
        <f>VLOOKUP(F390,编码对账表!C:D,2,0)</f>
        <v/>
      </c>
      <c r="H390" s="396" t="n">
        <v>308649</v>
      </c>
      <c r="I390" s="85" t="inlineStr">
        <is>
          <t>HKK202410210010</t>
        </is>
      </c>
      <c r="J390" s="736" t="inlineStr">
        <is>
          <t>泰国群光</t>
        </is>
      </c>
      <c r="K390" s="734" t="inlineStr">
        <is>
          <t>CHANHUA PTE. LTD.</t>
        </is>
      </c>
      <c r="L390" s="736" t="n">
        <v>8.527799999999999</v>
      </c>
      <c r="M390" s="403" t="inlineStr">
        <is>
          <t>1403241021173305</t>
        </is>
      </c>
    </row>
    <row r="391" s="184">
      <c r="A391" s="1" t="n">
        <v>391</v>
      </c>
      <c r="B391" s="733" t="inlineStr">
        <is>
          <t>chanhua</t>
        </is>
      </c>
      <c r="C391" s="733" t="n">
        <v>45578</v>
      </c>
      <c r="D391" s="673" t="inlineStr">
        <is>
          <t>香港比特</t>
        </is>
      </c>
      <c r="E391" s="734" t="inlineStr">
        <is>
          <t>SPILSZ</t>
        </is>
      </c>
      <c r="F391" s="734" t="inlineStr">
        <is>
          <t>BM1370PA</t>
        </is>
      </c>
      <c r="G391" s="673">
        <f>VLOOKUP(F391,编码对账表!C:D,2,0)</f>
        <v/>
      </c>
      <c r="H391" s="396" t="n">
        <v>947228</v>
      </c>
      <c r="I391" s="85" t="inlineStr">
        <is>
          <t>HKK202410210010</t>
        </is>
      </c>
      <c r="J391" s="736" t="inlineStr">
        <is>
          <t>泰国群光</t>
        </is>
      </c>
      <c r="K391" s="734" t="inlineStr">
        <is>
          <t>CHANHUA PTE. LTD.</t>
        </is>
      </c>
      <c r="L391" s="736" t="n">
        <v>8.527799999999999</v>
      </c>
      <c r="M391" s="403" t="inlineStr">
        <is>
          <t>1403241021173305</t>
        </is>
      </c>
    </row>
    <row r="392" s="184">
      <c r="A392" s="1" t="n">
        <v>392</v>
      </c>
      <c r="B392" s="733" t="inlineStr">
        <is>
          <t>chanhua</t>
        </is>
      </c>
      <c r="C392" s="733" t="n">
        <v>45575</v>
      </c>
      <c r="D392" s="673" t="inlineStr">
        <is>
          <t>香港比特</t>
        </is>
      </c>
      <c r="E392" s="734" t="inlineStr">
        <is>
          <t>JSCC</t>
        </is>
      </c>
      <c r="F392" s="734" t="inlineStr">
        <is>
          <t>BM1370AA</t>
        </is>
      </c>
      <c r="G392" s="673">
        <f>VLOOKUP(F392,编码对账表!C:D,2,0)</f>
        <v/>
      </c>
      <c r="H392" s="396" t="n">
        <v>11527</v>
      </c>
      <c r="I392" s="85" t="inlineStr">
        <is>
          <t>HKK202410210011</t>
        </is>
      </c>
      <c r="J392" s="736" t="inlineStr">
        <is>
          <t>印尼奥海</t>
        </is>
      </c>
      <c r="K392" s="734" t="inlineStr">
        <is>
          <t>CHANHUA PTE. LTD.</t>
        </is>
      </c>
      <c r="L392" s="736" t="n">
        <v>8.527799999999999</v>
      </c>
      <c r="M392" s="403" t="inlineStr">
        <is>
          <t>1403241021173317</t>
        </is>
      </c>
    </row>
    <row r="393" s="184">
      <c r="A393" s="1" t="n">
        <v>393</v>
      </c>
      <c r="B393" s="733" t="inlineStr">
        <is>
          <t>chanhua</t>
        </is>
      </c>
      <c r="C393" s="733" t="n">
        <v>45576</v>
      </c>
      <c r="D393" s="673" t="inlineStr">
        <is>
          <t>香港比特</t>
        </is>
      </c>
      <c r="E393" s="734" t="inlineStr">
        <is>
          <t>JSCC</t>
        </is>
      </c>
      <c r="F393" s="734" t="inlineStr">
        <is>
          <t>BM1370PA</t>
        </is>
      </c>
      <c r="G393" s="673">
        <f>VLOOKUP(F393,编码对账表!C:D,2,0)</f>
        <v/>
      </c>
      <c r="H393" s="396" t="n">
        <v>2916760</v>
      </c>
      <c r="I393" s="85" t="inlineStr">
        <is>
          <t>HKK202410210011</t>
        </is>
      </c>
      <c r="J393" s="736" t="inlineStr">
        <is>
          <t>印尼奥海</t>
        </is>
      </c>
      <c r="K393" s="734" t="inlineStr">
        <is>
          <t>CHANHUA PTE. LTD.</t>
        </is>
      </c>
      <c r="L393" s="736" t="n">
        <v>8.527799999999999</v>
      </c>
      <c r="M393" s="403" t="inlineStr">
        <is>
          <t>1403241021173317</t>
        </is>
      </c>
    </row>
    <row r="394" s="184">
      <c r="A394" s="1" t="n">
        <v>394</v>
      </c>
      <c r="B394" s="733" t="inlineStr">
        <is>
          <t>chanhua</t>
        </is>
      </c>
      <c r="C394" s="733" t="n">
        <v>45585</v>
      </c>
      <c r="D394" s="673" t="inlineStr">
        <is>
          <t>香港比特</t>
        </is>
      </c>
      <c r="E394" s="734" t="inlineStr">
        <is>
          <t>SPILSZ</t>
        </is>
      </c>
      <c r="F394" s="734" t="inlineStr">
        <is>
          <t>BM1370PA</t>
        </is>
      </c>
      <c r="G394" s="673">
        <f>VLOOKUP(F394,编码对账表!C:D,2,0)</f>
        <v/>
      </c>
      <c r="H394" s="396" t="n">
        <v>307800</v>
      </c>
      <c r="I394" s="85" t="inlineStr">
        <is>
          <t>HKK202410210011</t>
        </is>
      </c>
      <c r="J394" s="736" t="inlineStr">
        <is>
          <t>印尼奥海</t>
        </is>
      </c>
      <c r="K394" s="734" t="inlineStr">
        <is>
          <t>CHANHUA PTE. LTD.</t>
        </is>
      </c>
      <c r="L394" s="736" t="n">
        <v>8.527799999999999</v>
      </c>
      <c r="M394" s="403" t="inlineStr">
        <is>
          <t>1403241021173317</t>
        </is>
      </c>
    </row>
    <row r="395" s="184">
      <c r="A395" s="1" t="n">
        <v>395</v>
      </c>
      <c r="B395" s="733" t="inlineStr">
        <is>
          <t>chanhua</t>
        </is>
      </c>
      <c r="C395" s="733" t="n">
        <v>45583</v>
      </c>
      <c r="D395" s="673" t="inlineStr">
        <is>
          <t>香港比特</t>
        </is>
      </c>
      <c r="E395" s="734" t="inlineStr">
        <is>
          <t>JSCC</t>
        </is>
      </c>
      <c r="F395" s="734" t="inlineStr">
        <is>
          <t>BM1370PM</t>
        </is>
      </c>
      <c r="G395" s="673">
        <f>VLOOKUP(F395,编码对账表!C:D,2,0)</f>
        <v/>
      </c>
      <c r="H395" s="396" t="n">
        <v>409531</v>
      </c>
      <c r="I395" s="85" t="inlineStr">
        <is>
          <t>HKK202410210011</t>
        </is>
      </c>
      <c r="J395" s="736" t="inlineStr">
        <is>
          <t>印尼奥海</t>
        </is>
      </c>
      <c r="K395" s="734" t="inlineStr">
        <is>
          <t>CHANHUA PTE. LTD.</t>
        </is>
      </c>
      <c r="L395" s="736" t="n">
        <v>8.527799999999999</v>
      </c>
      <c r="M395" s="403" t="inlineStr">
        <is>
          <t>1403241021173317</t>
        </is>
      </c>
    </row>
    <row r="396" s="184">
      <c r="A396" s="1" t="n">
        <v>396</v>
      </c>
      <c r="B396" s="733" t="inlineStr">
        <is>
          <t>chanhua</t>
        </is>
      </c>
      <c r="C396" s="733" t="n">
        <v>45590</v>
      </c>
      <c r="D396" s="673" t="inlineStr">
        <is>
          <t>新加坡比特</t>
        </is>
      </c>
      <c r="E396" s="734" t="inlineStr">
        <is>
          <t>ASE-KH</t>
        </is>
      </c>
      <c r="F396" s="734" t="inlineStr">
        <is>
          <t>BM1368PB</t>
        </is>
      </c>
      <c r="G396" s="673">
        <f>VLOOKUP(F396,编码对账表!C:D,2,0)</f>
        <v/>
      </c>
      <c r="H396" s="396" t="n">
        <v>764387</v>
      </c>
      <c r="I396" s="85" t="inlineStr">
        <is>
          <t>202410310011</t>
        </is>
      </c>
      <c r="J396" s="736" t="inlineStr">
        <is>
          <t>Nationgate</t>
        </is>
      </c>
      <c r="K396" s="734" t="inlineStr">
        <is>
          <t>CHANHUA PTE. LTD.</t>
        </is>
      </c>
      <c r="L396" s="736" t="n">
        <v>4.382</v>
      </c>
      <c r="M396" s="403" t="inlineStr">
        <is>
          <t>1403241031144740</t>
        </is>
      </c>
    </row>
    <row r="397" s="184">
      <c r="A397" s="1" t="n">
        <v>397</v>
      </c>
      <c r="B397" s="733" t="inlineStr">
        <is>
          <t>chanhua</t>
        </is>
      </c>
      <c r="C397" s="733" t="n">
        <v>45593</v>
      </c>
      <c r="D397" s="673" t="inlineStr">
        <is>
          <t>新加坡比特</t>
        </is>
      </c>
      <c r="E397" s="734" t="inlineStr">
        <is>
          <t>WX-HN</t>
        </is>
      </c>
      <c r="F397" s="734" t="inlineStr">
        <is>
          <t>BM1368PB</t>
        </is>
      </c>
      <c r="G397" s="673">
        <f>VLOOKUP(F397,编码对账表!C:D,2,0)</f>
        <v/>
      </c>
      <c r="H397" s="396" t="n">
        <v>1673552</v>
      </c>
      <c r="I397" s="85" t="inlineStr">
        <is>
          <t>202410310011</t>
        </is>
      </c>
      <c r="J397" s="736" t="inlineStr">
        <is>
          <t>Nationgate</t>
        </is>
      </c>
      <c r="K397" s="734" t="inlineStr">
        <is>
          <t>CHANHUA PTE. LTD.</t>
        </is>
      </c>
      <c r="L397" s="736" t="n">
        <v>4.382</v>
      </c>
      <c r="M397" s="403" t="inlineStr">
        <is>
          <t>1403241031144740</t>
        </is>
      </c>
    </row>
    <row r="398" s="184">
      <c r="A398" s="1" t="n">
        <v>398</v>
      </c>
      <c r="B398" s="733" t="inlineStr">
        <is>
          <t>chanhua</t>
        </is>
      </c>
      <c r="C398" s="733" t="n">
        <v>45589</v>
      </c>
      <c r="D398" s="673" t="inlineStr">
        <is>
          <t>新加坡比特</t>
        </is>
      </c>
      <c r="E398" s="734" t="inlineStr">
        <is>
          <t>XJ</t>
        </is>
      </c>
      <c r="F398" s="734" t="inlineStr">
        <is>
          <t>BM1368PB</t>
        </is>
      </c>
      <c r="G398" s="673">
        <f>VLOOKUP(F398,编码对账表!C:D,2,0)</f>
        <v/>
      </c>
      <c r="H398" s="396" t="n">
        <v>1006697</v>
      </c>
      <c r="I398" s="85" t="inlineStr">
        <is>
          <t>202410310011</t>
        </is>
      </c>
      <c r="J398" s="736" t="inlineStr">
        <is>
          <t>Nationgate</t>
        </is>
      </c>
      <c r="K398" s="734" t="inlineStr">
        <is>
          <t>CHANHUA PTE. LTD.</t>
        </is>
      </c>
      <c r="L398" s="736" t="n">
        <v>4.382</v>
      </c>
      <c r="M398" s="403" t="inlineStr">
        <is>
          <t>1403241031144740</t>
        </is>
      </c>
    </row>
    <row r="399" s="184">
      <c r="A399" s="1" t="n">
        <v>399</v>
      </c>
      <c r="B399" s="733" t="inlineStr">
        <is>
          <t>chanhua</t>
        </is>
      </c>
      <c r="C399" s="733" t="n">
        <v>45590</v>
      </c>
      <c r="D399" s="673" t="inlineStr">
        <is>
          <t>新加坡比特</t>
        </is>
      </c>
      <c r="E399" s="734" t="inlineStr">
        <is>
          <t>JSCC</t>
        </is>
      </c>
      <c r="F399" s="734" t="inlineStr">
        <is>
          <t>BM1370BC</t>
        </is>
      </c>
      <c r="G399" s="673">
        <f>VLOOKUP(F399,编码对账表!C:D,2,0)</f>
        <v/>
      </c>
      <c r="H399" s="396" t="n">
        <v>593485</v>
      </c>
      <c r="I399" s="85" t="inlineStr">
        <is>
          <t>202410310012</t>
        </is>
      </c>
      <c r="J399" s="736" t="inlineStr">
        <is>
          <t>PIE</t>
        </is>
      </c>
      <c r="K399" s="734" t="inlineStr">
        <is>
          <t>CHANHUA PTE. LTD.</t>
        </is>
      </c>
      <c r="L399" s="736" t="n">
        <v>8.527799999999999</v>
      </c>
      <c r="M399" s="403" t="inlineStr">
        <is>
          <t>1403241031144840</t>
        </is>
      </c>
    </row>
    <row r="400" s="184">
      <c r="A400" s="1" t="n">
        <v>400</v>
      </c>
      <c r="B400" s="733" t="inlineStr">
        <is>
          <t>chanhua</t>
        </is>
      </c>
      <c r="C400" s="733" t="n">
        <v>45590</v>
      </c>
      <c r="D400" s="673" t="inlineStr">
        <is>
          <t>新加坡比特</t>
        </is>
      </c>
      <c r="E400" s="734" t="inlineStr">
        <is>
          <t>JSCC</t>
        </is>
      </c>
      <c r="F400" s="734" t="inlineStr">
        <is>
          <t>BM1370PA</t>
        </is>
      </c>
      <c r="G400" s="673">
        <f>VLOOKUP(F400,编码对账表!C:D,2,0)</f>
        <v/>
      </c>
      <c r="H400" s="396" t="n">
        <v>224824</v>
      </c>
      <c r="I400" s="85" t="inlineStr">
        <is>
          <t>202410310012</t>
        </is>
      </c>
      <c r="J400" s="736" t="inlineStr">
        <is>
          <t>PIE</t>
        </is>
      </c>
      <c r="K400" s="734" t="inlineStr">
        <is>
          <t>CHANHUA PTE. LTD.</t>
        </is>
      </c>
      <c r="L400" s="736" t="n">
        <v>8.527799999999999</v>
      </c>
      <c r="M400" s="403" t="inlineStr">
        <is>
          <t>1403241031144840</t>
        </is>
      </c>
    </row>
    <row r="401" s="184">
      <c r="A401" s="1" t="n">
        <v>401</v>
      </c>
      <c r="B401" s="733" t="inlineStr">
        <is>
          <t>chanhua</t>
        </is>
      </c>
      <c r="C401" s="733" t="n">
        <v>45591</v>
      </c>
      <c r="D401" s="673" t="inlineStr">
        <is>
          <t>新加坡比特</t>
        </is>
      </c>
      <c r="E401" s="734" t="inlineStr">
        <is>
          <t>SPILSZ</t>
        </is>
      </c>
      <c r="F401" s="734" t="inlineStr">
        <is>
          <t>BM1370PA</t>
        </is>
      </c>
      <c r="G401" s="673">
        <f>VLOOKUP(F401,编码对账表!C:D,2,0)</f>
        <v/>
      </c>
      <c r="H401" s="396" t="n">
        <v>873257</v>
      </c>
      <c r="I401" s="85" t="inlineStr">
        <is>
          <t>202410310012</t>
        </is>
      </c>
      <c r="J401" s="736" t="inlineStr">
        <is>
          <t>PIE</t>
        </is>
      </c>
      <c r="K401" s="734" t="inlineStr">
        <is>
          <t>CHANHUA PTE. LTD.</t>
        </is>
      </c>
      <c r="L401" s="736" t="n">
        <v>8.527799999999999</v>
      </c>
      <c r="M401" s="403" t="inlineStr">
        <is>
          <t>1403241031144840</t>
        </is>
      </c>
    </row>
    <row r="402" s="184">
      <c r="A402" s="1" t="n">
        <v>402</v>
      </c>
      <c r="B402" s="733" t="inlineStr">
        <is>
          <t>chanhua</t>
        </is>
      </c>
      <c r="C402" s="733" t="n">
        <v>45594</v>
      </c>
      <c r="D402" s="673" t="inlineStr">
        <is>
          <t>新加坡比特</t>
        </is>
      </c>
      <c r="E402" s="734" t="inlineStr">
        <is>
          <t>JSCC</t>
        </is>
      </c>
      <c r="F402" s="734" t="inlineStr">
        <is>
          <t>BM1370PM</t>
        </is>
      </c>
      <c r="G402" s="673">
        <f>VLOOKUP(F402,编码对账表!C:D,2,0)</f>
        <v/>
      </c>
      <c r="H402" s="396" t="n">
        <v>557067</v>
      </c>
      <c r="I402" s="85" t="inlineStr">
        <is>
          <t>202410310012</t>
        </is>
      </c>
      <c r="J402" s="736" t="inlineStr">
        <is>
          <t>PIE</t>
        </is>
      </c>
      <c r="K402" s="734" t="inlineStr">
        <is>
          <t>CHANHUA PTE. LTD.</t>
        </is>
      </c>
      <c r="L402" s="736" t="n">
        <v>8.527799999999999</v>
      </c>
      <c r="M402" s="403" t="inlineStr">
        <is>
          <t>1403241031144840</t>
        </is>
      </c>
    </row>
    <row r="403" s="184">
      <c r="A403" s="1" t="n">
        <v>403</v>
      </c>
      <c r="B403" s="733" t="inlineStr">
        <is>
          <t>香港比特</t>
        </is>
      </c>
      <c r="C403" s="733" t="n">
        <v>45593</v>
      </c>
      <c r="D403" s="673" t="inlineStr">
        <is>
          <t>新加坡比特</t>
        </is>
      </c>
      <c r="E403" s="734" t="inlineStr">
        <is>
          <t>JSCC</t>
        </is>
      </c>
      <c r="F403" s="734" t="inlineStr">
        <is>
          <t>BM1368AA</t>
        </is>
      </c>
      <c r="G403" s="673">
        <f>VLOOKUP(F403,编码对账表!C:D,2,0)</f>
        <v/>
      </c>
      <c r="H403" s="396" t="n">
        <v>4670</v>
      </c>
      <c r="I403" s="85" t="inlineStr">
        <is>
          <t>202410310015</t>
        </is>
      </c>
      <c r="J403" s="736" t="inlineStr">
        <is>
          <t>泰国ONETEC</t>
        </is>
      </c>
      <c r="K403" s="734" t="inlineStr">
        <is>
          <t>CHANHUA PTE. LTD.</t>
        </is>
      </c>
      <c r="L403" s="736" t="n">
        <v>6.774</v>
      </c>
      <c r="M403" s="403" t="inlineStr">
        <is>
          <t>1005024103111999</t>
        </is>
      </c>
    </row>
    <row r="404" s="184">
      <c r="A404" s="1" t="n">
        <v>404</v>
      </c>
      <c r="B404" s="733" t="inlineStr">
        <is>
          <t>香港比特</t>
        </is>
      </c>
      <c r="C404" s="733" t="n">
        <v>45590</v>
      </c>
      <c r="D404" s="673" t="inlineStr">
        <is>
          <t>新加坡比特</t>
        </is>
      </c>
      <c r="E404" s="734" t="inlineStr">
        <is>
          <t>NJ-VT</t>
        </is>
      </c>
      <c r="F404" s="734" t="inlineStr">
        <is>
          <t>BM1368AA</t>
        </is>
      </c>
      <c r="G404" s="673">
        <f>VLOOKUP(F404,编码对账表!C:D,2,0)</f>
        <v/>
      </c>
      <c r="H404" s="396" t="n">
        <v>16070</v>
      </c>
      <c r="I404" s="85" t="inlineStr">
        <is>
          <t>202410310015</t>
        </is>
      </c>
      <c r="J404" s="736" t="inlineStr">
        <is>
          <t>泰国ONETEC</t>
        </is>
      </c>
      <c r="K404" s="734" t="inlineStr">
        <is>
          <t>CHANHUA PTE. LTD.</t>
        </is>
      </c>
      <c r="L404" s="736" t="n">
        <v>6.774</v>
      </c>
      <c r="M404" s="403" t="inlineStr">
        <is>
          <t>1005024103111999</t>
        </is>
      </c>
    </row>
    <row r="405" s="184">
      <c r="A405" s="1" t="n">
        <v>405</v>
      </c>
      <c r="B405" s="733" t="inlineStr">
        <is>
          <t>香港比特</t>
        </is>
      </c>
      <c r="C405" s="733" t="n">
        <v>45593</v>
      </c>
      <c r="D405" s="673" t="inlineStr">
        <is>
          <t>新加坡比特</t>
        </is>
      </c>
      <c r="E405" s="734" t="inlineStr">
        <is>
          <t>WX-HN</t>
        </is>
      </c>
      <c r="F405" s="734" t="inlineStr">
        <is>
          <t>BM1368AA</t>
        </is>
      </c>
      <c r="G405" s="673">
        <f>VLOOKUP(F405,编码对账表!C:D,2,0)</f>
        <v/>
      </c>
      <c r="H405" s="396" t="n">
        <v>33602</v>
      </c>
      <c r="I405" s="85" t="inlineStr">
        <is>
          <t>202410310015</t>
        </is>
      </c>
      <c r="J405" s="736" t="inlineStr">
        <is>
          <t>泰国ONETEC</t>
        </is>
      </c>
      <c r="K405" s="734" t="inlineStr">
        <is>
          <t>CHANHUA PTE. LTD.</t>
        </is>
      </c>
      <c r="L405" s="736" t="n">
        <v>6.774</v>
      </c>
      <c r="M405" s="403" t="inlineStr">
        <is>
          <t>1005024103111999</t>
        </is>
      </c>
    </row>
    <row r="406" s="184">
      <c r="A406" s="1" t="n">
        <v>406</v>
      </c>
      <c r="B406" s="733" t="inlineStr">
        <is>
          <t>chanhua</t>
        </is>
      </c>
      <c r="C406" s="733" t="n">
        <v>45593</v>
      </c>
      <c r="D406" s="673" t="inlineStr">
        <is>
          <t>新加坡比特</t>
        </is>
      </c>
      <c r="E406" s="734" t="inlineStr">
        <is>
          <t>JSCC</t>
        </is>
      </c>
      <c r="F406" s="734" t="inlineStr">
        <is>
          <t>BM1368AA</t>
        </is>
      </c>
      <c r="G406" s="673">
        <f>VLOOKUP(F406,编码对账表!C:D,2,0)</f>
        <v/>
      </c>
      <c r="H406" s="396" t="n">
        <v>103263</v>
      </c>
      <c r="I406" s="85" t="inlineStr">
        <is>
          <t>202410310013</t>
        </is>
      </c>
      <c r="J406" s="736" t="inlineStr">
        <is>
          <t>泰国ONETEC</t>
        </is>
      </c>
      <c r="K406" s="734" t="inlineStr">
        <is>
          <t>CHANHUA PTE. LTD.</t>
        </is>
      </c>
      <c r="L406" s="736" t="n">
        <v>5.4151</v>
      </c>
      <c r="M406" s="403" t="inlineStr">
        <is>
          <t>1403241031144908</t>
        </is>
      </c>
    </row>
    <row r="407" s="184">
      <c r="A407" s="1" t="n">
        <v>407</v>
      </c>
      <c r="B407" s="733" t="inlineStr">
        <is>
          <t>chanhua</t>
        </is>
      </c>
      <c r="C407" s="733" t="n">
        <v>45590</v>
      </c>
      <c r="D407" s="673" t="inlineStr">
        <is>
          <t>新加坡比特</t>
        </is>
      </c>
      <c r="E407" s="734" t="inlineStr">
        <is>
          <t>NJ-VT</t>
        </is>
      </c>
      <c r="F407" s="734" t="inlineStr">
        <is>
          <t>BM1368AA</t>
        </is>
      </c>
      <c r="G407" s="673">
        <f>VLOOKUP(F407,编码对账表!C:D,2,0)</f>
        <v/>
      </c>
      <c r="H407" s="396" t="n">
        <v>54035</v>
      </c>
      <c r="I407" s="85" t="inlineStr">
        <is>
          <t>202410310013</t>
        </is>
      </c>
      <c r="J407" s="736" t="inlineStr">
        <is>
          <t>泰国ONETEC</t>
        </is>
      </c>
      <c r="K407" s="734" t="inlineStr">
        <is>
          <t>CHANHUA PTE. LTD.</t>
        </is>
      </c>
      <c r="L407" s="736" t="n">
        <v>5.4151</v>
      </c>
      <c r="M407" s="403" t="inlineStr">
        <is>
          <t>1403241031144908</t>
        </is>
      </c>
    </row>
    <row r="408" s="184">
      <c r="A408" s="1" t="n">
        <v>408</v>
      </c>
      <c r="B408" s="733" t="inlineStr">
        <is>
          <t>chanhua</t>
        </is>
      </c>
      <c r="C408" s="733" t="n">
        <v>45593</v>
      </c>
      <c r="D408" s="673" t="inlineStr">
        <is>
          <t>新加坡比特</t>
        </is>
      </c>
      <c r="E408" s="734" t="inlineStr">
        <is>
          <t>WX-HN</t>
        </is>
      </c>
      <c r="F408" s="734" t="inlineStr">
        <is>
          <t>BM1368AA</t>
        </is>
      </c>
      <c r="G408" s="673">
        <f>VLOOKUP(F408,编码对账表!C:D,2,0)</f>
        <v/>
      </c>
      <c r="H408" s="396" t="n">
        <v>2268267</v>
      </c>
      <c r="I408" s="85" t="inlineStr">
        <is>
          <t>202410310013</t>
        </is>
      </c>
      <c r="J408" s="736" t="inlineStr">
        <is>
          <t>泰国ONETEC</t>
        </is>
      </c>
      <c r="K408" s="734" t="inlineStr">
        <is>
          <t>CHANHUA PTE. LTD.</t>
        </is>
      </c>
      <c r="L408" s="736" t="n">
        <v>5.4151</v>
      </c>
      <c r="M408" s="403" t="inlineStr">
        <is>
          <t>1403241031144908</t>
        </is>
      </c>
    </row>
    <row r="409" s="184">
      <c r="A409" s="1" t="n">
        <v>409</v>
      </c>
      <c r="B409" s="733" t="inlineStr">
        <is>
          <t>chanhua</t>
        </is>
      </c>
      <c r="C409" s="733" t="n">
        <v>45591</v>
      </c>
      <c r="D409" s="673" t="inlineStr">
        <is>
          <t>新加坡比特</t>
        </is>
      </c>
      <c r="E409" s="734" t="inlineStr">
        <is>
          <t>XJ</t>
        </is>
      </c>
      <c r="F409" s="734" t="inlineStr">
        <is>
          <t>BM1368AA</t>
        </is>
      </c>
      <c r="G409" s="673">
        <f>VLOOKUP(F409,编码对账表!C:D,2,0)</f>
        <v/>
      </c>
      <c r="H409" s="396" t="n">
        <v>2610251</v>
      </c>
      <c r="I409" s="85" t="inlineStr">
        <is>
          <t>202410310013</t>
        </is>
      </c>
      <c r="J409" s="736" t="inlineStr">
        <is>
          <t>泰国ONETEC</t>
        </is>
      </c>
      <c r="K409" s="734" t="inlineStr">
        <is>
          <t>CHANHUA PTE. LTD.</t>
        </is>
      </c>
      <c r="L409" s="736" t="n">
        <v>5.4151</v>
      </c>
      <c r="M409" s="403" t="inlineStr">
        <is>
          <t>1403241031144908</t>
        </is>
      </c>
    </row>
    <row r="410" s="184">
      <c r="A410" s="1" t="n">
        <v>410</v>
      </c>
      <c r="B410" s="733" t="inlineStr">
        <is>
          <t>chanhua</t>
        </is>
      </c>
      <c r="C410" s="733" t="n">
        <v>45590</v>
      </c>
      <c r="D410" s="673" t="inlineStr">
        <is>
          <t>新加坡比特</t>
        </is>
      </c>
      <c r="E410" s="734" t="inlineStr">
        <is>
          <t>ASE-KH</t>
        </is>
      </c>
      <c r="F410" s="734" t="inlineStr">
        <is>
          <t>BM1370PA</t>
        </is>
      </c>
      <c r="G410" s="673">
        <f>VLOOKUP(F410,编码对账表!C:D,2,0)</f>
        <v/>
      </c>
      <c r="H410" s="396" t="n">
        <v>702284</v>
      </c>
      <c r="I410" s="85" t="inlineStr">
        <is>
          <t>202410310013</t>
        </is>
      </c>
      <c r="J410" s="736" t="inlineStr">
        <is>
          <t>泰国ONETEC</t>
        </is>
      </c>
      <c r="K410" s="734" t="inlineStr">
        <is>
          <t>CHANHUA PTE. LTD.</t>
        </is>
      </c>
      <c r="L410" s="736" t="n">
        <v>8.527799999999999</v>
      </c>
      <c r="M410" s="403" t="inlineStr">
        <is>
          <t>1403241031144908</t>
        </is>
      </c>
    </row>
    <row r="411" s="184">
      <c r="A411" s="1" t="n">
        <v>411</v>
      </c>
      <c r="B411" s="733" t="inlineStr">
        <is>
          <t>chanhua</t>
        </is>
      </c>
      <c r="C411" s="733" t="n">
        <v>45590</v>
      </c>
      <c r="D411" s="673" t="inlineStr">
        <is>
          <t>新加坡比特</t>
        </is>
      </c>
      <c r="E411" s="734" t="inlineStr">
        <is>
          <t>ASECL</t>
        </is>
      </c>
      <c r="F411" s="734" t="inlineStr">
        <is>
          <t>BM1370PA</t>
        </is>
      </c>
      <c r="G411" s="673">
        <f>VLOOKUP(F411,编码对账表!C:D,2,0)</f>
        <v/>
      </c>
      <c r="H411" s="396" t="n">
        <v>654509</v>
      </c>
      <c r="I411" s="85" t="inlineStr">
        <is>
          <t>202410310013</t>
        </is>
      </c>
      <c r="J411" s="736" t="inlineStr">
        <is>
          <t>泰国ONETEC</t>
        </is>
      </c>
      <c r="K411" s="734" t="inlineStr">
        <is>
          <t>CHANHUA PTE. LTD.</t>
        </is>
      </c>
      <c r="L411" s="736" t="n">
        <v>8.527799999999999</v>
      </c>
      <c r="M411" s="403" t="inlineStr">
        <is>
          <t>1403241031144908</t>
        </is>
      </c>
    </row>
    <row r="412" s="184">
      <c r="A412" s="1" t="n">
        <v>412</v>
      </c>
      <c r="B412" s="733" t="inlineStr">
        <is>
          <t>chanhua</t>
        </is>
      </c>
      <c r="C412" s="733" t="n">
        <v>45590</v>
      </c>
      <c r="D412" s="673" t="inlineStr">
        <is>
          <t>新加坡比特</t>
        </is>
      </c>
      <c r="E412" s="734" t="inlineStr">
        <is>
          <t>JSCC</t>
        </is>
      </c>
      <c r="F412" s="734" t="inlineStr">
        <is>
          <t>BM1370PA</t>
        </is>
      </c>
      <c r="G412" s="673">
        <f>VLOOKUP(F412,编码对账表!C:D,2,0)</f>
        <v/>
      </c>
      <c r="H412" s="396" t="n">
        <v>634135</v>
      </c>
      <c r="I412" s="85" t="inlineStr">
        <is>
          <t>202410310013</t>
        </is>
      </c>
      <c r="J412" s="736" t="inlineStr">
        <is>
          <t>泰国ONETEC</t>
        </is>
      </c>
      <c r="K412" s="734" t="inlineStr">
        <is>
          <t>CHANHUA PTE. LTD.</t>
        </is>
      </c>
      <c r="L412" s="736" t="n">
        <v>8.527799999999999</v>
      </c>
      <c r="M412" s="403" t="inlineStr">
        <is>
          <t>1403241031144908</t>
        </is>
      </c>
    </row>
    <row r="413" s="184">
      <c r="A413" s="1" t="n">
        <v>413</v>
      </c>
      <c r="B413" s="733" t="inlineStr">
        <is>
          <t>chanhua</t>
        </is>
      </c>
      <c r="C413" s="733" t="n">
        <v>45593</v>
      </c>
      <c r="D413" s="673" t="inlineStr">
        <is>
          <t>新加坡比特</t>
        </is>
      </c>
      <c r="E413" s="734" t="inlineStr">
        <is>
          <t>SPILSZ</t>
        </is>
      </c>
      <c r="F413" s="734" t="inlineStr">
        <is>
          <t>BM1370PA</t>
        </is>
      </c>
      <c r="G413" s="673">
        <f>VLOOKUP(F413,编码对账表!C:D,2,0)</f>
        <v/>
      </c>
      <c r="H413" s="396" t="n">
        <v>1467997</v>
      </c>
      <c r="I413" s="85" t="inlineStr">
        <is>
          <t>202410310013</t>
        </is>
      </c>
      <c r="J413" s="736" t="inlineStr">
        <is>
          <t>泰国ONETEC</t>
        </is>
      </c>
      <c r="K413" s="734" t="inlineStr">
        <is>
          <t>CHANHUA PTE. LTD.</t>
        </is>
      </c>
      <c r="L413" s="736" t="n">
        <v>8.527799999999999</v>
      </c>
      <c r="M413" s="403" t="inlineStr">
        <is>
          <t>1403241031144908</t>
        </is>
      </c>
    </row>
    <row r="414" s="184">
      <c r="A414" s="1" t="n">
        <v>414</v>
      </c>
      <c r="B414" s="733" t="inlineStr">
        <is>
          <t>chanhua</t>
        </is>
      </c>
      <c r="C414" s="733" t="n">
        <v>45594</v>
      </c>
      <c r="D414" s="673" t="inlineStr">
        <is>
          <t>新加坡比特</t>
        </is>
      </c>
      <c r="E414" s="734" t="inlineStr">
        <is>
          <t>JSCC</t>
        </is>
      </c>
      <c r="F414" s="734" t="inlineStr">
        <is>
          <t>BM1370PM</t>
        </is>
      </c>
      <c r="G414" s="673">
        <f>VLOOKUP(F414,编码对账表!C:D,2,0)</f>
        <v/>
      </c>
      <c r="H414" s="396" t="n">
        <v>143397</v>
      </c>
      <c r="I414" s="85" t="inlineStr">
        <is>
          <t>202410310013</t>
        </is>
      </c>
      <c r="J414" s="736" t="inlineStr">
        <is>
          <t>泰国ONETEC</t>
        </is>
      </c>
      <c r="K414" s="734" t="inlineStr">
        <is>
          <t>CHANHUA PTE. LTD.</t>
        </is>
      </c>
      <c r="L414" s="736" t="n">
        <v>8.527799999999999</v>
      </c>
      <c r="M414" s="403" t="inlineStr">
        <is>
          <t>1403241031144908</t>
        </is>
      </c>
    </row>
    <row r="415" s="184">
      <c r="A415" s="1" t="n">
        <v>415</v>
      </c>
      <c r="B415" s="733" t="inlineStr">
        <is>
          <t>chanhua</t>
        </is>
      </c>
      <c r="C415" s="733" t="n">
        <v>45591</v>
      </c>
      <c r="D415" s="673" t="inlineStr">
        <is>
          <t>香港比特</t>
        </is>
      </c>
      <c r="E415" s="734" t="inlineStr">
        <is>
          <t>SPILSZ</t>
        </is>
      </c>
      <c r="F415" s="734" t="inlineStr">
        <is>
          <t>BM1370BC</t>
        </is>
      </c>
      <c r="G415" s="673">
        <f>VLOOKUP(F415,编码对账表!C:D,2,0)</f>
        <v/>
      </c>
      <c r="H415" s="396" t="n">
        <v>188521</v>
      </c>
      <c r="I415" s="735" t="inlineStr">
        <is>
          <t>HKK202410310010</t>
        </is>
      </c>
      <c r="J415" s="736" t="inlineStr">
        <is>
          <t>泰国群光</t>
        </is>
      </c>
      <c r="K415" s="734" t="inlineStr">
        <is>
          <t>CHANHUA PTE. LTD.</t>
        </is>
      </c>
      <c r="L415" s="736" t="n">
        <v>8.527799999999999</v>
      </c>
      <c r="M415" s="403" t="inlineStr">
        <is>
          <t>1403241031145307</t>
        </is>
      </c>
    </row>
    <row r="416" s="184">
      <c r="A416" s="1" t="n">
        <v>416</v>
      </c>
      <c r="B416" s="733" t="inlineStr">
        <is>
          <t>chanhua</t>
        </is>
      </c>
      <c r="C416" s="733" t="n">
        <v>45591</v>
      </c>
      <c r="D416" s="673" t="inlineStr">
        <is>
          <t>香港比特</t>
        </is>
      </c>
      <c r="E416" s="734" t="inlineStr">
        <is>
          <t>SPILSZ</t>
        </is>
      </c>
      <c r="F416" s="734" t="inlineStr">
        <is>
          <t>BM1370PA</t>
        </is>
      </c>
      <c r="G416" s="673">
        <f>VLOOKUP(F416,编码对账表!C:D,2,0)</f>
        <v/>
      </c>
      <c r="H416" s="396" t="n">
        <v>835595</v>
      </c>
      <c r="I416" s="735" t="inlineStr">
        <is>
          <t>HKK202410310010</t>
        </is>
      </c>
      <c r="J416" s="736" t="inlineStr">
        <is>
          <t>泰国群光</t>
        </is>
      </c>
      <c r="K416" s="734" t="inlineStr">
        <is>
          <t>CHANHUA PTE. LTD.</t>
        </is>
      </c>
      <c r="L416" s="736" t="n">
        <v>8.527799999999999</v>
      </c>
      <c r="M416" s="403" t="inlineStr">
        <is>
          <t>1403241031145307</t>
        </is>
      </c>
    </row>
    <row r="417" s="184">
      <c r="A417" s="1" t="n">
        <v>417</v>
      </c>
      <c r="B417" s="733" t="inlineStr">
        <is>
          <t>chanhua</t>
        </is>
      </c>
      <c r="C417" s="733" t="n">
        <v>45593</v>
      </c>
      <c r="D417" s="673" t="inlineStr">
        <is>
          <t>香港比特</t>
        </is>
      </c>
      <c r="E417" s="734" t="inlineStr">
        <is>
          <t>XJ</t>
        </is>
      </c>
      <c r="F417" s="734" t="inlineStr">
        <is>
          <t>BM1368AA</t>
        </is>
      </c>
      <c r="G417" s="673">
        <f>VLOOKUP(F417,编码对账表!C:D,2,0)</f>
        <v/>
      </c>
      <c r="H417" s="396" t="n">
        <v>1401894</v>
      </c>
      <c r="I417" s="735" t="inlineStr">
        <is>
          <t>HKK202410310011</t>
        </is>
      </c>
      <c r="J417" s="736" t="inlineStr">
        <is>
          <t>印尼奥海</t>
        </is>
      </c>
      <c r="K417" s="734" t="inlineStr">
        <is>
          <t>CHANHUA PTE. LTD.</t>
        </is>
      </c>
      <c r="L417" s="736" t="n">
        <v>5.4151</v>
      </c>
      <c r="M417" s="403" t="inlineStr">
        <is>
          <t>1403241031145341</t>
        </is>
      </c>
    </row>
    <row r="418" s="184">
      <c r="A418" s="1" t="n">
        <v>418</v>
      </c>
      <c r="B418" s="733" t="inlineStr">
        <is>
          <t>chanhua</t>
        </is>
      </c>
      <c r="C418" s="733" t="n">
        <v>45590</v>
      </c>
      <c r="D418" s="673" t="inlineStr">
        <is>
          <t>香港比特</t>
        </is>
      </c>
      <c r="E418" s="734" t="inlineStr">
        <is>
          <t>WX-HN</t>
        </is>
      </c>
      <c r="F418" s="734" t="inlineStr">
        <is>
          <t>BM1368PB</t>
        </is>
      </c>
      <c r="G418" s="673">
        <f>VLOOKUP(F418,编码对账表!C:D,2,0)</f>
        <v/>
      </c>
      <c r="H418" s="396" t="n">
        <v>1088485</v>
      </c>
      <c r="I418" s="735" t="inlineStr">
        <is>
          <t>HKK202410310011</t>
        </is>
      </c>
      <c r="J418" s="736" t="inlineStr">
        <is>
          <t>印尼奥海</t>
        </is>
      </c>
      <c r="K418" s="734" t="inlineStr">
        <is>
          <t>CHANHUA PTE. LTD.</t>
        </is>
      </c>
      <c r="L418" s="736" t="n">
        <v>4.382</v>
      </c>
      <c r="M418" s="403" t="inlineStr">
        <is>
          <t>1403241031145341</t>
        </is>
      </c>
    </row>
    <row r="419" s="184">
      <c r="A419" s="1" t="n">
        <v>419</v>
      </c>
      <c r="B419" s="733" t="inlineStr">
        <is>
          <t>chanhua</t>
        </is>
      </c>
      <c r="C419" s="733" t="n">
        <v>45588</v>
      </c>
      <c r="D419" s="673" t="inlineStr">
        <is>
          <t>香港比特</t>
        </is>
      </c>
      <c r="E419" s="734" t="inlineStr">
        <is>
          <t>XJ</t>
        </is>
      </c>
      <c r="F419" s="734" t="inlineStr">
        <is>
          <t>BM1368PB</t>
        </is>
      </c>
      <c r="G419" s="673">
        <f>VLOOKUP(F419,编码对账表!C:D,2,0)</f>
        <v/>
      </c>
      <c r="H419" s="396" t="n">
        <v>890231</v>
      </c>
      <c r="I419" s="735" t="inlineStr">
        <is>
          <t>HKK202410310011</t>
        </is>
      </c>
      <c r="J419" s="736" t="inlineStr">
        <is>
          <t>印尼奥海</t>
        </is>
      </c>
      <c r="K419" s="734" t="inlineStr">
        <is>
          <t>CHANHUA PTE. LTD.</t>
        </is>
      </c>
      <c r="L419" s="736" t="n">
        <v>4.382</v>
      </c>
      <c r="M419" s="403" t="inlineStr">
        <is>
          <t>1403241031145341</t>
        </is>
      </c>
    </row>
    <row r="420" s="184">
      <c r="A420" s="1" t="n">
        <v>420</v>
      </c>
      <c r="B420" s="733" t="inlineStr">
        <is>
          <t>chanhua</t>
        </is>
      </c>
      <c r="C420" s="733" t="n">
        <v>45590</v>
      </c>
      <c r="D420" s="673" t="inlineStr">
        <is>
          <t>香港比特</t>
        </is>
      </c>
      <c r="E420" s="734" t="inlineStr">
        <is>
          <t>ASECL</t>
        </is>
      </c>
      <c r="F420" s="734" t="inlineStr">
        <is>
          <t>BM1370PA</t>
        </is>
      </c>
      <c r="G420" s="673">
        <f>VLOOKUP(F420,编码对账表!C:D,2,0)</f>
        <v/>
      </c>
      <c r="H420" s="396" t="n">
        <v>379734</v>
      </c>
      <c r="I420" s="735" t="inlineStr">
        <is>
          <t>HKK202410310011</t>
        </is>
      </c>
      <c r="J420" s="736" t="inlineStr">
        <is>
          <t>印尼奥海</t>
        </is>
      </c>
      <c r="K420" s="734" t="inlineStr">
        <is>
          <t>CHANHUA PTE. LTD.</t>
        </is>
      </c>
      <c r="L420" s="736" t="n">
        <v>8.527799999999999</v>
      </c>
      <c r="M420" s="403" t="inlineStr">
        <is>
          <t>1403241031145341</t>
        </is>
      </c>
    </row>
    <row r="421" s="184">
      <c r="A421" s="1" t="n">
        <v>421</v>
      </c>
      <c r="B421" s="733" t="inlineStr">
        <is>
          <t>chanhua</t>
        </is>
      </c>
      <c r="C421" s="733" t="n">
        <v>45593</v>
      </c>
      <c r="D421" s="673" t="inlineStr">
        <is>
          <t>香港比特</t>
        </is>
      </c>
      <c r="E421" s="734" t="inlineStr">
        <is>
          <t>JSCC</t>
        </is>
      </c>
      <c r="F421" s="734" t="inlineStr">
        <is>
          <t>BM1370PA</t>
        </is>
      </c>
      <c r="G421" s="673">
        <f>VLOOKUP(F421,编码对账表!C:D,2,0)</f>
        <v/>
      </c>
      <c r="H421" s="396" t="n">
        <v>812083</v>
      </c>
      <c r="I421" s="735" t="inlineStr">
        <is>
          <t>HKK202410310011</t>
        </is>
      </c>
      <c r="J421" s="736" t="inlineStr">
        <is>
          <t>印尼奥海</t>
        </is>
      </c>
      <c r="K421" s="734" t="inlineStr">
        <is>
          <t>CHANHUA PTE. LTD.</t>
        </is>
      </c>
      <c r="L421" s="736" t="n">
        <v>8.527799999999999</v>
      </c>
      <c r="M421" s="403" t="inlineStr">
        <is>
          <t>1403241031145341</t>
        </is>
      </c>
    </row>
    <row r="422" s="184">
      <c r="A422" s="1" t="n">
        <v>422</v>
      </c>
      <c r="B422" s="733" t="inlineStr">
        <is>
          <t>chanhua</t>
        </is>
      </c>
      <c r="C422" s="733" t="n">
        <v>45593</v>
      </c>
      <c r="D422" s="673" t="inlineStr">
        <is>
          <t>香港比特</t>
        </is>
      </c>
      <c r="E422" s="734" t="inlineStr">
        <is>
          <t>SPILSZ</t>
        </is>
      </c>
      <c r="F422" s="734" t="inlineStr">
        <is>
          <t>BM1370PA</t>
        </is>
      </c>
      <c r="G422" s="673">
        <f>VLOOKUP(F422,编码对账表!C:D,2,0)</f>
        <v/>
      </c>
      <c r="H422" s="396" t="n">
        <v>3673954</v>
      </c>
      <c r="I422" s="735" t="inlineStr">
        <is>
          <t>HKK202410310011</t>
        </is>
      </c>
      <c r="J422" s="736" t="inlineStr">
        <is>
          <t>印尼奥海</t>
        </is>
      </c>
      <c r="K422" s="734" t="inlineStr">
        <is>
          <t>CHANHUA PTE. LTD.</t>
        </is>
      </c>
      <c r="L422" s="736" t="n">
        <v>8.527799999999999</v>
      </c>
      <c r="M422" s="403" t="inlineStr">
        <is>
          <t>1403241031145341</t>
        </is>
      </c>
    </row>
    <row r="423" s="184">
      <c r="A423" s="1" t="n">
        <v>423</v>
      </c>
      <c r="B423" s="733" t="inlineStr">
        <is>
          <t>chanhua</t>
        </is>
      </c>
      <c r="C423" s="733" t="n">
        <v>45593</v>
      </c>
      <c r="D423" s="673" t="inlineStr">
        <is>
          <t>香港比特</t>
        </is>
      </c>
      <c r="E423" s="734" t="inlineStr">
        <is>
          <t>JSCC</t>
        </is>
      </c>
      <c r="F423" s="734" t="inlineStr">
        <is>
          <t>BM1370PM</t>
        </is>
      </c>
      <c r="G423" s="673">
        <f>VLOOKUP(F423,编码对账表!C:D,2,0)</f>
        <v/>
      </c>
      <c r="H423" s="396" t="n">
        <v>838156</v>
      </c>
      <c r="I423" s="735" t="inlineStr">
        <is>
          <t>HKK202410310011</t>
        </is>
      </c>
      <c r="J423" s="736" t="inlineStr">
        <is>
          <t>印尼奥海</t>
        </is>
      </c>
      <c r="K423" s="734" t="inlineStr">
        <is>
          <t>CHANHUA PTE. LTD.</t>
        </is>
      </c>
      <c r="L423" s="736" t="n">
        <v>8.527799999999999</v>
      </c>
      <c r="M423" s="403" t="inlineStr">
        <is>
          <t>1403241031145341</t>
        </is>
      </c>
    </row>
    <row r="424" s="184">
      <c r="A424" s="1" t="n">
        <v>424</v>
      </c>
      <c r="B424" s="733" t="inlineStr">
        <is>
          <t>chanhua</t>
        </is>
      </c>
      <c r="C424" s="733" t="n">
        <v>45596</v>
      </c>
      <c r="D424" s="673" t="inlineStr">
        <is>
          <t>香港比特</t>
        </is>
      </c>
      <c r="E424" s="734" t="inlineStr">
        <is>
          <t>SPILSZ</t>
        </is>
      </c>
      <c r="F424" s="734" t="inlineStr">
        <is>
          <t>BM1370PA</t>
        </is>
      </c>
      <c r="G424" s="673">
        <f>VLOOKUP(F424,编码对账表!C:D,2,0)</f>
        <v/>
      </c>
      <c r="H424" s="396" t="n">
        <v>390958</v>
      </c>
      <c r="I424" s="415" t="inlineStr">
        <is>
          <t>HKK202411080010</t>
        </is>
      </c>
      <c r="J424" s="736" t="inlineStr">
        <is>
          <t>泰国群光</t>
        </is>
      </c>
      <c r="K424" s="734" t="inlineStr">
        <is>
          <t>CHANHUA PTE. LTD.</t>
        </is>
      </c>
      <c r="L424" s="736" t="n">
        <v>8.527799999999999</v>
      </c>
      <c r="M424" s="403" t="inlineStr">
        <is>
          <t>1403241108135056</t>
        </is>
      </c>
    </row>
    <row r="425" s="184">
      <c r="A425" s="1" t="n">
        <v>425</v>
      </c>
      <c r="B425" s="733" t="inlineStr">
        <is>
          <t>chanhua</t>
        </is>
      </c>
      <c r="C425" s="733" t="n">
        <v>45596</v>
      </c>
      <c r="D425" s="673" t="inlineStr">
        <is>
          <t>香港比特</t>
        </is>
      </c>
      <c r="E425" s="734" t="inlineStr">
        <is>
          <t>TFME</t>
        </is>
      </c>
      <c r="F425" s="734" t="inlineStr">
        <is>
          <t>BM1370PA</t>
        </is>
      </c>
      <c r="G425" s="673">
        <f>VLOOKUP(F425,编码对账表!C:D,2,0)</f>
        <v/>
      </c>
      <c r="H425" s="396" t="n">
        <v>14268</v>
      </c>
      <c r="I425" s="415" t="inlineStr">
        <is>
          <t>HKK202411080010</t>
        </is>
      </c>
      <c r="J425" s="736" t="inlineStr">
        <is>
          <t>泰国群光</t>
        </is>
      </c>
      <c r="K425" s="734" t="inlineStr">
        <is>
          <t>CHANHUA PTE. LTD.</t>
        </is>
      </c>
      <c r="L425" s="736" t="n">
        <v>8.527799999999999</v>
      </c>
      <c r="M425" s="403" t="inlineStr">
        <is>
          <t>1403241108135056</t>
        </is>
      </c>
    </row>
    <row r="426" s="184">
      <c r="A426" s="1" t="n">
        <v>426</v>
      </c>
      <c r="B426" s="749" t="inlineStr">
        <is>
          <t>chanhua</t>
        </is>
      </c>
      <c r="C426" s="749" t="n">
        <v>45607</v>
      </c>
      <c r="D426" s="704" t="inlineStr">
        <is>
          <t>香港比特</t>
        </is>
      </c>
      <c r="E426" s="747" t="inlineStr">
        <is>
          <t>XJ</t>
        </is>
      </c>
      <c r="F426" s="747" t="inlineStr">
        <is>
          <t>BM1368AA</t>
        </is>
      </c>
      <c r="G426" s="704">
        <f>VLOOKUP(F426,编码对账表!C:D,2,0)</f>
        <v/>
      </c>
      <c r="H426" s="404" t="n">
        <v>38433</v>
      </c>
      <c r="I426" s="418" t="inlineStr">
        <is>
          <t>HKK202411111011</t>
        </is>
      </c>
      <c r="J426" s="746" t="inlineStr">
        <is>
          <t>XJ</t>
        </is>
      </c>
      <c r="K426" s="747" t="inlineStr">
        <is>
          <t>CHANHUA PTE. LTD.</t>
        </is>
      </c>
      <c r="L426" s="746" t="n">
        <v>5.4151</v>
      </c>
      <c r="M426" s="408" t="inlineStr">
        <is>
          <t>1403241111134532</t>
        </is>
      </c>
      <c r="N426" s="398" t="inlineStr">
        <is>
          <t>已做</t>
        </is>
      </c>
    </row>
    <row r="427" s="184">
      <c r="A427" s="1" t="n">
        <v>427</v>
      </c>
      <c r="B427" s="733" t="inlineStr">
        <is>
          <t>香港比特</t>
        </is>
      </c>
      <c r="C427" s="733" t="n">
        <v>45601</v>
      </c>
      <c r="D427" s="673" t="inlineStr">
        <is>
          <t>新加坡比特</t>
        </is>
      </c>
      <c r="E427" s="734" t="inlineStr">
        <is>
          <t>泰国群光(XJ)</t>
        </is>
      </c>
      <c r="F427" s="734" t="inlineStr">
        <is>
          <t>BM1368AA</t>
        </is>
      </c>
      <c r="G427" s="673">
        <f>VLOOKUP(F427,编码对账表!C:D,2,0)</f>
        <v/>
      </c>
      <c r="H427" s="396" t="n">
        <v>111272</v>
      </c>
      <c r="I427" s="85" t="inlineStr">
        <is>
          <t>202411140010</t>
        </is>
      </c>
      <c r="J427" s="736" t="inlineStr">
        <is>
          <t>Nationgate</t>
        </is>
      </c>
      <c r="K427" s="734" t="inlineStr">
        <is>
          <t>CHANHUA PTE. LTD.</t>
        </is>
      </c>
      <c r="M427" s="403" t="inlineStr">
        <is>
          <t>1005241114101051</t>
        </is>
      </c>
    </row>
    <row r="428" s="184">
      <c r="A428" s="1" t="n">
        <v>428</v>
      </c>
      <c r="B428" s="733" t="inlineStr">
        <is>
          <t>chanhua</t>
        </is>
      </c>
      <c r="C428" s="733" t="n">
        <v>45604</v>
      </c>
      <c r="D428" s="673" t="inlineStr">
        <is>
          <t>新加坡比特</t>
        </is>
      </c>
      <c r="E428" s="734" t="inlineStr">
        <is>
          <t>JSCC</t>
        </is>
      </c>
      <c r="F428" s="734" t="inlineStr">
        <is>
          <t>BM1368AA</t>
        </is>
      </c>
      <c r="G428" s="673">
        <f>VLOOKUP(F428,编码对账表!C:D,2,0)</f>
        <v/>
      </c>
      <c r="H428" s="396" t="n">
        <v>327214</v>
      </c>
      <c r="I428" s="85" t="inlineStr">
        <is>
          <t>202411110020</t>
        </is>
      </c>
      <c r="J428" s="736" t="inlineStr">
        <is>
          <t>Nationgate</t>
        </is>
      </c>
      <c r="K428" s="734" t="inlineStr">
        <is>
          <t>CHANHUA PTE. LTD.</t>
        </is>
      </c>
      <c r="L428" s="736" t="n">
        <v>5.4151</v>
      </c>
      <c r="M428" s="403" t="inlineStr">
        <is>
          <t>1403241111173217</t>
        </is>
      </c>
    </row>
    <row r="429" s="184">
      <c r="A429" s="1" t="n">
        <v>429</v>
      </c>
      <c r="B429" s="733" t="inlineStr">
        <is>
          <t>chanhua</t>
        </is>
      </c>
      <c r="C429" s="733" t="n">
        <v>45604</v>
      </c>
      <c r="D429" s="673" t="inlineStr">
        <is>
          <t>新加坡比特</t>
        </is>
      </c>
      <c r="E429" s="734" t="inlineStr">
        <is>
          <t>XJ</t>
        </is>
      </c>
      <c r="F429" s="734" t="inlineStr">
        <is>
          <t>BM1368AA</t>
        </is>
      </c>
      <c r="G429" s="673">
        <f>VLOOKUP(F429,编码对账表!C:D,2,0)</f>
        <v/>
      </c>
      <c r="H429" s="396" t="n">
        <v>192381</v>
      </c>
      <c r="I429" s="85" t="inlineStr">
        <is>
          <t>202411110020</t>
        </is>
      </c>
      <c r="J429" s="736" t="inlineStr">
        <is>
          <t>Nationgate</t>
        </is>
      </c>
      <c r="K429" s="734" t="inlineStr">
        <is>
          <t>CHANHUA PTE. LTD.</t>
        </is>
      </c>
      <c r="L429" s="736" t="n">
        <v>5.4151</v>
      </c>
      <c r="M429" s="403" t="inlineStr">
        <is>
          <t>1403241111173217</t>
        </is>
      </c>
    </row>
    <row r="430" s="184">
      <c r="A430" s="1" t="n">
        <v>430</v>
      </c>
      <c r="B430" s="733" t="inlineStr">
        <is>
          <t>chanhua</t>
        </is>
      </c>
      <c r="C430" s="733" t="n">
        <v>45604</v>
      </c>
      <c r="D430" s="673" t="inlineStr">
        <is>
          <t>新加坡比特</t>
        </is>
      </c>
      <c r="E430" s="734" t="inlineStr">
        <is>
          <t>WX-HN</t>
        </is>
      </c>
      <c r="F430" s="734" t="inlineStr">
        <is>
          <t>BM1368PB</t>
        </is>
      </c>
      <c r="G430" s="673">
        <f>VLOOKUP(F430,编码对账表!C:D,2,0)</f>
        <v/>
      </c>
      <c r="H430" s="396" t="n">
        <v>349100</v>
      </c>
      <c r="I430" s="85" t="inlineStr">
        <is>
          <t>202411110020</t>
        </is>
      </c>
      <c r="J430" s="736" t="inlineStr">
        <is>
          <t>Nationgate</t>
        </is>
      </c>
      <c r="K430" s="734" t="inlineStr">
        <is>
          <t>CHANHUA PTE. LTD.</t>
        </is>
      </c>
      <c r="L430" s="736" t="n">
        <v>4.382</v>
      </c>
      <c r="M430" s="403" t="inlineStr">
        <is>
          <t>1403241111173217</t>
        </is>
      </c>
    </row>
    <row r="431" s="184">
      <c r="A431" s="1" t="n">
        <v>431</v>
      </c>
      <c r="B431" s="733" t="inlineStr">
        <is>
          <t>chanhua</t>
        </is>
      </c>
      <c r="C431" s="733" t="n">
        <v>45597</v>
      </c>
      <c r="D431" s="673" t="inlineStr">
        <is>
          <t>新加坡比特</t>
        </is>
      </c>
      <c r="E431" s="734" t="inlineStr">
        <is>
          <t>XJ</t>
        </is>
      </c>
      <c r="F431" s="734" t="inlineStr">
        <is>
          <t>BM1368PB</t>
        </is>
      </c>
      <c r="G431" s="673">
        <f>VLOOKUP(F431,编码对账表!C:D,2,0)</f>
        <v/>
      </c>
      <c r="H431" s="396" t="n">
        <v>1134861</v>
      </c>
      <c r="I431" s="85" t="inlineStr">
        <is>
          <t>202411110020</t>
        </is>
      </c>
      <c r="J431" s="736" t="inlineStr">
        <is>
          <t>Nationgate</t>
        </is>
      </c>
      <c r="K431" s="734" t="inlineStr">
        <is>
          <t>CHANHUA PTE. LTD.</t>
        </is>
      </c>
      <c r="L431" s="736" t="n">
        <v>4.382</v>
      </c>
      <c r="M431" s="403" t="inlineStr">
        <is>
          <t>1403241111173217</t>
        </is>
      </c>
    </row>
    <row r="432" s="184">
      <c r="A432" s="1" t="n">
        <v>432</v>
      </c>
      <c r="B432" s="733" t="inlineStr">
        <is>
          <t>chanhua</t>
        </is>
      </c>
      <c r="C432" s="733" t="n">
        <v>45597</v>
      </c>
      <c r="D432" s="673" t="inlineStr">
        <is>
          <t>新加坡比特</t>
        </is>
      </c>
      <c r="E432" s="734" t="inlineStr">
        <is>
          <t>XJ</t>
        </is>
      </c>
      <c r="F432" s="734" t="inlineStr">
        <is>
          <t>BM1368PV</t>
        </is>
      </c>
      <c r="G432" s="673">
        <f>VLOOKUP(F432,编码对账表!C:D,2,0)</f>
        <v/>
      </c>
      <c r="H432" s="396" t="n">
        <v>6496</v>
      </c>
      <c r="I432" s="85" t="inlineStr">
        <is>
          <t>202411110020</t>
        </is>
      </c>
      <c r="J432" s="736" t="inlineStr">
        <is>
          <t>Nationgate</t>
        </is>
      </c>
      <c r="K432" s="734" t="inlineStr">
        <is>
          <t>CHANHUA PTE. LTD.</t>
        </is>
      </c>
      <c r="L432" s="736" t="n">
        <v>4.382</v>
      </c>
      <c r="M432" s="403" t="inlineStr">
        <is>
          <t>1403241111173217</t>
        </is>
      </c>
    </row>
    <row r="433" s="184">
      <c r="A433" s="1" t="n">
        <v>433</v>
      </c>
      <c r="B433" s="733" t="inlineStr">
        <is>
          <t>chanhua</t>
        </is>
      </c>
      <c r="C433" s="733" t="n">
        <v>45596</v>
      </c>
      <c r="D433" s="673" t="inlineStr">
        <is>
          <t>新加坡比特</t>
        </is>
      </c>
      <c r="E433" s="734" t="inlineStr">
        <is>
          <t>JSCC</t>
        </is>
      </c>
      <c r="F433" s="734" t="inlineStr">
        <is>
          <t>BM1370AA</t>
        </is>
      </c>
      <c r="G433" s="673">
        <f>VLOOKUP(F433,编码对账表!C:D,2,0)</f>
        <v/>
      </c>
      <c r="H433" s="396" t="n">
        <v>2699</v>
      </c>
      <c r="I433" s="85" t="inlineStr">
        <is>
          <t>202411110021</t>
        </is>
      </c>
      <c r="J433" s="736" t="inlineStr">
        <is>
          <t>PIE</t>
        </is>
      </c>
      <c r="K433" s="734" t="inlineStr">
        <is>
          <t>CHANHUA PTE. LTD.</t>
        </is>
      </c>
      <c r="L433" s="736" t="n">
        <v>8.527799999999999</v>
      </c>
      <c r="M433" s="403" t="inlineStr">
        <is>
          <t>1403241111173236</t>
        </is>
      </c>
    </row>
    <row r="434" s="184">
      <c r="A434" s="1" t="n">
        <v>434</v>
      </c>
      <c r="B434" s="733" t="inlineStr">
        <is>
          <t>chanhua</t>
        </is>
      </c>
      <c r="C434" s="733" t="n">
        <v>45604</v>
      </c>
      <c r="D434" s="673" t="inlineStr">
        <is>
          <t>新加坡比特</t>
        </is>
      </c>
      <c r="E434" s="734" t="inlineStr">
        <is>
          <t>JSCC</t>
        </is>
      </c>
      <c r="F434" s="734" t="inlineStr">
        <is>
          <t>BM1370BC</t>
        </is>
      </c>
      <c r="G434" s="673">
        <f>VLOOKUP(F434,编码对账表!C:D,2,0)</f>
        <v/>
      </c>
      <c r="H434" s="396" t="n">
        <v>303034</v>
      </c>
      <c r="I434" s="85" t="inlineStr">
        <is>
          <t>202411110021</t>
        </is>
      </c>
      <c r="J434" s="736" t="inlineStr">
        <is>
          <t>PIE</t>
        </is>
      </c>
      <c r="K434" s="734" t="inlineStr">
        <is>
          <t>CHANHUA PTE. LTD.</t>
        </is>
      </c>
      <c r="L434" s="736" t="n">
        <v>8.527799999999999</v>
      </c>
      <c r="M434" s="403" t="inlineStr">
        <is>
          <t>1403241111173236</t>
        </is>
      </c>
    </row>
    <row r="435" s="184">
      <c r="A435" s="1" t="n">
        <v>435</v>
      </c>
      <c r="B435" s="733" t="inlineStr">
        <is>
          <t>chanhua</t>
        </is>
      </c>
      <c r="C435" s="733" t="n">
        <v>45596</v>
      </c>
      <c r="D435" s="673" t="inlineStr">
        <is>
          <t>新加坡比特</t>
        </is>
      </c>
      <c r="E435" s="734" t="inlineStr">
        <is>
          <t>SPILSZ</t>
        </is>
      </c>
      <c r="F435" s="734" t="inlineStr">
        <is>
          <t>BM1370BC</t>
        </is>
      </c>
      <c r="G435" s="673">
        <f>VLOOKUP(F435,编码对账表!C:D,2,0)</f>
        <v/>
      </c>
      <c r="H435" s="396" t="n">
        <v>4945</v>
      </c>
      <c r="I435" s="85" t="inlineStr">
        <is>
          <t>202411110021</t>
        </is>
      </c>
      <c r="J435" s="736" t="inlineStr">
        <is>
          <t>PIE</t>
        </is>
      </c>
      <c r="K435" s="734" t="inlineStr">
        <is>
          <t>CHANHUA PTE. LTD.</t>
        </is>
      </c>
      <c r="L435" s="736" t="n">
        <v>8.527799999999999</v>
      </c>
      <c r="M435" s="403" t="inlineStr">
        <is>
          <t>1403241111173236</t>
        </is>
      </c>
    </row>
    <row r="436" s="184">
      <c r="A436" s="1" t="n">
        <v>436</v>
      </c>
      <c r="B436" s="733" t="inlineStr">
        <is>
          <t>chanhua</t>
        </is>
      </c>
      <c r="C436" s="733" t="n">
        <v>45597</v>
      </c>
      <c r="D436" s="673" t="inlineStr">
        <is>
          <t>新加坡比特</t>
        </is>
      </c>
      <c r="E436" s="734" t="inlineStr">
        <is>
          <t>ASECL</t>
        </is>
      </c>
      <c r="F436" s="734" t="inlineStr">
        <is>
          <t>BM1370PA</t>
        </is>
      </c>
      <c r="G436" s="673">
        <f>VLOOKUP(F436,编码对账表!C:D,2,0)</f>
        <v/>
      </c>
      <c r="H436" s="396" t="n">
        <v>136800</v>
      </c>
      <c r="I436" s="85" t="inlineStr">
        <is>
          <t>202411110021</t>
        </is>
      </c>
      <c r="J436" s="736" t="inlineStr">
        <is>
          <t>PIE</t>
        </is>
      </c>
      <c r="K436" s="734" t="inlineStr">
        <is>
          <t>CHANHUA PTE. LTD.</t>
        </is>
      </c>
      <c r="L436" s="736" t="n">
        <v>8.527799999999999</v>
      </c>
      <c r="M436" s="403" t="inlineStr">
        <is>
          <t>1403241111173236</t>
        </is>
      </c>
    </row>
    <row r="437" s="184">
      <c r="A437" s="1" t="n">
        <v>437</v>
      </c>
      <c r="B437" s="733" t="inlineStr">
        <is>
          <t>chanhua</t>
        </is>
      </c>
      <c r="C437" s="733" t="n">
        <v>45596</v>
      </c>
      <c r="D437" s="673" t="inlineStr">
        <is>
          <t>新加坡比特</t>
        </is>
      </c>
      <c r="E437" s="734" t="inlineStr">
        <is>
          <t>JSCC</t>
        </is>
      </c>
      <c r="F437" s="734" t="inlineStr">
        <is>
          <t>BM1370PA</t>
        </is>
      </c>
      <c r="G437" s="673">
        <f>VLOOKUP(F437,编码对账表!C:D,2,0)</f>
        <v/>
      </c>
      <c r="H437" s="396" t="n">
        <v>21038</v>
      </c>
      <c r="I437" s="85" t="inlineStr">
        <is>
          <t>202411110021</t>
        </is>
      </c>
      <c r="J437" s="736" t="inlineStr">
        <is>
          <t>PIE</t>
        </is>
      </c>
      <c r="K437" s="734" t="inlineStr">
        <is>
          <t>CHANHUA PTE. LTD.</t>
        </is>
      </c>
      <c r="L437" s="736" t="n">
        <v>8.527799999999999</v>
      </c>
      <c r="M437" s="403" t="inlineStr">
        <is>
          <t>1403241111173236</t>
        </is>
      </c>
    </row>
    <row r="438" s="184">
      <c r="A438" s="1" t="n">
        <v>438</v>
      </c>
      <c r="B438" s="733" t="inlineStr">
        <is>
          <t>chanhua</t>
        </is>
      </c>
      <c r="C438" s="733" t="n">
        <v>45603</v>
      </c>
      <c r="D438" s="673" t="inlineStr">
        <is>
          <t>新加坡比特</t>
        </is>
      </c>
      <c r="E438" s="734" t="inlineStr">
        <is>
          <t>SPILSZ</t>
        </is>
      </c>
      <c r="F438" s="734" t="inlineStr">
        <is>
          <t>BM1370PA</t>
        </is>
      </c>
      <c r="G438" s="673">
        <f>VLOOKUP(F438,编码对账表!C:D,2,0)</f>
        <v/>
      </c>
      <c r="H438" s="396" t="n">
        <v>1191115</v>
      </c>
      <c r="I438" s="85" t="inlineStr">
        <is>
          <t>202411110021</t>
        </is>
      </c>
      <c r="J438" s="736" t="inlineStr">
        <is>
          <t>PIE</t>
        </is>
      </c>
      <c r="K438" s="734" t="inlineStr">
        <is>
          <t>CHANHUA PTE. LTD.</t>
        </is>
      </c>
      <c r="L438" s="736" t="n">
        <v>8.527799999999999</v>
      </c>
      <c r="M438" s="403" t="inlineStr">
        <is>
          <t>1403241111173236</t>
        </is>
      </c>
    </row>
    <row r="439" s="184">
      <c r="A439" s="1" t="n">
        <v>439</v>
      </c>
      <c r="B439" s="733" t="inlineStr">
        <is>
          <t>chanhua</t>
        </is>
      </c>
      <c r="C439" s="733" t="n">
        <v>45605</v>
      </c>
      <c r="D439" s="673" t="inlineStr">
        <is>
          <t>新加坡比特</t>
        </is>
      </c>
      <c r="E439" s="734" t="inlineStr">
        <is>
          <t>JSCC</t>
        </is>
      </c>
      <c r="F439" s="734" t="inlineStr">
        <is>
          <t>BM1370PM</t>
        </is>
      </c>
      <c r="G439" s="673">
        <f>VLOOKUP(F439,编码对账表!C:D,2,0)</f>
        <v/>
      </c>
      <c r="H439" s="396" t="n">
        <v>1654078</v>
      </c>
      <c r="I439" s="85" t="inlineStr">
        <is>
          <t>202411110021</t>
        </is>
      </c>
      <c r="J439" s="736" t="inlineStr">
        <is>
          <t>PIE</t>
        </is>
      </c>
      <c r="K439" s="734" t="inlineStr">
        <is>
          <t>CHANHUA PTE. LTD.</t>
        </is>
      </c>
      <c r="L439" s="736" t="n">
        <v>8.527799999999999</v>
      </c>
      <c r="M439" s="403" t="inlineStr">
        <is>
          <t>1403241111173236</t>
        </is>
      </c>
    </row>
    <row r="440" s="184">
      <c r="A440" s="1" t="n">
        <v>440</v>
      </c>
      <c r="B440" s="733" t="inlineStr">
        <is>
          <t>chanhua</t>
        </is>
      </c>
      <c r="C440" s="733" t="n">
        <v>45603</v>
      </c>
      <c r="D440" s="673" t="inlineStr">
        <is>
          <t>新加坡比特</t>
        </is>
      </c>
      <c r="E440" s="734" t="inlineStr">
        <is>
          <t>SPILSZ</t>
        </is>
      </c>
      <c r="F440" s="734" t="inlineStr">
        <is>
          <t>BM1370PA</t>
        </is>
      </c>
      <c r="G440" s="673">
        <f>VLOOKUP(F440,编码对账表!C:D,2,0)</f>
        <v/>
      </c>
      <c r="H440" s="396" t="n">
        <v>231800</v>
      </c>
      <c r="I440" s="85" t="inlineStr">
        <is>
          <t>202411110022</t>
        </is>
      </c>
      <c r="J440" s="736" t="inlineStr">
        <is>
          <t>墨西哥欧陆通</t>
        </is>
      </c>
      <c r="K440" s="734" t="inlineStr">
        <is>
          <t>CHANHUA PTE. LTD.</t>
        </is>
      </c>
      <c r="L440" s="736" t="n">
        <v>8.527799999999999</v>
      </c>
      <c r="M440" s="403" t="inlineStr">
        <is>
          <t>1403241111173255</t>
        </is>
      </c>
    </row>
    <row r="441" s="184">
      <c r="A441" s="1" t="n">
        <v>441</v>
      </c>
      <c r="B441" s="733" t="inlineStr">
        <is>
          <t>chanhua</t>
        </is>
      </c>
      <c r="C441" s="733" t="n">
        <v>45600</v>
      </c>
      <c r="D441" s="673" t="inlineStr">
        <is>
          <t>新加坡比特</t>
        </is>
      </c>
      <c r="E441" s="734" t="inlineStr">
        <is>
          <t>XJ</t>
        </is>
      </c>
      <c r="F441" s="734" t="inlineStr">
        <is>
          <t>BM1368AA</t>
        </is>
      </c>
      <c r="G441" s="673">
        <f>VLOOKUP(F441,编码对账表!C:D,2,0)</f>
        <v/>
      </c>
      <c r="H441" s="396" t="n">
        <v>756454</v>
      </c>
      <c r="I441" s="85" t="inlineStr">
        <is>
          <t>202411110023</t>
        </is>
      </c>
      <c r="J441" s="736" t="inlineStr">
        <is>
          <t>泰国ONETEC</t>
        </is>
      </c>
      <c r="K441" s="734" t="inlineStr">
        <is>
          <t>CHANHUA PTE. LTD.</t>
        </is>
      </c>
      <c r="L441" s="736" t="n">
        <v>5.4151</v>
      </c>
      <c r="M441" s="403" t="inlineStr">
        <is>
          <t>1403241111173318</t>
        </is>
      </c>
    </row>
    <row r="442" s="184">
      <c r="A442" s="1" t="n">
        <v>442</v>
      </c>
      <c r="B442" s="733" t="inlineStr">
        <is>
          <t>chanhua</t>
        </is>
      </c>
      <c r="C442" s="733" t="n">
        <v>45595</v>
      </c>
      <c r="D442" s="673" t="inlineStr">
        <is>
          <t>新加坡比特</t>
        </is>
      </c>
      <c r="E442" s="734" t="inlineStr">
        <is>
          <t>TFME</t>
        </is>
      </c>
      <c r="F442" s="734" t="inlineStr">
        <is>
          <t>BM1370PA</t>
        </is>
      </c>
      <c r="G442" s="673">
        <f>VLOOKUP(F442,编码对账表!C:D,2,0)</f>
        <v/>
      </c>
      <c r="H442" s="396" t="n">
        <v>16121</v>
      </c>
      <c r="I442" s="85" t="inlineStr">
        <is>
          <t>202411110023</t>
        </is>
      </c>
      <c r="J442" s="736" t="inlineStr">
        <is>
          <t>泰国ONETEC</t>
        </is>
      </c>
      <c r="K442" s="734" t="inlineStr">
        <is>
          <t>CHANHUA PTE. LTD.</t>
        </is>
      </c>
      <c r="L442" s="736" t="n">
        <v>8.527799999999999</v>
      </c>
      <c r="M442" s="403" t="inlineStr">
        <is>
          <t>1403241111173318</t>
        </is>
      </c>
    </row>
    <row r="443" s="184">
      <c r="A443" s="1" t="n">
        <v>443</v>
      </c>
      <c r="B443" s="733" t="inlineStr">
        <is>
          <t>chanhua</t>
        </is>
      </c>
      <c r="C443" s="733" t="n">
        <v>45603</v>
      </c>
      <c r="D443" s="673" t="inlineStr">
        <is>
          <t>香港比特</t>
        </is>
      </c>
      <c r="E443" s="734" t="inlineStr">
        <is>
          <t>SPILSZ</t>
        </is>
      </c>
      <c r="F443" s="734" t="inlineStr">
        <is>
          <t>BM1370PA</t>
        </is>
      </c>
      <c r="G443" s="673">
        <f>VLOOKUP(F443,编码对账表!C:D,2,0)</f>
        <v/>
      </c>
      <c r="H443" s="396" t="n">
        <v>197600</v>
      </c>
      <c r="I443" s="85" t="inlineStr">
        <is>
          <t>HKK202411110010</t>
        </is>
      </c>
      <c r="J443" s="736" t="inlineStr">
        <is>
          <t>泰国群光</t>
        </is>
      </c>
      <c r="K443" s="734" t="inlineStr">
        <is>
          <t>CHANHUA PTE. LTD.</t>
        </is>
      </c>
      <c r="L443" s="736" t="n">
        <v>8.527799999999999</v>
      </c>
      <c r="M443" s="403" t="inlineStr">
        <is>
          <t>1403241111173009</t>
        </is>
      </c>
    </row>
    <row r="444" s="184">
      <c r="A444" s="1" t="n">
        <v>444</v>
      </c>
      <c r="B444" s="733" t="inlineStr">
        <is>
          <t>chanhua</t>
        </is>
      </c>
      <c r="C444" s="733" t="n">
        <v>45603</v>
      </c>
      <c r="D444" s="673" t="inlineStr">
        <is>
          <t>香港比特</t>
        </is>
      </c>
      <c r="E444" s="734" t="inlineStr">
        <is>
          <t>XJ</t>
        </is>
      </c>
      <c r="F444" s="734" t="inlineStr">
        <is>
          <t>BM1368AA</t>
        </is>
      </c>
      <c r="G444" s="673">
        <f>VLOOKUP(F444,编码对账表!C:D,2,0)</f>
        <v/>
      </c>
      <c r="H444" s="396" t="n">
        <v>6698961</v>
      </c>
      <c r="I444" s="85" t="inlineStr">
        <is>
          <t>HKK202411110011</t>
        </is>
      </c>
      <c r="J444" s="736" t="inlineStr">
        <is>
          <t>印尼奥海</t>
        </is>
      </c>
      <c r="K444" s="734" t="inlineStr">
        <is>
          <t>CHANHUA PTE. LTD.</t>
        </is>
      </c>
      <c r="L444" s="736" t="n">
        <v>5.4151</v>
      </c>
      <c r="M444" s="403" t="inlineStr">
        <is>
          <t>1403241111173040</t>
        </is>
      </c>
    </row>
    <row r="445" s="184">
      <c r="A445" s="1" t="n">
        <v>445</v>
      </c>
      <c r="B445" s="733" t="inlineStr">
        <is>
          <t>chanhua</t>
        </is>
      </c>
      <c r="C445" s="733" t="n">
        <v>45597</v>
      </c>
      <c r="D445" s="673" t="inlineStr">
        <is>
          <t>香港比特</t>
        </is>
      </c>
      <c r="E445" s="734" t="inlineStr">
        <is>
          <t>ASECL</t>
        </is>
      </c>
      <c r="F445" s="734" t="inlineStr">
        <is>
          <t>BM1370PA</t>
        </is>
      </c>
      <c r="G445" s="673">
        <f>VLOOKUP(F445,编码对账表!C:D,2,0)</f>
        <v/>
      </c>
      <c r="H445" s="396" t="n">
        <v>68400</v>
      </c>
      <c r="I445" s="85" t="inlineStr">
        <is>
          <t>HKK202411110011</t>
        </is>
      </c>
      <c r="J445" s="736" t="inlineStr">
        <is>
          <t>印尼奥海</t>
        </is>
      </c>
      <c r="K445" s="734" t="inlineStr">
        <is>
          <t>CHANHUA PTE. LTD.</t>
        </is>
      </c>
      <c r="L445" s="736" t="n">
        <v>8.527799999999999</v>
      </c>
      <c r="M445" s="403" t="inlineStr">
        <is>
          <t>1403241111173040</t>
        </is>
      </c>
    </row>
    <row r="446" s="184">
      <c r="A446" s="1" t="n">
        <v>446</v>
      </c>
      <c r="B446" s="733" t="inlineStr">
        <is>
          <t>chanhua</t>
        </is>
      </c>
      <c r="C446" s="733" t="n">
        <v>45603</v>
      </c>
      <c r="D446" s="673" t="inlineStr">
        <is>
          <t>香港比特</t>
        </is>
      </c>
      <c r="E446" s="734" t="inlineStr">
        <is>
          <t>SPILSZ</t>
        </is>
      </c>
      <c r="F446" s="734" t="inlineStr">
        <is>
          <t>BM1370PA</t>
        </is>
      </c>
      <c r="G446" s="673">
        <f>VLOOKUP(F446,编码对账表!C:D,2,0)</f>
        <v/>
      </c>
      <c r="H446" s="396" t="n">
        <v>456000</v>
      </c>
      <c r="I446" s="85" t="inlineStr">
        <is>
          <t>HKK202411110011</t>
        </is>
      </c>
      <c r="J446" s="736" t="inlineStr">
        <is>
          <t>印尼奥海</t>
        </is>
      </c>
      <c r="K446" s="734" t="inlineStr">
        <is>
          <t>CHANHUA PTE. LTD.</t>
        </is>
      </c>
      <c r="L446" s="736" t="n">
        <v>8.527799999999999</v>
      </c>
      <c r="M446" s="403" t="inlineStr">
        <is>
          <t>1403241111173040</t>
        </is>
      </c>
    </row>
    <row r="447" s="184">
      <c r="A447" s="1" t="n">
        <v>447</v>
      </c>
      <c r="B447" s="733" t="inlineStr">
        <is>
          <t>chanhua</t>
        </is>
      </c>
      <c r="C447" s="733" t="n">
        <v>45605</v>
      </c>
      <c r="D447" s="673" t="inlineStr">
        <is>
          <t>香港比特</t>
        </is>
      </c>
      <c r="E447" s="734" t="inlineStr">
        <is>
          <t>JSCC</t>
        </is>
      </c>
      <c r="F447" s="734" t="inlineStr">
        <is>
          <t>BM1370PM</t>
        </is>
      </c>
      <c r="G447" s="673">
        <f>VLOOKUP(F447,编码对账表!C:D,2,0)</f>
        <v/>
      </c>
      <c r="H447" s="396" t="n">
        <v>546047</v>
      </c>
      <c r="I447" s="85" t="inlineStr">
        <is>
          <t>HKK202411110011</t>
        </is>
      </c>
      <c r="J447" s="736" t="inlineStr">
        <is>
          <t>印尼奥海</t>
        </is>
      </c>
      <c r="K447" s="734" t="inlineStr">
        <is>
          <t>CHANHUA PTE. LTD.</t>
        </is>
      </c>
      <c r="L447" s="736" t="n">
        <v>8.527799999999999</v>
      </c>
      <c r="M447" s="403" t="inlineStr">
        <is>
          <t>1403241111173040</t>
        </is>
      </c>
    </row>
    <row r="448" s="184">
      <c r="A448" s="1" t="n">
        <v>448</v>
      </c>
      <c r="B448" s="733" t="inlineStr">
        <is>
          <t>chanhua</t>
        </is>
      </c>
      <c r="C448" s="733" t="n">
        <v>45607</v>
      </c>
      <c r="D448" s="673" t="inlineStr">
        <is>
          <t>新加坡比特</t>
        </is>
      </c>
      <c r="E448" s="734" t="inlineStr">
        <is>
          <t>JSCC</t>
        </is>
      </c>
      <c r="F448" s="734" t="inlineStr">
        <is>
          <t>BM1370PM</t>
        </is>
      </c>
      <c r="G448" s="673">
        <f>VLOOKUP(F448,编码对账表!C:D,2,0)</f>
        <v/>
      </c>
      <c r="H448" s="396" t="n">
        <v>723469</v>
      </c>
      <c r="I448" s="415" t="inlineStr">
        <is>
          <t>202411130011</t>
        </is>
      </c>
      <c r="J448" s="736" t="inlineStr">
        <is>
          <t>泰国ONETEC</t>
        </is>
      </c>
      <c r="K448" s="734" t="inlineStr">
        <is>
          <t>CHANHUA PTE. LTD.</t>
        </is>
      </c>
      <c r="L448" s="736" t="n">
        <v>8.527799999999999</v>
      </c>
      <c r="M448" s="403" t="inlineStr">
        <is>
          <t>1403241114141906</t>
        </is>
      </c>
    </row>
    <row r="449" s="184">
      <c r="A449" s="1" t="n">
        <v>449</v>
      </c>
      <c r="B449" s="733" t="inlineStr">
        <is>
          <t>chanhua</t>
        </is>
      </c>
      <c r="C449" s="733" t="n">
        <v>45607</v>
      </c>
      <c r="D449" s="673" t="inlineStr">
        <is>
          <t>香港比特</t>
        </is>
      </c>
      <c r="E449" s="734" t="inlineStr">
        <is>
          <t>WX-HN</t>
        </is>
      </c>
      <c r="F449" s="734" t="inlineStr">
        <is>
          <t>BM1368PB</t>
        </is>
      </c>
      <c r="G449" s="673">
        <f>VLOOKUP(F449,编码对账表!C:D,2,0)</f>
        <v/>
      </c>
      <c r="H449" s="396" t="n">
        <v>215455</v>
      </c>
      <c r="I449" s="85" t="inlineStr">
        <is>
          <t>HKK202411250020</t>
        </is>
      </c>
      <c r="J449" s="736" t="inlineStr">
        <is>
          <t>印尼奥海</t>
        </is>
      </c>
      <c r="K449" s="734" t="inlineStr">
        <is>
          <t>CHANHUA PTE. LTD.</t>
        </is>
      </c>
      <c r="L449" s="736" t="n">
        <v>4.382</v>
      </c>
      <c r="M449" s="403" t="inlineStr">
        <is>
          <t>1403241125105708</t>
        </is>
      </c>
    </row>
    <row r="450" s="184">
      <c r="A450" s="1" t="n">
        <v>450</v>
      </c>
      <c r="B450" s="733" t="inlineStr">
        <is>
          <t>chanhua</t>
        </is>
      </c>
      <c r="C450" s="733" t="n">
        <v>45607</v>
      </c>
      <c r="D450" s="673" t="inlineStr">
        <is>
          <t>香港比特</t>
        </is>
      </c>
      <c r="E450" s="734" t="inlineStr">
        <is>
          <t>WX-HN</t>
        </is>
      </c>
      <c r="F450" s="734" t="inlineStr">
        <is>
          <t>BM1368PV</t>
        </is>
      </c>
      <c r="G450" s="673">
        <f>VLOOKUP(F450,编码对账表!C:D,2,0)</f>
        <v/>
      </c>
      <c r="H450" s="396" t="n">
        <v>1206000</v>
      </c>
      <c r="I450" s="85" t="inlineStr">
        <is>
          <t>HKK202411250020</t>
        </is>
      </c>
      <c r="J450" s="736" t="inlineStr">
        <is>
          <t>印尼奥海</t>
        </is>
      </c>
      <c r="K450" s="734" t="inlineStr">
        <is>
          <t>CHANHUA PTE. LTD.</t>
        </is>
      </c>
      <c r="L450" s="736" t="n">
        <v>4.382</v>
      </c>
      <c r="M450" s="403" t="inlineStr">
        <is>
          <t>1403241125105708</t>
        </is>
      </c>
    </row>
    <row r="451" s="184">
      <c r="A451" s="1" t="n">
        <v>451</v>
      </c>
      <c r="B451" s="733" t="inlineStr">
        <is>
          <t>chanhua</t>
        </is>
      </c>
      <c r="C451" s="733" t="n">
        <v>45618</v>
      </c>
      <c r="D451" s="673" t="inlineStr">
        <is>
          <t>香港比特</t>
        </is>
      </c>
      <c r="E451" s="734" t="inlineStr">
        <is>
          <t>SPILSZ</t>
        </is>
      </c>
      <c r="F451" s="734" t="inlineStr">
        <is>
          <t>BM1370BC</t>
        </is>
      </c>
      <c r="G451" s="673">
        <f>VLOOKUP(F451,编码对账表!C:D,2,0)</f>
        <v/>
      </c>
      <c r="H451" s="396" t="n">
        <v>55244</v>
      </c>
      <c r="I451" s="85" t="inlineStr">
        <is>
          <t>HKK202411250020</t>
        </is>
      </c>
      <c r="J451" s="736" t="inlineStr">
        <is>
          <t>印尼奥海</t>
        </is>
      </c>
      <c r="K451" s="734" t="inlineStr">
        <is>
          <t>CHANHUA PTE. LTD.</t>
        </is>
      </c>
      <c r="L451" s="736" t="n">
        <v>8.527799999999999</v>
      </c>
      <c r="M451" s="403" t="inlineStr">
        <is>
          <t>1403241125105708</t>
        </is>
      </c>
    </row>
    <row r="452" s="184">
      <c r="A452" s="1" t="n">
        <v>452</v>
      </c>
      <c r="B452" s="733" t="inlineStr">
        <is>
          <t>chanhua</t>
        </is>
      </c>
      <c r="C452" s="733" t="n">
        <v>45617</v>
      </c>
      <c r="D452" s="673" t="inlineStr">
        <is>
          <t>香港比特</t>
        </is>
      </c>
      <c r="E452" s="734" t="inlineStr">
        <is>
          <t>ASE-KH</t>
        </is>
      </c>
      <c r="F452" s="734" t="inlineStr">
        <is>
          <t>BM1370PA</t>
        </is>
      </c>
      <c r="G452" s="673">
        <f>VLOOKUP(F452,编码对账表!C:D,2,0)</f>
        <v/>
      </c>
      <c r="H452" s="396" t="n">
        <v>124636</v>
      </c>
      <c r="I452" s="85" t="inlineStr">
        <is>
          <t>HKK202411250020</t>
        </is>
      </c>
      <c r="J452" s="736" t="inlineStr">
        <is>
          <t>印尼奥海</t>
        </is>
      </c>
      <c r="K452" s="734" t="inlineStr">
        <is>
          <t>CHANHUA PTE. LTD.</t>
        </is>
      </c>
      <c r="L452" s="736" t="n">
        <v>8.527799999999999</v>
      </c>
      <c r="M452" s="403" t="inlineStr">
        <is>
          <t>1403241125105708</t>
        </is>
      </c>
    </row>
    <row r="453" s="184">
      <c r="A453" s="1" t="n">
        <v>453</v>
      </c>
      <c r="B453" s="733" t="inlineStr">
        <is>
          <t>chanhua</t>
        </is>
      </c>
      <c r="C453" s="733" t="n">
        <v>45618</v>
      </c>
      <c r="D453" s="673" t="inlineStr">
        <is>
          <t>香港比特</t>
        </is>
      </c>
      <c r="E453" s="734" t="inlineStr">
        <is>
          <t>ASECL</t>
        </is>
      </c>
      <c r="F453" s="734" t="inlineStr">
        <is>
          <t>BM1370PA</t>
        </is>
      </c>
      <c r="G453" s="673">
        <f>VLOOKUP(F453,编码对账表!C:D,2,0)</f>
        <v/>
      </c>
      <c r="H453" s="396" t="n">
        <v>332478</v>
      </c>
      <c r="I453" s="85" t="inlineStr">
        <is>
          <t>HKK202411250020</t>
        </is>
      </c>
      <c r="J453" s="736" t="inlineStr">
        <is>
          <t>印尼奥海</t>
        </is>
      </c>
      <c r="K453" s="734" t="inlineStr">
        <is>
          <t>CHANHUA PTE. LTD.</t>
        </is>
      </c>
      <c r="L453" s="736" t="n">
        <v>8.527799999999999</v>
      </c>
      <c r="M453" s="403" t="inlineStr">
        <is>
          <t>1403241125105708</t>
        </is>
      </c>
    </row>
    <row r="454" s="184">
      <c r="A454" s="1" t="n">
        <v>454</v>
      </c>
      <c r="B454" s="733" t="inlineStr">
        <is>
          <t>chanhua</t>
        </is>
      </c>
      <c r="C454" s="733" t="n">
        <v>45610</v>
      </c>
      <c r="D454" s="673" t="inlineStr">
        <is>
          <t>香港比特</t>
        </is>
      </c>
      <c r="E454" s="734" t="inlineStr">
        <is>
          <t>JSCC</t>
        </is>
      </c>
      <c r="F454" s="734" t="inlineStr">
        <is>
          <t>BM1370PA</t>
        </is>
      </c>
      <c r="G454" s="673">
        <f>VLOOKUP(F454,编码对账表!C:D,2,0)</f>
        <v/>
      </c>
      <c r="H454" s="396" t="n">
        <v>78483</v>
      </c>
      <c r="I454" s="85" t="inlineStr">
        <is>
          <t>HKK202411250020</t>
        </is>
      </c>
      <c r="J454" s="736" t="inlineStr">
        <is>
          <t>印尼奥海</t>
        </is>
      </c>
      <c r="K454" s="734" t="inlineStr">
        <is>
          <t>CHANHUA PTE. LTD.</t>
        </is>
      </c>
      <c r="L454" s="736" t="n">
        <v>8.527799999999999</v>
      </c>
      <c r="M454" s="403" t="inlineStr">
        <is>
          <t>1403241125105708</t>
        </is>
      </c>
    </row>
    <row r="455" s="184">
      <c r="A455" s="1" t="n">
        <v>455</v>
      </c>
      <c r="B455" s="733" t="inlineStr">
        <is>
          <t>chanhua</t>
        </is>
      </c>
      <c r="C455" s="733" t="n">
        <v>45618</v>
      </c>
      <c r="D455" s="673" t="inlineStr">
        <is>
          <t>香港比特</t>
        </is>
      </c>
      <c r="E455" s="734" t="inlineStr">
        <is>
          <t>SPILSZ</t>
        </is>
      </c>
      <c r="F455" s="734" t="inlineStr">
        <is>
          <t>BM1370PA</t>
        </is>
      </c>
      <c r="G455" s="673">
        <f>VLOOKUP(F455,编码对账表!C:D,2,0)</f>
        <v/>
      </c>
      <c r="H455" s="396" t="n">
        <v>1579870</v>
      </c>
      <c r="I455" s="85" t="inlineStr">
        <is>
          <t>HKK202411250020</t>
        </is>
      </c>
      <c r="J455" s="736" t="inlineStr">
        <is>
          <t>印尼奥海</t>
        </is>
      </c>
      <c r="K455" s="734" t="inlineStr">
        <is>
          <t>CHANHUA PTE. LTD.</t>
        </is>
      </c>
      <c r="L455" s="736" t="n">
        <v>8.527799999999999</v>
      </c>
      <c r="M455" s="403" t="inlineStr">
        <is>
          <t>1403241125105708</t>
        </is>
      </c>
    </row>
    <row r="456" s="184">
      <c r="A456" s="1" t="n">
        <v>456</v>
      </c>
      <c r="B456" s="733" t="inlineStr">
        <is>
          <t>chanhua</t>
        </is>
      </c>
      <c r="C456" s="733" t="n">
        <v>45610</v>
      </c>
      <c r="D456" s="673" t="inlineStr">
        <is>
          <t>香港比特</t>
        </is>
      </c>
      <c r="E456" s="734" t="inlineStr">
        <is>
          <t>JSCC</t>
        </is>
      </c>
      <c r="F456" s="734" t="inlineStr">
        <is>
          <t>BM1370PM</t>
        </is>
      </c>
      <c r="G456" s="673">
        <f>VLOOKUP(F456,编码对账表!C:D,2,0)</f>
        <v/>
      </c>
      <c r="H456" s="396" t="n">
        <v>2075330</v>
      </c>
      <c r="I456" s="85" t="inlineStr">
        <is>
          <t>HKK202411250020</t>
        </is>
      </c>
      <c r="J456" s="736" t="inlineStr">
        <is>
          <t>印尼奥海</t>
        </is>
      </c>
      <c r="K456" s="734" t="inlineStr">
        <is>
          <t>CHANHUA PTE. LTD.</t>
        </is>
      </c>
      <c r="L456" s="736" t="n">
        <v>8.527799999999999</v>
      </c>
      <c r="M456" s="403" t="inlineStr">
        <is>
          <t>1403241125105708</t>
        </is>
      </c>
    </row>
    <row r="457" s="184">
      <c r="A457" s="1" t="n">
        <v>457</v>
      </c>
      <c r="B457" s="733" t="inlineStr">
        <is>
          <t>chanhua</t>
        </is>
      </c>
      <c r="C457" s="733" t="n">
        <v>45610</v>
      </c>
      <c r="D457" s="673" t="inlineStr">
        <is>
          <t>香港比特</t>
        </is>
      </c>
      <c r="E457" s="734" t="inlineStr">
        <is>
          <t>SPILSZ</t>
        </is>
      </c>
      <c r="F457" s="734" t="inlineStr">
        <is>
          <t>BM1370BC</t>
        </is>
      </c>
      <c r="G457" s="673">
        <f>VLOOKUP(F457,编码对账表!C:D,2,0)</f>
        <v/>
      </c>
      <c r="H457" s="396" t="n">
        <v>16546</v>
      </c>
      <c r="I457" s="85" t="inlineStr">
        <is>
          <t>HKK202411250030</t>
        </is>
      </c>
      <c r="J457" s="736" t="inlineStr">
        <is>
          <t>泰国群光</t>
        </is>
      </c>
      <c r="K457" s="734" t="inlineStr">
        <is>
          <t>CHANHUA PTE. LTD.</t>
        </is>
      </c>
      <c r="L457" s="736" t="n">
        <v>8.527799999999999</v>
      </c>
      <c r="M457" s="403" t="inlineStr">
        <is>
          <t>1403241125105725</t>
        </is>
      </c>
    </row>
    <row r="458" s="184">
      <c r="A458" s="1" t="n">
        <v>458</v>
      </c>
      <c r="B458" s="733" t="inlineStr">
        <is>
          <t>chanhua</t>
        </is>
      </c>
      <c r="C458" s="733" t="n">
        <v>45610</v>
      </c>
      <c r="D458" s="673" t="inlineStr">
        <is>
          <t>香港比特</t>
        </is>
      </c>
      <c r="E458" s="734" t="inlineStr">
        <is>
          <t>ASECL</t>
        </is>
      </c>
      <c r="F458" s="734" t="inlineStr">
        <is>
          <t>BM1370PA</t>
        </is>
      </c>
      <c r="G458" s="673">
        <f>VLOOKUP(F458,编码对账表!C:D,2,0)</f>
        <v/>
      </c>
      <c r="H458" s="396" t="n">
        <v>22800</v>
      </c>
      <c r="I458" s="85" t="inlineStr">
        <is>
          <t>HKK202411250030</t>
        </is>
      </c>
      <c r="J458" s="736" t="inlineStr">
        <is>
          <t>泰国群光</t>
        </is>
      </c>
      <c r="K458" s="734" t="inlineStr">
        <is>
          <t>CHANHUA PTE. LTD.</t>
        </is>
      </c>
      <c r="L458" s="736" t="n">
        <v>8.527799999999999</v>
      </c>
      <c r="M458" s="403" t="inlineStr">
        <is>
          <t>1403241125105725</t>
        </is>
      </c>
    </row>
    <row r="459" s="184">
      <c r="A459" s="1" t="n">
        <v>459</v>
      </c>
      <c r="B459" s="733" t="inlineStr">
        <is>
          <t>chanhua</t>
        </is>
      </c>
      <c r="C459" s="733" t="n">
        <v>45610</v>
      </c>
      <c r="D459" s="673" t="inlineStr">
        <is>
          <t>香港比特</t>
        </is>
      </c>
      <c r="E459" s="734" t="inlineStr">
        <is>
          <t>SPILSZ</t>
        </is>
      </c>
      <c r="F459" s="734" t="inlineStr">
        <is>
          <t>BM1370PA</t>
        </is>
      </c>
      <c r="G459" s="673">
        <f>VLOOKUP(F459,编码对账表!C:D,2,0)</f>
        <v/>
      </c>
      <c r="H459" s="396" t="n">
        <v>129200</v>
      </c>
      <c r="I459" s="85" t="inlineStr">
        <is>
          <t>HKK202411250030</t>
        </is>
      </c>
      <c r="J459" s="736" t="inlineStr">
        <is>
          <t>泰国群光</t>
        </is>
      </c>
      <c r="K459" s="734" t="inlineStr">
        <is>
          <t>CHANHUA PTE. LTD.</t>
        </is>
      </c>
      <c r="L459" s="736" t="n">
        <v>8.527799999999999</v>
      </c>
      <c r="M459" s="403" t="inlineStr">
        <is>
          <t>1403241125105725</t>
        </is>
      </c>
    </row>
    <row r="460" s="184">
      <c r="A460" s="1" t="n">
        <v>460</v>
      </c>
      <c r="B460" s="733" t="inlineStr">
        <is>
          <t>chanhua</t>
        </is>
      </c>
      <c r="C460" s="733" t="n">
        <v>45610</v>
      </c>
      <c r="D460" s="673" t="inlineStr">
        <is>
          <t>新加坡比特</t>
        </is>
      </c>
      <c r="E460" s="734" t="inlineStr">
        <is>
          <t>NJ-VT</t>
        </is>
      </c>
      <c r="F460" s="734" t="inlineStr">
        <is>
          <t>BM1368PB</t>
        </is>
      </c>
      <c r="G460" s="673">
        <f>VLOOKUP(F460,编码对账表!C:D,2,0)</f>
        <v/>
      </c>
      <c r="H460" s="396" t="n">
        <v>41342</v>
      </c>
      <c r="I460" s="85" t="inlineStr">
        <is>
          <t>202411250010</t>
        </is>
      </c>
      <c r="J460" s="736" t="inlineStr">
        <is>
          <t>泰国ONETEC</t>
        </is>
      </c>
      <c r="K460" s="734" t="inlineStr">
        <is>
          <t>CHANHUA PTE. LTD.</t>
        </is>
      </c>
      <c r="L460" s="736" t="n">
        <v>4.382</v>
      </c>
      <c r="M460" s="403" t="inlineStr">
        <is>
          <t>1403241125105219</t>
        </is>
      </c>
    </row>
    <row r="461" s="184">
      <c r="A461" s="1" t="n">
        <v>461</v>
      </c>
      <c r="B461" s="733" t="inlineStr">
        <is>
          <t>chanhua</t>
        </is>
      </c>
      <c r="C461" s="733" t="n">
        <v>45610</v>
      </c>
      <c r="D461" s="673" t="inlineStr">
        <is>
          <t>新加坡比特</t>
        </is>
      </c>
      <c r="E461" s="734" t="inlineStr">
        <is>
          <t>NJ-VT</t>
        </is>
      </c>
      <c r="F461" s="734" t="inlineStr">
        <is>
          <t>BM1368PV</t>
        </is>
      </c>
      <c r="G461" s="673">
        <f>VLOOKUP(F461,编码对账表!C:D,2,0)</f>
        <v/>
      </c>
      <c r="H461" s="396" t="n">
        <v>59513</v>
      </c>
      <c r="I461" s="85" t="inlineStr">
        <is>
          <t>202411250010</t>
        </is>
      </c>
      <c r="J461" s="736" t="inlineStr">
        <is>
          <t>泰国ONETEC</t>
        </is>
      </c>
      <c r="K461" s="734" t="inlineStr">
        <is>
          <t>CHANHUA PTE. LTD.</t>
        </is>
      </c>
      <c r="L461" s="736" t="n">
        <v>4.382</v>
      </c>
      <c r="M461" s="403" t="inlineStr">
        <is>
          <t>1403241125105219</t>
        </is>
      </c>
    </row>
    <row r="462" s="184">
      <c r="A462" s="1" t="n">
        <v>462</v>
      </c>
      <c r="B462" s="733" t="inlineStr">
        <is>
          <t>chanhua</t>
        </is>
      </c>
      <c r="C462" s="733" t="n">
        <v>45618</v>
      </c>
      <c r="D462" s="673" t="inlineStr">
        <is>
          <t>新加坡比特</t>
        </is>
      </c>
      <c r="E462" s="734" t="inlineStr">
        <is>
          <t>ASECL</t>
        </is>
      </c>
      <c r="F462" s="734" t="inlineStr">
        <is>
          <t>BM1370PA</t>
        </is>
      </c>
      <c r="G462" s="673">
        <f>VLOOKUP(F462,编码对账表!C:D,2,0)</f>
        <v/>
      </c>
      <c r="H462" s="396" t="n">
        <v>116853</v>
      </c>
      <c r="I462" s="85" t="inlineStr">
        <is>
          <t>202411250010</t>
        </is>
      </c>
      <c r="J462" s="736" t="inlineStr">
        <is>
          <t>泰国ONETEC</t>
        </is>
      </c>
      <c r="K462" s="734" t="inlineStr">
        <is>
          <t>CHANHUA PTE. LTD.</t>
        </is>
      </c>
      <c r="L462" s="736" t="n">
        <v>8.527799999999999</v>
      </c>
      <c r="M462" s="403" t="inlineStr">
        <is>
          <t>1403241125105219</t>
        </is>
      </c>
    </row>
    <row r="463" s="184">
      <c r="A463" s="1" t="n">
        <v>463</v>
      </c>
      <c r="B463" s="733" t="inlineStr">
        <is>
          <t>chanhua</t>
        </is>
      </c>
      <c r="C463" s="733" t="n">
        <v>45618</v>
      </c>
      <c r="D463" s="673" t="inlineStr">
        <is>
          <t>新加坡比特</t>
        </is>
      </c>
      <c r="E463" s="734" t="inlineStr">
        <is>
          <t>JSCC</t>
        </is>
      </c>
      <c r="F463" s="734" t="inlineStr">
        <is>
          <t>BM1370PA</t>
        </is>
      </c>
      <c r="G463" s="673">
        <f>VLOOKUP(F463,编码对账表!C:D,2,0)</f>
        <v/>
      </c>
      <c r="H463" s="396" t="n">
        <v>1056061</v>
      </c>
      <c r="I463" s="85" t="inlineStr">
        <is>
          <t>202411250010</t>
        </is>
      </c>
      <c r="J463" s="736" t="inlineStr">
        <is>
          <t>泰国ONETEC</t>
        </is>
      </c>
      <c r="K463" s="734" t="inlineStr">
        <is>
          <t>CHANHUA PTE. LTD.</t>
        </is>
      </c>
      <c r="L463" s="736" t="n">
        <v>8.527799999999999</v>
      </c>
      <c r="M463" s="403" t="inlineStr">
        <is>
          <t>1403241125105219</t>
        </is>
      </c>
    </row>
    <row r="464" s="184">
      <c r="A464" s="1" t="n">
        <v>464</v>
      </c>
      <c r="B464" s="733" t="inlineStr">
        <is>
          <t>chanhua</t>
        </is>
      </c>
      <c r="C464" s="733" t="n">
        <v>45613</v>
      </c>
      <c r="D464" s="673" t="inlineStr">
        <is>
          <t>新加坡比特</t>
        </is>
      </c>
      <c r="E464" s="734" t="inlineStr">
        <is>
          <t>SPILSZ</t>
        </is>
      </c>
      <c r="F464" s="734" t="inlineStr">
        <is>
          <t>BM1370PA</t>
        </is>
      </c>
      <c r="G464" s="673">
        <f>VLOOKUP(F464,编码对账表!C:D,2,0)</f>
        <v/>
      </c>
      <c r="H464" s="396" t="n">
        <v>147530</v>
      </c>
      <c r="I464" s="85" t="inlineStr">
        <is>
          <t>202411250010</t>
        </is>
      </c>
      <c r="J464" s="736" t="inlineStr">
        <is>
          <t>泰国ONETEC</t>
        </is>
      </c>
      <c r="K464" s="734" t="inlineStr">
        <is>
          <t>CHANHUA PTE. LTD.</t>
        </is>
      </c>
      <c r="L464" s="736" t="n">
        <v>8.527799999999999</v>
      </c>
      <c r="M464" s="403" t="inlineStr">
        <is>
          <t>1403241125105219</t>
        </is>
      </c>
    </row>
    <row r="465" s="184">
      <c r="A465" s="1" t="n">
        <v>465</v>
      </c>
      <c r="B465" s="733" t="inlineStr">
        <is>
          <t>chanhua</t>
        </is>
      </c>
      <c r="C465" s="733" t="n">
        <v>45610</v>
      </c>
      <c r="D465" s="673" t="inlineStr">
        <is>
          <t>新加坡比特</t>
        </is>
      </c>
      <c r="E465" s="734" t="inlineStr">
        <is>
          <t>JSCC</t>
        </is>
      </c>
      <c r="F465" s="734" t="inlineStr">
        <is>
          <t>BM1370BC</t>
        </is>
      </c>
      <c r="G465" s="673">
        <f>VLOOKUP(F465,编码对账表!C:D,2,0)</f>
        <v/>
      </c>
      <c r="H465" s="396" t="n">
        <v>48991</v>
      </c>
      <c r="I465" s="85" t="inlineStr">
        <is>
          <t>202411250011</t>
        </is>
      </c>
      <c r="J465" s="736" t="inlineStr">
        <is>
          <t>PIE</t>
        </is>
      </c>
      <c r="K465" s="734" t="inlineStr">
        <is>
          <t>CHANHUA PTE. LTD.</t>
        </is>
      </c>
      <c r="L465" s="736" t="n">
        <v>8.527799999999999</v>
      </c>
      <c r="M465" s="403" t="inlineStr">
        <is>
          <t>1403241125105239</t>
        </is>
      </c>
    </row>
    <row r="466" s="184">
      <c r="A466" s="1" t="n">
        <v>466</v>
      </c>
      <c r="B466" s="733" t="inlineStr">
        <is>
          <t>chanhua</t>
        </is>
      </c>
      <c r="C466" s="733" t="n">
        <v>45615</v>
      </c>
      <c r="D466" s="673" t="inlineStr">
        <is>
          <t>新加坡比特</t>
        </is>
      </c>
      <c r="E466" s="734" t="inlineStr">
        <is>
          <t>ASECL</t>
        </is>
      </c>
      <c r="F466" s="734" t="inlineStr">
        <is>
          <t>BM1370PA</t>
        </is>
      </c>
      <c r="G466" s="673">
        <f>VLOOKUP(F466,编码对账表!C:D,2,0)</f>
        <v/>
      </c>
      <c r="H466" s="396" t="n">
        <v>159600</v>
      </c>
      <c r="I466" s="85" t="inlineStr">
        <is>
          <t>202411250011</t>
        </is>
      </c>
      <c r="J466" s="736" t="inlineStr">
        <is>
          <t>PIE</t>
        </is>
      </c>
      <c r="K466" s="734" t="inlineStr">
        <is>
          <t>CHANHUA PTE. LTD.</t>
        </is>
      </c>
      <c r="L466" s="736" t="n">
        <v>8.527799999999999</v>
      </c>
      <c r="M466" s="403" t="inlineStr">
        <is>
          <t>1403241125105239</t>
        </is>
      </c>
    </row>
    <row r="467" s="184">
      <c r="A467" s="1" t="n">
        <v>467</v>
      </c>
      <c r="B467" s="733" t="inlineStr">
        <is>
          <t>chanhua</t>
        </is>
      </c>
      <c r="C467" s="733" t="n">
        <v>45613</v>
      </c>
      <c r="D467" s="673" t="inlineStr">
        <is>
          <t>新加坡比特</t>
        </is>
      </c>
      <c r="E467" s="734" t="inlineStr">
        <is>
          <t>SPILSZ</t>
        </is>
      </c>
      <c r="F467" s="734" t="inlineStr">
        <is>
          <t>BM1370PA</t>
        </is>
      </c>
      <c r="G467" s="673">
        <f>VLOOKUP(F467,编码对账表!C:D,2,0)</f>
        <v/>
      </c>
      <c r="H467" s="396" t="n">
        <v>356485</v>
      </c>
      <c r="I467" s="85" t="inlineStr">
        <is>
          <t>202411250011</t>
        </is>
      </c>
      <c r="J467" s="736" t="inlineStr">
        <is>
          <t>PIE</t>
        </is>
      </c>
      <c r="K467" s="734" t="inlineStr">
        <is>
          <t>CHANHUA PTE. LTD.</t>
        </is>
      </c>
      <c r="L467" s="736" t="n">
        <v>8.527799999999999</v>
      </c>
      <c r="M467" s="403" t="inlineStr">
        <is>
          <t>1403241125105239</t>
        </is>
      </c>
    </row>
    <row r="468" s="184">
      <c r="A468" s="1" t="n">
        <v>468</v>
      </c>
      <c r="B468" s="733" t="inlineStr">
        <is>
          <t>chanhua</t>
        </is>
      </c>
      <c r="C468" s="733" t="n">
        <v>45610</v>
      </c>
      <c r="D468" s="673" t="inlineStr">
        <is>
          <t>新加坡比特</t>
        </is>
      </c>
      <c r="E468" s="734" t="inlineStr">
        <is>
          <t>JSCC</t>
        </is>
      </c>
      <c r="F468" s="734" t="inlineStr">
        <is>
          <t>BM1370PM</t>
        </is>
      </c>
      <c r="G468" s="673">
        <f>VLOOKUP(F468,编码对账表!C:D,2,0)</f>
        <v/>
      </c>
      <c r="H468" s="396" t="n">
        <v>509607</v>
      </c>
      <c r="I468" s="85" t="inlineStr">
        <is>
          <t>202411250011</t>
        </is>
      </c>
      <c r="J468" s="736" t="inlineStr">
        <is>
          <t>PIE</t>
        </is>
      </c>
      <c r="K468" s="734" t="inlineStr">
        <is>
          <t>CHANHUA PTE. LTD.</t>
        </is>
      </c>
      <c r="L468" s="736" t="n">
        <v>8.527799999999999</v>
      </c>
      <c r="M468" s="403" t="inlineStr">
        <is>
          <t>1403241125105239</t>
        </is>
      </c>
    </row>
    <row r="469" s="184">
      <c r="A469" s="1" t="n">
        <v>469</v>
      </c>
      <c r="B469" s="733" t="inlineStr">
        <is>
          <t>chanhua</t>
        </is>
      </c>
      <c r="C469" s="733" t="n">
        <v>45610</v>
      </c>
      <c r="D469" s="673" t="inlineStr">
        <is>
          <t>新加坡比特</t>
        </is>
      </c>
      <c r="E469" s="734" t="inlineStr">
        <is>
          <t>NJ-VT</t>
        </is>
      </c>
      <c r="F469" s="734" t="inlineStr">
        <is>
          <t>BM1368PB</t>
        </is>
      </c>
      <c r="G469" s="673">
        <f>VLOOKUP(F469,编码对账表!C:D,2,0)</f>
        <v/>
      </c>
      <c r="H469" s="396" t="n">
        <v>41974</v>
      </c>
      <c r="I469" s="85" t="inlineStr">
        <is>
          <t>202411250012</t>
        </is>
      </c>
      <c r="J469" s="736" t="inlineStr">
        <is>
          <t>Nationgate</t>
        </is>
      </c>
      <c r="K469" s="734" t="inlineStr">
        <is>
          <t>CHANHUA PTE. LTD.</t>
        </is>
      </c>
      <c r="L469" s="736" t="n">
        <v>4.382</v>
      </c>
      <c r="M469" s="403" t="inlineStr">
        <is>
          <t>1403241125105256</t>
        </is>
      </c>
    </row>
    <row r="470" s="184">
      <c r="A470" s="1" t="n">
        <v>470</v>
      </c>
      <c r="B470" s="733" t="inlineStr">
        <is>
          <t>chanhua</t>
        </is>
      </c>
      <c r="C470" s="733" t="n">
        <v>45614</v>
      </c>
      <c r="D470" s="673" t="inlineStr">
        <is>
          <t>新加坡比特</t>
        </is>
      </c>
      <c r="E470" s="734" t="inlineStr">
        <is>
          <t>WX-HN</t>
        </is>
      </c>
      <c r="F470" s="734" t="inlineStr">
        <is>
          <t>BM1368PB</t>
        </is>
      </c>
      <c r="G470" s="673">
        <f>VLOOKUP(F470,编码对账表!C:D,2,0)</f>
        <v/>
      </c>
      <c r="H470" s="396" t="n">
        <v>362935</v>
      </c>
      <c r="I470" s="85" t="inlineStr">
        <is>
          <t>202411250012</t>
        </is>
      </c>
      <c r="J470" s="736" t="inlineStr">
        <is>
          <t>Nationgate</t>
        </is>
      </c>
      <c r="K470" s="734" t="inlineStr">
        <is>
          <t>CHANHUA PTE. LTD.</t>
        </is>
      </c>
      <c r="L470" s="736" t="n">
        <v>4.382</v>
      </c>
      <c r="M470" s="403" t="inlineStr">
        <is>
          <t>1403241125105256</t>
        </is>
      </c>
    </row>
    <row r="471" s="184">
      <c r="A471" s="1" t="n">
        <v>471</v>
      </c>
      <c r="B471" s="733" t="inlineStr">
        <is>
          <t>chanhua</t>
        </is>
      </c>
      <c r="C471" s="733" t="n">
        <v>45609</v>
      </c>
      <c r="D471" s="673" t="inlineStr">
        <is>
          <t>新加坡比特</t>
        </is>
      </c>
      <c r="E471" s="734" t="inlineStr">
        <is>
          <t>XJ</t>
        </is>
      </c>
      <c r="F471" s="734" t="inlineStr">
        <is>
          <t>BM1368PB</t>
        </is>
      </c>
      <c r="G471" s="673">
        <f>VLOOKUP(F471,编码对账表!C:D,2,0)</f>
        <v/>
      </c>
      <c r="H471" s="396" t="n">
        <v>28554</v>
      </c>
      <c r="I471" s="85" t="inlineStr">
        <is>
          <t>202411250012</t>
        </is>
      </c>
      <c r="J471" s="736" t="inlineStr">
        <is>
          <t>Nationgate</t>
        </is>
      </c>
      <c r="K471" s="734" t="inlineStr">
        <is>
          <t>CHANHUA PTE. LTD.</t>
        </is>
      </c>
      <c r="L471" s="736" t="n">
        <v>4.382</v>
      </c>
      <c r="M471" s="403" t="inlineStr">
        <is>
          <t>1403241125105256</t>
        </is>
      </c>
    </row>
    <row r="472" s="184">
      <c r="A472" s="1" t="n">
        <v>472</v>
      </c>
      <c r="B472" s="733" t="inlineStr">
        <is>
          <t>chanhua</t>
        </is>
      </c>
      <c r="C472" s="733" t="n">
        <v>45610</v>
      </c>
      <c r="D472" s="673" t="inlineStr">
        <is>
          <t>新加坡比特</t>
        </is>
      </c>
      <c r="E472" s="734" t="inlineStr">
        <is>
          <t>NJ-VT</t>
        </is>
      </c>
      <c r="F472" s="734" t="inlineStr">
        <is>
          <t>BM1368PV</t>
        </is>
      </c>
      <c r="G472" s="673">
        <f>VLOOKUP(F472,编码对账表!C:D,2,0)</f>
        <v/>
      </c>
      <c r="H472" s="396" t="n">
        <v>39303</v>
      </c>
      <c r="I472" s="85" t="inlineStr">
        <is>
          <t>202411250012</t>
        </is>
      </c>
      <c r="J472" s="736" t="inlineStr">
        <is>
          <t>Nationgate</t>
        </is>
      </c>
      <c r="K472" s="734" t="inlineStr">
        <is>
          <t>CHANHUA PTE. LTD.</t>
        </is>
      </c>
      <c r="L472" s="736" t="n">
        <v>4.382</v>
      </c>
      <c r="M472" s="403" t="inlineStr">
        <is>
          <t>1403241125105256</t>
        </is>
      </c>
    </row>
    <row r="473" s="184">
      <c r="A473" s="1" t="n">
        <v>473</v>
      </c>
      <c r="B473" s="733" t="inlineStr">
        <is>
          <t>chanhua</t>
        </is>
      </c>
      <c r="C473" s="733" t="n">
        <v>45607</v>
      </c>
      <c r="D473" s="673" t="inlineStr">
        <is>
          <t>新加坡比特</t>
        </is>
      </c>
      <c r="E473" s="734" t="inlineStr">
        <is>
          <t>WX-HN</t>
        </is>
      </c>
      <c r="F473" s="734" t="inlineStr">
        <is>
          <t>BM1368PV</t>
        </is>
      </c>
      <c r="G473" s="673">
        <f>VLOOKUP(F473,编码对账表!C:D,2,0)</f>
        <v/>
      </c>
      <c r="H473" s="396" t="n">
        <v>322436</v>
      </c>
      <c r="I473" s="85" t="inlineStr">
        <is>
          <t>202411250012</t>
        </is>
      </c>
      <c r="J473" s="736" t="inlineStr">
        <is>
          <t>Nationgate</t>
        </is>
      </c>
      <c r="K473" s="734" t="inlineStr">
        <is>
          <t>CHANHUA PTE. LTD.</t>
        </is>
      </c>
      <c r="L473" s="736" t="n">
        <v>4.382</v>
      </c>
      <c r="M473" s="403" t="inlineStr">
        <is>
          <t>1403241125105256</t>
        </is>
      </c>
    </row>
    <row r="474" s="184">
      <c r="A474" s="1" t="n">
        <v>474</v>
      </c>
      <c r="B474" s="733" t="inlineStr">
        <is>
          <t>chanhua</t>
        </is>
      </c>
      <c r="C474" s="733" t="n">
        <v>45616</v>
      </c>
      <c r="D474" s="673" t="inlineStr">
        <is>
          <t>新加坡比特</t>
        </is>
      </c>
      <c r="E474" s="734" t="inlineStr">
        <is>
          <t>SPILSZ</t>
        </is>
      </c>
      <c r="F474" s="734" t="inlineStr">
        <is>
          <t>BM1370PA</t>
        </is>
      </c>
      <c r="G474" s="673">
        <f>VLOOKUP(F474,编码对账表!C:D,2,0)</f>
        <v/>
      </c>
      <c r="H474" s="396" t="n">
        <v>358743</v>
      </c>
      <c r="I474" s="85" t="inlineStr">
        <is>
          <t>202411250012</t>
        </is>
      </c>
      <c r="J474" s="736" t="inlineStr">
        <is>
          <t>Nationgate</t>
        </is>
      </c>
      <c r="K474" s="734" t="inlineStr">
        <is>
          <t>CHANHUA PTE. LTD.</t>
        </is>
      </c>
      <c r="L474" s="736" t="n">
        <v>8.527799999999999</v>
      </c>
      <c r="M474" s="403" t="inlineStr">
        <is>
          <t>1403241125105256</t>
        </is>
      </c>
    </row>
    <row r="475" s="184">
      <c r="A475" s="1" t="n">
        <v>475</v>
      </c>
      <c r="B475" s="733" t="inlineStr">
        <is>
          <t>chanhua</t>
        </is>
      </c>
      <c r="C475" s="733" t="n">
        <v>45617</v>
      </c>
      <c r="D475" s="673" t="inlineStr">
        <is>
          <t>香港比特</t>
        </is>
      </c>
      <c r="E475" s="734" t="inlineStr">
        <is>
          <t>JSCC</t>
        </is>
      </c>
      <c r="F475" s="734" t="inlineStr">
        <is>
          <t>BM1370PM</t>
        </is>
      </c>
      <c r="G475" s="673">
        <f>VLOOKUP(F475,编码对账表!C:D,2,0)</f>
        <v/>
      </c>
      <c r="H475" s="396" t="n">
        <v>821246</v>
      </c>
      <c r="I475" s="85" t="inlineStr">
        <is>
          <t>HKK202411250040</t>
        </is>
      </c>
      <c r="J475" s="736" t="inlineStr">
        <is>
          <t>印尼奥海</t>
        </is>
      </c>
      <c r="K475" s="734" t="inlineStr">
        <is>
          <t>CHANHUA PTE. LTD.</t>
        </is>
      </c>
      <c r="L475" s="736" t="n">
        <v>8.527799999999999</v>
      </c>
      <c r="M475" s="403" t="inlineStr">
        <is>
          <t>1403241125115408</t>
        </is>
      </c>
    </row>
    <row r="476" s="184">
      <c r="A476" s="1" t="n">
        <v>476</v>
      </c>
      <c r="B476" s="673" t="inlineStr">
        <is>
          <t>香港比特</t>
        </is>
      </c>
      <c r="C476" s="733" t="n">
        <v>45605</v>
      </c>
      <c r="D476" s="673" t="inlineStr">
        <is>
          <t>新加坡比特</t>
        </is>
      </c>
      <c r="E476" s="734" t="inlineStr">
        <is>
          <t>JSCC</t>
        </is>
      </c>
      <c r="F476" s="734" t="inlineStr">
        <is>
          <t>BM1368AA</t>
        </is>
      </c>
      <c r="G476" s="673">
        <f>VLOOKUP(F476,编码对账表!C:D,2,0)</f>
        <v/>
      </c>
      <c r="H476" s="396" t="n">
        <v>2324</v>
      </c>
      <c r="I476" s="85" t="inlineStr">
        <is>
          <t>202411260010</t>
        </is>
      </c>
      <c r="J476" s="736" t="inlineStr">
        <is>
          <t>Nationgate</t>
        </is>
      </c>
      <c r="K476" s="734" t="inlineStr">
        <is>
          <t>CHANHUA PTE. LTD.</t>
        </is>
      </c>
      <c r="M476" s="403" t="inlineStr">
        <is>
          <t>1005241126170521</t>
        </is>
      </c>
    </row>
    <row r="477" s="184">
      <c r="A477" s="1" t="n">
        <v>477</v>
      </c>
      <c r="B477" s="733" t="inlineStr">
        <is>
          <t>chanhua</t>
        </is>
      </c>
      <c r="C477" s="733" t="n">
        <v>45625</v>
      </c>
      <c r="D477" s="673" t="inlineStr">
        <is>
          <t>香港比特</t>
        </is>
      </c>
      <c r="E477" s="734" t="inlineStr">
        <is>
          <t>ASE-KH</t>
        </is>
      </c>
      <c r="F477" s="734" t="inlineStr">
        <is>
          <t>BM1370PA</t>
        </is>
      </c>
      <c r="G477" s="673">
        <f>VLOOKUP(F477,编码对账表!C:D,2,0)</f>
        <v/>
      </c>
      <c r="H477" s="396" t="n">
        <v>463060</v>
      </c>
      <c r="I477" s="85" t="inlineStr">
        <is>
          <t>HKK202412030010</t>
        </is>
      </c>
      <c r="J477" s="736" t="inlineStr">
        <is>
          <t>印尼奥海</t>
        </is>
      </c>
      <c r="K477" s="734" t="inlineStr">
        <is>
          <t>CHANHUA PTE. LTD.</t>
        </is>
      </c>
      <c r="L477" s="736" t="n">
        <v>8.527799999999999</v>
      </c>
      <c r="M477" s="403" t="inlineStr">
        <is>
          <t>1403241203142224</t>
        </is>
      </c>
    </row>
    <row r="478" s="184">
      <c r="A478" s="1" t="n">
        <v>478</v>
      </c>
      <c r="B478" s="733" t="inlineStr">
        <is>
          <t>chanhua</t>
        </is>
      </c>
      <c r="C478" s="733" t="n">
        <v>45624</v>
      </c>
      <c r="D478" s="673" t="inlineStr">
        <is>
          <t>香港比特</t>
        </is>
      </c>
      <c r="E478" s="734" t="inlineStr">
        <is>
          <t>SPILSZ</t>
        </is>
      </c>
      <c r="F478" s="734" t="inlineStr">
        <is>
          <t>BM1370PA</t>
        </is>
      </c>
      <c r="G478" s="673">
        <f>VLOOKUP(F478,编码对账表!C:D,2,0)</f>
        <v/>
      </c>
      <c r="H478" s="396" t="n">
        <v>1094716</v>
      </c>
      <c r="I478" s="85" t="inlineStr">
        <is>
          <t>HKK202412030010</t>
        </is>
      </c>
      <c r="J478" s="736" t="inlineStr">
        <is>
          <t>印尼奥海</t>
        </is>
      </c>
      <c r="K478" s="734" t="inlineStr">
        <is>
          <t>CHANHUA PTE. LTD.</t>
        </is>
      </c>
      <c r="L478" s="736" t="n">
        <v>8.527799999999999</v>
      </c>
      <c r="M478" s="403" t="inlineStr">
        <is>
          <t>1403241203142224</t>
        </is>
      </c>
    </row>
    <row r="479" s="184">
      <c r="A479" s="1" t="n">
        <v>479</v>
      </c>
      <c r="B479" s="733" t="inlineStr">
        <is>
          <t>chanhua</t>
        </is>
      </c>
      <c r="C479" s="733" t="n">
        <v>45625</v>
      </c>
      <c r="D479" s="673" t="inlineStr">
        <is>
          <t>香港比特</t>
        </is>
      </c>
      <c r="E479" s="734" t="inlineStr">
        <is>
          <t>JSCC</t>
        </is>
      </c>
      <c r="F479" s="734" t="inlineStr">
        <is>
          <t>BM1370PM</t>
        </is>
      </c>
      <c r="G479" s="673">
        <f>VLOOKUP(F479,编码对账表!C:D,2,0)</f>
        <v/>
      </c>
      <c r="H479" s="396" t="n">
        <v>888577</v>
      </c>
      <c r="I479" s="85" t="inlineStr">
        <is>
          <t>HKK202412030010</t>
        </is>
      </c>
      <c r="J479" s="736" t="inlineStr">
        <is>
          <t>印尼奥海</t>
        </is>
      </c>
      <c r="K479" s="734" t="inlineStr">
        <is>
          <t>CHANHUA PTE. LTD.</t>
        </is>
      </c>
      <c r="L479" s="736" t="n">
        <v>8.527799999999999</v>
      </c>
      <c r="M479" s="403" t="inlineStr">
        <is>
          <t>1403241203142224</t>
        </is>
      </c>
    </row>
    <row r="480" s="184">
      <c r="A480" s="1" t="n">
        <v>480</v>
      </c>
      <c r="B480" s="733" t="inlineStr">
        <is>
          <t>chanhua</t>
        </is>
      </c>
      <c r="C480" s="733" t="n">
        <v>45625</v>
      </c>
      <c r="D480" s="673" t="inlineStr">
        <is>
          <t>香港比特</t>
        </is>
      </c>
      <c r="E480" s="734" t="inlineStr">
        <is>
          <t>SPILSZ</t>
        </is>
      </c>
      <c r="F480" s="734" t="inlineStr">
        <is>
          <t>BM1370AA</t>
        </is>
      </c>
      <c r="G480" s="673">
        <f>VLOOKUP(F480,编码对账表!C:D,2,0)</f>
        <v/>
      </c>
      <c r="H480" s="396" t="n">
        <v>129027</v>
      </c>
      <c r="I480" s="85" t="inlineStr">
        <is>
          <t>HKK202412030011</t>
        </is>
      </c>
      <c r="J480" s="736" t="inlineStr">
        <is>
          <t>泰国群光</t>
        </is>
      </c>
      <c r="K480" s="734" t="inlineStr">
        <is>
          <t>CHANHUA PTE. LTD.</t>
        </is>
      </c>
      <c r="L480" s="736" t="n">
        <v>8.527799999999999</v>
      </c>
      <c r="M480" s="403" t="inlineStr">
        <is>
          <t>1403241203142239</t>
        </is>
      </c>
    </row>
    <row r="481" s="184">
      <c r="A481" s="1" t="n">
        <v>481</v>
      </c>
      <c r="B481" s="733" t="inlineStr">
        <is>
          <t>chanhua</t>
        </is>
      </c>
      <c r="C481" s="733" t="n">
        <v>45624</v>
      </c>
      <c r="D481" s="673" t="inlineStr">
        <is>
          <t>香港比特</t>
        </is>
      </c>
      <c r="E481" s="734" t="inlineStr">
        <is>
          <t>ASECL</t>
        </is>
      </c>
      <c r="F481" s="734" t="inlineStr">
        <is>
          <t>BM1370BC</t>
        </is>
      </c>
      <c r="G481" s="673">
        <f>VLOOKUP(F481,编码对账表!C:D,2,0)</f>
        <v/>
      </c>
      <c r="H481" s="396" t="n">
        <v>238024</v>
      </c>
      <c r="I481" s="85" t="inlineStr">
        <is>
          <t>HKK202412030011</t>
        </is>
      </c>
      <c r="J481" s="736" t="inlineStr">
        <is>
          <t>泰国群光</t>
        </is>
      </c>
      <c r="K481" s="734" t="inlineStr">
        <is>
          <t>CHANHUA PTE. LTD.</t>
        </is>
      </c>
      <c r="L481" s="736" t="n">
        <v>8.527799999999999</v>
      </c>
      <c r="M481" s="403" t="inlineStr">
        <is>
          <t>1403241203142239</t>
        </is>
      </c>
    </row>
    <row r="482" s="184">
      <c r="A482" s="1" t="n">
        <v>482</v>
      </c>
      <c r="B482" s="733" t="inlineStr">
        <is>
          <t>chanhua</t>
        </is>
      </c>
      <c r="C482" s="733" t="n">
        <v>45624</v>
      </c>
      <c r="D482" s="673" t="inlineStr">
        <is>
          <t>香港比特</t>
        </is>
      </c>
      <c r="E482" s="734" t="inlineStr">
        <is>
          <t>ASECL</t>
        </is>
      </c>
      <c r="F482" s="734" t="inlineStr">
        <is>
          <t>BM1370PA</t>
        </is>
      </c>
      <c r="G482" s="673">
        <f>VLOOKUP(F482,编码对账表!C:D,2,0)</f>
        <v/>
      </c>
      <c r="H482" s="396" t="n">
        <v>111729</v>
      </c>
      <c r="I482" s="85" t="inlineStr">
        <is>
          <t>HKK202412030011</t>
        </is>
      </c>
      <c r="J482" s="736" t="inlineStr">
        <is>
          <t>泰国群光</t>
        </is>
      </c>
      <c r="K482" s="734" t="inlineStr">
        <is>
          <t>CHANHUA PTE. LTD.</t>
        </is>
      </c>
      <c r="L482" s="736" t="n">
        <v>8.527799999999999</v>
      </c>
      <c r="M482" s="403" t="inlineStr">
        <is>
          <t>1403241203142239</t>
        </is>
      </c>
    </row>
    <row r="483" s="184">
      <c r="A483" s="1" t="n">
        <v>483</v>
      </c>
      <c r="B483" s="733" t="inlineStr">
        <is>
          <t>chanhua</t>
        </is>
      </c>
      <c r="C483" s="733" t="n">
        <v>45625</v>
      </c>
      <c r="D483" s="673" t="inlineStr">
        <is>
          <t>香港比特</t>
        </is>
      </c>
      <c r="E483" s="734" t="inlineStr">
        <is>
          <t>SPILSZ</t>
        </is>
      </c>
      <c r="F483" s="734" t="inlineStr">
        <is>
          <t>BM1370PA</t>
        </is>
      </c>
      <c r="G483" s="673">
        <f>VLOOKUP(F483,编码对账表!C:D,2,0)</f>
        <v/>
      </c>
      <c r="H483" s="396" t="n">
        <v>324038</v>
      </c>
      <c r="I483" s="85" t="inlineStr">
        <is>
          <t>HKK202412030011</t>
        </is>
      </c>
      <c r="J483" s="736" t="inlineStr">
        <is>
          <t>泰国群光</t>
        </is>
      </c>
      <c r="K483" s="734" t="inlineStr">
        <is>
          <t>CHANHUA PTE. LTD.</t>
        </is>
      </c>
      <c r="L483" s="736" t="n">
        <v>8.527799999999999</v>
      </c>
      <c r="M483" s="403" t="inlineStr">
        <is>
          <t>1403241203142239</t>
        </is>
      </c>
    </row>
    <row r="484" s="184">
      <c r="A484" s="1" t="n">
        <v>484</v>
      </c>
      <c r="B484" s="733" t="inlineStr">
        <is>
          <t>chanhua</t>
        </is>
      </c>
      <c r="C484" s="733" t="n">
        <v>45624</v>
      </c>
      <c r="D484" s="673" t="inlineStr">
        <is>
          <t>新加坡比特</t>
        </is>
      </c>
      <c r="E484" s="734" t="inlineStr">
        <is>
          <t>ASECL</t>
        </is>
      </c>
      <c r="F484" s="734" t="inlineStr">
        <is>
          <t>BM1370PA</t>
        </is>
      </c>
      <c r="G484" s="673">
        <f>VLOOKUP(F484,编码对账表!C:D,2,0)</f>
        <v/>
      </c>
      <c r="H484" s="396" t="n">
        <v>509433</v>
      </c>
      <c r="I484" s="85" t="inlineStr">
        <is>
          <t>202412030010</t>
        </is>
      </c>
      <c r="J484" s="736" t="inlineStr">
        <is>
          <t>泰国ONETEC</t>
        </is>
      </c>
      <c r="K484" s="734" t="inlineStr">
        <is>
          <t>CHANHUA PTE. LTD.</t>
        </is>
      </c>
      <c r="L484" s="736" t="n">
        <v>8.527799999999999</v>
      </c>
      <c r="M484" s="403" t="inlineStr">
        <is>
          <t>1403241203142327</t>
        </is>
      </c>
    </row>
    <row r="485" s="184">
      <c r="A485" s="1" t="n">
        <v>485</v>
      </c>
      <c r="B485" s="733" t="inlineStr">
        <is>
          <t>chanhua</t>
        </is>
      </c>
      <c r="C485" s="733" t="n">
        <v>45625</v>
      </c>
      <c r="D485" s="673" t="inlineStr">
        <is>
          <t>新加坡比特</t>
        </is>
      </c>
      <c r="E485" s="734" t="inlineStr">
        <is>
          <t>SPILSZ</t>
        </is>
      </c>
      <c r="F485" s="734" t="inlineStr">
        <is>
          <t>BM1370PA</t>
        </is>
      </c>
      <c r="G485" s="673">
        <f>VLOOKUP(F485,编码对账表!C:D,2,0)</f>
        <v/>
      </c>
      <c r="H485" s="396" t="n">
        <v>213137</v>
      </c>
      <c r="I485" s="85" t="inlineStr">
        <is>
          <t>202412030010</t>
        </is>
      </c>
      <c r="J485" s="736" t="inlineStr">
        <is>
          <t>泰国ONETEC</t>
        </is>
      </c>
      <c r="K485" s="734" t="inlineStr">
        <is>
          <t>CHANHUA PTE. LTD.</t>
        </is>
      </c>
      <c r="L485" s="736" t="n">
        <v>8.527799999999999</v>
      </c>
      <c r="M485" s="403" t="inlineStr">
        <is>
          <t>1403241203142327</t>
        </is>
      </c>
    </row>
    <row r="486" s="184">
      <c r="A486" s="1" t="n">
        <v>486</v>
      </c>
      <c r="B486" s="733" t="inlineStr">
        <is>
          <t>chanhua</t>
        </is>
      </c>
      <c r="C486" s="733" t="n">
        <v>45625</v>
      </c>
      <c r="D486" s="673" t="inlineStr">
        <is>
          <t>新加坡比特</t>
        </is>
      </c>
      <c r="E486" s="734" t="inlineStr">
        <is>
          <t>JSCC</t>
        </is>
      </c>
      <c r="F486" s="734" t="inlineStr">
        <is>
          <t>BM1370PM</t>
        </is>
      </c>
      <c r="G486" s="673">
        <f>VLOOKUP(F486,编码对账表!C:D,2,0)</f>
        <v/>
      </c>
      <c r="H486" s="396" t="n">
        <v>568140</v>
      </c>
      <c r="I486" s="85" t="inlineStr">
        <is>
          <t>202412030010</t>
        </is>
      </c>
      <c r="J486" s="736" t="inlineStr">
        <is>
          <t>泰国ONETEC</t>
        </is>
      </c>
      <c r="K486" s="734" t="inlineStr">
        <is>
          <t>CHANHUA PTE. LTD.</t>
        </is>
      </c>
      <c r="L486" s="736" t="n">
        <v>8.527799999999999</v>
      </c>
      <c r="M486" s="403" t="inlineStr">
        <is>
          <t>1403241203142327</t>
        </is>
      </c>
    </row>
    <row r="487" s="184">
      <c r="A487" s="1" t="n">
        <v>487</v>
      </c>
      <c r="B487" s="733" t="inlineStr">
        <is>
          <t>chanhua</t>
        </is>
      </c>
      <c r="C487" s="733" t="n">
        <v>45624</v>
      </c>
      <c r="D487" s="673" t="inlineStr">
        <is>
          <t>新加坡比特</t>
        </is>
      </c>
      <c r="E487" s="734" t="inlineStr">
        <is>
          <t>ASECL</t>
        </is>
      </c>
      <c r="F487" s="734" t="inlineStr">
        <is>
          <t>BM1370PA</t>
        </is>
      </c>
      <c r="G487" s="673">
        <f>VLOOKUP(F487,编码对账表!C:D,2,0)</f>
        <v/>
      </c>
      <c r="H487" s="396" t="n">
        <v>15433</v>
      </c>
      <c r="I487" s="85" t="inlineStr">
        <is>
          <t>202412030011</t>
        </is>
      </c>
      <c r="J487" s="736" t="inlineStr">
        <is>
          <t>PIE</t>
        </is>
      </c>
      <c r="K487" s="734" t="inlineStr">
        <is>
          <t>CHANHUA PTE. LTD.</t>
        </is>
      </c>
      <c r="L487" s="736" t="n">
        <v>8.527799999999999</v>
      </c>
      <c r="M487" s="403" t="inlineStr">
        <is>
          <t>1403241203142344</t>
        </is>
      </c>
    </row>
    <row r="488" s="184">
      <c r="A488" s="1" t="n">
        <v>488</v>
      </c>
      <c r="B488" s="733" t="inlineStr">
        <is>
          <t>chanhua</t>
        </is>
      </c>
      <c r="C488" s="733" t="n">
        <v>45624</v>
      </c>
      <c r="D488" s="673" t="inlineStr">
        <is>
          <t>新加坡比特</t>
        </is>
      </c>
      <c r="E488" s="734" t="inlineStr">
        <is>
          <t>SPILSZ</t>
        </is>
      </c>
      <c r="F488" s="734" t="inlineStr">
        <is>
          <t>BM1370PA</t>
        </is>
      </c>
      <c r="G488" s="673">
        <f>VLOOKUP(F488,编码对账表!C:D,2,0)</f>
        <v/>
      </c>
      <c r="H488" s="396" t="n">
        <v>125820</v>
      </c>
      <c r="I488" s="85" t="inlineStr">
        <is>
          <t>202412030011</t>
        </is>
      </c>
      <c r="J488" s="736" t="inlineStr">
        <is>
          <t>PIE</t>
        </is>
      </c>
      <c r="K488" s="734" t="inlineStr">
        <is>
          <t>CHANHUA PTE. LTD.</t>
        </is>
      </c>
      <c r="L488" s="736" t="n">
        <v>8.527799999999999</v>
      </c>
      <c r="M488" s="403" t="inlineStr">
        <is>
          <t>1403241203142344</t>
        </is>
      </c>
    </row>
    <row r="489" s="184">
      <c r="A489" s="1" t="n">
        <v>489</v>
      </c>
      <c r="B489" s="733" t="inlineStr">
        <is>
          <t>chanhua</t>
        </is>
      </c>
      <c r="C489" s="733" t="n">
        <v>45624</v>
      </c>
      <c r="D489" s="673" t="inlineStr">
        <is>
          <t>新加坡比特</t>
        </is>
      </c>
      <c r="E489" s="734" t="inlineStr">
        <is>
          <t>ASECL</t>
        </is>
      </c>
      <c r="F489" s="734" t="inlineStr">
        <is>
          <t>BM1370PM</t>
        </is>
      </c>
      <c r="G489" s="673">
        <f>VLOOKUP(F489,编码对账表!C:D,2,0)</f>
        <v/>
      </c>
      <c r="H489" s="396" t="n">
        <v>68877</v>
      </c>
      <c r="I489" s="85" t="inlineStr">
        <is>
          <t>202412030011</t>
        </is>
      </c>
      <c r="J489" s="736" t="inlineStr">
        <is>
          <t>PIE</t>
        </is>
      </c>
      <c r="K489" s="734" t="inlineStr">
        <is>
          <t>CHANHUA PTE. LTD.</t>
        </is>
      </c>
      <c r="L489" s="736" t="n">
        <v>8.527799999999999</v>
      </c>
      <c r="M489" s="403" t="inlineStr">
        <is>
          <t>1403241203142344</t>
        </is>
      </c>
    </row>
    <row r="490" s="184">
      <c r="A490" s="1" t="n">
        <v>490</v>
      </c>
      <c r="B490" s="733" t="inlineStr">
        <is>
          <t>chanhua</t>
        </is>
      </c>
      <c r="C490" s="733" t="n">
        <v>45625</v>
      </c>
      <c r="D490" s="673" t="inlineStr">
        <is>
          <t>新加坡比特</t>
        </is>
      </c>
      <c r="E490" s="734" t="inlineStr">
        <is>
          <t>JSCC</t>
        </is>
      </c>
      <c r="F490" s="734" t="inlineStr">
        <is>
          <t>BM1370PM</t>
        </is>
      </c>
      <c r="G490" s="673">
        <f>VLOOKUP(F490,编码对账表!C:D,2,0)</f>
        <v/>
      </c>
      <c r="H490" s="396" t="n">
        <v>289609</v>
      </c>
      <c r="I490" s="85" t="inlineStr">
        <is>
          <t>202412030011</t>
        </is>
      </c>
      <c r="J490" s="736" t="inlineStr">
        <is>
          <t>PIE</t>
        </is>
      </c>
      <c r="K490" s="734" t="inlineStr">
        <is>
          <t>CHANHUA PTE. LTD.</t>
        </is>
      </c>
      <c r="L490" s="736" t="n">
        <v>8.527799999999999</v>
      </c>
      <c r="M490" s="403" t="inlineStr">
        <is>
          <t>1403241203142344</t>
        </is>
      </c>
    </row>
    <row r="491" s="184">
      <c r="A491" s="1" t="n">
        <v>491</v>
      </c>
      <c r="B491" s="733" t="inlineStr">
        <is>
          <t>chanhua</t>
        </is>
      </c>
      <c r="C491" s="733" t="n">
        <v>45624</v>
      </c>
      <c r="D491" s="673" t="inlineStr">
        <is>
          <t>新加坡比特</t>
        </is>
      </c>
      <c r="E491" s="734" t="inlineStr">
        <is>
          <t>ASECL</t>
        </is>
      </c>
      <c r="F491" s="734" t="inlineStr">
        <is>
          <t>BM1370PA</t>
        </is>
      </c>
      <c r="G491" s="673">
        <f>VLOOKUP(F491,编码对账表!C:D,2,0)</f>
        <v/>
      </c>
      <c r="H491" s="396" t="n">
        <v>85990</v>
      </c>
      <c r="I491" s="85" t="inlineStr">
        <is>
          <t>202412030012</t>
        </is>
      </c>
      <c r="J491" s="736" t="inlineStr">
        <is>
          <t>Nationgate</t>
        </is>
      </c>
      <c r="K491" s="734" t="inlineStr">
        <is>
          <t>CHANHUA PTE. LTD.</t>
        </is>
      </c>
      <c r="L491" s="736" t="n">
        <v>8.527799999999999</v>
      </c>
      <c r="M491" s="403" t="inlineStr">
        <is>
          <t>1403241203142404</t>
        </is>
      </c>
    </row>
    <row r="492" s="184">
      <c r="A492" s="1" t="n">
        <v>492</v>
      </c>
      <c r="B492" s="733" t="inlineStr">
        <is>
          <t>chanhua</t>
        </is>
      </c>
      <c r="C492" s="733" t="n">
        <v>45624</v>
      </c>
      <c r="D492" s="673" t="inlineStr">
        <is>
          <t>新加坡比特</t>
        </is>
      </c>
      <c r="E492" s="734" t="inlineStr">
        <is>
          <t>SPILSZ</t>
        </is>
      </c>
      <c r="F492" s="734" t="inlineStr">
        <is>
          <t>BM1370PA</t>
        </is>
      </c>
      <c r="G492" s="673">
        <f>VLOOKUP(F492,编码对账表!C:D,2,0)</f>
        <v/>
      </c>
      <c r="H492" s="396" t="n">
        <v>38053</v>
      </c>
      <c r="I492" s="85" t="inlineStr">
        <is>
          <t>202412030012</t>
        </is>
      </c>
      <c r="J492" s="736" t="inlineStr">
        <is>
          <t>Nationgate</t>
        </is>
      </c>
      <c r="K492" s="734" t="inlineStr">
        <is>
          <t>CHANHUA PTE. LTD.</t>
        </is>
      </c>
      <c r="L492" s="736" t="n">
        <v>8.527799999999999</v>
      </c>
      <c r="M492" s="403" t="inlineStr">
        <is>
          <t>1403241203142404</t>
        </is>
      </c>
    </row>
    <row r="493" s="184">
      <c r="A493" s="1" t="n">
        <v>493</v>
      </c>
      <c r="B493" s="733" t="inlineStr">
        <is>
          <t>chanhua</t>
        </is>
      </c>
      <c r="C493" s="733" t="n">
        <v>45634</v>
      </c>
      <c r="D493" s="673" t="inlineStr">
        <is>
          <t>香港比特</t>
        </is>
      </c>
      <c r="E493" s="734" t="inlineStr">
        <is>
          <t>SPILSZ</t>
        </is>
      </c>
      <c r="F493" s="734" t="inlineStr">
        <is>
          <t>BM1370BC</t>
        </is>
      </c>
      <c r="G493" s="673">
        <f>VLOOKUP(F493,编码对账表!C:D,2,0)</f>
        <v/>
      </c>
      <c r="H493" s="396" t="n">
        <v>41800</v>
      </c>
      <c r="I493" s="85" t="inlineStr">
        <is>
          <t>HKK202412120010</t>
        </is>
      </c>
      <c r="J493" s="736" t="inlineStr">
        <is>
          <t>印尼奥海</t>
        </is>
      </c>
      <c r="K493" s="734" t="inlineStr">
        <is>
          <t>CHANHUA PTE. LTD.</t>
        </is>
      </c>
      <c r="L493" s="736" t="n">
        <v>8.527799999999999</v>
      </c>
      <c r="M493" s="403" t="inlineStr">
        <is>
          <t>1403241212134838</t>
        </is>
      </c>
    </row>
    <row r="494" s="184">
      <c r="A494" s="1" t="n">
        <v>494</v>
      </c>
      <c r="B494" s="733" t="inlineStr">
        <is>
          <t>chanhua</t>
        </is>
      </c>
      <c r="C494" s="733" t="n">
        <v>45632</v>
      </c>
      <c r="D494" s="673" t="inlineStr">
        <is>
          <t>香港比特</t>
        </is>
      </c>
      <c r="E494" s="734" t="inlineStr">
        <is>
          <t>SPILSZ</t>
        </is>
      </c>
      <c r="F494" s="734" t="inlineStr">
        <is>
          <t>BM1370PA</t>
        </is>
      </c>
      <c r="G494" s="673">
        <f>VLOOKUP(F494,编码对账表!C:D,2,0)</f>
        <v/>
      </c>
      <c r="H494" s="396" t="n">
        <v>21202</v>
      </c>
      <c r="I494" s="85" t="inlineStr">
        <is>
          <t>HKK202412120010</t>
        </is>
      </c>
      <c r="J494" s="736" t="inlineStr">
        <is>
          <t>印尼奥海</t>
        </is>
      </c>
      <c r="K494" s="734" t="inlineStr">
        <is>
          <t>CHANHUA PTE. LTD.</t>
        </is>
      </c>
      <c r="L494" s="736" t="n">
        <v>8.527799999999999</v>
      </c>
      <c r="M494" s="403" t="inlineStr">
        <is>
          <t>1403241212134838</t>
        </is>
      </c>
    </row>
    <row r="495" s="184">
      <c r="A495" s="1" t="n">
        <v>495</v>
      </c>
      <c r="B495" s="733" t="inlineStr">
        <is>
          <t>chanhua</t>
        </is>
      </c>
      <c r="C495" s="733" t="n">
        <v>45632</v>
      </c>
      <c r="D495" s="673" t="inlineStr">
        <is>
          <t>香港比特</t>
        </is>
      </c>
      <c r="E495" s="734" t="inlineStr">
        <is>
          <t>TFME</t>
        </is>
      </c>
      <c r="F495" s="734" t="inlineStr">
        <is>
          <t>BM1370PA</t>
        </is>
      </c>
      <c r="G495" s="673">
        <f>VLOOKUP(F495,编码对账表!C:D,2,0)</f>
        <v/>
      </c>
      <c r="H495" s="396" t="n">
        <v>161429</v>
      </c>
      <c r="I495" s="85" t="inlineStr">
        <is>
          <t>HKK202412120010</t>
        </is>
      </c>
      <c r="J495" s="736" t="inlineStr">
        <is>
          <t>印尼奥海</t>
        </is>
      </c>
      <c r="K495" s="734" t="inlineStr">
        <is>
          <t>CHANHUA PTE. LTD.</t>
        </is>
      </c>
      <c r="L495" s="736" t="n">
        <v>8.527799999999999</v>
      </c>
      <c r="M495" s="403" t="inlineStr">
        <is>
          <t>1403241212134838</t>
        </is>
      </c>
    </row>
    <row r="496" s="184">
      <c r="A496" s="1" t="n">
        <v>496</v>
      </c>
      <c r="B496" s="733" t="inlineStr">
        <is>
          <t>chanhua</t>
        </is>
      </c>
      <c r="C496" s="733" t="n">
        <v>45636</v>
      </c>
      <c r="D496" s="673" t="inlineStr">
        <is>
          <t>香港比特</t>
        </is>
      </c>
      <c r="E496" s="734" t="inlineStr">
        <is>
          <t>JSCC</t>
        </is>
      </c>
      <c r="F496" s="734" t="inlineStr">
        <is>
          <t>BM1370PM</t>
        </is>
      </c>
      <c r="G496" s="673">
        <f>VLOOKUP(F496,编码对账表!C:D,2,0)</f>
        <v/>
      </c>
      <c r="H496" s="396" t="n">
        <v>1156607</v>
      </c>
      <c r="I496" s="85" t="inlineStr">
        <is>
          <t>HKK202412120010</t>
        </is>
      </c>
      <c r="J496" s="736" t="inlineStr">
        <is>
          <t>印尼奥海</t>
        </is>
      </c>
      <c r="K496" s="734" t="inlineStr">
        <is>
          <t>CHANHUA PTE. LTD.</t>
        </is>
      </c>
      <c r="L496" s="736" t="n">
        <v>8.527799999999999</v>
      </c>
      <c r="M496" s="403" t="inlineStr">
        <is>
          <t>1403241212134838</t>
        </is>
      </c>
    </row>
    <row r="497" s="184">
      <c r="A497" s="1" t="n">
        <v>497</v>
      </c>
      <c r="B497" s="733" t="inlineStr">
        <is>
          <t>chanhua</t>
        </is>
      </c>
      <c r="C497" s="733" t="n">
        <v>45632</v>
      </c>
      <c r="D497" s="673" t="inlineStr">
        <is>
          <t>新加坡比特</t>
        </is>
      </c>
      <c r="E497" s="734" t="inlineStr">
        <is>
          <t>SPILSZ</t>
        </is>
      </c>
      <c r="F497" s="734" t="inlineStr">
        <is>
          <t>BM1370PA</t>
        </is>
      </c>
      <c r="G497" s="673">
        <f>VLOOKUP(F497,编码对账表!C:D,2,0)</f>
        <v/>
      </c>
      <c r="H497" s="396" t="n">
        <v>23570</v>
      </c>
      <c r="I497" s="85" t="inlineStr">
        <is>
          <t>202412120011</t>
        </is>
      </c>
      <c r="J497" s="736" t="inlineStr">
        <is>
          <t>泰国ONETEC</t>
        </is>
      </c>
      <c r="K497" s="734" t="inlineStr">
        <is>
          <t>CHANHUA PTE. LTD.</t>
        </is>
      </c>
      <c r="L497" s="736" t="n">
        <v>8.527799999999999</v>
      </c>
      <c r="M497" s="403" t="inlineStr">
        <is>
          <t>1403241212134943</t>
        </is>
      </c>
    </row>
    <row r="498" s="184">
      <c r="A498" s="1" t="n">
        <v>498</v>
      </c>
      <c r="B498" s="733" t="inlineStr">
        <is>
          <t>chanhua</t>
        </is>
      </c>
      <c r="C498" s="733" t="n">
        <v>45632</v>
      </c>
      <c r="D498" s="673" t="inlineStr">
        <is>
          <t>新加坡比特</t>
        </is>
      </c>
      <c r="E498" s="734" t="inlineStr">
        <is>
          <t>TFME</t>
        </is>
      </c>
      <c r="F498" s="734" t="inlineStr">
        <is>
          <t>BM1370PA</t>
        </is>
      </c>
      <c r="G498" s="673">
        <f>VLOOKUP(F498,编码对账表!C:D,2,0)</f>
        <v/>
      </c>
      <c r="H498" s="396" t="n">
        <v>83679</v>
      </c>
      <c r="I498" s="85" t="inlineStr">
        <is>
          <t>202412120011</t>
        </is>
      </c>
      <c r="J498" s="736" t="inlineStr">
        <is>
          <t>泰国ONETEC</t>
        </is>
      </c>
      <c r="K498" s="734" t="inlineStr">
        <is>
          <t>CHANHUA PTE. LTD.</t>
        </is>
      </c>
      <c r="L498" s="736" t="n">
        <v>8.527799999999999</v>
      </c>
      <c r="M498" s="403" t="inlineStr">
        <is>
          <t>1403241212134943</t>
        </is>
      </c>
    </row>
    <row r="499" s="184">
      <c r="A499" s="1" t="n">
        <v>499</v>
      </c>
      <c r="B499" s="733" t="inlineStr">
        <is>
          <t>chanhua</t>
        </is>
      </c>
      <c r="C499" s="733" t="n">
        <v>45637</v>
      </c>
      <c r="D499" s="673" t="inlineStr">
        <is>
          <t>新加坡比特</t>
        </is>
      </c>
      <c r="E499" s="734" t="inlineStr">
        <is>
          <t>JSCC</t>
        </is>
      </c>
      <c r="F499" s="734" t="inlineStr">
        <is>
          <t>BM1370PM</t>
        </is>
      </c>
      <c r="G499" s="673">
        <f>VLOOKUP(F499,编码对账表!C:D,2,0)</f>
        <v/>
      </c>
      <c r="H499" s="396" t="n">
        <v>531605</v>
      </c>
      <c r="I499" s="85" t="inlineStr">
        <is>
          <t>202412120011</t>
        </is>
      </c>
      <c r="J499" s="736" t="inlineStr">
        <is>
          <t>泰国ONETEC</t>
        </is>
      </c>
      <c r="K499" s="734" t="inlineStr">
        <is>
          <t>CHANHUA PTE. LTD.</t>
        </is>
      </c>
      <c r="L499" s="736" t="n">
        <v>8.527799999999999</v>
      </c>
      <c r="M499" s="403" t="inlineStr">
        <is>
          <t>1403241212134943</t>
        </is>
      </c>
    </row>
    <row r="500" s="184">
      <c r="A500" s="1" t="n">
        <v>500</v>
      </c>
      <c r="B500" s="733" t="inlineStr">
        <is>
          <t>chanhua</t>
        </is>
      </c>
      <c r="C500" s="733" t="n">
        <v>45632</v>
      </c>
      <c r="D500" s="673" t="inlineStr">
        <is>
          <t>新加坡比特</t>
        </is>
      </c>
      <c r="E500" s="734" t="inlineStr">
        <is>
          <t>JSCC</t>
        </is>
      </c>
      <c r="F500" s="734" t="inlineStr">
        <is>
          <t>BM1370PA</t>
        </is>
      </c>
      <c r="G500" s="673">
        <f>VLOOKUP(F500,编码对账表!C:D,2,0)</f>
        <v/>
      </c>
      <c r="H500" s="396" t="n">
        <v>14619</v>
      </c>
      <c r="I500" s="85" t="inlineStr">
        <is>
          <t>202412120010</t>
        </is>
      </c>
      <c r="J500" s="736" t="inlineStr">
        <is>
          <t>PIE</t>
        </is>
      </c>
      <c r="K500" s="734" t="inlineStr">
        <is>
          <t>CHANHUA PTE. LTD.</t>
        </is>
      </c>
      <c r="L500" s="736" t="n">
        <v>8.527799999999999</v>
      </c>
      <c r="M500" s="403" t="inlineStr">
        <is>
          <t>1403241212134928</t>
        </is>
      </c>
    </row>
    <row r="501" s="184">
      <c r="A501" s="1" t="n">
        <v>501</v>
      </c>
      <c r="B501" s="733" t="inlineStr">
        <is>
          <t>chanhua</t>
        </is>
      </c>
      <c r="C501" s="733" t="n">
        <v>45632</v>
      </c>
      <c r="D501" s="673" t="inlineStr">
        <is>
          <t>新加坡比特</t>
        </is>
      </c>
      <c r="E501" s="734" t="inlineStr">
        <is>
          <t>SPILSZ</t>
        </is>
      </c>
      <c r="F501" s="734" t="inlineStr">
        <is>
          <t>BM1370PA</t>
        </is>
      </c>
      <c r="G501" s="673">
        <f>VLOOKUP(F501,编码对账表!C:D,2,0)</f>
        <v/>
      </c>
      <c r="H501" s="396" t="n">
        <v>28860</v>
      </c>
      <c r="I501" s="85" t="inlineStr">
        <is>
          <t>202412120010</t>
        </is>
      </c>
      <c r="J501" s="736" t="inlineStr">
        <is>
          <t>PIE</t>
        </is>
      </c>
      <c r="K501" s="734" t="inlineStr">
        <is>
          <t>CHANHUA PTE. LTD.</t>
        </is>
      </c>
      <c r="L501" s="736" t="n">
        <v>8.527799999999999</v>
      </c>
      <c r="M501" s="403" t="inlineStr">
        <is>
          <t>1403241212134928</t>
        </is>
      </c>
    </row>
    <row r="502" s="184">
      <c r="A502" s="1" t="n">
        <v>502</v>
      </c>
      <c r="B502" s="733" t="inlineStr">
        <is>
          <t>chanhua</t>
        </is>
      </c>
      <c r="C502" s="733" t="n">
        <v>45632</v>
      </c>
      <c r="D502" s="673" t="inlineStr">
        <is>
          <t>新加坡比特</t>
        </is>
      </c>
      <c r="E502" s="734" t="inlineStr">
        <is>
          <t>TFME</t>
        </is>
      </c>
      <c r="F502" s="734" t="inlineStr">
        <is>
          <t>BM1370PA</t>
        </is>
      </c>
      <c r="G502" s="673">
        <f>VLOOKUP(F502,编码对账表!C:D,2,0)</f>
        <v/>
      </c>
      <c r="H502" s="396" t="n">
        <v>53800</v>
      </c>
      <c r="I502" s="85" t="inlineStr">
        <is>
          <t>202412120010</t>
        </is>
      </c>
      <c r="J502" s="736" t="inlineStr">
        <is>
          <t>PIE</t>
        </is>
      </c>
      <c r="K502" s="734" t="inlineStr">
        <is>
          <t>CHANHUA PTE. LTD.</t>
        </is>
      </c>
      <c r="L502" s="736" t="n">
        <v>8.527799999999999</v>
      </c>
      <c r="M502" s="403" t="inlineStr">
        <is>
          <t>1403241212134928</t>
        </is>
      </c>
    </row>
    <row r="503" s="184">
      <c r="A503" s="1" t="n">
        <v>503</v>
      </c>
      <c r="B503" s="733" t="inlineStr">
        <is>
          <t>chanhua</t>
        </is>
      </c>
      <c r="C503" s="733" t="n">
        <v>45637</v>
      </c>
      <c r="D503" s="673" t="inlineStr">
        <is>
          <t>新加坡比特</t>
        </is>
      </c>
      <c r="E503" s="734" t="inlineStr">
        <is>
          <t>JSCC</t>
        </is>
      </c>
      <c r="F503" s="734" t="inlineStr">
        <is>
          <t>BM1370PM</t>
        </is>
      </c>
      <c r="G503" s="673">
        <f>VLOOKUP(F503,编码对账表!C:D,2,0)</f>
        <v/>
      </c>
      <c r="H503" s="396" t="n">
        <v>527423</v>
      </c>
      <c r="I503" s="85" t="inlineStr">
        <is>
          <t>202412120010</t>
        </is>
      </c>
      <c r="J503" s="736" t="inlineStr">
        <is>
          <t>PIE</t>
        </is>
      </c>
      <c r="K503" s="734" t="inlineStr">
        <is>
          <t>CHANHUA PTE. LTD.</t>
        </is>
      </c>
      <c r="L503" s="736" t="n">
        <v>8.527799999999999</v>
      </c>
      <c r="M503" s="403" t="inlineStr">
        <is>
          <t>1403241212134928</t>
        </is>
      </c>
    </row>
    <row r="504" s="184">
      <c r="A504" s="1" t="n">
        <v>504</v>
      </c>
      <c r="B504" s="733" t="inlineStr">
        <is>
          <t>chanhua</t>
        </is>
      </c>
      <c r="C504" s="733" t="n">
        <v>45642</v>
      </c>
      <c r="D504" s="673" t="inlineStr">
        <is>
          <t>新加坡比特</t>
        </is>
      </c>
      <c r="E504" s="734" t="inlineStr">
        <is>
          <t>JSCC</t>
        </is>
      </c>
      <c r="F504" s="734" t="inlineStr">
        <is>
          <t>BM1370BC</t>
        </is>
      </c>
      <c r="G504" s="673">
        <f>VLOOKUP(F504,编码对账表!C:D,2,0)</f>
        <v/>
      </c>
      <c r="H504" s="396" t="n">
        <v>393271</v>
      </c>
      <c r="I504" s="85" t="inlineStr">
        <is>
          <t>202412160010</t>
        </is>
      </c>
      <c r="J504" s="736" t="inlineStr">
        <is>
          <t>PIE</t>
        </is>
      </c>
      <c r="K504" s="734" t="inlineStr">
        <is>
          <t>CHANHUA PTE. LTD.</t>
        </is>
      </c>
      <c r="L504" s="736" t="n">
        <v>8.527799999999999</v>
      </c>
      <c r="M504" s="403" t="inlineStr">
        <is>
          <t>1403241218160938</t>
        </is>
      </c>
    </row>
    <row r="505" s="184">
      <c r="A505" s="1" t="n">
        <v>505</v>
      </c>
      <c r="B505" s="733" t="inlineStr">
        <is>
          <t>chanhua</t>
        </is>
      </c>
      <c r="C505" s="733" t="n">
        <v>45642</v>
      </c>
      <c r="D505" s="673" t="inlineStr">
        <is>
          <t>新加坡比特</t>
        </is>
      </c>
      <c r="E505" s="734" t="inlineStr">
        <is>
          <t>JSCC</t>
        </is>
      </c>
      <c r="F505" s="734" t="inlineStr">
        <is>
          <t>BM1370PA</t>
        </is>
      </c>
      <c r="G505" s="673">
        <f>VLOOKUP(F505,编码对账表!C:D,2,0)</f>
        <v/>
      </c>
      <c r="H505" s="396" t="n">
        <v>389577</v>
      </c>
      <c r="I505" s="85" t="inlineStr">
        <is>
          <t>202412160010</t>
        </is>
      </c>
      <c r="J505" s="736" t="inlineStr">
        <is>
          <t>PIE</t>
        </is>
      </c>
      <c r="K505" s="734" t="inlineStr">
        <is>
          <t>CHANHUA PTE. LTD.</t>
        </is>
      </c>
      <c r="L505" s="736" t="n">
        <v>8.527799999999999</v>
      </c>
      <c r="M505" s="403" t="inlineStr">
        <is>
          <t>1403241218160938</t>
        </is>
      </c>
    </row>
    <row r="506" s="184">
      <c r="A506" s="1" t="n">
        <v>506</v>
      </c>
      <c r="B506" s="733" t="inlineStr">
        <is>
          <t>chanhua</t>
        </is>
      </c>
      <c r="C506" s="733" t="n">
        <v>45641</v>
      </c>
      <c r="D506" s="673" t="inlineStr">
        <is>
          <t>新加坡比特</t>
        </is>
      </c>
      <c r="E506" s="734" t="inlineStr">
        <is>
          <t>SPILSZ</t>
        </is>
      </c>
      <c r="F506" s="734" t="inlineStr">
        <is>
          <t>BM1370PA</t>
        </is>
      </c>
      <c r="G506" s="673">
        <f>VLOOKUP(F506,编码对账表!C:D,2,0)</f>
        <v/>
      </c>
      <c r="H506" s="396" t="n">
        <v>15200</v>
      </c>
      <c r="I506" s="85" t="inlineStr">
        <is>
          <t>202412160010</t>
        </is>
      </c>
      <c r="J506" s="736" t="inlineStr">
        <is>
          <t>PIE</t>
        </is>
      </c>
      <c r="K506" s="734" t="inlineStr">
        <is>
          <t>CHANHUA PTE. LTD.</t>
        </is>
      </c>
      <c r="L506" s="736" t="n">
        <v>8.527799999999999</v>
      </c>
      <c r="M506" s="403" t="inlineStr">
        <is>
          <t>1403241218160938</t>
        </is>
      </c>
    </row>
    <row r="507" s="184">
      <c r="A507" s="1" t="n">
        <v>507</v>
      </c>
      <c r="B507" s="733" t="inlineStr">
        <is>
          <t>chanhua</t>
        </is>
      </c>
      <c r="C507" s="733" t="n">
        <v>45639</v>
      </c>
      <c r="D507" s="673" t="inlineStr">
        <is>
          <t>新加坡比特</t>
        </is>
      </c>
      <c r="E507" s="734" t="inlineStr">
        <is>
          <t>JSCC</t>
        </is>
      </c>
      <c r="F507" s="734" t="inlineStr">
        <is>
          <t>BM1370PM</t>
        </is>
      </c>
      <c r="G507" s="673">
        <f>VLOOKUP(F507,编码对账表!C:D,2,0)</f>
        <v/>
      </c>
      <c r="H507" s="396" t="n">
        <v>164988</v>
      </c>
      <c r="I507" s="85" t="inlineStr">
        <is>
          <t>202412160010</t>
        </is>
      </c>
      <c r="J507" s="736" t="inlineStr">
        <is>
          <t>PIE</t>
        </is>
      </c>
      <c r="K507" s="734" t="inlineStr">
        <is>
          <t>CHANHUA PTE. LTD.</t>
        </is>
      </c>
      <c r="L507" s="736" t="n">
        <v>8.527799999999999</v>
      </c>
      <c r="M507" s="403" t="inlineStr">
        <is>
          <t>1403241218160938</t>
        </is>
      </c>
    </row>
    <row r="508" s="184">
      <c r="A508" s="1" t="n">
        <v>508</v>
      </c>
      <c r="B508" s="733" t="inlineStr">
        <is>
          <t>chanhua</t>
        </is>
      </c>
      <c r="C508" s="733" t="n">
        <v>45624</v>
      </c>
      <c r="D508" s="673" t="inlineStr">
        <is>
          <t>新加坡比特</t>
        </is>
      </c>
      <c r="E508" s="734" t="inlineStr">
        <is>
          <t>ASECL</t>
        </is>
      </c>
      <c r="F508" s="734" t="inlineStr">
        <is>
          <t>BM1370PA</t>
        </is>
      </c>
      <c r="G508" s="673">
        <f>VLOOKUP(F508,编码对账表!C:D,2,0)</f>
        <v/>
      </c>
      <c r="H508" s="396" t="n">
        <v>214972</v>
      </c>
      <c r="I508" s="85" t="inlineStr">
        <is>
          <t>BTD202412190020</t>
        </is>
      </c>
      <c r="J508" s="736" t="inlineStr">
        <is>
          <t>美国</t>
        </is>
      </c>
      <c r="K508" s="734" t="inlineStr">
        <is>
          <t>CHANHUA PTE. LTD.</t>
        </is>
      </c>
      <c r="L508" s="736" t="n">
        <v>15.55</v>
      </c>
      <c r="M508" s="403" t="inlineStr">
        <is>
          <t>1155241219163653</t>
        </is>
      </c>
    </row>
    <row r="509" s="184">
      <c r="A509" s="1" t="n">
        <v>509</v>
      </c>
      <c r="B509" s="733" t="inlineStr">
        <is>
          <t>chanhua</t>
        </is>
      </c>
      <c r="C509" s="733" t="n">
        <v>45642</v>
      </c>
      <c r="D509" s="673" t="inlineStr">
        <is>
          <t>新加坡比特</t>
        </is>
      </c>
      <c r="E509" s="734" t="inlineStr">
        <is>
          <t>ASECL</t>
        </is>
      </c>
      <c r="F509" s="734" t="inlineStr">
        <is>
          <t>BM1370BC</t>
        </is>
      </c>
      <c r="G509" s="673">
        <f>VLOOKUP(F509,编码对账表!C:D,2,0)</f>
        <v/>
      </c>
      <c r="H509" s="396" t="n">
        <v>3601</v>
      </c>
      <c r="I509" s="415" t="inlineStr">
        <is>
          <t>BTD202412200020</t>
        </is>
      </c>
      <c r="J509" s="736" t="inlineStr">
        <is>
          <t>美国</t>
        </is>
      </c>
      <c r="K509" s="734" t="inlineStr">
        <is>
          <t>CHANHUA PTE. LTD.</t>
        </is>
      </c>
      <c r="L509" s="736" t="n">
        <v>15.55</v>
      </c>
      <c r="M509" s="403" t="inlineStr">
        <is>
          <t>1155241220142708</t>
        </is>
      </c>
    </row>
    <row r="510" s="184">
      <c r="A510" s="1" t="n">
        <v>510</v>
      </c>
      <c r="B510" s="733" t="inlineStr">
        <is>
          <t>chanhua</t>
        </is>
      </c>
      <c r="C510" s="733" t="n">
        <v>45642</v>
      </c>
      <c r="D510" s="673" t="inlineStr">
        <is>
          <t>新加坡比特</t>
        </is>
      </c>
      <c r="E510" s="734" t="inlineStr">
        <is>
          <t>ASECL</t>
        </is>
      </c>
      <c r="F510" s="734" t="inlineStr">
        <is>
          <t>BM1370PA</t>
        </is>
      </c>
      <c r="G510" s="673">
        <f>VLOOKUP(F510,编码对账表!C:D,2,0)</f>
        <v/>
      </c>
      <c r="H510" s="396" t="n">
        <v>15433</v>
      </c>
      <c r="I510" s="415" t="inlineStr">
        <is>
          <t>BTD202412200020</t>
        </is>
      </c>
      <c r="J510" s="736" t="inlineStr">
        <is>
          <t>美国</t>
        </is>
      </c>
      <c r="K510" s="734" t="inlineStr">
        <is>
          <t>CHANHUA PTE. LTD.</t>
        </is>
      </c>
      <c r="L510" s="736" t="n">
        <v>15.55</v>
      </c>
      <c r="M510" s="403" t="inlineStr">
        <is>
          <t>1155241220142708</t>
        </is>
      </c>
    </row>
    <row r="511" s="184">
      <c r="A511" s="1" t="n">
        <v>511</v>
      </c>
      <c r="B511" s="733" t="inlineStr">
        <is>
          <t>chanhua</t>
        </is>
      </c>
      <c r="C511" s="733" t="n">
        <v>45642</v>
      </c>
      <c r="D511" s="673" t="inlineStr">
        <is>
          <t>新加坡比特</t>
        </is>
      </c>
      <c r="E511" s="734" t="inlineStr">
        <is>
          <t>JSCC</t>
        </is>
      </c>
      <c r="F511" s="734" t="inlineStr">
        <is>
          <t>BM1370BC</t>
        </is>
      </c>
      <c r="G511" s="673">
        <f>VLOOKUP(F511,编码对账表!C:D,2,0)</f>
        <v/>
      </c>
      <c r="H511" s="396" t="n">
        <v>187400</v>
      </c>
      <c r="I511" s="415" t="inlineStr">
        <is>
          <t>202412250011</t>
        </is>
      </c>
      <c r="J511" s="736" t="inlineStr">
        <is>
          <t>泰国ONETEC</t>
        </is>
      </c>
      <c r="K511" s="734" t="inlineStr">
        <is>
          <t>CHANHUA PTE. LTD.</t>
        </is>
      </c>
      <c r="L511" s="736" t="n">
        <v>8.527799999999999</v>
      </c>
      <c r="M511" s="403" t="inlineStr">
        <is>
          <t>1403241225191357</t>
        </is>
      </c>
    </row>
    <row r="512" s="184">
      <c r="A512" s="1" t="n">
        <v>512</v>
      </c>
      <c r="B512" s="733" t="inlineStr">
        <is>
          <t>chanhua</t>
        </is>
      </c>
      <c r="C512" s="733" t="n">
        <v>45645</v>
      </c>
      <c r="D512" s="673" t="inlineStr">
        <is>
          <t>新加坡比特</t>
        </is>
      </c>
      <c r="E512" s="734" t="inlineStr">
        <is>
          <t>ASECL</t>
        </is>
      </c>
      <c r="F512" s="734" t="inlineStr">
        <is>
          <t>BM1370PA</t>
        </is>
      </c>
      <c r="G512" s="673">
        <f>VLOOKUP(F512,编码对账表!C:D,2,0)</f>
        <v/>
      </c>
      <c r="H512" s="396" t="n">
        <v>82076</v>
      </c>
      <c r="I512" s="415" t="inlineStr">
        <is>
          <t>202412250011</t>
        </is>
      </c>
      <c r="J512" s="736" t="inlineStr">
        <is>
          <t>泰国ONETEC</t>
        </is>
      </c>
      <c r="K512" s="734" t="inlineStr">
        <is>
          <t>CHANHUA PTE. LTD.</t>
        </is>
      </c>
      <c r="L512" s="736" t="n">
        <v>8.527799999999999</v>
      </c>
      <c r="M512" s="403" t="inlineStr">
        <is>
          <t>1403241225191357</t>
        </is>
      </c>
    </row>
    <row r="513" s="184">
      <c r="A513" s="1" t="n">
        <v>513</v>
      </c>
      <c r="B513" s="733" t="inlineStr">
        <is>
          <t>chanhua</t>
        </is>
      </c>
      <c r="C513" s="733" t="n">
        <v>45649</v>
      </c>
      <c r="D513" s="673" t="inlineStr">
        <is>
          <t>新加坡比特</t>
        </is>
      </c>
      <c r="E513" s="734" t="inlineStr">
        <is>
          <t>JSCC</t>
        </is>
      </c>
      <c r="F513" s="734" t="inlineStr">
        <is>
          <t>BM1370PA</t>
        </is>
      </c>
      <c r="G513" s="673">
        <f>VLOOKUP(F513,编码对账表!C:D,2,0)</f>
        <v/>
      </c>
      <c r="H513" s="396" t="n">
        <v>947362</v>
      </c>
      <c r="I513" s="415" t="inlineStr">
        <is>
          <t>202412250011</t>
        </is>
      </c>
      <c r="J513" s="736" t="inlineStr">
        <is>
          <t>泰国ONETEC</t>
        </is>
      </c>
      <c r="K513" s="734" t="inlineStr">
        <is>
          <t>CHANHUA PTE. LTD.</t>
        </is>
      </c>
      <c r="L513" s="736" t="n">
        <v>8.527799999999999</v>
      </c>
      <c r="M513" s="403" t="inlineStr">
        <is>
          <t>1403241225191357</t>
        </is>
      </c>
    </row>
    <row r="514" s="184">
      <c r="A514" s="1" t="n">
        <v>514</v>
      </c>
      <c r="B514" s="733" t="inlineStr">
        <is>
          <t>chanhua</t>
        </is>
      </c>
      <c r="C514" s="733" t="n">
        <v>45645</v>
      </c>
      <c r="D514" s="673" t="inlineStr">
        <is>
          <t>新加坡比特</t>
        </is>
      </c>
      <c r="E514" s="734" t="inlineStr">
        <is>
          <t>SPILSZ</t>
        </is>
      </c>
      <c r="F514" s="734" t="inlineStr">
        <is>
          <t>BM1370PA</t>
        </is>
      </c>
      <c r="G514" s="673">
        <f>VLOOKUP(F514,编码对账表!C:D,2,0)</f>
        <v/>
      </c>
      <c r="H514" s="396" t="n">
        <v>1146750</v>
      </c>
      <c r="I514" s="415" t="inlineStr">
        <is>
          <t>202412250011</t>
        </is>
      </c>
      <c r="J514" s="736" t="inlineStr">
        <is>
          <t>泰国ONETEC</t>
        </is>
      </c>
      <c r="K514" s="734" t="inlineStr">
        <is>
          <t>CHANHUA PTE. LTD.</t>
        </is>
      </c>
      <c r="L514" s="736" t="n">
        <v>8.527799999999999</v>
      </c>
      <c r="M514" s="403" t="inlineStr">
        <is>
          <t>1403241225191357</t>
        </is>
      </c>
    </row>
    <row r="515" s="184">
      <c r="A515" s="1" t="n">
        <v>515</v>
      </c>
      <c r="B515" s="733" t="inlineStr">
        <is>
          <t>chanhua</t>
        </is>
      </c>
      <c r="C515" s="733" t="n">
        <v>45639</v>
      </c>
      <c r="D515" s="673" t="inlineStr">
        <is>
          <t>新加坡比特</t>
        </is>
      </c>
      <c r="E515" s="734" t="inlineStr">
        <is>
          <t>TFME</t>
        </is>
      </c>
      <c r="F515" s="734" t="inlineStr">
        <is>
          <t>BM1370PA</t>
        </is>
      </c>
      <c r="G515" s="673">
        <f>VLOOKUP(F515,编码对账表!C:D,2,0)</f>
        <v/>
      </c>
      <c r="H515" s="396" t="n">
        <v>9000</v>
      </c>
      <c r="I515" s="415" t="inlineStr">
        <is>
          <t>202412250011</t>
        </is>
      </c>
      <c r="J515" s="736" t="inlineStr">
        <is>
          <t>泰国ONETEC</t>
        </is>
      </c>
      <c r="K515" s="734" t="inlineStr">
        <is>
          <t>CHANHUA PTE. LTD.</t>
        </is>
      </c>
      <c r="L515" s="736" t="n">
        <v>8.527799999999999</v>
      </c>
      <c r="M515" s="403" t="inlineStr">
        <is>
          <t>1403241225191357</t>
        </is>
      </c>
    </row>
    <row r="516" s="184">
      <c r="A516" s="1" t="n">
        <v>516</v>
      </c>
      <c r="B516" s="733" t="inlineStr">
        <is>
          <t>chanhua</t>
        </is>
      </c>
      <c r="C516" s="733" t="n">
        <v>45645</v>
      </c>
      <c r="D516" s="673" t="inlineStr">
        <is>
          <t>新加坡比特</t>
        </is>
      </c>
      <c r="E516" s="734" t="inlineStr">
        <is>
          <t>JSCC</t>
        </is>
      </c>
      <c r="F516" s="734" t="inlineStr">
        <is>
          <t>BM1370PM</t>
        </is>
      </c>
      <c r="G516" s="673">
        <f>VLOOKUP(F516,编码对账表!C:D,2,0)</f>
        <v/>
      </c>
      <c r="H516" s="396" t="n">
        <v>672177</v>
      </c>
      <c r="I516" s="415" t="inlineStr">
        <is>
          <t>202412250011</t>
        </is>
      </c>
      <c r="J516" s="736" t="inlineStr">
        <is>
          <t>泰国ONETEC</t>
        </is>
      </c>
      <c r="K516" s="734" t="inlineStr">
        <is>
          <t>CHANHUA PTE. LTD.</t>
        </is>
      </c>
      <c r="L516" s="736" t="n">
        <v>8.527799999999999</v>
      </c>
      <c r="M516" s="403" t="inlineStr">
        <is>
          <t>1403241225191357</t>
        </is>
      </c>
    </row>
    <row r="517" s="184">
      <c r="A517" s="1" t="n">
        <v>517</v>
      </c>
      <c r="B517" s="733" t="inlineStr">
        <is>
          <t>chanhua</t>
        </is>
      </c>
      <c r="C517" s="733" t="n">
        <v>45642</v>
      </c>
      <c r="D517" s="673" t="inlineStr">
        <is>
          <t>香港比特</t>
        </is>
      </c>
      <c r="E517" s="734" t="inlineStr">
        <is>
          <t>JSCC</t>
        </is>
      </c>
      <c r="F517" s="734" t="inlineStr">
        <is>
          <t>BM1370BC</t>
        </is>
      </c>
      <c r="G517" s="673">
        <f>VLOOKUP(F517,编码对账表!C:D,2,0)</f>
        <v/>
      </c>
      <c r="H517" s="396" t="n">
        <v>161554</v>
      </c>
      <c r="I517" s="85" t="inlineStr">
        <is>
          <t>HKK202412260010</t>
        </is>
      </c>
      <c r="J517" s="736" t="inlineStr">
        <is>
          <t>印尼奥海</t>
        </is>
      </c>
      <c r="K517" s="734" t="inlineStr">
        <is>
          <t>CHANHUA PTE. LTD.</t>
        </is>
      </c>
      <c r="L517" s="736" t="n">
        <v>8.527799999999999</v>
      </c>
      <c r="M517" s="403" t="inlineStr">
        <is>
          <t>1403241226115834</t>
        </is>
      </c>
    </row>
    <row r="518" s="184">
      <c r="A518" s="1" t="n">
        <v>518</v>
      </c>
      <c r="B518" s="733" t="inlineStr">
        <is>
          <t>chanhua</t>
        </is>
      </c>
      <c r="C518" s="733" t="n">
        <v>45645</v>
      </c>
      <c r="D518" s="673" t="inlineStr">
        <is>
          <t>香港比特</t>
        </is>
      </c>
      <c r="E518" s="734" t="inlineStr">
        <is>
          <t>ASECL</t>
        </is>
      </c>
      <c r="F518" s="734" t="inlineStr">
        <is>
          <t>BM1370PA</t>
        </is>
      </c>
      <c r="G518" s="673">
        <f>VLOOKUP(F518,编码对账表!C:D,2,0)</f>
        <v/>
      </c>
      <c r="H518" s="396" t="n">
        <v>80486</v>
      </c>
      <c r="I518" s="85" t="inlineStr">
        <is>
          <t>HKK202412260010</t>
        </is>
      </c>
      <c r="J518" s="736" t="inlineStr">
        <is>
          <t>印尼奥海</t>
        </is>
      </c>
      <c r="K518" s="734" t="inlineStr">
        <is>
          <t>CHANHUA PTE. LTD.</t>
        </is>
      </c>
      <c r="L518" s="736" t="n">
        <v>8.527799999999999</v>
      </c>
      <c r="M518" s="403" t="inlineStr">
        <is>
          <t>1403241226115834</t>
        </is>
      </c>
    </row>
    <row r="519" s="184">
      <c r="A519" s="1" t="n">
        <v>519</v>
      </c>
      <c r="B519" s="733" t="inlineStr">
        <is>
          <t>chanhua</t>
        </is>
      </c>
      <c r="C519" s="733" t="n">
        <v>45645</v>
      </c>
      <c r="D519" s="673" t="inlineStr">
        <is>
          <t>香港比特</t>
        </is>
      </c>
      <c r="E519" s="734" t="inlineStr">
        <is>
          <t>JSCC</t>
        </is>
      </c>
      <c r="F519" s="734" t="inlineStr">
        <is>
          <t>BM1370PA</t>
        </is>
      </c>
      <c r="G519" s="673">
        <f>VLOOKUP(F519,编码对账表!C:D,2,0)</f>
        <v/>
      </c>
      <c r="H519" s="396" t="n">
        <v>1591173</v>
      </c>
      <c r="I519" s="85" t="inlineStr">
        <is>
          <t>HKK202412260010</t>
        </is>
      </c>
      <c r="J519" s="736" t="inlineStr">
        <is>
          <t>印尼奥海</t>
        </is>
      </c>
      <c r="K519" s="734" t="inlineStr">
        <is>
          <t>CHANHUA PTE. LTD.</t>
        </is>
      </c>
      <c r="L519" s="736" t="n">
        <v>8.527799999999999</v>
      </c>
      <c r="M519" s="403" t="inlineStr">
        <is>
          <t>1403241226115834</t>
        </is>
      </c>
    </row>
    <row r="520" s="184">
      <c r="A520" s="1" t="n">
        <v>520</v>
      </c>
      <c r="B520" s="733" t="inlineStr">
        <is>
          <t>chanhua</t>
        </is>
      </c>
      <c r="C520" s="733" t="n">
        <v>45645</v>
      </c>
      <c r="D520" s="673" t="inlineStr">
        <is>
          <t>香港比特</t>
        </is>
      </c>
      <c r="E520" s="734" t="inlineStr">
        <is>
          <t>SPILSZ</t>
        </is>
      </c>
      <c r="F520" s="734" t="inlineStr">
        <is>
          <t>BM1370PA</t>
        </is>
      </c>
      <c r="G520" s="673">
        <f>VLOOKUP(F520,编码对账表!C:D,2,0)</f>
        <v/>
      </c>
      <c r="H520" s="396" t="n">
        <v>821722</v>
      </c>
      <c r="I520" s="85" t="inlineStr">
        <is>
          <t>HKK202412260010</t>
        </is>
      </c>
      <c r="J520" s="736" t="inlineStr">
        <is>
          <t>印尼奥海</t>
        </is>
      </c>
      <c r="K520" s="734" t="inlineStr">
        <is>
          <t>CHANHUA PTE. LTD.</t>
        </is>
      </c>
      <c r="L520" s="736" t="n">
        <v>8.527799999999999</v>
      </c>
      <c r="M520" s="403" t="inlineStr">
        <is>
          <t>1403241226115834</t>
        </is>
      </c>
    </row>
    <row r="521" s="184">
      <c r="A521" s="1" t="n">
        <v>521</v>
      </c>
      <c r="B521" s="733" t="inlineStr">
        <is>
          <t>chanhua</t>
        </is>
      </c>
      <c r="C521" s="733" t="n">
        <v>45639</v>
      </c>
      <c r="D521" s="673" t="inlineStr">
        <is>
          <t>香港比特</t>
        </is>
      </c>
      <c r="E521" s="734" t="inlineStr">
        <is>
          <t>TFME</t>
        </is>
      </c>
      <c r="F521" s="734" t="inlineStr">
        <is>
          <t>BM1370PA</t>
        </is>
      </c>
      <c r="G521" s="673">
        <f>VLOOKUP(F521,编码对账表!C:D,2,0)</f>
        <v/>
      </c>
      <c r="H521" s="396" t="n">
        <v>6000</v>
      </c>
      <c r="I521" s="85" t="inlineStr">
        <is>
          <t>HKK202412260010</t>
        </is>
      </c>
      <c r="J521" s="736" t="inlineStr">
        <is>
          <t>印尼奥海</t>
        </is>
      </c>
      <c r="K521" s="734" t="inlineStr">
        <is>
          <t>CHANHUA PTE. LTD.</t>
        </is>
      </c>
      <c r="L521" s="736" t="n">
        <v>8.527799999999999</v>
      </c>
      <c r="M521" s="403" t="inlineStr">
        <is>
          <t>1403241226115834</t>
        </is>
      </c>
    </row>
    <row r="522" s="184">
      <c r="A522" s="1" t="n">
        <v>522</v>
      </c>
      <c r="B522" s="733" t="inlineStr">
        <is>
          <t>chanhua</t>
        </is>
      </c>
      <c r="C522" s="733" t="n">
        <v>45645</v>
      </c>
      <c r="D522" s="673" t="inlineStr">
        <is>
          <t>香港比特</t>
        </is>
      </c>
      <c r="E522" s="734" t="inlineStr">
        <is>
          <t>JSCC</t>
        </is>
      </c>
      <c r="F522" s="734" t="inlineStr">
        <is>
          <t>BM1370PM</t>
        </is>
      </c>
      <c r="G522" s="673">
        <f>VLOOKUP(F522,编码对账表!C:D,2,0)</f>
        <v/>
      </c>
      <c r="H522" s="396" t="n">
        <v>750838</v>
      </c>
      <c r="I522" s="85" t="inlineStr">
        <is>
          <t>HKK202412260010</t>
        </is>
      </c>
      <c r="J522" s="736" t="inlineStr">
        <is>
          <t>印尼奥海</t>
        </is>
      </c>
      <c r="K522" s="734" t="inlineStr">
        <is>
          <t>CHANHUA PTE. LTD.</t>
        </is>
      </c>
      <c r="L522" s="736" t="n">
        <v>8.527799999999999</v>
      </c>
      <c r="M522" s="403" t="inlineStr">
        <is>
          <t>1403241226115834</t>
        </is>
      </c>
    </row>
    <row r="523" s="184">
      <c r="A523" s="1" t="n">
        <v>523</v>
      </c>
      <c r="B523" s="733" t="inlineStr">
        <is>
          <t>chanhua</t>
        </is>
      </c>
      <c r="C523" s="733" t="n">
        <v>45642</v>
      </c>
      <c r="D523" s="673" t="inlineStr">
        <is>
          <t>香港比特</t>
        </is>
      </c>
      <c r="E523" s="734" t="inlineStr">
        <is>
          <t>JSCC</t>
        </is>
      </c>
      <c r="F523" s="734" t="inlineStr">
        <is>
          <t>BM1370BC</t>
        </is>
      </c>
      <c r="G523" s="673">
        <f>VLOOKUP(F523,编码对账表!C:D,2,0)</f>
        <v/>
      </c>
      <c r="H523" s="396" t="n">
        <v>46301</v>
      </c>
      <c r="I523" s="85" t="inlineStr">
        <is>
          <t>HKK202412260011</t>
        </is>
      </c>
      <c r="J523" s="736" t="inlineStr">
        <is>
          <t>泰国群光</t>
        </is>
      </c>
      <c r="K523" s="734" t="inlineStr">
        <is>
          <t>CHANHUA PTE. LTD.</t>
        </is>
      </c>
      <c r="L523" s="736" t="n">
        <v>8.527799999999999</v>
      </c>
      <c r="M523" s="403" t="inlineStr">
        <is>
          <t>1403241226115853</t>
        </is>
      </c>
    </row>
    <row r="524" s="184">
      <c r="A524" s="1" t="n">
        <v>524</v>
      </c>
      <c r="B524" s="733" t="inlineStr">
        <is>
          <t>chanhua</t>
        </is>
      </c>
      <c r="C524" s="733" t="n">
        <v>45645</v>
      </c>
      <c r="D524" s="673" t="inlineStr">
        <is>
          <t>香港比特</t>
        </is>
      </c>
      <c r="E524" s="734" t="inlineStr">
        <is>
          <t>SPILSZ</t>
        </is>
      </c>
      <c r="F524" s="734" t="inlineStr">
        <is>
          <t>BM1370BC</t>
        </is>
      </c>
      <c r="G524" s="673">
        <f>VLOOKUP(F524,编码对账表!C:D,2,0)</f>
        <v/>
      </c>
      <c r="H524" s="396" t="n">
        <v>56147</v>
      </c>
      <c r="I524" s="85" t="inlineStr">
        <is>
          <t>HKK202412260011</t>
        </is>
      </c>
      <c r="J524" s="736" t="inlineStr">
        <is>
          <t>泰国群光</t>
        </is>
      </c>
      <c r="K524" s="734" t="inlineStr">
        <is>
          <t>CHANHUA PTE. LTD.</t>
        </is>
      </c>
      <c r="L524" s="736" t="n">
        <v>8.527799999999999</v>
      </c>
      <c r="M524" s="403" t="inlineStr">
        <is>
          <t>1403241226115853</t>
        </is>
      </c>
    </row>
    <row r="525" s="184">
      <c r="A525" s="1" t="n">
        <v>525</v>
      </c>
      <c r="B525" s="733" t="inlineStr">
        <is>
          <t>chanhua</t>
        </is>
      </c>
      <c r="C525" s="733" t="n">
        <v>45645</v>
      </c>
      <c r="D525" s="673" t="inlineStr">
        <is>
          <t>香港比特</t>
        </is>
      </c>
      <c r="E525" s="734" t="inlineStr">
        <is>
          <t>JSCC</t>
        </is>
      </c>
      <c r="F525" s="734" t="inlineStr">
        <is>
          <t>BM1370PA</t>
        </is>
      </c>
      <c r="G525" s="673">
        <f>VLOOKUP(F525,编码对账表!C:D,2,0)</f>
        <v/>
      </c>
      <c r="H525" s="396" t="n">
        <v>27056</v>
      </c>
      <c r="I525" s="85" t="inlineStr">
        <is>
          <t>HKK202412260011</t>
        </is>
      </c>
      <c r="J525" s="736" t="inlineStr">
        <is>
          <t>泰国群光</t>
        </is>
      </c>
      <c r="K525" s="734" t="inlineStr">
        <is>
          <t>CHANHUA PTE. LTD.</t>
        </is>
      </c>
      <c r="L525" s="736" t="n">
        <v>8.527799999999999</v>
      </c>
      <c r="M525" s="403" t="inlineStr">
        <is>
          <t>1403241226115853</t>
        </is>
      </c>
    </row>
    <row r="526" s="184">
      <c r="A526" s="1" t="n">
        <v>526</v>
      </c>
      <c r="B526" s="733" t="inlineStr">
        <is>
          <t>chanhua</t>
        </is>
      </c>
      <c r="C526" s="733" t="n">
        <v>45645</v>
      </c>
      <c r="D526" s="673" t="inlineStr">
        <is>
          <t>香港比特</t>
        </is>
      </c>
      <c r="E526" s="734" t="inlineStr">
        <is>
          <t>SPILSZ</t>
        </is>
      </c>
      <c r="F526" s="734" t="inlineStr">
        <is>
          <t>BM1370PA</t>
        </is>
      </c>
      <c r="G526" s="673">
        <f>VLOOKUP(F526,编码对账表!C:D,2,0)</f>
        <v/>
      </c>
      <c r="H526" s="396" t="n">
        <v>121600</v>
      </c>
      <c r="I526" s="85" t="inlineStr">
        <is>
          <t>HKK202412260011</t>
        </is>
      </c>
      <c r="J526" s="736" t="inlineStr">
        <is>
          <t>泰国群光</t>
        </is>
      </c>
      <c r="K526" s="734" t="inlineStr">
        <is>
          <t>CHANHUA PTE. LTD.</t>
        </is>
      </c>
      <c r="L526" s="736" t="n">
        <v>8.527799999999999</v>
      </c>
      <c r="M526" s="403" t="inlineStr">
        <is>
          <t>1403241226115853</t>
        </is>
      </c>
    </row>
    <row r="527" s="184">
      <c r="A527" s="1" t="n">
        <v>527</v>
      </c>
      <c r="B527" s="733" t="inlineStr">
        <is>
          <t>chanhua</t>
        </is>
      </c>
      <c r="C527" s="733" t="n">
        <v>45639</v>
      </c>
      <c r="D527" s="673" t="inlineStr">
        <is>
          <t>新加坡比特</t>
        </is>
      </c>
      <c r="E527" s="734" t="inlineStr">
        <is>
          <t>SPILSZ</t>
        </is>
      </c>
      <c r="F527" s="734" t="inlineStr">
        <is>
          <t>BM1370AA</t>
        </is>
      </c>
      <c r="G527" s="673">
        <f>VLOOKUP(F527,编码对账表!C:D,2,0)</f>
        <v/>
      </c>
      <c r="H527" s="396" t="n">
        <v>3780</v>
      </c>
      <c r="I527" s="85" t="inlineStr">
        <is>
          <t>202412260020</t>
        </is>
      </c>
      <c r="J527" s="736" t="inlineStr">
        <is>
          <t>墨西哥欧陆通</t>
        </is>
      </c>
      <c r="K527" s="734" t="inlineStr">
        <is>
          <t>CHANHUA PTE. LTD.</t>
        </is>
      </c>
      <c r="L527" s="736" t="n">
        <v>8.527799999999999</v>
      </c>
      <c r="M527" s="403" t="inlineStr">
        <is>
          <t>1403241226115606</t>
        </is>
      </c>
    </row>
    <row r="528" s="184">
      <c r="A528" s="1" t="n">
        <v>528</v>
      </c>
      <c r="B528" s="733" t="inlineStr">
        <is>
          <t>chanhua</t>
        </is>
      </c>
      <c r="C528" s="733" t="n">
        <v>45639</v>
      </c>
      <c r="D528" s="673" t="inlineStr">
        <is>
          <t>新加坡比特</t>
        </is>
      </c>
      <c r="E528" s="734" t="inlineStr">
        <is>
          <t>SPILSZ</t>
        </is>
      </c>
      <c r="F528" s="734" t="inlineStr">
        <is>
          <t>BM1370BC</t>
        </is>
      </c>
      <c r="G528" s="673">
        <f>VLOOKUP(F528,编码对账表!C:D,2,0)</f>
        <v/>
      </c>
      <c r="H528" s="396" t="n">
        <v>138368</v>
      </c>
      <c r="I528" s="85" t="inlineStr">
        <is>
          <t>202412260020</t>
        </is>
      </c>
      <c r="J528" s="736" t="inlineStr">
        <is>
          <t>墨西哥欧陆通</t>
        </is>
      </c>
      <c r="K528" s="734" t="inlineStr">
        <is>
          <t>CHANHUA PTE. LTD.</t>
        </is>
      </c>
      <c r="L528" s="736" t="n">
        <v>8.527799999999999</v>
      </c>
      <c r="M528" s="403" t="inlineStr">
        <is>
          <t>1403241226115606</t>
        </is>
      </c>
    </row>
    <row r="529" s="184">
      <c r="A529" s="1" t="n">
        <v>529</v>
      </c>
      <c r="B529" s="733" t="inlineStr">
        <is>
          <t>chanhua</t>
        </is>
      </c>
      <c r="C529" s="733" t="n">
        <v>45642</v>
      </c>
      <c r="D529" s="673" t="inlineStr">
        <is>
          <t>新加坡比特</t>
        </is>
      </c>
      <c r="E529" s="734" t="inlineStr">
        <is>
          <t>JSCC</t>
        </is>
      </c>
      <c r="F529" s="734" t="inlineStr">
        <is>
          <t>BM1370PA</t>
        </is>
      </c>
      <c r="G529" s="673">
        <f>VLOOKUP(F529,编码对账表!C:D,2,0)</f>
        <v/>
      </c>
      <c r="H529" s="396" t="n">
        <v>138179</v>
      </c>
      <c r="I529" s="85" t="inlineStr">
        <is>
          <t>202412260020</t>
        </is>
      </c>
      <c r="J529" s="736" t="inlineStr">
        <is>
          <t>墨西哥欧陆通</t>
        </is>
      </c>
      <c r="K529" s="734" t="inlineStr">
        <is>
          <t>CHANHUA PTE. LTD.</t>
        </is>
      </c>
      <c r="L529" s="736" t="n">
        <v>8.527799999999999</v>
      </c>
      <c r="M529" s="403" t="inlineStr">
        <is>
          <t>1403241226115606</t>
        </is>
      </c>
    </row>
    <row r="530" s="184">
      <c r="A530" s="1" t="n">
        <v>530</v>
      </c>
      <c r="B530" s="733" t="inlineStr">
        <is>
          <t>chanhua</t>
        </is>
      </c>
      <c r="C530" s="733" t="n">
        <v>45645</v>
      </c>
      <c r="D530" s="673" t="inlineStr">
        <is>
          <t>新加坡比特</t>
        </is>
      </c>
      <c r="E530" s="734" t="inlineStr">
        <is>
          <t>JSCC</t>
        </is>
      </c>
      <c r="F530" s="734" t="inlineStr">
        <is>
          <t>BM1370BC</t>
        </is>
      </c>
      <c r="G530" s="673">
        <f>VLOOKUP(F530,编码对账表!C:D,2,0)</f>
        <v/>
      </c>
      <c r="H530" s="396" t="n">
        <v>209030</v>
      </c>
      <c r="I530" s="85" t="inlineStr">
        <is>
          <t>202412260021</t>
        </is>
      </c>
      <c r="J530" s="736" t="inlineStr">
        <is>
          <t>PIE</t>
        </is>
      </c>
      <c r="K530" s="734" t="inlineStr">
        <is>
          <t>CHANHUA PTE. LTD.</t>
        </is>
      </c>
      <c r="L530" s="736" t="n">
        <v>8.527799999999999</v>
      </c>
      <c r="M530" s="403" t="inlineStr">
        <is>
          <t>1403241226115621</t>
        </is>
      </c>
    </row>
    <row r="531" s="184">
      <c r="A531" s="1" t="n">
        <v>531</v>
      </c>
      <c r="B531" s="733" t="inlineStr">
        <is>
          <t>chanhua</t>
        </is>
      </c>
      <c r="C531" s="733" t="n">
        <v>45645</v>
      </c>
      <c r="D531" s="673" t="inlineStr">
        <is>
          <t>新加坡比特</t>
        </is>
      </c>
      <c r="E531" s="734" t="inlineStr">
        <is>
          <t>ASECL</t>
        </is>
      </c>
      <c r="F531" s="734" t="inlineStr">
        <is>
          <t>BM1370PA</t>
        </is>
      </c>
      <c r="G531" s="673">
        <f>VLOOKUP(F531,编码对账表!C:D,2,0)</f>
        <v/>
      </c>
      <c r="H531" s="396" t="n">
        <v>57048</v>
      </c>
      <c r="I531" s="85" t="inlineStr">
        <is>
          <t>202412260021</t>
        </is>
      </c>
      <c r="J531" s="736" t="inlineStr">
        <is>
          <t>PIE</t>
        </is>
      </c>
      <c r="K531" s="734" t="inlineStr">
        <is>
          <t>CHANHUA PTE. LTD.</t>
        </is>
      </c>
      <c r="L531" s="736" t="n">
        <v>8.527799999999999</v>
      </c>
      <c r="M531" s="403" t="inlineStr">
        <is>
          <t>1403241226115621</t>
        </is>
      </c>
    </row>
    <row r="532" s="184">
      <c r="A532" s="1" t="n">
        <v>532</v>
      </c>
      <c r="B532" s="733" t="inlineStr">
        <is>
          <t>chanhua</t>
        </is>
      </c>
      <c r="C532" s="733" t="n">
        <v>45645</v>
      </c>
      <c r="D532" s="673" t="inlineStr">
        <is>
          <t>新加坡比特</t>
        </is>
      </c>
      <c r="E532" s="734" t="inlineStr">
        <is>
          <t>JSCC</t>
        </is>
      </c>
      <c r="F532" s="734" t="inlineStr">
        <is>
          <t>BM1370PA</t>
        </is>
      </c>
      <c r="G532" s="673">
        <f>VLOOKUP(F532,编码对账表!C:D,2,0)</f>
        <v/>
      </c>
      <c r="H532" s="396" t="n">
        <v>170036</v>
      </c>
      <c r="I532" s="85" t="inlineStr">
        <is>
          <t>202412260021</t>
        </is>
      </c>
      <c r="J532" s="736" t="inlineStr">
        <is>
          <t>PIE</t>
        </is>
      </c>
      <c r="K532" s="734" t="inlineStr">
        <is>
          <t>CHANHUA PTE. LTD.</t>
        </is>
      </c>
      <c r="L532" s="736" t="n">
        <v>8.527799999999999</v>
      </c>
      <c r="M532" s="403" t="inlineStr">
        <is>
          <t>1403241226115621</t>
        </is>
      </c>
    </row>
    <row r="533" s="184">
      <c r="A533" s="1" t="n">
        <v>533</v>
      </c>
      <c r="B533" s="733" t="inlineStr">
        <is>
          <t>chanhua</t>
        </is>
      </c>
      <c r="C533" s="733" t="n">
        <v>45645</v>
      </c>
      <c r="D533" s="673" t="inlineStr">
        <is>
          <t>新加坡比特</t>
        </is>
      </c>
      <c r="E533" s="734" t="inlineStr">
        <is>
          <t>SPILSZ</t>
        </is>
      </c>
      <c r="F533" s="734" t="inlineStr">
        <is>
          <t>BM1370PA</t>
        </is>
      </c>
      <c r="G533" s="673">
        <f>VLOOKUP(F533,编码对账表!C:D,2,0)</f>
        <v/>
      </c>
      <c r="H533" s="396" t="n">
        <v>182400</v>
      </c>
      <c r="I533" s="85" t="inlineStr">
        <is>
          <t>202412260021</t>
        </is>
      </c>
      <c r="J533" s="736" t="inlineStr">
        <is>
          <t>PIE</t>
        </is>
      </c>
      <c r="K533" s="734" t="inlineStr">
        <is>
          <t>CHANHUA PTE. LTD.</t>
        </is>
      </c>
      <c r="L533" s="736" t="n">
        <v>8.527799999999999</v>
      </c>
      <c r="M533" s="403" t="inlineStr">
        <is>
          <t>1403241226115621</t>
        </is>
      </c>
    </row>
    <row r="534" s="184">
      <c r="A534" s="1" t="n">
        <v>534</v>
      </c>
      <c r="B534" s="733" t="inlineStr">
        <is>
          <t>chanhua</t>
        </is>
      </c>
      <c r="C534" s="733" t="n">
        <v>45645</v>
      </c>
      <c r="D534" s="673" t="inlineStr">
        <is>
          <t>新加坡比特</t>
        </is>
      </c>
      <c r="E534" s="734" t="inlineStr">
        <is>
          <t>JSCC</t>
        </is>
      </c>
      <c r="F534" s="734" t="inlineStr">
        <is>
          <t>BM1370PM</t>
        </is>
      </c>
      <c r="G534" s="673">
        <f>VLOOKUP(F534,编码对账表!C:D,2,0)</f>
        <v/>
      </c>
      <c r="H534" s="396" t="n">
        <v>508453</v>
      </c>
      <c r="I534" s="85" t="inlineStr">
        <is>
          <t>202412260021</t>
        </is>
      </c>
      <c r="J534" s="736" t="inlineStr">
        <is>
          <t>PIE</t>
        </is>
      </c>
      <c r="K534" s="734" t="inlineStr">
        <is>
          <t>CHANHUA PTE. LTD.</t>
        </is>
      </c>
      <c r="L534" s="736" t="n">
        <v>8.527799999999999</v>
      </c>
      <c r="M534" s="403" t="inlineStr">
        <is>
          <t>1403241226115621</t>
        </is>
      </c>
    </row>
    <row r="535" s="184">
      <c r="A535" s="1" t="n">
        <v>535</v>
      </c>
      <c r="B535" s="733" t="inlineStr">
        <is>
          <t>chanhua</t>
        </is>
      </c>
      <c r="C535" s="733" t="n">
        <v>45642</v>
      </c>
      <c r="D535" s="673" t="inlineStr">
        <is>
          <t>新加坡比特</t>
        </is>
      </c>
      <c r="E535" s="734" t="inlineStr">
        <is>
          <t>JSCC</t>
        </is>
      </c>
      <c r="F535" s="734" t="inlineStr">
        <is>
          <t>BM1370BC</t>
        </is>
      </c>
      <c r="G535" s="673">
        <f>VLOOKUP(F535,编码对账表!C:D,2,0)</f>
        <v/>
      </c>
      <c r="H535" s="396" t="n">
        <v>248392</v>
      </c>
      <c r="I535" s="85" t="inlineStr">
        <is>
          <t>202412260022</t>
        </is>
      </c>
      <c r="J535" s="736" t="inlineStr">
        <is>
          <t>Nationgate</t>
        </is>
      </c>
      <c r="K535" s="734" t="inlineStr">
        <is>
          <t>CHANHUA PTE. LTD.</t>
        </is>
      </c>
      <c r="L535" s="736" t="n">
        <v>8.527799999999999</v>
      </c>
      <c r="M535" s="403" t="inlineStr">
        <is>
          <t>1403241226115637</t>
        </is>
      </c>
    </row>
    <row r="536" s="184">
      <c r="A536" s="1" t="n">
        <v>536</v>
      </c>
      <c r="B536" s="733" t="inlineStr">
        <is>
          <t>chanhua</t>
        </is>
      </c>
      <c r="C536" s="733" t="n">
        <v>45645</v>
      </c>
      <c r="D536" s="673" t="inlineStr">
        <is>
          <t>新加坡比特</t>
        </is>
      </c>
      <c r="E536" s="734" t="inlineStr">
        <is>
          <t>TFME</t>
        </is>
      </c>
      <c r="F536" s="734" t="inlineStr">
        <is>
          <t>BM1370PA</t>
        </is>
      </c>
      <c r="G536" s="673">
        <f>VLOOKUP(F536,编码对账表!C:D,2,0)</f>
        <v/>
      </c>
      <c r="H536" s="396" t="n">
        <v>9301</v>
      </c>
      <c r="I536" s="85" t="inlineStr">
        <is>
          <t>202412270010</t>
        </is>
      </c>
      <c r="J536" s="736" t="inlineStr">
        <is>
          <t>PIE</t>
        </is>
      </c>
      <c r="K536" s="734" t="inlineStr">
        <is>
          <t>CHANHUA PTE. LTD.</t>
        </is>
      </c>
      <c r="L536" s="736" t="n">
        <v>8.527799999999999</v>
      </c>
      <c r="M536" s="403" t="inlineStr">
        <is>
          <t>1403241227113223</t>
        </is>
      </c>
    </row>
    <row r="537" s="184">
      <c r="A537" s="1" t="n">
        <v>537</v>
      </c>
      <c r="B537" s="733" t="inlineStr">
        <is>
          <t>chanhua</t>
        </is>
      </c>
      <c r="C537" s="733" t="n">
        <v>45653</v>
      </c>
      <c r="D537" s="673" t="inlineStr">
        <is>
          <t>chanhua</t>
        </is>
      </c>
      <c r="E537" s="734" t="inlineStr">
        <is>
          <t>世纪云芯</t>
        </is>
      </c>
      <c r="F537" s="734" t="inlineStr">
        <is>
          <t>BM22808A</t>
        </is>
      </c>
      <c r="G537" s="673">
        <f>VLOOKUP(F537,编码对账表!C:D,2,0)</f>
        <v/>
      </c>
      <c r="H537" s="396" t="n">
        <v>6</v>
      </c>
      <c r="I537" s="85" t="inlineStr">
        <is>
          <t>202412270001</t>
        </is>
      </c>
      <c r="J537" s="736" t="inlineStr">
        <is>
          <t>TF</t>
        </is>
      </c>
      <c r="K537" s="734" t="inlineStr">
        <is>
          <t>CHANHUA PTE. LTD.</t>
        </is>
      </c>
      <c r="L537" s="736" t="n">
        <v>2197.25</v>
      </c>
      <c r="M537" s="403" t="inlineStr">
        <is>
          <t>已接收</t>
        </is>
      </c>
    </row>
    <row r="538" s="184">
      <c r="A538" s="1" t="n">
        <v>538</v>
      </c>
      <c r="B538" s="733" t="inlineStr">
        <is>
          <t>chanhua</t>
        </is>
      </c>
      <c r="C538" s="733" t="n">
        <v>45653</v>
      </c>
      <c r="D538" s="673" t="inlineStr">
        <is>
          <t>chanhua</t>
        </is>
      </c>
      <c r="E538" s="734" t="inlineStr">
        <is>
          <t>世纪云芯</t>
        </is>
      </c>
      <c r="F538" s="734" t="inlineStr">
        <is>
          <t>BM1370PA</t>
        </is>
      </c>
      <c r="G538" s="673">
        <f>VLOOKUP(F538,编码对账表!C:D,2,0)</f>
        <v/>
      </c>
      <c r="H538" s="396" t="n">
        <v>29035</v>
      </c>
      <c r="I538" s="85" t="inlineStr">
        <is>
          <t>202412270002</t>
        </is>
      </c>
      <c r="J538" s="736" t="inlineStr">
        <is>
          <t>SPILSZ</t>
        </is>
      </c>
      <c r="K538" s="734" t="inlineStr">
        <is>
          <t>CHANHUA PTE. LTD.</t>
        </is>
      </c>
      <c r="L538" s="736" t="n">
        <v>7.85310005166179</v>
      </c>
      <c r="M538" s="403" t="inlineStr">
        <is>
          <t>已接收</t>
        </is>
      </c>
    </row>
    <row r="539" s="184">
      <c r="A539" s="1" t="n">
        <v>539</v>
      </c>
      <c r="B539" s="733" t="inlineStr">
        <is>
          <t>chanhua</t>
        </is>
      </c>
      <c r="C539" s="733" t="n">
        <v>45656</v>
      </c>
      <c r="D539" s="673" t="inlineStr">
        <is>
          <t>新加坡比特</t>
        </is>
      </c>
      <c r="E539" s="734" t="inlineStr">
        <is>
          <t>NJ-VT</t>
        </is>
      </c>
      <c r="F539" s="734" t="inlineStr">
        <is>
          <t>BM1368PB</t>
        </is>
      </c>
      <c r="G539" s="673">
        <f>VLOOKUP(F539,编码对账表!C:D,2,0)</f>
        <v/>
      </c>
      <c r="H539" s="396" t="n">
        <v>196884</v>
      </c>
      <c r="I539" s="85" t="inlineStr">
        <is>
          <t>202501030015</t>
        </is>
      </c>
      <c r="J539" s="736" t="inlineStr">
        <is>
          <t>印尼奥海</t>
        </is>
      </c>
      <c r="K539" s="734" t="inlineStr">
        <is>
          <t>CHANHUA PTE. LTD.</t>
        </is>
      </c>
      <c r="L539" s="736" t="n">
        <v>4.382</v>
      </c>
      <c r="M539" s="403" t="inlineStr">
        <is>
          <t>1403250103112127</t>
        </is>
      </c>
    </row>
    <row r="540" s="184">
      <c r="A540" s="1" t="n">
        <v>540</v>
      </c>
      <c r="B540" s="733" t="inlineStr">
        <is>
          <t>chanhua</t>
        </is>
      </c>
      <c r="C540" s="733" t="n">
        <v>45656</v>
      </c>
      <c r="D540" s="673" t="inlineStr">
        <is>
          <t>新加坡比特</t>
        </is>
      </c>
      <c r="E540" s="734" t="inlineStr">
        <is>
          <t>WX-HN</t>
        </is>
      </c>
      <c r="F540" s="734" t="inlineStr">
        <is>
          <t>BM1368PB</t>
        </is>
      </c>
      <c r="G540" s="673">
        <f>VLOOKUP(F540,编码对账表!C:D,2,0)</f>
        <v/>
      </c>
      <c r="H540" s="396" t="n">
        <v>210854</v>
      </c>
      <c r="I540" s="85" t="inlineStr">
        <is>
          <t>202501030015</t>
        </is>
      </c>
      <c r="J540" s="736" t="inlineStr">
        <is>
          <t>印尼奥海</t>
        </is>
      </c>
      <c r="K540" s="734" t="inlineStr">
        <is>
          <t>CHANHUA PTE. LTD.</t>
        </is>
      </c>
      <c r="L540" s="736" t="n">
        <v>4.382</v>
      </c>
      <c r="M540" s="403" t="inlineStr">
        <is>
          <t>1403250103112127</t>
        </is>
      </c>
    </row>
    <row r="541" s="184">
      <c r="A541" s="1" t="n">
        <v>541</v>
      </c>
      <c r="B541" s="733" t="inlineStr">
        <is>
          <t>chanhua</t>
        </is>
      </c>
      <c r="C541" s="733" t="n">
        <v>45656</v>
      </c>
      <c r="D541" s="673" t="inlineStr">
        <is>
          <t>新加坡比特</t>
        </is>
      </c>
      <c r="E541" s="734" t="inlineStr">
        <is>
          <t>NJ-VT</t>
        </is>
      </c>
      <c r="F541" s="734" t="inlineStr">
        <is>
          <t>BM1368PV</t>
        </is>
      </c>
      <c r="G541" s="673">
        <f>VLOOKUP(F541,编码对账表!C:D,2,0)</f>
        <v/>
      </c>
      <c r="H541" s="396" t="n">
        <v>333313</v>
      </c>
      <c r="I541" s="85" t="inlineStr">
        <is>
          <t>202501030015</t>
        </is>
      </c>
      <c r="J541" s="736" t="inlineStr">
        <is>
          <t>印尼奥海</t>
        </is>
      </c>
      <c r="K541" s="734" t="inlineStr">
        <is>
          <t>CHANHUA PTE. LTD.</t>
        </is>
      </c>
      <c r="L541" s="736" t="n">
        <v>4.382</v>
      </c>
      <c r="M541" s="403" t="inlineStr">
        <is>
          <t>1403250103112127</t>
        </is>
      </c>
    </row>
    <row r="542" s="184">
      <c r="A542" s="1" t="n">
        <v>542</v>
      </c>
      <c r="B542" s="733" t="inlineStr">
        <is>
          <t>chanhua</t>
        </is>
      </c>
      <c r="C542" s="733" t="n">
        <v>45656</v>
      </c>
      <c r="D542" s="673" t="inlineStr">
        <is>
          <t>新加坡比特</t>
        </is>
      </c>
      <c r="E542" s="734" t="inlineStr">
        <is>
          <t>ASE-KH</t>
        </is>
      </c>
      <c r="F542" s="734" t="inlineStr">
        <is>
          <t>BM1370BC</t>
        </is>
      </c>
      <c r="G542" s="673">
        <f>VLOOKUP(F542,编码对账表!C:D,2,0)</f>
        <v/>
      </c>
      <c r="H542" s="396" t="n">
        <v>424457</v>
      </c>
      <c r="I542" s="85" t="inlineStr">
        <is>
          <t>202501030015</t>
        </is>
      </c>
      <c r="J542" s="736" t="inlineStr">
        <is>
          <t>印尼奥海</t>
        </is>
      </c>
      <c r="K542" s="734" t="inlineStr">
        <is>
          <t>CHANHUA PTE. LTD.</t>
        </is>
      </c>
      <c r="L542" s="736" t="n">
        <v>8.327199999999999</v>
      </c>
      <c r="M542" s="403" t="inlineStr">
        <is>
          <t>1403250103112127</t>
        </is>
      </c>
    </row>
    <row r="543" s="184">
      <c r="A543" s="1" t="n">
        <v>543</v>
      </c>
      <c r="B543" s="733" t="inlineStr">
        <is>
          <t>chanhua</t>
        </is>
      </c>
      <c r="C543" s="733" t="n">
        <v>45653</v>
      </c>
      <c r="D543" s="673" t="inlineStr">
        <is>
          <t>新加坡比特</t>
        </is>
      </c>
      <c r="E543" s="734" t="inlineStr">
        <is>
          <t>SPILSZ</t>
        </is>
      </c>
      <c r="F543" s="734" t="inlineStr">
        <is>
          <t>BM1370BC</t>
        </is>
      </c>
      <c r="G543" s="673">
        <f>VLOOKUP(F543,编码对账表!C:D,2,0)</f>
        <v/>
      </c>
      <c r="H543" s="396" t="n">
        <v>1157989</v>
      </c>
      <c r="I543" s="85" t="inlineStr">
        <is>
          <t>202501030015</t>
        </is>
      </c>
      <c r="J543" s="736" t="inlineStr">
        <is>
          <t>印尼奥海</t>
        </is>
      </c>
      <c r="K543" s="734" t="inlineStr">
        <is>
          <t>CHANHUA PTE. LTD.</t>
        </is>
      </c>
      <c r="L543" s="736" t="n">
        <v>8.327199999999999</v>
      </c>
      <c r="M543" s="403" t="inlineStr">
        <is>
          <t>1403250103112127</t>
        </is>
      </c>
    </row>
    <row r="544" s="184">
      <c r="A544" s="1" t="n">
        <v>544</v>
      </c>
      <c r="B544" s="733" t="inlineStr">
        <is>
          <t>chanhua</t>
        </is>
      </c>
      <c r="C544" s="733" t="n">
        <v>45656</v>
      </c>
      <c r="D544" s="673" t="inlineStr">
        <is>
          <t>新加坡比特</t>
        </is>
      </c>
      <c r="E544" s="734" t="inlineStr">
        <is>
          <t>ASE-KH</t>
        </is>
      </c>
      <c r="F544" s="734" t="inlineStr">
        <is>
          <t>BM1370PA</t>
        </is>
      </c>
      <c r="G544" s="673">
        <f>VLOOKUP(F544,编码对账表!C:D,2,0)</f>
        <v/>
      </c>
      <c r="H544" s="396" t="n">
        <v>497741</v>
      </c>
      <c r="I544" s="85" t="inlineStr">
        <is>
          <t>202501030015</t>
        </is>
      </c>
      <c r="J544" s="736" t="inlineStr">
        <is>
          <t>印尼奥海</t>
        </is>
      </c>
      <c r="K544" s="734" t="inlineStr">
        <is>
          <t>CHANHUA PTE. LTD.</t>
        </is>
      </c>
      <c r="L544" s="736" t="n">
        <v>8.327199999999999</v>
      </c>
      <c r="M544" s="403" t="inlineStr">
        <is>
          <t>1403250103112127</t>
        </is>
      </c>
    </row>
    <row r="545" s="184">
      <c r="A545" s="1" t="n">
        <v>545</v>
      </c>
      <c r="B545" s="733" t="inlineStr">
        <is>
          <t>chanhua</t>
        </is>
      </c>
      <c r="C545" s="733" t="n">
        <v>45653</v>
      </c>
      <c r="D545" s="673" t="inlineStr">
        <is>
          <t>新加坡比特</t>
        </is>
      </c>
      <c r="E545" s="734" t="inlineStr">
        <is>
          <t>ASECL</t>
        </is>
      </c>
      <c r="F545" s="734" t="inlineStr">
        <is>
          <t>BM1370PA</t>
        </is>
      </c>
      <c r="G545" s="673">
        <f>VLOOKUP(F545,编码对账表!C:D,2,0)</f>
        <v/>
      </c>
      <c r="H545" s="396" t="n">
        <v>269800</v>
      </c>
      <c r="I545" s="85" t="inlineStr">
        <is>
          <t>202501030015</t>
        </is>
      </c>
      <c r="J545" s="736" t="inlineStr">
        <is>
          <t>印尼奥海</t>
        </is>
      </c>
      <c r="K545" s="734" t="inlineStr">
        <is>
          <t>CHANHUA PTE. LTD.</t>
        </is>
      </c>
      <c r="L545" s="736" t="n">
        <v>8.327199999999999</v>
      </c>
      <c r="M545" s="403" t="inlineStr">
        <is>
          <t>1403250103112127</t>
        </is>
      </c>
    </row>
    <row r="546" s="184">
      <c r="A546" s="1" t="n">
        <v>546</v>
      </c>
      <c r="B546" s="733" t="inlineStr">
        <is>
          <t>chanhua</t>
        </is>
      </c>
      <c r="C546" s="733" t="n">
        <v>45657</v>
      </c>
      <c r="D546" s="673" t="inlineStr">
        <is>
          <t>新加坡比特</t>
        </is>
      </c>
      <c r="E546" s="734" t="inlineStr">
        <is>
          <t>JSCC</t>
        </is>
      </c>
      <c r="F546" s="734" t="inlineStr">
        <is>
          <t>BM1370PA</t>
        </is>
      </c>
      <c r="G546" s="673">
        <f>VLOOKUP(F546,编码对账表!C:D,2,0)</f>
        <v/>
      </c>
      <c r="H546" s="396" t="n">
        <v>204701</v>
      </c>
      <c r="I546" s="85" t="inlineStr">
        <is>
          <t>202501030015</t>
        </is>
      </c>
      <c r="J546" s="736" t="inlineStr">
        <is>
          <t>印尼奥海</t>
        </is>
      </c>
      <c r="K546" s="734" t="inlineStr">
        <is>
          <t>CHANHUA PTE. LTD.</t>
        </is>
      </c>
      <c r="L546" s="736" t="n">
        <v>8.327199999999999</v>
      </c>
      <c r="M546" s="403" t="inlineStr">
        <is>
          <t>1403250103112127</t>
        </is>
      </c>
    </row>
    <row r="547" s="184">
      <c r="A547" s="1" t="n">
        <v>547</v>
      </c>
      <c r="B547" s="733" t="inlineStr">
        <is>
          <t>chanhua</t>
        </is>
      </c>
      <c r="C547" s="733" t="n">
        <v>45654</v>
      </c>
      <c r="D547" s="673" t="inlineStr">
        <is>
          <t>新加坡比特</t>
        </is>
      </c>
      <c r="E547" s="734" t="inlineStr">
        <is>
          <t>SPILSZ</t>
        </is>
      </c>
      <c r="F547" s="734" t="inlineStr">
        <is>
          <t>BM1370PA</t>
        </is>
      </c>
      <c r="G547" s="673">
        <f>VLOOKUP(F547,编码对账表!C:D,2,0)</f>
        <v/>
      </c>
      <c r="H547" s="396" t="n">
        <v>725800</v>
      </c>
      <c r="I547" s="85" t="inlineStr">
        <is>
          <t>202501030015</t>
        </is>
      </c>
      <c r="J547" s="736" t="inlineStr">
        <is>
          <t>印尼奥海</t>
        </is>
      </c>
      <c r="K547" s="734" t="inlineStr">
        <is>
          <t>CHANHUA PTE. LTD.</t>
        </is>
      </c>
      <c r="L547" s="736" t="n">
        <v>8.327199999999999</v>
      </c>
      <c r="M547" s="403" t="inlineStr">
        <is>
          <t>1403250103112127</t>
        </is>
      </c>
    </row>
    <row r="548" s="184">
      <c r="A548" s="1" t="n">
        <v>548</v>
      </c>
      <c r="B548" s="733" t="inlineStr">
        <is>
          <t>chanhua</t>
        </is>
      </c>
      <c r="C548" s="733" t="n">
        <v>45645</v>
      </c>
      <c r="D548" s="673" t="inlineStr">
        <is>
          <t>新加坡比特</t>
        </is>
      </c>
      <c r="E548" s="734" t="inlineStr">
        <is>
          <t>TFME</t>
        </is>
      </c>
      <c r="F548" s="734" t="inlineStr">
        <is>
          <t>BM1370PA</t>
        </is>
      </c>
      <c r="G548" s="673">
        <f>VLOOKUP(F548,编码对账表!C:D,2,0)</f>
        <v/>
      </c>
      <c r="H548" s="396" t="n">
        <v>15604</v>
      </c>
      <c r="I548" s="85" t="inlineStr">
        <is>
          <t>202501030015</t>
        </is>
      </c>
      <c r="J548" s="736" t="inlineStr">
        <is>
          <t>印尼奥海</t>
        </is>
      </c>
      <c r="K548" s="734" t="inlineStr">
        <is>
          <t>CHANHUA PTE. LTD.</t>
        </is>
      </c>
      <c r="L548" s="736" t="n">
        <v>8.327199999999999</v>
      </c>
      <c r="M548" s="403" t="inlineStr">
        <is>
          <t>1403250103112127</t>
        </is>
      </c>
    </row>
    <row r="549" s="184">
      <c r="A549" s="1" t="n">
        <v>549</v>
      </c>
      <c r="B549" s="733" t="inlineStr">
        <is>
          <t>chanhua</t>
        </is>
      </c>
      <c r="C549" s="733" t="n">
        <v>45657</v>
      </c>
      <c r="D549" s="673" t="inlineStr">
        <is>
          <t>新加坡比特</t>
        </is>
      </c>
      <c r="E549" s="734" t="inlineStr">
        <is>
          <t>JSCC</t>
        </is>
      </c>
      <c r="F549" s="734" t="inlineStr">
        <is>
          <t>BM1370PM</t>
        </is>
      </c>
      <c r="G549" s="673">
        <f>VLOOKUP(F549,编码对账表!C:D,2,0)</f>
        <v/>
      </c>
      <c r="H549" s="396" t="n">
        <v>98586</v>
      </c>
      <c r="I549" s="85" t="inlineStr">
        <is>
          <t>202501030015</t>
        </is>
      </c>
      <c r="J549" s="736" t="inlineStr">
        <is>
          <t>印尼奥海</t>
        </is>
      </c>
      <c r="K549" s="734" t="inlineStr">
        <is>
          <t>CHANHUA PTE. LTD.</t>
        </is>
      </c>
      <c r="L549" s="736" t="n">
        <v>8.327199999999999</v>
      </c>
      <c r="M549" s="403" t="inlineStr">
        <is>
          <t>1403250103112127</t>
        </is>
      </c>
    </row>
    <row r="550" s="184">
      <c r="A550" s="1" t="n">
        <v>550</v>
      </c>
      <c r="B550" s="733" t="inlineStr">
        <is>
          <t>chanhua</t>
        </is>
      </c>
      <c r="C550" s="733" t="n">
        <v>45657</v>
      </c>
      <c r="D550" s="673" t="inlineStr">
        <is>
          <t>新加坡比特</t>
        </is>
      </c>
      <c r="E550" s="734" t="inlineStr">
        <is>
          <t>JSCC</t>
        </is>
      </c>
      <c r="F550" s="734" t="inlineStr">
        <is>
          <t>BM1370BC</t>
        </is>
      </c>
      <c r="G550" s="673">
        <f>VLOOKUP(F550,编码对账表!C:D,2,0)</f>
        <v/>
      </c>
      <c r="H550" s="396" t="n">
        <v>3389357</v>
      </c>
      <c r="I550" s="85" t="inlineStr">
        <is>
          <t>202501030014</t>
        </is>
      </c>
      <c r="J550" s="736" t="inlineStr">
        <is>
          <t>泰国群光</t>
        </is>
      </c>
      <c r="K550" s="734" t="inlineStr">
        <is>
          <t>CHANHUA PTE. LTD.</t>
        </is>
      </c>
      <c r="L550" s="736" t="n">
        <v>8.327199999999999</v>
      </c>
      <c r="M550" s="403" t="inlineStr">
        <is>
          <t>1403250103112054</t>
        </is>
      </c>
    </row>
    <row r="551" s="184">
      <c r="A551" s="1" t="n">
        <v>551</v>
      </c>
      <c r="B551" s="733" t="inlineStr">
        <is>
          <t>chanhua</t>
        </is>
      </c>
      <c r="C551" s="733" t="n">
        <v>45653</v>
      </c>
      <c r="D551" s="673" t="inlineStr">
        <is>
          <t>新加坡比特</t>
        </is>
      </c>
      <c r="E551" s="734" t="inlineStr">
        <is>
          <t>ASECL</t>
        </is>
      </c>
      <c r="F551" s="734" t="inlineStr">
        <is>
          <t>BM1370PA</t>
        </is>
      </c>
      <c r="G551" s="673">
        <f>VLOOKUP(F551,编码对账表!C:D,2,0)</f>
        <v/>
      </c>
      <c r="H551" s="396" t="n">
        <v>140600</v>
      </c>
      <c r="I551" s="85" t="inlineStr">
        <is>
          <t>202501030014</t>
        </is>
      </c>
      <c r="J551" s="736" t="inlineStr">
        <is>
          <t>泰国群光</t>
        </is>
      </c>
      <c r="K551" s="734" t="inlineStr">
        <is>
          <t>CHANHUA PTE. LTD.</t>
        </is>
      </c>
      <c r="L551" s="736" t="n">
        <v>8.327199999999999</v>
      </c>
      <c r="M551" s="403" t="inlineStr">
        <is>
          <t>1403250103112054</t>
        </is>
      </c>
    </row>
    <row r="552" s="184">
      <c r="A552" s="1" t="n">
        <v>552</v>
      </c>
      <c r="B552" s="733" t="inlineStr">
        <is>
          <t>chanhua</t>
        </is>
      </c>
      <c r="C552" s="733" t="n">
        <v>45654</v>
      </c>
      <c r="D552" s="673" t="inlineStr">
        <is>
          <t>新加坡比特</t>
        </is>
      </c>
      <c r="E552" s="734" t="inlineStr">
        <is>
          <t>SPILSZ</t>
        </is>
      </c>
      <c r="F552" s="734" t="inlineStr">
        <is>
          <t>BM1370PA</t>
        </is>
      </c>
      <c r="G552" s="673">
        <f>VLOOKUP(F552,编码对账表!C:D,2,0)</f>
        <v/>
      </c>
      <c r="H552" s="396" t="n">
        <v>174800</v>
      </c>
      <c r="I552" s="85" t="inlineStr">
        <is>
          <t>202501030014</t>
        </is>
      </c>
      <c r="J552" s="736" t="inlineStr">
        <is>
          <t>泰国群光</t>
        </is>
      </c>
      <c r="K552" s="734" t="inlineStr">
        <is>
          <t>CHANHUA PTE. LTD.</t>
        </is>
      </c>
      <c r="L552" s="736" t="n">
        <v>8.327199999999999</v>
      </c>
      <c r="M552" s="403" t="inlineStr">
        <is>
          <t>1403250103112054</t>
        </is>
      </c>
    </row>
    <row r="553" s="184">
      <c r="A553" s="1" t="n">
        <v>553</v>
      </c>
      <c r="B553" s="733" t="inlineStr">
        <is>
          <t>chanhua</t>
        </is>
      </c>
      <c r="C553" s="733" t="n">
        <v>45645</v>
      </c>
      <c r="D553" s="673" t="inlineStr">
        <is>
          <t>新加坡比特</t>
        </is>
      </c>
      <c r="E553" s="734" t="inlineStr">
        <is>
          <t>TFME</t>
        </is>
      </c>
      <c r="F553" s="734" t="inlineStr">
        <is>
          <t>BM1370PA</t>
        </is>
      </c>
      <c r="G553" s="673">
        <f>VLOOKUP(F553,编码对账表!C:D,2,0)</f>
        <v/>
      </c>
      <c r="H553" s="396" t="n">
        <v>3281</v>
      </c>
      <c r="I553" s="85" t="inlineStr">
        <is>
          <t>202501030014</t>
        </is>
      </c>
      <c r="J553" s="736" t="inlineStr">
        <is>
          <t>泰国群光</t>
        </is>
      </c>
      <c r="K553" s="734" t="inlineStr">
        <is>
          <t>CHANHUA PTE. LTD.</t>
        </is>
      </c>
      <c r="L553" s="736" t="n">
        <v>8.327199999999999</v>
      </c>
      <c r="M553" s="403" t="inlineStr">
        <is>
          <t>1403250103112054</t>
        </is>
      </c>
    </row>
    <row r="554" s="184">
      <c r="A554" s="1" t="n">
        <v>554</v>
      </c>
      <c r="B554" s="733" t="inlineStr">
        <is>
          <t>chanhua</t>
        </is>
      </c>
      <c r="C554" s="733" t="n">
        <v>45657</v>
      </c>
      <c r="D554" s="673" t="inlineStr">
        <is>
          <t>新加坡比特</t>
        </is>
      </c>
      <c r="E554" s="734" t="inlineStr">
        <is>
          <t>JSCC</t>
        </is>
      </c>
      <c r="F554" s="734" t="inlineStr">
        <is>
          <t>BM1370BC</t>
        </is>
      </c>
      <c r="G554" s="673">
        <f>VLOOKUP(F554,编码对账表!C:D,2,0)</f>
        <v/>
      </c>
      <c r="H554" s="396" t="n">
        <v>1263293</v>
      </c>
      <c r="I554" s="85" t="inlineStr">
        <is>
          <t>202501030013</t>
        </is>
      </c>
      <c r="J554" s="736" t="inlineStr">
        <is>
          <t>泰国ONETEC</t>
        </is>
      </c>
      <c r="K554" s="734" t="inlineStr">
        <is>
          <t>CHANHUA PTE. LTD.</t>
        </is>
      </c>
      <c r="L554" s="736" t="n">
        <v>8.327199999999999</v>
      </c>
      <c r="M554" s="403" t="inlineStr">
        <is>
          <t>1403250103112038</t>
        </is>
      </c>
    </row>
    <row r="555" s="184">
      <c r="A555" s="1" t="n">
        <v>555</v>
      </c>
      <c r="B555" s="733" t="inlineStr">
        <is>
          <t>chanhua</t>
        </is>
      </c>
      <c r="C555" s="733" t="n">
        <v>45653</v>
      </c>
      <c r="D555" s="673" t="inlineStr">
        <is>
          <t>新加坡比特</t>
        </is>
      </c>
      <c r="E555" s="734" t="inlineStr">
        <is>
          <t>ASECL</t>
        </is>
      </c>
      <c r="F555" s="734" t="inlineStr">
        <is>
          <t>BM1370PA</t>
        </is>
      </c>
      <c r="G555" s="673">
        <f>VLOOKUP(F555,编码对账表!C:D,2,0)</f>
        <v/>
      </c>
      <c r="H555" s="396" t="n">
        <v>49400</v>
      </c>
      <c r="I555" s="85" t="inlineStr">
        <is>
          <t>202501030013</t>
        </is>
      </c>
      <c r="J555" s="736" t="inlineStr">
        <is>
          <t>泰国ONETEC</t>
        </is>
      </c>
      <c r="K555" s="734" t="inlineStr">
        <is>
          <t>CHANHUA PTE. LTD.</t>
        </is>
      </c>
      <c r="L555" s="736" t="n">
        <v>8.327199999999999</v>
      </c>
      <c r="M555" s="403" t="inlineStr">
        <is>
          <t>1403250103112038</t>
        </is>
      </c>
    </row>
    <row r="556" s="184">
      <c r="A556" s="1" t="n">
        <v>556</v>
      </c>
      <c r="B556" s="733" t="inlineStr">
        <is>
          <t>chanhua</t>
        </is>
      </c>
      <c r="C556" s="733" t="n">
        <v>45657</v>
      </c>
      <c r="D556" s="673" t="inlineStr">
        <is>
          <t>新加坡比特</t>
        </is>
      </c>
      <c r="E556" s="734" t="inlineStr">
        <is>
          <t>JSCC</t>
        </is>
      </c>
      <c r="F556" s="734" t="inlineStr">
        <is>
          <t>BM1370PA</t>
        </is>
      </c>
      <c r="G556" s="673">
        <f>VLOOKUP(F556,编码对账表!C:D,2,0)</f>
        <v/>
      </c>
      <c r="H556" s="396" t="n">
        <v>492072</v>
      </c>
      <c r="I556" s="85" t="inlineStr">
        <is>
          <t>202501030013</t>
        </is>
      </c>
      <c r="J556" s="736" t="inlineStr">
        <is>
          <t>泰国ONETEC</t>
        </is>
      </c>
      <c r="K556" s="734" t="inlineStr">
        <is>
          <t>CHANHUA PTE. LTD.</t>
        </is>
      </c>
      <c r="L556" s="736" t="n">
        <v>8.327199999999999</v>
      </c>
      <c r="M556" s="403" t="inlineStr">
        <is>
          <t>1403250103112038</t>
        </is>
      </c>
    </row>
    <row r="557" s="184">
      <c r="A557" s="1" t="n">
        <v>557</v>
      </c>
      <c r="B557" s="733" t="inlineStr">
        <is>
          <t>chanhua</t>
        </is>
      </c>
      <c r="C557" s="733" t="n">
        <v>45653</v>
      </c>
      <c r="D557" s="673" t="inlineStr">
        <is>
          <t>新加坡比特</t>
        </is>
      </c>
      <c r="E557" s="734" t="inlineStr">
        <is>
          <t>SPILSZ</t>
        </is>
      </c>
      <c r="F557" s="734" t="inlineStr">
        <is>
          <t>BM1370PA</t>
        </is>
      </c>
      <c r="G557" s="673">
        <f>VLOOKUP(F557,编码对账表!C:D,2,0)</f>
        <v/>
      </c>
      <c r="H557" s="396" t="n">
        <v>288800</v>
      </c>
      <c r="I557" s="85" t="inlineStr">
        <is>
          <t>202501030013</t>
        </is>
      </c>
      <c r="J557" s="736" t="inlineStr">
        <is>
          <t>泰国ONETEC</t>
        </is>
      </c>
      <c r="K557" s="734" t="inlineStr">
        <is>
          <t>CHANHUA PTE. LTD.</t>
        </is>
      </c>
      <c r="L557" s="736" t="n">
        <v>8.327199999999999</v>
      </c>
      <c r="M557" s="403" t="inlineStr">
        <is>
          <t>1403250103112038</t>
        </is>
      </c>
    </row>
    <row r="558" s="184">
      <c r="A558" s="1" t="n">
        <v>558</v>
      </c>
      <c r="B558" s="733" t="inlineStr">
        <is>
          <t>chanhua</t>
        </is>
      </c>
      <c r="C558" s="733" t="n">
        <v>45645</v>
      </c>
      <c r="D558" s="673" t="inlineStr">
        <is>
          <t>新加坡比特</t>
        </is>
      </c>
      <c r="E558" s="734" t="inlineStr">
        <is>
          <t>TFME</t>
        </is>
      </c>
      <c r="F558" s="734" t="inlineStr">
        <is>
          <t>BM1370PA</t>
        </is>
      </c>
      <c r="G558" s="673">
        <f>VLOOKUP(F558,编码对账表!C:D,2,0)</f>
        <v/>
      </c>
      <c r="H558" s="396" t="n">
        <v>19953</v>
      </c>
      <c r="I558" s="85" t="inlineStr">
        <is>
          <t>202501030013</t>
        </is>
      </c>
      <c r="J558" s="736" t="inlineStr">
        <is>
          <t>泰国ONETEC</t>
        </is>
      </c>
      <c r="K558" s="734" t="inlineStr">
        <is>
          <t>CHANHUA PTE. LTD.</t>
        </is>
      </c>
      <c r="L558" s="736" t="n">
        <v>8.327199999999999</v>
      </c>
      <c r="M558" s="403" t="inlineStr">
        <is>
          <t>1403250103112038</t>
        </is>
      </c>
    </row>
    <row r="559" s="184">
      <c r="A559" s="419" t="n">
        <v>559</v>
      </c>
      <c r="B559" s="750" t="inlineStr">
        <is>
          <t>chanhua</t>
        </is>
      </c>
      <c r="C559" s="750" t="n">
        <v>45642</v>
      </c>
      <c r="D559" s="751" t="n"/>
      <c r="E559" s="752" t="inlineStr">
        <is>
          <t>ASECL</t>
        </is>
      </c>
      <c r="F559" s="752" t="inlineStr">
        <is>
          <t>BM1370BC</t>
        </is>
      </c>
      <c r="G559" s="751">
        <f>VLOOKUP(F559,编码对账表!C:D,2,0)</f>
        <v/>
      </c>
      <c r="H559" s="423" t="n">
        <v>3601</v>
      </c>
      <c r="I559" s="424" t="inlineStr">
        <is>
          <t>BTD202412200020</t>
        </is>
      </c>
      <c r="J559" s="753" t="inlineStr">
        <is>
          <t>美国Benchmark</t>
        </is>
      </c>
      <c r="K559" s="752" t="inlineStr">
        <is>
          <t>CHANHUA PTE. LTD.</t>
        </is>
      </c>
      <c r="L559" s="753" t="n">
        <v>15.55</v>
      </c>
      <c r="M559" s="403" t="inlineStr">
        <is>
          <t>1155241220142708</t>
        </is>
      </c>
      <c r="N559" s="398" t="inlineStr">
        <is>
          <t>未做</t>
        </is>
      </c>
    </row>
    <row r="560" s="184">
      <c r="A560" s="419" t="n">
        <v>560</v>
      </c>
      <c r="B560" s="750" t="inlineStr">
        <is>
          <t>chanhua</t>
        </is>
      </c>
      <c r="C560" s="750" t="n">
        <v>45642</v>
      </c>
      <c r="D560" s="751" t="n"/>
      <c r="E560" s="752" t="inlineStr">
        <is>
          <t>ASECL</t>
        </is>
      </c>
      <c r="F560" s="752" t="inlineStr">
        <is>
          <t>BM1370PA</t>
        </is>
      </c>
      <c r="G560" s="751">
        <f>VLOOKUP(F560,编码对账表!C:D,2,0)</f>
        <v/>
      </c>
      <c r="H560" s="426" t="inlineStr">
        <is>
          <t>214972</t>
        </is>
      </c>
      <c r="I560" s="427" t="inlineStr">
        <is>
          <t>BTD202412190020</t>
        </is>
      </c>
      <c r="J560" s="753" t="inlineStr">
        <is>
          <t>美国Benchmark</t>
        </is>
      </c>
      <c r="K560" s="752" t="inlineStr">
        <is>
          <t>CHANHUA PTE. LTD.</t>
        </is>
      </c>
      <c r="L560" s="753" t="n">
        <v>15.55</v>
      </c>
      <c r="M560" s="403" t="inlineStr">
        <is>
          <t>1155241219163653</t>
        </is>
      </c>
      <c r="N560" s="398" t="inlineStr">
        <is>
          <t>未做</t>
        </is>
      </c>
    </row>
    <row r="561" s="184">
      <c r="A561" s="419" t="n">
        <v>560</v>
      </c>
      <c r="B561" s="750" t="inlineStr">
        <is>
          <t>chanhua</t>
        </is>
      </c>
      <c r="C561" s="750" t="n">
        <v>45642</v>
      </c>
      <c r="D561" s="751" t="n"/>
      <c r="E561" s="752" t="inlineStr">
        <is>
          <t>ASECL</t>
        </is>
      </c>
      <c r="F561" s="752" t="inlineStr">
        <is>
          <t>BM1370PA</t>
        </is>
      </c>
      <c r="G561" s="751">
        <f>VLOOKUP(F561,编码对账表!C:D,2,0)</f>
        <v/>
      </c>
      <c r="H561" s="426" t="n">
        <v>15433</v>
      </c>
      <c r="I561" s="424" t="inlineStr">
        <is>
          <t>BTD202412200020</t>
        </is>
      </c>
      <c r="J561" s="753" t="inlineStr">
        <is>
          <t>美国Benchmark</t>
        </is>
      </c>
      <c r="K561" s="752" t="inlineStr">
        <is>
          <t>CHANHUA PTE. LTD.</t>
        </is>
      </c>
      <c r="L561" s="753" t="n">
        <v>15.55</v>
      </c>
      <c r="M561" s="403" t="inlineStr">
        <is>
          <t>1155241220142708</t>
        </is>
      </c>
      <c r="N561" s="398" t="inlineStr">
        <is>
          <t>未做</t>
        </is>
      </c>
    </row>
    <row r="562" s="184">
      <c r="A562" s="1" t="n">
        <v>561</v>
      </c>
      <c r="B562" s="733" t="inlineStr">
        <is>
          <t>chanhua</t>
        </is>
      </c>
      <c r="C562" s="733" t="n">
        <v>45653</v>
      </c>
      <c r="D562" s="673" t="inlineStr">
        <is>
          <t>新加坡比特</t>
        </is>
      </c>
      <c r="E562" s="734" t="inlineStr">
        <is>
          <t>WX-HN</t>
        </is>
      </c>
      <c r="F562" s="734" t="inlineStr">
        <is>
          <t>BM1368PB</t>
        </is>
      </c>
      <c r="G562" s="673">
        <f>VLOOKUP(F562,编码对账表!C:D,2,0)</f>
        <v/>
      </c>
      <c r="H562" s="396" t="n">
        <v>14602</v>
      </c>
      <c r="I562" s="85" t="inlineStr">
        <is>
          <t>202501030012</t>
        </is>
      </c>
      <c r="J562" s="736" t="inlineStr">
        <is>
          <t>PIE</t>
        </is>
      </c>
      <c r="K562" s="734" t="inlineStr">
        <is>
          <t>CHANHUA PTE. LTD.</t>
        </is>
      </c>
      <c r="L562" s="736" t="n">
        <v>4.382</v>
      </c>
      <c r="M562" s="403" t="inlineStr">
        <is>
          <t>1403250103112021</t>
        </is>
      </c>
    </row>
    <row r="563" s="184">
      <c r="A563" s="1" t="n">
        <v>562</v>
      </c>
      <c r="B563" s="733" t="inlineStr">
        <is>
          <t>chanhua</t>
        </is>
      </c>
      <c r="C563" s="733" t="n">
        <v>45653</v>
      </c>
      <c r="D563" s="673" t="inlineStr">
        <is>
          <t>新加坡比特</t>
        </is>
      </c>
      <c r="E563" s="734" t="inlineStr">
        <is>
          <t>ASECL</t>
        </is>
      </c>
      <c r="F563" s="734" t="inlineStr">
        <is>
          <t>BM1370BC</t>
        </is>
      </c>
      <c r="G563" s="673">
        <f>VLOOKUP(F563,编码对账表!C:D,2,0)</f>
        <v/>
      </c>
      <c r="H563" s="396" t="n">
        <v>479095</v>
      </c>
      <c r="I563" s="85" t="inlineStr">
        <is>
          <t>202501030012</t>
        </is>
      </c>
      <c r="J563" s="736" t="inlineStr">
        <is>
          <t>PIE</t>
        </is>
      </c>
      <c r="K563" s="734" t="inlineStr">
        <is>
          <t>CHANHUA PTE. LTD.</t>
        </is>
      </c>
      <c r="L563" s="736" t="n">
        <v>8.327199999999999</v>
      </c>
      <c r="M563" s="403" t="inlineStr">
        <is>
          <t>1403250103112021</t>
        </is>
      </c>
    </row>
    <row r="564" s="184">
      <c r="A564" s="1" t="n">
        <v>563</v>
      </c>
      <c r="B564" s="733" t="inlineStr">
        <is>
          <t>chanhua</t>
        </is>
      </c>
      <c r="C564" s="733" t="n">
        <v>45655</v>
      </c>
      <c r="D564" s="673" t="inlineStr">
        <is>
          <t>新加坡比特</t>
        </is>
      </c>
      <c r="E564" s="734" t="inlineStr">
        <is>
          <t>SPILSZ</t>
        </is>
      </c>
      <c r="F564" s="734" t="inlineStr">
        <is>
          <t>BM1370BC</t>
        </is>
      </c>
      <c r="G564" s="673">
        <f>VLOOKUP(F564,编码对账表!C:D,2,0)</f>
        <v/>
      </c>
      <c r="H564" s="396" t="n">
        <v>2135600</v>
      </c>
      <c r="I564" s="85" t="inlineStr">
        <is>
          <t>202501030012</t>
        </is>
      </c>
      <c r="J564" s="736" t="inlineStr">
        <is>
          <t>PIE</t>
        </is>
      </c>
      <c r="K564" s="734" t="inlineStr">
        <is>
          <t>CHANHUA PTE. LTD.</t>
        </is>
      </c>
      <c r="L564" s="736" t="n">
        <v>8.327199999999999</v>
      </c>
      <c r="M564" s="403" t="inlineStr">
        <is>
          <t>1403250103112021</t>
        </is>
      </c>
    </row>
    <row r="565" s="184">
      <c r="A565" s="1" t="n">
        <v>564</v>
      </c>
      <c r="B565" s="733" t="inlineStr">
        <is>
          <t>chanhua</t>
        </is>
      </c>
      <c r="C565" s="733" t="n">
        <v>45653</v>
      </c>
      <c r="D565" s="673" t="inlineStr">
        <is>
          <t>新加坡比特</t>
        </is>
      </c>
      <c r="E565" s="734" t="inlineStr">
        <is>
          <t>ASECL</t>
        </is>
      </c>
      <c r="F565" s="734" t="inlineStr">
        <is>
          <t>BM1370PA</t>
        </is>
      </c>
      <c r="G565" s="673">
        <f>VLOOKUP(F565,编码对账表!C:D,2,0)</f>
        <v/>
      </c>
      <c r="H565" s="396" t="n">
        <v>91552</v>
      </c>
      <c r="I565" s="85" t="inlineStr">
        <is>
          <t>202501030012</t>
        </is>
      </c>
      <c r="J565" s="736" t="inlineStr">
        <is>
          <t>PIE</t>
        </is>
      </c>
      <c r="K565" s="734" t="inlineStr">
        <is>
          <t>CHANHUA PTE. LTD.</t>
        </is>
      </c>
      <c r="L565" s="736" t="n">
        <v>8.327199999999999</v>
      </c>
      <c r="M565" s="403" t="inlineStr">
        <is>
          <t>1403250103112021</t>
        </is>
      </c>
    </row>
    <row r="566" s="184">
      <c r="A566" s="1" t="n">
        <v>565</v>
      </c>
      <c r="B566" s="733" t="inlineStr">
        <is>
          <t>chanhua</t>
        </is>
      </c>
      <c r="C566" s="733" t="n">
        <v>45654</v>
      </c>
      <c r="D566" s="673" t="inlineStr">
        <is>
          <t>新加坡比特</t>
        </is>
      </c>
      <c r="E566" s="734" t="inlineStr">
        <is>
          <t>SPILSZ</t>
        </is>
      </c>
      <c r="F566" s="734" t="inlineStr">
        <is>
          <t>BM1370PA</t>
        </is>
      </c>
      <c r="G566" s="673">
        <f>VLOOKUP(F566,编码对账表!C:D,2,0)</f>
        <v/>
      </c>
      <c r="H566" s="396" t="n">
        <v>106400</v>
      </c>
      <c r="I566" s="85" t="inlineStr">
        <is>
          <t>202501030012</t>
        </is>
      </c>
      <c r="J566" s="736" t="inlineStr">
        <is>
          <t>PIE</t>
        </is>
      </c>
      <c r="K566" s="734" t="inlineStr">
        <is>
          <t>CHANHUA PTE. LTD.</t>
        </is>
      </c>
      <c r="L566" s="736" t="n">
        <v>8.327199999999999</v>
      </c>
      <c r="M566" s="403" t="inlineStr">
        <is>
          <t>1403250103112021</t>
        </is>
      </c>
    </row>
    <row r="567" s="184">
      <c r="A567" s="1" t="n">
        <v>566</v>
      </c>
      <c r="B567" s="733" t="inlineStr">
        <is>
          <t>chanhua</t>
        </is>
      </c>
      <c r="C567" s="733" t="n">
        <v>45654</v>
      </c>
      <c r="D567" s="673" t="inlineStr">
        <is>
          <t>新加坡比特</t>
        </is>
      </c>
      <c r="E567" s="734" t="inlineStr">
        <is>
          <t>SPILSZ</t>
        </is>
      </c>
      <c r="F567" s="734" t="inlineStr">
        <is>
          <t>BM1370BC</t>
        </is>
      </c>
      <c r="G567" s="673">
        <f>VLOOKUP(F567,编码对账表!C:D,2,0)</f>
        <v/>
      </c>
      <c r="H567" s="396" t="n">
        <v>345800</v>
      </c>
      <c r="I567" s="85" t="inlineStr">
        <is>
          <t>202501030010</t>
        </is>
      </c>
      <c r="J567" s="736" t="inlineStr">
        <is>
          <t>Nationgate</t>
        </is>
      </c>
      <c r="K567" s="734" t="inlineStr">
        <is>
          <t>CHANHUA PTE. LTD.</t>
        </is>
      </c>
      <c r="L567" s="736" t="n">
        <v>8.327199999999999</v>
      </c>
      <c r="M567" s="403" t="inlineStr">
        <is>
          <t>1403250103112003</t>
        </is>
      </c>
    </row>
    <row r="568" s="184">
      <c r="A568" s="1" t="n">
        <v>567</v>
      </c>
      <c r="B568" s="733" t="inlineStr">
        <is>
          <t>chanhua</t>
        </is>
      </c>
      <c r="C568" s="733" t="n">
        <v>45653</v>
      </c>
      <c r="D568" s="673" t="inlineStr">
        <is>
          <t>新加坡比特</t>
        </is>
      </c>
      <c r="E568" s="734" t="inlineStr">
        <is>
          <t>ASECL</t>
        </is>
      </c>
      <c r="F568" s="734" t="inlineStr">
        <is>
          <t>BM1370PA</t>
        </is>
      </c>
      <c r="G568" s="673">
        <f>VLOOKUP(F568,编码对账表!C:D,2,0)</f>
        <v/>
      </c>
      <c r="H568" s="396" t="n">
        <v>574327</v>
      </c>
      <c r="I568" s="85" t="inlineStr">
        <is>
          <t>202501030010</t>
        </is>
      </c>
      <c r="J568" s="736" t="inlineStr">
        <is>
          <t>Nationgate</t>
        </is>
      </c>
      <c r="K568" s="734" t="inlineStr">
        <is>
          <t>CHANHUA PTE. LTD.</t>
        </is>
      </c>
      <c r="L568" s="736" t="n">
        <v>8.327199999999999</v>
      </c>
      <c r="M568" s="403" t="inlineStr">
        <is>
          <t>1403250103112003</t>
        </is>
      </c>
    </row>
    <row r="569" s="184">
      <c r="A569" s="428" t="n">
        <v>568</v>
      </c>
      <c r="B569" s="749" t="inlineStr">
        <is>
          <t>chanhua</t>
        </is>
      </c>
      <c r="C569" s="733" t="n">
        <v>45666</v>
      </c>
      <c r="D569" s="673" t="inlineStr">
        <is>
          <t>新加坡比特</t>
        </is>
      </c>
      <c r="E569" s="734" t="inlineStr">
        <is>
          <t>SPILSZ</t>
        </is>
      </c>
      <c r="F569" s="734" t="inlineStr">
        <is>
          <t>BM1370BC</t>
        </is>
      </c>
      <c r="G569" s="673">
        <f>VLOOKUP(F569,编码对账表!C:D,2,0)</f>
        <v/>
      </c>
      <c r="H569" s="396" t="n">
        <v>9751</v>
      </c>
      <c r="I569" s="85" t="inlineStr">
        <is>
          <t>202501130015</t>
        </is>
      </c>
      <c r="J569" s="736" t="inlineStr">
        <is>
          <t>印尼奥海</t>
        </is>
      </c>
      <c r="K569" s="734" t="inlineStr">
        <is>
          <t>CHANHUA PTE. LTD.</t>
        </is>
      </c>
      <c r="L569" s="736" t="n">
        <v>8.327199999999999</v>
      </c>
      <c r="M569" s="397" t="inlineStr">
        <is>
          <t>1403250113115210</t>
        </is>
      </c>
    </row>
    <row r="570" s="184">
      <c r="A570" s="428" t="n">
        <v>569</v>
      </c>
      <c r="B570" s="749" t="inlineStr">
        <is>
          <t>chanhua</t>
        </is>
      </c>
      <c r="C570" s="733" t="n">
        <v>45659</v>
      </c>
      <c r="D570" s="673" t="inlineStr">
        <is>
          <t>新加坡比特</t>
        </is>
      </c>
      <c r="E570" s="734" t="inlineStr">
        <is>
          <t>JSCC</t>
        </is>
      </c>
      <c r="F570" s="734" t="inlineStr">
        <is>
          <t>BM1370PA</t>
        </is>
      </c>
      <c r="G570" s="673">
        <f>VLOOKUP(F570,编码对账表!C:D,2,0)</f>
        <v/>
      </c>
      <c r="H570" s="396" t="n">
        <v>1478593</v>
      </c>
      <c r="I570" s="85" t="inlineStr">
        <is>
          <t>202501130015</t>
        </is>
      </c>
      <c r="J570" s="736" t="inlineStr">
        <is>
          <t>印尼奥海</t>
        </is>
      </c>
      <c r="K570" s="734" t="inlineStr">
        <is>
          <t>CHANHUA PTE. LTD.</t>
        </is>
      </c>
      <c r="L570" s="736" t="n">
        <v>8.327199999999999</v>
      </c>
      <c r="M570" s="397" t="inlineStr">
        <is>
          <t>1403250113115210</t>
        </is>
      </c>
    </row>
    <row r="571" s="184">
      <c r="A571" s="428" t="n">
        <v>570</v>
      </c>
      <c r="B571" s="749" t="inlineStr">
        <is>
          <t>chanhua</t>
        </is>
      </c>
      <c r="C571" s="733" t="n">
        <v>45662</v>
      </c>
      <c r="D571" s="673" t="inlineStr">
        <is>
          <t>新加坡比特</t>
        </is>
      </c>
      <c r="E571" s="734" t="inlineStr">
        <is>
          <t>SPILSZ</t>
        </is>
      </c>
      <c r="F571" s="734" t="inlineStr">
        <is>
          <t>BM1370PA</t>
        </is>
      </c>
      <c r="G571" s="673">
        <f>VLOOKUP(F571,编码对账表!C:D,2,0)</f>
        <v/>
      </c>
      <c r="H571" s="396" t="n">
        <v>1288200</v>
      </c>
      <c r="I571" s="85" t="inlineStr">
        <is>
          <t>202501130015</t>
        </is>
      </c>
      <c r="J571" s="736" t="inlineStr">
        <is>
          <t>印尼奥海</t>
        </is>
      </c>
      <c r="K571" s="734" t="inlineStr">
        <is>
          <t>CHANHUA PTE. LTD.</t>
        </is>
      </c>
      <c r="L571" s="736" t="n">
        <v>8.327199999999999</v>
      </c>
      <c r="M571" s="397" t="inlineStr">
        <is>
          <t>1403250113115210</t>
        </is>
      </c>
    </row>
    <row r="572" s="184">
      <c r="A572" s="428" t="n">
        <v>571</v>
      </c>
      <c r="B572" s="749" t="inlineStr">
        <is>
          <t>chanhua</t>
        </is>
      </c>
      <c r="C572" s="733" t="n">
        <v>45661</v>
      </c>
      <c r="D572" s="673" t="inlineStr">
        <is>
          <t>新加坡比特</t>
        </is>
      </c>
      <c r="E572" s="734" t="inlineStr">
        <is>
          <t>TFME</t>
        </is>
      </c>
      <c r="F572" s="734" t="inlineStr">
        <is>
          <t>BM1370PA</t>
        </is>
      </c>
      <c r="G572" s="673">
        <f>VLOOKUP(F572,编码对账表!C:D,2,0)</f>
        <v/>
      </c>
      <c r="H572" s="396" t="n">
        <v>50079</v>
      </c>
      <c r="I572" s="85" t="inlineStr">
        <is>
          <t>202501130015</t>
        </is>
      </c>
      <c r="J572" s="736" t="inlineStr">
        <is>
          <t>印尼奥海</t>
        </is>
      </c>
      <c r="K572" s="734" t="inlineStr">
        <is>
          <t>CHANHUA PTE. LTD.</t>
        </is>
      </c>
      <c r="L572" s="736" t="n">
        <v>8.327199999999999</v>
      </c>
      <c r="M572" s="397" t="inlineStr">
        <is>
          <t>1403250113115210</t>
        </is>
      </c>
    </row>
    <row r="573" s="184">
      <c r="A573" s="428" t="n">
        <v>572</v>
      </c>
      <c r="B573" s="749" t="inlineStr">
        <is>
          <t>chanhua</t>
        </is>
      </c>
      <c r="C573" s="733" t="n">
        <v>45667</v>
      </c>
      <c r="D573" s="673" t="inlineStr">
        <is>
          <t>新加坡比特</t>
        </is>
      </c>
      <c r="E573" s="734" t="inlineStr">
        <is>
          <t>JSCC</t>
        </is>
      </c>
      <c r="F573" s="734" t="inlineStr">
        <is>
          <t>BM1370PM</t>
        </is>
      </c>
      <c r="G573" s="673">
        <f>VLOOKUP(F573,编码对账表!C:D,2,0)</f>
        <v/>
      </c>
      <c r="H573" s="396" t="n">
        <v>1806656</v>
      </c>
      <c r="I573" s="85" t="inlineStr">
        <is>
          <t>202501130015</t>
        </is>
      </c>
      <c r="J573" s="736" t="inlineStr">
        <is>
          <t>印尼奥海</t>
        </is>
      </c>
      <c r="K573" s="734" t="inlineStr">
        <is>
          <t>CHANHUA PTE. LTD.</t>
        </is>
      </c>
      <c r="L573" s="736" t="n">
        <v>8.327199999999999</v>
      </c>
      <c r="M573" s="397" t="inlineStr">
        <is>
          <t>1403250113115210</t>
        </is>
      </c>
    </row>
    <row r="574" s="184">
      <c r="A574" s="428" t="n">
        <v>573</v>
      </c>
      <c r="B574" s="749" t="inlineStr">
        <is>
          <t>chanhua</t>
        </is>
      </c>
      <c r="C574" s="733" t="n">
        <v>45659</v>
      </c>
      <c r="D574" s="673" t="inlineStr">
        <is>
          <t>新加坡比特</t>
        </is>
      </c>
      <c r="E574" s="734" t="inlineStr">
        <is>
          <t>JSCC</t>
        </is>
      </c>
      <c r="F574" s="734" t="inlineStr">
        <is>
          <t>BM1370BC</t>
        </is>
      </c>
      <c r="G574" s="673">
        <f>VLOOKUP(F574,编码对账表!C:D,2,0)</f>
        <v/>
      </c>
      <c r="H574" s="396" t="n">
        <v>369502</v>
      </c>
      <c r="I574" s="85" t="inlineStr">
        <is>
          <t>202501130014</t>
        </is>
      </c>
      <c r="J574" s="736" t="inlineStr">
        <is>
          <t>泰国群光</t>
        </is>
      </c>
      <c r="K574" s="734" t="inlineStr">
        <is>
          <t>CHANHUA PTE. LTD.</t>
        </is>
      </c>
      <c r="L574" s="736" t="n">
        <v>8.327199999999999</v>
      </c>
      <c r="M574" s="397" t="inlineStr">
        <is>
          <t>1403250113115226</t>
        </is>
      </c>
    </row>
    <row r="575" s="184">
      <c r="A575" s="428" t="n">
        <v>574</v>
      </c>
      <c r="B575" s="749" t="inlineStr">
        <is>
          <t>chanhua</t>
        </is>
      </c>
      <c r="C575" s="733" t="n">
        <v>45666</v>
      </c>
      <c r="D575" s="673" t="inlineStr">
        <is>
          <t>新加坡比特</t>
        </is>
      </c>
      <c r="E575" s="734" t="inlineStr">
        <is>
          <t>SPILSZ</t>
        </is>
      </c>
      <c r="F575" s="734" t="inlineStr">
        <is>
          <t>BM1370BC</t>
        </is>
      </c>
      <c r="G575" s="673">
        <f>VLOOKUP(F575,编码对账表!C:D,2,0)</f>
        <v/>
      </c>
      <c r="H575" s="396" t="n">
        <v>717013</v>
      </c>
      <c r="I575" s="85" t="inlineStr">
        <is>
          <t>202501130014</t>
        </is>
      </c>
      <c r="J575" s="736" t="inlineStr">
        <is>
          <t>泰国群光</t>
        </is>
      </c>
      <c r="K575" s="734" t="inlineStr">
        <is>
          <t>CHANHUA PTE. LTD.</t>
        </is>
      </c>
      <c r="L575" s="736" t="n">
        <v>8.327199999999999</v>
      </c>
      <c r="M575" s="397" t="inlineStr">
        <is>
          <t>1403250113115226</t>
        </is>
      </c>
    </row>
    <row r="576" s="184">
      <c r="A576" s="428" t="n">
        <v>575</v>
      </c>
      <c r="B576" s="749" t="inlineStr">
        <is>
          <t>chanhua</t>
        </is>
      </c>
      <c r="C576" s="733" t="n">
        <v>45664</v>
      </c>
      <c r="D576" s="673" t="inlineStr">
        <is>
          <t>新加坡比特</t>
        </is>
      </c>
      <c r="E576" s="734" t="inlineStr">
        <is>
          <t>JSCC</t>
        </is>
      </c>
      <c r="F576" s="734" t="inlineStr">
        <is>
          <t>BM1370PA</t>
        </is>
      </c>
      <c r="G576" s="673">
        <f>VLOOKUP(F576,编码对账表!C:D,2,0)</f>
        <v/>
      </c>
      <c r="H576" s="396" t="n">
        <v>676339</v>
      </c>
      <c r="I576" s="85" t="inlineStr">
        <is>
          <t>202501130014</t>
        </is>
      </c>
      <c r="J576" s="736" t="inlineStr">
        <is>
          <t>泰国群光</t>
        </is>
      </c>
      <c r="K576" s="734" t="inlineStr">
        <is>
          <t>CHANHUA PTE. LTD.</t>
        </is>
      </c>
      <c r="L576" s="736" t="n">
        <v>8.327199999999999</v>
      </c>
      <c r="M576" s="397" t="inlineStr">
        <is>
          <t>1403250113115226</t>
        </is>
      </c>
    </row>
    <row r="577" s="184">
      <c r="A577" s="428" t="n">
        <v>576</v>
      </c>
      <c r="B577" s="749" t="inlineStr">
        <is>
          <t>chanhua</t>
        </is>
      </c>
      <c r="C577" s="733" t="n">
        <v>45666</v>
      </c>
      <c r="D577" s="673" t="inlineStr">
        <is>
          <t>新加坡比特</t>
        </is>
      </c>
      <c r="E577" s="734" t="inlineStr">
        <is>
          <t>SPILSZ</t>
        </is>
      </c>
      <c r="F577" s="734" t="inlineStr">
        <is>
          <t>BM1370PA</t>
        </is>
      </c>
      <c r="G577" s="673">
        <f>VLOOKUP(F577,编码对账表!C:D,2,0)</f>
        <v/>
      </c>
      <c r="H577" s="396" t="n">
        <v>950000</v>
      </c>
      <c r="I577" s="85" t="inlineStr">
        <is>
          <t>202501130014</t>
        </is>
      </c>
      <c r="J577" s="736" t="inlineStr">
        <is>
          <t>泰国群光</t>
        </is>
      </c>
      <c r="K577" s="734" t="inlineStr">
        <is>
          <t>CHANHUA PTE. LTD.</t>
        </is>
      </c>
      <c r="L577" s="736" t="n">
        <v>8.327199999999999</v>
      </c>
      <c r="M577" s="397" t="inlineStr">
        <is>
          <t>1403250113115226</t>
        </is>
      </c>
    </row>
    <row r="578" s="184">
      <c r="A578" s="428" t="n">
        <v>577</v>
      </c>
      <c r="B578" s="749" t="inlineStr">
        <is>
          <t>chanhua</t>
        </is>
      </c>
      <c r="C578" s="733" t="n">
        <v>45662</v>
      </c>
      <c r="D578" s="673" t="inlineStr">
        <is>
          <t>新加坡比特</t>
        </is>
      </c>
      <c r="E578" s="734" t="inlineStr">
        <is>
          <t>SPILSZ</t>
        </is>
      </c>
      <c r="F578" s="734" t="inlineStr">
        <is>
          <t>BM1370BC</t>
        </is>
      </c>
      <c r="G578" s="673">
        <f>VLOOKUP(F578,编码对账表!C:D,2,0)</f>
        <v/>
      </c>
      <c r="H578" s="396" t="n">
        <v>125952</v>
      </c>
      <c r="I578" s="85" t="inlineStr">
        <is>
          <t>202501130013</t>
        </is>
      </c>
      <c r="J578" s="736" t="inlineStr">
        <is>
          <t>泰国ONETEC</t>
        </is>
      </c>
      <c r="K578" s="734" t="inlineStr">
        <is>
          <t>CHANHUA PTE. LTD.</t>
        </is>
      </c>
      <c r="L578" s="736" t="n">
        <v>8.327199999999999</v>
      </c>
      <c r="M578" s="397" t="inlineStr">
        <is>
          <t>1403250113115247</t>
        </is>
      </c>
    </row>
    <row r="579" s="184">
      <c r="A579" s="428" t="n">
        <v>578</v>
      </c>
      <c r="B579" s="749" t="inlineStr">
        <is>
          <t>chanhua</t>
        </is>
      </c>
      <c r="C579" s="733" t="n">
        <v>45667</v>
      </c>
      <c r="D579" s="673" t="inlineStr">
        <is>
          <t>新加坡比特</t>
        </is>
      </c>
      <c r="E579" s="734" t="inlineStr">
        <is>
          <t>ASE-KH</t>
        </is>
      </c>
      <c r="F579" s="734" t="inlineStr">
        <is>
          <t>BM1370PA</t>
        </is>
      </c>
      <c r="G579" s="673">
        <f>VLOOKUP(F579,编码对账表!C:D,2,0)</f>
        <v/>
      </c>
      <c r="H579" s="396" t="n">
        <v>33395</v>
      </c>
      <c r="I579" s="85" t="inlineStr">
        <is>
          <t>202501130013</t>
        </is>
      </c>
      <c r="J579" s="736" t="inlineStr">
        <is>
          <t>泰国ONETEC</t>
        </is>
      </c>
      <c r="K579" s="734" t="inlineStr">
        <is>
          <t>CHANHUA PTE. LTD.</t>
        </is>
      </c>
      <c r="L579" s="736" t="n">
        <v>8.327199999999999</v>
      </c>
      <c r="M579" s="397" t="inlineStr">
        <is>
          <t>1403250113115247</t>
        </is>
      </c>
    </row>
    <row r="580" s="184">
      <c r="A580" s="428" t="n">
        <v>579</v>
      </c>
      <c r="B580" s="749" t="inlineStr">
        <is>
          <t>chanhua</t>
        </is>
      </c>
      <c r="C580" s="733" t="n">
        <v>45663</v>
      </c>
      <c r="D580" s="673" t="inlineStr">
        <is>
          <t>新加坡比特</t>
        </is>
      </c>
      <c r="E580" s="734" t="inlineStr">
        <is>
          <t>JSCC</t>
        </is>
      </c>
      <c r="F580" s="734" t="inlineStr">
        <is>
          <t>BM1370PA</t>
        </is>
      </c>
      <c r="G580" s="673">
        <f>VLOOKUP(F580,编码对账表!C:D,2,0)</f>
        <v/>
      </c>
      <c r="H580" s="396" t="n">
        <v>1705790</v>
      </c>
      <c r="I580" s="85" t="inlineStr">
        <is>
          <t>202501130013</t>
        </is>
      </c>
      <c r="J580" s="736" t="inlineStr">
        <is>
          <t>泰国ONETEC</t>
        </is>
      </c>
      <c r="K580" s="734" t="inlineStr">
        <is>
          <t>CHANHUA PTE. LTD.</t>
        </is>
      </c>
      <c r="L580" s="736" t="n">
        <v>8.327199999999999</v>
      </c>
      <c r="M580" s="397" t="inlineStr">
        <is>
          <t>1403250113115247</t>
        </is>
      </c>
    </row>
    <row r="581" s="184">
      <c r="A581" s="428" t="n">
        <v>580</v>
      </c>
      <c r="B581" s="749" t="inlineStr">
        <is>
          <t>chanhua</t>
        </is>
      </c>
      <c r="C581" s="733" t="n">
        <v>45666</v>
      </c>
      <c r="D581" s="673" t="inlineStr">
        <is>
          <t>新加坡比特</t>
        </is>
      </c>
      <c r="E581" s="734" t="inlineStr">
        <is>
          <t>SPILSZ</t>
        </is>
      </c>
      <c r="F581" s="734" t="inlineStr">
        <is>
          <t>BM1370PA</t>
        </is>
      </c>
      <c r="G581" s="673">
        <f>VLOOKUP(F581,编码对账表!C:D,2,0)</f>
        <v/>
      </c>
      <c r="H581" s="396" t="n">
        <v>1022200</v>
      </c>
      <c r="I581" s="85" t="inlineStr">
        <is>
          <t>202501130013</t>
        </is>
      </c>
      <c r="J581" s="736" t="inlineStr">
        <is>
          <t>泰国ONETEC</t>
        </is>
      </c>
      <c r="K581" s="734" t="inlineStr">
        <is>
          <t>CHANHUA PTE. LTD.</t>
        </is>
      </c>
      <c r="L581" s="736" t="n">
        <v>8.327199999999999</v>
      </c>
      <c r="M581" s="397" t="inlineStr">
        <is>
          <t>1403250113115247</t>
        </is>
      </c>
    </row>
    <row r="582" s="184">
      <c r="A582" s="428" t="n">
        <v>581</v>
      </c>
      <c r="B582" s="749" t="inlineStr">
        <is>
          <t>chanhua</t>
        </is>
      </c>
      <c r="C582" s="733" t="n">
        <v>45660</v>
      </c>
      <c r="D582" s="673" t="inlineStr">
        <is>
          <t>新加坡比特</t>
        </is>
      </c>
      <c r="E582" s="734" t="inlineStr">
        <is>
          <t>TFME</t>
        </is>
      </c>
      <c r="F582" s="734" t="inlineStr">
        <is>
          <t>BM1370PA</t>
        </is>
      </c>
      <c r="G582" s="673">
        <f>VLOOKUP(F582,编码对账表!C:D,2,0)</f>
        <v/>
      </c>
      <c r="H582" s="396" t="n">
        <v>15095</v>
      </c>
      <c r="I582" s="85" t="inlineStr">
        <is>
          <t>202501130013</t>
        </is>
      </c>
      <c r="J582" s="736" t="inlineStr">
        <is>
          <t>泰国ONETEC</t>
        </is>
      </c>
      <c r="K582" s="734" t="inlineStr">
        <is>
          <t>CHANHUA PTE. LTD.</t>
        </is>
      </c>
      <c r="L582" s="736" t="n">
        <v>8.327199999999999</v>
      </c>
      <c r="M582" s="397" t="inlineStr">
        <is>
          <t>1403250113115247</t>
        </is>
      </c>
    </row>
    <row r="583" s="184">
      <c r="A583" s="428" t="n">
        <v>582</v>
      </c>
      <c r="B583" s="749" t="inlineStr">
        <is>
          <t>chanhua</t>
        </is>
      </c>
      <c r="C583" s="733" t="n">
        <v>45666</v>
      </c>
      <c r="D583" s="673" t="inlineStr">
        <is>
          <t>新加坡比特</t>
        </is>
      </c>
      <c r="E583" s="734" t="inlineStr">
        <is>
          <t>JSCC</t>
        </is>
      </c>
      <c r="F583" s="734" t="inlineStr">
        <is>
          <t>BM1370PM</t>
        </is>
      </c>
      <c r="G583" s="673">
        <f>VLOOKUP(F583,编码对账表!C:D,2,0)</f>
        <v/>
      </c>
      <c r="H583" s="396" t="n">
        <v>818347</v>
      </c>
      <c r="I583" s="85" t="inlineStr">
        <is>
          <t>202501130013</t>
        </is>
      </c>
      <c r="J583" s="736" t="inlineStr">
        <is>
          <t>泰国ONETEC</t>
        </is>
      </c>
      <c r="K583" s="734" t="inlineStr">
        <is>
          <t>CHANHUA PTE. LTD.</t>
        </is>
      </c>
      <c r="L583" s="736" t="n">
        <v>8.327199999999999</v>
      </c>
      <c r="M583" s="397" t="inlineStr">
        <is>
          <t>1403250113115247</t>
        </is>
      </c>
    </row>
    <row r="584" s="184">
      <c r="A584" s="428" t="n">
        <v>583</v>
      </c>
      <c r="B584" s="749" t="inlineStr">
        <is>
          <t>chanhua</t>
        </is>
      </c>
      <c r="C584" s="733" t="n">
        <v>45666</v>
      </c>
      <c r="D584" s="673" t="inlineStr">
        <is>
          <t>新加坡比特</t>
        </is>
      </c>
      <c r="E584" s="734" t="inlineStr">
        <is>
          <t>SPILSZ</t>
        </is>
      </c>
      <c r="F584" s="734" t="inlineStr">
        <is>
          <t>BM1370PA</t>
        </is>
      </c>
      <c r="G584" s="673">
        <f>VLOOKUP(F584,编码对账表!C:D,2,0)</f>
        <v/>
      </c>
      <c r="H584" s="396" t="n">
        <v>64600</v>
      </c>
      <c r="I584" s="85" t="inlineStr">
        <is>
          <t>202501130012</t>
        </is>
      </c>
      <c r="J584" s="736" t="inlineStr">
        <is>
          <t>墨西哥欧陆通</t>
        </is>
      </c>
      <c r="K584" s="734" t="inlineStr">
        <is>
          <t>CHANHUA PTE. LTD.</t>
        </is>
      </c>
      <c r="L584" s="736" t="n">
        <v>8.327199999999999</v>
      </c>
      <c r="M584" s="397" t="inlineStr">
        <is>
          <t>1403250113115305</t>
        </is>
      </c>
    </row>
    <row r="585" s="184">
      <c r="A585" s="428" t="n">
        <v>584</v>
      </c>
      <c r="B585" s="749" t="inlineStr">
        <is>
          <t>chanhua</t>
        </is>
      </c>
      <c r="C585" s="733" t="n">
        <v>45659</v>
      </c>
      <c r="D585" s="673" t="inlineStr">
        <is>
          <t>新加坡比特</t>
        </is>
      </c>
      <c r="E585" s="734" t="inlineStr">
        <is>
          <t>JSCC</t>
        </is>
      </c>
      <c r="F585" s="734" t="inlineStr">
        <is>
          <t>BM1370BC</t>
        </is>
      </c>
      <c r="G585" s="673">
        <f>VLOOKUP(F585,编码对账表!C:D,2,0)</f>
        <v/>
      </c>
      <c r="H585" s="396" t="n">
        <v>490291</v>
      </c>
      <c r="I585" s="85" t="inlineStr">
        <is>
          <t>202501130011</t>
        </is>
      </c>
      <c r="J585" s="736" t="inlineStr">
        <is>
          <t>PIE</t>
        </is>
      </c>
      <c r="K585" s="734" t="inlineStr">
        <is>
          <t>CHANHUA PTE. LTD.</t>
        </is>
      </c>
      <c r="L585" s="736" t="n">
        <v>8.327199999999999</v>
      </c>
      <c r="M585" s="397" t="inlineStr">
        <is>
          <t>1403250113115321</t>
        </is>
      </c>
    </row>
    <row r="586" s="184">
      <c r="A586" s="428" t="n">
        <v>585</v>
      </c>
      <c r="B586" s="749" t="inlineStr">
        <is>
          <t>chanhua</t>
        </is>
      </c>
      <c r="C586" s="733" t="n">
        <v>45659</v>
      </c>
      <c r="D586" s="673" t="inlineStr">
        <is>
          <t>新加坡比特</t>
        </is>
      </c>
      <c r="E586" s="734" t="inlineStr">
        <is>
          <t>JSCC</t>
        </is>
      </c>
      <c r="F586" s="734" t="inlineStr">
        <is>
          <t>BM1370PA</t>
        </is>
      </c>
      <c r="G586" s="673">
        <f>VLOOKUP(F586,编码对账表!C:D,2,0)</f>
        <v/>
      </c>
      <c r="H586" s="396" t="n">
        <v>325966</v>
      </c>
      <c r="I586" s="85" t="inlineStr">
        <is>
          <t>202501130011</t>
        </is>
      </c>
      <c r="J586" s="736" t="inlineStr">
        <is>
          <t>PIE</t>
        </is>
      </c>
      <c r="K586" s="734" t="inlineStr">
        <is>
          <t>CHANHUA PTE. LTD.</t>
        </is>
      </c>
      <c r="L586" s="736" t="n">
        <v>8.327199999999999</v>
      </c>
      <c r="M586" s="397" t="inlineStr">
        <is>
          <t>1403250113115321</t>
        </is>
      </c>
    </row>
    <row r="587" s="184">
      <c r="A587" s="428" t="n">
        <v>586</v>
      </c>
      <c r="B587" s="749" t="inlineStr">
        <is>
          <t>chanhua</t>
        </is>
      </c>
      <c r="C587" s="733" t="n">
        <v>45662</v>
      </c>
      <c r="D587" s="673" t="inlineStr">
        <is>
          <t>新加坡比特</t>
        </is>
      </c>
      <c r="E587" s="734" t="inlineStr">
        <is>
          <t>SPILSZ</t>
        </is>
      </c>
      <c r="F587" s="734" t="inlineStr">
        <is>
          <t>BM1370PA</t>
        </is>
      </c>
      <c r="G587" s="673">
        <f>VLOOKUP(F587,编码对账表!C:D,2,0)</f>
        <v/>
      </c>
      <c r="H587" s="396" t="n">
        <v>934800</v>
      </c>
      <c r="I587" s="85" t="inlineStr">
        <is>
          <t>202501130011</t>
        </is>
      </c>
      <c r="J587" s="736" t="inlineStr">
        <is>
          <t>PIE</t>
        </is>
      </c>
      <c r="K587" s="734" t="inlineStr">
        <is>
          <t>CHANHUA PTE. LTD.</t>
        </is>
      </c>
      <c r="L587" s="736" t="n">
        <v>8.327199999999999</v>
      </c>
      <c r="M587" s="397" t="inlineStr">
        <is>
          <t>1403250113115321</t>
        </is>
      </c>
    </row>
    <row r="588" s="184">
      <c r="A588" s="428" t="n">
        <v>587</v>
      </c>
      <c r="B588" s="749" t="inlineStr">
        <is>
          <t>chanhua</t>
        </is>
      </c>
      <c r="C588" s="733" t="n">
        <v>45661</v>
      </c>
      <c r="D588" s="673" t="inlineStr">
        <is>
          <t>新加坡比特</t>
        </is>
      </c>
      <c r="E588" s="734" t="inlineStr">
        <is>
          <t>TFME</t>
        </is>
      </c>
      <c r="F588" s="734" t="inlineStr">
        <is>
          <t>BM1370PA</t>
        </is>
      </c>
      <c r="G588" s="673">
        <f>VLOOKUP(F588,编码对账表!C:D,2,0)</f>
        <v/>
      </c>
      <c r="H588" s="396" t="n">
        <v>34819</v>
      </c>
      <c r="I588" s="85" t="inlineStr">
        <is>
          <t>202501130011</t>
        </is>
      </c>
      <c r="J588" s="736" t="inlineStr">
        <is>
          <t>PIE</t>
        </is>
      </c>
      <c r="K588" s="734" t="inlineStr">
        <is>
          <t>CHANHUA PTE. LTD.</t>
        </is>
      </c>
      <c r="L588" s="736" t="n">
        <v>8.327199999999999</v>
      </c>
      <c r="M588" s="397" t="inlineStr">
        <is>
          <t>1403250113115321</t>
        </is>
      </c>
    </row>
    <row r="589" s="184">
      <c r="A589" s="428" t="n">
        <v>588</v>
      </c>
      <c r="B589" s="749" t="inlineStr">
        <is>
          <t>chanhua</t>
        </is>
      </c>
      <c r="C589" s="733" t="n">
        <v>45664</v>
      </c>
      <c r="D589" s="673" t="inlineStr">
        <is>
          <t>新加坡比特</t>
        </is>
      </c>
      <c r="E589" s="734" t="inlineStr">
        <is>
          <t>JSCC</t>
        </is>
      </c>
      <c r="F589" s="734" t="inlineStr">
        <is>
          <t>BM1370PM</t>
        </is>
      </c>
      <c r="G589" s="673">
        <f>VLOOKUP(F589,编码对账表!C:D,2,0)</f>
        <v/>
      </c>
      <c r="H589" s="396" t="n">
        <v>415238</v>
      </c>
      <c r="I589" s="85" t="inlineStr">
        <is>
          <t>202501130011</t>
        </is>
      </c>
      <c r="J589" s="736" t="inlineStr">
        <is>
          <t>PIE</t>
        </is>
      </c>
      <c r="K589" s="734" t="inlineStr">
        <is>
          <t>CHANHUA PTE. LTD.</t>
        </is>
      </c>
      <c r="L589" s="736" t="n">
        <v>8.327199999999999</v>
      </c>
      <c r="M589" s="397" t="inlineStr">
        <is>
          <t>1403250113115321</t>
        </is>
      </c>
    </row>
    <row r="590" s="184">
      <c r="A590" s="428" t="n">
        <v>589</v>
      </c>
      <c r="B590" s="749" t="inlineStr">
        <is>
          <t>chanhua</t>
        </is>
      </c>
      <c r="C590" s="733" t="n">
        <v>45662</v>
      </c>
      <c r="D590" s="673" t="inlineStr">
        <is>
          <t>新加坡比特</t>
        </is>
      </c>
      <c r="E590" s="734" t="inlineStr">
        <is>
          <t>SPILSZ</t>
        </is>
      </c>
      <c r="F590" s="734" t="inlineStr">
        <is>
          <t>BM1370PA</t>
        </is>
      </c>
      <c r="G590" s="673">
        <f>VLOOKUP(F590,编码对账表!C:D,2,0)</f>
        <v/>
      </c>
      <c r="H590" s="396" t="n">
        <v>95000</v>
      </c>
      <c r="I590" s="85" t="inlineStr">
        <is>
          <t>202501130010</t>
        </is>
      </c>
      <c r="J590" s="736" t="inlineStr">
        <is>
          <t>Nationgate</t>
        </is>
      </c>
      <c r="K590" s="734" t="inlineStr">
        <is>
          <t>CHANHUA PTE. LTD.</t>
        </is>
      </c>
      <c r="L590" s="736" t="n">
        <v>8.327199999999999</v>
      </c>
      <c r="M590" s="397" t="inlineStr">
        <is>
          <t>1403250113115359</t>
        </is>
      </c>
    </row>
    <row r="591" s="184">
      <c r="A591" s="428" t="n">
        <v>590</v>
      </c>
      <c r="B591" s="749" t="inlineStr">
        <is>
          <t>chanhua</t>
        </is>
      </c>
      <c r="C591" s="733" t="n">
        <v>45660</v>
      </c>
      <c r="D591" s="673" t="inlineStr">
        <is>
          <t>新加坡比特</t>
        </is>
      </c>
      <c r="E591" s="734" t="inlineStr">
        <is>
          <t>JSCC</t>
        </is>
      </c>
      <c r="F591" s="734" t="inlineStr">
        <is>
          <t>BM1370PM</t>
        </is>
      </c>
      <c r="G591" s="673">
        <f>VLOOKUP(F591,编码对账表!C:D,2,0)</f>
        <v/>
      </c>
      <c r="H591" s="396" t="n">
        <v>8658</v>
      </c>
      <c r="I591" s="85" t="inlineStr">
        <is>
          <t>202501130010</t>
        </is>
      </c>
      <c r="J591" s="736" t="inlineStr">
        <is>
          <t>Nationgate</t>
        </is>
      </c>
      <c r="K591" s="734" t="inlineStr">
        <is>
          <t>CHANHUA PTE. LTD.</t>
        </is>
      </c>
      <c r="L591" s="736" t="n">
        <v>8.327199999999999</v>
      </c>
      <c r="M591" s="397" t="inlineStr">
        <is>
          <t>1403250113115359</t>
        </is>
      </c>
    </row>
    <row r="596" s="184">
      <c r="H596" s="396">
        <f>3601+15433</f>
        <v/>
      </c>
    </row>
  </sheetData>
  <autoFilter ref="A1:N591"/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FD3711"/>
  <sheetViews>
    <sheetView zoomScale="55" zoomScaleNormal="55" workbookViewId="0">
      <pane ySplit="1" topLeftCell="A635" activePane="bottomLeft" state="frozen"/>
      <selection activeCell="A1" sqref="A1"/>
      <selection pane="bottomLeft" activeCell="K261" sqref="K261"/>
    </sheetView>
  </sheetViews>
  <sheetFormatPr baseColWidth="8" defaultColWidth="8.66666666666667" defaultRowHeight="24" customHeight="1"/>
  <cols>
    <col width="4.41666666666667" customWidth="1" style="106" min="1" max="1"/>
    <col width="8.08333333333333" customWidth="1" style="754" min="2" max="2"/>
    <col width="8" customWidth="1" style="393" min="3" max="3"/>
    <col width="14.1666666666667" customWidth="1" style="755" min="4" max="4"/>
    <col width="7.66666666666667" customWidth="1" style="756" min="5" max="7"/>
    <col width="13.25" customWidth="1" style="756" min="8" max="8"/>
    <col width="13.3333333333333" customWidth="1" style="755" min="9" max="9"/>
    <col width="26.4166666666667" customWidth="1" style="330" min="10" max="10"/>
    <col width="17.6666666666667" customWidth="1" style="331" min="11" max="11"/>
    <col width="23" customWidth="1" style="332" min="12" max="12"/>
    <col width="27.7333333333333" customWidth="1" style="757" min="13" max="13"/>
    <col width="18.5833333333333" customWidth="1" style="756" min="14" max="14"/>
    <col width="11.5" customWidth="1" style="330" min="15" max="15"/>
    <col hidden="1" width="60.75" customWidth="1" style="334" min="16" max="16"/>
    <col width="27.0833333333333" customWidth="1" style="335" min="17" max="17"/>
    <col width="58.15" customWidth="1" style="336" min="18" max="18"/>
    <col width="80.25" customWidth="1" style="336" min="19" max="19"/>
    <col width="12.0833333333333" customWidth="1" style="336" min="20" max="23"/>
    <col width="12.0833333333333" customWidth="1" style="758" min="24" max="24"/>
    <col width="8.66666666666667" customWidth="1" style="758" min="25" max="29"/>
    <col width="8.66666666666667" customWidth="1" style="658" min="30" max="16384"/>
  </cols>
  <sheetData>
    <row r="1" ht="20" customFormat="1" customHeight="1" s="106">
      <c r="A1" s="96" t="inlineStr">
        <is>
          <t>序号</t>
        </is>
      </c>
      <c r="B1" s="338" t="inlineStr">
        <is>
          <t>抬头</t>
        </is>
      </c>
      <c r="C1" s="759" t="inlineStr">
        <is>
          <t>出货日期</t>
        </is>
      </c>
      <c r="D1" s="338" t="inlineStr">
        <is>
          <t>主体</t>
        </is>
      </c>
      <c r="E1" s="760" t="inlineStr">
        <is>
          <t>测试厂</t>
        </is>
      </c>
      <c r="F1" s="760" t="n"/>
      <c r="G1" s="760" t="n"/>
      <c r="H1" s="760" t="inlineStr">
        <is>
          <t>型号</t>
        </is>
      </c>
      <c r="I1" s="760" t="inlineStr">
        <is>
          <t>物料编码</t>
        </is>
      </c>
      <c r="J1" s="96" t="inlineStr">
        <is>
          <t>数量</t>
        </is>
      </c>
      <c r="K1" s="341" t="inlineStr">
        <is>
          <t>新PO</t>
        </is>
      </c>
      <c r="L1" s="342" t="inlineStr">
        <is>
          <t>SO</t>
        </is>
      </c>
      <c r="M1" s="760" t="inlineStr">
        <is>
          <t>发料外协</t>
        </is>
      </c>
      <c r="N1" s="341" t="inlineStr">
        <is>
          <t>币种</t>
        </is>
      </c>
      <c r="O1" s="96" t="inlineStr">
        <is>
          <t>单价</t>
        </is>
      </c>
      <c r="P1" s="342" t="inlineStr">
        <is>
          <t>对比</t>
        </is>
      </c>
      <c r="Q1" s="344" t="inlineStr">
        <is>
          <t>是否已出</t>
        </is>
      </c>
      <c r="R1" s="344" t="inlineStr">
        <is>
          <t>问题</t>
        </is>
      </c>
      <c r="S1" s="344" t="inlineStr">
        <is>
          <t>解决方法</t>
        </is>
      </c>
      <c r="T1" s="336" t="n"/>
      <c r="U1" s="336" t="n"/>
      <c r="V1" s="336" t="n"/>
      <c r="W1" s="336" t="n"/>
      <c r="X1" s="335" t="n"/>
      <c r="Y1" s="335" t="n"/>
      <c r="Z1" s="335" t="n"/>
      <c r="AA1" s="335" t="n"/>
      <c r="AB1" s="335" t="n"/>
      <c r="AC1" s="335" t="n"/>
    </row>
    <row r="2" s="184">
      <c r="A2" s="106" t="n">
        <v>1</v>
      </c>
      <c r="B2" s="754" t="inlineStr">
        <is>
          <t>chanhua</t>
        </is>
      </c>
      <c r="C2" s="761" t="n">
        <v>45666</v>
      </c>
      <c r="D2" s="755" t="inlineStr">
        <is>
          <t>新加坡比特</t>
        </is>
      </c>
      <c r="E2" s="756" t="inlineStr">
        <is>
          <t>SPILSZ</t>
        </is>
      </c>
      <c r="H2" s="756" t="inlineStr">
        <is>
          <t>BM1370BC</t>
        </is>
      </c>
      <c r="I2" s="755">
        <f>VLOOKUP(H2,编码对账表!C:D,2,0)</f>
        <v/>
      </c>
      <c r="J2" s="330" t="n">
        <v>9751</v>
      </c>
      <c r="K2" s="331" t="inlineStr">
        <is>
          <t>202501130015</t>
        </is>
      </c>
      <c r="L2" s="332" t="inlineStr">
        <is>
          <t>1403250113115210</t>
        </is>
      </c>
      <c r="M2" s="757" t="inlineStr">
        <is>
          <t>印尼奥海</t>
        </is>
      </c>
      <c r="N2" s="756" t="inlineStr">
        <is>
          <t>CHANHUA PTE. LTD.</t>
        </is>
      </c>
      <c r="O2" s="757" t="n">
        <v>8.327199999999999</v>
      </c>
      <c r="P2" s="346">
        <f>VLOOKUP(L2,[3]BHSC_销售订单明细报表_060825!$E$1:$E$65536,1,FALSE)</f>
        <v/>
      </c>
      <c r="Q2" s="758" t="n"/>
      <c r="R2" s="758" t="n"/>
      <c r="S2" s="758" t="n"/>
      <c r="T2" s="758" t="n"/>
      <c r="U2" s="758" t="n"/>
      <c r="V2" s="758" t="n"/>
      <c r="W2" s="758" t="n"/>
    </row>
    <row r="3" s="184">
      <c r="A3" s="106" t="n">
        <v>2</v>
      </c>
      <c r="B3" s="754" t="inlineStr">
        <is>
          <t>chanhua</t>
        </is>
      </c>
      <c r="C3" s="761" t="n">
        <v>45659</v>
      </c>
      <c r="D3" s="755" t="inlineStr">
        <is>
          <t>新加坡比特</t>
        </is>
      </c>
      <c r="E3" s="756" t="inlineStr">
        <is>
          <t>JSCC</t>
        </is>
      </c>
      <c r="H3" s="756" t="inlineStr">
        <is>
          <t>BM1370PA</t>
        </is>
      </c>
      <c r="I3" s="755">
        <f>VLOOKUP(H3,编码对账表!C:D,2,0)</f>
        <v/>
      </c>
      <c r="J3" s="330" t="n">
        <v>1478593</v>
      </c>
      <c r="K3" s="331" t="inlineStr">
        <is>
          <t>202501130015</t>
        </is>
      </c>
      <c r="L3" s="332" t="inlineStr">
        <is>
          <t>1403250113115210</t>
        </is>
      </c>
      <c r="M3" s="757" t="inlineStr">
        <is>
          <t>印尼奥海</t>
        </is>
      </c>
      <c r="N3" s="756" t="inlineStr">
        <is>
          <t>CHANHUA PTE. LTD.</t>
        </is>
      </c>
      <c r="O3" s="757" t="n">
        <v>8.327199999999999</v>
      </c>
      <c r="P3" s="346">
        <f>VLOOKUP(L3,[3]BHSC_销售订单明细报表_060825!$E$1:$E$65536,1,FALSE)</f>
        <v/>
      </c>
      <c r="Q3" s="758" t="n"/>
      <c r="R3" s="758" t="n"/>
      <c r="S3" s="758" t="n"/>
      <c r="T3" s="758" t="n"/>
      <c r="U3" s="758" t="n"/>
      <c r="V3" s="758" t="n"/>
      <c r="W3" s="758" t="n"/>
    </row>
    <row r="4" s="184">
      <c r="A4" s="106" t="n">
        <v>3</v>
      </c>
      <c r="B4" s="754" t="inlineStr">
        <is>
          <t>chanhua</t>
        </is>
      </c>
      <c r="C4" s="761" t="n">
        <v>45662</v>
      </c>
      <c r="D4" s="755" t="inlineStr">
        <is>
          <t>新加坡比特</t>
        </is>
      </c>
      <c r="E4" s="756" t="inlineStr">
        <is>
          <t>SPILSZ</t>
        </is>
      </c>
      <c r="H4" s="756" t="inlineStr">
        <is>
          <t>BM1370PA</t>
        </is>
      </c>
      <c r="I4" s="755">
        <f>VLOOKUP(H4,编码对账表!C:D,2,0)</f>
        <v/>
      </c>
      <c r="J4" s="330" t="n">
        <v>1288200</v>
      </c>
      <c r="K4" s="331" t="inlineStr">
        <is>
          <t>202501130015</t>
        </is>
      </c>
      <c r="L4" s="332" t="inlineStr">
        <is>
          <t>1403250113115210</t>
        </is>
      </c>
      <c r="M4" s="757" t="inlineStr">
        <is>
          <t>印尼奥海</t>
        </is>
      </c>
      <c r="N4" s="756" t="inlineStr">
        <is>
          <t>CHANHUA PTE. LTD.</t>
        </is>
      </c>
      <c r="O4" s="757" t="n">
        <v>8.327199999999999</v>
      </c>
      <c r="P4" s="346">
        <f>VLOOKUP(L4,[3]BHSC_销售订单明细报表_060825!$E$1:$E$65536,1,FALSE)</f>
        <v/>
      </c>
      <c r="Q4" s="758" t="n"/>
      <c r="R4" s="758" t="n"/>
      <c r="S4" s="758" t="n"/>
      <c r="T4" s="758" t="n"/>
      <c r="U4" s="758" t="n"/>
      <c r="V4" s="758" t="n"/>
      <c r="W4" s="758" t="n"/>
    </row>
    <row r="5" s="184">
      <c r="A5" s="106" t="n">
        <v>4</v>
      </c>
      <c r="B5" s="754" t="inlineStr">
        <is>
          <t>chanhua</t>
        </is>
      </c>
      <c r="C5" s="761" t="n">
        <v>45661</v>
      </c>
      <c r="D5" s="755" t="inlineStr">
        <is>
          <t>新加坡比特</t>
        </is>
      </c>
      <c r="E5" s="756" t="inlineStr">
        <is>
          <t>TFME</t>
        </is>
      </c>
      <c r="H5" s="756" t="inlineStr">
        <is>
          <t>BM1370PA</t>
        </is>
      </c>
      <c r="I5" s="755">
        <f>VLOOKUP(H5,编码对账表!C:D,2,0)</f>
        <v/>
      </c>
      <c r="J5" s="330" t="n">
        <v>50079</v>
      </c>
      <c r="K5" s="331" t="inlineStr">
        <is>
          <t>202501130015</t>
        </is>
      </c>
      <c r="L5" s="332" t="inlineStr">
        <is>
          <t>1403250113115210</t>
        </is>
      </c>
      <c r="M5" s="757" t="inlineStr">
        <is>
          <t>印尼奥海</t>
        </is>
      </c>
      <c r="N5" s="756" t="inlineStr">
        <is>
          <t>CHANHUA PTE. LTD.</t>
        </is>
      </c>
      <c r="O5" s="757" t="n">
        <v>8.327199999999999</v>
      </c>
      <c r="P5" s="346">
        <f>VLOOKUP(L5,[3]BHSC_销售订单明细报表_060825!$E$1:$E$65536,1,FALSE)</f>
        <v/>
      </c>
      <c r="Q5" s="758" t="n"/>
      <c r="R5" s="758" t="n"/>
      <c r="S5" s="758" t="n"/>
      <c r="T5" s="758" t="n"/>
      <c r="U5" s="758" t="n"/>
      <c r="V5" s="758" t="n"/>
      <c r="W5" s="758" t="n"/>
    </row>
    <row r="6" s="184">
      <c r="A6" s="106" t="n">
        <v>5</v>
      </c>
      <c r="B6" s="754" t="inlineStr">
        <is>
          <t>chanhua</t>
        </is>
      </c>
      <c r="C6" s="761" t="n">
        <v>45667</v>
      </c>
      <c r="D6" s="755" t="inlineStr">
        <is>
          <t>新加坡比特</t>
        </is>
      </c>
      <c r="E6" s="756" t="inlineStr">
        <is>
          <t>JSCC</t>
        </is>
      </c>
      <c r="H6" s="756" t="inlineStr">
        <is>
          <t>BM1370PM</t>
        </is>
      </c>
      <c r="I6" s="755">
        <f>VLOOKUP(H6,编码对账表!C:D,2,0)</f>
        <v/>
      </c>
      <c r="J6" s="330" t="n">
        <v>1806656</v>
      </c>
      <c r="K6" s="331" t="inlineStr">
        <is>
          <t>202501130015</t>
        </is>
      </c>
      <c r="L6" s="332" t="inlineStr">
        <is>
          <t>1403250113115210</t>
        </is>
      </c>
      <c r="M6" s="757" t="inlineStr">
        <is>
          <t>印尼奥海</t>
        </is>
      </c>
      <c r="N6" s="756" t="inlineStr">
        <is>
          <t>CHANHUA PTE. LTD.</t>
        </is>
      </c>
      <c r="O6" s="757" t="n">
        <v>8.327199999999999</v>
      </c>
      <c r="P6" s="346">
        <f>VLOOKUP(L6,[3]BHSC_销售订单明细报表_060825!$E$1:$E$65536,1,FALSE)</f>
        <v/>
      </c>
      <c r="Q6" s="758" t="n"/>
      <c r="R6" s="758" t="n"/>
      <c r="S6" s="758" t="n"/>
      <c r="T6" s="758" t="n"/>
      <c r="U6" s="758" t="n"/>
      <c r="V6" s="758" t="n"/>
      <c r="W6" s="758" t="n"/>
    </row>
    <row r="7" s="184">
      <c r="A7" s="106" t="n">
        <v>6</v>
      </c>
      <c r="B7" s="754" t="inlineStr">
        <is>
          <t>chanhua</t>
        </is>
      </c>
      <c r="C7" s="761" t="n">
        <v>45659</v>
      </c>
      <c r="D7" s="755" t="inlineStr">
        <is>
          <t>新加坡比特</t>
        </is>
      </c>
      <c r="E7" s="756" t="inlineStr">
        <is>
          <t>JSCC</t>
        </is>
      </c>
      <c r="H7" s="756" t="inlineStr">
        <is>
          <t>BM1370BC</t>
        </is>
      </c>
      <c r="I7" s="755">
        <f>VLOOKUP(H7,编码对账表!C:D,2,0)</f>
        <v/>
      </c>
      <c r="J7" s="330" t="n">
        <v>369502</v>
      </c>
      <c r="K7" s="331" t="inlineStr">
        <is>
          <t>202501130014</t>
        </is>
      </c>
      <c r="L7" s="332" t="inlineStr">
        <is>
          <t>1403250113115226</t>
        </is>
      </c>
      <c r="M7" s="757" t="inlineStr">
        <is>
          <t>泰国群光</t>
        </is>
      </c>
      <c r="N7" s="756" t="inlineStr">
        <is>
          <t>CHANHUA PTE. LTD.</t>
        </is>
      </c>
      <c r="O7" s="757" t="n">
        <v>8.327199999999999</v>
      </c>
      <c r="P7" s="346">
        <f>VLOOKUP(L7,[3]BHSC_销售订单明细报表_060825!$E$1:$E$65536,1,FALSE)</f>
        <v/>
      </c>
      <c r="Q7" s="758" t="n"/>
      <c r="R7" s="758" t="n"/>
      <c r="S7" s="758" t="n"/>
      <c r="T7" s="758" t="n"/>
      <c r="U7" s="758" t="n"/>
      <c r="V7" s="758" t="n"/>
      <c r="W7" s="758" t="n"/>
    </row>
    <row r="8" s="184">
      <c r="A8" s="106" t="n">
        <v>7</v>
      </c>
      <c r="B8" s="754" t="inlineStr">
        <is>
          <t>chanhua</t>
        </is>
      </c>
      <c r="C8" s="761" t="n">
        <v>45666</v>
      </c>
      <c r="D8" s="755" t="inlineStr">
        <is>
          <t>新加坡比特</t>
        </is>
      </c>
      <c r="E8" s="756" t="inlineStr">
        <is>
          <t>SPILSZ</t>
        </is>
      </c>
      <c r="H8" s="756" t="inlineStr">
        <is>
          <t>BM1370BC</t>
        </is>
      </c>
      <c r="I8" s="755">
        <f>VLOOKUP(H8,编码对账表!C:D,2,0)</f>
        <v/>
      </c>
      <c r="J8" s="330" t="n">
        <v>717013</v>
      </c>
      <c r="K8" s="331" t="inlineStr">
        <is>
          <t>202501130014</t>
        </is>
      </c>
      <c r="L8" s="332" t="inlineStr">
        <is>
          <t>1403250113115226</t>
        </is>
      </c>
      <c r="M8" s="757" t="inlineStr">
        <is>
          <t>泰国群光</t>
        </is>
      </c>
      <c r="N8" s="756" t="inlineStr">
        <is>
          <t>CHANHUA PTE. LTD.</t>
        </is>
      </c>
      <c r="O8" s="757" t="n">
        <v>8.327199999999999</v>
      </c>
      <c r="P8" s="346">
        <f>VLOOKUP(L8,[3]BHSC_销售订单明细报表_060825!$E$1:$E$65536,1,FALSE)</f>
        <v/>
      </c>
      <c r="Q8" s="758" t="n"/>
      <c r="R8" s="758" t="n"/>
      <c r="S8" s="758" t="n"/>
      <c r="T8" s="758" t="n"/>
      <c r="U8" s="758" t="n"/>
      <c r="V8" s="758" t="n"/>
      <c r="W8" s="758" t="n"/>
    </row>
    <row r="9" s="184">
      <c r="A9" s="106" t="n">
        <v>8</v>
      </c>
      <c r="B9" s="754" t="inlineStr">
        <is>
          <t>chanhua</t>
        </is>
      </c>
      <c r="C9" s="761" t="n">
        <v>45664</v>
      </c>
      <c r="D9" s="755" t="inlineStr">
        <is>
          <t>新加坡比特</t>
        </is>
      </c>
      <c r="E9" s="756" t="inlineStr">
        <is>
          <t>JSCC</t>
        </is>
      </c>
      <c r="H9" s="756" t="inlineStr">
        <is>
          <t>BM1370PA</t>
        </is>
      </c>
      <c r="I9" s="755">
        <f>VLOOKUP(H9,编码对账表!C:D,2,0)</f>
        <v/>
      </c>
      <c r="J9" s="330" t="n">
        <v>676339</v>
      </c>
      <c r="K9" s="331" t="inlineStr">
        <is>
          <t>202501130014</t>
        </is>
      </c>
      <c r="L9" s="332" t="inlineStr">
        <is>
          <t>1403250113115226</t>
        </is>
      </c>
      <c r="M9" s="757" t="inlineStr">
        <is>
          <t>泰国群光</t>
        </is>
      </c>
      <c r="N9" s="756" t="inlineStr">
        <is>
          <t>CHANHUA PTE. LTD.</t>
        </is>
      </c>
      <c r="O9" s="757" t="n">
        <v>8.327199999999999</v>
      </c>
      <c r="P9" s="346">
        <f>VLOOKUP(L9,[3]BHSC_销售订单明细报表_060825!$E$1:$E$65536,1,FALSE)</f>
        <v/>
      </c>
      <c r="Q9" s="758" t="n"/>
      <c r="R9" s="758" t="n"/>
      <c r="S9" s="758" t="n"/>
      <c r="T9" s="758" t="n"/>
      <c r="U9" s="758" t="n"/>
      <c r="V9" s="758" t="n"/>
      <c r="W9" s="758" t="n"/>
    </row>
    <row r="10" s="184">
      <c r="A10" s="106" t="n">
        <v>9</v>
      </c>
      <c r="B10" s="754" t="inlineStr">
        <is>
          <t>chanhua</t>
        </is>
      </c>
      <c r="C10" s="761" t="n">
        <v>45666</v>
      </c>
      <c r="D10" s="755" t="inlineStr">
        <is>
          <t>新加坡比特</t>
        </is>
      </c>
      <c r="E10" s="756" t="inlineStr">
        <is>
          <t>SPILSZ</t>
        </is>
      </c>
      <c r="H10" s="756" t="inlineStr">
        <is>
          <t>BM1370PA</t>
        </is>
      </c>
      <c r="I10" s="755">
        <f>VLOOKUP(H10,编码对账表!C:D,2,0)</f>
        <v/>
      </c>
      <c r="J10" s="330" t="n">
        <v>950000</v>
      </c>
      <c r="K10" s="331" t="inlineStr">
        <is>
          <t>202501130014</t>
        </is>
      </c>
      <c r="L10" s="332" t="inlineStr">
        <is>
          <t>1403250113115226</t>
        </is>
      </c>
      <c r="M10" s="757" t="inlineStr">
        <is>
          <t>泰国群光</t>
        </is>
      </c>
      <c r="N10" s="756" t="inlineStr">
        <is>
          <t>CHANHUA PTE. LTD.</t>
        </is>
      </c>
      <c r="O10" s="757" t="n">
        <v>8.327199999999999</v>
      </c>
      <c r="P10" s="346">
        <f>VLOOKUP(L10,[3]BHSC_销售订单明细报表_060825!$E$1:$E$65536,1,FALSE)</f>
        <v/>
      </c>
      <c r="Q10" s="758" t="n"/>
      <c r="R10" s="758" t="n"/>
      <c r="S10" s="758" t="n"/>
      <c r="T10" s="758" t="n"/>
      <c r="U10" s="758" t="n"/>
      <c r="V10" s="758" t="n"/>
      <c r="W10" s="758" t="n"/>
    </row>
    <row r="11" s="184">
      <c r="A11" s="106" t="n">
        <v>10</v>
      </c>
      <c r="B11" s="754" t="inlineStr">
        <is>
          <t>chanhua</t>
        </is>
      </c>
      <c r="C11" s="761" t="n">
        <v>45662</v>
      </c>
      <c r="D11" s="755" t="inlineStr">
        <is>
          <t>新加坡比特</t>
        </is>
      </c>
      <c r="E11" s="756" t="inlineStr">
        <is>
          <t>SPILSZ</t>
        </is>
      </c>
      <c r="H11" s="756" t="inlineStr">
        <is>
          <t>BM1370BC</t>
        </is>
      </c>
      <c r="I11" s="755">
        <f>VLOOKUP(H11,编码对账表!C:D,2,0)</f>
        <v/>
      </c>
      <c r="J11" s="330" t="n">
        <v>125952</v>
      </c>
      <c r="K11" s="331" t="inlineStr">
        <is>
          <t>202501130013</t>
        </is>
      </c>
      <c r="L11" s="332" t="inlineStr">
        <is>
          <t>1403250113115247</t>
        </is>
      </c>
      <c r="M11" s="757" t="inlineStr">
        <is>
          <t>泰国ONETEC</t>
        </is>
      </c>
      <c r="N11" s="756" t="inlineStr">
        <is>
          <t>CHANHUA PTE. LTD.</t>
        </is>
      </c>
      <c r="O11" s="757" t="n">
        <v>8.327199999999999</v>
      </c>
      <c r="P11" s="346">
        <f>VLOOKUP(L11,[3]BHSC_销售订单明细报表_060825!$E$1:$E$65536,1,FALSE)</f>
        <v/>
      </c>
      <c r="Q11" s="758" t="n"/>
      <c r="R11" s="758" t="n"/>
      <c r="S11" s="758" t="n"/>
      <c r="T11" s="758" t="n"/>
      <c r="U11" s="758" t="n"/>
      <c r="V11" s="758" t="n"/>
      <c r="W11" s="758" t="n"/>
    </row>
    <row r="12" s="184">
      <c r="A12" s="106" t="n">
        <v>11</v>
      </c>
      <c r="B12" s="754" t="inlineStr">
        <is>
          <t>chanhua</t>
        </is>
      </c>
      <c r="C12" s="761" t="n">
        <v>45667</v>
      </c>
      <c r="D12" s="755" t="inlineStr">
        <is>
          <t>新加坡比特</t>
        </is>
      </c>
      <c r="E12" s="756" t="inlineStr">
        <is>
          <t>ASE-KH</t>
        </is>
      </c>
      <c r="H12" s="756" t="inlineStr">
        <is>
          <t>BM1370PA</t>
        </is>
      </c>
      <c r="I12" s="755">
        <f>VLOOKUP(H12,编码对账表!C:D,2,0)</f>
        <v/>
      </c>
      <c r="J12" s="330" t="n">
        <v>33395</v>
      </c>
      <c r="K12" s="331" t="inlineStr">
        <is>
          <t>202501130013</t>
        </is>
      </c>
      <c r="L12" s="332" t="inlineStr">
        <is>
          <t>1403250113115247</t>
        </is>
      </c>
      <c r="M12" s="757" t="inlineStr">
        <is>
          <t>泰国ONETEC</t>
        </is>
      </c>
      <c r="N12" s="756" t="inlineStr">
        <is>
          <t>CHANHUA PTE. LTD.</t>
        </is>
      </c>
      <c r="O12" s="757" t="n">
        <v>8.327199999999999</v>
      </c>
      <c r="P12" s="346">
        <f>VLOOKUP(L12,[3]BHSC_销售订单明细报表_060825!$E$1:$E$65536,1,FALSE)</f>
        <v/>
      </c>
      <c r="Q12" s="758" t="n"/>
      <c r="R12" s="758" t="n"/>
      <c r="S12" s="758" t="n"/>
      <c r="T12" s="758" t="n"/>
      <c r="U12" s="758" t="n"/>
      <c r="V12" s="758" t="n"/>
      <c r="W12" s="758" t="n"/>
    </row>
    <row r="13" s="184">
      <c r="A13" s="106" t="n">
        <v>12</v>
      </c>
      <c r="B13" s="754" t="inlineStr">
        <is>
          <t>chanhua</t>
        </is>
      </c>
      <c r="C13" s="761" t="n">
        <v>45663</v>
      </c>
      <c r="D13" s="755" t="inlineStr">
        <is>
          <t>新加坡比特</t>
        </is>
      </c>
      <c r="E13" s="756" t="inlineStr">
        <is>
          <t>JSCC</t>
        </is>
      </c>
      <c r="H13" s="756" t="inlineStr">
        <is>
          <t>BM1370PA</t>
        </is>
      </c>
      <c r="I13" s="755">
        <f>VLOOKUP(H13,编码对账表!C:D,2,0)</f>
        <v/>
      </c>
      <c r="J13" s="330" t="n">
        <v>1705790</v>
      </c>
      <c r="K13" s="331" t="inlineStr">
        <is>
          <t>202501130013</t>
        </is>
      </c>
      <c r="L13" s="332" t="inlineStr">
        <is>
          <t>1403250113115247</t>
        </is>
      </c>
      <c r="M13" s="757" t="inlineStr">
        <is>
          <t>泰国ONETEC</t>
        </is>
      </c>
      <c r="N13" s="756" t="inlineStr">
        <is>
          <t>CHANHUA PTE. LTD.</t>
        </is>
      </c>
      <c r="O13" s="757" t="n">
        <v>8.327199999999999</v>
      </c>
      <c r="P13" s="346">
        <f>VLOOKUP(L13,[3]BHSC_销售订单明细报表_060825!$E$1:$E$65536,1,FALSE)</f>
        <v/>
      </c>
      <c r="Q13" s="758" t="n"/>
      <c r="R13" s="758" t="n"/>
      <c r="S13" s="758" t="n"/>
      <c r="T13" s="758" t="n"/>
      <c r="U13" s="758" t="n"/>
      <c r="V13" s="758" t="n"/>
      <c r="W13" s="758" t="n"/>
    </row>
    <row r="14" s="184">
      <c r="A14" s="106" t="n">
        <v>13</v>
      </c>
      <c r="B14" s="754" t="inlineStr">
        <is>
          <t>chanhua</t>
        </is>
      </c>
      <c r="C14" s="761" t="n">
        <v>45666</v>
      </c>
      <c r="D14" s="755" t="inlineStr">
        <is>
          <t>新加坡比特</t>
        </is>
      </c>
      <c r="E14" s="756" t="inlineStr">
        <is>
          <t>SPILSZ</t>
        </is>
      </c>
      <c r="H14" s="756" t="inlineStr">
        <is>
          <t>BM1370PA</t>
        </is>
      </c>
      <c r="I14" s="755">
        <f>VLOOKUP(H14,编码对账表!C:D,2,0)</f>
        <v/>
      </c>
      <c r="J14" s="330" t="n">
        <v>1022200</v>
      </c>
      <c r="K14" s="331" t="inlineStr">
        <is>
          <t>202501130013</t>
        </is>
      </c>
      <c r="L14" s="332" t="inlineStr">
        <is>
          <t>1403250113115247</t>
        </is>
      </c>
      <c r="M14" s="757" t="inlineStr">
        <is>
          <t>泰国ONETEC</t>
        </is>
      </c>
      <c r="N14" s="756" t="inlineStr">
        <is>
          <t>CHANHUA PTE. LTD.</t>
        </is>
      </c>
      <c r="O14" s="757" t="n">
        <v>8.327199999999999</v>
      </c>
      <c r="P14" s="346">
        <f>VLOOKUP(L14,[3]BHSC_销售订单明细报表_060825!$E$1:$E$65536,1,FALSE)</f>
        <v/>
      </c>
      <c r="Q14" s="758" t="n"/>
      <c r="R14" s="758" t="n"/>
      <c r="S14" s="758" t="n"/>
      <c r="T14" s="758" t="n"/>
      <c r="U14" s="758" t="n"/>
      <c r="V14" s="758" t="n"/>
      <c r="W14" s="758" t="n"/>
    </row>
    <row r="15" s="184">
      <c r="A15" s="106" t="n">
        <v>14</v>
      </c>
      <c r="B15" s="754" t="inlineStr">
        <is>
          <t>chanhua</t>
        </is>
      </c>
      <c r="C15" s="761" t="n">
        <v>45660</v>
      </c>
      <c r="D15" s="755" t="inlineStr">
        <is>
          <t>新加坡比特</t>
        </is>
      </c>
      <c r="E15" s="756" t="inlineStr">
        <is>
          <t>TFME</t>
        </is>
      </c>
      <c r="H15" s="756" t="inlineStr">
        <is>
          <t>BM1370PA</t>
        </is>
      </c>
      <c r="I15" s="755">
        <f>VLOOKUP(H15,编码对账表!C:D,2,0)</f>
        <v/>
      </c>
      <c r="J15" s="330" t="n">
        <v>15095</v>
      </c>
      <c r="K15" s="331" t="inlineStr">
        <is>
          <t>202501130013</t>
        </is>
      </c>
      <c r="L15" s="332" t="inlineStr">
        <is>
          <t>1403250113115247</t>
        </is>
      </c>
      <c r="M15" s="757" t="inlineStr">
        <is>
          <t>泰国ONETEC</t>
        </is>
      </c>
      <c r="N15" s="756" t="inlineStr">
        <is>
          <t>CHANHUA PTE. LTD.</t>
        </is>
      </c>
      <c r="O15" s="757" t="n">
        <v>8.327199999999999</v>
      </c>
      <c r="P15" s="346">
        <f>VLOOKUP(L15,[3]BHSC_销售订单明细报表_060825!$E$1:$E$65536,1,FALSE)</f>
        <v/>
      </c>
      <c r="Q15" s="758" t="n"/>
      <c r="R15" s="758" t="n"/>
      <c r="S15" s="758" t="n"/>
      <c r="T15" s="758" t="n"/>
      <c r="U15" s="758" t="n"/>
      <c r="V15" s="758" t="n"/>
      <c r="W15" s="758" t="n"/>
    </row>
    <row r="16" s="184">
      <c r="A16" s="106" t="n">
        <v>15</v>
      </c>
      <c r="B16" s="754" t="inlineStr">
        <is>
          <t>chanhua</t>
        </is>
      </c>
      <c r="C16" s="761" t="n">
        <v>45666</v>
      </c>
      <c r="D16" s="755" t="inlineStr">
        <is>
          <t>新加坡比特</t>
        </is>
      </c>
      <c r="E16" s="756" t="inlineStr">
        <is>
          <t>JSCC</t>
        </is>
      </c>
      <c r="H16" s="756" t="inlineStr">
        <is>
          <t>BM1370PM</t>
        </is>
      </c>
      <c r="I16" s="755">
        <f>VLOOKUP(H16,编码对账表!C:D,2,0)</f>
        <v/>
      </c>
      <c r="J16" s="330" t="n">
        <v>818347</v>
      </c>
      <c r="K16" s="331" t="inlineStr">
        <is>
          <t>202501130013</t>
        </is>
      </c>
      <c r="L16" s="332" t="inlineStr">
        <is>
          <t>1403250113115247</t>
        </is>
      </c>
      <c r="M16" s="757" t="inlineStr">
        <is>
          <t>泰国ONETEC</t>
        </is>
      </c>
      <c r="N16" s="756" t="inlineStr">
        <is>
          <t>CHANHUA PTE. LTD.</t>
        </is>
      </c>
      <c r="O16" s="757" t="n">
        <v>8.327199999999999</v>
      </c>
      <c r="P16" s="346">
        <f>VLOOKUP(L16,[3]BHSC_销售订单明细报表_060825!$E$1:$E$65536,1,FALSE)</f>
        <v/>
      </c>
      <c r="Q16" s="758" t="n"/>
      <c r="R16" s="758" t="n"/>
      <c r="S16" s="758" t="n"/>
      <c r="T16" s="758" t="n"/>
      <c r="U16" s="758" t="n"/>
      <c r="V16" s="758" t="n"/>
      <c r="W16" s="758" t="n"/>
    </row>
    <row r="17" s="184">
      <c r="A17" s="106" t="n">
        <v>16</v>
      </c>
      <c r="B17" s="754" t="inlineStr">
        <is>
          <t>chanhua</t>
        </is>
      </c>
      <c r="C17" s="761" t="n">
        <v>45666</v>
      </c>
      <c r="D17" s="755" t="inlineStr">
        <is>
          <t>新加坡比特</t>
        </is>
      </c>
      <c r="E17" s="756" t="inlineStr">
        <is>
          <t>SPILSZ</t>
        </is>
      </c>
      <c r="H17" s="756" t="inlineStr">
        <is>
          <t>BM1370PA</t>
        </is>
      </c>
      <c r="I17" s="755">
        <f>VLOOKUP(H17,编码对账表!C:D,2,0)</f>
        <v/>
      </c>
      <c r="J17" s="330" t="n">
        <v>64600</v>
      </c>
      <c r="K17" s="331" t="inlineStr">
        <is>
          <t>202501130012</t>
        </is>
      </c>
      <c r="L17" s="332" t="inlineStr">
        <is>
          <t>1403250113115305</t>
        </is>
      </c>
      <c r="M17" s="757" t="inlineStr">
        <is>
          <t>墨西哥欧陆通</t>
        </is>
      </c>
      <c r="N17" s="756" t="inlineStr">
        <is>
          <t>CHANHUA PTE. LTD.</t>
        </is>
      </c>
      <c r="O17" s="757" t="n">
        <v>8.327199999999999</v>
      </c>
      <c r="P17" s="346">
        <f>VLOOKUP(L17,[3]BHSC_销售订单明细报表_060825!$E$1:$E$65536,1,FALSE)</f>
        <v/>
      </c>
      <c r="Q17" s="758" t="n"/>
      <c r="R17" s="758" t="n"/>
      <c r="S17" s="758" t="n"/>
      <c r="T17" s="758" t="n"/>
      <c r="U17" s="758" t="n"/>
      <c r="V17" s="758" t="n"/>
      <c r="W17" s="758" t="n"/>
    </row>
    <row r="18" s="184">
      <c r="A18" s="106" t="n">
        <v>17</v>
      </c>
      <c r="B18" s="754" t="inlineStr">
        <is>
          <t>chanhua</t>
        </is>
      </c>
      <c r="C18" s="761" t="n">
        <v>45659</v>
      </c>
      <c r="D18" s="755" t="inlineStr">
        <is>
          <t>新加坡比特</t>
        </is>
      </c>
      <c r="E18" s="756" t="inlineStr">
        <is>
          <t>JSCC</t>
        </is>
      </c>
      <c r="H18" s="756" t="inlineStr">
        <is>
          <t>BM1370BC</t>
        </is>
      </c>
      <c r="I18" s="755">
        <f>VLOOKUP(H18,编码对账表!C:D,2,0)</f>
        <v/>
      </c>
      <c r="J18" s="330" t="n">
        <v>490291</v>
      </c>
      <c r="K18" s="331" t="inlineStr">
        <is>
          <t>202501130011</t>
        </is>
      </c>
      <c r="L18" s="332" t="inlineStr">
        <is>
          <t>1403250113115321</t>
        </is>
      </c>
      <c r="M18" s="757" t="inlineStr">
        <is>
          <t>PIE</t>
        </is>
      </c>
      <c r="N18" s="756" t="inlineStr">
        <is>
          <t>CHANHUA PTE. LTD.</t>
        </is>
      </c>
      <c r="O18" s="757" t="n">
        <v>8.327199999999999</v>
      </c>
      <c r="P18" s="346">
        <f>VLOOKUP(L18,[3]BHSC_销售订单明细报表_060825!$E$1:$E$65536,1,FALSE)</f>
        <v/>
      </c>
      <c r="Q18" s="758" t="n"/>
      <c r="R18" s="758" t="n"/>
      <c r="S18" s="758" t="n"/>
      <c r="T18" s="758" t="n"/>
      <c r="U18" s="758" t="n"/>
      <c r="V18" s="758" t="n"/>
      <c r="W18" s="758" t="n"/>
    </row>
    <row r="19" s="184">
      <c r="A19" s="106" t="n">
        <v>18</v>
      </c>
      <c r="B19" s="754" t="inlineStr">
        <is>
          <t>chanhua</t>
        </is>
      </c>
      <c r="C19" s="761" t="n">
        <v>45659</v>
      </c>
      <c r="D19" s="755" t="inlineStr">
        <is>
          <t>新加坡比特</t>
        </is>
      </c>
      <c r="E19" s="756" t="inlineStr">
        <is>
          <t>JSCC</t>
        </is>
      </c>
      <c r="H19" s="756" t="inlineStr">
        <is>
          <t>BM1370PA</t>
        </is>
      </c>
      <c r="I19" s="755">
        <f>VLOOKUP(H19,编码对账表!C:D,2,0)</f>
        <v/>
      </c>
      <c r="J19" s="330" t="n">
        <v>325966</v>
      </c>
      <c r="K19" s="331" t="inlineStr">
        <is>
          <t>202501130011</t>
        </is>
      </c>
      <c r="L19" s="332" t="inlineStr">
        <is>
          <t>1403250113115321</t>
        </is>
      </c>
      <c r="M19" s="757" t="inlineStr">
        <is>
          <t>PIE</t>
        </is>
      </c>
      <c r="N19" s="756" t="inlineStr">
        <is>
          <t>CHANHUA PTE. LTD.</t>
        </is>
      </c>
      <c r="O19" s="757" t="n">
        <v>8.327199999999999</v>
      </c>
      <c r="P19" s="346">
        <f>VLOOKUP(L19,[3]BHSC_销售订单明细报表_060825!$E$1:$E$65536,1,FALSE)</f>
        <v/>
      </c>
      <c r="Q19" s="758" t="n"/>
      <c r="R19" s="758" t="n"/>
      <c r="S19" s="758" t="n"/>
      <c r="T19" s="758" t="n"/>
      <c r="U19" s="758" t="n"/>
      <c r="V19" s="758" t="n"/>
      <c r="W19" s="758" t="n"/>
    </row>
    <row r="20" s="184">
      <c r="A20" s="106" t="n">
        <v>19</v>
      </c>
      <c r="B20" s="754" t="inlineStr">
        <is>
          <t>chanhua</t>
        </is>
      </c>
      <c r="C20" s="761" t="n">
        <v>45662</v>
      </c>
      <c r="D20" s="755" t="inlineStr">
        <is>
          <t>新加坡比特</t>
        </is>
      </c>
      <c r="E20" s="756" t="inlineStr">
        <is>
          <t>SPILSZ</t>
        </is>
      </c>
      <c r="H20" s="756" t="inlineStr">
        <is>
          <t>BM1370PA</t>
        </is>
      </c>
      <c r="I20" s="755">
        <f>VLOOKUP(H20,编码对账表!C:D,2,0)</f>
        <v/>
      </c>
      <c r="J20" s="330" t="n">
        <v>934800</v>
      </c>
      <c r="K20" s="331" t="inlineStr">
        <is>
          <t>202501130011</t>
        </is>
      </c>
      <c r="L20" s="332" t="inlineStr">
        <is>
          <t>1403250113115321</t>
        </is>
      </c>
      <c r="M20" s="757" t="inlineStr">
        <is>
          <t>PIE</t>
        </is>
      </c>
      <c r="N20" s="756" t="inlineStr">
        <is>
          <t>CHANHUA PTE. LTD.</t>
        </is>
      </c>
      <c r="O20" s="757" t="n">
        <v>8.327199999999999</v>
      </c>
      <c r="P20" s="346">
        <f>VLOOKUP(L20,[3]BHSC_销售订单明细报表_060825!$E$1:$E$65536,1,FALSE)</f>
        <v/>
      </c>
      <c r="Q20" s="758" t="n"/>
      <c r="R20" s="758" t="n"/>
      <c r="S20" s="758" t="n"/>
      <c r="T20" s="758" t="n"/>
      <c r="U20" s="758" t="n"/>
      <c r="V20" s="758" t="n"/>
      <c r="W20" s="758" t="n"/>
    </row>
    <row r="21" s="184">
      <c r="A21" s="106" t="n">
        <v>20</v>
      </c>
      <c r="B21" s="754" t="inlineStr">
        <is>
          <t>chanhua</t>
        </is>
      </c>
      <c r="C21" s="761" t="n">
        <v>45661</v>
      </c>
      <c r="D21" s="755" t="inlineStr">
        <is>
          <t>新加坡比特</t>
        </is>
      </c>
      <c r="E21" s="756" t="inlineStr">
        <is>
          <t>TFME</t>
        </is>
      </c>
      <c r="H21" s="756" t="inlineStr">
        <is>
          <t>BM1370PA</t>
        </is>
      </c>
      <c r="I21" s="755">
        <f>VLOOKUP(H21,编码对账表!C:D,2,0)</f>
        <v/>
      </c>
      <c r="J21" s="330" t="n">
        <v>34819</v>
      </c>
      <c r="K21" s="331" t="inlineStr">
        <is>
          <t>202501130011</t>
        </is>
      </c>
      <c r="L21" s="332" t="inlineStr">
        <is>
          <t>1403250113115321</t>
        </is>
      </c>
      <c r="M21" s="757" t="inlineStr">
        <is>
          <t>PIE</t>
        </is>
      </c>
      <c r="N21" s="756" t="inlineStr">
        <is>
          <t>CHANHUA PTE. LTD.</t>
        </is>
      </c>
      <c r="O21" s="757" t="n">
        <v>8.327199999999999</v>
      </c>
      <c r="P21" s="346">
        <f>VLOOKUP(L21,[3]BHSC_销售订单明细报表_060825!$E$1:$E$65536,1,FALSE)</f>
        <v/>
      </c>
      <c r="Q21" s="758" t="n"/>
      <c r="R21" s="758" t="n"/>
      <c r="S21" s="758" t="n"/>
      <c r="T21" s="758" t="n"/>
      <c r="U21" s="758" t="n"/>
      <c r="V21" s="758" t="n"/>
      <c r="W21" s="758" t="n"/>
    </row>
    <row r="22" s="184">
      <c r="A22" s="106" t="n">
        <v>21</v>
      </c>
      <c r="B22" s="754" t="inlineStr">
        <is>
          <t>chanhua</t>
        </is>
      </c>
      <c r="C22" s="761" t="n">
        <v>45664</v>
      </c>
      <c r="D22" s="755" t="inlineStr">
        <is>
          <t>新加坡比特</t>
        </is>
      </c>
      <c r="E22" s="756" t="inlineStr">
        <is>
          <t>JSCC</t>
        </is>
      </c>
      <c r="H22" s="756" t="inlineStr">
        <is>
          <t>BM1370PM</t>
        </is>
      </c>
      <c r="I22" s="755">
        <f>VLOOKUP(H22,编码对账表!C:D,2,0)</f>
        <v/>
      </c>
      <c r="J22" s="330" t="n">
        <v>415238</v>
      </c>
      <c r="K22" s="331" t="inlineStr">
        <is>
          <t>202501130011</t>
        </is>
      </c>
      <c r="L22" s="332" t="inlineStr">
        <is>
          <t>1403250113115321</t>
        </is>
      </c>
      <c r="M22" s="757" t="inlineStr">
        <is>
          <t>PIE</t>
        </is>
      </c>
      <c r="N22" s="756" t="inlineStr">
        <is>
          <t>CHANHUA PTE. LTD.</t>
        </is>
      </c>
      <c r="O22" s="757" t="n">
        <v>8.327199999999999</v>
      </c>
      <c r="P22" s="346">
        <f>VLOOKUP(L22,[3]BHSC_销售订单明细报表_060825!$E$1:$E$65536,1,FALSE)</f>
        <v/>
      </c>
      <c r="Q22" s="758" t="n"/>
      <c r="R22" s="758" t="n"/>
      <c r="S22" s="758" t="n"/>
      <c r="T22" s="758" t="n"/>
      <c r="U22" s="758" t="n"/>
      <c r="V22" s="758" t="n"/>
      <c r="W22" s="758" t="n"/>
    </row>
    <row r="23" s="184">
      <c r="A23" s="106" t="n">
        <v>22</v>
      </c>
      <c r="B23" s="754" t="inlineStr">
        <is>
          <t>chanhua</t>
        </is>
      </c>
      <c r="C23" s="761" t="n">
        <v>45662</v>
      </c>
      <c r="D23" s="755" t="inlineStr">
        <is>
          <t>新加坡比特</t>
        </is>
      </c>
      <c r="E23" s="756" t="inlineStr">
        <is>
          <t>SPILSZ</t>
        </is>
      </c>
      <c r="H23" s="756" t="inlineStr">
        <is>
          <t>BM1370PA</t>
        </is>
      </c>
      <c r="I23" s="755">
        <f>VLOOKUP(H23,编码对账表!C:D,2,0)</f>
        <v/>
      </c>
      <c r="J23" s="330" t="n">
        <v>95000</v>
      </c>
      <c r="K23" s="331" t="inlineStr">
        <is>
          <t>202501130010</t>
        </is>
      </c>
      <c r="L23" s="332" t="inlineStr">
        <is>
          <t>1403250113115359</t>
        </is>
      </c>
      <c r="M23" s="757" t="inlineStr">
        <is>
          <t>Nationgate</t>
        </is>
      </c>
      <c r="N23" s="756" t="inlineStr">
        <is>
          <t>CHANHUA PTE. LTD.</t>
        </is>
      </c>
      <c r="O23" s="757" t="n">
        <v>8.327199999999999</v>
      </c>
      <c r="P23" s="346">
        <f>VLOOKUP(L23,[3]BHSC_销售订单明细报表_060825!$E$1:$E$65536,1,FALSE)</f>
        <v/>
      </c>
      <c r="Q23" s="758" t="n"/>
      <c r="R23" s="758" t="n"/>
      <c r="S23" s="758" t="n"/>
      <c r="T23" s="758" t="n"/>
      <c r="U23" s="758" t="n"/>
      <c r="V23" s="758" t="n"/>
      <c r="W23" s="758" t="n"/>
    </row>
    <row r="24" s="184">
      <c r="A24" s="106" t="n">
        <v>23</v>
      </c>
      <c r="B24" s="754" t="inlineStr">
        <is>
          <t>chanhua</t>
        </is>
      </c>
      <c r="C24" s="761" t="n">
        <v>45660</v>
      </c>
      <c r="D24" s="755" t="inlineStr">
        <is>
          <t>新加坡比特</t>
        </is>
      </c>
      <c r="E24" s="756" t="inlineStr">
        <is>
          <t>JSCC</t>
        </is>
      </c>
      <c r="H24" s="756" t="inlineStr">
        <is>
          <t>BM1370PM</t>
        </is>
      </c>
      <c r="I24" s="755">
        <f>VLOOKUP(H24,编码对账表!C:D,2,0)</f>
        <v/>
      </c>
      <c r="J24" s="330" t="n">
        <v>8658</v>
      </c>
      <c r="K24" s="331" t="inlineStr">
        <is>
          <t>202501130010</t>
        </is>
      </c>
      <c r="L24" s="332" t="inlineStr">
        <is>
          <t>1403250113115359</t>
        </is>
      </c>
      <c r="M24" s="757" t="inlineStr">
        <is>
          <t>Nationgate</t>
        </is>
      </c>
      <c r="N24" s="756" t="inlineStr">
        <is>
          <t>CHANHUA PTE. LTD.</t>
        </is>
      </c>
      <c r="O24" s="757" t="n">
        <v>8.327199999999999</v>
      </c>
      <c r="P24" s="346">
        <f>VLOOKUP(L24,[3]BHSC_销售订单明细报表_060825!$E$1:$E$65536,1,FALSE)</f>
        <v/>
      </c>
      <c r="Q24" s="758" t="n"/>
      <c r="R24" s="758" t="n"/>
      <c r="S24" s="758" t="n"/>
      <c r="T24" s="758" t="n"/>
      <c r="U24" s="758" t="n"/>
      <c r="V24" s="758" t="n"/>
      <c r="W24" s="758" t="n"/>
    </row>
    <row r="25" customFormat="1" s="703">
      <c r="A25" s="106" t="n">
        <v>24</v>
      </c>
      <c r="B25" s="754" t="inlineStr">
        <is>
          <t>chanhua</t>
        </is>
      </c>
      <c r="C25" s="761" t="n">
        <v>45667</v>
      </c>
      <c r="D25" s="762" t="inlineStr">
        <is>
          <t>新加坡比特</t>
        </is>
      </c>
      <c r="E25" s="763" t="inlineStr">
        <is>
          <t>ASECL</t>
        </is>
      </c>
      <c r="F25" s="763" t="n"/>
      <c r="G25" s="763" t="n"/>
      <c r="H25" s="763" t="inlineStr">
        <is>
          <t>BM1370BC</t>
        </is>
      </c>
      <c r="I25" s="762">
        <f>VLOOKUP(H25,编码对账表!C:D,2,0)</f>
        <v/>
      </c>
      <c r="J25" s="349" t="n">
        <v>16132</v>
      </c>
      <c r="K25" s="350" t="inlineStr">
        <is>
          <t>202501130016</t>
        </is>
      </c>
      <c r="L25" s="351" t="inlineStr">
        <is>
          <t>1403250113173325</t>
        </is>
      </c>
      <c r="M25" s="764" t="inlineStr">
        <is>
          <t>印尼奥海</t>
        </is>
      </c>
      <c r="N25" s="763" t="inlineStr">
        <is>
          <t>CHANHUA PTE. LTD.</t>
        </is>
      </c>
      <c r="O25" s="764" t="n">
        <v>8.327199999999999</v>
      </c>
      <c r="P25" s="346">
        <f>VLOOKUP(L25,[3]BHSC_销售订单明细报表_060825!$E$1:$E$65536,1,FALSE)</f>
        <v/>
      </c>
      <c r="Q25" s="765" t="n"/>
      <c r="R25" s="765" t="n"/>
      <c r="S25" s="765" t="n"/>
      <c r="T25" s="765" t="n"/>
      <c r="U25" s="765" t="n"/>
      <c r="V25" s="765" t="n"/>
      <c r="W25" s="765" t="n"/>
      <c r="X25" s="765" t="n"/>
      <c r="Y25" s="765" t="n"/>
      <c r="Z25" s="765" t="n"/>
      <c r="AA25" s="765" t="n"/>
      <c r="AB25" s="765" t="n"/>
      <c r="AC25" s="765" t="n"/>
    </row>
    <row r="26" customFormat="1" s="703">
      <c r="A26" s="106" t="n">
        <v>25</v>
      </c>
      <c r="B26" s="754" t="inlineStr">
        <is>
          <t>chanhua</t>
        </is>
      </c>
      <c r="C26" s="761" t="n">
        <v>45667</v>
      </c>
      <c r="D26" s="762" t="inlineStr">
        <is>
          <t>新加坡比特</t>
        </is>
      </c>
      <c r="E26" s="763" t="inlineStr">
        <is>
          <t>ASECL</t>
        </is>
      </c>
      <c r="F26" s="763" t="n"/>
      <c r="G26" s="763" t="n"/>
      <c r="H26" s="763" t="inlineStr">
        <is>
          <t>BM1370PA</t>
        </is>
      </c>
      <c r="I26" s="762">
        <f>VLOOKUP(H26,编码对账表!C:D,2,0)</f>
        <v/>
      </c>
      <c r="J26" s="349" t="n">
        <v>79810</v>
      </c>
      <c r="K26" s="350" t="inlineStr">
        <is>
          <t>202501130016</t>
        </is>
      </c>
      <c r="L26" s="351" t="inlineStr">
        <is>
          <t>1403250113173325</t>
        </is>
      </c>
      <c r="M26" s="764" t="inlineStr">
        <is>
          <t>印尼奥海</t>
        </is>
      </c>
      <c r="N26" s="763" t="inlineStr">
        <is>
          <t>CHANHUA PTE. LTD.</t>
        </is>
      </c>
      <c r="O26" s="764" t="n">
        <v>8.327199999999999</v>
      </c>
      <c r="P26" s="346">
        <f>VLOOKUP(L26,[3]BHSC_销售订单明细报表_060825!$E$1:$E$65536,1,FALSE)</f>
        <v/>
      </c>
      <c r="Q26" s="765" t="n"/>
      <c r="R26" s="765" t="n"/>
      <c r="S26" s="765" t="n"/>
      <c r="T26" s="765" t="n"/>
      <c r="U26" s="765" t="n"/>
      <c r="V26" s="765" t="n"/>
      <c r="W26" s="765" t="n"/>
      <c r="X26" s="765" t="n"/>
      <c r="Y26" s="765" t="n"/>
      <c r="Z26" s="765" t="n"/>
      <c r="AA26" s="765" t="n"/>
      <c r="AB26" s="765" t="n"/>
      <c r="AC26" s="765" t="n"/>
    </row>
    <row r="27" s="184">
      <c r="A27" s="106" t="n">
        <v>26</v>
      </c>
      <c r="B27" s="754" t="inlineStr">
        <is>
          <t>chanhua</t>
        </is>
      </c>
      <c r="C27" s="761" t="n">
        <v>45667</v>
      </c>
      <c r="D27" s="755" t="inlineStr">
        <is>
          <t>新加坡比特</t>
        </is>
      </c>
      <c r="E27" s="756" t="inlineStr">
        <is>
          <t>ASECL</t>
        </is>
      </c>
      <c r="H27" s="756" t="inlineStr">
        <is>
          <t>BM1370BC</t>
        </is>
      </c>
      <c r="I27" s="755">
        <f>VLOOKUP(H27,编码对账表!C:D,2,0)</f>
        <v/>
      </c>
      <c r="J27" s="330" t="n">
        <v>50213</v>
      </c>
      <c r="K27" s="331" t="inlineStr">
        <is>
          <t>202501130017</t>
        </is>
      </c>
      <c r="L27" s="332" t="inlineStr">
        <is>
          <t>1403250113173341</t>
        </is>
      </c>
      <c r="M27" s="757" t="inlineStr">
        <is>
          <t>泰国群光</t>
        </is>
      </c>
      <c r="N27" s="756" t="inlineStr">
        <is>
          <t>CHANHUA PTE. LTD.</t>
        </is>
      </c>
      <c r="O27" s="757" t="n">
        <v>8.327199999999999</v>
      </c>
      <c r="P27" s="346">
        <f>VLOOKUP(L27,[3]BHSC_销售订单明细报表_060825!$E$1:$E$65536,1,FALSE)</f>
        <v/>
      </c>
      <c r="Q27" s="758" t="n"/>
      <c r="R27" s="758" t="n"/>
      <c r="S27" s="758" t="n"/>
      <c r="T27" s="758" t="n"/>
      <c r="U27" s="758" t="n"/>
      <c r="V27" s="758" t="n"/>
      <c r="W27" s="758" t="n"/>
    </row>
    <row r="28" s="184">
      <c r="A28" s="106" t="n">
        <v>27</v>
      </c>
      <c r="B28" s="754" t="inlineStr">
        <is>
          <t>chanhua</t>
        </is>
      </c>
      <c r="C28" s="761" t="n">
        <v>45667</v>
      </c>
      <c r="D28" s="762" t="inlineStr">
        <is>
          <t>新加坡比特</t>
        </is>
      </c>
      <c r="E28" s="763" t="inlineStr">
        <is>
          <t>ASECL</t>
        </is>
      </c>
      <c r="F28" s="763" t="n"/>
      <c r="G28" s="763" t="n"/>
      <c r="H28" s="763" t="inlineStr">
        <is>
          <t>BM1370PA</t>
        </is>
      </c>
      <c r="I28" s="762">
        <f>VLOOKUP(H28,编码对账表!C:D,2,0)</f>
        <v/>
      </c>
      <c r="J28" s="349" t="n">
        <v>353400</v>
      </c>
      <c r="K28" s="350" t="inlineStr">
        <is>
          <t>202501130017</t>
        </is>
      </c>
      <c r="L28" s="351" t="inlineStr">
        <is>
          <t>1403250113173341</t>
        </is>
      </c>
      <c r="M28" s="764" t="inlineStr">
        <is>
          <t>泰国群光</t>
        </is>
      </c>
      <c r="N28" s="763" t="inlineStr">
        <is>
          <t>CHANHUA PTE. LTD.</t>
        </is>
      </c>
      <c r="O28" s="764" t="n">
        <v>8.327199999999999</v>
      </c>
      <c r="P28" s="346">
        <f>VLOOKUP(L28,[3]BHSC_销售订单明细报表_060825!$E$1:$E$65536,1,FALSE)</f>
        <v/>
      </c>
      <c r="Q28" s="758" t="n"/>
      <c r="R28" s="758" t="n"/>
      <c r="S28" s="758" t="n"/>
      <c r="T28" s="758" t="n"/>
      <c r="U28" s="758" t="n"/>
      <c r="V28" s="758" t="n"/>
      <c r="W28" s="758" t="n"/>
    </row>
    <row r="29" s="184">
      <c r="A29" s="106" t="n">
        <v>28</v>
      </c>
      <c r="B29" s="754" t="inlineStr">
        <is>
          <t>chanhua</t>
        </is>
      </c>
      <c r="C29" s="761" t="n">
        <v>45667</v>
      </c>
      <c r="D29" s="755" t="inlineStr">
        <is>
          <t>新加坡比特</t>
        </is>
      </c>
      <c r="E29" s="756" t="inlineStr">
        <is>
          <t>ASECL</t>
        </is>
      </c>
      <c r="H29" s="756" t="inlineStr">
        <is>
          <t>BM1370PA</t>
        </is>
      </c>
      <c r="I29" s="755">
        <f>VLOOKUP(H29,编码对账表!C:D,2,0)</f>
        <v/>
      </c>
      <c r="J29" s="330" t="n">
        <v>838184</v>
      </c>
      <c r="K29" s="331" t="inlineStr">
        <is>
          <t>202501130018</t>
        </is>
      </c>
      <c r="L29" s="332" t="inlineStr">
        <is>
          <t>1403250113173359</t>
        </is>
      </c>
      <c r="M29" s="757" t="inlineStr">
        <is>
          <t>泰国ONETEC</t>
        </is>
      </c>
      <c r="N29" s="756" t="inlineStr">
        <is>
          <t>CHANHUA PTE. LTD.</t>
        </is>
      </c>
      <c r="O29" s="757" t="n">
        <v>8.327199999999999</v>
      </c>
      <c r="P29" s="346">
        <f>VLOOKUP(L29,[3]BHSC_销售订单明细报表_060825!$E$1:$E$65536,1,FALSE)</f>
        <v/>
      </c>
      <c r="Q29" s="758" t="n"/>
      <c r="R29" s="758" t="n"/>
      <c r="S29" s="758" t="n"/>
      <c r="T29" s="758" t="n"/>
      <c r="U29" s="758" t="n"/>
      <c r="V29" s="758" t="n"/>
      <c r="W29" s="758" t="n"/>
    </row>
    <row r="30" s="184">
      <c r="A30" s="106" t="n">
        <v>29</v>
      </c>
      <c r="B30" s="754" t="inlineStr">
        <is>
          <t>chanhua</t>
        </is>
      </c>
      <c r="C30" s="761" t="n">
        <v>45667</v>
      </c>
      <c r="D30" s="755" t="inlineStr">
        <is>
          <t>新加坡比特</t>
        </is>
      </c>
      <c r="E30" s="756" t="inlineStr">
        <is>
          <t>ASECL</t>
        </is>
      </c>
      <c r="H30" s="756" t="inlineStr">
        <is>
          <t>BM1370BC</t>
        </is>
      </c>
      <c r="I30" s="755">
        <f>VLOOKUP(H30,编码对账表!C:D,2,0)</f>
        <v/>
      </c>
      <c r="J30" s="330" t="n">
        <v>305690</v>
      </c>
      <c r="K30" s="331" t="inlineStr">
        <is>
          <t>202501130019</t>
        </is>
      </c>
      <c r="L30" s="332" t="inlineStr">
        <is>
          <t>1403250113173415</t>
        </is>
      </c>
      <c r="M30" s="757" t="inlineStr">
        <is>
          <t>PIE</t>
        </is>
      </c>
      <c r="N30" s="756" t="inlineStr">
        <is>
          <t>CHANHUA PTE. LTD.</t>
        </is>
      </c>
      <c r="O30" s="757" t="n">
        <v>8.327199999999999</v>
      </c>
      <c r="P30" s="346">
        <f>VLOOKUP(L30,[3]BHSC_销售订单明细报表_060825!$E$1:$E$65536,1,FALSE)</f>
        <v/>
      </c>
      <c r="Q30" s="758" t="n"/>
      <c r="R30" s="758" t="n"/>
      <c r="S30" s="758" t="n"/>
      <c r="T30" s="758" t="n"/>
      <c r="U30" s="758" t="n"/>
      <c r="V30" s="758" t="n"/>
      <c r="W30" s="758" t="n"/>
    </row>
    <row r="31" s="184">
      <c r="A31" s="106" t="n">
        <v>30</v>
      </c>
      <c r="B31" s="754" t="inlineStr">
        <is>
          <t>chanhua</t>
        </is>
      </c>
      <c r="C31" s="761" t="n">
        <v>45667</v>
      </c>
      <c r="D31" s="755" t="inlineStr">
        <is>
          <t>新加坡比特</t>
        </is>
      </c>
      <c r="E31" s="756" t="inlineStr">
        <is>
          <t>ASECL</t>
        </is>
      </c>
      <c r="H31" s="756" t="inlineStr">
        <is>
          <t>BM1370PA</t>
        </is>
      </c>
      <c r="I31" s="755">
        <f>VLOOKUP(H31,编码对账表!C:D,2,0)</f>
        <v/>
      </c>
      <c r="J31" s="330" t="n">
        <v>155809</v>
      </c>
      <c r="K31" s="331" t="inlineStr">
        <is>
          <t>202501130019</t>
        </is>
      </c>
      <c r="L31" s="332" t="inlineStr">
        <is>
          <t>1403250113173415</t>
        </is>
      </c>
      <c r="M31" s="757" t="inlineStr">
        <is>
          <t>PIE</t>
        </is>
      </c>
      <c r="N31" s="756" t="inlineStr">
        <is>
          <t>CHANHUA PTE. LTD.</t>
        </is>
      </c>
      <c r="O31" s="757" t="n">
        <v>8.327199999999999</v>
      </c>
      <c r="P31" s="346">
        <f>VLOOKUP(L31,[3]BHSC_销售订单明细报表_060825!$E$1:$E$65536,1,FALSE)</f>
        <v/>
      </c>
      <c r="Q31" s="758" t="n"/>
      <c r="R31" s="758" t="n"/>
      <c r="S31" s="758" t="n"/>
      <c r="T31" s="758" t="n"/>
      <c r="U31" s="758" t="n"/>
      <c r="V31" s="758" t="n"/>
      <c r="W31" s="758" t="n"/>
    </row>
    <row r="32" s="184">
      <c r="A32" s="106" t="n">
        <v>31</v>
      </c>
      <c r="B32" s="754" t="inlineStr">
        <is>
          <t>chanhua</t>
        </is>
      </c>
      <c r="C32" s="761" t="n">
        <v>45670</v>
      </c>
      <c r="D32" s="755" t="inlineStr">
        <is>
          <t>新加坡比特</t>
        </is>
      </c>
      <c r="E32" s="756" t="inlineStr">
        <is>
          <t>ASECL</t>
        </is>
      </c>
      <c r="H32" s="756" t="inlineStr">
        <is>
          <t>BM1370BC</t>
        </is>
      </c>
      <c r="I32" s="755">
        <f>VLOOKUP(H32,编码对账表!C:D,2,0)</f>
        <v/>
      </c>
      <c r="J32" s="330" t="n">
        <v>16132</v>
      </c>
      <c r="K32" s="331" t="inlineStr">
        <is>
          <t>202501170010</t>
        </is>
      </c>
      <c r="L32" s="332" t="inlineStr">
        <is>
          <t>1403250117152122</t>
        </is>
      </c>
      <c r="M32" s="757" t="inlineStr">
        <is>
          <t>印尼奥海</t>
        </is>
      </c>
      <c r="N32" s="756" t="inlineStr">
        <is>
          <t>CHANHUA PTE. LTD.</t>
        </is>
      </c>
      <c r="O32" s="757" t="n">
        <v>8.327199999999999</v>
      </c>
      <c r="P32" s="346">
        <f>VLOOKUP(L32,[3]BHSC_销售订单明细报表_060825!$E$1:$E$65536,1,FALSE)</f>
        <v/>
      </c>
      <c r="Q32" s="758" t="n"/>
      <c r="R32" s="758" t="n"/>
      <c r="S32" s="758" t="n"/>
      <c r="T32" s="758" t="n"/>
      <c r="U32" s="758" t="n"/>
      <c r="V32" s="758" t="n"/>
      <c r="W32" s="758" t="n"/>
    </row>
    <row r="33" s="184">
      <c r="A33" s="106" t="n">
        <v>32</v>
      </c>
      <c r="B33" s="754" t="inlineStr">
        <is>
          <t>chanhua</t>
        </is>
      </c>
      <c r="C33" s="761" t="n">
        <v>45670</v>
      </c>
      <c r="D33" s="755" t="inlineStr">
        <is>
          <t>新加坡比特</t>
        </is>
      </c>
      <c r="E33" s="756" t="inlineStr">
        <is>
          <t>ASECL</t>
        </is>
      </c>
      <c r="H33" s="756" t="inlineStr">
        <is>
          <t>BM1370PA</t>
        </is>
      </c>
      <c r="I33" s="755">
        <f>VLOOKUP(H33,编码对账表!C:D,2,0)</f>
        <v/>
      </c>
      <c r="J33" s="330" t="n">
        <v>79810</v>
      </c>
      <c r="K33" s="331" t="inlineStr">
        <is>
          <t>202501170010</t>
        </is>
      </c>
      <c r="L33" s="332" t="inlineStr">
        <is>
          <t>1403250117152122</t>
        </is>
      </c>
      <c r="M33" s="757" t="inlineStr">
        <is>
          <t>印尼奥海</t>
        </is>
      </c>
      <c r="N33" s="756" t="inlineStr">
        <is>
          <t>CHANHUA PTE. LTD.</t>
        </is>
      </c>
      <c r="O33" s="757" t="n">
        <v>8.327199999999999</v>
      </c>
      <c r="P33" s="346">
        <f>VLOOKUP(L33,[3]BHSC_销售订单明细报表_060825!$E$1:$E$65536,1,FALSE)</f>
        <v/>
      </c>
      <c r="Q33" s="758" t="n"/>
      <c r="R33" s="758" t="n"/>
      <c r="S33" s="758" t="n"/>
      <c r="T33" s="758" t="n"/>
      <c r="U33" s="758" t="n"/>
      <c r="V33" s="758" t="n"/>
      <c r="W33" s="758" t="n"/>
    </row>
    <row r="34" s="184">
      <c r="A34" s="106" t="n">
        <v>33</v>
      </c>
      <c r="B34" s="754" t="inlineStr">
        <is>
          <t>chanhua</t>
        </is>
      </c>
      <c r="C34" s="761" t="n">
        <v>45670</v>
      </c>
      <c r="D34" s="755" t="inlineStr">
        <is>
          <t>新加坡比特</t>
        </is>
      </c>
      <c r="E34" s="756" t="inlineStr">
        <is>
          <t>JSCC</t>
        </is>
      </c>
      <c r="H34" s="756" t="inlineStr">
        <is>
          <t>BM1370BC</t>
        </is>
      </c>
      <c r="I34" s="755">
        <f>VLOOKUP(H34,编码对账表!C:D,2,0)</f>
        <v/>
      </c>
      <c r="J34" s="330" t="n">
        <v>211339</v>
      </c>
      <c r="K34" s="331" t="inlineStr">
        <is>
          <t>202501170010</t>
        </is>
      </c>
      <c r="L34" s="332" t="inlineStr">
        <is>
          <t>1403250117152122</t>
        </is>
      </c>
      <c r="M34" s="757" t="inlineStr">
        <is>
          <t>印尼奥海</t>
        </is>
      </c>
      <c r="N34" s="756" t="inlineStr">
        <is>
          <t>CHANHUA PTE. LTD.</t>
        </is>
      </c>
      <c r="O34" s="757" t="n">
        <v>8.327199999999999</v>
      </c>
      <c r="P34" s="346">
        <f>VLOOKUP(L34,[3]BHSC_销售订单明细报表_060825!$E$1:$E$65536,1,FALSE)</f>
        <v/>
      </c>
      <c r="Q34" s="758" t="n"/>
      <c r="R34" s="758" t="n"/>
      <c r="S34" s="758" t="n"/>
      <c r="T34" s="758" t="n"/>
      <c r="U34" s="758" t="n"/>
      <c r="V34" s="758" t="n"/>
      <c r="W34" s="758" t="n"/>
    </row>
    <row r="35" s="184">
      <c r="A35" s="106" t="n">
        <v>34</v>
      </c>
      <c r="B35" s="754" t="inlineStr">
        <is>
          <t>chanhua</t>
        </is>
      </c>
      <c r="C35" s="761" t="n">
        <v>45670</v>
      </c>
      <c r="D35" s="755" t="inlineStr">
        <is>
          <t>新加坡比特</t>
        </is>
      </c>
      <c r="E35" s="756" t="inlineStr">
        <is>
          <t>JSCC</t>
        </is>
      </c>
      <c r="H35" s="756" t="inlineStr">
        <is>
          <t>BM1370PA</t>
        </is>
      </c>
      <c r="I35" s="755">
        <f>VLOOKUP(H35,编码对账表!C:D,2,0)</f>
        <v/>
      </c>
      <c r="J35" s="330" t="n">
        <v>401734</v>
      </c>
      <c r="K35" s="331" t="inlineStr">
        <is>
          <t>202501170010</t>
        </is>
      </c>
      <c r="L35" s="332" t="inlineStr">
        <is>
          <t>1403250117152122</t>
        </is>
      </c>
      <c r="M35" s="757" t="inlineStr">
        <is>
          <t>印尼奥海</t>
        </is>
      </c>
      <c r="N35" s="756" t="inlineStr">
        <is>
          <t>CHANHUA PTE. LTD.</t>
        </is>
      </c>
      <c r="O35" s="757" t="n">
        <v>8.327199999999999</v>
      </c>
      <c r="P35" s="346">
        <f>VLOOKUP(L35,[3]BHSC_销售订单明细报表_060825!$E$1:$E$65536,1,FALSE)</f>
        <v/>
      </c>
      <c r="Q35" s="758" t="n"/>
      <c r="R35" s="758" t="n"/>
      <c r="S35" s="758" t="n"/>
      <c r="T35" s="758" t="n"/>
      <c r="U35" s="758" t="n"/>
      <c r="V35" s="758" t="n"/>
      <c r="W35" s="758" t="n"/>
    </row>
    <row r="36" s="184">
      <c r="A36" s="106" t="n">
        <v>35</v>
      </c>
      <c r="B36" s="754" t="inlineStr">
        <is>
          <t>chanhua</t>
        </is>
      </c>
      <c r="C36" s="761" t="n">
        <v>45670</v>
      </c>
      <c r="D36" s="755" t="inlineStr">
        <is>
          <t>新加坡比特</t>
        </is>
      </c>
      <c r="E36" s="756" t="inlineStr">
        <is>
          <t>JSCC</t>
        </is>
      </c>
      <c r="H36" s="756" t="inlineStr">
        <is>
          <t>BM1370PM</t>
        </is>
      </c>
      <c r="I36" s="755">
        <f>VLOOKUP(H36,编码对账表!C:D,2,0)</f>
        <v/>
      </c>
      <c r="J36" s="330" t="n">
        <v>738982</v>
      </c>
      <c r="K36" s="331" t="inlineStr">
        <is>
          <t>202501170010</t>
        </is>
      </c>
      <c r="L36" s="332" t="inlineStr">
        <is>
          <t>1403250117152122</t>
        </is>
      </c>
      <c r="M36" s="757" t="inlineStr">
        <is>
          <t>印尼奥海</t>
        </is>
      </c>
      <c r="N36" s="756" t="inlineStr">
        <is>
          <t>CHANHUA PTE. LTD.</t>
        </is>
      </c>
      <c r="O36" s="757" t="n">
        <v>8.327199999999999</v>
      </c>
      <c r="P36" s="346">
        <f>VLOOKUP(L36,[3]BHSC_销售订单明细报表_060825!$E$1:$E$65536,1,FALSE)</f>
        <v/>
      </c>
      <c r="Q36" s="758" t="n"/>
      <c r="R36" s="758" t="n"/>
      <c r="S36" s="758" t="n"/>
      <c r="T36" s="758" t="n"/>
      <c r="U36" s="758" t="n"/>
      <c r="V36" s="758" t="n"/>
      <c r="W36" s="758" t="n"/>
    </row>
    <row r="37" s="184">
      <c r="A37" s="106" t="n">
        <v>36</v>
      </c>
      <c r="B37" s="754" t="inlineStr">
        <is>
          <t>chanhua</t>
        </is>
      </c>
      <c r="C37" s="761" t="n">
        <v>45670</v>
      </c>
      <c r="D37" s="755" t="inlineStr">
        <is>
          <t>新加坡比特</t>
        </is>
      </c>
      <c r="E37" s="756" t="inlineStr">
        <is>
          <t>ASECL</t>
        </is>
      </c>
      <c r="H37" s="756" t="inlineStr">
        <is>
          <t>BM1370PA</t>
        </is>
      </c>
      <c r="I37" s="755">
        <f>VLOOKUP(H37,编码对账表!C:D,2,0)</f>
        <v/>
      </c>
      <c r="J37" s="330" t="n">
        <v>353400</v>
      </c>
      <c r="K37" s="331" t="inlineStr">
        <is>
          <t>202501170011</t>
        </is>
      </c>
      <c r="L37" s="332" t="inlineStr">
        <is>
          <t>1403250117152139</t>
        </is>
      </c>
      <c r="M37" s="757" t="inlineStr">
        <is>
          <t>泰国群光</t>
        </is>
      </c>
      <c r="N37" s="756" t="inlineStr">
        <is>
          <t>CHANHUA PTE. LTD.</t>
        </is>
      </c>
      <c r="O37" s="757" t="n">
        <v>8.327199999999999</v>
      </c>
      <c r="P37" s="346">
        <f>VLOOKUP(L37,[3]BHSC_销售订单明细报表_060825!$E$1:$E$65536,1,FALSE)</f>
        <v/>
      </c>
      <c r="Q37" s="758" t="n"/>
      <c r="R37" s="758" t="n"/>
      <c r="S37" s="758" t="n"/>
      <c r="T37" s="758" t="n"/>
      <c r="U37" s="758" t="n"/>
      <c r="V37" s="758" t="n"/>
      <c r="W37" s="758" t="n"/>
    </row>
    <row r="38" s="184">
      <c r="A38" s="106" t="n">
        <v>37</v>
      </c>
      <c r="B38" s="754" t="inlineStr">
        <is>
          <t>chanhua</t>
        </is>
      </c>
      <c r="C38" s="761" t="n">
        <v>45670</v>
      </c>
      <c r="D38" s="755" t="inlineStr">
        <is>
          <t>新加坡比特</t>
        </is>
      </c>
      <c r="E38" s="756" t="inlineStr">
        <is>
          <t>JSCC</t>
        </is>
      </c>
      <c r="H38" s="756" t="inlineStr">
        <is>
          <t>BM1370PA</t>
        </is>
      </c>
      <c r="I38" s="755">
        <f>VLOOKUP(H38,编码对账表!C:D,2,0)</f>
        <v/>
      </c>
      <c r="J38" s="330" t="n">
        <v>164833</v>
      </c>
      <c r="K38" s="331" t="inlineStr">
        <is>
          <t>202501170012</t>
        </is>
      </c>
      <c r="L38" s="332" t="inlineStr">
        <is>
          <t>1403250117152154</t>
        </is>
      </c>
      <c r="M38" s="757" t="inlineStr">
        <is>
          <t>泰国ONETEC</t>
        </is>
      </c>
      <c r="N38" s="756" t="inlineStr">
        <is>
          <t>CHANHUA PTE. LTD.</t>
        </is>
      </c>
      <c r="O38" s="757" t="n">
        <v>8.327199999999999</v>
      </c>
      <c r="P38" s="346">
        <f>VLOOKUP(L38,[3]BHSC_销售订单明细报表_060825!$E$1:$E$65536,1,FALSE)</f>
        <v/>
      </c>
      <c r="Q38" s="758" t="n"/>
      <c r="R38" s="758" t="n"/>
      <c r="S38" s="758" t="n"/>
      <c r="T38" s="758" t="n"/>
      <c r="U38" s="758" t="n"/>
      <c r="V38" s="758" t="n"/>
      <c r="W38" s="758" t="n"/>
    </row>
    <row r="39" s="184">
      <c r="A39" s="106" t="n">
        <v>38</v>
      </c>
      <c r="B39" s="754" t="inlineStr">
        <is>
          <t>chanhua</t>
        </is>
      </c>
      <c r="C39" s="761" t="n">
        <v>45670</v>
      </c>
      <c r="D39" s="755" t="inlineStr">
        <is>
          <t>新加坡比特</t>
        </is>
      </c>
      <c r="E39" s="756" t="inlineStr">
        <is>
          <t>JSCC</t>
        </is>
      </c>
      <c r="H39" s="756" t="inlineStr">
        <is>
          <t>BM1370PM</t>
        </is>
      </c>
      <c r="I39" s="755">
        <f>VLOOKUP(H39,编码对账表!C:D,2,0)</f>
        <v/>
      </c>
      <c r="J39" s="330" t="n">
        <v>305318</v>
      </c>
      <c r="K39" s="331" t="inlineStr">
        <is>
          <t>202501170012</t>
        </is>
      </c>
      <c r="L39" s="332" t="inlineStr">
        <is>
          <t>1403250117152154</t>
        </is>
      </c>
      <c r="M39" s="757" t="inlineStr">
        <is>
          <t>泰国ONETEC</t>
        </is>
      </c>
      <c r="N39" s="756" t="inlineStr">
        <is>
          <t>CHANHUA PTE. LTD.</t>
        </is>
      </c>
      <c r="O39" s="757" t="n">
        <v>8.327199999999999</v>
      </c>
      <c r="P39" s="346">
        <f>VLOOKUP(L39,[3]BHSC_销售订单明细报表_060825!$E$1:$E$65536,1,FALSE)</f>
        <v/>
      </c>
      <c r="Q39" s="758" t="n"/>
      <c r="R39" s="758" t="n"/>
      <c r="S39" s="758" t="n"/>
      <c r="T39" s="758" t="n"/>
      <c r="U39" s="758" t="n"/>
      <c r="V39" s="758" t="n"/>
      <c r="W39" s="758" t="n"/>
    </row>
    <row r="40" s="184">
      <c r="A40" s="106" t="n">
        <v>39</v>
      </c>
      <c r="B40" s="754" t="inlineStr">
        <is>
          <t>chanhua</t>
        </is>
      </c>
      <c r="C40" s="761" t="n">
        <v>45670</v>
      </c>
      <c r="D40" s="762" t="inlineStr">
        <is>
          <t>新加坡比特</t>
        </is>
      </c>
      <c r="E40" s="763" t="inlineStr">
        <is>
          <t>ASECL</t>
        </is>
      </c>
      <c r="F40" s="763" t="n"/>
      <c r="G40" s="763" t="n"/>
      <c r="H40" s="763" t="inlineStr">
        <is>
          <t>BM1370BC</t>
        </is>
      </c>
      <c r="I40" s="762">
        <f>VLOOKUP(H40,编码对账表!C:D,2,0)</f>
        <v/>
      </c>
      <c r="J40" s="349" t="n">
        <v>91200</v>
      </c>
      <c r="K40" s="350" t="inlineStr">
        <is>
          <t>202501170013</t>
        </is>
      </c>
      <c r="L40" s="351" t="inlineStr">
        <is>
          <t>1403250117152209</t>
        </is>
      </c>
      <c r="M40" s="764" t="inlineStr">
        <is>
          <t>PIE</t>
        </is>
      </c>
      <c r="N40" s="763" t="inlineStr">
        <is>
          <t>CHANHUA PTE. LTD.</t>
        </is>
      </c>
      <c r="O40" s="764" t="n">
        <v>8.327199999999999</v>
      </c>
      <c r="P40" s="346">
        <f>VLOOKUP(L40,[3]BHSC_销售订单明细报表_060825!$E$1:$E$65536,1,FALSE)</f>
        <v/>
      </c>
      <c r="Q40" s="758" t="n"/>
      <c r="R40" s="758" t="n"/>
      <c r="S40" s="758" t="n"/>
      <c r="T40" s="758" t="n"/>
      <c r="U40" s="758" t="n"/>
      <c r="V40" s="758" t="n"/>
      <c r="W40" s="758" t="n"/>
    </row>
    <row r="41" s="184">
      <c r="A41" s="106" t="n">
        <v>40</v>
      </c>
      <c r="B41" s="754" t="inlineStr">
        <is>
          <t>chanhua</t>
        </is>
      </c>
      <c r="C41" s="761" t="n">
        <v>45670</v>
      </c>
      <c r="D41" s="762" t="inlineStr">
        <is>
          <t>新加坡比特</t>
        </is>
      </c>
      <c r="E41" s="763" t="inlineStr">
        <is>
          <t>ASECL</t>
        </is>
      </c>
      <c r="F41" s="763" t="n"/>
      <c r="G41" s="763" t="n"/>
      <c r="H41" s="763" t="inlineStr">
        <is>
          <t>BM1370PA</t>
        </is>
      </c>
      <c r="I41" s="762">
        <f>VLOOKUP(H41,编码对账表!C:D,2,0)</f>
        <v/>
      </c>
      <c r="J41" s="349" t="n">
        <v>117800</v>
      </c>
      <c r="K41" s="350" t="inlineStr">
        <is>
          <t>202501170013</t>
        </is>
      </c>
      <c r="L41" s="351" t="inlineStr">
        <is>
          <t>1403250117152209</t>
        </is>
      </c>
      <c r="M41" s="764" t="inlineStr">
        <is>
          <t>PIE</t>
        </is>
      </c>
      <c r="N41" s="763" t="inlineStr">
        <is>
          <t>CHANHUA PTE. LTD.</t>
        </is>
      </c>
      <c r="O41" s="764" t="n">
        <v>8.327199999999999</v>
      </c>
      <c r="P41" s="346">
        <f>VLOOKUP(L41,[3]BHSC_销售订单明细报表_060825!$E$1:$E$65536,1,FALSE)</f>
        <v/>
      </c>
      <c r="Q41" s="758" t="n"/>
      <c r="R41" s="758" t="n"/>
      <c r="S41" s="758" t="n"/>
      <c r="T41" s="758" t="n"/>
      <c r="U41" s="758" t="n"/>
      <c r="V41" s="758" t="n"/>
      <c r="W41" s="758" t="n"/>
    </row>
    <row r="42" s="184">
      <c r="A42" s="106" t="n">
        <v>41</v>
      </c>
      <c r="B42" s="754" t="inlineStr">
        <is>
          <t>chanhua</t>
        </is>
      </c>
      <c r="C42" s="761" t="n">
        <v>45670</v>
      </c>
      <c r="D42" s="755" t="inlineStr">
        <is>
          <t>新加坡比特</t>
        </is>
      </c>
      <c r="E42" s="756" t="inlineStr">
        <is>
          <t>JSCC</t>
        </is>
      </c>
      <c r="H42" s="756" t="inlineStr">
        <is>
          <t>BM1370PM</t>
        </is>
      </c>
      <c r="I42" s="755">
        <f>VLOOKUP(H42,编码对账表!C:D,2,0)</f>
        <v/>
      </c>
      <c r="J42" s="330" t="n">
        <v>301156</v>
      </c>
      <c r="K42" s="331" t="inlineStr">
        <is>
          <t>202501170013</t>
        </is>
      </c>
      <c r="L42" s="332" t="inlineStr">
        <is>
          <t>1403250117152209</t>
        </is>
      </c>
      <c r="M42" s="757" t="inlineStr">
        <is>
          <t>PIE</t>
        </is>
      </c>
      <c r="N42" s="756" t="inlineStr">
        <is>
          <t>CHANHUA PTE. LTD.</t>
        </is>
      </c>
      <c r="O42" s="757" t="n">
        <v>8.327199999999999</v>
      </c>
      <c r="P42" s="346">
        <f>VLOOKUP(L42,[3]BHSC_销售订单明细报表_060825!$E$1:$E$65536,1,FALSE)</f>
        <v/>
      </c>
      <c r="Q42" s="758" t="n"/>
      <c r="R42" s="758" t="n"/>
      <c r="S42" s="758" t="n"/>
      <c r="T42" s="758" t="n"/>
      <c r="U42" s="758" t="n"/>
      <c r="V42" s="758" t="n"/>
      <c r="W42" s="758" t="n"/>
    </row>
    <row r="43" s="184">
      <c r="A43" s="106" t="n">
        <v>42</v>
      </c>
      <c r="B43" s="754" t="inlineStr">
        <is>
          <t>chanhua</t>
        </is>
      </c>
      <c r="C43" s="761" t="n">
        <v>45674</v>
      </c>
      <c r="D43" s="755" t="inlineStr">
        <is>
          <t>新加坡比特</t>
        </is>
      </c>
      <c r="E43" s="756" t="inlineStr">
        <is>
          <t>ASE-KH</t>
        </is>
      </c>
      <c r="H43" s="756" t="inlineStr">
        <is>
          <t>BM1370BC</t>
        </is>
      </c>
      <c r="I43" s="755">
        <f>VLOOKUP(H43,编码对账表!C:D,2,0)</f>
        <v/>
      </c>
      <c r="J43" s="330" t="n">
        <v>314790</v>
      </c>
      <c r="K43" s="331" t="inlineStr">
        <is>
          <t>202501200020</t>
        </is>
      </c>
      <c r="L43" s="332" t="inlineStr">
        <is>
          <t>1403250120153703</t>
        </is>
      </c>
      <c r="M43" s="757" t="inlineStr">
        <is>
          <t>印尼奥海</t>
        </is>
      </c>
      <c r="N43" s="756" t="inlineStr">
        <is>
          <t>CHANHUA PTE. LTD.</t>
        </is>
      </c>
      <c r="O43" s="757" t="n">
        <v>8.327199999999999</v>
      </c>
      <c r="P43" s="346">
        <f>VLOOKUP(L43,[3]BHSC_销售订单明细报表_060825!$E$1:$E$65536,1,FALSE)</f>
        <v/>
      </c>
      <c r="Q43" s="758" t="n"/>
      <c r="R43" s="758" t="n"/>
      <c r="S43" s="758" t="n"/>
      <c r="T43" s="758" t="n"/>
      <c r="U43" s="758" t="n"/>
      <c r="V43" s="758" t="n"/>
      <c r="W43" s="758" t="n"/>
    </row>
    <row r="44" s="184">
      <c r="A44" s="106" t="n">
        <v>43</v>
      </c>
      <c r="B44" s="754" t="inlineStr">
        <is>
          <t>chanhua</t>
        </is>
      </c>
      <c r="C44" s="761" t="n">
        <v>45674</v>
      </c>
      <c r="D44" s="755" t="inlineStr">
        <is>
          <t>新加坡比特</t>
        </is>
      </c>
      <c r="E44" s="756" t="inlineStr">
        <is>
          <t>ASECL</t>
        </is>
      </c>
      <c r="H44" s="756" t="inlineStr">
        <is>
          <t>BM1370PA</t>
        </is>
      </c>
      <c r="I44" s="755">
        <f>VLOOKUP(H44,编码对账表!C:D,2,0)</f>
        <v/>
      </c>
      <c r="J44" s="330" t="n">
        <v>144400</v>
      </c>
      <c r="K44" s="331" t="inlineStr">
        <is>
          <t>202501200020</t>
        </is>
      </c>
      <c r="L44" s="332" t="inlineStr">
        <is>
          <t>1403250120153703</t>
        </is>
      </c>
      <c r="M44" s="757" t="inlineStr">
        <is>
          <t>印尼奥海</t>
        </is>
      </c>
      <c r="N44" s="756" t="inlineStr">
        <is>
          <t>CHANHUA PTE. LTD.</t>
        </is>
      </c>
      <c r="O44" s="757" t="n">
        <v>8.327199999999999</v>
      </c>
      <c r="P44" s="346">
        <f>VLOOKUP(L44,[3]BHSC_销售订单明细报表_060825!$E$1:$E$65536,1,FALSE)</f>
        <v/>
      </c>
      <c r="Q44" s="758" t="n"/>
      <c r="R44" s="758" t="n"/>
      <c r="S44" s="758" t="n"/>
      <c r="T44" s="758" t="n"/>
      <c r="U44" s="758" t="n"/>
      <c r="V44" s="758" t="n"/>
      <c r="W44" s="758" t="n"/>
    </row>
    <row r="45" s="184">
      <c r="A45" s="106" t="n">
        <v>44</v>
      </c>
      <c r="B45" s="754" t="inlineStr">
        <is>
          <t>chanhua</t>
        </is>
      </c>
      <c r="C45" s="761" t="n">
        <v>45674</v>
      </c>
      <c r="D45" s="755" t="inlineStr">
        <is>
          <t>新加坡比特</t>
        </is>
      </c>
      <c r="E45" s="756" t="inlineStr">
        <is>
          <t>SPILSZ</t>
        </is>
      </c>
      <c r="H45" s="756" t="inlineStr">
        <is>
          <t>BM1370PA</t>
        </is>
      </c>
      <c r="I45" s="755">
        <f>VLOOKUP(H45,编码对账表!C:D,2,0)</f>
        <v/>
      </c>
      <c r="J45" s="330" t="n">
        <v>953800</v>
      </c>
      <c r="K45" s="331" t="inlineStr">
        <is>
          <t>202501200020</t>
        </is>
      </c>
      <c r="L45" s="332" t="inlineStr">
        <is>
          <t>1403250120153703</t>
        </is>
      </c>
      <c r="M45" s="757" t="inlineStr">
        <is>
          <t>印尼奥海</t>
        </is>
      </c>
      <c r="N45" s="756" t="inlineStr">
        <is>
          <t>CHANHUA PTE. LTD.</t>
        </is>
      </c>
      <c r="O45" s="757" t="n">
        <v>8.327199999999999</v>
      </c>
      <c r="P45" s="346">
        <f>VLOOKUP(L45,[3]BHSC_销售订单明细报表_060825!$E$1:$E$65536,1,FALSE)</f>
        <v/>
      </c>
      <c r="Q45" s="758" t="n"/>
      <c r="R45" s="758" t="n"/>
      <c r="S45" s="758" t="n"/>
      <c r="T45" s="758" t="n"/>
      <c r="U45" s="758" t="n"/>
      <c r="V45" s="758" t="n"/>
      <c r="W45" s="758" t="n"/>
    </row>
    <row r="46" s="184">
      <c r="A46" s="106" t="n">
        <v>45</v>
      </c>
      <c r="B46" s="754" t="inlineStr">
        <is>
          <t>chanhua</t>
        </is>
      </c>
      <c r="C46" s="761" t="n">
        <v>45674</v>
      </c>
      <c r="D46" s="755" t="inlineStr">
        <is>
          <t>新加坡比特</t>
        </is>
      </c>
      <c r="E46" s="756" t="inlineStr">
        <is>
          <t>ASECL</t>
        </is>
      </c>
      <c r="H46" s="756" t="inlineStr">
        <is>
          <t>BM1370PM</t>
        </is>
      </c>
      <c r="I46" s="755">
        <f>VLOOKUP(H46,编码对账表!C:D,2,0)</f>
        <v/>
      </c>
      <c r="J46" s="330" t="n">
        <v>2245</v>
      </c>
      <c r="K46" s="331" t="inlineStr">
        <is>
          <t>202501200020</t>
        </is>
      </c>
      <c r="L46" s="332" t="inlineStr">
        <is>
          <t>1403250120153703</t>
        </is>
      </c>
      <c r="M46" s="757" t="inlineStr">
        <is>
          <t>印尼奥海</t>
        </is>
      </c>
      <c r="N46" s="756" t="inlineStr">
        <is>
          <t>CHANHUA PTE. LTD.</t>
        </is>
      </c>
      <c r="O46" s="757" t="n">
        <v>8.327199999999999</v>
      </c>
      <c r="P46" s="346">
        <f>VLOOKUP(L46,[3]BHSC_销售订单明细报表_060825!$E$1:$E$65536,1,FALSE)</f>
        <v/>
      </c>
      <c r="Q46" s="758" t="n"/>
      <c r="R46" s="758" t="n"/>
      <c r="S46" s="758" t="n"/>
      <c r="T46" s="758" t="n"/>
      <c r="U46" s="758" t="n"/>
      <c r="V46" s="758" t="n"/>
      <c r="W46" s="758" t="n"/>
    </row>
    <row r="47" s="184">
      <c r="A47" s="106" t="n">
        <v>46</v>
      </c>
      <c r="B47" s="754" t="inlineStr">
        <is>
          <t>chanhua</t>
        </is>
      </c>
      <c r="C47" s="761" t="n">
        <v>45674</v>
      </c>
      <c r="D47" s="755" t="inlineStr">
        <is>
          <t>新加坡比特</t>
        </is>
      </c>
      <c r="E47" s="756" t="inlineStr">
        <is>
          <t>JSCC</t>
        </is>
      </c>
      <c r="H47" s="756" t="inlineStr">
        <is>
          <t>BM1370PM</t>
        </is>
      </c>
      <c r="I47" s="755">
        <f>VLOOKUP(H47,编码对账表!C:D,2,0)</f>
        <v/>
      </c>
      <c r="J47" s="330" t="n">
        <v>372154</v>
      </c>
      <c r="K47" s="331" t="inlineStr">
        <is>
          <t>202501200020</t>
        </is>
      </c>
      <c r="L47" s="332" t="inlineStr">
        <is>
          <t>1403250120153703</t>
        </is>
      </c>
      <c r="M47" s="757" t="inlineStr">
        <is>
          <t>印尼奥海</t>
        </is>
      </c>
      <c r="N47" s="756" t="inlineStr">
        <is>
          <t>CHANHUA PTE. LTD.</t>
        </is>
      </c>
      <c r="O47" s="757" t="n">
        <v>8.327199999999999</v>
      </c>
      <c r="P47" s="346">
        <f>VLOOKUP(L47,[3]BHSC_销售订单明细报表_060825!$E$1:$E$65536,1,FALSE)</f>
        <v/>
      </c>
      <c r="Q47" s="758" t="n"/>
      <c r="R47" s="758" t="n"/>
      <c r="S47" s="758" t="n"/>
      <c r="T47" s="758" t="n"/>
      <c r="U47" s="758" t="n"/>
      <c r="V47" s="758" t="n"/>
      <c r="W47" s="758" t="n"/>
    </row>
    <row r="48" s="184">
      <c r="A48" s="106" t="n">
        <v>47</v>
      </c>
      <c r="B48" s="754" t="inlineStr">
        <is>
          <t>chanhua</t>
        </is>
      </c>
      <c r="C48" s="761" t="n">
        <v>45674</v>
      </c>
      <c r="D48" s="755" t="inlineStr">
        <is>
          <t>新加坡比特</t>
        </is>
      </c>
      <c r="E48" s="756" t="inlineStr">
        <is>
          <t>XJ</t>
        </is>
      </c>
      <c r="H48" s="756" t="inlineStr">
        <is>
          <t>BM1491AA</t>
        </is>
      </c>
      <c r="I48" s="755">
        <f>VLOOKUP(H48,编码对账表!C:D,2,0)</f>
        <v/>
      </c>
      <c r="J48" s="330" t="n">
        <v>794235</v>
      </c>
      <c r="K48" s="331" t="inlineStr">
        <is>
          <t>202501200020</t>
        </is>
      </c>
      <c r="L48" s="332" t="inlineStr">
        <is>
          <t>1403250120153703</t>
        </is>
      </c>
      <c r="M48" s="757" t="inlineStr">
        <is>
          <t>印尼奥海</t>
        </is>
      </c>
      <c r="N48" s="756" t="inlineStr">
        <is>
          <t>CHANHUA PTE. LTD.</t>
        </is>
      </c>
      <c r="O48" s="757" t="n">
        <v>11.0314</v>
      </c>
      <c r="P48" s="346">
        <f>VLOOKUP(L48,[3]BHSC_销售订单明细报表_060825!$E$1:$E$65536,1,FALSE)</f>
        <v/>
      </c>
      <c r="Q48" s="758" t="n"/>
      <c r="R48" s="758" t="n"/>
      <c r="S48" s="758" t="n"/>
      <c r="T48" s="758" t="n"/>
      <c r="U48" s="758" t="n"/>
      <c r="V48" s="758" t="n"/>
      <c r="W48" s="758" t="n"/>
    </row>
    <row r="49" s="184">
      <c r="A49" s="106" t="n">
        <v>48</v>
      </c>
      <c r="B49" s="754" t="inlineStr">
        <is>
          <t>chanhua</t>
        </is>
      </c>
      <c r="C49" s="761" t="n">
        <v>45676</v>
      </c>
      <c r="D49" s="755" t="inlineStr">
        <is>
          <t>新加坡比特</t>
        </is>
      </c>
      <c r="E49" s="756" t="inlineStr">
        <is>
          <t>SPILSZ</t>
        </is>
      </c>
      <c r="H49" s="756" t="inlineStr">
        <is>
          <t>BM1370PA</t>
        </is>
      </c>
      <c r="I49" s="755">
        <f>VLOOKUP(H49,编码对账表!C:D,2,0)</f>
        <v/>
      </c>
      <c r="J49" s="330" t="n">
        <v>133000</v>
      </c>
      <c r="K49" s="331" t="inlineStr">
        <is>
          <t>202501200020</t>
        </is>
      </c>
      <c r="L49" s="332" t="inlineStr">
        <is>
          <t>1403250120153703</t>
        </is>
      </c>
      <c r="M49" s="757" t="inlineStr">
        <is>
          <t>印尼奥海</t>
        </is>
      </c>
      <c r="N49" s="756" t="inlineStr">
        <is>
          <t>CHANHUA PTE. LTD.</t>
        </is>
      </c>
      <c r="O49" s="757" t="n">
        <v>8.327199999999999</v>
      </c>
      <c r="P49" s="346">
        <f>VLOOKUP(L49,[3]BHSC_销售订单明细报表_060825!$E$1:$E$65536,1,FALSE)</f>
        <v/>
      </c>
      <c r="Q49" s="758" t="n"/>
      <c r="R49" s="758" t="n"/>
      <c r="S49" s="758" t="n"/>
      <c r="T49" s="758" t="n"/>
      <c r="U49" s="758" t="n"/>
      <c r="V49" s="758" t="n"/>
      <c r="W49" s="758" t="n"/>
    </row>
    <row r="50" s="184">
      <c r="A50" s="106" t="n">
        <v>49</v>
      </c>
      <c r="B50" s="754" t="inlineStr">
        <is>
          <t>chanhua</t>
        </is>
      </c>
      <c r="C50" s="761" t="n">
        <v>45674</v>
      </c>
      <c r="D50" s="755" t="inlineStr">
        <is>
          <t>新加坡比特</t>
        </is>
      </c>
      <c r="E50" s="756" t="inlineStr">
        <is>
          <t>ASE-KH</t>
        </is>
      </c>
      <c r="H50" s="756" t="inlineStr">
        <is>
          <t>BM1370BC</t>
        </is>
      </c>
      <c r="I50" s="755">
        <f>VLOOKUP(H50,编码对账表!C:D,2,0)</f>
        <v/>
      </c>
      <c r="J50" s="330" t="n">
        <v>448392</v>
      </c>
      <c r="K50" s="331" t="inlineStr">
        <is>
          <t>202501200021</t>
        </is>
      </c>
      <c r="L50" s="332" t="inlineStr">
        <is>
          <t>1403250120153646</t>
        </is>
      </c>
      <c r="M50" s="757" t="inlineStr">
        <is>
          <t>泰国群光</t>
        </is>
      </c>
      <c r="N50" s="756" t="inlineStr">
        <is>
          <t>CHANHUA PTE. LTD.</t>
        </is>
      </c>
      <c r="O50" s="757" t="n">
        <v>8.327199999999999</v>
      </c>
      <c r="P50" s="346">
        <f>VLOOKUP(L50,[3]BHSC_销售订单明细报表_060825!$E$1:$E$65536,1,FALSE)</f>
        <v/>
      </c>
      <c r="Q50" s="758" t="n"/>
      <c r="R50" s="758" t="n"/>
      <c r="S50" s="758" t="n"/>
      <c r="T50" s="758" t="n"/>
      <c r="U50" s="758" t="n"/>
      <c r="V50" s="758" t="n"/>
      <c r="W50" s="758" t="n"/>
    </row>
    <row r="51" s="184">
      <c r="A51" s="106" t="n">
        <v>50</v>
      </c>
      <c r="B51" s="754" t="inlineStr">
        <is>
          <t>chanhua</t>
        </is>
      </c>
      <c r="C51" s="761" t="n">
        <v>45674</v>
      </c>
      <c r="D51" s="755" t="inlineStr">
        <is>
          <t>新加坡比特</t>
        </is>
      </c>
      <c r="E51" s="756" t="inlineStr">
        <is>
          <t>ASECL</t>
        </is>
      </c>
      <c r="H51" s="756" t="inlineStr">
        <is>
          <t>BM1370BC</t>
        </is>
      </c>
      <c r="I51" s="755">
        <f>VLOOKUP(H51,编码对账表!C:D,2,0)</f>
        <v/>
      </c>
      <c r="J51" s="330" t="n">
        <v>57067</v>
      </c>
      <c r="K51" s="331" t="inlineStr">
        <is>
          <t>202501200021</t>
        </is>
      </c>
      <c r="L51" s="332" t="inlineStr">
        <is>
          <t>1403250120153646</t>
        </is>
      </c>
      <c r="M51" s="757" t="inlineStr">
        <is>
          <t>泰国群光</t>
        </is>
      </c>
      <c r="N51" s="756" t="inlineStr">
        <is>
          <t>CHANHUA PTE. LTD.</t>
        </is>
      </c>
      <c r="O51" s="757" t="n">
        <v>8.327199999999999</v>
      </c>
      <c r="P51" s="346">
        <f>VLOOKUP(L51,[3]BHSC_销售订单明细报表_060825!$E$1:$E$65536,1,FALSE)</f>
        <v/>
      </c>
      <c r="Q51" s="758" t="n"/>
      <c r="R51" s="758" t="n"/>
      <c r="S51" s="758" t="n"/>
      <c r="T51" s="758" t="n"/>
      <c r="U51" s="758" t="n"/>
      <c r="V51" s="758" t="n"/>
      <c r="W51" s="758" t="n"/>
    </row>
    <row r="52" s="184">
      <c r="A52" s="106" t="n">
        <v>51</v>
      </c>
      <c r="B52" s="754" t="inlineStr">
        <is>
          <t>chanhua</t>
        </is>
      </c>
      <c r="C52" s="761" t="n">
        <v>45674</v>
      </c>
      <c r="D52" s="755" t="inlineStr">
        <is>
          <t>新加坡比特</t>
        </is>
      </c>
      <c r="E52" s="756" t="inlineStr">
        <is>
          <t>JSCC</t>
        </is>
      </c>
      <c r="H52" s="756" t="inlineStr">
        <is>
          <t>BM1370BC</t>
        </is>
      </c>
      <c r="I52" s="755">
        <f>VLOOKUP(H52,编码对账表!C:D,2,0)</f>
        <v/>
      </c>
      <c r="J52" s="330" t="n">
        <v>205505</v>
      </c>
      <c r="K52" s="331" t="inlineStr">
        <is>
          <t>202501200021</t>
        </is>
      </c>
      <c r="L52" s="332" t="inlineStr">
        <is>
          <t>1403250120153646</t>
        </is>
      </c>
      <c r="M52" s="757" t="inlineStr">
        <is>
          <t>泰国群光</t>
        </is>
      </c>
      <c r="N52" s="756" t="inlineStr">
        <is>
          <t>CHANHUA PTE. LTD.</t>
        </is>
      </c>
      <c r="O52" s="757" t="n">
        <v>8.327199999999999</v>
      </c>
      <c r="P52" s="346">
        <f>VLOOKUP(L52,[3]BHSC_销售订单明细报表_060825!$E$1:$E$65536,1,FALSE)</f>
        <v/>
      </c>
      <c r="Q52" s="758" t="n"/>
      <c r="R52" s="758" t="n"/>
      <c r="S52" s="758" t="n"/>
      <c r="T52" s="758" t="n"/>
      <c r="U52" s="758" t="n"/>
      <c r="V52" s="758" t="n"/>
      <c r="W52" s="758" t="n"/>
    </row>
    <row r="53" s="184">
      <c r="A53" s="106" t="n">
        <v>52</v>
      </c>
      <c r="B53" s="754" t="inlineStr">
        <is>
          <t>chanhua</t>
        </is>
      </c>
      <c r="C53" s="761" t="n">
        <v>45674</v>
      </c>
      <c r="D53" s="755" t="inlineStr">
        <is>
          <t>新加坡比特</t>
        </is>
      </c>
      <c r="E53" s="756" t="inlineStr">
        <is>
          <t>SPILSZ</t>
        </is>
      </c>
      <c r="H53" s="756" t="inlineStr">
        <is>
          <t>BM1370PA</t>
        </is>
      </c>
      <c r="I53" s="755">
        <f>VLOOKUP(H53,编码对账表!C:D,2,0)</f>
        <v/>
      </c>
      <c r="J53" s="330" t="n">
        <v>221669</v>
      </c>
      <c r="K53" s="331" t="inlineStr">
        <is>
          <t>202501200021</t>
        </is>
      </c>
      <c r="L53" s="332" t="inlineStr">
        <is>
          <t>1403250120153646</t>
        </is>
      </c>
      <c r="M53" s="757" t="inlineStr">
        <is>
          <t>泰国群光</t>
        </is>
      </c>
      <c r="N53" s="756" t="inlineStr">
        <is>
          <t>CHANHUA PTE. LTD.</t>
        </is>
      </c>
      <c r="O53" s="757" t="n">
        <v>8.327199999999999</v>
      </c>
      <c r="P53" s="346">
        <f>VLOOKUP(L53,[3]BHSC_销售订单明细报表_060825!$E$1:$E$65536,1,FALSE)</f>
        <v/>
      </c>
      <c r="Q53" s="758" t="n"/>
      <c r="R53" s="758" t="n"/>
      <c r="S53" s="758" t="n"/>
      <c r="T53" s="758" t="n"/>
      <c r="U53" s="758" t="n"/>
      <c r="V53" s="758" t="n"/>
      <c r="W53" s="758" t="n"/>
    </row>
    <row r="54" s="184">
      <c r="A54" s="106" t="n">
        <v>53</v>
      </c>
      <c r="B54" s="754" t="inlineStr">
        <is>
          <t>chanhua</t>
        </is>
      </c>
      <c r="C54" s="761" t="n">
        <v>45674</v>
      </c>
      <c r="D54" s="755" t="inlineStr">
        <is>
          <t>新加坡比特</t>
        </is>
      </c>
      <c r="E54" s="756" t="inlineStr">
        <is>
          <t>JSCC</t>
        </is>
      </c>
      <c r="H54" s="756" t="inlineStr">
        <is>
          <t>BM1370PA</t>
        </is>
      </c>
      <c r="I54" s="755">
        <f>VLOOKUP(H54,编码对账表!C:D,2,0)</f>
        <v/>
      </c>
      <c r="J54" s="330" t="n">
        <v>585200</v>
      </c>
      <c r="K54" s="331" t="inlineStr">
        <is>
          <t>202501200021</t>
        </is>
      </c>
      <c r="L54" s="332" t="inlineStr">
        <is>
          <t>1403250120153646</t>
        </is>
      </c>
      <c r="M54" s="757" t="inlineStr">
        <is>
          <t>泰国群光</t>
        </is>
      </c>
      <c r="N54" s="756" t="inlineStr">
        <is>
          <t>CHANHUA PTE. LTD.</t>
        </is>
      </c>
      <c r="O54" s="757" t="n">
        <v>8.327199999999999</v>
      </c>
      <c r="P54" s="346">
        <f>VLOOKUP(L54,[3]BHSC_销售订单明细报表_060825!$E$1:$E$65536,1,FALSE)</f>
        <v/>
      </c>
      <c r="Q54" s="758" t="n"/>
      <c r="R54" s="758" t="n"/>
      <c r="S54" s="758" t="n"/>
      <c r="T54" s="758" t="n"/>
      <c r="U54" s="758" t="n"/>
      <c r="V54" s="758" t="n"/>
      <c r="W54" s="758" t="n"/>
    </row>
    <row r="55" s="184">
      <c r="A55" s="106" t="n">
        <v>54</v>
      </c>
      <c r="B55" s="754" t="inlineStr">
        <is>
          <t>chanhua</t>
        </is>
      </c>
      <c r="C55" s="761" t="n">
        <v>45675</v>
      </c>
      <c r="D55" s="755" t="inlineStr">
        <is>
          <t>新加坡比特</t>
        </is>
      </c>
      <c r="E55" s="756" t="inlineStr">
        <is>
          <t>JSCC</t>
        </is>
      </c>
      <c r="H55" s="756" t="inlineStr">
        <is>
          <t>BM1370BC</t>
        </is>
      </c>
      <c r="I55" s="755">
        <f>VLOOKUP(H55,编码对账表!C:D,2,0)</f>
        <v/>
      </c>
      <c r="J55" s="330" t="n">
        <v>364265</v>
      </c>
      <c r="K55" s="331" t="inlineStr">
        <is>
          <t>202501200021</t>
        </is>
      </c>
      <c r="L55" s="332" t="inlineStr">
        <is>
          <t>1403250120153646</t>
        </is>
      </c>
      <c r="M55" s="757" t="inlineStr">
        <is>
          <t>泰国群光</t>
        </is>
      </c>
      <c r="N55" s="756" t="inlineStr">
        <is>
          <t>CHANHUA PTE. LTD.</t>
        </is>
      </c>
      <c r="O55" s="757" t="n">
        <v>8.327199999999999</v>
      </c>
      <c r="P55" s="346">
        <f>VLOOKUP(L55,[3]BHSC_销售订单明细报表_060825!$E$1:$E$65536,1,FALSE)</f>
        <v/>
      </c>
      <c r="Q55" s="758" t="n"/>
      <c r="R55" s="758" t="n"/>
      <c r="S55" s="758" t="n"/>
      <c r="T55" s="758" t="n"/>
      <c r="U55" s="758" t="n"/>
      <c r="V55" s="758" t="n"/>
      <c r="W55" s="758" t="n"/>
    </row>
    <row r="56" s="184">
      <c r="A56" s="106" t="n">
        <v>55</v>
      </c>
      <c r="B56" s="754" t="inlineStr">
        <is>
          <t>chanhua</t>
        </is>
      </c>
      <c r="C56" s="761" t="n">
        <v>45674</v>
      </c>
      <c r="D56" s="755" t="inlineStr">
        <is>
          <t>新加坡比特</t>
        </is>
      </c>
      <c r="E56" s="756" t="inlineStr">
        <is>
          <t>ASECL</t>
        </is>
      </c>
      <c r="H56" s="756" t="inlineStr">
        <is>
          <t>BM1370BC</t>
        </is>
      </c>
      <c r="I56" s="755">
        <f>VLOOKUP(H56,编码对账表!C:D,2,0)</f>
        <v/>
      </c>
      <c r="J56" s="330" t="n">
        <v>102600</v>
      </c>
      <c r="K56" s="331" t="inlineStr">
        <is>
          <t>202501200022</t>
        </is>
      </c>
      <c r="L56" s="332" t="inlineStr">
        <is>
          <t>1403250120153629</t>
        </is>
      </c>
      <c r="M56" s="757" t="inlineStr">
        <is>
          <t>泰国ONETEC</t>
        </is>
      </c>
      <c r="N56" s="756" t="inlineStr">
        <is>
          <t>CHANHUA PTE. LTD.</t>
        </is>
      </c>
      <c r="O56" s="757" t="n">
        <v>8.327199999999999</v>
      </c>
      <c r="P56" s="346">
        <f>VLOOKUP(L56,[3]BHSC_销售订单明细报表_060825!$E$1:$E$65536,1,FALSE)</f>
        <v/>
      </c>
      <c r="Q56" s="758" t="n"/>
      <c r="R56" s="758" t="n"/>
      <c r="S56" s="758" t="n"/>
      <c r="T56" s="758" t="n"/>
      <c r="U56" s="758" t="n"/>
      <c r="V56" s="758" t="n"/>
      <c r="W56" s="758" t="n"/>
    </row>
    <row r="57" s="184">
      <c r="A57" s="106" t="n">
        <v>56</v>
      </c>
      <c r="B57" s="754" t="inlineStr">
        <is>
          <t>chanhua</t>
        </is>
      </c>
      <c r="C57" s="761" t="n">
        <v>45674</v>
      </c>
      <c r="D57" s="755" t="inlineStr">
        <is>
          <t>新加坡比特</t>
        </is>
      </c>
      <c r="E57" s="756" t="inlineStr">
        <is>
          <t>JSCC</t>
        </is>
      </c>
      <c r="H57" s="756" t="inlineStr">
        <is>
          <t>BM1370BC</t>
        </is>
      </c>
      <c r="I57" s="755">
        <f>VLOOKUP(H57,编码对账表!C:D,2,0)</f>
        <v/>
      </c>
      <c r="J57" s="330" t="n">
        <v>200192</v>
      </c>
      <c r="K57" s="331" t="inlineStr">
        <is>
          <t>202501200022</t>
        </is>
      </c>
      <c r="L57" s="332" t="inlineStr">
        <is>
          <t>1403250120153629</t>
        </is>
      </c>
      <c r="M57" s="757" t="inlineStr">
        <is>
          <t>泰国ONETEC</t>
        </is>
      </c>
      <c r="N57" s="756" t="inlineStr">
        <is>
          <t>CHANHUA PTE. LTD.</t>
        </is>
      </c>
      <c r="O57" s="757" t="n">
        <v>8.327199999999999</v>
      </c>
      <c r="P57" s="346">
        <f>VLOOKUP(L57,[3]BHSC_销售订单明细报表_060825!$E$1:$E$65536,1,FALSE)</f>
        <v/>
      </c>
      <c r="Q57" s="758" t="n"/>
      <c r="R57" s="758" t="n"/>
      <c r="S57" s="758" t="n"/>
      <c r="T57" s="758" t="n"/>
      <c r="U57" s="758" t="n"/>
      <c r="V57" s="758" t="n"/>
      <c r="W57" s="758" t="n"/>
    </row>
    <row r="58" s="184">
      <c r="A58" s="106" t="n">
        <v>57</v>
      </c>
      <c r="B58" s="754" t="inlineStr">
        <is>
          <t>chanhua</t>
        </is>
      </c>
      <c r="C58" s="761" t="n">
        <v>45674</v>
      </c>
      <c r="D58" s="755" t="inlineStr">
        <is>
          <t>新加坡比特</t>
        </is>
      </c>
      <c r="E58" s="756" t="inlineStr">
        <is>
          <t>SPILSZ</t>
        </is>
      </c>
      <c r="H58" s="756" t="inlineStr">
        <is>
          <t>BM1370BC</t>
        </is>
      </c>
      <c r="I58" s="755">
        <f>VLOOKUP(H58,编码对账表!C:D,2,0)</f>
        <v/>
      </c>
      <c r="J58" s="330" t="n">
        <v>26600</v>
      </c>
      <c r="K58" s="331" t="inlineStr">
        <is>
          <t>202501200022</t>
        </is>
      </c>
      <c r="L58" s="332" t="inlineStr">
        <is>
          <t>1403250120153629</t>
        </is>
      </c>
      <c r="M58" s="757" t="inlineStr">
        <is>
          <t>泰国ONETEC</t>
        </is>
      </c>
      <c r="N58" s="756" t="inlineStr">
        <is>
          <t>CHANHUA PTE. LTD.</t>
        </is>
      </c>
      <c r="O58" s="757" t="n">
        <v>8.327199999999999</v>
      </c>
      <c r="P58" s="346">
        <f>VLOOKUP(L58,[3]BHSC_销售订单明细报表_060825!$E$1:$E$65536,1,FALSE)</f>
        <v/>
      </c>
      <c r="Q58" s="758" t="n"/>
      <c r="R58" s="758" t="n"/>
      <c r="S58" s="758" t="n"/>
      <c r="T58" s="758" t="n"/>
      <c r="U58" s="758" t="n"/>
      <c r="V58" s="758" t="n"/>
      <c r="W58" s="758" t="n"/>
    </row>
    <row r="59" s="184">
      <c r="A59" s="106" t="n">
        <v>58</v>
      </c>
      <c r="B59" s="754" t="inlineStr">
        <is>
          <t>chanhua</t>
        </is>
      </c>
      <c r="C59" s="761" t="n">
        <v>45674</v>
      </c>
      <c r="D59" s="755" t="inlineStr">
        <is>
          <t>新加坡比特</t>
        </is>
      </c>
      <c r="E59" s="756" t="inlineStr">
        <is>
          <t>ASE-KH</t>
        </is>
      </c>
      <c r="H59" s="756" t="inlineStr">
        <is>
          <t>BM1370PA</t>
        </is>
      </c>
      <c r="I59" s="755">
        <f>VLOOKUP(H59,编码对账表!C:D,2,0)</f>
        <v/>
      </c>
      <c r="J59" s="330" t="n">
        <v>215929</v>
      </c>
      <c r="K59" s="331" t="inlineStr">
        <is>
          <t>202501200022</t>
        </is>
      </c>
      <c r="L59" s="332" t="inlineStr">
        <is>
          <t>1403250120153629</t>
        </is>
      </c>
      <c r="M59" s="757" t="inlineStr">
        <is>
          <t>泰国ONETEC</t>
        </is>
      </c>
      <c r="N59" s="756" t="inlineStr">
        <is>
          <t>CHANHUA PTE. LTD.</t>
        </is>
      </c>
      <c r="O59" s="757" t="n">
        <v>8.327199999999999</v>
      </c>
      <c r="P59" s="346">
        <f>VLOOKUP(L59,[3]BHSC_销售订单明细报表_060825!$E$1:$E$65536,1,FALSE)</f>
        <v/>
      </c>
      <c r="Q59" s="758" t="n"/>
      <c r="R59" s="758" t="n"/>
      <c r="S59" s="758" t="n"/>
      <c r="T59" s="758" t="n"/>
      <c r="U59" s="758" t="n"/>
      <c r="V59" s="758" t="n"/>
      <c r="W59" s="758" t="n"/>
    </row>
    <row r="60" s="184">
      <c r="A60" s="106" t="n">
        <v>59</v>
      </c>
      <c r="B60" s="754" t="inlineStr">
        <is>
          <t>chanhua</t>
        </is>
      </c>
      <c r="C60" s="761" t="n">
        <v>45674</v>
      </c>
      <c r="D60" s="755" t="inlineStr">
        <is>
          <t>新加坡比特</t>
        </is>
      </c>
      <c r="E60" s="756" t="inlineStr">
        <is>
          <t>ASECL</t>
        </is>
      </c>
      <c r="H60" s="756" t="inlineStr">
        <is>
          <t>BM1370PA</t>
        </is>
      </c>
      <c r="I60" s="755">
        <f>VLOOKUP(H60,编码对账表!C:D,2,0)</f>
        <v/>
      </c>
      <c r="J60" s="330" t="n">
        <v>529996</v>
      </c>
      <c r="K60" s="331" t="inlineStr">
        <is>
          <t>202501200022</t>
        </is>
      </c>
      <c r="L60" s="332" t="inlineStr">
        <is>
          <t>1403250120153629</t>
        </is>
      </c>
      <c r="M60" s="757" t="inlineStr">
        <is>
          <t>泰国ONETEC</t>
        </is>
      </c>
      <c r="N60" s="756" t="inlineStr">
        <is>
          <t>CHANHUA PTE. LTD.</t>
        </is>
      </c>
      <c r="O60" s="757" t="n">
        <v>8.327199999999999</v>
      </c>
      <c r="P60" s="346">
        <f>VLOOKUP(L60,[3]BHSC_销售订单明细报表_060825!$E$1:$E$65536,1,FALSE)</f>
        <v/>
      </c>
      <c r="Q60" s="758" t="n"/>
      <c r="R60" s="758" t="n"/>
      <c r="S60" s="758" t="n"/>
      <c r="T60" s="758" t="n"/>
      <c r="U60" s="758" t="n"/>
      <c r="V60" s="758" t="n"/>
      <c r="W60" s="758" t="n"/>
    </row>
    <row r="61" s="184">
      <c r="A61" s="106" t="n">
        <v>60</v>
      </c>
      <c r="B61" s="754" t="inlineStr">
        <is>
          <t>chanhua</t>
        </is>
      </c>
      <c r="C61" s="761" t="n">
        <v>45674</v>
      </c>
      <c r="D61" s="755" t="inlineStr">
        <is>
          <t>新加坡比特</t>
        </is>
      </c>
      <c r="E61" s="756" t="inlineStr">
        <is>
          <t>JSCC</t>
        </is>
      </c>
      <c r="H61" s="756" t="inlineStr">
        <is>
          <t>BM1370PA</t>
        </is>
      </c>
      <c r="I61" s="755">
        <f>VLOOKUP(H61,编码对账表!C:D,2,0)</f>
        <v/>
      </c>
      <c r="J61" s="330" t="n">
        <v>145368</v>
      </c>
      <c r="K61" s="331" t="inlineStr">
        <is>
          <t>202501200022</t>
        </is>
      </c>
      <c r="L61" s="332" t="inlineStr">
        <is>
          <t>1403250120153629</t>
        </is>
      </c>
      <c r="M61" s="757" t="inlineStr">
        <is>
          <t>泰国ONETEC</t>
        </is>
      </c>
      <c r="N61" s="756" t="inlineStr">
        <is>
          <t>CHANHUA PTE. LTD.</t>
        </is>
      </c>
      <c r="O61" s="757" t="n">
        <v>8.327199999999999</v>
      </c>
      <c r="P61" s="346">
        <f>VLOOKUP(L61,[3]BHSC_销售订单明细报表_060825!$E$1:$E$65536,1,FALSE)</f>
        <v/>
      </c>
      <c r="Q61" s="758" t="n"/>
      <c r="R61" s="758" t="n"/>
      <c r="S61" s="758" t="n"/>
      <c r="T61" s="758" t="n"/>
      <c r="U61" s="758" t="n"/>
      <c r="V61" s="758" t="n"/>
      <c r="W61" s="758" t="n"/>
    </row>
    <row r="62" s="184">
      <c r="A62" s="106" t="n">
        <v>61</v>
      </c>
      <c r="B62" s="754" t="inlineStr">
        <is>
          <t>chanhua</t>
        </is>
      </c>
      <c r="C62" s="761" t="n">
        <v>45674</v>
      </c>
      <c r="D62" s="755" t="inlineStr">
        <is>
          <t>新加坡比特</t>
        </is>
      </c>
      <c r="E62" s="756" t="inlineStr">
        <is>
          <t>SPILSZ</t>
        </is>
      </c>
      <c r="H62" s="756" t="inlineStr">
        <is>
          <t>BM1370PA</t>
        </is>
      </c>
      <c r="I62" s="755">
        <f>VLOOKUP(H62,编码对账表!C:D,2,0)</f>
        <v/>
      </c>
      <c r="J62" s="330" t="n">
        <v>855000</v>
      </c>
      <c r="K62" s="331" t="inlineStr">
        <is>
          <t>202501200022</t>
        </is>
      </c>
      <c r="L62" s="332" t="inlineStr">
        <is>
          <t>1403250120153629</t>
        </is>
      </c>
      <c r="M62" s="757" t="inlineStr">
        <is>
          <t>泰国ONETEC</t>
        </is>
      </c>
      <c r="N62" s="756" t="inlineStr">
        <is>
          <t>CHANHUA PTE. LTD.</t>
        </is>
      </c>
      <c r="O62" s="757" t="n">
        <v>8.327199999999999</v>
      </c>
      <c r="P62" s="346">
        <f>VLOOKUP(L62,[3]BHSC_销售订单明细报表_060825!$E$1:$E$65536,1,FALSE)</f>
        <v/>
      </c>
      <c r="Q62" s="758" t="n"/>
      <c r="R62" s="758" t="n"/>
      <c r="S62" s="758" t="n"/>
      <c r="T62" s="758" t="n"/>
      <c r="U62" s="758" t="n"/>
      <c r="V62" s="758" t="n"/>
      <c r="W62" s="758" t="n"/>
    </row>
    <row r="63" s="184">
      <c r="A63" s="106" t="n">
        <v>62</v>
      </c>
      <c r="B63" s="754" t="inlineStr">
        <is>
          <t>chanhua</t>
        </is>
      </c>
      <c r="C63" s="761" t="n">
        <v>45674</v>
      </c>
      <c r="D63" s="755" t="inlineStr">
        <is>
          <t>新加坡比特</t>
        </is>
      </c>
      <c r="E63" s="756" t="inlineStr">
        <is>
          <t>JSCC</t>
        </is>
      </c>
      <c r="H63" s="756" t="inlineStr">
        <is>
          <t>BM1370PM</t>
        </is>
      </c>
      <c r="I63" s="755">
        <f>VLOOKUP(H63,编码对账表!C:D,2,0)</f>
        <v/>
      </c>
      <c r="J63" s="330" t="n">
        <v>527708</v>
      </c>
      <c r="K63" s="331" t="inlineStr">
        <is>
          <t>202501200022</t>
        </is>
      </c>
      <c r="L63" s="332" t="inlineStr">
        <is>
          <t>1403250120153629</t>
        </is>
      </c>
      <c r="M63" s="757" t="inlineStr">
        <is>
          <t>泰国ONETEC</t>
        </is>
      </c>
      <c r="N63" s="756" t="inlineStr">
        <is>
          <t>CHANHUA PTE. LTD.</t>
        </is>
      </c>
      <c r="O63" s="757" t="n">
        <v>8.327199999999999</v>
      </c>
      <c r="P63" s="346">
        <f>VLOOKUP(L63,[3]BHSC_销售订单明细报表_060825!$E$1:$E$65536,1,FALSE)</f>
        <v/>
      </c>
      <c r="Q63" s="758" t="n"/>
      <c r="R63" s="758" t="n"/>
      <c r="S63" s="758" t="n"/>
      <c r="T63" s="758" t="n"/>
      <c r="U63" s="758" t="n"/>
      <c r="V63" s="758" t="n"/>
      <c r="W63" s="758" t="n"/>
    </row>
    <row r="64" s="184">
      <c r="A64" s="106" t="n">
        <v>63</v>
      </c>
      <c r="B64" s="754" t="inlineStr">
        <is>
          <t>chanhua</t>
        </is>
      </c>
      <c r="C64" s="761" t="n">
        <v>45675</v>
      </c>
      <c r="D64" s="755" t="inlineStr">
        <is>
          <t>新加坡比特</t>
        </is>
      </c>
      <c r="E64" s="756" t="inlineStr">
        <is>
          <t>JSCC</t>
        </is>
      </c>
      <c r="H64" s="756" t="inlineStr">
        <is>
          <t>BM1370BC</t>
        </is>
      </c>
      <c r="I64" s="755">
        <f>VLOOKUP(H64,编码对账表!C:D,2,0)</f>
        <v/>
      </c>
      <c r="J64" s="330" t="n">
        <v>32965</v>
      </c>
      <c r="K64" s="331" t="inlineStr">
        <is>
          <t>202501200022</t>
        </is>
      </c>
      <c r="L64" s="332" t="inlineStr">
        <is>
          <t>1403250120153629</t>
        </is>
      </c>
      <c r="M64" s="757" t="inlineStr">
        <is>
          <t>泰国ONETEC</t>
        </is>
      </c>
      <c r="N64" s="756" t="inlineStr">
        <is>
          <t>CHANHUA PTE. LTD.</t>
        </is>
      </c>
      <c r="O64" s="757" t="n">
        <v>8.327199999999999</v>
      </c>
      <c r="P64" s="346">
        <f>VLOOKUP(L64,[3]BHSC_销售订单明细报表_060825!$E$1:$E$65536,1,FALSE)</f>
        <v/>
      </c>
      <c r="Q64" s="758" t="n"/>
      <c r="R64" s="758" t="n"/>
      <c r="S64" s="758" t="n"/>
      <c r="T64" s="758" t="n"/>
      <c r="U64" s="758" t="n"/>
      <c r="V64" s="758" t="n"/>
      <c r="W64" s="758" t="n"/>
    </row>
    <row r="65" s="184">
      <c r="A65" s="106" t="n">
        <v>64</v>
      </c>
      <c r="B65" s="754" t="inlineStr">
        <is>
          <t>chanhua</t>
        </is>
      </c>
      <c r="C65" s="761" t="n">
        <v>45675</v>
      </c>
      <c r="D65" s="755" t="inlineStr">
        <is>
          <t>新加坡比特</t>
        </is>
      </c>
      <c r="E65" s="756" t="inlineStr">
        <is>
          <t>SPILSZ</t>
        </is>
      </c>
      <c r="H65" s="756" t="inlineStr">
        <is>
          <t>BM1370BC</t>
        </is>
      </c>
      <c r="I65" s="755">
        <f>VLOOKUP(H65,编码对账表!C:D,2,0)</f>
        <v/>
      </c>
      <c r="J65" s="330" t="n">
        <v>26600</v>
      </c>
      <c r="K65" s="331" t="inlineStr">
        <is>
          <t>202501200022</t>
        </is>
      </c>
      <c r="L65" s="332" t="inlineStr">
        <is>
          <t>1403250120153629</t>
        </is>
      </c>
      <c r="M65" s="757" t="inlineStr">
        <is>
          <t>泰国ONETEC</t>
        </is>
      </c>
      <c r="N65" s="756" t="inlineStr">
        <is>
          <t>CHANHUA PTE. LTD.</t>
        </is>
      </c>
      <c r="O65" s="757" t="n">
        <v>8.327199999999999</v>
      </c>
      <c r="P65" s="346">
        <f>VLOOKUP(L65,[3]BHSC_销售订单明细报表_060825!$E$1:$E$65536,1,FALSE)</f>
        <v/>
      </c>
      <c r="Q65" s="758" t="n"/>
      <c r="R65" s="758" t="n"/>
      <c r="S65" s="758" t="n"/>
      <c r="T65" s="758" t="n"/>
      <c r="U65" s="758" t="n"/>
      <c r="V65" s="758" t="n"/>
      <c r="W65" s="758" t="n"/>
    </row>
    <row r="66" s="184">
      <c r="A66" s="106" t="n">
        <v>65</v>
      </c>
      <c r="B66" s="754" t="inlineStr">
        <is>
          <t>chanhua</t>
        </is>
      </c>
      <c r="C66" s="761" t="n">
        <v>45675</v>
      </c>
      <c r="D66" s="755" t="inlineStr">
        <is>
          <t>新加坡比特</t>
        </is>
      </c>
      <c r="E66" s="756" t="inlineStr">
        <is>
          <t>JSCC</t>
        </is>
      </c>
      <c r="H66" s="756" t="inlineStr">
        <is>
          <t>BM1370PM</t>
        </is>
      </c>
      <c r="I66" s="755">
        <f>VLOOKUP(H66,编码对账表!C:D,2,0)</f>
        <v/>
      </c>
      <c r="J66" s="330" t="n">
        <v>159573</v>
      </c>
      <c r="K66" s="331" t="inlineStr">
        <is>
          <t>202501200022</t>
        </is>
      </c>
      <c r="L66" s="332" t="inlineStr">
        <is>
          <t>1403250120153629</t>
        </is>
      </c>
      <c r="M66" s="757" t="inlineStr">
        <is>
          <t>泰国ONETEC</t>
        </is>
      </c>
      <c r="N66" s="756" t="inlineStr">
        <is>
          <t>CHANHUA PTE. LTD.</t>
        </is>
      </c>
      <c r="O66" s="757" t="n">
        <v>8.327199999999999</v>
      </c>
      <c r="P66" s="346">
        <f>VLOOKUP(L66,[3]BHSC_销售订单明细报表_060825!$E$1:$E$65536,1,FALSE)</f>
        <v/>
      </c>
      <c r="Q66" s="758" t="n"/>
      <c r="R66" s="758" t="n"/>
      <c r="S66" s="758" t="n"/>
      <c r="T66" s="758" t="n"/>
      <c r="U66" s="758" t="n"/>
      <c r="V66" s="758" t="n"/>
      <c r="W66" s="758" t="n"/>
    </row>
    <row r="67" s="184">
      <c r="A67" s="106" t="n">
        <v>66</v>
      </c>
      <c r="B67" s="754" t="inlineStr">
        <is>
          <t>chanhua</t>
        </is>
      </c>
      <c r="C67" s="761" t="n">
        <v>45674</v>
      </c>
      <c r="D67" s="755" t="inlineStr">
        <is>
          <t>新加坡比特</t>
        </is>
      </c>
      <c r="E67" s="756" t="inlineStr">
        <is>
          <t>ASE-KH</t>
        </is>
      </c>
      <c r="H67" s="756" t="inlineStr">
        <is>
          <t>BM1368PB</t>
        </is>
      </c>
      <c r="I67" s="755">
        <f>VLOOKUP(H67,编码对账表!C:D,2,0)</f>
        <v/>
      </c>
      <c r="J67" s="330" t="n">
        <v>220096</v>
      </c>
      <c r="K67" s="331" t="inlineStr">
        <is>
          <t>202501200023</t>
        </is>
      </c>
      <c r="L67" s="332" t="inlineStr">
        <is>
          <t>1403250120153615</t>
        </is>
      </c>
      <c r="M67" s="757" t="inlineStr">
        <is>
          <t>PIE</t>
        </is>
      </c>
      <c r="N67" s="756" t="inlineStr">
        <is>
          <t>CHANHUA PTE. LTD.</t>
        </is>
      </c>
      <c r="O67" s="757" t="n">
        <v>4.382</v>
      </c>
      <c r="P67" s="346">
        <f>VLOOKUP(L67,[3]BHSC_销售订单明细报表_060825!$E$1:$E$65536,1,FALSE)</f>
        <v/>
      </c>
      <c r="Q67" s="758" t="n"/>
      <c r="R67" s="758" t="n"/>
      <c r="S67" s="758" t="n"/>
      <c r="T67" s="758" t="n"/>
      <c r="U67" s="758" t="n"/>
      <c r="V67" s="758" t="n"/>
      <c r="W67" s="758" t="n"/>
    </row>
    <row r="68" s="184">
      <c r="A68" s="106" t="n">
        <v>67</v>
      </c>
      <c r="B68" s="754" t="inlineStr">
        <is>
          <t>chanhua</t>
        </is>
      </c>
      <c r="C68" s="761" t="n">
        <v>45674</v>
      </c>
      <c r="D68" s="755" t="inlineStr">
        <is>
          <t>新加坡比特</t>
        </is>
      </c>
      <c r="E68" s="756" t="inlineStr">
        <is>
          <t>JSCC</t>
        </is>
      </c>
      <c r="H68" s="756" t="inlineStr">
        <is>
          <t>BM1368PB</t>
        </is>
      </c>
      <c r="I68" s="755">
        <f>VLOOKUP(H68,编码对账表!C:D,2,0)</f>
        <v/>
      </c>
      <c r="J68" s="330" t="n">
        <v>24959</v>
      </c>
      <c r="K68" s="331" t="inlineStr">
        <is>
          <t>202501200023</t>
        </is>
      </c>
      <c r="L68" s="332" t="inlineStr">
        <is>
          <t>1403250120153615</t>
        </is>
      </c>
      <c r="M68" s="757" t="inlineStr">
        <is>
          <t>PIE</t>
        </is>
      </c>
      <c r="N68" s="756" t="inlineStr">
        <is>
          <t>CHANHUA PTE. LTD.</t>
        </is>
      </c>
      <c r="O68" s="757" t="n">
        <v>4.382</v>
      </c>
      <c r="P68" s="346">
        <f>VLOOKUP(L68,[3]BHSC_销售订单明细报表_060825!$E$1:$E$65536,1,FALSE)</f>
        <v/>
      </c>
      <c r="Q68" s="758" t="n"/>
      <c r="R68" s="758" t="n"/>
      <c r="S68" s="758" t="n"/>
      <c r="T68" s="758" t="n"/>
      <c r="U68" s="758" t="n"/>
      <c r="V68" s="758" t="n"/>
      <c r="W68" s="758" t="n"/>
    </row>
    <row r="69" s="184">
      <c r="A69" s="106" t="n">
        <v>68</v>
      </c>
      <c r="B69" s="754" t="inlineStr">
        <is>
          <t>chanhua</t>
        </is>
      </c>
      <c r="C69" s="761" t="n">
        <v>45674</v>
      </c>
      <c r="D69" s="755" t="inlineStr">
        <is>
          <t>新加坡比特</t>
        </is>
      </c>
      <c r="E69" s="756" t="inlineStr">
        <is>
          <t>SPILSZ</t>
        </is>
      </c>
      <c r="H69" s="756" t="inlineStr">
        <is>
          <t>BM1368PB</t>
        </is>
      </c>
      <c r="I69" s="755">
        <f>VLOOKUP(H69,编码对账表!C:D,2,0)</f>
        <v/>
      </c>
      <c r="J69" s="330" t="n">
        <v>22259</v>
      </c>
      <c r="K69" s="331" t="inlineStr">
        <is>
          <t>202501200023</t>
        </is>
      </c>
      <c r="L69" s="332" t="inlineStr">
        <is>
          <t>1403250120153615</t>
        </is>
      </c>
      <c r="M69" s="757" t="inlineStr">
        <is>
          <t>PIE</t>
        </is>
      </c>
      <c r="N69" s="756" t="inlineStr">
        <is>
          <t>CHANHUA PTE. LTD.</t>
        </is>
      </c>
      <c r="O69" s="757" t="n">
        <v>4.382</v>
      </c>
      <c r="P69" s="346">
        <f>VLOOKUP(L69,[3]BHSC_销售订单明细报表_060825!$E$1:$E$65536,1,FALSE)</f>
        <v/>
      </c>
      <c r="Q69" s="758" t="n"/>
      <c r="R69" s="758" t="n"/>
      <c r="S69" s="758" t="n"/>
      <c r="T69" s="758" t="n"/>
      <c r="U69" s="758" t="n"/>
      <c r="V69" s="758" t="n"/>
      <c r="W69" s="758" t="n"/>
    </row>
    <row r="70" s="184">
      <c r="A70" s="106" t="n">
        <v>69</v>
      </c>
      <c r="B70" s="754" t="inlineStr">
        <is>
          <t>chanhua</t>
        </is>
      </c>
      <c r="C70" s="761" t="n">
        <v>45674</v>
      </c>
      <c r="D70" s="755" t="inlineStr">
        <is>
          <t>新加坡比特</t>
        </is>
      </c>
      <c r="E70" s="756" t="inlineStr">
        <is>
          <t>WX-HN</t>
        </is>
      </c>
      <c r="H70" s="756" t="inlineStr">
        <is>
          <t>BM1368PB</t>
        </is>
      </c>
      <c r="I70" s="755">
        <f>VLOOKUP(H70,编码对账表!C:D,2,0)</f>
        <v/>
      </c>
      <c r="J70" s="330" t="n">
        <v>365486</v>
      </c>
      <c r="K70" s="331" t="inlineStr">
        <is>
          <t>202501200023</t>
        </is>
      </c>
      <c r="L70" s="332" t="inlineStr">
        <is>
          <t>1403250120153615</t>
        </is>
      </c>
      <c r="M70" s="757" t="inlineStr">
        <is>
          <t>PIE</t>
        </is>
      </c>
      <c r="N70" s="756" t="inlineStr">
        <is>
          <t>CHANHUA PTE. LTD.</t>
        </is>
      </c>
      <c r="O70" s="757" t="n">
        <v>4.382</v>
      </c>
      <c r="P70" s="346">
        <f>VLOOKUP(L70,[3]BHSC_销售订单明细报表_060825!$E$1:$E$65536,1,FALSE)</f>
        <v/>
      </c>
      <c r="Q70" s="758" t="n"/>
      <c r="R70" s="758" t="n"/>
      <c r="S70" s="758" t="n"/>
      <c r="T70" s="758" t="n"/>
      <c r="U70" s="758" t="n"/>
      <c r="V70" s="758" t="n"/>
      <c r="W70" s="758" t="n"/>
    </row>
    <row r="71" s="184">
      <c r="A71" s="106" t="n">
        <v>70</v>
      </c>
      <c r="B71" s="754" t="inlineStr">
        <is>
          <t>chanhua</t>
        </is>
      </c>
      <c r="C71" s="761" t="n">
        <v>45674</v>
      </c>
      <c r="D71" s="755" t="inlineStr">
        <is>
          <t>新加坡比特</t>
        </is>
      </c>
      <c r="E71" s="756" t="inlineStr">
        <is>
          <t>JSCC</t>
        </is>
      </c>
      <c r="H71" s="756" t="inlineStr">
        <is>
          <t>BM1368PV</t>
        </is>
      </c>
      <c r="I71" s="755">
        <f>VLOOKUP(H71,编码对账表!C:D,2,0)</f>
        <v/>
      </c>
      <c r="J71" s="330" t="n">
        <v>1871</v>
      </c>
      <c r="K71" s="331" t="inlineStr">
        <is>
          <t>202501200023</t>
        </is>
      </c>
      <c r="L71" s="332" t="inlineStr">
        <is>
          <t>1403250120153615</t>
        </is>
      </c>
      <c r="M71" s="757" t="inlineStr">
        <is>
          <t>PIE</t>
        </is>
      </c>
      <c r="N71" s="756" t="inlineStr">
        <is>
          <t>CHANHUA PTE. LTD.</t>
        </is>
      </c>
      <c r="O71" s="757" t="n">
        <v>4.382</v>
      </c>
      <c r="P71" s="346">
        <f>VLOOKUP(L71,[3]BHSC_销售订单明细报表_060825!$E$1:$E$65536,1,FALSE)</f>
        <v/>
      </c>
      <c r="Q71" s="758" t="n"/>
      <c r="R71" s="758" t="n"/>
      <c r="S71" s="758" t="n"/>
      <c r="T71" s="758" t="n"/>
      <c r="U71" s="758" t="n"/>
      <c r="V71" s="758" t="n"/>
      <c r="W71" s="758" t="n"/>
    </row>
    <row r="72" s="184">
      <c r="A72" s="106" t="n">
        <v>71</v>
      </c>
      <c r="B72" s="754" t="inlineStr">
        <is>
          <t>chanhua</t>
        </is>
      </c>
      <c r="C72" s="761" t="n">
        <v>45674</v>
      </c>
      <c r="D72" s="755" t="inlineStr">
        <is>
          <t>新加坡比特</t>
        </is>
      </c>
      <c r="E72" s="756" t="inlineStr">
        <is>
          <t>JSCC</t>
        </is>
      </c>
      <c r="H72" s="756" t="inlineStr">
        <is>
          <t>BM1370BC</t>
        </is>
      </c>
      <c r="I72" s="755">
        <f>VLOOKUP(H72,编码对账表!C:D,2,0)</f>
        <v/>
      </c>
      <c r="J72" s="330" t="n">
        <v>142418</v>
      </c>
      <c r="K72" s="331" t="inlineStr">
        <is>
          <t>202501200023</t>
        </is>
      </c>
      <c r="L72" s="332" t="inlineStr">
        <is>
          <t>1403250120153615</t>
        </is>
      </c>
      <c r="M72" s="757" t="inlineStr">
        <is>
          <t>PIE</t>
        </is>
      </c>
      <c r="N72" s="756" t="inlineStr">
        <is>
          <t>CHANHUA PTE. LTD.</t>
        </is>
      </c>
      <c r="O72" s="757" t="n">
        <v>8.327199999999999</v>
      </c>
      <c r="P72" s="346">
        <f>VLOOKUP(L72,[3]BHSC_销售订单明细报表_060825!$E$1:$E$65536,1,FALSE)</f>
        <v/>
      </c>
      <c r="Q72" s="758" t="n"/>
      <c r="R72" s="758" t="n"/>
      <c r="S72" s="758" t="n"/>
      <c r="T72" s="758" t="n"/>
      <c r="U72" s="758" t="n"/>
      <c r="V72" s="758" t="n"/>
      <c r="W72" s="758" t="n"/>
    </row>
    <row r="73" s="184">
      <c r="A73" s="106" t="n">
        <v>72</v>
      </c>
      <c r="B73" s="754" t="inlineStr">
        <is>
          <t>chanhua</t>
        </is>
      </c>
      <c r="C73" s="761" t="n">
        <v>45674</v>
      </c>
      <c r="D73" s="755" t="inlineStr">
        <is>
          <t>新加坡比特</t>
        </is>
      </c>
      <c r="E73" s="756" t="inlineStr">
        <is>
          <t>SPILSZ</t>
        </is>
      </c>
      <c r="H73" s="756" t="inlineStr">
        <is>
          <t>BM1370BC</t>
        </is>
      </c>
      <c r="I73" s="755">
        <f>VLOOKUP(H73,编码对账表!C:D,2,0)</f>
        <v/>
      </c>
      <c r="J73" s="330" t="n">
        <v>380016</v>
      </c>
      <c r="K73" s="331" t="inlineStr">
        <is>
          <t>202501200023</t>
        </is>
      </c>
      <c r="L73" s="332" t="inlineStr">
        <is>
          <t>1403250120153615</t>
        </is>
      </c>
      <c r="M73" s="757" t="inlineStr">
        <is>
          <t>PIE</t>
        </is>
      </c>
      <c r="N73" s="756" t="inlineStr">
        <is>
          <t>CHANHUA PTE. LTD.</t>
        </is>
      </c>
      <c r="O73" s="757" t="n">
        <v>8.327199999999999</v>
      </c>
      <c r="P73" s="346">
        <f>VLOOKUP(L73,[3]BHSC_销售订单明细报表_060825!$E$1:$E$65536,1,FALSE)</f>
        <v/>
      </c>
      <c r="Q73" s="758" t="n"/>
      <c r="R73" s="758" t="n"/>
      <c r="S73" s="758" t="n"/>
      <c r="T73" s="758" t="n"/>
      <c r="U73" s="758" t="n"/>
      <c r="V73" s="758" t="n"/>
      <c r="W73" s="758" t="n"/>
    </row>
    <row r="74" s="184">
      <c r="A74" s="106" t="n">
        <v>73</v>
      </c>
      <c r="B74" s="754" t="inlineStr">
        <is>
          <t>chanhua</t>
        </is>
      </c>
      <c r="C74" s="761" t="n">
        <v>45674</v>
      </c>
      <c r="D74" s="755" t="inlineStr">
        <is>
          <t>新加坡比特</t>
        </is>
      </c>
      <c r="E74" s="756" t="inlineStr">
        <is>
          <t>SPILSZ</t>
        </is>
      </c>
      <c r="H74" s="756" t="inlineStr">
        <is>
          <t>BM1370PA</t>
        </is>
      </c>
      <c r="I74" s="755">
        <f>VLOOKUP(H74,编码对账表!C:D,2,0)</f>
        <v/>
      </c>
      <c r="J74" s="330" t="n">
        <v>205200</v>
      </c>
      <c r="K74" s="331" t="inlineStr">
        <is>
          <t>202501200023</t>
        </is>
      </c>
      <c r="L74" s="332" t="inlineStr">
        <is>
          <t>1403250120153615</t>
        </is>
      </c>
      <c r="M74" s="757" t="inlineStr">
        <is>
          <t>PIE</t>
        </is>
      </c>
      <c r="N74" s="756" t="inlineStr">
        <is>
          <t>CHANHUA PTE. LTD.</t>
        </is>
      </c>
      <c r="O74" s="757" t="n">
        <v>8.327199999999999</v>
      </c>
      <c r="P74" s="346">
        <f>VLOOKUP(L74,[3]BHSC_销售订单明细报表_060825!$E$1:$E$65536,1,FALSE)</f>
        <v/>
      </c>
      <c r="Q74" s="758" t="n"/>
      <c r="R74" s="758" t="n"/>
      <c r="S74" s="758" t="n"/>
      <c r="T74" s="758" t="n"/>
      <c r="U74" s="758" t="n"/>
      <c r="V74" s="758" t="n"/>
      <c r="W74" s="758" t="n"/>
    </row>
    <row r="75" s="184">
      <c r="A75" s="106" t="n">
        <v>74</v>
      </c>
      <c r="B75" s="754" t="inlineStr">
        <is>
          <t>chanhua</t>
        </is>
      </c>
      <c r="C75" s="761" t="n">
        <v>45674</v>
      </c>
      <c r="D75" s="755" t="inlineStr">
        <is>
          <t>新加坡比特</t>
        </is>
      </c>
      <c r="E75" s="756" t="inlineStr">
        <is>
          <t>JSCC</t>
        </is>
      </c>
      <c r="H75" s="756" t="inlineStr">
        <is>
          <t>BM1370PM</t>
        </is>
      </c>
      <c r="I75" s="755">
        <f>VLOOKUP(H75,编码对账表!C:D,2,0)</f>
        <v/>
      </c>
      <c r="J75" s="330" t="n">
        <v>316144</v>
      </c>
      <c r="K75" s="331" t="inlineStr">
        <is>
          <t>202501200023</t>
        </is>
      </c>
      <c r="L75" s="332" t="inlineStr">
        <is>
          <t>1403250120153615</t>
        </is>
      </c>
      <c r="M75" s="757" t="inlineStr">
        <is>
          <t>PIE</t>
        </is>
      </c>
      <c r="N75" s="756" t="inlineStr">
        <is>
          <t>CHANHUA PTE. LTD.</t>
        </is>
      </c>
      <c r="O75" s="757" t="n">
        <v>8.327199999999999</v>
      </c>
      <c r="P75" s="346">
        <f>VLOOKUP(L75,[3]BHSC_销售订单明细报表_060825!$E$1:$E$65536,1,FALSE)</f>
        <v/>
      </c>
      <c r="Q75" s="758" t="n"/>
      <c r="R75" s="758" t="n"/>
      <c r="S75" s="758" t="n"/>
      <c r="T75" s="758" t="n"/>
      <c r="U75" s="758" t="n"/>
      <c r="V75" s="758" t="n"/>
      <c r="W75" s="758" t="n"/>
    </row>
    <row r="76" s="184">
      <c r="A76" s="106" t="n">
        <v>75</v>
      </c>
      <c r="B76" s="754" t="inlineStr">
        <is>
          <t>chanhua</t>
        </is>
      </c>
      <c r="C76" s="761" t="n">
        <v>45675</v>
      </c>
      <c r="D76" s="755" t="inlineStr">
        <is>
          <t>新加坡比特</t>
        </is>
      </c>
      <c r="E76" s="756" t="inlineStr">
        <is>
          <t>SPILSZ</t>
        </is>
      </c>
      <c r="H76" s="756" t="inlineStr">
        <is>
          <t>BM1370BC</t>
        </is>
      </c>
      <c r="I76" s="755">
        <f>VLOOKUP(H76,编码对账表!C:D,2,0)</f>
        <v/>
      </c>
      <c r="J76" s="330" t="n">
        <v>159600</v>
      </c>
      <c r="K76" s="331" t="inlineStr">
        <is>
          <t>202501200023</t>
        </is>
      </c>
      <c r="L76" s="332" t="inlineStr">
        <is>
          <t>1403250120153615</t>
        </is>
      </c>
      <c r="M76" s="757" t="inlineStr">
        <is>
          <t>PIE</t>
        </is>
      </c>
      <c r="N76" s="756" t="inlineStr">
        <is>
          <t>CHANHUA PTE. LTD.</t>
        </is>
      </c>
      <c r="O76" s="757" t="n">
        <v>8.327199999999999</v>
      </c>
      <c r="P76" s="346">
        <f>VLOOKUP(L76,[3]BHSC_销售订单明细报表_060825!$E$1:$E$65536,1,FALSE)</f>
        <v/>
      </c>
      <c r="Q76" s="758" t="n"/>
      <c r="R76" s="758" t="n"/>
      <c r="S76" s="758" t="n"/>
      <c r="T76" s="758" t="n"/>
      <c r="U76" s="758" t="n"/>
      <c r="V76" s="758" t="n"/>
      <c r="W76" s="758" t="n"/>
    </row>
    <row r="77" s="184">
      <c r="A77" s="106" t="n">
        <v>76</v>
      </c>
      <c r="B77" s="754" t="inlineStr">
        <is>
          <t>chanhua</t>
        </is>
      </c>
      <c r="C77" s="761" t="n">
        <v>45675</v>
      </c>
      <c r="D77" s="755" t="inlineStr">
        <is>
          <t>新加坡比特</t>
        </is>
      </c>
      <c r="E77" s="756" t="inlineStr">
        <is>
          <t>SPILSZ</t>
        </is>
      </c>
      <c r="H77" s="756" t="inlineStr">
        <is>
          <t>BM1370PA</t>
        </is>
      </c>
      <c r="I77" s="755">
        <f>VLOOKUP(H77,编码对账表!C:D,2,0)</f>
        <v/>
      </c>
      <c r="J77" s="330" t="n">
        <v>79800</v>
      </c>
      <c r="K77" s="331" t="inlineStr">
        <is>
          <t>202501200023</t>
        </is>
      </c>
      <c r="L77" s="332" t="inlineStr">
        <is>
          <t>1403250120153615</t>
        </is>
      </c>
      <c r="M77" s="757" t="inlineStr">
        <is>
          <t>PIE</t>
        </is>
      </c>
      <c r="N77" s="756" t="inlineStr">
        <is>
          <t>CHANHUA PTE. LTD.</t>
        </is>
      </c>
      <c r="O77" s="757" t="n">
        <v>8.327199999999999</v>
      </c>
      <c r="P77" s="346">
        <f>VLOOKUP(L77,[3]BHSC_销售订单明细报表_060825!$E$1:$E$65536,1,FALSE)</f>
        <v/>
      </c>
      <c r="Q77" s="758" t="n"/>
      <c r="R77" s="758" t="n"/>
      <c r="S77" s="758" t="n"/>
      <c r="T77" s="758" t="n"/>
      <c r="U77" s="758" t="n"/>
      <c r="V77" s="758" t="n"/>
      <c r="W77" s="758" t="n"/>
    </row>
    <row r="78" s="184">
      <c r="A78" s="106" t="n">
        <v>77</v>
      </c>
      <c r="B78" s="754" t="inlineStr">
        <is>
          <t>chanhua</t>
        </is>
      </c>
      <c r="C78" s="761" t="n">
        <v>45674</v>
      </c>
      <c r="D78" s="755" t="inlineStr">
        <is>
          <t>新加坡比特</t>
        </is>
      </c>
      <c r="E78" s="756" t="inlineStr">
        <is>
          <t>ASE-KH</t>
        </is>
      </c>
      <c r="H78" s="756" t="inlineStr">
        <is>
          <t>BM1370BC</t>
        </is>
      </c>
      <c r="I78" s="755">
        <f>VLOOKUP(H78,编码对账表!C:D,2,0)</f>
        <v/>
      </c>
      <c r="J78" s="330" t="n">
        <v>43774</v>
      </c>
      <c r="K78" s="331" t="inlineStr">
        <is>
          <t>202501200024</t>
        </is>
      </c>
      <c r="L78" s="332" t="inlineStr">
        <is>
          <t>1403250120153557</t>
        </is>
      </c>
      <c r="M78" s="757" t="inlineStr">
        <is>
          <t>Nationgate</t>
        </is>
      </c>
      <c r="N78" s="756" t="inlineStr">
        <is>
          <t>CHANHUA PTE. LTD.</t>
        </is>
      </c>
      <c r="O78" s="757" t="n">
        <v>8.327199999999999</v>
      </c>
      <c r="P78" s="346">
        <f>VLOOKUP(L78,[3]BHSC_销售订单明细报表_060825!$E$1:$E$65536,1,FALSE)</f>
        <v/>
      </c>
      <c r="Q78" s="758" t="n"/>
      <c r="R78" s="758" t="n"/>
      <c r="S78" s="758" t="n"/>
      <c r="T78" s="758" t="n"/>
      <c r="U78" s="758" t="n"/>
      <c r="V78" s="758" t="n"/>
      <c r="W78" s="758" t="n"/>
    </row>
    <row r="79" s="184">
      <c r="A79" s="106" t="n">
        <v>78</v>
      </c>
      <c r="B79" s="754" t="inlineStr">
        <is>
          <t>chanhua</t>
        </is>
      </c>
      <c r="C79" s="761" t="n">
        <v>45674</v>
      </c>
      <c r="D79" s="755" t="inlineStr">
        <is>
          <t>新加坡比特</t>
        </is>
      </c>
      <c r="E79" s="756" t="inlineStr">
        <is>
          <t>ASE-KH</t>
        </is>
      </c>
      <c r="H79" s="756" t="inlineStr">
        <is>
          <t>BM1370PA</t>
        </is>
      </c>
      <c r="I79" s="755">
        <f>VLOOKUP(H79,编码对账表!C:D,2,0)</f>
        <v/>
      </c>
      <c r="J79" s="330" t="n">
        <v>53066</v>
      </c>
      <c r="K79" s="331" t="inlineStr">
        <is>
          <t>202501200024</t>
        </is>
      </c>
      <c r="L79" s="332" t="inlineStr">
        <is>
          <t>1403250120153557</t>
        </is>
      </c>
      <c r="M79" s="757" t="inlineStr">
        <is>
          <t>Nationgate</t>
        </is>
      </c>
      <c r="N79" s="756" t="inlineStr">
        <is>
          <t>CHANHUA PTE. LTD.</t>
        </is>
      </c>
      <c r="O79" s="757" t="n">
        <v>8.327199999999999</v>
      </c>
      <c r="P79" s="346">
        <f>VLOOKUP(L79,[3]BHSC_销售订单明细报表_060825!$E$1:$E$65536,1,FALSE)</f>
        <v/>
      </c>
      <c r="Q79" s="758" t="n"/>
      <c r="R79" s="758" t="n"/>
      <c r="S79" s="758" t="n"/>
      <c r="T79" s="758" t="n"/>
      <c r="U79" s="758" t="n"/>
      <c r="V79" s="758" t="n"/>
      <c r="W79" s="758" t="n"/>
    </row>
    <row r="80" s="184">
      <c r="A80" s="106" t="n">
        <v>79</v>
      </c>
      <c r="B80" s="754" t="inlineStr">
        <is>
          <t>chanhua</t>
        </is>
      </c>
      <c r="C80" s="761" t="n">
        <v>45674</v>
      </c>
      <c r="D80" s="755" t="inlineStr">
        <is>
          <t>新加坡比特</t>
        </is>
      </c>
      <c r="E80" s="756" t="inlineStr">
        <is>
          <t>ASECL</t>
        </is>
      </c>
      <c r="H80" s="756" t="inlineStr">
        <is>
          <t>BM1370PA</t>
        </is>
      </c>
      <c r="I80" s="755">
        <f>VLOOKUP(H80,编码对账表!C:D,2,0)</f>
        <v/>
      </c>
      <c r="J80" s="330" t="n">
        <v>155800</v>
      </c>
      <c r="K80" s="331" t="inlineStr">
        <is>
          <t>202501200024</t>
        </is>
      </c>
      <c r="L80" s="332" t="inlineStr">
        <is>
          <t>1403250120153557</t>
        </is>
      </c>
      <c r="M80" s="757" t="inlineStr">
        <is>
          <t>Nationgate</t>
        </is>
      </c>
      <c r="N80" s="756" t="inlineStr">
        <is>
          <t>CHANHUA PTE. LTD.</t>
        </is>
      </c>
      <c r="O80" s="757" t="n">
        <v>8.327199999999999</v>
      </c>
      <c r="P80" s="346">
        <f>VLOOKUP(L80,[3]BHSC_销售订单明细报表_060825!$E$1:$E$65536,1,FALSE)</f>
        <v/>
      </c>
      <c r="Q80" s="758" t="n"/>
      <c r="R80" s="758" t="n"/>
      <c r="S80" s="758" t="n"/>
      <c r="T80" s="758" t="n"/>
      <c r="U80" s="758" t="n"/>
      <c r="V80" s="758" t="n"/>
      <c r="W80" s="758" t="n"/>
    </row>
    <row r="81" s="184">
      <c r="A81" s="106" t="n">
        <v>80</v>
      </c>
      <c r="B81" s="754" t="inlineStr">
        <is>
          <t>chanhua</t>
        </is>
      </c>
      <c r="C81" s="761" t="n">
        <v>45675</v>
      </c>
      <c r="D81" s="755" t="inlineStr">
        <is>
          <t>新加坡比特</t>
        </is>
      </c>
      <c r="E81" s="756" t="inlineStr">
        <is>
          <t>SPILSZ</t>
        </is>
      </c>
      <c r="H81" s="756" t="inlineStr">
        <is>
          <t>BM1370PA</t>
        </is>
      </c>
      <c r="I81" s="755">
        <f>VLOOKUP(H81,编码对账表!C:D,2,0)</f>
        <v/>
      </c>
      <c r="J81" s="330" t="n">
        <v>596600</v>
      </c>
      <c r="K81" s="331" t="inlineStr">
        <is>
          <t>202501200024</t>
        </is>
      </c>
      <c r="L81" s="332" t="inlineStr">
        <is>
          <t>1403250120153557</t>
        </is>
      </c>
      <c r="M81" s="757" t="inlineStr">
        <is>
          <t>Nationgate</t>
        </is>
      </c>
      <c r="N81" s="756" t="inlineStr">
        <is>
          <t>CHANHUA PTE. LTD.</t>
        </is>
      </c>
      <c r="O81" s="757" t="n">
        <v>8.327199999999999</v>
      </c>
      <c r="P81" s="346">
        <f>VLOOKUP(L81,[3]BHSC_销售订单明细报表_060825!$E$1:$E$65536,1,FALSE)</f>
        <v/>
      </c>
      <c r="Q81" s="758" t="n"/>
      <c r="R81" s="758" t="n"/>
      <c r="S81" s="758" t="n"/>
      <c r="T81" s="758" t="n"/>
      <c r="U81" s="758" t="n"/>
      <c r="V81" s="758" t="n"/>
      <c r="W81" s="758" t="n"/>
    </row>
    <row r="82" s="184">
      <c r="A82" s="106" t="n">
        <v>81</v>
      </c>
      <c r="B82" s="754" t="inlineStr">
        <is>
          <t>chanhua</t>
        </is>
      </c>
      <c r="C82" s="761" t="n">
        <v>45672</v>
      </c>
      <c r="D82" s="755" t="inlineStr">
        <is>
          <t>新加坡比特</t>
        </is>
      </c>
      <c r="E82" s="756" t="inlineStr">
        <is>
          <t>JSCC</t>
        </is>
      </c>
      <c r="H82" s="756" t="inlineStr">
        <is>
          <t>BM1368PB</t>
        </is>
      </c>
      <c r="I82" s="755">
        <f>VLOOKUP(H82,编码对账表!C:D,2,0)</f>
        <v/>
      </c>
      <c r="J82" s="330" t="n">
        <v>23881</v>
      </c>
      <c r="K82" s="331" t="inlineStr">
        <is>
          <t>202501240010</t>
        </is>
      </c>
      <c r="L82" s="332" t="inlineStr">
        <is>
          <t>1403250124112502</t>
        </is>
      </c>
      <c r="M82" s="757" t="inlineStr">
        <is>
          <t>PIE</t>
        </is>
      </c>
      <c r="N82" s="756" t="inlineStr">
        <is>
          <t>CHANHUA PTE. LTD.</t>
        </is>
      </c>
      <c r="O82" s="757" t="n">
        <v>4.382</v>
      </c>
      <c r="P82" s="346">
        <f>VLOOKUP(L82,[3]BHSC_销售订单明细报表_060825!$E$1:$E$65536,1,FALSE)</f>
        <v/>
      </c>
      <c r="Q82" s="758" t="n"/>
      <c r="R82" s="758" t="n"/>
      <c r="S82" s="758" t="n"/>
      <c r="T82" s="758" t="n"/>
      <c r="U82" s="758" t="n"/>
      <c r="V82" s="758" t="n"/>
      <c r="W82" s="758" t="n"/>
    </row>
    <row r="83" s="184">
      <c r="A83" s="106" t="n">
        <v>82</v>
      </c>
      <c r="B83" s="754" t="inlineStr">
        <is>
          <t>chanhua</t>
        </is>
      </c>
      <c r="C83" s="761" t="n">
        <v>45677</v>
      </c>
      <c r="D83" s="755" t="inlineStr">
        <is>
          <t>新加坡比特</t>
        </is>
      </c>
      <c r="E83" s="756" t="inlineStr">
        <is>
          <t>JSCC</t>
        </is>
      </c>
      <c r="H83" s="756" t="inlineStr">
        <is>
          <t>BM1370PM</t>
        </is>
      </c>
      <c r="I83" s="755">
        <f>VLOOKUP(H83,编码对账表!C:D,2,0)</f>
        <v/>
      </c>
      <c r="J83" s="330" t="n">
        <v>224748</v>
      </c>
      <c r="K83" s="331" t="inlineStr">
        <is>
          <t>202501240011</t>
        </is>
      </c>
      <c r="L83" s="332" t="inlineStr">
        <is>
          <t>1403250124154453</t>
        </is>
      </c>
      <c r="M83" s="757" t="inlineStr">
        <is>
          <t>印尼奥海</t>
        </is>
      </c>
      <c r="N83" s="756" t="inlineStr">
        <is>
          <t>CHANHUA PTE. LTD.</t>
        </is>
      </c>
      <c r="O83" s="757" t="n">
        <v>8.327199999999999</v>
      </c>
      <c r="P83" s="346">
        <f>VLOOKUP(L83,[3]BHSC_销售订单明细报表_060825!$E$1:$E$65536,1,FALSE)</f>
        <v/>
      </c>
      <c r="Q83" s="758" t="n"/>
      <c r="R83" s="758" t="n"/>
      <c r="S83" s="758" t="n"/>
      <c r="T83" s="758" t="n"/>
      <c r="U83" s="758" t="n"/>
      <c r="V83" s="758" t="n"/>
      <c r="W83" s="758" t="n"/>
    </row>
    <row r="84" s="184">
      <c r="A84" s="106" t="n">
        <v>83</v>
      </c>
      <c r="B84" s="754" t="inlineStr">
        <is>
          <t>chanhua</t>
        </is>
      </c>
      <c r="C84" s="761" t="n">
        <v>45677</v>
      </c>
      <c r="D84" s="755" t="inlineStr">
        <is>
          <t>新加坡比特</t>
        </is>
      </c>
      <c r="E84" s="756" t="inlineStr">
        <is>
          <t>XJ</t>
        </is>
      </c>
      <c r="H84" s="756" t="inlineStr">
        <is>
          <t>BM1491AA</t>
        </is>
      </c>
      <c r="I84" s="755">
        <f>VLOOKUP(H84,编码对账表!C:D,2,0)</f>
        <v/>
      </c>
      <c r="J84" s="330" t="n">
        <v>980336</v>
      </c>
      <c r="K84" s="331" t="inlineStr">
        <is>
          <t>202501240011</t>
        </is>
      </c>
      <c r="L84" s="332" t="inlineStr">
        <is>
          <t>1403250124154453</t>
        </is>
      </c>
      <c r="M84" s="757" t="inlineStr">
        <is>
          <t>印尼奥海</t>
        </is>
      </c>
      <c r="N84" s="756" t="inlineStr">
        <is>
          <t>CHANHUA PTE. LTD.</t>
        </is>
      </c>
      <c r="O84" s="757" t="n">
        <v>11.0314</v>
      </c>
      <c r="P84" s="346">
        <f>VLOOKUP(L84,[3]BHSC_销售订单明细报表_060825!$E$1:$E$65536,1,FALSE)</f>
        <v/>
      </c>
      <c r="Q84" s="758" t="n"/>
      <c r="R84" s="758" t="n"/>
      <c r="S84" s="758" t="n"/>
      <c r="T84" s="758" t="n"/>
      <c r="U84" s="758" t="n"/>
      <c r="V84" s="758" t="n"/>
      <c r="W84" s="758" t="n"/>
    </row>
    <row r="85" s="184">
      <c r="A85" s="106" t="n">
        <v>84</v>
      </c>
      <c r="B85" s="754" t="inlineStr">
        <is>
          <t>chanhua</t>
        </is>
      </c>
      <c r="C85" s="761" t="n">
        <v>45678</v>
      </c>
      <c r="D85" s="755" t="inlineStr">
        <is>
          <t>新加坡比特</t>
        </is>
      </c>
      <c r="E85" s="756" t="inlineStr">
        <is>
          <t>XJ</t>
        </is>
      </c>
      <c r="H85" s="756" t="inlineStr">
        <is>
          <t>BM1491AA</t>
        </is>
      </c>
      <c r="I85" s="755">
        <f>VLOOKUP(H85,编码对账表!C:D,2,0)</f>
        <v/>
      </c>
      <c r="J85" s="330" t="n">
        <v>538236</v>
      </c>
      <c r="K85" s="331" t="inlineStr">
        <is>
          <t>202501240011</t>
        </is>
      </c>
      <c r="L85" s="332" t="inlineStr">
        <is>
          <t>1403250124154453</t>
        </is>
      </c>
      <c r="M85" s="757" t="inlineStr">
        <is>
          <t>印尼奥海</t>
        </is>
      </c>
      <c r="N85" s="756" t="inlineStr">
        <is>
          <t>CHANHUA PTE. LTD.</t>
        </is>
      </c>
      <c r="O85" s="757" t="n">
        <v>11.0314</v>
      </c>
      <c r="P85" s="346">
        <f>VLOOKUP(L85,[3]BHSC_销售订单明细报表_060825!$E$1:$E$65536,1,FALSE)</f>
        <v/>
      </c>
      <c r="Q85" s="758" t="n"/>
      <c r="R85" s="758" t="n"/>
      <c r="S85" s="758" t="n"/>
      <c r="T85" s="758" t="n"/>
      <c r="U85" s="758" t="n"/>
      <c r="V85" s="758" t="n"/>
      <c r="W85" s="758" t="n"/>
    </row>
    <row r="86" s="184">
      <c r="A86" s="106" t="n">
        <v>85</v>
      </c>
      <c r="B86" s="754" t="inlineStr">
        <is>
          <t>chanhua</t>
        </is>
      </c>
      <c r="C86" s="761" t="n">
        <v>45680</v>
      </c>
      <c r="D86" s="755" t="inlineStr">
        <is>
          <t>香港比特</t>
        </is>
      </c>
      <c r="E86" s="756" t="inlineStr">
        <is>
          <t>NJ-VT</t>
        </is>
      </c>
      <c r="H86" s="756" t="inlineStr">
        <is>
          <t>BM1368PA</t>
        </is>
      </c>
      <c r="I86" s="755">
        <f>VLOOKUP(H86,编码对账表!C:D,2,0)</f>
        <v/>
      </c>
      <c r="J86" s="330" t="n">
        <v>5843</v>
      </c>
      <c r="K86" s="331" t="inlineStr">
        <is>
          <t>HKK202501240011</t>
        </is>
      </c>
      <c r="L86" s="332" t="inlineStr">
        <is>
          <t>1403250124154417</t>
        </is>
      </c>
      <c r="M86" s="757" t="inlineStr">
        <is>
          <t>印尼奥海</t>
        </is>
      </c>
      <c r="N86" s="756" t="inlineStr">
        <is>
          <t>CHANHUA PTE. LTD.</t>
        </is>
      </c>
      <c r="O86" s="757" t="n">
        <v>4.382</v>
      </c>
      <c r="P86" s="346">
        <f>VLOOKUP(L86,[3]BHSC_销售订单明细报表_060825!$E$1:$E$65536,1,FALSE)</f>
        <v/>
      </c>
      <c r="Q86" s="758" t="n"/>
      <c r="R86" s="758" t="n"/>
      <c r="S86" s="758" t="n"/>
      <c r="T86" s="758" t="n"/>
      <c r="U86" s="758" t="n"/>
      <c r="V86" s="758" t="n"/>
      <c r="W86" s="758" t="n"/>
    </row>
    <row r="87" s="184">
      <c r="A87" s="106" t="n">
        <v>86</v>
      </c>
      <c r="B87" s="754" t="inlineStr">
        <is>
          <t>chanhua</t>
        </is>
      </c>
      <c r="C87" s="761" t="n">
        <v>45680</v>
      </c>
      <c r="D87" s="755" t="inlineStr">
        <is>
          <t>新加坡比特</t>
        </is>
      </c>
      <c r="E87" s="756" t="inlineStr">
        <is>
          <t>NJ-VT</t>
        </is>
      </c>
      <c r="H87" s="756" t="inlineStr">
        <is>
          <t>BM1368PB</t>
        </is>
      </c>
      <c r="I87" s="755">
        <f>VLOOKUP(H87,编码对账表!C:D,2,0)</f>
        <v/>
      </c>
      <c r="J87" s="330" t="n">
        <v>6636</v>
      </c>
      <c r="K87" s="331" t="inlineStr">
        <is>
          <t>202501240011</t>
        </is>
      </c>
      <c r="L87" s="332" t="inlineStr">
        <is>
          <t>1403250124154453</t>
        </is>
      </c>
      <c r="M87" s="757" t="inlineStr">
        <is>
          <t>印尼奥海</t>
        </is>
      </c>
      <c r="N87" s="756" t="inlineStr">
        <is>
          <t>CHANHUA PTE. LTD.</t>
        </is>
      </c>
      <c r="O87" s="757" t="n">
        <v>4.382</v>
      </c>
      <c r="P87" s="346">
        <f>VLOOKUP(L87,[3]BHSC_销售订单明细报表_060825!$E$1:$E$65536,1,FALSE)</f>
        <v/>
      </c>
      <c r="Q87" s="758" t="n"/>
      <c r="R87" s="758" t="n"/>
      <c r="S87" s="758" t="n"/>
      <c r="T87" s="758" t="n"/>
      <c r="U87" s="758" t="n"/>
      <c r="V87" s="758" t="n"/>
      <c r="W87" s="758" t="n"/>
    </row>
    <row r="88" s="184">
      <c r="A88" s="106" t="n">
        <v>87</v>
      </c>
      <c r="B88" s="754" t="inlineStr">
        <is>
          <t>chanhua</t>
        </is>
      </c>
      <c r="C88" s="761" t="n">
        <v>45680</v>
      </c>
      <c r="D88" s="755" t="inlineStr">
        <is>
          <t>新加坡比特</t>
        </is>
      </c>
      <c r="E88" s="756" t="inlineStr">
        <is>
          <t>SPILSZ</t>
        </is>
      </c>
      <c r="H88" s="756" t="inlineStr">
        <is>
          <t>BM1368PB</t>
        </is>
      </c>
      <c r="I88" s="755">
        <f>VLOOKUP(H88,编码对账表!C:D,2,0)</f>
        <v/>
      </c>
      <c r="J88" s="330" t="n">
        <v>11018</v>
      </c>
      <c r="K88" s="331" t="inlineStr">
        <is>
          <t>202501240011</t>
        </is>
      </c>
      <c r="L88" s="332" t="inlineStr">
        <is>
          <t>1403250124154453</t>
        </is>
      </c>
      <c r="M88" s="757" t="inlineStr">
        <is>
          <t>印尼奥海</t>
        </is>
      </c>
      <c r="N88" s="756" t="inlineStr">
        <is>
          <t>CHANHUA PTE. LTD.</t>
        </is>
      </c>
      <c r="O88" s="757" t="n">
        <v>4.382</v>
      </c>
      <c r="P88" s="346">
        <f>VLOOKUP(L88,[3]BHSC_销售订单明细报表_060825!$E$1:$E$65536,1,FALSE)</f>
        <v/>
      </c>
      <c r="Q88" s="758" t="n"/>
      <c r="R88" s="758" t="n"/>
      <c r="S88" s="758" t="n"/>
      <c r="T88" s="758" t="n"/>
      <c r="U88" s="758" t="n"/>
      <c r="V88" s="758" t="n"/>
      <c r="W88" s="758" t="n"/>
    </row>
    <row r="89" s="184">
      <c r="A89" s="106" t="n">
        <v>88</v>
      </c>
      <c r="B89" s="754" t="inlineStr">
        <is>
          <t>chanhua</t>
        </is>
      </c>
      <c r="C89" s="761" t="n">
        <v>45680</v>
      </c>
      <c r="D89" s="755" t="inlineStr">
        <is>
          <t>新加坡比特</t>
        </is>
      </c>
      <c r="E89" s="756" t="inlineStr">
        <is>
          <t>NJ-VT</t>
        </is>
      </c>
      <c r="H89" s="756" t="inlineStr">
        <is>
          <t>BM1368PV</t>
        </is>
      </c>
      <c r="I89" s="755">
        <f>VLOOKUP(H89,编码对账表!C:D,2,0)</f>
        <v/>
      </c>
      <c r="J89" s="330" t="n">
        <v>239212</v>
      </c>
      <c r="K89" s="331" t="inlineStr">
        <is>
          <t>202501240011</t>
        </is>
      </c>
      <c r="L89" s="332" t="inlineStr">
        <is>
          <t>1403250124154453</t>
        </is>
      </c>
      <c r="M89" s="757" t="inlineStr">
        <is>
          <t>印尼奥海</t>
        </is>
      </c>
      <c r="N89" s="756" t="inlineStr">
        <is>
          <t>CHANHUA PTE. LTD.</t>
        </is>
      </c>
      <c r="O89" s="757" t="n">
        <v>4.382</v>
      </c>
      <c r="P89" s="346">
        <f>VLOOKUP(L89,[3]BHSC_销售订单明细报表_060825!$E$1:$E$65536,1,FALSE)</f>
        <v/>
      </c>
      <c r="Q89" s="758" t="n"/>
      <c r="R89" s="758" t="n"/>
      <c r="S89" s="758" t="n"/>
      <c r="T89" s="758" t="n"/>
      <c r="U89" s="758" t="n"/>
      <c r="V89" s="758" t="n"/>
      <c r="W89" s="758" t="n"/>
    </row>
    <row r="90" s="184">
      <c r="A90" s="106" t="n">
        <v>89</v>
      </c>
      <c r="B90" s="754" t="inlineStr">
        <is>
          <t>chanhua</t>
        </is>
      </c>
      <c r="C90" s="761" t="n">
        <v>45680</v>
      </c>
      <c r="D90" s="755" t="inlineStr">
        <is>
          <t>新加坡比特</t>
        </is>
      </c>
      <c r="E90" s="756" t="inlineStr">
        <is>
          <t>SPILSZ</t>
        </is>
      </c>
      <c r="H90" s="756" t="inlineStr">
        <is>
          <t>BM1368PV</t>
        </is>
      </c>
      <c r="I90" s="755">
        <f>VLOOKUP(H90,编码对账表!C:D,2,0)</f>
        <v/>
      </c>
      <c r="J90" s="330" t="n">
        <v>30715</v>
      </c>
      <c r="K90" s="331" t="inlineStr">
        <is>
          <t>202501240011</t>
        </is>
      </c>
      <c r="L90" s="332" t="inlineStr">
        <is>
          <t>1403250124154453</t>
        </is>
      </c>
      <c r="M90" s="757" t="inlineStr">
        <is>
          <t>印尼奥海</t>
        </is>
      </c>
      <c r="N90" s="756" t="inlineStr">
        <is>
          <t>CHANHUA PTE. LTD.</t>
        </is>
      </c>
      <c r="O90" s="757" t="n">
        <v>4.382</v>
      </c>
      <c r="P90" s="346">
        <f>VLOOKUP(L90,[3]BHSC_销售订单明细报表_060825!$E$1:$E$65536,1,FALSE)</f>
        <v/>
      </c>
      <c r="Q90" s="758" t="n"/>
      <c r="R90" s="758" t="n"/>
      <c r="S90" s="758" t="n"/>
      <c r="T90" s="758" t="n"/>
      <c r="U90" s="758" t="n"/>
      <c r="V90" s="758" t="n"/>
      <c r="W90" s="758" t="n"/>
    </row>
    <row r="91" s="184">
      <c r="A91" s="106" t="n">
        <v>90</v>
      </c>
      <c r="B91" s="754" t="inlineStr">
        <is>
          <t>chanhua</t>
        </is>
      </c>
      <c r="C91" s="761" t="n">
        <v>45680</v>
      </c>
      <c r="D91" s="755" t="inlineStr">
        <is>
          <t>新加坡比特</t>
        </is>
      </c>
      <c r="E91" s="756" t="inlineStr">
        <is>
          <t>SPILSZ</t>
        </is>
      </c>
      <c r="H91" s="756" t="inlineStr">
        <is>
          <t>BM1370PA</t>
        </is>
      </c>
      <c r="I91" s="755">
        <f>VLOOKUP(H91,编码对账表!C:D,2,0)</f>
        <v/>
      </c>
      <c r="J91" s="330" t="n">
        <v>585113</v>
      </c>
      <c r="K91" s="331" t="inlineStr">
        <is>
          <t>202501240011</t>
        </is>
      </c>
      <c r="L91" s="332" t="inlineStr">
        <is>
          <t>1403250124154453</t>
        </is>
      </c>
      <c r="M91" s="757" t="inlineStr">
        <is>
          <t>印尼奥海</t>
        </is>
      </c>
      <c r="N91" s="756" t="inlineStr">
        <is>
          <t>CHANHUA PTE. LTD.</t>
        </is>
      </c>
      <c r="O91" s="757" t="n">
        <v>8.327199999999999</v>
      </c>
      <c r="P91" s="346">
        <f>VLOOKUP(L91,[3]BHSC_销售订单明细报表_060825!$E$1:$E$65536,1,FALSE)</f>
        <v/>
      </c>
      <c r="Q91" s="758" t="n"/>
      <c r="R91" s="758" t="n"/>
      <c r="S91" s="758" t="n"/>
      <c r="T91" s="758" t="n"/>
      <c r="U91" s="758" t="n"/>
      <c r="V91" s="758" t="n"/>
      <c r="W91" s="758" t="n"/>
    </row>
    <row r="92" s="184">
      <c r="A92" s="106" t="n">
        <v>91</v>
      </c>
      <c r="B92" s="754" t="inlineStr">
        <is>
          <t>chanhua</t>
        </is>
      </c>
      <c r="C92" s="761" t="n">
        <v>45679</v>
      </c>
      <c r="D92" s="755" t="inlineStr">
        <is>
          <t>新加坡比特</t>
        </is>
      </c>
      <c r="E92" s="756" t="inlineStr">
        <is>
          <t>TFME</t>
        </is>
      </c>
      <c r="H92" s="756" t="inlineStr">
        <is>
          <t>BM1370PA</t>
        </is>
      </c>
      <c r="I92" s="755">
        <f>VLOOKUP(H92,编码对账表!C:D,2,0)</f>
        <v/>
      </c>
      <c r="J92" s="330" t="n">
        <v>107402</v>
      </c>
      <c r="K92" s="331" t="inlineStr">
        <is>
          <t>202501240012</t>
        </is>
      </c>
      <c r="L92" s="332" t="inlineStr">
        <is>
          <t>1403250124154510</t>
        </is>
      </c>
      <c r="M92" s="757" t="inlineStr">
        <is>
          <t>泰国群光</t>
        </is>
      </c>
      <c r="N92" s="756" t="inlineStr">
        <is>
          <t>CHANHUA PTE. LTD.</t>
        </is>
      </c>
      <c r="O92" s="757" t="n">
        <v>8.327199999999999</v>
      </c>
      <c r="P92" s="346">
        <f>VLOOKUP(L92,[3]BHSC_销售订单明细报表_060825!$E$1:$E$65536,1,FALSE)</f>
        <v/>
      </c>
      <c r="Q92" s="758" t="n"/>
      <c r="R92" s="758" t="n"/>
      <c r="S92" s="758" t="n"/>
      <c r="T92" s="758" t="n"/>
      <c r="U92" s="758" t="n"/>
      <c r="V92" s="758" t="n"/>
      <c r="W92" s="758" t="n"/>
    </row>
    <row r="93" s="184">
      <c r="A93" s="106" t="n">
        <v>92</v>
      </c>
      <c r="B93" s="754" t="inlineStr">
        <is>
          <t>chanhua</t>
        </is>
      </c>
      <c r="C93" s="761" t="n">
        <v>45680</v>
      </c>
      <c r="D93" s="755" t="inlineStr">
        <is>
          <t>新加坡比特</t>
        </is>
      </c>
      <c r="E93" s="756" t="inlineStr">
        <is>
          <t>SPILSZ</t>
        </is>
      </c>
      <c r="H93" s="756" t="inlineStr">
        <is>
          <t>BM1370BC</t>
        </is>
      </c>
      <c r="I93" s="755">
        <f>VLOOKUP(H93,编码对账表!C:D,2,0)</f>
        <v/>
      </c>
      <c r="J93" s="330" t="n">
        <v>60800</v>
      </c>
      <c r="K93" s="331" t="inlineStr">
        <is>
          <t>202501240012</t>
        </is>
      </c>
      <c r="L93" s="332" t="inlineStr">
        <is>
          <t>1403250124154510</t>
        </is>
      </c>
      <c r="M93" s="757" t="inlineStr">
        <is>
          <t>泰国群光</t>
        </is>
      </c>
      <c r="N93" s="756" t="inlineStr">
        <is>
          <t>CHANHUA PTE. LTD.</t>
        </is>
      </c>
      <c r="O93" s="757" t="n">
        <v>8.327199999999999</v>
      </c>
      <c r="P93" s="346">
        <f>VLOOKUP(L93,[3]BHSC_销售订单明细报表_060825!$E$1:$E$65536,1,FALSE)</f>
        <v/>
      </c>
      <c r="Q93" s="758" t="n"/>
      <c r="R93" s="758" t="n"/>
      <c r="S93" s="758" t="n"/>
      <c r="T93" s="758" t="n"/>
      <c r="U93" s="758" t="n"/>
      <c r="V93" s="758" t="n"/>
      <c r="W93" s="758" t="n"/>
    </row>
    <row r="94" s="184">
      <c r="A94" s="106" t="n">
        <v>93</v>
      </c>
      <c r="B94" s="754" t="inlineStr">
        <is>
          <t>chanhua</t>
        </is>
      </c>
      <c r="C94" s="761" t="n">
        <v>45680</v>
      </c>
      <c r="D94" s="755" t="inlineStr">
        <is>
          <t>新加坡比特</t>
        </is>
      </c>
      <c r="E94" s="756" t="inlineStr">
        <is>
          <t>SPILSZ</t>
        </is>
      </c>
      <c r="H94" s="756" t="inlineStr">
        <is>
          <t>BM1370PA</t>
        </is>
      </c>
      <c r="I94" s="755">
        <f>VLOOKUP(H94,编码对账表!C:D,2,0)</f>
        <v/>
      </c>
      <c r="J94" s="330" t="n">
        <v>623200</v>
      </c>
      <c r="K94" s="331" t="inlineStr">
        <is>
          <t>202501240012</t>
        </is>
      </c>
      <c r="L94" s="332" t="inlineStr">
        <is>
          <t>1403250124154510</t>
        </is>
      </c>
      <c r="M94" s="757" t="inlineStr">
        <is>
          <t>泰国群光</t>
        </is>
      </c>
      <c r="N94" s="756" t="inlineStr">
        <is>
          <t>CHANHUA PTE. LTD.</t>
        </is>
      </c>
      <c r="O94" s="757" t="n">
        <v>8.327199999999999</v>
      </c>
      <c r="P94" s="346">
        <f>VLOOKUP(L94,[3]BHSC_销售订单明细报表_060825!$E$1:$E$65536,1,FALSE)</f>
        <v/>
      </c>
      <c r="Q94" s="758" t="n"/>
      <c r="R94" s="758" t="n"/>
      <c r="S94" s="758" t="n"/>
      <c r="T94" s="758" t="n"/>
      <c r="U94" s="758" t="n"/>
      <c r="V94" s="758" t="n"/>
      <c r="W94" s="758" t="n"/>
    </row>
    <row r="95" s="184">
      <c r="A95" s="106" t="n">
        <v>94</v>
      </c>
      <c r="B95" s="754" t="inlineStr">
        <is>
          <t>chanhua</t>
        </is>
      </c>
      <c r="C95" s="761" t="n">
        <v>45677</v>
      </c>
      <c r="D95" s="755" t="inlineStr">
        <is>
          <t>新加坡比特</t>
        </is>
      </c>
      <c r="E95" s="756" t="inlineStr">
        <is>
          <t>JSCC</t>
        </is>
      </c>
      <c r="H95" s="756" t="inlineStr">
        <is>
          <t>BM1370PM</t>
        </is>
      </c>
      <c r="I95" s="755">
        <f>VLOOKUP(H95,编码对账表!C:D,2,0)</f>
        <v/>
      </c>
      <c r="J95" s="330" t="n">
        <v>235165</v>
      </c>
      <c r="K95" s="331" t="inlineStr">
        <is>
          <t>202501240013</t>
        </is>
      </c>
      <c r="L95" s="332" t="inlineStr">
        <is>
          <t>1403250124154526</t>
        </is>
      </c>
      <c r="M95" s="757" t="inlineStr">
        <is>
          <t>泰国ONETEC</t>
        </is>
      </c>
      <c r="N95" s="756" t="inlineStr">
        <is>
          <t>CHANHUA PTE. LTD.</t>
        </is>
      </c>
      <c r="O95" s="757" t="n">
        <v>8.327199999999999</v>
      </c>
      <c r="P95" s="346">
        <f>VLOOKUP(L95,[3]BHSC_销售订单明细报表_060825!$E$1:$E$65536,1,FALSE)</f>
        <v/>
      </c>
      <c r="Q95" s="758" t="n"/>
      <c r="R95" s="758" t="n"/>
      <c r="S95" s="758" t="n"/>
      <c r="T95" s="758" t="n"/>
      <c r="U95" s="758" t="n"/>
      <c r="V95" s="758" t="n"/>
      <c r="W95" s="758" t="n"/>
    </row>
    <row r="96" s="184">
      <c r="A96" s="106" t="n">
        <v>95</v>
      </c>
      <c r="B96" s="754" t="inlineStr">
        <is>
          <t>chanhua</t>
        </is>
      </c>
      <c r="C96" s="761" t="n">
        <v>45678</v>
      </c>
      <c r="D96" s="755" t="inlineStr">
        <is>
          <t>新加坡比特</t>
        </is>
      </c>
      <c r="E96" s="756" t="inlineStr">
        <is>
          <t>JSCC</t>
        </is>
      </c>
      <c r="H96" s="756" t="inlineStr">
        <is>
          <t>BM1370PM</t>
        </is>
      </c>
      <c r="I96" s="755">
        <f>VLOOKUP(H96,编码对账表!C:D,2,0)</f>
        <v/>
      </c>
      <c r="J96" s="330" t="n">
        <v>204302</v>
      </c>
      <c r="K96" s="331" t="inlineStr">
        <is>
          <t>202501240013</t>
        </is>
      </c>
      <c r="L96" s="332" t="inlineStr">
        <is>
          <t>1403250124154526</t>
        </is>
      </c>
      <c r="M96" s="757" t="inlineStr">
        <is>
          <t>泰国ONETEC</t>
        </is>
      </c>
      <c r="N96" s="756" t="inlineStr">
        <is>
          <t>CHANHUA PTE. LTD.</t>
        </is>
      </c>
      <c r="O96" s="757" t="n">
        <v>8.327199999999999</v>
      </c>
      <c r="P96" s="346">
        <f>VLOOKUP(L96,[3]BHSC_销售订单明细报表_060825!$E$1:$E$65536,1,FALSE)</f>
        <v/>
      </c>
      <c r="Q96" s="758" t="n"/>
      <c r="R96" s="758" t="n"/>
      <c r="S96" s="758" t="n"/>
      <c r="T96" s="758" t="n"/>
      <c r="U96" s="758" t="n"/>
      <c r="V96" s="758" t="n"/>
      <c r="W96" s="758" t="n"/>
    </row>
    <row r="97" s="184">
      <c r="A97" s="106" t="n">
        <v>96</v>
      </c>
      <c r="B97" s="754" t="inlineStr">
        <is>
          <t>chanhua</t>
        </is>
      </c>
      <c r="C97" s="761" t="n">
        <v>45679</v>
      </c>
      <c r="D97" s="755" t="inlineStr">
        <is>
          <t>新加坡比特</t>
        </is>
      </c>
      <c r="E97" s="756" t="inlineStr">
        <is>
          <t>TFME</t>
        </is>
      </c>
      <c r="H97" s="756" t="inlineStr">
        <is>
          <t>BM1370PA</t>
        </is>
      </c>
      <c r="I97" s="755">
        <f>VLOOKUP(H97,编码对账表!C:D,2,0)</f>
        <v/>
      </c>
      <c r="J97" s="330" t="n">
        <v>147000</v>
      </c>
      <c r="K97" s="331" t="inlineStr">
        <is>
          <t>202501240013</t>
        </is>
      </c>
      <c r="L97" s="332" t="inlineStr">
        <is>
          <t>1403250124154526</t>
        </is>
      </c>
      <c r="M97" s="757" t="inlineStr">
        <is>
          <t>泰国ONETEC</t>
        </is>
      </c>
      <c r="N97" s="756" t="inlineStr">
        <is>
          <t>CHANHUA PTE. LTD.</t>
        </is>
      </c>
      <c r="O97" s="757" t="n">
        <v>8.327199999999999</v>
      </c>
      <c r="P97" s="346">
        <f>VLOOKUP(L97,[3]BHSC_销售订单明细报表_060825!$E$1:$E$65536,1,FALSE)</f>
        <v/>
      </c>
      <c r="Q97" s="758" t="n"/>
      <c r="R97" s="758" t="n"/>
      <c r="S97" s="758" t="n"/>
      <c r="T97" s="758" t="n"/>
      <c r="U97" s="758" t="n"/>
      <c r="V97" s="758" t="n"/>
      <c r="W97" s="758" t="n"/>
    </row>
    <row r="98" s="184">
      <c r="A98" s="106" t="n">
        <v>97</v>
      </c>
      <c r="B98" s="754" t="inlineStr">
        <is>
          <t>chanhua</t>
        </is>
      </c>
      <c r="C98" s="761" t="n">
        <v>45680</v>
      </c>
      <c r="D98" s="755" t="inlineStr">
        <is>
          <t>新加坡比特</t>
        </is>
      </c>
      <c r="E98" s="756" t="inlineStr">
        <is>
          <t>JSCC</t>
        </is>
      </c>
      <c r="H98" s="756" t="inlineStr">
        <is>
          <t>BM1370BC</t>
        </is>
      </c>
      <c r="I98" s="755">
        <f>VLOOKUP(H98,编码对账表!C:D,2,0)</f>
        <v/>
      </c>
      <c r="J98" s="330" t="n">
        <v>563353</v>
      </c>
      <c r="K98" s="331" t="inlineStr">
        <is>
          <t>202501240013</t>
        </is>
      </c>
      <c r="L98" s="332" t="inlineStr">
        <is>
          <t>1403250124154526</t>
        </is>
      </c>
      <c r="M98" s="757" t="inlineStr">
        <is>
          <t>泰国ONETEC</t>
        </is>
      </c>
      <c r="N98" s="756" t="inlineStr">
        <is>
          <t>CHANHUA PTE. LTD.</t>
        </is>
      </c>
      <c r="O98" s="757" t="n">
        <v>8.327199999999999</v>
      </c>
      <c r="P98" s="346">
        <f>VLOOKUP(L98,[3]BHSC_销售订单明细报表_060825!$E$1:$E$65536,1,FALSE)</f>
        <v/>
      </c>
      <c r="Q98" s="758" t="n"/>
      <c r="R98" s="758" t="n"/>
      <c r="S98" s="758" t="n"/>
      <c r="T98" s="758" t="n"/>
      <c r="U98" s="758" t="n"/>
      <c r="V98" s="758" t="n"/>
      <c r="W98" s="758" t="n"/>
    </row>
    <row r="99" s="184">
      <c r="A99" s="106" t="n">
        <v>98</v>
      </c>
      <c r="B99" s="754" t="inlineStr">
        <is>
          <t>chanhua</t>
        </is>
      </c>
      <c r="C99" s="761" t="n">
        <v>45680</v>
      </c>
      <c r="D99" s="755" t="inlineStr">
        <is>
          <t>新加坡比特</t>
        </is>
      </c>
      <c r="E99" s="756" t="inlineStr">
        <is>
          <t>SPILSZ</t>
        </is>
      </c>
      <c r="H99" s="756" t="inlineStr">
        <is>
          <t>BM1370PA</t>
        </is>
      </c>
      <c r="I99" s="755">
        <f>VLOOKUP(H99,编码对账表!C:D,2,0)</f>
        <v/>
      </c>
      <c r="J99" s="330" t="n">
        <v>535800</v>
      </c>
      <c r="K99" s="331" t="inlineStr">
        <is>
          <t>202501240013</t>
        </is>
      </c>
      <c r="L99" s="332" t="inlineStr">
        <is>
          <t>1403250124154526</t>
        </is>
      </c>
      <c r="M99" s="757" t="inlineStr">
        <is>
          <t>泰国ONETEC</t>
        </is>
      </c>
      <c r="N99" s="756" t="inlineStr">
        <is>
          <t>CHANHUA PTE. LTD.</t>
        </is>
      </c>
      <c r="O99" s="757" t="n">
        <v>8.327199999999999</v>
      </c>
      <c r="P99" s="346">
        <f>VLOOKUP(L99,[3]BHSC_销售订单明细报表_060825!$E$1:$E$65536,1,FALSE)</f>
        <v/>
      </c>
      <c r="Q99" s="758" t="n"/>
      <c r="R99" s="758" t="n"/>
      <c r="S99" s="758" t="n"/>
      <c r="T99" s="758" t="n"/>
      <c r="U99" s="758" t="n"/>
      <c r="V99" s="758" t="n"/>
      <c r="W99" s="758" t="n"/>
    </row>
    <row r="100" s="184">
      <c r="A100" s="106" t="n">
        <v>99</v>
      </c>
      <c r="B100" s="754" t="inlineStr">
        <is>
          <t>chanhua</t>
        </is>
      </c>
      <c r="C100" s="761" t="n">
        <v>45678</v>
      </c>
      <c r="D100" s="755" t="inlineStr">
        <is>
          <t>新加坡比特</t>
        </is>
      </c>
      <c r="E100" s="756" t="inlineStr">
        <is>
          <t>SPILSZ</t>
        </is>
      </c>
      <c r="H100" s="756" t="inlineStr">
        <is>
          <t>BM1370BC</t>
        </is>
      </c>
      <c r="I100" s="755">
        <f>VLOOKUP(H100,编码对账表!C:D,2,0)</f>
        <v/>
      </c>
      <c r="J100" s="330" t="n">
        <v>10144</v>
      </c>
      <c r="K100" s="331" t="inlineStr">
        <is>
          <t>202501240014</t>
        </is>
      </c>
      <c r="L100" s="332" t="inlineStr">
        <is>
          <t>1403250124154541</t>
        </is>
      </c>
      <c r="M100" s="757" t="inlineStr">
        <is>
          <t>墨西哥欧陆通</t>
        </is>
      </c>
      <c r="N100" s="756" t="inlineStr">
        <is>
          <t>CHANHUA PTE. LTD.</t>
        </is>
      </c>
      <c r="O100" s="757" t="n">
        <v>8.327199999999999</v>
      </c>
      <c r="P100" s="346">
        <f>VLOOKUP(L100,[3]BHSC_销售订单明细报表_060825!$E$1:$E$65536,1,FALSE)</f>
        <v/>
      </c>
      <c r="Q100" s="758" t="n"/>
      <c r="R100" s="758" t="n"/>
      <c r="S100" s="758" t="n"/>
      <c r="T100" s="758" t="n"/>
      <c r="U100" s="758" t="n"/>
      <c r="V100" s="758" t="n"/>
      <c r="W100" s="758" t="n"/>
    </row>
    <row r="101" s="184">
      <c r="A101" s="106" t="n">
        <v>100</v>
      </c>
      <c r="B101" s="754" t="inlineStr">
        <is>
          <t>chanhua</t>
        </is>
      </c>
      <c r="C101" s="761" t="n">
        <v>45678</v>
      </c>
      <c r="D101" s="755" t="inlineStr">
        <is>
          <t>新加坡比特</t>
        </is>
      </c>
      <c r="E101" s="756" t="inlineStr">
        <is>
          <t>SPILSZ</t>
        </is>
      </c>
      <c r="H101" s="756" t="inlineStr">
        <is>
          <t>BM1370PA</t>
        </is>
      </c>
      <c r="I101" s="755">
        <f>VLOOKUP(H101,编码对账表!C:D,2,0)</f>
        <v/>
      </c>
      <c r="J101" s="330" t="n">
        <v>124006</v>
      </c>
      <c r="K101" s="331" t="inlineStr">
        <is>
          <t>202501240014</t>
        </is>
      </c>
      <c r="L101" s="332" t="inlineStr">
        <is>
          <t>1403250124154541</t>
        </is>
      </c>
      <c r="M101" s="757" t="inlineStr">
        <is>
          <t>墨西哥欧陆通</t>
        </is>
      </c>
      <c r="N101" s="756" t="inlineStr">
        <is>
          <t>CHANHUA PTE. LTD.</t>
        </is>
      </c>
      <c r="O101" s="757" t="n">
        <v>8.327199999999999</v>
      </c>
      <c r="P101" s="346">
        <f>VLOOKUP(L101,[3]BHSC_销售订单明细报表_060825!$E$1:$E$65536,1,FALSE)</f>
        <v/>
      </c>
      <c r="Q101" s="758" t="n"/>
      <c r="R101" s="758" t="n"/>
      <c r="S101" s="758" t="n"/>
      <c r="T101" s="758" t="n"/>
      <c r="U101" s="758" t="n"/>
      <c r="V101" s="758" t="n"/>
      <c r="W101" s="758" t="n"/>
    </row>
    <row r="102" s="184">
      <c r="A102" s="106" t="n">
        <v>101</v>
      </c>
      <c r="B102" s="754" t="inlineStr">
        <is>
          <t>chanhua</t>
        </is>
      </c>
      <c r="C102" s="761" t="n">
        <v>45680</v>
      </c>
      <c r="D102" s="755" t="inlineStr">
        <is>
          <t>新加坡比特</t>
        </is>
      </c>
      <c r="E102" s="756" t="inlineStr">
        <is>
          <t>ASE-KH</t>
        </is>
      </c>
      <c r="H102" s="756" t="inlineStr">
        <is>
          <t>BM1370PA</t>
        </is>
      </c>
      <c r="I102" s="755">
        <f>VLOOKUP(H102,编码对账表!C:D,2,0)</f>
        <v/>
      </c>
      <c r="J102" s="330" t="n">
        <v>63523</v>
      </c>
      <c r="K102" s="331" t="inlineStr">
        <is>
          <t>202501240014</t>
        </is>
      </c>
      <c r="L102" s="332" t="inlineStr">
        <is>
          <t>1403250124154541</t>
        </is>
      </c>
      <c r="M102" s="757" t="inlineStr">
        <is>
          <t>墨西哥欧陆通</t>
        </is>
      </c>
      <c r="N102" s="756" t="inlineStr">
        <is>
          <t>CHANHUA PTE. LTD.</t>
        </is>
      </c>
      <c r="O102" s="757" t="n">
        <v>8.327199999999999</v>
      </c>
      <c r="P102" s="346">
        <f>VLOOKUP(L102,[3]BHSC_销售订单明细报表_060825!$E$1:$E$65536,1,FALSE)</f>
        <v/>
      </c>
      <c r="Q102" s="758" t="n"/>
      <c r="R102" s="758" t="n"/>
      <c r="S102" s="758" t="n"/>
      <c r="T102" s="758" t="n"/>
      <c r="U102" s="758" t="n"/>
      <c r="V102" s="758" t="n"/>
      <c r="W102" s="758" t="n"/>
    </row>
    <row r="103" s="184">
      <c r="A103" s="106" t="n">
        <v>102</v>
      </c>
      <c r="B103" s="754" t="inlineStr">
        <is>
          <t>chanhua</t>
        </is>
      </c>
      <c r="C103" s="761" t="n">
        <v>45677</v>
      </c>
      <c r="D103" s="755" t="inlineStr">
        <is>
          <t>新加坡比特</t>
        </is>
      </c>
      <c r="E103" s="756" t="inlineStr">
        <is>
          <t>JSCC</t>
        </is>
      </c>
      <c r="H103" s="756" t="inlineStr">
        <is>
          <t>BM1370PM</t>
        </is>
      </c>
      <c r="I103" s="755">
        <f>VLOOKUP(H103,编码对账表!C:D,2,0)</f>
        <v/>
      </c>
      <c r="J103" s="330" t="n">
        <v>228794</v>
      </c>
      <c r="K103" s="331" t="inlineStr">
        <is>
          <t>202501240015</t>
        </is>
      </c>
      <c r="L103" s="332" t="inlineStr">
        <is>
          <t>1403250124154557</t>
        </is>
      </c>
      <c r="M103" s="757" t="inlineStr">
        <is>
          <t>PIE</t>
        </is>
      </c>
      <c r="N103" s="756" t="inlineStr">
        <is>
          <t>CHANHUA PTE. LTD.</t>
        </is>
      </c>
      <c r="O103" s="757" t="n">
        <v>8.327199999999999</v>
      </c>
      <c r="P103" s="346">
        <f>VLOOKUP(L103,[3]BHSC_销售订单明细报表_060825!$E$1:$E$65536,1,FALSE)</f>
        <v/>
      </c>
      <c r="Q103" s="758" t="n"/>
      <c r="R103" s="758" t="n"/>
      <c r="S103" s="758" t="n"/>
      <c r="T103" s="758" t="n"/>
      <c r="U103" s="758" t="n"/>
      <c r="V103" s="758" t="n"/>
      <c r="W103" s="758" t="n"/>
    </row>
    <row r="104" s="184">
      <c r="A104" s="106" t="n">
        <v>103</v>
      </c>
      <c r="B104" s="754" t="inlineStr">
        <is>
          <t>chanhua</t>
        </is>
      </c>
      <c r="C104" s="761" t="n">
        <v>45678</v>
      </c>
      <c r="D104" s="755" t="inlineStr">
        <is>
          <t>新加坡比特</t>
        </is>
      </c>
      <c r="E104" s="756" t="inlineStr">
        <is>
          <t>SPILSZ</t>
        </is>
      </c>
      <c r="H104" s="756" t="inlineStr">
        <is>
          <t>BM1370PA</t>
        </is>
      </c>
      <c r="I104" s="755">
        <f>VLOOKUP(H104,编码对账表!C:D,2,0)</f>
        <v/>
      </c>
      <c r="J104" s="330" t="n">
        <v>197600</v>
      </c>
      <c r="K104" s="331" t="inlineStr">
        <is>
          <t>202501240015</t>
        </is>
      </c>
      <c r="L104" s="332" t="inlineStr">
        <is>
          <t>1403250124154557</t>
        </is>
      </c>
      <c r="M104" s="757" t="inlineStr">
        <is>
          <t>PIE</t>
        </is>
      </c>
      <c r="N104" s="756" t="inlineStr">
        <is>
          <t>CHANHUA PTE. LTD.</t>
        </is>
      </c>
      <c r="O104" s="757" t="n">
        <v>8.327199999999999</v>
      </c>
      <c r="P104" s="346">
        <f>VLOOKUP(L104,[3]BHSC_销售订单明细报表_060825!$E$1:$E$65536,1,FALSE)</f>
        <v/>
      </c>
      <c r="Q104" s="758" t="n"/>
      <c r="R104" s="758" t="n"/>
      <c r="S104" s="758" t="n"/>
      <c r="T104" s="758" t="n"/>
      <c r="U104" s="758" t="n"/>
      <c r="V104" s="758" t="n"/>
      <c r="W104" s="758" t="n"/>
    </row>
    <row r="105" s="184">
      <c r="A105" s="106" t="n">
        <v>104</v>
      </c>
      <c r="B105" s="754" t="inlineStr">
        <is>
          <t>chanhua</t>
        </is>
      </c>
      <c r="C105" s="761" t="n">
        <v>45680</v>
      </c>
      <c r="D105" s="755" t="inlineStr">
        <is>
          <t>新加坡比特</t>
        </is>
      </c>
      <c r="E105" s="756" t="inlineStr">
        <is>
          <t>JSCC</t>
        </is>
      </c>
      <c r="H105" s="756" t="inlineStr">
        <is>
          <t>BM1370BC</t>
        </is>
      </c>
      <c r="I105" s="755">
        <f>VLOOKUP(H105,编码对账表!C:D,2,0)</f>
        <v/>
      </c>
      <c r="J105" s="330" t="n">
        <v>549926</v>
      </c>
      <c r="K105" s="331" t="inlineStr">
        <is>
          <t>202501240015</t>
        </is>
      </c>
      <c r="L105" s="332" t="inlineStr">
        <is>
          <t>1403250124154557</t>
        </is>
      </c>
      <c r="M105" s="757" t="inlineStr">
        <is>
          <t>PIE</t>
        </is>
      </c>
      <c r="N105" s="756" t="inlineStr">
        <is>
          <t>CHANHUA PTE. LTD.</t>
        </is>
      </c>
      <c r="O105" s="757" t="n">
        <v>8.327199999999999</v>
      </c>
      <c r="P105" s="346">
        <f>VLOOKUP(L105,[3]BHSC_销售订单明细报表_060825!$E$1:$E$65536,1,FALSE)</f>
        <v/>
      </c>
      <c r="Q105" s="758" t="n"/>
      <c r="R105" s="758" t="n"/>
      <c r="S105" s="758" t="n"/>
      <c r="T105" s="758" t="n"/>
      <c r="U105" s="758" t="n"/>
      <c r="V105" s="758" t="n"/>
      <c r="W105" s="758" t="n"/>
    </row>
    <row r="106" s="184">
      <c r="A106" s="106" t="n">
        <v>105</v>
      </c>
      <c r="B106" s="754" t="inlineStr">
        <is>
          <t>chanhua</t>
        </is>
      </c>
      <c r="C106" s="761" t="n">
        <v>45680</v>
      </c>
      <c r="D106" s="755" t="inlineStr">
        <is>
          <t>新加坡比特</t>
        </is>
      </c>
      <c r="E106" s="756" t="inlineStr">
        <is>
          <t>SPILSZ</t>
        </is>
      </c>
      <c r="H106" s="756" t="inlineStr">
        <is>
          <t>BM1370BC</t>
        </is>
      </c>
      <c r="I106" s="755">
        <f>VLOOKUP(H106,编码对账表!C:D,2,0)</f>
        <v/>
      </c>
      <c r="J106" s="330" t="n">
        <v>353400</v>
      </c>
      <c r="K106" s="331" t="inlineStr">
        <is>
          <t>202501240015</t>
        </is>
      </c>
      <c r="L106" s="332" t="inlineStr">
        <is>
          <t>1403250124154557</t>
        </is>
      </c>
      <c r="M106" s="757" t="inlineStr">
        <is>
          <t>PIE</t>
        </is>
      </c>
      <c r="N106" s="756" t="inlineStr">
        <is>
          <t>CHANHUA PTE. LTD.</t>
        </is>
      </c>
      <c r="O106" s="757" t="n">
        <v>8.327199999999999</v>
      </c>
      <c r="P106" s="346">
        <f>VLOOKUP(L106,[3]BHSC_销售订单明细报表_060825!$E$1:$E$65536,1,FALSE)</f>
        <v/>
      </c>
      <c r="Q106" s="758" t="n"/>
      <c r="R106" s="758" t="n"/>
      <c r="S106" s="758" t="n"/>
      <c r="T106" s="758" t="n"/>
      <c r="U106" s="758" t="n"/>
      <c r="V106" s="758" t="n"/>
      <c r="W106" s="758" t="n"/>
    </row>
    <row r="107" s="184">
      <c r="A107" s="106" t="n">
        <v>106</v>
      </c>
      <c r="B107" s="754" t="inlineStr">
        <is>
          <t>chanhua</t>
        </is>
      </c>
      <c r="C107" s="761" t="n">
        <v>45680</v>
      </c>
      <c r="D107" s="755" t="inlineStr">
        <is>
          <t>新加坡比特</t>
        </is>
      </c>
      <c r="E107" s="756" t="inlineStr">
        <is>
          <t>SPILSZ</t>
        </is>
      </c>
      <c r="H107" s="756" t="inlineStr">
        <is>
          <t>BM1370PA</t>
        </is>
      </c>
      <c r="I107" s="755">
        <f>VLOOKUP(H107,编码对账表!C:D,2,0)</f>
        <v/>
      </c>
      <c r="J107" s="330" t="n">
        <v>683446</v>
      </c>
      <c r="K107" s="331" t="inlineStr">
        <is>
          <t>202501240015</t>
        </is>
      </c>
      <c r="L107" s="332" t="inlineStr">
        <is>
          <t>1403250124154557</t>
        </is>
      </c>
      <c r="M107" s="757" t="inlineStr">
        <is>
          <t>PIE</t>
        </is>
      </c>
      <c r="N107" s="756" t="inlineStr">
        <is>
          <t>CHANHUA PTE. LTD.</t>
        </is>
      </c>
      <c r="O107" s="757" t="n">
        <v>8.327199999999999</v>
      </c>
      <c r="P107" s="346">
        <f>VLOOKUP(L107,[3]BHSC_销售订单明细报表_060825!$E$1:$E$65536,1,FALSE)</f>
        <v/>
      </c>
      <c r="Q107" s="758" t="n"/>
      <c r="R107" s="758" t="n"/>
      <c r="S107" s="758" t="n"/>
      <c r="T107" s="758" t="n"/>
      <c r="U107" s="758" t="n"/>
      <c r="V107" s="758" t="n"/>
      <c r="W107" s="758" t="n"/>
    </row>
    <row r="108" s="184">
      <c r="A108" s="106" t="n">
        <v>107</v>
      </c>
      <c r="B108" s="754" t="inlineStr">
        <is>
          <t>chanhua</t>
        </is>
      </c>
      <c r="C108" s="761" t="n">
        <v>45660</v>
      </c>
      <c r="D108" s="755" t="inlineStr">
        <is>
          <t>新加坡比特</t>
        </is>
      </c>
      <c r="E108" s="756" t="inlineStr">
        <is>
          <t>ASECL</t>
        </is>
      </c>
      <c r="H108" s="756" t="inlineStr">
        <is>
          <t>BM1370PA</t>
        </is>
      </c>
      <c r="I108" s="755">
        <f>VLOOKUP(H108,编码对账表!C:D,2,0)</f>
        <v/>
      </c>
      <c r="J108" s="330" t="n">
        <v>237478</v>
      </c>
      <c r="K108" s="354" t="inlineStr">
        <is>
          <t>202502030010</t>
        </is>
      </c>
      <c r="L108" s="332" t="inlineStr">
        <is>
          <t>1403250203201356</t>
        </is>
      </c>
      <c r="M108" s="757" t="inlineStr">
        <is>
          <t>泰国ONETEC</t>
        </is>
      </c>
      <c r="N108" s="756" t="inlineStr">
        <is>
          <t>CHANHUA PTE. LTD.</t>
        </is>
      </c>
      <c r="O108" s="757" t="n">
        <v>8.327199999999999</v>
      </c>
      <c r="P108" s="346">
        <f>VLOOKUP(L108,[3]BHSC_销售订单明细报表_060825!$E$1:$E$65536,1,FALSE)</f>
        <v/>
      </c>
      <c r="Q108" s="758" t="n"/>
      <c r="R108" s="758" t="n"/>
      <c r="S108" s="758" t="n"/>
      <c r="T108" s="758" t="n"/>
      <c r="U108" s="758" t="n"/>
      <c r="V108" s="758" t="n"/>
      <c r="W108" s="758" t="n"/>
    </row>
    <row r="109" s="184">
      <c r="A109" s="106" t="n">
        <v>108</v>
      </c>
      <c r="B109" s="754" t="inlineStr">
        <is>
          <t>chanhua</t>
        </is>
      </c>
      <c r="C109" s="761" t="n">
        <v>45660</v>
      </c>
      <c r="D109" s="755" t="inlineStr">
        <is>
          <t>新加坡比特</t>
        </is>
      </c>
      <c r="E109" s="756" t="inlineStr">
        <is>
          <t>ASECL</t>
        </is>
      </c>
      <c r="H109" s="756" t="inlineStr">
        <is>
          <t>BM1370PA</t>
        </is>
      </c>
      <c r="I109" s="755">
        <f>VLOOKUP(H109,编码对账表!C:D,2,0)</f>
        <v/>
      </c>
      <c r="J109" s="330" t="n">
        <v>250800</v>
      </c>
      <c r="K109" s="331" t="inlineStr">
        <is>
          <t>202502030011</t>
        </is>
      </c>
      <c r="L109" s="332" t="inlineStr">
        <is>
          <t>1403250203201414</t>
        </is>
      </c>
      <c r="M109" s="757" t="inlineStr">
        <is>
          <t>印尼奥海</t>
        </is>
      </c>
      <c r="N109" s="756" t="inlineStr">
        <is>
          <t>CHANHUA PTE. LTD.</t>
        </is>
      </c>
      <c r="O109" s="757" t="n">
        <v>8.327199999999999</v>
      </c>
      <c r="P109" s="346">
        <f>VLOOKUP(L109,[3]BHSC_销售订单明细报表_060825!$E$1:$E$65536,1,FALSE)</f>
        <v/>
      </c>
      <c r="Q109" s="758" t="n"/>
      <c r="R109" s="758" t="n"/>
      <c r="S109" s="758" t="n"/>
      <c r="T109" s="758" t="n"/>
      <c r="U109" s="758" t="n"/>
      <c r="V109" s="758" t="n"/>
      <c r="W109" s="758" t="n"/>
    </row>
    <row r="110" s="184">
      <c r="A110" s="106" t="n">
        <v>109</v>
      </c>
      <c r="B110" s="754" t="inlineStr">
        <is>
          <t>chanhua</t>
        </is>
      </c>
      <c r="C110" s="761" t="n">
        <v>45680</v>
      </c>
      <c r="D110" s="755" t="inlineStr">
        <is>
          <t>新加坡比特</t>
        </is>
      </c>
      <c r="E110" s="756" t="inlineStr">
        <is>
          <t>ASECL</t>
        </is>
      </c>
      <c r="H110" s="756" t="inlineStr">
        <is>
          <t>BM1370PA</t>
        </is>
      </c>
      <c r="I110" s="755">
        <f>VLOOKUP(H110,编码对账表!C:D,2,0)</f>
        <v/>
      </c>
      <c r="J110" s="330" t="n">
        <v>486074</v>
      </c>
      <c r="K110" s="331" t="inlineStr">
        <is>
          <t>202502030012</t>
        </is>
      </c>
      <c r="L110" s="332" t="inlineStr">
        <is>
          <t>1403250203201427</t>
        </is>
      </c>
      <c r="M110" s="757" t="inlineStr">
        <is>
          <t>墨西哥欧陆通</t>
        </is>
      </c>
      <c r="N110" s="756" t="inlineStr">
        <is>
          <t>CHANHUA PTE. LTD.</t>
        </is>
      </c>
      <c r="O110" s="757" t="n">
        <v>8.327199999999999</v>
      </c>
      <c r="P110" s="346">
        <f>VLOOKUP(L110,[3]BHSC_销售订单明细报表_060825!$E$1:$E$65536,1,FALSE)</f>
        <v/>
      </c>
      <c r="Q110" s="758" t="n"/>
      <c r="R110" s="758" t="n"/>
      <c r="S110" s="758" t="n"/>
      <c r="T110" s="758" t="n"/>
      <c r="U110" s="758" t="n"/>
      <c r="V110" s="758" t="n"/>
      <c r="W110" s="758" t="n"/>
    </row>
    <row r="111" s="184">
      <c r="A111" s="106" t="n">
        <v>110</v>
      </c>
      <c r="B111" s="754" t="inlineStr">
        <is>
          <t>chanhua</t>
        </is>
      </c>
      <c r="C111" s="761" t="n">
        <v>45681</v>
      </c>
      <c r="D111" s="755" t="inlineStr">
        <is>
          <t>新加坡比特</t>
        </is>
      </c>
      <c r="E111" s="756" t="inlineStr">
        <is>
          <t>XJ</t>
        </is>
      </c>
      <c r="H111" s="756" t="inlineStr">
        <is>
          <t>BM1368AA</t>
        </is>
      </c>
      <c r="I111" s="755">
        <f>VLOOKUP(H111,编码对账表!C:D,2,0)</f>
        <v/>
      </c>
      <c r="J111" s="330" t="n">
        <v>274800</v>
      </c>
      <c r="K111" s="331" t="inlineStr">
        <is>
          <t>20250127013</t>
        </is>
      </c>
      <c r="L111" s="332" t="inlineStr">
        <is>
          <t>1403250127230012</t>
        </is>
      </c>
      <c r="M111" s="757" t="inlineStr">
        <is>
          <t>PIE</t>
        </is>
      </c>
      <c r="N111" s="756" t="inlineStr">
        <is>
          <t>CHANHUA PTE. LTD.</t>
        </is>
      </c>
      <c r="O111" s="757" t="n">
        <v>5.4151</v>
      </c>
      <c r="P111" s="346">
        <f>VLOOKUP(L111,[3]BHSC_销售订单明细报表_060825!$E$1:$E$65536,1,FALSE)</f>
        <v/>
      </c>
      <c r="Q111" s="758" t="n"/>
      <c r="R111" s="758" t="n"/>
      <c r="S111" s="758" t="n"/>
      <c r="T111" s="758" t="n"/>
      <c r="U111" s="758" t="n"/>
      <c r="V111" s="758" t="n"/>
      <c r="W111" s="758" t="n"/>
    </row>
    <row r="112" s="184">
      <c r="A112" s="106" t="n">
        <v>111</v>
      </c>
      <c r="B112" s="754" t="inlineStr">
        <is>
          <t>chanhua</t>
        </is>
      </c>
      <c r="C112" s="761" t="n">
        <v>45681</v>
      </c>
      <c r="D112" s="755" t="inlineStr">
        <is>
          <t>新加坡比特</t>
        </is>
      </c>
      <c r="E112" s="756" t="inlineStr">
        <is>
          <t>XJ</t>
        </is>
      </c>
      <c r="H112" s="756" t="inlineStr">
        <is>
          <t>BM1368PA</t>
        </is>
      </c>
      <c r="I112" s="755">
        <f>VLOOKUP(H112,编码对账表!C:D,2,0)</f>
        <v/>
      </c>
      <c r="J112" s="330" t="n">
        <v>14960</v>
      </c>
      <c r="K112" s="331" t="inlineStr">
        <is>
          <t>20250127013</t>
        </is>
      </c>
      <c r="L112" s="332" t="inlineStr">
        <is>
          <t>1403250127230012</t>
        </is>
      </c>
      <c r="M112" s="757" t="inlineStr">
        <is>
          <t>PIE</t>
        </is>
      </c>
      <c r="N112" s="756" t="inlineStr">
        <is>
          <t>CHANHUA PTE. LTD.</t>
        </is>
      </c>
      <c r="O112" s="757" t="n">
        <v>4.382</v>
      </c>
      <c r="P112" s="346">
        <f>VLOOKUP(L112,[3]BHSC_销售订单明细报表_060825!$E$1:$E$65536,1,FALSE)</f>
        <v/>
      </c>
      <c r="Q112" s="758" t="n"/>
      <c r="R112" s="758" t="n"/>
      <c r="S112" s="758" t="n"/>
      <c r="T112" s="758" t="n"/>
      <c r="U112" s="758" t="n"/>
      <c r="V112" s="758" t="n"/>
      <c r="W112" s="758" t="n"/>
    </row>
    <row r="113" s="184">
      <c r="A113" s="106" t="n">
        <v>112</v>
      </c>
      <c r="B113" s="754" t="inlineStr">
        <is>
          <t>chanhua</t>
        </is>
      </c>
      <c r="C113" s="761" t="n">
        <v>45684</v>
      </c>
      <c r="D113" s="755" t="inlineStr">
        <is>
          <t>新加坡比特</t>
        </is>
      </c>
      <c r="E113" s="756" t="inlineStr">
        <is>
          <t>WX-HN</t>
        </is>
      </c>
      <c r="H113" s="756" t="inlineStr">
        <is>
          <t>BM1368PB</t>
        </is>
      </c>
      <c r="I113" s="755">
        <f>VLOOKUP(H113,编码对账表!C:D,2,0)</f>
        <v/>
      </c>
      <c r="J113" s="330" t="n">
        <v>858479</v>
      </c>
      <c r="K113" s="331" t="inlineStr">
        <is>
          <t>20250127013</t>
        </is>
      </c>
      <c r="L113" s="332" t="inlineStr">
        <is>
          <t>1403250127230012</t>
        </is>
      </c>
      <c r="M113" s="757" t="inlineStr">
        <is>
          <t>PIE</t>
        </is>
      </c>
      <c r="N113" s="756" t="inlineStr">
        <is>
          <t>CHANHUA PTE. LTD.</t>
        </is>
      </c>
      <c r="O113" s="757" t="n">
        <v>4.382</v>
      </c>
      <c r="P113" s="346">
        <f>VLOOKUP(L113,[3]BHSC_销售订单明细报表_060825!$E$1:$E$65536,1,FALSE)</f>
        <v/>
      </c>
      <c r="Q113" s="758" t="n"/>
      <c r="R113" s="758" t="n"/>
      <c r="S113" s="758" t="n"/>
      <c r="T113" s="758" t="n"/>
      <c r="U113" s="758" t="n"/>
      <c r="V113" s="758" t="n"/>
      <c r="W113" s="758" t="n"/>
    </row>
    <row r="114" s="184">
      <c r="A114" s="106" t="n">
        <v>113</v>
      </c>
      <c r="B114" s="754" t="inlineStr">
        <is>
          <t>chanhua</t>
        </is>
      </c>
      <c r="C114" s="761" t="n">
        <v>45681</v>
      </c>
      <c r="D114" s="755" t="inlineStr">
        <is>
          <t>新加坡比特</t>
        </is>
      </c>
      <c r="E114" s="756" t="inlineStr">
        <is>
          <t>XJ</t>
        </is>
      </c>
      <c r="H114" s="756" t="inlineStr">
        <is>
          <t>BM1368PB</t>
        </is>
      </c>
      <c r="I114" s="755">
        <f>VLOOKUP(H114,编码对账表!C:D,2,0)</f>
        <v/>
      </c>
      <c r="J114" s="330" t="n">
        <v>16086</v>
      </c>
      <c r="K114" s="331" t="inlineStr">
        <is>
          <t>20250127013</t>
        </is>
      </c>
      <c r="L114" s="332" t="inlineStr">
        <is>
          <t>1403250127230012</t>
        </is>
      </c>
      <c r="M114" s="757" t="inlineStr">
        <is>
          <t>PIE</t>
        </is>
      </c>
      <c r="N114" s="756" t="inlineStr">
        <is>
          <t>CHANHUA PTE. LTD.</t>
        </is>
      </c>
      <c r="O114" s="757" t="n">
        <v>4.382</v>
      </c>
      <c r="P114" s="346">
        <f>VLOOKUP(L114,[3]BHSC_销售订单明细报表_060825!$E$1:$E$65536,1,FALSE)</f>
        <v/>
      </c>
      <c r="Q114" s="758" t="n"/>
      <c r="R114" s="758" t="n"/>
      <c r="S114" s="758" t="n"/>
      <c r="T114" s="758" t="n"/>
      <c r="U114" s="758" t="n"/>
      <c r="V114" s="758" t="n"/>
      <c r="W114" s="758" t="n"/>
    </row>
    <row r="115" s="184">
      <c r="A115" s="106" t="n">
        <v>114</v>
      </c>
      <c r="B115" s="754" t="inlineStr">
        <is>
          <t>chanhua</t>
        </is>
      </c>
      <c r="C115" s="761" t="n">
        <v>45681</v>
      </c>
      <c r="D115" s="755" t="inlineStr">
        <is>
          <t>新加坡比特</t>
        </is>
      </c>
      <c r="E115" s="756" t="inlineStr">
        <is>
          <t>ASE-KH</t>
        </is>
      </c>
      <c r="H115" s="756" t="inlineStr">
        <is>
          <t>BM1370BC</t>
        </is>
      </c>
      <c r="I115" s="755">
        <f>VLOOKUP(H115,编码对账表!C:D,2,0)</f>
        <v/>
      </c>
      <c r="J115" s="330" t="n">
        <v>313549</v>
      </c>
      <c r="K115" s="331" t="inlineStr">
        <is>
          <t>20250127013</t>
        </is>
      </c>
      <c r="L115" s="332" t="inlineStr">
        <is>
          <t>1403250127230012</t>
        </is>
      </c>
      <c r="M115" s="757" t="inlineStr">
        <is>
          <t>PIE</t>
        </is>
      </c>
      <c r="N115" s="756" t="inlineStr">
        <is>
          <t>CHANHUA PTE. LTD.</t>
        </is>
      </c>
      <c r="O115" s="757" t="n">
        <v>8.327199999999999</v>
      </c>
      <c r="P115" s="346">
        <f>VLOOKUP(L115,[3]BHSC_销售订单明细报表_060825!$E$1:$E$65536,1,FALSE)</f>
        <v/>
      </c>
      <c r="Q115" s="758" t="n"/>
      <c r="R115" s="758" t="n"/>
      <c r="S115" s="758" t="n"/>
      <c r="T115" s="758" t="n"/>
      <c r="U115" s="758" t="n"/>
      <c r="V115" s="758" t="n"/>
      <c r="W115" s="758" t="n"/>
    </row>
    <row r="116" s="184">
      <c r="A116" s="106" t="n">
        <v>115</v>
      </c>
      <c r="B116" s="754" t="inlineStr">
        <is>
          <t>chanhua</t>
        </is>
      </c>
      <c r="C116" s="761" t="n">
        <v>45681</v>
      </c>
      <c r="D116" s="755" t="inlineStr">
        <is>
          <t>新加坡比特</t>
        </is>
      </c>
      <c r="E116" s="756" t="inlineStr">
        <is>
          <t>ASECL</t>
        </is>
      </c>
      <c r="H116" s="756" t="inlineStr">
        <is>
          <t>BM1370BC</t>
        </is>
      </c>
      <c r="I116" s="755">
        <f>VLOOKUP(H116,编码对账表!C:D,2,0)</f>
        <v/>
      </c>
      <c r="J116" s="330" t="n">
        <v>453124</v>
      </c>
      <c r="K116" s="331" t="inlineStr">
        <is>
          <t>20250127013</t>
        </is>
      </c>
      <c r="L116" s="332" t="inlineStr">
        <is>
          <t>1403250127230012</t>
        </is>
      </c>
      <c r="M116" s="757" t="inlineStr">
        <is>
          <t>PIE</t>
        </is>
      </c>
      <c r="N116" s="756" t="inlineStr">
        <is>
          <t>CHANHUA PTE. LTD.</t>
        </is>
      </c>
      <c r="O116" s="757" t="n">
        <v>8.327199999999999</v>
      </c>
      <c r="P116" s="346">
        <f>VLOOKUP(L116,[3]BHSC_销售订单明细报表_060825!$E$1:$E$65536,1,FALSE)</f>
        <v/>
      </c>
      <c r="Q116" s="758" t="n"/>
      <c r="R116" s="758" t="n"/>
      <c r="S116" s="758" t="n"/>
      <c r="T116" s="758" t="n"/>
      <c r="U116" s="758" t="n"/>
      <c r="V116" s="758" t="n"/>
      <c r="W116" s="758" t="n"/>
    </row>
    <row r="117" s="184">
      <c r="A117" s="106" t="n">
        <v>116</v>
      </c>
      <c r="B117" s="754" t="inlineStr">
        <is>
          <t>chanhua</t>
        </is>
      </c>
      <c r="C117" s="761" t="n">
        <v>45681</v>
      </c>
      <c r="D117" s="755" t="inlineStr">
        <is>
          <t>新加坡比特</t>
        </is>
      </c>
      <c r="E117" s="756" t="inlineStr">
        <is>
          <t>SPILSZ</t>
        </is>
      </c>
      <c r="H117" s="756" t="inlineStr">
        <is>
          <t>BM1370BC</t>
        </is>
      </c>
      <c r="I117" s="755">
        <f>VLOOKUP(H117,编码对账表!C:D,2,0)</f>
        <v/>
      </c>
      <c r="J117" s="330" t="n">
        <v>1437</v>
      </c>
      <c r="K117" s="331" t="inlineStr">
        <is>
          <t>20250127013</t>
        </is>
      </c>
      <c r="L117" s="332" t="inlineStr">
        <is>
          <t>1403250127230012</t>
        </is>
      </c>
      <c r="M117" s="757" t="inlineStr">
        <is>
          <t>PIE</t>
        </is>
      </c>
      <c r="N117" s="756" t="inlineStr">
        <is>
          <t>CHANHUA PTE. LTD.</t>
        </is>
      </c>
      <c r="O117" s="757" t="n">
        <v>8.327199999999999</v>
      </c>
      <c r="P117" s="346">
        <f>VLOOKUP(L117,[3]BHSC_销售订单明细报表_060825!$E$1:$E$65536,1,FALSE)</f>
        <v/>
      </c>
      <c r="Q117" s="758" t="n"/>
      <c r="R117" s="758" t="n"/>
      <c r="S117" s="758" t="n"/>
      <c r="T117" s="758" t="n"/>
      <c r="U117" s="758" t="n"/>
      <c r="V117" s="758" t="n"/>
      <c r="W117" s="758" t="n"/>
    </row>
    <row r="118" s="184">
      <c r="A118" s="106" t="n">
        <v>117</v>
      </c>
      <c r="B118" s="754" t="inlineStr">
        <is>
          <t>chanhua</t>
        </is>
      </c>
      <c r="C118" s="761" t="n">
        <v>45681</v>
      </c>
      <c r="D118" s="755" t="inlineStr">
        <is>
          <t>新加坡比特</t>
        </is>
      </c>
      <c r="E118" s="756" t="inlineStr">
        <is>
          <t>ASE-KH</t>
        </is>
      </c>
      <c r="H118" s="756" t="inlineStr">
        <is>
          <t>BM1370PA</t>
        </is>
      </c>
      <c r="I118" s="755">
        <f>VLOOKUP(H118,编码对账表!C:D,2,0)</f>
        <v/>
      </c>
      <c r="J118" s="330" t="n">
        <v>44060</v>
      </c>
      <c r="K118" s="331" t="inlineStr">
        <is>
          <t>20250127013</t>
        </is>
      </c>
      <c r="L118" s="332" t="inlineStr">
        <is>
          <t>1403250127230012</t>
        </is>
      </c>
      <c r="M118" s="757" t="inlineStr">
        <is>
          <t>PIE</t>
        </is>
      </c>
      <c r="N118" s="756" t="inlineStr">
        <is>
          <t>CHANHUA PTE. LTD.</t>
        </is>
      </c>
      <c r="O118" s="757" t="n">
        <v>8.327199999999999</v>
      </c>
      <c r="P118" s="346">
        <f>VLOOKUP(L118,[3]BHSC_销售订单明细报表_060825!$E$1:$E$65536,1,FALSE)</f>
        <v/>
      </c>
      <c r="Q118" s="758" t="n"/>
      <c r="R118" s="758" t="n"/>
      <c r="S118" s="758" t="n"/>
      <c r="T118" s="758" t="n"/>
      <c r="U118" s="758" t="n"/>
      <c r="V118" s="758" t="n"/>
      <c r="W118" s="758" t="n"/>
    </row>
    <row r="119" s="184">
      <c r="A119" s="106" t="n">
        <v>118</v>
      </c>
      <c r="B119" s="754" t="inlineStr">
        <is>
          <t>chanhua</t>
        </is>
      </c>
      <c r="C119" s="761" t="n">
        <v>45681</v>
      </c>
      <c r="D119" s="755" t="inlineStr">
        <is>
          <t>新加坡比特</t>
        </is>
      </c>
      <c r="E119" s="756" t="inlineStr">
        <is>
          <t>SPILSZ</t>
        </is>
      </c>
      <c r="H119" s="756" t="inlineStr">
        <is>
          <t>BM1370PA</t>
        </is>
      </c>
      <c r="I119" s="755">
        <f>VLOOKUP(H119,编码对账表!C:D,2,0)</f>
        <v/>
      </c>
      <c r="J119" s="330" t="n">
        <v>440800</v>
      </c>
      <c r="K119" s="331" t="inlineStr">
        <is>
          <t>20250127013</t>
        </is>
      </c>
      <c r="L119" s="332" t="inlineStr">
        <is>
          <t>1403250127230012</t>
        </is>
      </c>
      <c r="M119" s="757" t="inlineStr">
        <is>
          <t>PIE</t>
        </is>
      </c>
      <c r="N119" s="756" t="inlineStr">
        <is>
          <t>CHANHUA PTE. LTD.</t>
        </is>
      </c>
      <c r="O119" s="757" t="n">
        <v>8.327199999999999</v>
      </c>
      <c r="P119" s="346">
        <f>VLOOKUP(L119,[3]BHSC_销售订单明细报表_060825!$E$1:$E$65536,1,FALSE)</f>
        <v/>
      </c>
      <c r="Q119" s="758" t="n"/>
      <c r="R119" s="758" t="n"/>
      <c r="S119" s="758" t="n"/>
      <c r="T119" s="758" t="n"/>
      <c r="U119" s="758" t="n"/>
      <c r="V119" s="758" t="n"/>
      <c r="W119" s="758" t="n"/>
    </row>
    <row r="120" s="184">
      <c r="A120" s="106" t="n">
        <v>119</v>
      </c>
      <c r="B120" s="754" t="inlineStr">
        <is>
          <t>chanhua</t>
        </is>
      </c>
      <c r="C120" s="761" t="n">
        <v>45683</v>
      </c>
      <c r="D120" s="755" t="inlineStr">
        <is>
          <t>新加坡比特</t>
        </is>
      </c>
      <c r="E120" s="756" t="inlineStr">
        <is>
          <t>JSCC</t>
        </is>
      </c>
      <c r="H120" s="756" t="inlineStr">
        <is>
          <t>BM1370PM</t>
        </is>
      </c>
      <c r="I120" s="755">
        <f>VLOOKUP(H120,编码对账表!C:D,2,0)</f>
        <v/>
      </c>
      <c r="J120" s="330" t="n">
        <v>338771</v>
      </c>
      <c r="K120" s="331" t="inlineStr">
        <is>
          <t>20250127013</t>
        </is>
      </c>
      <c r="L120" s="332" t="inlineStr">
        <is>
          <t>1403250127230012</t>
        </is>
      </c>
      <c r="M120" s="757" t="inlineStr">
        <is>
          <t>PIE</t>
        </is>
      </c>
      <c r="N120" s="756" t="inlineStr">
        <is>
          <t>CHANHUA PTE. LTD.</t>
        </is>
      </c>
      <c r="O120" s="757" t="n">
        <v>8.327199999999999</v>
      </c>
      <c r="P120" s="346">
        <f>VLOOKUP(L120,[3]BHSC_销售订单明细报表_060825!$E$1:$E$65536,1,FALSE)</f>
        <v/>
      </c>
      <c r="Q120" s="758" t="n"/>
      <c r="R120" s="758" t="n"/>
      <c r="S120" s="758" t="n"/>
      <c r="T120" s="758" t="n"/>
      <c r="U120" s="758" t="n"/>
      <c r="V120" s="758" t="n"/>
      <c r="W120" s="758" t="n"/>
    </row>
    <row r="121" s="184">
      <c r="A121" s="106" t="n">
        <v>120</v>
      </c>
      <c r="B121" s="754" t="inlineStr">
        <is>
          <t>chanhua</t>
        </is>
      </c>
      <c r="C121" s="761" t="n">
        <v>45683</v>
      </c>
      <c r="D121" s="755" t="inlineStr">
        <is>
          <t>新加坡比特</t>
        </is>
      </c>
      <c r="E121" s="756" t="inlineStr">
        <is>
          <t>JSCC</t>
        </is>
      </c>
      <c r="H121" s="756" t="inlineStr">
        <is>
          <t>BM1370BC</t>
        </is>
      </c>
      <c r="I121" s="755">
        <f>VLOOKUP(H121,编码对账表!C:D,2,0)</f>
        <v/>
      </c>
      <c r="J121" s="330" t="n">
        <v>397569</v>
      </c>
      <c r="K121" s="331" t="inlineStr">
        <is>
          <t>20250127014</t>
        </is>
      </c>
      <c r="L121" s="332" t="inlineStr">
        <is>
          <t>1403250127230027</t>
        </is>
      </c>
      <c r="M121" s="757" t="inlineStr">
        <is>
          <t>Nationgate</t>
        </is>
      </c>
      <c r="N121" s="756" t="inlineStr">
        <is>
          <t>CHANHUA PTE. LTD.</t>
        </is>
      </c>
      <c r="O121" s="757" t="n">
        <v>8.327199999999999</v>
      </c>
      <c r="P121" s="346">
        <f>VLOOKUP(L121,[3]BHSC_销售订单明细报表_060825!$E$1:$E$65536,1,FALSE)</f>
        <v/>
      </c>
      <c r="Q121" s="758" t="n"/>
      <c r="R121" s="758" t="n"/>
      <c r="S121" s="758" t="n"/>
      <c r="T121" s="758" t="n"/>
      <c r="U121" s="758" t="n"/>
      <c r="V121" s="758" t="n"/>
      <c r="W121" s="758" t="n"/>
    </row>
    <row r="122" s="184">
      <c r="A122" s="106" t="n">
        <v>121</v>
      </c>
      <c r="B122" s="754" t="inlineStr">
        <is>
          <t>chanhua</t>
        </is>
      </c>
      <c r="C122" s="761" t="n">
        <v>45681</v>
      </c>
      <c r="D122" s="755" t="inlineStr">
        <is>
          <t>新加坡比特</t>
        </is>
      </c>
      <c r="E122" s="756" t="inlineStr">
        <is>
          <t>ASECL</t>
        </is>
      </c>
      <c r="H122" s="756" t="inlineStr">
        <is>
          <t>BM1370BC</t>
        </is>
      </c>
      <c r="I122" s="755">
        <f>VLOOKUP(H122,编码对账表!C:D,2,0)</f>
        <v/>
      </c>
      <c r="J122" s="330" t="n">
        <v>71</v>
      </c>
      <c r="K122" s="331" t="inlineStr">
        <is>
          <t>20250127012</t>
        </is>
      </c>
      <c r="L122" s="355" t="inlineStr">
        <is>
          <t>1403250213180648</t>
        </is>
      </c>
      <c r="M122" s="757" t="inlineStr">
        <is>
          <t>泰国ONETEC</t>
        </is>
      </c>
      <c r="N122" s="756" t="inlineStr">
        <is>
          <t>CHANHUA PTE. LTD.</t>
        </is>
      </c>
      <c r="O122" s="757" t="n">
        <v>8.327199999999999</v>
      </c>
      <c r="P122" s="346">
        <f>VLOOKUP(L122,[3]BHSC_销售订单明细报表_060825!$E$1:$E$65536,1,FALSE)</f>
        <v/>
      </c>
      <c r="Q122" s="758" t="n"/>
      <c r="R122" s="758" t="n"/>
      <c r="S122" s="758" t="n"/>
      <c r="T122" s="758" t="n"/>
      <c r="U122" s="758" t="n"/>
      <c r="V122" s="758" t="n"/>
      <c r="W122" s="758" t="n"/>
    </row>
    <row r="123" s="184">
      <c r="A123" s="106" t="n">
        <v>122</v>
      </c>
      <c r="B123" s="754" t="inlineStr">
        <is>
          <t>chanhua</t>
        </is>
      </c>
      <c r="C123" s="761" t="n">
        <v>45683</v>
      </c>
      <c r="D123" s="755" t="inlineStr">
        <is>
          <t>新加坡比特</t>
        </is>
      </c>
      <c r="E123" s="756" t="inlineStr">
        <is>
          <t>JSCC</t>
        </is>
      </c>
      <c r="H123" s="756" t="inlineStr">
        <is>
          <t>BM1370BC</t>
        </is>
      </c>
      <c r="I123" s="755">
        <f>VLOOKUP(H123,编码对账表!C:D,2,0)</f>
        <v/>
      </c>
      <c r="J123" s="330" t="n">
        <v>1019765</v>
      </c>
      <c r="K123" s="331" t="inlineStr">
        <is>
          <t>20250127012</t>
        </is>
      </c>
      <c r="L123" s="332" t="inlineStr">
        <is>
          <t>1403250127225942</t>
        </is>
      </c>
      <c r="M123" s="757" t="inlineStr">
        <is>
          <t>泰国ONETEC</t>
        </is>
      </c>
      <c r="N123" s="756" t="inlineStr">
        <is>
          <t>CHANHUA PTE. LTD.</t>
        </is>
      </c>
      <c r="O123" s="757" t="n">
        <v>8.327199999999999</v>
      </c>
      <c r="P123" s="346">
        <f>VLOOKUP(L123,[3]BHSC_销售订单明细报表_060825!$E$1:$E$65536,1,FALSE)</f>
        <v/>
      </c>
      <c r="Q123" s="758" t="n"/>
      <c r="R123" s="758" t="n"/>
      <c r="S123" s="758" t="n"/>
      <c r="T123" s="758" t="n"/>
      <c r="U123" s="758" t="n"/>
      <c r="V123" s="758" t="n"/>
      <c r="W123" s="758" t="n"/>
    </row>
    <row r="124" s="184">
      <c r="A124" s="106" t="n">
        <v>123</v>
      </c>
      <c r="B124" s="754" t="inlineStr">
        <is>
          <t>chanhua</t>
        </is>
      </c>
      <c r="C124" s="761" t="n">
        <v>45681</v>
      </c>
      <c r="D124" s="755" t="inlineStr">
        <is>
          <t>新加坡比特</t>
        </is>
      </c>
      <c r="E124" s="756" t="inlineStr">
        <is>
          <t>SPILSZ</t>
        </is>
      </c>
      <c r="H124" s="756" t="inlineStr">
        <is>
          <t>BM1370BC</t>
        </is>
      </c>
      <c r="I124" s="755">
        <f>VLOOKUP(H124,编码对账表!C:D,2,0)</f>
        <v/>
      </c>
      <c r="J124" s="330" t="n">
        <v>1081</v>
      </c>
      <c r="K124" s="331" t="inlineStr">
        <is>
          <t>20250127012</t>
        </is>
      </c>
      <c r="L124" s="332" t="inlineStr">
        <is>
          <t>1403250127225942</t>
        </is>
      </c>
      <c r="M124" s="757" t="inlineStr">
        <is>
          <t>泰国ONETEC</t>
        </is>
      </c>
      <c r="N124" s="756" t="inlineStr">
        <is>
          <t>CHANHUA PTE. LTD.</t>
        </is>
      </c>
      <c r="O124" s="757" t="n">
        <v>8.327199999999999</v>
      </c>
      <c r="P124" s="346">
        <f>VLOOKUP(L124,[3]BHSC_销售订单明细报表_060825!$E$1:$E$65536,1,FALSE)</f>
        <v/>
      </c>
      <c r="Q124" s="758" t="n"/>
      <c r="R124" s="758" t="n"/>
      <c r="S124" s="758" t="n"/>
      <c r="T124" s="758" t="n"/>
      <c r="U124" s="758" t="n"/>
      <c r="V124" s="758" t="n"/>
      <c r="W124" s="758" t="n"/>
    </row>
    <row r="125" s="184">
      <c r="A125" s="106" t="n">
        <v>124</v>
      </c>
      <c r="B125" s="754" t="inlineStr">
        <is>
          <t>chanhua</t>
        </is>
      </c>
      <c r="C125" s="761" t="n">
        <v>45681</v>
      </c>
      <c r="D125" s="755" t="inlineStr">
        <is>
          <t>新加坡比特</t>
        </is>
      </c>
      <c r="E125" s="756" t="inlineStr">
        <is>
          <t>ASE-KH</t>
        </is>
      </c>
      <c r="H125" s="756" t="inlineStr">
        <is>
          <t>BM1370PA</t>
        </is>
      </c>
      <c r="I125" s="755">
        <f>VLOOKUP(H125,编码对账表!C:D,2,0)</f>
        <v/>
      </c>
      <c r="J125" s="330" t="n">
        <v>215081</v>
      </c>
      <c r="K125" s="331" t="inlineStr">
        <is>
          <t>20250127012</t>
        </is>
      </c>
      <c r="L125" s="332" t="inlineStr">
        <is>
          <t>1403250127225942</t>
        </is>
      </c>
      <c r="M125" s="757" t="inlineStr">
        <is>
          <t>泰国ONETEC</t>
        </is>
      </c>
      <c r="N125" s="756" t="inlineStr">
        <is>
          <t>CHANHUA PTE. LTD.</t>
        </is>
      </c>
      <c r="O125" s="757" t="n">
        <v>8.327199999999999</v>
      </c>
      <c r="P125" s="346">
        <f>VLOOKUP(L125,[3]BHSC_销售订单明细报表_060825!$E$1:$E$65536,1,FALSE)</f>
        <v/>
      </c>
      <c r="Q125" s="758" t="n"/>
      <c r="R125" s="758" t="n"/>
      <c r="S125" s="758" t="n"/>
      <c r="T125" s="758" t="n"/>
      <c r="U125" s="758" t="n"/>
      <c r="V125" s="758" t="n"/>
      <c r="W125" s="758" t="n"/>
    </row>
    <row r="126" s="184">
      <c r="A126" s="106" t="n">
        <v>125</v>
      </c>
      <c r="B126" s="754" t="inlineStr">
        <is>
          <t>chanhua</t>
        </is>
      </c>
      <c r="C126" s="761" t="n">
        <v>45681</v>
      </c>
      <c r="D126" s="755" t="inlineStr">
        <is>
          <t>新加坡比特</t>
        </is>
      </c>
      <c r="E126" s="756" t="inlineStr">
        <is>
          <t>ASECL</t>
        </is>
      </c>
      <c r="H126" s="756" t="inlineStr">
        <is>
          <t>BM1370PA</t>
        </is>
      </c>
      <c r="I126" s="755">
        <f>VLOOKUP(H126,编码对账表!C:D,2,0)</f>
        <v/>
      </c>
      <c r="J126" s="330" t="n">
        <v>1048849</v>
      </c>
      <c r="K126" s="331" t="inlineStr">
        <is>
          <t>20250127012</t>
        </is>
      </c>
      <c r="L126" s="332" t="inlineStr">
        <is>
          <t>1403250127225942</t>
        </is>
      </c>
      <c r="M126" s="757" t="inlineStr">
        <is>
          <t>泰国ONETEC</t>
        </is>
      </c>
      <c r="N126" s="756" t="inlineStr">
        <is>
          <t>CHANHUA PTE. LTD.</t>
        </is>
      </c>
      <c r="O126" s="757" t="n">
        <v>8.327199999999999</v>
      </c>
      <c r="P126" s="346">
        <f>VLOOKUP(L126,[3]BHSC_销售订单明细报表_060825!$E$1:$E$65536,1,FALSE)</f>
        <v/>
      </c>
      <c r="Q126" s="758" t="n"/>
      <c r="R126" s="758" t="n"/>
      <c r="S126" s="758" t="n"/>
      <c r="T126" s="758" t="n"/>
      <c r="U126" s="758" t="n"/>
      <c r="V126" s="758" t="n"/>
      <c r="W126" s="758" t="n"/>
    </row>
    <row r="127" s="184">
      <c r="A127" s="106" t="n">
        <v>126</v>
      </c>
      <c r="B127" s="754" t="inlineStr">
        <is>
          <t>chanhua</t>
        </is>
      </c>
      <c r="C127" s="761" t="n">
        <v>45683</v>
      </c>
      <c r="D127" s="755" t="inlineStr">
        <is>
          <t>新加坡比特</t>
        </is>
      </c>
      <c r="E127" s="756" t="inlineStr">
        <is>
          <t>JSCC</t>
        </is>
      </c>
      <c r="H127" s="756" t="inlineStr">
        <is>
          <t>BM1370PA</t>
        </is>
      </c>
      <c r="I127" s="755">
        <f>VLOOKUP(H127,编码对账表!C:D,2,0)</f>
        <v/>
      </c>
      <c r="J127" s="330" t="n">
        <v>750988</v>
      </c>
      <c r="K127" s="331" t="inlineStr">
        <is>
          <t>20250127012</t>
        </is>
      </c>
      <c r="L127" s="332" t="inlineStr">
        <is>
          <t>1403250127225942</t>
        </is>
      </c>
      <c r="M127" s="757" t="inlineStr">
        <is>
          <t>泰国ONETEC</t>
        </is>
      </c>
      <c r="N127" s="756" t="inlineStr">
        <is>
          <t>CHANHUA PTE. LTD.</t>
        </is>
      </c>
      <c r="O127" s="757" t="n">
        <v>8.327199999999999</v>
      </c>
      <c r="P127" s="346">
        <f>VLOOKUP(L127,[3]BHSC_销售订单明细报表_060825!$E$1:$E$65536,1,FALSE)</f>
        <v/>
      </c>
      <c r="Q127" s="758" t="n"/>
      <c r="R127" s="758" t="n"/>
      <c r="S127" s="758" t="n"/>
      <c r="T127" s="758" t="n"/>
      <c r="U127" s="758" t="n"/>
      <c r="V127" s="758" t="n"/>
      <c r="W127" s="758" t="n"/>
    </row>
    <row r="128" s="184">
      <c r="A128" s="106" t="n">
        <v>127</v>
      </c>
      <c r="B128" s="754" t="inlineStr">
        <is>
          <t>chanhua</t>
        </is>
      </c>
      <c r="C128" s="761" t="n">
        <v>45681</v>
      </c>
      <c r="D128" s="755" t="inlineStr">
        <is>
          <t>新加坡比特</t>
        </is>
      </c>
      <c r="E128" s="756" t="inlineStr">
        <is>
          <t>SPILSZ</t>
        </is>
      </c>
      <c r="H128" s="756" t="inlineStr">
        <is>
          <t>BM1370PA</t>
        </is>
      </c>
      <c r="I128" s="755">
        <f>VLOOKUP(H128,编码对账表!C:D,2,0)</f>
        <v/>
      </c>
      <c r="J128" s="330" t="n">
        <v>391400</v>
      </c>
      <c r="K128" s="331" t="inlineStr">
        <is>
          <t>20250127012</t>
        </is>
      </c>
      <c r="L128" s="332" t="inlineStr">
        <is>
          <t>1403250127225942</t>
        </is>
      </c>
      <c r="M128" s="757" t="inlineStr">
        <is>
          <t>泰国ONETEC</t>
        </is>
      </c>
      <c r="N128" s="756" t="inlineStr">
        <is>
          <t>CHANHUA PTE. LTD.</t>
        </is>
      </c>
      <c r="O128" s="757" t="n">
        <v>8.327199999999999</v>
      </c>
      <c r="P128" s="346">
        <f>VLOOKUP(L128,[3]BHSC_销售订单明细报表_060825!$E$1:$E$65536,1,FALSE)</f>
        <v/>
      </c>
      <c r="Q128" s="758" t="n"/>
      <c r="R128" s="758" t="n"/>
      <c r="S128" s="758" t="n"/>
      <c r="T128" s="758" t="n"/>
      <c r="U128" s="758" t="n"/>
      <c r="V128" s="758" t="n"/>
      <c r="W128" s="758" t="n"/>
    </row>
    <row r="129" s="184">
      <c r="A129" s="106" t="n">
        <v>128</v>
      </c>
      <c r="B129" s="754" t="inlineStr">
        <is>
          <t>chanhua</t>
        </is>
      </c>
      <c r="C129" s="761" t="n">
        <v>45681</v>
      </c>
      <c r="D129" s="755" t="inlineStr">
        <is>
          <t>新加坡比特</t>
        </is>
      </c>
      <c r="E129" s="756" t="inlineStr">
        <is>
          <t>TFME</t>
        </is>
      </c>
      <c r="H129" s="756" t="inlineStr">
        <is>
          <t>BM1370PA</t>
        </is>
      </c>
      <c r="I129" s="755">
        <f>VLOOKUP(H129,编码对账表!C:D,2,0)</f>
        <v/>
      </c>
      <c r="J129" s="330" t="n">
        <v>242329</v>
      </c>
      <c r="K129" s="331" t="inlineStr">
        <is>
          <t>20250127012</t>
        </is>
      </c>
      <c r="L129" s="332" t="inlineStr">
        <is>
          <t>1403250127225942</t>
        </is>
      </c>
      <c r="M129" s="757" t="inlineStr">
        <is>
          <t>泰国ONETEC</t>
        </is>
      </c>
      <c r="N129" s="756" t="inlineStr">
        <is>
          <t>CHANHUA PTE. LTD.</t>
        </is>
      </c>
      <c r="O129" s="757" t="n">
        <v>8.327199999999999</v>
      </c>
      <c r="P129" s="346">
        <f>VLOOKUP(L129,[3]BHSC_销售订单明细报表_060825!$E$1:$E$65536,1,FALSE)</f>
        <v/>
      </c>
      <c r="Q129" s="758" t="n"/>
      <c r="R129" s="758" t="n"/>
      <c r="S129" s="758" t="n"/>
      <c r="T129" s="758" t="n"/>
      <c r="U129" s="758" t="n"/>
      <c r="V129" s="758" t="n"/>
      <c r="W129" s="758" t="n"/>
    </row>
    <row r="130" s="184">
      <c r="A130" s="106" t="n">
        <v>129</v>
      </c>
      <c r="B130" s="754" t="inlineStr">
        <is>
          <t>chanhua</t>
        </is>
      </c>
      <c r="C130" s="761" t="n">
        <v>45683</v>
      </c>
      <c r="D130" s="755" t="inlineStr">
        <is>
          <t>新加坡比特</t>
        </is>
      </c>
      <c r="E130" s="756" t="inlineStr">
        <is>
          <t>JSCC</t>
        </is>
      </c>
      <c r="H130" s="756" t="inlineStr">
        <is>
          <t>BM1370PM</t>
        </is>
      </c>
      <c r="I130" s="755">
        <f>VLOOKUP(H130,编码对账表!C:D,2,0)</f>
        <v/>
      </c>
      <c r="J130" s="330" t="n">
        <v>275321</v>
      </c>
      <c r="K130" s="331" t="inlineStr">
        <is>
          <t>20250127012</t>
        </is>
      </c>
      <c r="L130" s="332" t="inlineStr">
        <is>
          <t>1403250127225942</t>
        </is>
      </c>
      <c r="M130" s="757" t="inlineStr">
        <is>
          <t>泰国ONETEC</t>
        </is>
      </c>
      <c r="N130" s="756" t="inlineStr">
        <is>
          <t>CHANHUA PTE. LTD.</t>
        </is>
      </c>
      <c r="O130" s="757" t="n">
        <v>8.327199999999999</v>
      </c>
      <c r="P130" s="346">
        <f>VLOOKUP(L130,[3]BHSC_销售订单明细报表_060825!$E$1:$E$65536,1,FALSE)</f>
        <v/>
      </c>
      <c r="Q130" s="758" t="n"/>
      <c r="R130" s="758" t="n"/>
      <c r="S130" s="758" t="n"/>
      <c r="T130" s="758" t="n"/>
      <c r="U130" s="758" t="n"/>
      <c r="V130" s="758" t="n"/>
      <c r="W130" s="758" t="n"/>
    </row>
    <row r="131" s="184">
      <c r="A131" s="106" t="n">
        <v>130</v>
      </c>
      <c r="B131" s="754" t="inlineStr">
        <is>
          <t>chanhua</t>
        </is>
      </c>
      <c r="C131" s="761" t="n">
        <v>45681</v>
      </c>
      <c r="D131" s="755" t="inlineStr">
        <is>
          <t>新加坡比特</t>
        </is>
      </c>
      <c r="E131" s="756" t="inlineStr">
        <is>
          <t>ASE-KH</t>
        </is>
      </c>
      <c r="H131" s="756" t="inlineStr">
        <is>
          <t>BM1370BC</t>
        </is>
      </c>
      <c r="I131" s="755">
        <f>VLOOKUP(H131,编码对账表!C:D,2,0)</f>
        <v/>
      </c>
      <c r="J131" s="330" t="n">
        <v>44223</v>
      </c>
      <c r="K131" s="331" t="inlineStr">
        <is>
          <t>202410127011</t>
        </is>
      </c>
      <c r="L131" s="332" t="inlineStr">
        <is>
          <t>1403250127225908</t>
        </is>
      </c>
      <c r="M131" s="757" t="inlineStr">
        <is>
          <t>泰国群光</t>
        </is>
      </c>
      <c r="N131" s="756" t="inlineStr">
        <is>
          <t>CHANHUA PTE. LTD.</t>
        </is>
      </c>
      <c r="O131" s="757" t="n">
        <v>8.327199999999999</v>
      </c>
      <c r="P131" s="346">
        <f>VLOOKUP(L131,[3]BHSC_销售订单明细报表_060825!$E$1:$E$65536,1,FALSE)</f>
        <v/>
      </c>
      <c r="Q131" s="758" t="n"/>
      <c r="R131" s="758" t="n"/>
      <c r="S131" s="758" t="n"/>
      <c r="T131" s="758" t="n"/>
      <c r="U131" s="758" t="n"/>
      <c r="V131" s="758" t="n"/>
      <c r="W131" s="758" t="n"/>
    </row>
    <row r="132" s="184">
      <c r="A132" s="106" t="n">
        <v>131</v>
      </c>
      <c r="B132" s="754" t="inlineStr">
        <is>
          <t>chanhua</t>
        </is>
      </c>
      <c r="C132" s="761" t="n">
        <v>45681</v>
      </c>
      <c r="D132" s="755" t="inlineStr">
        <is>
          <t>新加坡比特</t>
        </is>
      </c>
      <c r="E132" s="756" t="inlineStr">
        <is>
          <t>ASECL</t>
        </is>
      </c>
      <c r="H132" s="756" t="inlineStr">
        <is>
          <t>BM1370BC</t>
        </is>
      </c>
      <c r="I132" s="755">
        <f>VLOOKUP(H132,编码对账表!C:D,2,0)</f>
        <v/>
      </c>
      <c r="J132" s="330" t="n">
        <v>2358</v>
      </c>
      <c r="K132" s="331" t="inlineStr">
        <is>
          <t>202410127011</t>
        </is>
      </c>
      <c r="L132" s="332" t="inlineStr">
        <is>
          <t>1403250127225908</t>
        </is>
      </c>
      <c r="M132" s="757" t="inlineStr">
        <is>
          <t>泰国群光</t>
        </is>
      </c>
      <c r="N132" s="756" t="inlineStr">
        <is>
          <t>CHANHUA PTE. LTD.</t>
        </is>
      </c>
      <c r="O132" s="757" t="n">
        <v>8.327199999999999</v>
      </c>
      <c r="P132" s="346">
        <f>VLOOKUP(L132,[3]BHSC_销售订单明细报表_060825!$E$1:$E$65536,1,FALSE)</f>
        <v/>
      </c>
      <c r="Q132" s="758" t="n"/>
      <c r="R132" s="758" t="n"/>
      <c r="S132" s="758" t="n"/>
      <c r="T132" s="758" t="n"/>
      <c r="U132" s="758" t="n"/>
      <c r="V132" s="758" t="n"/>
      <c r="W132" s="758" t="n"/>
    </row>
    <row r="133" s="184">
      <c r="A133" s="106" t="n">
        <v>132</v>
      </c>
      <c r="B133" s="754" t="inlineStr">
        <is>
          <t>chanhua</t>
        </is>
      </c>
      <c r="C133" s="761" t="n">
        <v>45683</v>
      </c>
      <c r="D133" s="755" t="inlineStr">
        <is>
          <t>新加坡比特</t>
        </is>
      </c>
      <c r="E133" s="756" t="inlineStr">
        <is>
          <t>JSCC</t>
        </is>
      </c>
      <c r="H133" s="756" t="inlineStr">
        <is>
          <t>BM1370BC</t>
        </is>
      </c>
      <c r="I133" s="755">
        <f>VLOOKUP(H133,编码对账表!C:D,2,0)</f>
        <v/>
      </c>
      <c r="J133" s="330" t="n">
        <v>165126</v>
      </c>
      <c r="K133" s="331" t="inlineStr">
        <is>
          <t>202410127011</t>
        </is>
      </c>
      <c r="L133" s="332" t="inlineStr">
        <is>
          <t>1403250127225908</t>
        </is>
      </c>
      <c r="M133" s="757" t="inlineStr">
        <is>
          <t>泰国群光</t>
        </is>
      </c>
      <c r="N133" s="756" t="inlineStr">
        <is>
          <t>CHANHUA PTE. LTD.</t>
        </is>
      </c>
      <c r="O133" s="757" t="n">
        <v>8.327199999999999</v>
      </c>
      <c r="P133" s="346">
        <f>VLOOKUP(L133,[3]BHSC_销售订单明细报表_060825!$E$1:$E$65536,1,FALSE)</f>
        <v/>
      </c>
      <c r="Q133" s="758" t="n"/>
      <c r="R133" s="758" t="n"/>
      <c r="S133" s="758" t="n"/>
      <c r="T133" s="758" t="n"/>
      <c r="U133" s="758" t="n"/>
      <c r="V133" s="758" t="n"/>
      <c r="W133" s="758" t="n"/>
    </row>
    <row r="134" s="184">
      <c r="A134" s="106" t="n">
        <v>133</v>
      </c>
      <c r="B134" s="754" t="inlineStr">
        <is>
          <t>chanhua</t>
        </is>
      </c>
      <c r="C134" s="761" t="n">
        <v>45681</v>
      </c>
      <c r="D134" s="755" t="inlineStr">
        <is>
          <t>新加坡比特</t>
        </is>
      </c>
      <c r="E134" s="756" t="inlineStr">
        <is>
          <t>ASE-KH</t>
        </is>
      </c>
      <c r="H134" s="756" t="inlineStr">
        <is>
          <t>BM1370PA</t>
        </is>
      </c>
      <c r="I134" s="755">
        <f>VLOOKUP(H134,编码对账表!C:D,2,0)</f>
        <v/>
      </c>
      <c r="J134" s="330" t="n">
        <v>185183</v>
      </c>
      <c r="K134" s="331" t="inlineStr">
        <is>
          <t>202410127011</t>
        </is>
      </c>
      <c r="L134" s="332" t="inlineStr">
        <is>
          <t>1403250127225908</t>
        </is>
      </c>
      <c r="M134" s="757" t="inlineStr">
        <is>
          <t>泰国群光</t>
        </is>
      </c>
      <c r="N134" s="756" t="inlineStr">
        <is>
          <t>CHANHUA PTE. LTD.</t>
        </is>
      </c>
      <c r="O134" s="757" t="n">
        <v>8.327199999999999</v>
      </c>
      <c r="P134" s="346">
        <f>VLOOKUP(L134,[3]BHSC_销售订单明细报表_060825!$E$1:$E$65536,1,FALSE)</f>
        <v/>
      </c>
      <c r="Q134" s="758" t="n"/>
      <c r="R134" s="758" t="n"/>
      <c r="S134" s="758" t="n"/>
      <c r="T134" s="758" t="n"/>
      <c r="U134" s="758" t="n"/>
      <c r="V134" s="758" t="n"/>
      <c r="W134" s="758" t="n"/>
    </row>
    <row r="135" s="184">
      <c r="A135" s="106" t="n">
        <v>134</v>
      </c>
      <c r="B135" s="754" t="inlineStr">
        <is>
          <t>chanhua</t>
        </is>
      </c>
      <c r="C135" s="761" t="n">
        <v>45681</v>
      </c>
      <c r="D135" s="755" t="inlineStr">
        <is>
          <t>新加坡比特</t>
        </is>
      </c>
      <c r="E135" s="756" t="inlineStr">
        <is>
          <t>ASECL</t>
        </is>
      </c>
      <c r="H135" s="756" t="inlineStr">
        <is>
          <t>BM1370PA</t>
        </is>
      </c>
      <c r="I135" s="755">
        <f>VLOOKUP(H135,编码对账表!C:D,2,0)</f>
        <v/>
      </c>
      <c r="J135" s="330" t="n">
        <v>556189</v>
      </c>
      <c r="K135" s="331" t="inlineStr">
        <is>
          <t>202410127011</t>
        </is>
      </c>
      <c r="L135" s="332" t="inlineStr">
        <is>
          <t>1403250127225908</t>
        </is>
      </c>
      <c r="M135" s="757" t="inlineStr">
        <is>
          <t>泰国群光</t>
        </is>
      </c>
      <c r="N135" s="756" t="inlineStr">
        <is>
          <t>CHANHUA PTE. LTD.</t>
        </is>
      </c>
      <c r="O135" s="757" t="n">
        <v>8.327199999999999</v>
      </c>
      <c r="P135" s="346">
        <f>VLOOKUP(L135,[3]BHSC_销售订单明细报表_060825!$E$1:$E$65536,1,FALSE)</f>
        <v/>
      </c>
      <c r="Q135" s="758" t="n"/>
      <c r="R135" s="758" t="n"/>
      <c r="S135" s="758" t="n"/>
      <c r="T135" s="758" t="n"/>
      <c r="U135" s="758" t="n"/>
      <c r="V135" s="758" t="n"/>
      <c r="W135" s="758" t="n"/>
    </row>
    <row r="136" s="184">
      <c r="A136" s="106" t="n">
        <v>135</v>
      </c>
      <c r="B136" s="754" t="inlineStr">
        <is>
          <t>chanhua</t>
        </is>
      </c>
      <c r="C136" s="761" t="n">
        <v>45683</v>
      </c>
      <c r="D136" s="755" t="inlineStr">
        <is>
          <t>新加坡比特</t>
        </is>
      </c>
      <c r="E136" s="756" t="inlineStr">
        <is>
          <t>JSCC</t>
        </is>
      </c>
      <c r="H136" s="756" t="inlineStr">
        <is>
          <t>BM1370PA</t>
        </is>
      </c>
      <c r="I136" s="755">
        <f>VLOOKUP(H136,编码对账表!C:D,2,0)</f>
        <v/>
      </c>
      <c r="J136" s="330" t="n">
        <v>45809</v>
      </c>
      <c r="K136" s="331" t="inlineStr">
        <is>
          <t>202410127011</t>
        </is>
      </c>
      <c r="L136" s="332" t="inlineStr">
        <is>
          <t>1403250127225908</t>
        </is>
      </c>
      <c r="M136" s="757" t="inlineStr">
        <is>
          <t>泰国群光</t>
        </is>
      </c>
      <c r="N136" s="756" t="inlineStr">
        <is>
          <t>CHANHUA PTE. LTD.</t>
        </is>
      </c>
      <c r="O136" s="757" t="n">
        <v>8.327199999999999</v>
      </c>
      <c r="P136" s="346">
        <f>VLOOKUP(L136,[3]BHSC_销售订单明细报表_060825!$E$1:$E$65536,1,FALSE)</f>
        <v/>
      </c>
      <c r="Q136" s="758" t="n"/>
      <c r="R136" s="758" t="n"/>
      <c r="S136" s="758" t="n"/>
      <c r="T136" s="758" t="n"/>
      <c r="U136" s="758" t="n"/>
      <c r="V136" s="758" t="n"/>
      <c r="W136" s="758" t="n"/>
    </row>
    <row r="137" s="184">
      <c r="A137" s="106" t="n">
        <v>136</v>
      </c>
      <c r="B137" s="754" t="inlineStr">
        <is>
          <t>chanhua</t>
        </is>
      </c>
      <c r="C137" s="761" t="n">
        <v>45682</v>
      </c>
      <c r="D137" s="755" t="inlineStr">
        <is>
          <t>新加坡比特</t>
        </is>
      </c>
      <c r="E137" s="756" t="inlineStr">
        <is>
          <t>SPILSZ</t>
        </is>
      </c>
      <c r="H137" s="756" t="inlineStr">
        <is>
          <t>BM1370PA</t>
        </is>
      </c>
      <c r="I137" s="755">
        <f>VLOOKUP(H137,编码对账表!C:D,2,0)</f>
        <v/>
      </c>
      <c r="J137" s="330" t="n">
        <v>393536</v>
      </c>
      <c r="K137" s="331" t="inlineStr">
        <is>
          <t>202410127011</t>
        </is>
      </c>
      <c r="L137" s="332" t="inlineStr">
        <is>
          <t>1403250127225908</t>
        </is>
      </c>
      <c r="M137" s="757" t="inlineStr">
        <is>
          <t>泰国群光</t>
        </is>
      </c>
      <c r="N137" s="756" t="inlineStr">
        <is>
          <t>CHANHUA PTE. LTD.</t>
        </is>
      </c>
      <c r="O137" s="757" t="n">
        <v>8.327199999999999</v>
      </c>
      <c r="P137" s="346">
        <f>VLOOKUP(L137,[3]BHSC_销售订单明细报表_060825!$E$1:$E$65536,1,FALSE)</f>
        <v/>
      </c>
      <c r="Q137" s="758" t="n"/>
      <c r="R137" s="758" t="n"/>
      <c r="S137" s="758" t="n"/>
      <c r="T137" s="758" t="n"/>
      <c r="U137" s="758" t="n"/>
      <c r="V137" s="758" t="n"/>
      <c r="W137" s="758" t="n"/>
    </row>
    <row r="138" s="184">
      <c r="A138" s="106" t="n">
        <v>137</v>
      </c>
      <c r="B138" s="754" t="inlineStr">
        <is>
          <t>chanhua</t>
        </is>
      </c>
      <c r="C138" s="761" t="n">
        <v>45683</v>
      </c>
      <c r="D138" s="755" t="inlineStr">
        <is>
          <t>新加坡比特</t>
        </is>
      </c>
      <c r="E138" s="756" t="inlineStr">
        <is>
          <t>JSCC</t>
        </is>
      </c>
      <c r="H138" s="756" t="inlineStr">
        <is>
          <t>BM1368AA</t>
        </is>
      </c>
      <c r="I138" s="755">
        <f>VLOOKUP(H138,编码对账表!C:D,2,0)</f>
        <v/>
      </c>
      <c r="J138" s="330" t="n">
        <v>130435</v>
      </c>
      <c r="K138" s="331" t="inlineStr">
        <is>
          <t>202410127010</t>
        </is>
      </c>
      <c r="L138" s="332" t="inlineStr">
        <is>
          <t>1403250127225846</t>
        </is>
      </c>
      <c r="M138" s="757" t="inlineStr">
        <is>
          <t>印尼奥海</t>
        </is>
      </c>
      <c r="N138" s="756" t="inlineStr">
        <is>
          <t>CHANHUA PTE. LTD.</t>
        </is>
      </c>
      <c r="O138" s="757" t="n">
        <v>5.4151</v>
      </c>
      <c r="P138" s="346">
        <f>VLOOKUP(L138,[3]BHSC_销售订单明细报表_060825!$E$1:$E$65536,1,FALSE)</f>
        <v/>
      </c>
      <c r="Q138" s="758" t="n"/>
      <c r="R138" s="758" t="n"/>
      <c r="S138" s="758" t="n"/>
      <c r="T138" s="758" t="n"/>
      <c r="U138" s="758" t="n"/>
      <c r="V138" s="758" t="n"/>
      <c r="W138" s="758" t="n"/>
    </row>
    <row r="139" s="184">
      <c r="A139" s="106" t="n">
        <v>138</v>
      </c>
      <c r="B139" s="754" t="inlineStr">
        <is>
          <t>chanhua</t>
        </is>
      </c>
      <c r="C139" s="761" t="n">
        <v>45681</v>
      </c>
      <c r="D139" s="755" t="inlineStr">
        <is>
          <t>新加坡比特</t>
        </is>
      </c>
      <c r="E139" s="756" t="inlineStr">
        <is>
          <t>NJ-VT</t>
        </is>
      </c>
      <c r="H139" s="756" t="inlineStr">
        <is>
          <t>BM1368AA</t>
        </is>
      </c>
      <c r="I139" s="755">
        <f>VLOOKUP(H139,编码对账表!C:D,2,0)</f>
        <v/>
      </c>
      <c r="J139" s="330" t="n">
        <v>11609</v>
      </c>
      <c r="K139" s="331" t="inlineStr">
        <is>
          <t>202410127010</t>
        </is>
      </c>
      <c r="L139" s="332" t="inlineStr">
        <is>
          <t>1403250127225846</t>
        </is>
      </c>
      <c r="M139" s="757" t="inlineStr">
        <is>
          <t>印尼奥海</t>
        </is>
      </c>
      <c r="N139" s="756" t="inlineStr">
        <is>
          <t>CHANHUA PTE. LTD.</t>
        </is>
      </c>
      <c r="O139" s="757" t="n">
        <v>5.4151</v>
      </c>
      <c r="P139" s="346">
        <f>VLOOKUP(L139,[3]BHSC_销售订单明细报表_060825!$E$1:$E$65536,1,FALSE)</f>
        <v/>
      </c>
      <c r="Q139" s="758" t="n"/>
      <c r="R139" s="758" t="n"/>
      <c r="S139" s="758" t="n"/>
      <c r="T139" s="758" t="n"/>
      <c r="U139" s="758" t="n"/>
      <c r="V139" s="758" t="n"/>
      <c r="W139" s="758" t="n"/>
    </row>
    <row r="140" s="184">
      <c r="A140" s="106" t="n">
        <v>139</v>
      </c>
      <c r="B140" s="754" t="inlineStr">
        <is>
          <t>chanhua</t>
        </is>
      </c>
      <c r="C140" s="761" t="n">
        <v>45682</v>
      </c>
      <c r="D140" s="755" t="inlineStr">
        <is>
          <t>新加坡比特</t>
        </is>
      </c>
      <c r="E140" s="756" t="inlineStr">
        <is>
          <t>SPILSZ</t>
        </is>
      </c>
      <c r="H140" s="756" t="inlineStr">
        <is>
          <t>BM1368AA</t>
        </is>
      </c>
      <c r="I140" s="755">
        <f>VLOOKUP(H140,编码对账表!C:D,2,0)</f>
        <v/>
      </c>
      <c r="J140" s="330" t="n">
        <v>16259</v>
      </c>
      <c r="K140" s="331" t="inlineStr">
        <is>
          <t>202410127010</t>
        </is>
      </c>
      <c r="L140" s="332" t="inlineStr">
        <is>
          <t>1403250127225846</t>
        </is>
      </c>
      <c r="M140" s="757" t="inlineStr">
        <is>
          <t>印尼奥海</t>
        </is>
      </c>
      <c r="N140" s="756" t="inlineStr">
        <is>
          <t>CHANHUA PTE. LTD.</t>
        </is>
      </c>
      <c r="O140" s="757" t="n">
        <v>5.4151</v>
      </c>
      <c r="P140" s="346">
        <f>VLOOKUP(L140,[3]BHSC_销售订单明细报表_060825!$E$1:$E$65536,1,FALSE)</f>
        <v/>
      </c>
      <c r="Q140" s="758" t="n"/>
      <c r="R140" s="758" t="n"/>
      <c r="S140" s="758" t="n"/>
      <c r="T140" s="758" t="n"/>
      <c r="U140" s="758" t="n"/>
      <c r="V140" s="758" t="n"/>
      <c r="W140" s="758" t="n"/>
    </row>
    <row r="141" s="184">
      <c r="A141" s="106" t="n">
        <v>140</v>
      </c>
      <c r="B141" s="754" t="inlineStr">
        <is>
          <t>chanhua</t>
        </is>
      </c>
      <c r="C141" s="761" t="n">
        <v>45681</v>
      </c>
      <c r="D141" s="755" t="inlineStr">
        <is>
          <t>新加坡比特</t>
        </is>
      </c>
      <c r="E141" s="756" t="inlineStr">
        <is>
          <t>XJ</t>
        </is>
      </c>
      <c r="H141" s="756" t="inlineStr">
        <is>
          <t>BM1368PA</t>
        </is>
      </c>
      <c r="I141" s="755">
        <f>VLOOKUP(H141,编码对账表!C:D,2,0)</f>
        <v/>
      </c>
      <c r="J141" s="330" t="n">
        <v>537405</v>
      </c>
      <c r="K141" s="331" t="inlineStr">
        <is>
          <t>202410127010</t>
        </is>
      </c>
      <c r="L141" s="332" t="inlineStr">
        <is>
          <t>1403250127225846</t>
        </is>
      </c>
      <c r="M141" s="757" t="inlineStr">
        <is>
          <t>印尼奥海</t>
        </is>
      </c>
      <c r="N141" s="756" t="inlineStr">
        <is>
          <t>CHANHUA PTE. LTD.</t>
        </is>
      </c>
      <c r="O141" s="757" t="n">
        <v>4.382</v>
      </c>
      <c r="P141" s="346">
        <f>VLOOKUP(L141,[3]BHSC_销售订单明细报表_060825!$E$1:$E$65536,1,FALSE)</f>
        <v/>
      </c>
      <c r="Q141" s="758" t="n"/>
      <c r="R141" s="758" t="n"/>
      <c r="S141" s="758" t="n"/>
      <c r="T141" s="758" t="n"/>
      <c r="U141" s="758" t="n"/>
      <c r="V141" s="758" t="n"/>
      <c r="W141" s="758" t="n"/>
    </row>
    <row r="142" s="184">
      <c r="A142" s="106" t="n">
        <v>141</v>
      </c>
      <c r="B142" s="754" t="inlineStr">
        <is>
          <t>chanhua</t>
        </is>
      </c>
      <c r="C142" s="761" t="n">
        <v>45681</v>
      </c>
      <c r="D142" s="755" t="inlineStr">
        <is>
          <t>新加坡比特</t>
        </is>
      </c>
      <c r="E142" s="756" t="inlineStr">
        <is>
          <t>ASE-KH</t>
        </is>
      </c>
      <c r="H142" s="756" t="inlineStr">
        <is>
          <t>BM1368PB</t>
        </is>
      </c>
      <c r="I142" s="755">
        <f>VLOOKUP(H142,编码对账表!C:D,2,0)</f>
        <v/>
      </c>
      <c r="J142" s="330" t="n">
        <v>520087</v>
      </c>
      <c r="K142" s="331" t="inlineStr">
        <is>
          <t>202410127010</t>
        </is>
      </c>
      <c r="L142" s="332" t="inlineStr">
        <is>
          <t>1403250127225846</t>
        </is>
      </c>
      <c r="M142" s="757" t="inlineStr">
        <is>
          <t>印尼奥海</t>
        </is>
      </c>
      <c r="N142" s="756" t="inlineStr">
        <is>
          <t>CHANHUA PTE. LTD.</t>
        </is>
      </c>
      <c r="O142" s="757" t="n">
        <v>4.382</v>
      </c>
      <c r="P142" s="346">
        <f>VLOOKUP(L142,[3]BHSC_销售订单明细报表_060825!$E$1:$E$65536,1,FALSE)</f>
        <v/>
      </c>
      <c r="Q142" s="758" t="n"/>
      <c r="R142" s="758" t="n"/>
      <c r="S142" s="758" t="n"/>
      <c r="T142" s="758" t="n"/>
      <c r="U142" s="758" t="n"/>
      <c r="V142" s="758" t="n"/>
      <c r="W142" s="758" t="n"/>
    </row>
    <row r="143" s="184">
      <c r="A143" s="106" t="n">
        <v>142</v>
      </c>
      <c r="B143" s="754" t="inlineStr">
        <is>
          <t>chanhua</t>
        </is>
      </c>
      <c r="C143" s="761" t="n">
        <v>45683</v>
      </c>
      <c r="D143" s="755" t="inlineStr">
        <is>
          <t>新加坡比特</t>
        </is>
      </c>
      <c r="E143" s="756" t="inlineStr">
        <is>
          <t>JSCC</t>
        </is>
      </c>
      <c r="H143" s="756" t="inlineStr">
        <is>
          <t>BM1368PB</t>
        </is>
      </c>
      <c r="I143" s="755">
        <f>VLOOKUP(H143,编码对账表!C:D,2,0)</f>
        <v/>
      </c>
      <c r="J143" s="330" t="n">
        <v>722775</v>
      </c>
      <c r="K143" s="331" t="inlineStr">
        <is>
          <t>202410127010</t>
        </is>
      </c>
      <c r="L143" s="332" t="inlineStr">
        <is>
          <t>1403250127225846</t>
        </is>
      </c>
      <c r="M143" s="757" t="inlineStr">
        <is>
          <t>印尼奥海</t>
        </is>
      </c>
      <c r="N143" s="756" t="inlineStr">
        <is>
          <t>CHANHUA PTE. LTD.</t>
        </is>
      </c>
      <c r="O143" s="757" t="n">
        <v>4.382</v>
      </c>
      <c r="P143" s="346">
        <f>VLOOKUP(L143,[3]BHSC_销售订单明细报表_060825!$E$1:$E$65536,1,FALSE)</f>
        <v/>
      </c>
      <c r="Q143" s="758" t="n"/>
      <c r="R143" s="758" t="n"/>
      <c r="S143" s="758" t="n"/>
      <c r="T143" s="758" t="n"/>
      <c r="U143" s="758" t="n"/>
      <c r="V143" s="758" t="n"/>
      <c r="W143" s="758" t="n"/>
    </row>
    <row r="144" s="184">
      <c r="A144" s="106" t="n">
        <v>143</v>
      </c>
      <c r="B144" s="754" t="inlineStr">
        <is>
          <t>chanhua</t>
        </is>
      </c>
      <c r="C144" s="761" t="n">
        <v>45681</v>
      </c>
      <c r="D144" s="755" t="inlineStr">
        <is>
          <t>新加坡比特</t>
        </is>
      </c>
      <c r="E144" s="756" t="inlineStr">
        <is>
          <t>NJ-VT</t>
        </is>
      </c>
      <c r="H144" s="756" t="inlineStr">
        <is>
          <t>BM1368PB</t>
        </is>
      </c>
      <c r="I144" s="755">
        <f>VLOOKUP(H144,编码对账表!C:D,2,0)</f>
        <v/>
      </c>
      <c r="J144" s="330" t="n">
        <v>713601</v>
      </c>
      <c r="K144" s="331" t="inlineStr">
        <is>
          <t>202410127010</t>
        </is>
      </c>
      <c r="L144" s="332" t="inlineStr">
        <is>
          <t>1403250127225846</t>
        </is>
      </c>
      <c r="M144" s="757" t="inlineStr">
        <is>
          <t>印尼奥海</t>
        </is>
      </c>
      <c r="N144" s="756" t="inlineStr">
        <is>
          <t>CHANHUA PTE. LTD.</t>
        </is>
      </c>
      <c r="O144" s="757" t="n">
        <v>4.382</v>
      </c>
      <c r="P144" s="346">
        <f>VLOOKUP(L144,[3]BHSC_销售订单明细报表_060825!$E$1:$E$65536,1,FALSE)</f>
        <v/>
      </c>
      <c r="Q144" s="758" t="n"/>
      <c r="R144" s="758" t="n"/>
      <c r="S144" s="758" t="n"/>
      <c r="T144" s="758" t="n"/>
      <c r="U144" s="758" t="n"/>
      <c r="V144" s="758" t="n"/>
      <c r="W144" s="758" t="n"/>
    </row>
    <row r="145" s="184">
      <c r="A145" s="106" t="n">
        <v>144</v>
      </c>
      <c r="B145" s="754" t="inlineStr">
        <is>
          <t>chanhua</t>
        </is>
      </c>
      <c r="C145" s="761" t="n">
        <v>45681</v>
      </c>
      <c r="D145" s="755" t="inlineStr">
        <is>
          <t>新加坡比特</t>
        </is>
      </c>
      <c r="E145" s="756" t="inlineStr">
        <is>
          <t>SPILSZ</t>
        </is>
      </c>
      <c r="H145" s="756" t="inlineStr">
        <is>
          <t>BM1368PB</t>
        </is>
      </c>
      <c r="I145" s="755">
        <f>VLOOKUP(H145,编码对账表!C:D,2,0)</f>
        <v/>
      </c>
      <c r="J145" s="330" t="n">
        <v>24158</v>
      </c>
      <c r="K145" s="331" t="inlineStr">
        <is>
          <t>202410127010</t>
        </is>
      </c>
      <c r="L145" s="332" t="inlineStr">
        <is>
          <t>1403250127225846</t>
        </is>
      </c>
      <c r="M145" s="757" t="inlineStr">
        <is>
          <t>印尼奥海</t>
        </is>
      </c>
      <c r="N145" s="756" t="inlineStr">
        <is>
          <t>CHANHUA PTE. LTD.</t>
        </is>
      </c>
      <c r="O145" s="757" t="n">
        <v>4.382</v>
      </c>
      <c r="P145" s="346">
        <f>VLOOKUP(L145,[3]BHSC_销售订单明细报表_060825!$E$1:$E$65536,1,FALSE)</f>
        <v/>
      </c>
      <c r="Q145" s="758" t="n"/>
      <c r="R145" s="758" t="n"/>
      <c r="S145" s="758" t="n"/>
      <c r="T145" s="758" t="n"/>
      <c r="U145" s="758" t="n"/>
      <c r="V145" s="758" t="n"/>
      <c r="W145" s="758" t="n"/>
    </row>
    <row r="146" s="184">
      <c r="A146" s="106" t="n">
        <v>145</v>
      </c>
      <c r="B146" s="754" t="inlineStr">
        <is>
          <t>chanhua</t>
        </is>
      </c>
      <c r="C146" s="761" t="n">
        <v>45681</v>
      </c>
      <c r="D146" s="755" t="inlineStr">
        <is>
          <t>新加坡比特</t>
        </is>
      </c>
      <c r="E146" s="756" t="inlineStr">
        <is>
          <t>XJ</t>
        </is>
      </c>
      <c r="H146" s="756" t="inlineStr">
        <is>
          <t>BM1368PB</t>
        </is>
      </c>
      <c r="I146" s="755">
        <f>VLOOKUP(H146,编码对账表!C:D,2,0)</f>
        <v/>
      </c>
      <c r="J146" s="330" t="n">
        <v>1999477</v>
      </c>
      <c r="K146" s="331" t="inlineStr">
        <is>
          <t>202410127010</t>
        </is>
      </c>
      <c r="L146" s="332" t="inlineStr">
        <is>
          <t>1403250127225846</t>
        </is>
      </c>
      <c r="M146" s="757" t="inlineStr">
        <is>
          <t>印尼奥海</t>
        </is>
      </c>
      <c r="N146" s="756" t="inlineStr">
        <is>
          <t>CHANHUA PTE. LTD.</t>
        </is>
      </c>
      <c r="O146" s="757" t="n">
        <v>4.382</v>
      </c>
      <c r="P146" s="346">
        <f>VLOOKUP(L146,[3]BHSC_销售订单明细报表_060825!$E$1:$E$65536,1,FALSE)</f>
        <v/>
      </c>
      <c r="Q146" s="758" t="n"/>
      <c r="R146" s="758" t="n"/>
      <c r="S146" s="758" t="n"/>
      <c r="T146" s="758" t="n"/>
      <c r="U146" s="758" t="n"/>
      <c r="V146" s="758" t="n"/>
      <c r="W146" s="758" t="n"/>
    </row>
    <row r="147" s="184">
      <c r="A147" s="106" t="n">
        <v>146</v>
      </c>
      <c r="B147" s="754" t="inlineStr">
        <is>
          <t>chanhua</t>
        </is>
      </c>
      <c r="C147" s="761" t="n">
        <v>45681</v>
      </c>
      <c r="D147" s="755" t="inlineStr">
        <is>
          <t>新加坡比特</t>
        </is>
      </c>
      <c r="E147" s="756" t="inlineStr">
        <is>
          <t>NJ-VT</t>
        </is>
      </c>
      <c r="H147" s="756" t="inlineStr">
        <is>
          <t>BM1368PV</t>
        </is>
      </c>
      <c r="I147" s="755">
        <f>VLOOKUP(H147,编码对账表!C:D,2,0)</f>
        <v/>
      </c>
      <c r="J147" s="330" t="n">
        <v>520505</v>
      </c>
      <c r="K147" s="331" t="inlineStr">
        <is>
          <t>202410127010</t>
        </is>
      </c>
      <c r="L147" s="332" t="inlineStr">
        <is>
          <t>1403250127225846</t>
        </is>
      </c>
      <c r="M147" s="757" t="inlineStr">
        <is>
          <t>印尼奥海</t>
        </is>
      </c>
      <c r="N147" s="756" t="inlineStr">
        <is>
          <t>CHANHUA PTE. LTD.</t>
        </is>
      </c>
      <c r="O147" s="757" t="n">
        <v>4.382</v>
      </c>
      <c r="P147" s="346">
        <f>VLOOKUP(L147,[3]BHSC_销售订单明细报表_060825!$E$1:$E$65536,1,FALSE)</f>
        <v/>
      </c>
      <c r="Q147" s="758" t="n"/>
      <c r="R147" s="758" t="n"/>
      <c r="S147" s="758" t="n"/>
      <c r="T147" s="758" t="n"/>
      <c r="U147" s="758" t="n"/>
      <c r="V147" s="758" t="n"/>
      <c r="W147" s="758" t="n"/>
    </row>
    <row r="148" s="184">
      <c r="A148" s="106" t="n">
        <v>147</v>
      </c>
      <c r="B148" s="754" t="inlineStr">
        <is>
          <t>chanhua</t>
        </is>
      </c>
      <c r="C148" s="761" t="n">
        <v>45682</v>
      </c>
      <c r="D148" s="755" t="inlineStr">
        <is>
          <t>新加坡比特</t>
        </is>
      </c>
      <c r="E148" s="756" t="inlineStr">
        <is>
          <t>SPILSZ</t>
        </is>
      </c>
      <c r="H148" s="756" t="inlineStr">
        <is>
          <t>BM1368PV</t>
        </is>
      </c>
      <c r="I148" s="755">
        <f>VLOOKUP(H148,编码对账表!C:D,2,0)</f>
        <v/>
      </c>
      <c r="J148" s="330" t="n">
        <v>2206</v>
      </c>
      <c r="K148" s="331" t="inlineStr">
        <is>
          <t>202410127010</t>
        </is>
      </c>
      <c r="L148" s="332" t="inlineStr">
        <is>
          <t>1403250127225846</t>
        </is>
      </c>
      <c r="M148" s="757" t="inlineStr">
        <is>
          <t>印尼奥海</t>
        </is>
      </c>
      <c r="N148" s="756" t="inlineStr">
        <is>
          <t>CHANHUA PTE. LTD.</t>
        </is>
      </c>
      <c r="O148" s="757" t="n">
        <v>4.382</v>
      </c>
      <c r="P148" s="346">
        <f>VLOOKUP(L148,[3]BHSC_销售订单明细报表_060825!$E$1:$E$65536,1,FALSE)</f>
        <v/>
      </c>
      <c r="Q148" s="758" t="n"/>
      <c r="R148" s="758" t="n"/>
      <c r="S148" s="758" t="n"/>
      <c r="T148" s="758" t="n"/>
      <c r="U148" s="758" t="n"/>
      <c r="V148" s="758" t="n"/>
      <c r="W148" s="758" t="n"/>
    </row>
    <row r="149" s="184">
      <c r="A149" s="106" t="n">
        <v>148</v>
      </c>
      <c r="B149" s="754" t="inlineStr">
        <is>
          <t>chanhua</t>
        </is>
      </c>
      <c r="C149" s="761" t="n">
        <v>45681</v>
      </c>
      <c r="D149" s="755" t="inlineStr">
        <is>
          <t>新加坡比特</t>
        </is>
      </c>
      <c r="E149" s="756" t="inlineStr">
        <is>
          <t>WX-HN</t>
        </is>
      </c>
      <c r="H149" s="756" t="inlineStr">
        <is>
          <t>BM1368PV</t>
        </is>
      </c>
      <c r="I149" s="755">
        <f>VLOOKUP(H149,编码对账表!C:D,2,0)</f>
        <v/>
      </c>
      <c r="J149" s="330" t="n">
        <v>22158</v>
      </c>
      <c r="K149" s="331" t="inlineStr">
        <is>
          <t>202410127010</t>
        </is>
      </c>
      <c r="L149" s="332" t="inlineStr">
        <is>
          <t>1403250127225846</t>
        </is>
      </c>
      <c r="M149" s="757" t="inlineStr">
        <is>
          <t>印尼奥海</t>
        </is>
      </c>
      <c r="N149" s="756" t="inlineStr">
        <is>
          <t>CHANHUA PTE. LTD.</t>
        </is>
      </c>
      <c r="O149" s="757" t="n">
        <v>4.382</v>
      </c>
      <c r="P149" s="346">
        <f>VLOOKUP(L149,[3]BHSC_销售订单明细报表_060825!$E$1:$E$65536,1,FALSE)</f>
        <v/>
      </c>
      <c r="Q149" s="758" t="n"/>
      <c r="R149" s="758" t="n"/>
      <c r="S149" s="758" t="n"/>
      <c r="T149" s="758" t="n"/>
      <c r="U149" s="758" t="n"/>
      <c r="V149" s="758" t="n"/>
      <c r="W149" s="758" t="n"/>
    </row>
    <row r="150" s="184">
      <c r="A150" s="106" t="n">
        <v>149</v>
      </c>
      <c r="B150" s="754" t="inlineStr">
        <is>
          <t>chanhua</t>
        </is>
      </c>
      <c r="C150" s="761" t="n">
        <v>45683</v>
      </c>
      <c r="D150" s="755" t="inlineStr">
        <is>
          <t>新加坡比特</t>
        </is>
      </c>
      <c r="E150" s="756" t="inlineStr">
        <is>
          <t>SPILSZ</t>
        </is>
      </c>
      <c r="H150" s="756" t="inlineStr">
        <is>
          <t>BM1370BC</t>
        </is>
      </c>
      <c r="I150" s="755">
        <f>VLOOKUP(H150,编码对账表!C:D,2,0)</f>
        <v/>
      </c>
      <c r="J150" s="330" t="n">
        <v>1423851</v>
      </c>
      <c r="K150" s="331" t="inlineStr">
        <is>
          <t>202410127010</t>
        </is>
      </c>
      <c r="L150" s="332" t="inlineStr">
        <is>
          <t>1403250127225846</t>
        </is>
      </c>
      <c r="M150" s="757" t="inlineStr">
        <is>
          <t>印尼奥海</t>
        </is>
      </c>
      <c r="N150" s="756" t="inlineStr">
        <is>
          <t>CHANHUA PTE. LTD.</t>
        </is>
      </c>
      <c r="O150" s="757" t="n">
        <v>8.327199999999999</v>
      </c>
      <c r="P150" s="346">
        <f>VLOOKUP(L150,[3]BHSC_销售订单明细报表_060825!$E$1:$E$65536,1,FALSE)</f>
        <v/>
      </c>
      <c r="Q150" s="758" t="n"/>
      <c r="R150" s="758" t="n"/>
      <c r="S150" s="758" t="n"/>
      <c r="T150" s="758" t="n"/>
      <c r="U150" s="758" t="n"/>
      <c r="V150" s="758" t="n"/>
      <c r="W150" s="758" t="n"/>
    </row>
    <row r="151" s="184">
      <c r="A151" s="106" t="n">
        <v>150</v>
      </c>
      <c r="B151" s="754" t="inlineStr">
        <is>
          <t>chanhua</t>
        </is>
      </c>
      <c r="C151" s="761" t="n">
        <v>45683</v>
      </c>
      <c r="D151" s="755" t="inlineStr">
        <is>
          <t>新加坡比特</t>
        </is>
      </c>
      <c r="E151" s="756" t="inlineStr">
        <is>
          <t>JSCC</t>
        </is>
      </c>
      <c r="H151" s="756" t="inlineStr">
        <is>
          <t>BM1370PA</t>
        </is>
      </c>
      <c r="I151" s="755">
        <f>VLOOKUP(H151,编码对账表!C:D,2,0)</f>
        <v/>
      </c>
      <c r="J151" s="330" t="n">
        <v>302172</v>
      </c>
      <c r="K151" s="331" t="inlineStr">
        <is>
          <t>202410127010</t>
        </is>
      </c>
      <c r="L151" s="332" t="inlineStr">
        <is>
          <t>1403250127225846</t>
        </is>
      </c>
      <c r="M151" s="757" t="inlineStr">
        <is>
          <t>印尼奥海</t>
        </is>
      </c>
      <c r="N151" s="756" t="inlineStr">
        <is>
          <t>CHANHUA PTE. LTD.</t>
        </is>
      </c>
      <c r="O151" s="757" t="n">
        <v>8.327199999999999</v>
      </c>
      <c r="P151" s="346">
        <f>VLOOKUP(L151,[3]BHSC_销售订单明细报表_060825!$E$1:$E$65536,1,FALSE)</f>
        <v/>
      </c>
      <c r="Q151" s="758" t="n"/>
      <c r="R151" s="758" t="n"/>
      <c r="S151" s="758" t="n"/>
      <c r="T151" s="758" t="n"/>
      <c r="U151" s="758" t="n"/>
      <c r="V151" s="758" t="n"/>
      <c r="W151" s="758" t="n"/>
    </row>
    <row r="152" s="184">
      <c r="A152" s="106" t="n">
        <v>151</v>
      </c>
      <c r="B152" s="754" t="inlineStr">
        <is>
          <t>chanhua</t>
        </is>
      </c>
      <c r="C152" s="761" t="n">
        <v>45683</v>
      </c>
      <c r="D152" s="755" t="inlineStr">
        <is>
          <t>新加坡比特</t>
        </is>
      </c>
      <c r="E152" s="756" t="inlineStr">
        <is>
          <t>SPILSZ</t>
        </is>
      </c>
      <c r="H152" s="756" t="inlineStr">
        <is>
          <t>BM1370PA</t>
        </is>
      </c>
      <c r="I152" s="755">
        <f>VLOOKUP(H152,编码对账表!C:D,2,0)</f>
        <v/>
      </c>
      <c r="J152" s="330" t="n">
        <v>2800584</v>
      </c>
      <c r="K152" s="331" t="inlineStr">
        <is>
          <t>202410127010</t>
        </is>
      </c>
      <c r="L152" s="332" t="inlineStr">
        <is>
          <t>1403250127225846</t>
        </is>
      </c>
      <c r="M152" s="757" t="inlineStr">
        <is>
          <t>印尼奥海</t>
        </is>
      </c>
      <c r="N152" s="756" t="inlineStr">
        <is>
          <t>CHANHUA PTE. LTD.</t>
        </is>
      </c>
      <c r="O152" s="757" t="n">
        <v>8.327199999999999</v>
      </c>
      <c r="P152" s="346">
        <f>VLOOKUP(L152,[3]BHSC_销售订单明细报表_060825!$E$1:$E$65536,1,FALSE)</f>
        <v/>
      </c>
      <c r="Q152" s="758" t="n"/>
      <c r="R152" s="758" t="n"/>
      <c r="S152" s="758" t="n"/>
      <c r="T152" s="758" t="n"/>
      <c r="U152" s="758" t="n"/>
      <c r="V152" s="758" t="n"/>
      <c r="W152" s="758" t="n"/>
    </row>
    <row r="153" s="184">
      <c r="A153" s="106" t="n">
        <v>152</v>
      </c>
      <c r="B153" s="754" t="inlineStr">
        <is>
          <t>chanhua</t>
        </is>
      </c>
      <c r="C153" s="761" t="n">
        <v>45691</v>
      </c>
      <c r="D153" s="755" t="inlineStr">
        <is>
          <t>新加坡比特</t>
        </is>
      </c>
      <c r="E153" s="756" t="inlineStr">
        <is>
          <t>ASE-KH</t>
        </is>
      </c>
      <c r="H153" s="756" t="inlineStr">
        <is>
          <t>BM1370PA</t>
        </is>
      </c>
      <c r="I153" s="755">
        <f>VLOOKUP(H153,编码对账表!C:D,2,0)</f>
        <v/>
      </c>
      <c r="J153" s="330" t="n">
        <v>6115</v>
      </c>
      <c r="K153" s="331" t="inlineStr">
        <is>
          <t>202502060014</t>
        </is>
      </c>
      <c r="L153" s="332" t="inlineStr">
        <is>
          <t>1403250206114544</t>
        </is>
      </c>
      <c r="M153" s="757" t="inlineStr">
        <is>
          <t>印尼奥海</t>
        </is>
      </c>
      <c r="N153" s="756" t="inlineStr">
        <is>
          <t>CHANHUA PTE. LTD.</t>
        </is>
      </c>
      <c r="O153" s="757" t="n">
        <v>8.327199999999999</v>
      </c>
      <c r="P153" s="346">
        <f>VLOOKUP(L153,[3]BHSC_销售订单明细报表_060825!$E$1:$E$65536,1,FALSE)</f>
        <v/>
      </c>
      <c r="Q153" s="758" t="n"/>
      <c r="R153" s="758" t="n"/>
      <c r="S153" s="758" t="n"/>
      <c r="T153" s="758" t="n"/>
      <c r="U153" s="758" t="n"/>
      <c r="V153" s="758" t="n"/>
      <c r="W153" s="758" t="n"/>
    </row>
    <row r="154" s="184">
      <c r="A154" s="106" t="n">
        <v>153</v>
      </c>
      <c r="B154" s="754" t="inlineStr">
        <is>
          <t>chanhua</t>
        </is>
      </c>
      <c r="C154" s="761" t="n">
        <v>45691</v>
      </c>
      <c r="D154" s="755" t="inlineStr">
        <is>
          <t>新加坡比特</t>
        </is>
      </c>
      <c r="E154" s="756" t="inlineStr">
        <is>
          <t>ASECL</t>
        </is>
      </c>
      <c r="H154" s="756" t="inlineStr">
        <is>
          <t>BM1370PA</t>
        </is>
      </c>
      <c r="I154" s="755">
        <f>VLOOKUP(H154,编码对账表!C:D,2,0)</f>
        <v/>
      </c>
      <c r="J154" s="330" t="n">
        <v>266000</v>
      </c>
      <c r="K154" s="331" t="inlineStr">
        <is>
          <t>202502060014</t>
        </is>
      </c>
      <c r="L154" s="332" t="inlineStr">
        <is>
          <t>1403250206114544</t>
        </is>
      </c>
      <c r="M154" s="757" t="inlineStr">
        <is>
          <t>印尼奥海</t>
        </is>
      </c>
      <c r="N154" s="756" t="inlineStr">
        <is>
          <t>CHANHUA PTE. LTD.</t>
        </is>
      </c>
      <c r="O154" s="757" t="n">
        <v>8.327199999999999</v>
      </c>
      <c r="P154" s="346">
        <f>VLOOKUP(L154,[3]BHSC_销售订单明细报表_060825!$E$1:$E$65536,1,FALSE)</f>
        <v/>
      </c>
      <c r="Q154" s="758" t="n"/>
      <c r="R154" s="758" t="n"/>
      <c r="S154" s="758" t="n"/>
      <c r="T154" s="758" t="n"/>
      <c r="U154" s="758" t="n"/>
      <c r="V154" s="758" t="n"/>
      <c r="W154" s="758" t="n"/>
    </row>
    <row r="155" s="184">
      <c r="A155" s="106" t="n">
        <v>154</v>
      </c>
      <c r="B155" s="754" t="inlineStr">
        <is>
          <t>chanhua</t>
        </is>
      </c>
      <c r="C155" s="761" t="n">
        <v>45692</v>
      </c>
      <c r="D155" s="755" t="inlineStr">
        <is>
          <t>新加坡比特</t>
        </is>
      </c>
      <c r="E155" s="756" t="inlineStr">
        <is>
          <t>SPILSZ</t>
        </is>
      </c>
      <c r="H155" s="756" t="inlineStr">
        <is>
          <t>BM1370PA</t>
        </is>
      </c>
      <c r="I155" s="755">
        <f>VLOOKUP(H155,编码对账表!C:D,2,0)</f>
        <v/>
      </c>
      <c r="J155" s="330" t="n">
        <v>4839226</v>
      </c>
      <c r="K155" s="331" t="inlineStr">
        <is>
          <t>202502060014</t>
        </is>
      </c>
      <c r="L155" s="332" t="inlineStr">
        <is>
          <t>1403250206114544</t>
        </is>
      </c>
      <c r="M155" s="757" t="inlineStr">
        <is>
          <t>印尼奥海</t>
        </is>
      </c>
      <c r="N155" s="756" t="inlineStr">
        <is>
          <t>CHANHUA PTE. LTD.</t>
        </is>
      </c>
      <c r="O155" s="757" t="n">
        <v>8.327199999999999</v>
      </c>
      <c r="P155" s="346">
        <f>VLOOKUP(L155,[3]BHSC_销售订单明细报表_060825!$E$1:$E$65536,1,FALSE)</f>
        <v/>
      </c>
      <c r="Q155" s="758" t="n"/>
      <c r="R155" s="758" t="n"/>
      <c r="S155" s="758" t="n"/>
      <c r="T155" s="758" t="n"/>
      <c r="U155" s="758" t="n"/>
      <c r="V155" s="758" t="n"/>
      <c r="W155" s="758" t="n"/>
    </row>
    <row r="156" s="184">
      <c r="A156" s="106" t="n">
        <v>155</v>
      </c>
      <c r="B156" s="754" t="inlineStr">
        <is>
          <t>chanhua</t>
        </is>
      </c>
      <c r="C156" s="761" t="n">
        <v>45690</v>
      </c>
      <c r="D156" s="755" t="inlineStr">
        <is>
          <t>新加坡比特</t>
        </is>
      </c>
      <c r="E156" s="756" t="inlineStr">
        <is>
          <t>JSCC</t>
        </is>
      </c>
      <c r="H156" s="756" t="inlineStr">
        <is>
          <t>BM1370PM</t>
        </is>
      </c>
      <c r="I156" s="755">
        <f>VLOOKUP(H156,编码对账表!C:D,2,0)</f>
        <v/>
      </c>
      <c r="J156" s="330" t="n">
        <v>1209732</v>
      </c>
      <c r="K156" s="331" t="inlineStr">
        <is>
          <t>202502060014</t>
        </is>
      </c>
      <c r="L156" s="332" t="inlineStr">
        <is>
          <t>1403250206114544</t>
        </is>
      </c>
      <c r="M156" s="757" t="inlineStr">
        <is>
          <t>印尼奥海</t>
        </is>
      </c>
      <c r="N156" s="756" t="inlineStr">
        <is>
          <t>CHANHUA PTE. LTD.</t>
        </is>
      </c>
      <c r="O156" s="757" t="n">
        <v>8.327199999999999</v>
      </c>
      <c r="P156" s="346">
        <f>VLOOKUP(L156,[3]BHSC_销售订单明细报表_060825!$E$1:$E$65536,1,FALSE)</f>
        <v/>
      </c>
      <c r="Q156" s="758" t="n"/>
      <c r="R156" s="758" t="n"/>
      <c r="S156" s="758" t="n"/>
      <c r="T156" s="758" t="n"/>
      <c r="U156" s="758" t="n"/>
      <c r="V156" s="758" t="n"/>
      <c r="W156" s="758" t="n"/>
    </row>
    <row r="157" s="184">
      <c r="A157" s="106" t="n">
        <v>156</v>
      </c>
      <c r="B157" s="754" t="inlineStr">
        <is>
          <t>chanhua</t>
        </is>
      </c>
      <c r="C157" s="761" t="n">
        <v>45691</v>
      </c>
      <c r="D157" s="755" t="inlineStr">
        <is>
          <t>新加坡比特</t>
        </is>
      </c>
      <c r="E157" s="756" t="inlineStr">
        <is>
          <t>ASE-KH</t>
        </is>
      </c>
      <c r="H157" s="756" t="inlineStr">
        <is>
          <t>BM1370PA</t>
        </is>
      </c>
      <c r="I157" s="755">
        <f>VLOOKUP(H157,编码对账表!C:D,2,0)</f>
        <v/>
      </c>
      <c r="J157" s="330" t="n">
        <v>211468</v>
      </c>
      <c r="K157" s="331" t="inlineStr">
        <is>
          <t>202502060013</t>
        </is>
      </c>
      <c r="L157" s="332" t="inlineStr">
        <is>
          <t>1403250206114603</t>
        </is>
      </c>
      <c r="M157" s="757" t="inlineStr">
        <is>
          <t>泰国群光</t>
        </is>
      </c>
      <c r="N157" s="756" t="inlineStr">
        <is>
          <t>CHANHUA PTE. LTD.</t>
        </is>
      </c>
      <c r="O157" s="757" t="n">
        <v>8.327199999999999</v>
      </c>
      <c r="P157" s="346">
        <f>VLOOKUP(L157,[3]BHSC_销售订单明细报表_060825!$E$1:$E$65536,1,FALSE)</f>
        <v/>
      </c>
      <c r="Q157" s="758" t="n"/>
      <c r="R157" s="758" t="n"/>
      <c r="S157" s="758" t="n"/>
      <c r="T157" s="758" t="n"/>
      <c r="U157" s="758" t="n"/>
      <c r="V157" s="758" t="n"/>
      <c r="W157" s="758" t="n"/>
    </row>
    <row r="158" s="184">
      <c r="A158" s="106" t="n">
        <v>157</v>
      </c>
      <c r="B158" s="754" t="inlineStr">
        <is>
          <t>chanhua</t>
        </is>
      </c>
      <c r="C158" s="761" t="n">
        <v>45691</v>
      </c>
      <c r="D158" s="755" t="inlineStr">
        <is>
          <t>新加坡比特</t>
        </is>
      </c>
      <c r="E158" s="756" t="inlineStr">
        <is>
          <t>ASECL</t>
        </is>
      </c>
      <c r="H158" s="756" t="inlineStr">
        <is>
          <t>BM1370PA</t>
        </is>
      </c>
      <c r="I158" s="755">
        <f>VLOOKUP(H158,编码对账表!C:D,2,0)</f>
        <v/>
      </c>
      <c r="J158" s="330" t="n">
        <v>391166</v>
      </c>
      <c r="K158" s="331" t="inlineStr">
        <is>
          <t>202502060013</t>
        </is>
      </c>
      <c r="L158" s="332" t="inlineStr">
        <is>
          <t>1403250206114603</t>
        </is>
      </c>
      <c r="M158" s="757" t="inlineStr">
        <is>
          <t>泰国群光</t>
        </is>
      </c>
      <c r="N158" s="756" t="inlineStr">
        <is>
          <t>CHANHUA PTE. LTD.</t>
        </is>
      </c>
      <c r="O158" s="757" t="n">
        <v>8.327199999999999</v>
      </c>
      <c r="P158" s="346">
        <f>VLOOKUP(L158,[3]BHSC_销售订单明细报表_060825!$E$1:$E$65536,1,FALSE)</f>
        <v/>
      </c>
      <c r="Q158" s="758" t="n"/>
      <c r="R158" s="758" t="n"/>
      <c r="S158" s="758" t="n"/>
      <c r="T158" s="758" t="n"/>
      <c r="U158" s="758" t="n"/>
      <c r="V158" s="758" t="n"/>
      <c r="W158" s="758" t="n"/>
    </row>
    <row r="159" s="184">
      <c r="A159" s="106" t="n">
        <v>158</v>
      </c>
      <c r="B159" s="754" t="inlineStr">
        <is>
          <t>chanhua</t>
        </is>
      </c>
      <c r="C159" s="761" t="n">
        <v>45689</v>
      </c>
      <c r="D159" s="755" t="inlineStr">
        <is>
          <t>新加坡比特</t>
        </is>
      </c>
      <c r="E159" s="756" t="inlineStr">
        <is>
          <t>SPILSZ</t>
        </is>
      </c>
      <c r="H159" s="756" t="inlineStr">
        <is>
          <t>BM1370PA</t>
        </is>
      </c>
      <c r="I159" s="755">
        <f>VLOOKUP(H159,编码对账表!C:D,2,0)</f>
        <v/>
      </c>
      <c r="J159" s="330" t="n">
        <v>1284589</v>
      </c>
      <c r="K159" s="331" t="inlineStr">
        <is>
          <t>202502060013</t>
        </is>
      </c>
      <c r="L159" s="332" t="inlineStr">
        <is>
          <t>1403250206114603</t>
        </is>
      </c>
      <c r="M159" s="757" t="inlineStr">
        <is>
          <t>泰国群光</t>
        </is>
      </c>
      <c r="N159" s="756" t="inlineStr">
        <is>
          <t>CHANHUA PTE. LTD.</t>
        </is>
      </c>
      <c r="O159" s="757" t="n">
        <v>8.327199999999999</v>
      </c>
      <c r="P159" s="346">
        <f>VLOOKUP(L159,[3]BHSC_销售订单明细报表_060825!$E$1:$E$65536,1,FALSE)</f>
        <v/>
      </c>
      <c r="Q159" s="758" t="n"/>
      <c r="R159" s="758" t="n"/>
      <c r="S159" s="758" t="n"/>
      <c r="T159" s="758" t="n"/>
      <c r="U159" s="758" t="n"/>
      <c r="V159" s="758" t="n"/>
      <c r="W159" s="758" t="n"/>
    </row>
    <row r="160" s="184">
      <c r="A160" s="106" t="n">
        <v>159</v>
      </c>
      <c r="B160" s="754" t="inlineStr">
        <is>
          <t>chanhua</t>
        </is>
      </c>
      <c r="C160" s="761" t="n">
        <v>45690</v>
      </c>
      <c r="D160" s="755" t="inlineStr">
        <is>
          <t>新加坡比特</t>
        </is>
      </c>
      <c r="E160" s="756" t="inlineStr">
        <is>
          <t>JSCC</t>
        </is>
      </c>
      <c r="H160" s="756" t="inlineStr">
        <is>
          <t>BM1370PA</t>
        </is>
      </c>
      <c r="I160" s="755">
        <f>VLOOKUP(H160,编码对账表!C:D,2,0)</f>
        <v/>
      </c>
      <c r="J160" s="330" t="n">
        <v>657755</v>
      </c>
      <c r="K160" s="331" t="inlineStr">
        <is>
          <t>202502060012</t>
        </is>
      </c>
      <c r="L160" s="332" t="inlineStr">
        <is>
          <t>1403250206114621</t>
        </is>
      </c>
      <c r="M160" s="757" t="inlineStr">
        <is>
          <t>泰国ONETEC</t>
        </is>
      </c>
      <c r="N160" s="756" t="inlineStr">
        <is>
          <t>CHANHUA PTE. LTD.</t>
        </is>
      </c>
      <c r="O160" s="757" t="n">
        <v>8.327199999999999</v>
      </c>
      <c r="P160" s="346">
        <f>VLOOKUP(L160,[3]BHSC_销售订单明细报表_060825!$E$1:$E$65536,1,FALSE)</f>
        <v/>
      </c>
      <c r="Q160" s="758" t="n"/>
      <c r="R160" s="758" t="n"/>
      <c r="S160" s="758" t="n"/>
      <c r="T160" s="758" t="n"/>
      <c r="U160" s="758" t="n"/>
      <c r="V160" s="758" t="n"/>
      <c r="W160" s="758" t="n"/>
    </row>
    <row r="161" s="184">
      <c r="A161" s="106" t="n">
        <v>160</v>
      </c>
      <c r="B161" s="754" t="inlineStr">
        <is>
          <t>chanhua</t>
        </is>
      </c>
      <c r="C161" s="761" t="n">
        <v>45689</v>
      </c>
      <c r="D161" s="755" t="inlineStr">
        <is>
          <t>新加坡比特</t>
        </is>
      </c>
      <c r="E161" s="756" t="inlineStr">
        <is>
          <t>SPILSZ</t>
        </is>
      </c>
      <c r="H161" s="756" t="inlineStr">
        <is>
          <t>BM1370PA</t>
        </is>
      </c>
      <c r="I161" s="755">
        <f>VLOOKUP(H161,编码对账表!C:D,2,0)</f>
        <v/>
      </c>
      <c r="J161" s="330" t="n">
        <v>172825</v>
      </c>
      <c r="K161" s="331" t="inlineStr">
        <is>
          <t>202502060012</t>
        </is>
      </c>
      <c r="L161" s="332" t="inlineStr">
        <is>
          <t>1403250206114621</t>
        </is>
      </c>
      <c r="M161" s="757" t="inlineStr">
        <is>
          <t>泰国ONETEC</t>
        </is>
      </c>
      <c r="N161" s="756" t="inlineStr">
        <is>
          <t>CHANHUA PTE. LTD.</t>
        </is>
      </c>
      <c r="O161" s="757" t="n">
        <v>8.327199999999999</v>
      </c>
      <c r="P161" s="346">
        <f>VLOOKUP(L161,[3]BHSC_销售订单明细报表_060825!$E$1:$E$65536,1,FALSE)</f>
        <v/>
      </c>
      <c r="Q161" s="758" t="n"/>
      <c r="R161" s="758" t="n"/>
      <c r="S161" s="758" t="n"/>
      <c r="T161" s="758" t="n"/>
      <c r="U161" s="758" t="n"/>
      <c r="V161" s="758" t="n"/>
      <c r="W161" s="758" t="n"/>
    </row>
    <row r="162" s="184">
      <c r="A162" s="106" t="n">
        <v>161</v>
      </c>
      <c r="B162" s="754" t="inlineStr">
        <is>
          <t>chanhua</t>
        </is>
      </c>
      <c r="C162" s="761" t="n">
        <v>45690</v>
      </c>
      <c r="D162" s="755" t="inlineStr">
        <is>
          <t>新加坡比特</t>
        </is>
      </c>
      <c r="E162" s="756" t="inlineStr">
        <is>
          <t>JSCC</t>
        </is>
      </c>
      <c r="H162" s="756" t="inlineStr">
        <is>
          <t>BM1370PM</t>
        </is>
      </c>
      <c r="I162" s="755">
        <f>VLOOKUP(H162,编码对账表!C:D,2,0)</f>
        <v/>
      </c>
      <c r="J162" s="330" t="n">
        <v>1053186</v>
      </c>
      <c r="K162" s="331" t="inlineStr">
        <is>
          <t>202502060012</t>
        </is>
      </c>
      <c r="L162" s="332" t="inlineStr">
        <is>
          <t>1403250206114621</t>
        </is>
      </c>
      <c r="M162" s="757" t="inlineStr">
        <is>
          <t>泰国ONETEC</t>
        </is>
      </c>
      <c r="N162" s="756" t="inlineStr">
        <is>
          <t>CHANHUA PTE. LTD.</t>
        </is>
      </c>
      <c r="O162" s="757" t="n">
        <v>8.327199999999999</v>
      </c>
      <c r="P162" s="346">
        <f>VLOOKUP(L162,[3]BHSC_销售订单明细报表_060825!$E$1:$E$65536,1,FALSE)</f>
        <v/>
      </c>
      <c r="Q162" s="758" t="n"/>
      <c r="R162" s="758" t="n"/>
      <c r="S162" s="758" t="n"/>
      <c r="T162" s="758" t="n"/>
      <c r="U162" s="758" t="n"/>
      <c r="V162" s="758" t="n"/>
      <c r="W162" s="758" t="n"/>
    </row>
    <row r="163" s="184">
      <c r="A163" s="106" t="n">
        <v>162</v>
      </c>
      <c r="B163" s="754" t="inlineStr">
        <is>
          <t>chanhua</t>
        </is>
      </c>
      <c r="C163" s="761" t="n">
        <v>45689</v>
      </c>
      <c r="D163" s="755" t="inlineStr">
        <is>
          <t>新加坡比特</t>
        </is>
      </c>
      <c r="E163" s="756" t="inlineStr">
        <is>
          <t>SPILSZ</t>
        </is>
      </c>
      <c r="H163" s="756" t="inlineStr">
        <is>
          <t>BM1370BC</t>
        </is>
      </c>
      <c r="I163" s="755">
        <f>VLOOKUP(H163,编码对账表!C:D,2,0)</f>
        <v/>
      </c>
      <c r="J163" s="330" t="n">
        <v>59573</v>
      </c>
      <c r="K163" s="331" t="inlineStr">
        <is>
          <t>202502060011</t>
        </is>
      </c>
      <c r="L163" s="332" t="inlineStr">
        <is>
          <t>1403250206114638</t>
        </is>
      </c>
      <c r="M163" s="757" t="inlineStr">
        <is>
          <t>PIE</t>
        </is>
      </c>
      <c r="N163" s="756" t="inlineStr">
        <is>
          <t>CHANHUA PTE. LTD.</t>
        </is>
      </c>
      <c r="O163" s="757" t="n">
        <v>8.327199999999999</v>
      </c>
      <c r="P163" s="346">
        <f>VLOOKUP(L163,[3]BHSC_销售订单明细报表_060825!$E$1:$E$65536,1,FALSE)</f>
        <v/>
      </c>
      <c r="Q163" s="758" t="n"/>
      <c r="R163" s="758" t="n"/>
      <c r="S163" s="758" t="n"/>
      <c r="T163" s="758" t="n"/>
      <c r="U163" s="758" t="n"/>
      <c r="V163" s="758" t="n"/>
      <c r="W163" s="758" t="n"/>
    </row>
    <row r="164" s="184">
      <c r="A164" s="106" t="n">
        <v>163</v>
      </c>
      <c r="B164" s="754" t="inlineStr">
        <is>
          <t>chanhua</t>
        </is>
      </c>
      <c r="C164" s="761" t="n">
        <v>45690</v>
      </c>
      <c r="D164" s="755" t="inlineStr">
        <is>
          <t>新加坡比特</t>
        </is>
      </c>
      <c r="E164" s="756" t="inlineStr">
        <is>
          <t>JSCC</t>
        </is>
      </c>
      <c r="H164" s="756" t="inlineStr">
        <is>
          <t>BM1370PA</t>
        </is>
      </c>
      <c r="I164" s="755">
        <f>VLOOKUP(H164,编码对账表!C:D,2,0)</f>
        <v/>
      </c>
      <c r="J164" s="330" t="n">
        <v>1294212</v>
      </c>
      <c r="K164" s="331" t="inlineStr">
        <is>
          <t>202502060011</t>
        </is>
      </c>
      <c r="L164" s="332" t="inlineStr">
        <is>
          <t>1403250206114638</t>
        </is>
      </c>
      <c r="M164" s="757" t="inlineStr">
        <is>
          <t>PIE</t>
        </is>
      </c>
      <c r="N164" s="756" t="inlineStr">
        <is>
          <t>CHANHUA PTE. LTD.</t>
        </is>
      </c>
      <c r="O164" s="757" t="n">
        <v>8.327199999999999</v>
      </c>
      <c r="P164" s="346">
        <f>VLOOKUP(L164,[3]BHSC_销售订单明细报表_060825!$E$1:$E$65536,1,FALSE)</f>
        <v/>
      </c>
      <c r="Q164" s="758" t="n"/>
      <c r="R164" s="758" t="n"/>
      <c r="S164" s="758" t="n"/>
      <c r="T164" s="758" t="n"/>
      <c r="U164" s="758" t="n"/>
      <c r="V164" s="758" t="n"/>
      <c r="W164" s="758" t="n"/>
    </row>
    <row r="165" s="184">
      <c r="A165" s="106" t="n">
        <v>164</v>
      </c>
      <c r="B165" s="754" t="inlineStr">
        <is>
          <t>chanhua</t>
        </is>
      </c>
      <c r="C165" s="761" t="n">
        <v>45691</v>
      </c>
      <c r="D165" s="755" t="inlineStr">
        <is>
          <t>新加坡比特</t>
        </is>
      </c>
      <c r="E165" s="756" t="inlineStr">
        <is>
          <t>ASE-KH</t>
        </is>
      </c>
      <c r="H165" s="756" t="inlineStr">
        <is>
          <t>BM1370PA</t>
        </is>
      </c>
      <c r="I165" s="755">
        <f>VLOOKUP(H165,编码对账表!C:D,2,0)</f>
        <v/>
      </c>
      <c r="J165" s="330" t="n">
        <v>18304</v>
      </c>
      <c r="K165" s="331" t="inlineStr">
        <is>
          <t>202502060010</t>
        </is>
      </c>
      <c r="L165" s="332" t="inlineStr">
        <is>
          <t>1403250206114656</t>
        </is>
      </c>
      <c r="M165" s="757" t="inlineStr">
        <is>
          <t>Nationgate</t>
        </is>
      </c>
      <c r="N165" s="756" t="inlineStr">
        <is>
          <t>CHANHUA PTE. LTD.</t>
        </is>
      </c>
      <c r="O165" s="757" t="n">
        <v>8.327199999999999</v>
      </c>
      <c r="P165" s="346">
        <f>VLOOKUP(L165,[3]BHSC_销售订单明细报表_060825!$E$1:$E$65536,1,FALSE)</f>
        <v/>
      </c>
      <c r="Q165" s="758" t="n"/>
      <c r="R165" s="758" t="n"/>
      <c r="S165" s="758" t="n"/>
      <c r="T165" s="758" t="n"/>
      <c r="U165" s="758" t="n"/>
      <c r="V165" s="758" t="n"/>
      <c r="W165" s="758" t="n"/>
    </row>
    <row r="166" s="184">
      <c r="A166" s="106" t="n">
        <v>165</v>
      </c>
      <c r="B166" s="754" t="inlineStr">
        <is>
          <t>chanhua</t>
        </is>
      </c>
      <c r="C166" s="761" t="n">
        <v>45691</v>
      </c>
      <c r="D166" s="755" t="inlineStr">
        <is>
          <t>新加坡比特</t>
        </is>
      </c>
      <c r="E166" s="756" t="inlineStr">
        <is>
          <t>ASECL</t>
        </is>
      </c>
      <c r="H166" s="756" t="inlineStr">
        <is>
          <t>BM1370PA</t>
        </is>
      </c>
      <c r="I166" s="755">
        <f>VLOOKUP(H166,编码对账表!C:D,2,0)</f>
        <v/>
      </c>
      <c r="J166" s="330" t="n">
        <v>201400</v>
      </c>
      <c r="K166" s="331" t="inlineStr">
        <is>
          <t>202502060010</t>
        </is>
      </c>
      <c r="L166" s="332" t="inlineStr">
        <is>
          <t>1403250206114656</t>
        </is>
      </c>
      <c r="M166" s="757" t="inlineStr">
        <is>
          <t>Nationgate</t>
        </is>
      </c>
      <c r="N166" s="756" t="inlineStr">
        <is>
          <t>CHANHUA PTE. LTD.</t>
        </is>
      </c>
      <c r="O166" s="757" t="n">
        <v>8.327199999999999</v>
      </c>
      <c r="P166" s="346">
        <f>VLOOKUP(L166,[3]BHSC_销售订单明细报表_060825!$E$1:$E$65536,1,FALSE)</f>
        <v/>
      </c>
      <c r="Q166" s="758" t="n"/>
      <c r="R166" s="758" t="n"/>
      <c r="S166" s="758" t="n"/>
      <c r="T166" s="758" t="n"/>
      <c r="U166" s="758" t="n"/>
      <c r="V166" s="758" t="n"/>
      <c r="W166" s="758" t="n"/>
    </row>
    <row r="167" s="184">
      <c r="A167" s="106" t="n">
        <v>166</v>
      </c>
      <c r="B167" s="754" t="inlineStr">
        <is>
          <t>chanhua</t>
        </is>
      </c>
      <c r="C167" s="761" t="n">
        <v>45692</v>
      </c>
      <c r="D167" s="755" t="inlineStr">
        <is>
          <t>新加坡比特</t>
        </is>
      </c>
      <c r="E167" s="756" t="inlineStr">
        <is>
          <t>SPILSZ</t>
        </is>
      </c>
      <c r="H167" s="756" t="inlineStr">
        <is>
          <t>BM1370PA</t>
        </is>
      </c>
      <c r="I167" s="755">
        <f>VLOOKUP(H167,编码对账表!C:D,2,0)</f>
        <v/>
      </c>
      <c r="J167" s="330" t="n">
        <v>995658</v>
      </c>
      <c r="K167" s="331" t="inlineStr">
        <is>
          <t>202502060010</t>
        </is>
      </c>
      <c r="L167" s="332" t="inlineStr">
        <is>
          <t>1403250206114656</t>
        </is>
      </c>
      <c r="M167" s="757" t="inlineStr">
        <is>
          <t>Nationgate</t>
        </is>
      </c>
      <c r="N167" s="756" t="inlineStr">
        <is>
          <t>CHANHUA PTE. LTD.</t>
        </is>
      </c>
      <c r="O167" s="757" t="n">
        <v>8.327199999999999</v>
      </c>
      <c r="P167" s="346">
        <f>VLOOKUP(L167,[3]BHSC_销售订单明细报表_060825!$E$1:$E$65536,1,FALSE)</f>
        <v/>
      </c>
      <c r="Q167" s="758" t="n"/>
      <c r="R167" s="758" t="n"/>
      <c r="S167" s="758" t="n"/>
      <c r="T167" s="758" t="n"/>
      <c r="U167" s="758" t="n"/>
      <c r="V167" s="758" t="n"/>
      <c r="W167" s="758" t="n"/>
    </row>
    <row r="168" customFormat="1" s="766">
      <c r="A168" s="356" t="n">
        <v>167</v>
      </c>
      <c r="B168" s="767" t="inlineStr">
        <is>
          <t>chanhua</t>
        </is>
      </c>
      <c r="C168" s="761" t="n">
        <v>45681</v>
      </c>
      <c r="D168" s="768" t="inlineStr">
        <is>
          <t>新加坡比特</t>
        </is>
      </c>
      <c r="E168" s="769" t="inlineStr">
        <is>
          <t>ASECL</t>
        </is>
      </c>
      <c r="F168" s="769" t="n"/>
      <c r="G168" s="769" t="n"/>
      <c r="H168" s="770" t="inlineStr">
        <is>
          <t>BM1370PA</t>
        </is>
      </c>
      <c r="I168" s="771">
        <f>VLOOKUP(H168,编码对账表!C:D,2,0)</f>
        <v/>
      </c>
      <c r="J168" s="362" t="n">
        <v>71</v>
      </c>
      <c r="K168" s="363" t="inlineStr">
        <is>
          <t>202501300101</t>
        </is>
      </c>
      <c r="L168" s="364" t="inlineStr">
        <is>
          <t>1403250213180648</t>
        </is>
      </c>
      <c r="M168" s="772" t="inlineStr">
        <is>
          <t>泰国ONETEC</t>
        </is>
      </c>
      <c r="N168" s="769" t="inlineStr">
        <is>
          <t>CHANHUA PTE. LTD.</t>
        </is>
      </c>
      <c r="O168" s="772" t="n">
        <v>8.327199999999999</v>
      </c>
      <c r="P168" s="346">
        <f>VLOOKUP(L168,[3]BHSC_销售订单明细报表_060825!$E$1:$E$65536,1,FALSE)</f>
        <v/>
      </c>
      <c r="Q168" s="773" t="n"/>
      <c r="R168" s="773" t="inlineStr">
        <is>
          <t>下多了，删除</t>
        </is>
      </c>
      <c r="S168" s="773" t="n"/>
      <c r="T168" s="773" t="n"/>
      <c r="U168" s="773" t="n"/>
      <c r="V168" s="773" t="n"/>
      <c r="W168" s="773" t="n"/>
      <c r="X168" s="773" t="n"/>
      <c r="Y168" s="773" t="n"/>
      <c r="Z168" s="773" t="n"/>
      <c r="AA168" s="773" t="n"/>
      <c r="AB168" s="773" t="n"/>
      <c r="AC168" s="773" t="n"/>
    </row>
    <row r="169" customFormat="1" s="774">
      <c r="A169" s="106" t="n">
        <v>168</v>
      </c>
      <c r="B169" s="775" t="inlineStr">
        <is>
          <t>chanhua</t>
        </is>
      </c>
      <c r="C169" s="761" t="n">
        <v>45681</v>
      </c>
      <c r="D169" s="776" t="inlineStr">
        <is>
          <t>新加坡比特</t>
        </is>
      </c>
      <c r="E169" s="777" t="inlineStr">
        <is>
          <t>ASECL</t>
        </is>
      </c>
      <c r="F169" s="777" t="n"/>
      <c r="G169" s="777" t="n"/>
      <c r="H169" s="756" t="inlineStr">
        <is>
          <t>BM1370PA</t>
        </is>
      </c>
      <c r="I169" s="755">
        <f>VLOOKUP(H169,编码对账表!C:D,2,0)</f>
        <v/>
      </c>
      <c r="J169" s="370" t="n">
        <v>560</v>
      </c>
      <c r="K169" s="371" t="inlineStr">
        <is>
          <t>202501300102</t>
        </is>
      </c>
      <c r="L169" s="372" t="inlineStr">
        <is>
          <t>1403250213180703</t>
        </is>
      </c>
      <c r="M169" s="778" t="inlineStr">
        <is>
          <t>泰国群光</t>
        </is>
      </c>
      <c r="N169" s="777" t="inlineStr">
        <is>
          <t>CHANHUA PTE. LTD.</t>
        </is>
      </c>
      <c r="O169" s="778" t="n">
        <v>8.327199999999999</v>
      </c>
      <c r="P169" s="346">
        <f>VLOOKUP(L169,[3]BHSC_销售订单明细报表_060825!$E$1:$E$65536,1,FALSE)</f>
        <v/>
      </c>
      <c r="Q169" s="779" t="n"/>
      <c r="R169" s="779" t="n"/>
      <c r="S169" s="779" t="n"/>
      <c r="T169" s="779" t="n"/>
      <c r="U169" s="779" t="n"/>
      <c r="V169" s="779" t="n"/>
      <c r="W169" s="779" t="n"/>
      <c r="X169" s="779" t="n"/>
      <c r="Y169" s="779" t="n"/>
      <c r="Z169" s="779" t="n"/>
      <c r="AA169" s="779" t="n"/>
      <c r="AB169" s="779" t="n"/>
      <c r="AC169" s="779" t="n"/>
    </row>
    <row r="170" s="184">
      <c r="A170" s="106" t="n">
        <v>169</v>
      </c>
      <c r="B170" s="775" t="inlineStr">
        <is>
          <t>chanhua</t>
        </is>
      </c>
      <c r="C170" s="761" t="n">
        <v>45680</v>
      </c>
      <c r="D170" s="776" t="inlineStr">
        <is>
          <t>新加坡比特</t>
        </is>
      </c>
      <c r="E170" s="777" t="inlineStr">
        <is>
          <t>ASECL</t>
        </is>
      </c>
      <c r="F170" s="777" t="n"/>
      <c r="G170" s="777" t="n"/>
      <c r="H170" s="756" t="inlineStr">
        <is>
          <t>BM1370BC</t>
        </is>
      </c>
      <c r="I170" s="755">
        <f>VLOOKUP(H170,编码对账表!C:D,2,0)</f>
        <v/>
      </c>
      <c r="J170" s="370" t="n">
        <v>304</v>
      </c>
      <c r="K170" s="371" t="inlineStr">
        <is>
          <t>202501300103</t>
        </is>
      </c>
      <c r="L170" s="332" t="inlineStr">
        <is>
          <t>1403250214151516</t>
        </is>
      </c>
      <c r="M170" s="778" t="inlineStr">
        <is>
          <t>墨西哥欧陆通</t>
        </is>
      </c>
      <c r="N170" s="777" t="inlineStr">
        <is>
          <t>CHANHUA PTE. LTD.</t>
        </is>
      </c>
      <c r="O170" s="778" t="n">
        <v>8.327199999999999</v>
      </c>
      <c r="P170" s="346">
        <f>VLOOKUP(L170,[3]BHSC_销售订单明细报表_060825!$E$1:$E$65536,1,FALSE)</f>
        <v/>
      </c>
      <c r="Q170" s="758" t="n"/>
      <c r="R170" s="758" t="n"/>
      <c r="S170" s="758" t="n"/>
      <c r="T170" s="758" t="n"/>
      <c r="U170" s="758" t="n"/>
      <c r="V170" s="758" t="n"/>
      <c r="W170" s="758" t="n"/>
    </row>
    <row r="171" s="184">
      <c r="A171" s="106" t="n">
        <v>170</v>
      </c>
      <c r="B171" s="754" t="inlineStr">
        <is>
          <t>chanhua</t>
        </is>
      </c>
      <c r="C171" s="761" t="n">
        <v>45702</v>
      </c>
      <c r="D171" s="755" t="inlineStr">
        <is>
          <t>新加坡比特</t>
        </is>
      </c>
      <c r="E171" s="756" t="inlineStr">
        <is>
          <t>ASE-KH</t>
        </is>
      </c>
      <c r="H171" s="756" t="inlineStr">
        <is>
          <t>BM1370PA</t>
        </is>
      </c>
      <c r="I171" s="755">
        <f>VLOOKUP(H171,[1]编码对账表!C:D,2,0)</f>
        <v/>
      </c>
      <c r="J171" s="330" t="n">
        <v>2401</v>
      </c>
      <c r="K171" s="331" t="inlineStr">
        <is>
          <t>202502240010</t>
        </is>
      </c>
      <c r="L171" s="332" t="inlineStr">
        <is>
          <t>1403250214171119</t>
        </is>
      </c>
      <c r="M171" s="757" t="inlineStr">
        <is>
          <t>印尼奥海</t>
        </is>
      </c>
      <c r="N171" s="756" t="inlineStr">
        <is>
          <t>CHANHUA PTE. LTD.</t>
        </is>
      </c>
      <c r="O171" s="757" t="n">
        <v>8.327199999999999</v>
      </c>
      <c r="P171" s="346">
        <f>VLOOKUP(L171,[3]BHSC_销售订单明细报表_060825!$E$1:$E$65536,1,FALSE)</f>
        <v/>
      </c>
      <c r="Q171" s="758" t="n"/>
      <c r="R171" s="758" t="n"/>
      <c r="S171" s="758" t="n"/>
      <c r="T171" s="758" t="n"/>
      <c r="U171" s="758" t="n"/>
      <c r="V171" s="758" t="n"/>
      <c r="W171" s="758" t="n"/>
    </row>
    <row r="172" s="184">
      <c r="A172" s="106" t="n">
        <v>171</v>
      </c>
      <c r="B172" s="754" t="inlineStr">
        <is>
          <t>chanhua</t>
        </is>
      </c>
      <c r="C172" s="761" t="n">
        <v>45699</v>
      </c>
      <c r="D172" s="755" t="inlineStr">
        <is>
          <t>新加坡比特</t>
        </is>
      </c>
      <c r="E172" s="756" t="inlineStr">
        <is>
          <t>ASECL</t>
        </is>
      </c>
      <c r="H172" s="756" t="inlineStr">
        <is>
          <t>BM1370PA</t>
        </is>
      </c>
      <c r="I172" s="755">
        <f>VLOOKUP(H172,[1]编码对账表!C:D,2,0)</f>
        <v/>
      </c>
      <c r="J172" s="330" t="n">
        <v>53200</v>
      </c>
      <c r="K172" s="331" t="inlineStr">
        <is>
          <t>202502240010</t>
        </is>
      </c>
      <c r="L172" s="332" t="inlineStr">
        <is>
          <t>1403250214171119</t>
        </is>
      </c>
      <c r="M172" s="757" t="inlineStr">
        <is>
          <t>印尼奥海</t>
        </is>
      </c>
      <c r="N172" s="756" t="inlineStr">
        <is>
          <t>CHANHUA PTE. LTD.</t>
        </is>
      </c>
      <c r="O172" s="757" t="n">
        <v>8.327199999999999</v>
      </c>
      <c r="P172" s="346">
        <f>VLOOKUP(L172,[3]BHSC_销售订单明细报表_060825!$E$1:$E$65536,1,FALSE)</f>
        <v/>
      </c>
      <c r="Q172" s="758" t="n"/>
      <c r="R172" s="758" t="n"/>
      <c r="S172" s="758" t="n"/>
      <c r="T172" s="758" t="n"/>
      <c r="U172" s="758" t="n"/>
      <c r="V172" s="758" t="n"/>
      <c r="W172" s="758" t="n"/>
    </row>
    <row r="173" s="184">
      <c r="A173" s="106" t="n">
        <v>172</v>
      </c>
      <c r="B173" s="754" t="inlineStr">
        <is>
          <t>chanhua</t>
        </is>
      </c>
      <c r="C173" s="761" t="n">
        <v>45698</v>
      </c>
      <c r="D173" s="755" t="inlineStr">
        <is>
          <t>新加坡比特</t>
        </is>
      </c>
      <c r="E173" s="756" t="inlineStr">
        <is>
          <t>JSCC</t>
        </is>
      </c>
      <c r="H173" s="756" t="inlineStr">
        <is>
          <t>BM1370PA</t>
        </is>
      </c>
      <c r="I173" s="755">
        <f>VLOOKUP(H173,[1]编码对账表!C:D,2,0)</f>
        <v/>
      </c>
      <c r="J173" s="330" t="n">
        <v>287620</v>
      </c>
      <c r="K173" s="331" t="inlineStr">
        <is>
          <t>202502240010</t>
        </is>
      </c>
      <c r="L173" s="332" t="inlineStr">
        <is>
          <t>1403250214171119</t>
        </is>
      </c>
      <c r="M173" s="757" t="inlineStr">
        <is>
          <t>印尼奥海</t>
        </is>
      </c>
      <c r="N173" s="756" t="inlineStr">
        <is>
          <t>CHANHUA PTE. LTD.</t>
        </is>
      </c>
      <c r="O173" s="757" t="n">
        <v>8.327199999999999</v>
      </c>
      <c r="P173" s="346">
        <f>VLOOKUP(L173,[3]BHSC_销售订单明细报表_060825!$E$1:$E$65536,1,FALSE)</f>
        <v/>
      </c>
      <c r="Q173" s="758" t="n"/>
      <c r="R173" s="758" t="n"/>
      <c r="S173" s="758" t="n"/>
      <c r="T173" s="758" t="n"/>
      <c r="U173" s="758" t="n"/>
      <c r="V173" s="758" t="n"/>
      <c r="W173" s="758" t="n"/>
    </row>
    <row r="174" s="184">
      <c r="A174" s="106" t="n">
        <v>173</v>
      </c>
      <c r="B174" s="754" t="inlineStr">
        <is>
          <t>chanhua</t>
        </is>
      </c>
      <c r="C174" s="761" t="n">
        <v>45699</v>
      </c>
      <c r="D174" s="755" t="inlineStr">
        <is>
          <t>新加坡比特</t>
        </is>
      </c>
      <c r="E174" s="756" t="inlineStr">
        <is>
          <t>SPILSZ</t>
        </is>
      </c>
      <c r="H174" s="756" t="inlineStr">
        <is>
          <t>BM1370PA</t>
        </is>
      </c>
      <c r="I174" s="755">
        <f>VLOOKUP(H174,[1]编码对账表!C:D,2,0)</f>
        <v/>
      </c>
      <c r="J174" s="330" t="n">
        <v>1170582</v>
      </c>
      <c r="K174" s="331" t="inlineStr">
        <is>
          <t>202502240010</t>
        </is>
      </c>
      <c r="L174" s="332" t="inlineStr">
        <is>
          <t>1403250214171119</t>
        </is>
      </c>
      <c r="M174" s="757" t="inlineStr">
        <is>
          <t>印尼奥海</t>
        </is>
      </c>
      <c r="N174" s="756" t="inlineStr">
        <is>
          <t>CHANHUA PTE. LTD.</t>
        </is>
      </c>
      <c r="O174" s="757" t="n">
        <v>8.327199999999999</v>
      </c>
      <c r="P174" s="346">
        <f>VLOOKUP(L174,[3]BHSC_销售订单明细报表_060825!$E$1:$E$65536,1,FALSE)</f>
        <v/>
      </c>
      <c r="Q174" s="758" t="n"/>
      <c r="R174" s="758" t="n"/>
      <c r="S174" s="758" t="n"/>
      <c r="T174" s="758" t="n"/>
      <c r="U174" s="758" t="n"/>
      <c r="V174" s="758" t="n"/>
      <c r="W174" s="758" t="n"/>
    </row>
    <row r="175" s="184">
      <c r="A175" s="106" t="n">
        <v>174</v>
      </c>
      <c r="B175" s="754" t="inlineStr">
        <is>
          <t>chanhua</t>
        </is>
      </c>
      <c r="C175" s="761" t="n">
        <v>45696</v>
      </c>
      <c r="D175" s="755" t="inlineStr">
        <is>
          <t>新加坡比特</t>
        </is>
      </c>
      <c r="E175" s="756" t="inlineStr">
        <is>
          <t>TFME</t>
        </is>
      </c>
      <c r="H175" s="756" t="inlineStr">
        <is>
          <t>BM1370PA</t>
        </is>
      </c>
      <c r="I175" s="755">
        <f>VLOOKUP(H175,[1]编码对账表!C:D,2,0)</f>
        <v/>
      </c>
      <c r="J175" s="330" t="n">
        <v>3000</v>
      </c>
      <c r="K175" s="331" t="inlineStr">
        <is>
          <t>202502240010</t>
        </is>
      </c>
      <c r="L175" s="332" t="inlineStr">
        <is>
          <t>1403250214171119</t>
        </is>
      </c>
      <c r="M175" s="757" t="inlineStr">
        <is>
          <t>印尼奥海</t>
        </is>
      </c>
      <c r="N175" s="756" t="inlineStr">
        <is>
          <t>CHANHUA PTE. LTD.</t>
        </is>
      </c>
      <c r="O175" s="757" t="n">
        <v>8.327199999999999</v>
      </c>
      <c r="P175" s="346">
        <f>VLOOKUP(L175,[3]BHSC_销售订单明细报表_060825!$E$1:$E$65536,1,FALSE)</f>
        <v/>
      </c>
      <c r="Q175" s="758" t="n"/>
      <c r="R175" s="758" t="n"/>
      <c r="S175" s="758" t="n"/>
      <c r="T175" s="758" t="n"/>
      <c r="U175" s="758" t="n"/>
      <c r="V175" s="758" t="n"/>
      <c r="W175" s="758" t="n"/>
    </row>
    <row r="176" s="184">
      <c r="A176" s="106" t="n">
        <v>175</v>
      </c>
      <c r="B176" s="754" t="inlineStr">
        <is>
          <t>chanhua</t>
        </is>
      </c>
      <c r="C176" s="761" t="n">
        <v>45699</v>
      </c>
      <c r="D176" s="755" t="inlineStr">
        <is>
          <t>新加坡比特</t>
        </is>
      </c>
      <c r="E176" s="756" t="inlineStr">
        <is>
          <t>JSCC</t>
        </is>
      </c>
      <c r="H176" s="756" t="inlineStr">
        <is>
          <t>BM1370PM</t>
        </is>
      </c>
      <c r="I176" s="755">
        <f>VLOOKUP(H176,[1]编码对账表!C:D,2,0)</f>
        <v/>
      </c>
      <c r="J176" s="330" t="n">
        <v>965099</v>
      </c>
      <c r="K176" s="331" t="inlineStr">
        <is>
          <t>202502240010</t>
        </is>
      </c>
      <c r="L176" s="332" t="inlineStr">
        <is>
          <t>1403250214171119</t>
        </is>
      </c>
      <c r="M176" s="757" t="inlineStr">
        <is>
          <t>印尼奥海</t>
        </is>
      </c>
      <c r="N176" s="756" t="inlineStr">
        <is>
          <t>CHANHUA PTE. LTD.</t>
        </is>
      </c>
      <c r="O176" s="757" t="n">
        <v>8.327199999999999</v>
      </c>
      <c r="P176" s="346">
        <f>VLOOKUP(L176,[3]BHSC_销售订单明细报表_060825!$E$1:$E$65536,1,FALSE)</f>
        <v/>
      </c>
      <c r="Q176" s="758" t="n"/>
      <c r="R176" s="758" t="n"/>
      <c r="S176" s="758" t="n"/>
      <c r="T176" s="758" t="n"/>
      <c r="U176" s="758" t="n"/>
      <c r="V176" s="758" t="n"/>
      <c r="W176" s="758" t="n"/>
    </row>
    <row r="177" s="184">
      <c r="A177" s="106" t="n">
        <v>176</v>
      </c>
      <c r="B177" s="754" t="inlineStr">
        <is>
          <t>chanhua</t>
        </is>
      </c>
      <c r="C177" s="761" t="n">
        <v>45698</v>
      </c>
      <c r="D177" s="755" t="inlineStr">
        <is>
          <t>新加坡比特</t>
        </is>
      </c>
      <c r="E177" s="756" t="inlineStr">
        <is>
          <t>ASE-KH</t>
        </is>
      </c>
      <c r="H177" s="756" t="inlineStr">
        <is>
          <t>BM1370BC</t>
        </is>
      </c>
      <c r="I177" s="755">
        <f>VLOOKUP(H177,[1]编码对账表!C:D,2,0)</f>
        <v/>
      </c>
      <c r="J177" s="330" t="n">
        <v>177313</v>
      </c>
      <c r="K177" s="331" t="inlineStr">
        <is>
          <t>202502240011</t>
        </is>
      </c>
      <c r="L177" s="332" t="inlineStr">
        <is>
          <t>1403250214172046</t>
        </is>
      </c>
      <c r="M177" s="757" t="inlineStr">
        <is>
          <t>泰国群光</t>
        </is>
      </c>
      <c r="N177" s="756" t="inlineStr">
        <is>
          <t>CHANHUA PTE. LTD.</t>
        </is>
      </c>
      <c r="O177" s="757" t="n">
        <v>8.327199999999999</v>
      </c>
      <c r="P177" s="346">
        <f>VLOOKUP(L177,[3]BHSC_销售订单明细报表_060825!$E$1:$E$65536,1,FALSE)</f>
        <v/>
      </c>
      <c r="Q177" s="758" t="n"/>
      <c r="R177" s="758" t="n"/>
      <c r="S177" s="758" t="n"/>
      <c r="T177" s="758" t="n"/>
      <c r="U177" s="758" t="n"/>
      <c r="V177" s="758" t="n"/>
      <c r="W177" s="758" t="n"/>
    </row>
    <row r="178" s="184">
      <c r="A178" s="106" t="n">
        <v>177</v>
      </c>
      <c r="B178" s="754" t="inlineStr">
        <is>
          <t>chanhua</t>
        </is>
      </c>
      <c r="C178" s="761" t="n">
        <v>45698</v>
      </c>
      <c r="D178" s="755" t="inlineStr">
        <is>
          <t>新加坡比特</t>
        </is>
      </c>
      <c r="E178" s="756" t="inlineStr">
        <is>
          <t>JSCC</t>
        </is>
      </c>
      <c r="H178" s="756" t="inlineStr">
        <is>
          <t>BM1370BC</t>
        </is>
      </c>
      <c r="I178" s="755">
        <f>VLOOKUP(H178,[1]编码对账表!C:D,2,0)</f>
        <v/>
      </c>
      <c r="J178" s="330" t="n">
        <v>124657</v>
      </c>
      <c r="K178" s="331" t="inlineStr">
        <is>
          <t>202502240011</t>
        </is>
      </c>
      <c r="L178" s="332" t="inlineStr">
        <is>
          <t>1403250214172046</t>
        </is>
      </c>
      <c r="M178" s="757" t="inlineStr">
        <is>
          <t>泰国群光</t>
        </is>
      </c>
      <c r="N178" s="756" t="inlineStr">
        <is>
          <t>CHANHUA PTE. LTD.</t>
        </is>
      </c>
      <c r="O178" s="757" t="n">
        <v>8.327199999999999</v>
      </c>
      <c r="P178" s="346">
        <f>VLOOKUP(L178,[3]BHSC_销售订单明细报表_060825!$E$1:$E$65536,1,FALSE)</f>
        <v/>
      </c>
      <c r="Q178" s="758" t="n"/>
      <c r="R178" s="758" t="n"/>
      <c r="S178" s="758" t="n"/>
      <c r="T178" s="758" t="n"/>
      <c r="U178" s="758" t="n"/>
      <c r="V178" s="758" t="n"/>
      <c r="W178" s="758" t="n"/>
    </row>
    <row r="179" s="184">
      <c r="A179" s="106" t="n">
        <v>178</v>
      </c>
      <c r="B179" s="754" t="inlineStr">
        <is>
          <t>chanhua</t>
        </is>
      </c>
      <c r="C179" s="761" t="n">
        <v>45699</v>
      </c>
      <c r="D179" s="755" t="inlineStr">
        <is>
          <t>新加坡比特</t>
        </is>
      </c>
      <c r="E179" s="756" t="inlineStr">
        <is>
          <t>ASECL</t>
        </is>
      </c>
      <c r="H179" s="756" t="inlineStr">
        <is>
          <t>BM1370PA</t>
        </is>
      </c>
      <c r="I179" s="755">
        <f>VLOOKUP(H179,[1]编码对账表!C:D,2,0)</f>
        <v/>
      </c>
      <c r="J179" s="330" t="n">
        <v>87400</v>
      </c>
      <c r="K179" s="331" t="inlineStr">
        <is>
          <t>202502240011</t>
        </is>
      </c>
      <c r="L179" s="332" t="inlineStr">
        <is>
          <t>1403250214172046</t>
        </is>
      </c>
      <c r="M179" s="757" t="inlineStr">
        <is>
          <t>泰国群光</t>
        </is>
      </c>
      <c r="N179" s="756" t="inlineStr">
        <is>
          <t>CHANHUA PTE. LTD.</t>
        </is>
      </c>
      <c r="O179" s="757" t="n">
        <v>8.327199999999999</v>
      </c>
      <c r="P179" s="346">
        <f>VLOOKUP(L179,[3]BHSC_销售订单明细报表_060825!$E$1:$E$65536,1,FALSE)</f>
        <v/>
      </c>
      <c r="Q179" s="758" t="n"/>
      <c r="R179" s="758" t="n"/>
      <c r="S179" s="758" t="n"/>
      <c r="T179" s="758" t="n"/>
      <c r="U179" s="758" t="n"/>
      <c r="V179" s="758" t="n"/>
      <c r="W179" s="758" t="n"/>
    </row>
    <row r="180" s="184">
      <c r="A180" s="106" t="n">
        <v>179</v>
      </c>
      <c r="B180" s="754" t="inlineStr">
        <is>
          <t>chanhua</t>
        </is>
      </c>
      <c r="C180" s="761" t="n">
        <v>45698</v>
      </c>
      <c r="D180" s="755" t="inlineStr">
        <is>
          <t>新加坡比特</t>
        </is>
      </c>
      <c r="E180" s="756" t="inlineStr">
        <is>
          <t>JSCC</t>
        </is>
      </c>
      <c r="H180" s="756" t="inlineStr">
        <is>
          <t>BM1370PA</t>
        </is>
      </c>
      <c r="I180" s="755">
        <f>VLOOKUP(H180,[1]编码对账表!C:D,2,0)</f>
        <v/>
      </c>
      <c r="J180" s="330" t="n">
        <v>148703</v>
      </c>
      <c r="K180" s="331" t="inlineStr">
        <is>
          <t>202502240011</t>
        </is>
      </c>
      <c r="L180" s="332" t="inlineStr">
        <is>
          <t>1403250214172046</t>
        </is>
      </c>
      <c r="M180" s="757" t="inlineStr">
        <is>
          <t>泰国群光</t>
        </is>
      </c>
      <c r="N180" s="756" t="inlineStr">
        <is>
          <t>CHANHUA PTE. LTD.</t>
        </is>
      </c>
      <c r="O180" s="757" t="n">
        <v>8.327199999999999</v>
      </c>
      <c r="P180" s="346">
        <f>VLOOKUP(L180,[3]BHSC_销售订单明细报表_060825!$E$1:$E$65536,1,FALSE)</f>
        <v/>
      </c>
      <c r="Q180" s="758" t="n"/>
      <c r="R180" s="758" t="n"/>
      <c r="S180" s="758" t="n"/>
      <c r="T180" s="758" t="n"/>
      <c r="U180" s="758" t="n"/>
      <c r="V180" s="758" t="n"/>
      <c r="W180" s="758" t="n"/>
    </row>
    <row r="181" s="184">
      <c r="A181" s="106" t="n">
        <v>180</v>
      </c>
      <c r="B181" s="754" t="inlineStr">
        <is>
          <t>chanhua</t>
        </is>
      </c>
      <c r="C181" s="761" t="n">
        <v>45702</v>
      </c>
      <c r="D181" s="755" t="inlineStr">
        <is>
          <t>新加坡比特</t>
        </is>
      </c>
      <c r="E181" s="756" t="inlineStr">
        <is>
          <t>NJ-VT</t>
        </is>
      </c>
      <c r="H181" s="756" t="inlineStr">
        <is>
          <t>BM1370PA</t>
        </is>
      </c>
      <c r="I181" s="755">
        <f>VLOOKUP(H181,[1]编码对账表!C:D,2,0)</f>
        <v/>
      </c>
      <c r="J181" s="330" t="n">
        <v>201523</v>
      </c>
      <c r="K181" s="331" t="inlineStr">
        <is>
          <t>202502240011</t>
        </is>
      </c>
      <c r="L181" s="332" t="inlineStr">
        <is>
          <t>1403250214172046</t>
        </is>
      </c>
      <c r="M181" s="757" t="inlineStr">
        <is>
          <t>泰国群光</t>
        </is>
      </c>
      <c r="N181" s="756" t="inlineStr">
        <is>
          <t>CHANHUA PTE. LTD.</t>
        </is>
      </c>
      <c r="O181" s="757" t="n">
        <v>8.327199999999999</v>
      </c>
      <c r="P181" s="346">
        <f>VLOOKUP(L181,[3]BHSC_销售订单明细报表_060825!$E$1:$E$65536,1,FALSE)</f>
        <v/>
      </c>
      <c r="Q181" s="758" t="n"/>
      <c r="R181" s="758" t="n"/>
      <c r="S181" s="758" t="n"/>
      <c r="T181" s="758" t="n"/>
      <c r="U181" s="758" t="n"/>
      <c r="V181" s="758" t="n"/>
      <c r="W181" s="758" t="n"/>
    </row>
    <row r="182" s="184">
      <c r="A182" s="106" t="n">
        <v>181</v>
      </c>
      <c r="B182" s="754" t="inlineStr">
        <is>
          <t>chanhua</t>
        </is>
      </c>
      <c r="C182" s="761" t="n">
        <v>45698</v>
      </c>
      <c r="D182" s="755" t="inlineStr">
        <is>
          <t>新加坡比特</t>
        </is>
      </c>
      <c r="E182" s="756" t="inlineStr">
        <is>
          <t>SPILSZ</t>
        </is>
      </c>
      <c r="H182" s="756" t="inlineStr">
        <is>
          <t>BM1370PA</t>
        </is>
      </c>
      <c r="I182" s="755">
        <f>VLOOKUP(H182,[1]编码对账表!C:D,2,0)</f>
        <v/>
      </c>
      <c r="J182" s="330" t="n">
        <v>1668200</v>
      </c>
      <c r="K182" s="331" t="inlineStr">
        <is>
          <t>202502240011</t>
        </is>
      </c>
      <c r="L182" s="332" t="inlineStr">
        <is>
          <t>1403250214172046</t>
        </is>
      </c>
      <c r="M182" s="757" t="inlineStr">
        <is>
          <t>泰国群光</t>
        </is>
      </c>
      <c r="N182" s="756" t="inlineStr">
        <is>
          <t>CHANHUA PTE. LTD.</t>
        </is>
      </c>
      <c r="O182" s="757" t="n">
        <v>8.327199999999999</v>
      </c>
      <c r="P182" s="346">
        <f>VLOOKUP(L182,[3]BHSC_销售订单明细报表_060825!$E$1:$E$65536,1,FALSE)</f>
        <v/>
      </c>
      <c r="Q182" s="758" t="n"/>
      <c r="R182" s="758" t="n"/>
      <c r="S182" s="758" t="n"/>
      <c r="T182" s="758" t="n"/>
      <c r="U182" s="758" t="n"/>
      <c r="V182" s="758" t="n"/>
      <c r="W182" s="758" t="n"/>
    </row>
    <row r="183" s="184">
      <c r="A183" s="106" t="n">
        <v>182</v>
      </c>
      <c r="B183" s="754" t="inlineStr">
        <is>
          <t>chanhua</t>
        </is>
      </c>
      <c r="C183" s="761" t="n">
        <v>45696</v>
      </c>
      <c r="D183" s="755" t="inlineStr">
        <is>
          <t>新加坡比特</t>
        </is>
      </c>
      <c r="E183" s="756" t="inlineStr">
        <is>
          <t>TFME</t>
        </is>
      </c>
      <c r="H183" s="756" t="inlineStr">
        <is>
          <t>BM1370PA</t>
        </is>
      </c>
      <c r="I183" s="755">
        <f>VLOOKUP(H183,[1]编码对账表!C:D,2,0)</f>
        <v/>
      </c>
      <c r="J183" s="330" t="n">
        <v>60314</v>
      </c>
      <c r="K183" s="331" t="inlineStr">
        <is>
          <t>202502240011</t>
        </is>
      </c>
      <c r="L183" s="332" t="inlineStr">
        <is>
          <t>1403250214172046</t>
        </is>
      </c>
      <c r="M183" s="757" t="inlineStr">
        <is>
          <t>泰国群光</t>
        </is>
      </c>
      <c r="N183" s="756" t="inlineStr">
        <is>
          <t>CHANHUA PTE. LTD.</t>
        </is>
      </c>
      <c r="O183" s="757" t="n">
        <v>8.327199999999999</v>
      </c>
      <c r="P183" s="346">
        <f>VLOOKUP(L183,[3]BHSC_销售订单明细报表_060825!$E$1:$E$65536,1,FALSE)</f>
        <v/>
      </c>
      <c r="Q183" s="758" t="n"/>
      <c r="R183" s="758" t="n"/>
      <c r="S183" s="758" t="n"/>
      <c r="T183" s="758" t="n"/>
      <c r="U183" s="758" t="n"/>
      <c r="V183" s="758" t="n"/>
      <c r="W183" s="758" t="n"/>
    </row>
    <row r="184" s="184">
      <c r="A184" s="106" t="n">
        <v>183</v>
      </c>
      <c r="B184" s="754" t="inlineStr">
        <is>
          <t>chanhua</t>
        </is>
      </c>
      <c r="C184" s="761" t="n">
        <v>45698</v>
      </c>
      <c r="D184" s="755" t="inlineStr">
        <is>
          <t>新加坡比特</t>
        </is>
      </c>
      <c r="E184" s="756" t="inlineStr">
        <is>
          <t>JSCC</t>
        </is>
      </c>
      <c r="H184" s="756" t="inlineStr">
        <is>
          <t>BM1370PM</t>
        </is>
      </c>
      <c r="I184" s="755">
        <f>VLOOKUP(H184,[1]编码对账表!C:D,2,0)</f>
        <v/>
      </c>
      <c r="J184" s="330" t="n">
        <v>475860</v>
      </c>
      <c r="K184" s="331" t="inlineStr">
        <is>
          <t>202502240011</t>
        </is>
      </c>
      <c r="L184" s="332" t="inlineStr">
        <is>
          <t>1403250214172046</t>
        </is>
      </c>
      <c r="M184" s="757" t="inlineStr">
        <is>
          <t>泰国群光</t>
        </is>
      </c>
      <c r="N184" s="756" t="inlineStr">
        <is>
          <t>CHANHUA PTE. LTD.</t>
        </is>
      </c>
      <c r="O184" s="757" t="n">
        <v>8.327199999999999</v>
      </c>
      <c r="P184" s="346">
        <f>VLOOKUP(L184,[3]BHSC_销售订单明细报表_060825!$E$1:$E$65536,1,FALSE)</f>
        <v/>
      </c>
      <c r="Q184" s="758" t="n"/>
      <c r="R184" s="758" t="n"/>
      <c r="S184" s="758" t="n"/>
      <c r="T184" s="758" t="n"/>
      <c r="U184" s="758" t="n"/>
      <c r="V184" s="758" t="n"/>
      <c r="W184" s="758" t="n"/>
    </row>
    <row r="185" s="184">
      <c r="A185" s="106" t="n">
        <v>184</v>
      </c>
      <c r="B185" s="754" t="inlineStr">
        <is>
          <t>chanhua</t>
        </is>
      </c>
      <c r="C185" s="761" t="n">
        <v>45698</v>
      </c>
      <c r="D185" s="755" t="inlineStr">
        <is>
          <t>新加坡比特</t>
        </is>
      </c>
      <c r="E185" s="756" t="inlineStr">
        <is>
          <t>JSCC</t>
        </is>
      </c>
      <c r="H185" s="756" t="inlineStr">
        <is>
          <t>BM1370BC</t>
        </is>
      </c>
      <c r="I185" s="755">
        <f>VLOOKUP(H185,[1]编码对账表!C:D,2,0)</f>
        <v/>
      </c>
      <c r="J185" s="330" t="n">
        <v>38727</v>
      </c>
      <c r="K185" s="331" t="inlineStr">
        <is>
          <t>202502140010</t>
        </is>
      </c>
      <c r="L185" s="332" t="inlineStr">
        <is>
          <t>1403250214172829</t>
        </is>
      </c>
      <c r="M185" s="757" t="inlineStr">
        <is>
          <t>泰国ONETEC</t>
        </is>
      </c>
      <c r="N185" s="756" t="inlineStr">
        <is>
          <t>CHANHUA PTE. LTD.</t>
        </is>
      </c>
      <c r="O185" s="757" t="n">
        <v>8.327199999999999</v>
      </c>
      <c r="P185" s="346">
        <f>VLOOKUP(L185,[3]BHSC_销售订单明细报表_060825!$E$1:$E$65536,1,FALSE)</f>
        <v/>
      </c>
      <c r="Q185" s="758" t="n"/>
      <c r="R185" s="758" t="n"/>
      <c r="S185" s="758" t="n"/>
      <c r="T185" s="758" t="n"/>
      <c r="U185" s="758" t="n"/>
      <c r="V185" s="758" t="n"/>
      <c r="W185" s="758" t="n"/>
    </row>
    <row r="186" s="184">
      <c r="A186" s="106" t="n">
        <v>185</v>
      </c>
      <c r="B186" s="754" t="inlineStr">
        <is>
          <t>chanhua</t>
        </is>
      </c>
      <c r="C186" s="761" t="n">
        <v>45699</v>
      </c>
      <c r="D186" s="755" t="inlineStr">
        <is>
          <t>新加坡比特</t>
        </is>
      </c>
      <c r="E186" s="756" t="inlineStr">
        <is>
          <t>SPILSZ</t>
        </is>
      </c>
      <c r="H186" s="756" t="inlineStr">
        <is>
          <t>BM1370BC</t>
        </is>
      </c>
      <c r="I186" s="755">
        <f>VLOOKUP(H186,[1]编码对账表!C:D,2,0)</f>
        <v/>
      </c>
      <c r="J186" s="330" t="n">
        <v>110804</v>
      </c>
      <c r="K186" s="331" t="inlineStr">
        <is>
          <t>202502140010</t>
        </is>
      </c>
      <c r="L186" s="332" t="inlineStr">
        <is>
          <t>1403250214172829</t>
        </is>
      </c>
      <c r="M186" s="757" t="inlineStr">
        <is>
          <t>泰国ONETEC</t>
        </is>
      </c>
      <c r="N186" s="756" t="inlineStr">
        <is>
          <t>CHANHUA PTE. LTD.</t>
        </is>
      </c>
      <c r="O186" s="757" t="n">
        <v>8.327199999999999</v>
      </c>
      <c r="P186" s="346">
        <f>VLOOKUP(L186,[3]BHSC_销售订单明细报表_060825!$E$1:$E$65536,1,FALSE)</f>
        <v/>
      </c>
      <c r="Q186" s="758" t="n"/>
      <c r="R186" s="758" t="n"/>
      <c r="S186" s="758" t="n"/>
      <c r="T186" s="758" t="n"/>
      <c r="U186" s="758" t="n"/>
      <c r="V186" s="758" t="n"/>
      <c r="W186" s="758" t="n"/>
    </row>
    <row r="187" s="184">
      <c r="A187" s="106" t="n">
        <v>186</v>
      </c>
      <c r="B187" s="754" t="inlineStr">
        <is>
          <t>chanhua</t>
        </is>
      </c>
      <c r="C187" s="761" t="n">
        <v>45702</v>
      </c>
      <c r="D187" s="755" t="inlineStr">
        <is>
          <t>新加坡比特</t>
        </is>
      </c>
      <c r="E187" s="756" t="inlineStr">
        <is>
          <t>ASE-KH</t>
        </is>
      </c>
      <c r="H187" s="756" t="inlineStr">
        <is>
          <t>BM1370PA</t>
        </is>
      </c>
      <c r="I187" s="755">
        <f>VLOOKUP(H187,[1]编码对账表!C:D,2,0)</f>
        <v/>
      </c>
      <c r="J187" s="330" t="n">
        <v>61778</v>
      </c>
      <c r="K187" s="331" t="inlineStr">
        <is>
          <t>202502140010</t>
        </is>
      </c>
      <c r="L187" s="332" t="inlineStr">
        <is>
          <t>1403250214172829</t>
        </is>
      </c>
      <c r="M187" s="757" t="inlineStr">
        <is>
          <t>泰国ONETEC</t>
        </is>
      </c>
      <c r="N187" s="756" t="inlineStr">
        <is>
          <t>CHANHUA PTE. LTD.</t>
        </is>
      </c>
      <c r="O187" s="757" t="n">
        <v>8.327199999999999</v>
      </c>
      <c r="P187" s="346">
        <f>VLOOKUP(L187,[3]BHSC_销售订单明细报表_060825!$E$1:$E$65536,1,FALSE)</f>
        <v/>
      </c>
      <c r="Q187" s="758" t="n"/>
      <c r="R187" s="758" t="n"/>
      <c r="S187" s="758" t="n"/>
      <c r="T187" s="758" t="n"/>
      <c r="U187" s="758" t="n"/>
      <c r="V187" s="758" t="n"/>
      <c r="W187" s="758" t="n"/>
    </row>
    <row r="188" s="184">
      <c r="A188" s="106" t="n">
        <v>187</v>
      </c>
      <c r="B188" s="754" t="inlineStr">
        <is>
          <t>chanhua</t>
        </is>
      </c>
      <c r="C188" s="761" t="n">
        <v>45699</v>
      </c>
      <c r="D188" s="755" t="inlineStr">
        <is>
          <t>新加坡比特</t>
        </is>
      </c>
      <c r="E188" s="756" t="inlineStr">
        <is>
          <t>ASECL</t>
        </is>
      </c>
      <c r="H188" s="756" t="inlineStr">
        <is>
          <t>BM1370PA</t>
        </is>
      </c>
      <c r="I188" s="755">
        <f>VLOOKUP(H188,[1]编码对账表!C:D,2,0)</f>
        <v/>
      </c>
      <c r="J188" s="330" t="n">
        <v>382762</v>
      </c>
      <c r="K188" s="331" t="inlineStr">
        <is>
          <t>202502140010</t>
        </is>
      </c>
      <c r="L188" s="332" t="inlineStr">
        <is>
          <t>1403250214172829</t>
        </is>
      </c>
      <c r="M188" s="757" t="inlineStr">
        <is>
          <t>泰国ONETEC</t>
        </is>
      </c>
      <c r="N188" s="756" t="inlineStr">
        <is>
          <t>CHANHUA PTE. LTD.</t>
        </is>
      </c>
      <c r="O188" s="757" t="n">
        <v>8.327199999999999</v>
      </c>
      <c r="P188" s="346">
        <f>VLOOKUP(L188,[3]BHSC_销售订单明细报表_060825!$E$1:$E$65536,1,FALSE)</f>
        <v/>
      </c>
      <c r="Q188" s="758" t="n"/>
      <c r="R188" s="758" t="n"/>
      <c r="S188" s="758" t="n"/>
      <c r="T188" s="758" t="n"/>
      <c r="U188" s="758" t="n"/>
      <c r="V188" s="758" t="n"/>
      <c r="W188" s="758" t="n"/>
    </row>
    <row r="189" s="184">
      <c r="A189" s="106" t="n">
        <v>188</v>
      </c>
      <c r="B189" s="754" t="inlineStr">
        <is>
          <t>chanhua</t>
        </is>
      </c>
      <c r="C189" s="761" t="n">
        <v>45698</v>
      </c>
      <c r="D189" s="755" t="inlineStr">
        <is>
          <t>新加坡比特</t>
        </is>
      </c>
      <c r="E189" s="756" t="inlineStr">
        <is>
          <t>JSCC</t>
        </is>
      </c>
      <c r="H189" s="756" t="inlineStr">
        <is>
          <t>BM1370PA</t>
        </is>
      </c>
      <c r="I189" s="755">
        <f>VLOOKUP(H189,[1]编码对账表!C:D,2,0)</f>
        <v/>
      </c>
      <c r="J189" s="330" t="n">
        <v>167986</v>
      </c>
      <c r="K189" s="331" t="inlineStr">
        <is>
          <t>202502140010</t>
        </is>
      </c>
      <c r="L189" s="332" t="inlineStr">
        <is>
          <t>1403250214172829</t>
        </is>
      </c>
      <c r="M189" s="757" t="inlineStr">
        <is>
          <t>泰国ONETEC</t>
        </is>
      </c>
      <c r="N189" s="756" t="inlineStr">
        <is>
          <t>CHANHUA PTE. LTD.</t>
        </is>
      </c>
      <c r="O189" s="757" t="n">
        <v>8.327199999999999</v>
      </c>
      <c r="P189" s="346">
        <f>VLOOKUP(L189,[3]BHSC_销售订单明细报表_060825!$E$1:$E$65536,1,FALSE)</f>
        <v/>
      </c>
      <c r="Q189" s="758" t="n"/>
      <c r="R189" s="758" t="n"/>
      <c r="S189" s="758" t="n"/>
      <c r="T189" s="758" t="n"/>
      <c r="U189" s="758" t="n"/>
      <c r="V189" s="758" t="n"/>
      <c r="W189" s="758" t="n"/>
    </row>
    <row r="190" s="184">
      <c r="A190" s="106" t="n">
        <v>189</v>
      </c>
      <c r="B190" s="754" t="inlineStr">
        <is>
          <t>chanhua</t>
        </is>
      </c>
      <c r="C190" s="761" t="n">
        <v>45702</v>
      </c>
      <c r="D190" s="755" t="inlineStr">
        <is>
          <t>新加坡比特</t>
        </is>
      </c>
      <c r="E190" s="756" t="inlineStr">
        <is>
          <t>NJ-VT</t>
        </is>
      </c>
      <c r="H190" s="756" t="inlineStr">
        <is>
          <t>BM1370PA</t>
        </is>
      </c>
      <c r="I190" s="755">
        <f>VLOOKUP(H190,[1]编码对账表!C:D,2,0)</f>
        <v/>
      </c>
      <c r="J190" s="330" t="n">
        <v>200539</v>
      </c>
      <c r="K190" s="331" t="inlineStr">
        <is>
          <t>202502140010</t>
        </is>
      </c>
      <c r="L190" s="332" t="inlineStr">
        <is>
          <t>1403250214172829</t>
        </is>
      </c>
      <c r="M190" s="757" t="inlineStr">
        <is>
          <t>泰国ONETEC</t>
        </is>
      </c>
      <c r="N190" s="756" t="inlineStr">
        <is>
          <t>CHANHUA PTE. LTD.</t>
        </is>
      </c>
      <c r="O190" s="757" t="n">
        <v>8.327199999999999</v>
      </c>
      <c r="P190" s="346">
        <f>VLOOKUP(L190,[3]BHSC_销售订单明细报表_060825!$E$1:$E$65536,1,FALSE)</f>
        <v/>
      </c>
      <c r="Q190" s="758" t="n"/>
      <c r="R190" s="758" t="n"/>
      <c r="S190" s="758" t="n"/>
      <c r="T190" s="758" t="n"/>
      <c r="U190" s="758" t="n"/>
      <c r="V190" s="758" t="n"/>
      <c r="W190" s="758" t="n"/>
    </row>
    <row r="191" s="184">
      <c r="A191" s="106" t="n">
        <v>190</v>
      </c>
      <c r="B191" s="754" t="inlineStr">
        <is>
          <t>chanhua</t>
        </is>
      </c>
      <c r="C191" s="761" t="n">
        <v>45699</v>
      </c>
      <c r="D191" s="755" t="inlineStr">
        <is>
          <t>新加坡比特</t>
        </is>
      </c>
      <c r="E191" s="756" t="inlineStr">
        <is>
          <t>SPILSZ</t>
        </is>
      </c>
      <c r="H191" s="756" t="inlineStr">
        <is>
          <t>BM1370PA</t>
        </is>
      </c>
      <c r="I191" s="755">
        <f>VLOOKUP(H191,[1]编码对账表!C:D,2,0)</f>
        <v/>
      </c>
      <c r="J191" s="330" t="n">
        <v>1802407</v>
      </c>
      <c r="K191" s="331" t="inlineStr">
        <is>
          <t>202502140010</t>
        </is>
      </c>
      <c r="L191" s="332" t="inlineStr">
        <is>
          <t>1403250214172829</t>
        </is>
      </c>
      <c r="M191" s="757" t="inlineStr">
        <is>
          <t>泰国ONETEC</t>
        </is>
      </c>
      <c r="N191" s="756" t="inlineStr">
        <is>
          <t>CHANHUA PTE. LTD.</t>
        </is>
      </c>
      <c r="O191" s="757" t="n">
        <v>8.327199999999999</v>
      </c>
      <c r="P191" s="346">
        <f>VLOOKUP(L191,[3]BHSC_销售订单明细报表_060825!$E$1:$E$65536,1,FALSE)</f>
        <v/>
      </c>
      <c r="Q191" s="758" t="n"/>
      <c r="R191" s="758" t="n"/>
      <c r="S191" s="758" t="n"/>
      <c r="T191" s="758" t="n"/>
      <c r="U191" s="758" t="n"/>
      <c r="V191" s="758" t="n"/>
      <c r="W191" s="758" t="n"/>
    </row>
    <row r="192" s="184">
      <c r="A192" s="106" t="n">
        <v>191</v>
      </c>
      <c r="B192" s="754" t="inlineStr">
        <is>
          <t>chanhua</t>
        </is>
      </c>
      <c r="C192" s="761" t="n">
        <v>45696</v>
      </c>
      <c r="D192" s="755" t="inlineStr">
        <is>
          <t>新加坡比特</t>
        </is>
      </c>
      <c r="E192" s="756" t="inlineStr">
        <is>
          <t>TFME</t>
        </is>
      </c>
      <c r="H192" s="756" t="inlineStr">
        <is>
          <t>BM1370PA</t>
        </is>
      </c>
      <c r="I192" s="755">
        <f>VLOOKUP(H192,[1]编码对账表!C:D,2,0)</f>
        <v/>
      </c>
      <c r="J192" s="330" t="n">
        <v>120120</v>
      </c>
      <c r="K192" s="331" t="inlineStr">
        <is>
          <t>202502140010</t>
        </is>
      </c>
      <c r="L192" s="332" t="inlineStr">
        <is>
          <t>1403250214172829</t>
        </is>
      </c>
      <c r="M192" s="757" t="inlineStr">
        <is>
          <t>泰国ONETEC</t>
        </is>
      </c>
      <c r="N192" s="756" t="inlineStr">
        <is>
          <t>CHANHUA PTE. LTD.</t>
        </is>
      </c>
      <c r="O192" s="757" t="n">
        <v>8.327199999999999</v>
      </c>
      <c r="P192" s="346">
        <f>VLOOKUP(L192,[3]BHSC_销售订单明细报表_060825!$E$1:$E$65536,1,FALSE)</f>
        <v/>
      </c>
      <c r="Q192" s="758" t="n"/>
      <c r="R192" s="758" t="n"/>
      <c r="S192" s="758" t="n"/>
      <c r="T192" s="758" t="n"/>
      <c r="U192" s="758" t="n"/>
      <c r="V192" s="758" t="n"/>
      <c r="W192" s="758" t="n"/>
    </row>
    <row r="193" s="184">
      <c r="A193" s="106" t="n">
        <v>192</v>
      </c>
      <c r="B193" s="754" t="inlineStr">
        <is>
          <t>chanhua</t>
        </is>
      </c>
      <c r="C193" s="761" t="n">
        <v>45698</v>
      </c>
      <c r="D193" s="755" t="inlineStr">
        <is>
          <t>新加坡比特</t>
        </is>
      </c>
      <c r="E193" s="756" t="inlineStr">
        <is>
          <t>SPILSZ</t>
        </is>
      </c>
      <c r="H193" s="756" t="inlineStr">
        <is>
          <t>BM1370BC</t>
        </is>
      </c>
      <c r="I193" s="755">
        <f>VLOOKUP(H193,[1]编码对账表!C:D,2,0)</f>
        <v/>
      </c>
      <c r="J193" s="330" t="n">
        <v>128825</v>
      </c>
      <c r="K193" s="331" t="inlineStr">
        <is>
          <t>202502140011</t>
        </is>
      </c>
      <c r="L193" s="332" t="inlineStr">
        <is>
          <t>1403250214173158</t>
        </is>
      </c>
      <c r="M193" s="757" t="inlineStr">
        <is>
          <t>PIE</t>
        </is>
      </c>
      <c r="N193" s="756" t="inlineStr">
        <is>
          <t>CHANHUA PTE. LTD.</t>
        </is>
      </c>
      <c r="O193" s="757" t="n">
        <v>8.327199999999999</v>
      </c>
      <c r="P193" s="346">
        <f>VLOOKUP(L193,[3]BHSC_销售订单明细报表_060825!$E$1:$E$65536,1,FALSE)</f>
        <v/>
      </c>
      <c r="Q193" s="758" t="n"/>
      <c r="R193" s="758" t="n"/>
      <c r="S193" s="758" t="n"/>
      <c r="T193" s="758" t="n"/>
      <c r="U193" s="758" t="n"/>
      <c r="V193" s="758" t="n"/>
      <c r="W193" s="758" t="n"/>
    </row>
    <row r="194" s="184">
      <c r="A194" s="106" t="n">
        <v>193</v>
      </c>
      <c r="B194" s="754" t="inlineStr">
        <is>
          <t>chanhua</t>
        </is>
      </c>
      <c r="C194" s="761" t="n">
        <v>45698</v>
      </c>
      <c r="D194" s="755" t="inlineStr">
        <is>
          <t>新加坡比特</t>
        </is>
      </c>
      <c r="E194" s="756" t="inlineStr">
        <is>
          <t>JSCC</t>
        </is>
      </c>
      <c r="H194" s="756" t="inlineStr">
        <is>
          <t>BM1370PA</t>
        </is>
      </c>
      <c r="I194" s="755">
        <f>VLOOKUP(H194,[1]编码对账表!C:D,2,0)</f>
        <v/>
      </c>
      <c r="J194" s="330" t="n">
        <v>636454</v>
      </c>
      <c r="K194" s="331" t="inlineStr">
        <is>
          <t>202502140011</t>
        </is>
      </c>
      <c r="L194" s="332" t="inlineStr">
        <is>
          <t>1403250214173158</t>
        </is>
      </c>
      <c r="M194" s="757" t="inlineStr">
        <is>
          <t>PIE</t>
        </is>
      </c>
      <c r="N194" s="756" t="inlineStr">
        <is>
          <t>CHANHUA PTE. LTD.</t>
        </is>
      </c>
      <c r="O194" s="757" t="n">
        <v>8.327199999999999</v>
      </c>
      <c r="P194" s="346">
        <f>VLOOKUP(L194,[3]BHSC_销售订单明细报表_060825!$E$1:$E$65536,1,FALSE)</f>
        <v/>
      </c>
      <c r="Q194" s="758" t="n"/>
      <c r="R194" s="758" t="n"/>
      <c r="S194" s="758" t="n"/>
      <c r="T194" s="758" t="n"/>
      <c r="U194" s="758" t="n"/>
      <c r="V194" s="758" t="n"/>
      <c r="W194" s="758" t="n"/>
    </row>
    <row r="195" s="184">
      <c r="A195" s="106" t="n">
        <v>194</v>
      </c>
      <c r="B195" s="754" t="inlineStr">
        <is>
          <t>chanhua</t>
        </is>
      </c>
      <c r="C195" s="761" t="n">
        <v>45695</v>
      </c>
      <c r="D195" s="755" t="inlineStr">
        <is>
          <t>新加坡比特</t>
        </is>
      </c>
      <c r="E195" s="756" t="inlineStr">
        <is>
          <t>SPILSZ</t>
        </is>
      </c>
      <c r="H195" s="756" t="inlineStr">
        <is>
          <t>BM1370PA</t>
        </is>
      </c>
      <c r="I195" s="755">
        <f>VLOOKUP(H195,[1]编码对账表!C:D,2,0)</f>
        <v/>
      </c>
      <c r="J195" s="330" t="n">
        <v>178600</v>
      </c>
      <c r="K195" s="331" t="inlineStr">
        <is>
          <t>202502140011</t>
        </is>
      </c>
      <c r="L195" s="332" t="inlineStr">
        <is>
          <t>1403250214173158</t>
        </is>
      </c>
      <c r="M195" s="757" t="inlineStr">
        <is>
          <t>PIE</t>
        </is>
      </c>
      <c r="N195" s="756" t="inlineStr">
        <is>
          <t>CHANHUA PTE. LTD.</t>
        </is>
      </c>
      <c r="O195" s="757" t="n">
        <v>8.327199999999999</v>
      </c>
      <c r="P195" s="346">
        <f>VLOOKUP(L195,[3]BHSC_销售订单明细报表_060825!$E$1:$E$65536,1,FALSE)</f>
        <v/>
      </c>
      <c r="Q195" s="758" t="n"/>
      <c r="R195" s="758" t="n"/>
      <c r="S195" s="758" t="n"/>
      <c r="T195" s="758" t="n"/>
      <c r="U195" s="758" t="n"/>
      <c r="V195" s="758" t="n"/>
      <c r="W195" s="758" t="n"/>
    </row>
    <row r="196" s="184">
      <c r="A196" s="106" t="n">
        <v>195</v>
      </c>
      <c r="B196" s="754" t="inlineStr">
        <is>
          <t>chanhua</t>
        </is>
      </c>
      <c r="C196" s="761" t="n">
        <v>45697</v>
      </c>
      <c r="D196" s="755" t="inlineStr">
        <is>
          <t>新加坡比特</t>
        </is>
      </c>
      <c r="E196" s="756" t="inlineStr">
        <is>
          <t>TFME</t>
        </is>
      </c>
      <c r="H196" s="756" t="inlineStr">
        <is>
          <t>BM1370PA</t>
        </is>
      </c>
      <c r="I196" s="755">
        <f>VLOOKUP(H196,[1]编码对账表!C:D,2,0)</f>
        <v/>
      </c>
      <c r="J196" s="330" t="n">
        <v>61611</v>
      </c>
      <c r="K196" s="331" t="inlineStr">
        <is>
          <t>202502140011</t>
        </is>
      </c>
      <c r="L196" s="332" t="inlineStr">
        <is>
          <t>1403250214173158</t>
        </is>
      </c>
      <c r="M196" s="757" t="inlineStr">
        <is>
          <t>PIE</t>
        </is>
      </c>
      <c r="N196" s="756" t="inlineStr">
        <is>
          <t>CHANHUA PTE. LTD.</t>
        </is>
      </c>
      <c r="O196" s="757" t="n">
        <v>8.327199999999999</v>
      </c>
      <c r="P196" s="346">
        <f>VLOOKUP(L196,[3]BHSC_销售订单明细报表_060825!$E$1:$E$65536,1,FALSE)</f>
        <v/>
      </c>
      <c r="Q196" s="758" t="n"/>
      <c r="R196" s="758" t="n"/>
      <c r="S196" s="758" t="n"/>
      <c r="T196" s="758" t="n"/>
      <c r="U196" s="758" t="n"/>
      <c r="V196" s="758" t="n"/>
      <c r="W196" s="758" t="n"/>
    </row>
    <row r="197" s="184">
      <c r="A197" s="106" t="n">
        <v>196</v>
      </c>
      <c r="B197" s="754" t="inlineStr">
        <is>
          <t>chanhua</t>
        </is>
      </c>
      <c r="C197" s="761" t="n">
        <v>45698</v>
      </c>
      <c r="D197" s="755" t="inlineStr">
        <is>
          <t>新加坡比特</t>
        </is>
      </c>
      <c r="E197" s="756" t="inlineStr">
        <is>
          <t>SPILSZ</t>
        </is>
      </c>
      <c r="H197" s="756" t="inlineStr">
        <is>
          <t>BM1370BC</t>
        </is>
      </c>
      <c r="I197" s="755">
        <f>VLOOKUP(H197,[1]编码对账表!C:D,2,0)</f>
        <v/>
      </c>
      <c r="J197" s="330" t="n">
        <v>39000</v>
      </c>
      <c r="K197" s="331" t="inlineStr">
        <is>
          <t>202502140012</t>
        </is>
      </c>
      <c r="L197" s="332" t="inlineStr">
        <is>
          <t>1403250214173540</t>
        </is>
      </c>
      <c r="M197" s="757" t="inlineStr">
        <is>
          <t>Nationgate</t>
        </is>
      </c>
      <c r="N197" s="756" t="inlineStr">
        <is>
          <t>CHANHUA PTE. LTD.</t>
        </is>
      </c>
      <c r="O197" s="757" t="n">
        <v>8.327199999999999</v>
      </c>
      <c r="P197" s="346">
        <f>VLOOKUP(L197,[3]BHSC_销售订单明细报表_060825!$E$1:$E$65536,1,FALSE)</f>
        <v/>
      </c>
      <c r="Q197" s="758" t="n"/>
      <c r="R197" s="758" t="n"/>
      <c r="S197" s="758" t="n"/>
      <c r="T197" s="758" t="n"/>
      <c r="U197" s="758" t="n"/>
      <c r="V197" s="758" t="n"/>
      <c r="W197" s="758" t="n"/>
    </row>
    <row r="198" s="184">
      <c r="A198" s="106" t="n">
        <v>197</v>
      </c>
      <c r="B198" s="754" t="inlineStr">
        <is>
          <t>chanhua</t>
        </is>
      </c>
      <c r="C198" s="761" t="n">
        <v>45699</v>
      </c>
      <c r="D198" s="755" t="inlineStr">
        <is>
          <t>新加坡比特</t>
        </is>
      </c>
      <c r="E198" s="756" t="inlineStr">
        <is>
          <t>ASECL</t>
        </is>
      </c>
      <c r="H198" s="756" t="inlineStr">
        <is>
          <t>BM1370PA</t>
        </is>
      </c>
      <c r="I198" s="755">
        <f>VLOOKUP(H198,[1]编码对账表!C:D,2,0)</f>
        <v/>
      </c>
      <c r="J198" s="330" t="n">
        <v>121600</v>
      </c>
      <c r="K198" s="331" t="inlineStr">
        <is>
          <t>202502140012</t>
        </is>
      </c>
      <c r="L198" s="332" t="inlineStr">
        <is>
          <t>1403250214173540</t>
        </is>
      </c>
      <c r="M198" s="757" t="inlineStr">
        <is>
          <t>Nationgate</t>
        </is>
      </c>
      <c r="N198" s="756" t="inlineStr">
        <is>
          <t>CHANHUA PTE. LTD.</t>
        </is>
      </c>
      <c r="O198" s="757" t="n">
        <v>8.327199999999999</v>
      </c>
      <c r="P198" s="346">
        <f>VLOOKUP(L198,[3]BHSC_销售订单明细报表_060825!$E$1:$E$65536,1,FALSE)</f>
        <v/>
      </c>
      <c r="Q198" s="758" t="n"/>
      <c r="R198" s="758" t="n"/>
      <c r="S198" s="758" t="n"/>
      <c r="T198" s="758" t="n"/>
      <c r="U198" s="758" t="n"/>
      <c r="V198" s="758" t="n"/>
      <c r="W198" s="758" t="n"/>
    </row>
    <row r="199" s="184">
      <c r="A199" s="106" t="n">
        <v>198</v>
      </c>
      <c r="B199" s="754" t="inlineStr">
        <is>
          <t>chanhua</t>
        </is>
      </c>
      <c r="C199" s="761" t="n">
        <v>45698</v>
      </c>
      <c r="D199" s="755" t="inlineStr">
        <is>
          <t>新加坡比特</t>
        </is>
      </c>
      <c r="E199" s="756" t="inlineStr">
        <is>
          <t>JSCC</t>
        </is>
      </c>
      <c r="H199" s="756" t="inlineStr">
        <is>
          <t>BM1370PA</t>
        </is>
      </c>
      <c r="I199" s="755">
        <f>VLOOKUP(H199,[1]编码对账表!C:D,2,0)</f>
        <v/>
      </c>
      <c r="J199" s="330" t="n">
        <v>100417</v>
      </c>
      <c r="K199" s="331" t="inlineStr">
        <is>
          <t>202502140012</t>
        </is>
      </c>
      <c r="L199" s="332" t="inlineStr">
        <is>
          <t>1403250214173540</t>
        </is>
      </c>
      <c r="M199" s="757" t="inlineStr">
        <is>
          <t>Nationgate</t>
        </is>
      </c>
      <c r="N199" s="756" t="inlineStr">
        <is>
          <t>CHANHUA PTE. LTD.</t>
        </is>
      </c>
      <c r="O199" s="757" t="n">
        <v>8.327199999999999</v>
      </c>
      <c r="P199" s="346">
        <f>VLOOKUP(L199,[3]BHSC_销售订单明细报表_060825!$E$1:$E$65536,1,FALSE)</f>
        <v/>
      </c>
      <c r="Q199" s="758" t="n"/>
      <c r="R199" s="758" t="n"/>
      <c r="S199" s="758" t="n"/>
      <c r="T199" s="758" t="n"/>
      <c r="U199" s="758" t="n"/>
      <c r="V199" s="758" t="n"/>
      <c r="W199" s="758" t="n"/>
    </row>
    <row r="200" s="184">
      <c r="A200" s="106" t="n">
        <v>199</v>
      </c>
      <c r="B200" s="754" t="inlineStr">
        <is>
          <t>chanhua</t>
        </is>
      </c>
      <c r="C200" s="761" t="n">
        <v>45698</v>
      </c>
      <c r="D200" s="755" t="inlineStr">
        <is>
          <t>新加坡比特</t>
        </is>
      </c>
      <c r="E200" s="756" t="inlineStr">
        <is>
          <t>SPILSZ</t>
        </is>
      </c>
      <c r="H200" s="756" t="inlineStr">
        <is>
          <t>BM1370PA</t>
        </is>
      </c>
      <c r="I200" s="755">
        <f>VLOOKUP(H200,[1]编码对账表!C:D,2,0)</f>
        <v/>
      </c>
      <c r="J200" s="330" t="n">
        <v>91200</v>
      </c>
      <c r="K200" s="331" t="inlineStr">
        <is>
          <t>202502140012</t>
        </is>
      </c>
      <c r="L200" s="332" t="inlineStr">
        <is>
          <t>1403250214173540</t>
        </is>
      </c>
      <c r="M200" s="757" t="inlineStr">
        <is>
          <t>Nationgate</t>
        </is>
      </c>
      <c r="N200" s="756" t="inlineStr">
        <is>
          <t>CHANHUA PTE. LTD.</t>
        </is>
      </c>
      <c r="O200" s="757" t="n">
        <v>8.327199999999999</v>
      </c>
      <c r="P200" s="346">
        <f>VLOOKUP(L200,[3]BHSC_销售订单明细报表_060825!$E$1:$E$65536,1,FALSE)</f>
        <v/>
      </c>
      <c r="Q200" s="758" t="n"/>
      <c r="R200" s="758" t="n"/>
      <c r="S200" s="758" t="n"/>
      <c r="T200" s="758" t="n"/>
      <c r="U200" s="758" t="n"/>
      <c r="V200" s="758" t="n"/>
      <c r="W200" s="758" t="n"/>
    </row>
    <row r="201" s="184">
      <c r="A201" s="106" t="n">
        <v>200</v>
      </c>
      <c r="B201" s="754" t="inlineStr">
        <is>
          <t>chanhua</t>
        </is>
      </c>
      <c r="C201" s="761" t="n">
        <v>45703</v>
      </c>
      <c r="D201" s="755" t="inlineStr">
        <is>
          <t>新加坡比特</t>
        </is>
      </c>
      <c r="E201" s="756" t="inlineStr">
        <is>
          <t>SPILSZ</t>
        </is>
      </c>
      <c r="H201" s="756" t="inlineStr">
        <is>
          <t>BM1370BC</t>
        </is>
      </c>
      <c r="I201" s="755">
        <f>VLOOKUP(H201,[1]编码对账表!C:D,2,0)</f>
        <v/>
      </c>
      <c r="J201" s="330" t="n">
        <v>7586</v>
      </c>
      <c r="K201" s="331" t="inlineStr">
        <is>
          <t>202502210010</t>
        </is>
      </c>
      <c r="L201" s="332" t="inlineStr">
        <is>
          <t>1403250221151646</t>
        </is>
      </c>
      <c r="M201" s="757" t="inlineStr">
        <is>
          <t>印尼奥海</t>
        </is>
      </c>
      <c r="N201" s="756" t="inlineStr">
        <is>
          <t>CHANHUA PTE. LTD.</t>
        </is>
      </c>
      <c r="O201" s="757" t="n">
        <v>8.327199999999999</v>
      </c>
      <c r="P201" s="346">
        <f>VLOOKUP(L201,[3]BHSC_销售订单明细报表_060825!$E$1:$E$65536,1,FALSE)</f>
        <v/>
      </c>
      <c r="Q201" s="758" t="n"/>
      <c r="R201" s="758" t="n"/>
      <c r="S201" s="758" t="n"/>
      <c r="T201" s="758" t="n"/>
      <c r="U201" s="758" t="n"/>
      <c r="V201" s="758" t="n"/>
      <c r="W201" s="758" t="n"/>
    </row>
    <row r="202" s="184">
      <c r="A202" s="106" t="n">
        <v>201</v>
      </c>
      <c r="B202" s="754" t="inlineStr">
        <is>
          <t>chanhua</t>
        </is>
      </c>
      <c r="C202" s="761" t="n">
        <v>45702</v>
      </c>
      <c r="D202" s="755" t="inlineStr">
        <is>
          <t>新加坡比特</t>
        </is>
      </c>
      <c r="E202" s="756" t="inlineStr">
        <is>
          <t>ASECL</t>
        </is>
      </c>
      <c r="H202" s="756" t="inlineStr">
        <is>
          <t>BM1370PA</t>
        </is>
      </c>
      <c r="I202" s="755">
        <f>VLOOKUP(H202,[1]编码对账表!C:D,2,0)</f>
        <v/>
      </c>
      <c r="J202" s="330" t="n">
        <v>41800</v>
      </c>
      <c r="K202" s="331" t="inlineStr">
        <is>
          <t>202502210010</t>
        </is>
      </c>
      <c r="L202" s="332" t="inlineStr">
        <is>
          <t>1403250221151646</t>
        </is>
      </c>
      <c r="M202" s="757" t="inlineStr">
        <is>
          <t>印尼奥海</t>
        </is>
      </c>
      <c r="N202" s="756" t="inlineStr">
        <is>
          <t>CHANHUA PTE. LTD.</t>
        </is>
      </c>
      <c r="O202" s="757" t="n">
        <v>8.327199999999999</v>
      </c>
      <c r="P202" s="346">
        <f>VLOOKUP(L202,[3]BHSC_销售订单明细报表_060825!$E$1:$E$65536,1,FALSE)</f>
        <v/>
      </c>
      <c r="Q202" s="758" t="n"/>
      <c r="R202" s="758" t="n"/>
      <c r="S202" s="758" t="n"/>
      <c r="T202" s="758" t="n"/>
      <c r="U202" s="758" t="n"/>
      <c r="V202" s="758" t="n"/>
      <c r="W202" s="758" t="n"/>
    </row>
    <row r="203" s="184">
      <c r="A203" s="106" t="n">
        <v>202</v>
      </c>
      <c r="B203" s="754" t="inlineStr">
        <is>
          <t>chanhua</t>
        </is>
      </c>
      <c r="C203" s="761" t="n">
        <v>45708</v>
      </c>
      <c r="D203" s="755" t="inlineStr">
        <is>
          <t>新加坡比特</t>
        </is>
      </c>
      <c r="E203" s="756" t="inlineStr">
        <is>
          <t>SPILSZ</t>
        </is>
      </c>
      <c r="H203" s="756" t="inlineStr">
        <is>
          <t>BM1370PA</t>
        </is>
      </c>
      <c r="I203" s="755">
        <f>VLOOKUP(H203,[1]编码对账表!C:D,2,0)</f>
        <v/>
      </c>
      <c r="J203" s="330" t="n">
        <v>2226800</v>
      </c>
      <c r="K203" s="331" t="inlineStr">
        <is>
          <t>202502210010</t>
        </is>
      </c>
      <c r="L203" s="332" t="inlineStr">
        <is>
          <t>1403250221151646</t>
        </is>
      </c>
      <c r="M203" s="757" t="inlineStr">
        <is>
          <t>印尼奥海</t>
        </is>
      </c>
      <c r="N203" s="756" t="inlineStr">
        <is>
          <t>CHANHUA PTE. LTD.</t>
        </is>
      </c>
      <c r="O203" s="757" t="n">
        <v>8.327199999999999</v>
      </c>
      <c r="P203" s="346">
        <f>VLOOKUP(L203,[3]BHSC_销售订单明细报表_060825!$E$1:$E$65536,1,FALSE)</f>
        <v/>
      </c>
      <c r="Q203" s="758" t="n"/>
      <c r="R203" s="758" t="n"/>
      <c r="S203" s="758" t="n"/>
      <c r="T203" s="758" t="n"/>
      <c r="U203" s="758" t="n"/>
      <c r="V203" s="758" t="n"/>
      <c r="W203" s="758" t="n"/>
    </row>
    <row r="204" s="184">
      <c r="A204" s="106" t="n">
        <v>203</v>
      </c>
      <c r="B204" s="754" t="inlineStr">
        <is>
          <t>chanhua</t>
        </is>
      </c>
      <c r="C204" s="761" t="n">
        <v>45702</v>
      </c>
      <c r="D204" s="755" t="inlineStr">
        <is>
          <t>新加坡比特</t>
        </is>
      </c>
      <c r="E204" s="756" t="inlineStr">
        <is>
          <t>TFME</t>
        </is>
      </c>
      <c r="H204" s="756" t="inlineStr">
        <is>
          <t>BM1370PA</t>
        </is>
      </c>
      <c r="I204" s="755">
        <f>VLOOKUP(H204,[1]编码对账表!C:D,2,0)</f>
        <v/>
      </c>
      <c r="J204" s="330" t="n">
        <v>176532</v>
      </c>
      <c r="K204" s="331" t="inlineStr">
        <is>
          <t>202502210010</t>
        </is>
      </c>
      <c r="L204" s="332" t="inlineStr">
        <is>
          <t>1403250221151646</t>
        </is>
      </c>
      <c r="M204" s="757" t="inlineStr">
        <is>
          <t>印尼奥海</t>
        </is>
      </c>
      <c r="N204" s="756" t="inlineStr">
        <is>
          <t>CHANHUA PTE. LTD.</t>
        </is>
      </c>
      <c r="O204" s="757" t="n">
        <v>8.327199999999999</v>
      </c>
      <c r="P204" s="346">
        <f>VLOOKUP(L204,[3]BHSC_销售订单明细报表_060825!$E$1:$E$65536,1,FALSE)</f>
        <v/>
      </c>
      <c r="Q204" s="758" t="n"/>
      <c r="R204" s="758" t="n"/>
      <c r="S204" s="758" t="n"/>
      <c r="T204" s="758" t="n"/>
      <c r="U204" s="758" t="n"/>
      <c r="V204" s="758" t="n"/>
      <c r="W204" s="758" t="n"/>
    </row>
    <row r="205" s="184">
      <c r="A205" s="106" t="n">
        <v>204</v>
      </c>
      <c r="B205" s="754" t="inlineStr">
        <is>
          <t>chanhua</t>
        </is>
      </c>
      <c r="C205" s="761" t="n">
        <v>45703</v>
      </c>
      <c r="D205" s="755" t="inlineStr">
        <is>
          <t>新加坡比特</t>
        </is>
      </c>
      <c r="E205" s="756" t="inlineStr">
        <is>
          <t>SPILSZ</t>
        </is>
      </c>
      <c r="H205" s="756" t="inlineStr">
        <is>
          <t>BM1370BC</t>
        </is>
      </c>
      <c r="I205" s="755">
        <f>VLOOKUP(H205,[1]编码对账表!C:D,2,0)</f>
        <v/>
      </c>
      <c r="J205" s="330" t="n">
        <v>1316</v>
      </c>
      <c r="K205" s="331" t="inlineStr">
        <is>
          <t>202502210011</t>
        </is>
      </c>
      <c r="L205" s="332" t="inlineStr">
        <is>
          <t>1403250221152526</t>
        </is>
      </c>
      <c r="M205" s="757" t="inlineStr">
        <is>
          <t>泰国群光</t>
        </is>
      </c>
      <c r="N205" s="756" t="inlineStr">
        <is>
          <t>CHANHUA PTE. LTD.</t>
        </is>
      </c>
      <c r="O205" s="757" t="n">
        <v>8.327199999999999</v>
      </c>
      <c r="P205" s="346">
        <f>VLOOKUP(L205,[3]BHSC_销售订单明细报表_060825!$E$1:$E$65536,1,FALSE)</f>
        <v/>
      </c>
      <c r="Q205" s="758" t="n"/>
      <c r="R205" s="758" t="n"/>
      <c r="S205" s="758" t="n"/>
      <c r="T205" s="758" t="n"/>
      <c r="U205" s="758" t="n"/>
      <c r="V205" s="758" t="n"/>
      <c r="W205" s="758" t="n"/>
    </row>
    <row r="206" s="184">
      <c r="A206" s="106" t="n">
        <v>205</v>
      </c>
      <c r="B206" s="754" t="inlineStr">
        <is>
          <t>chanhua</t>
        </is>
      </c>
      <c r="C206" s="761" t="n">
        <v>45702</v>
      </c>
      <c r="D206" s="755" t="inlineStr">
        <is>
          <t>新加坡比特</t>
        </is>
      </c>
      <c r="E206" s="756" t="inlineStr">
        <is>
          <t>ASECL</t>
        </is>
      </c>
      <c r="H206" s="756" t="inlineStr">
        <is>
          <t>BM1370PA</t>
        </is>
      </c>
      <c r="I206" s="755">
        <f>VLOOKUP(H206,[1]编码对账表!C:D,2,0)</f>
        <v/>
      </c>
      <c r="J206" s="330" t="n">
        <v>216600</v>
      </c>
      <c r="K206" s="331" t="inlineStr">
        <is>
          <t>202502210011</t>
        </is>
      </c>
      <c r="L206" s="332" t="inlineStr">
        <is>
          <t>1403250221152526</t>
        </is>
      </c>
      <c r="M206" s="757" t="inlineStr">
        <is>
          <t>泰国群光</t>
        </is>
      </c>
      <c r="N206" s="756" t="inlineStr">
        <is>
          <t>CHANHUA PTE. LTD.</t>
        </is>
      </c>
      <c r="O206" s="757" t="n">
        <v>8.327199999999999</v>
      </c>
      <c r="P206" s="346">
        <f>VLOOKUP(L206,[3]BHSC_销售订单明细报表_060825!$E$1:$E$65536,1,FALSE)</f>
        <v/>
      </c>
      <c r="Q206" s="758" t="n"/>
      <c r="R206" s="758" t="n"/>
      <c r="S206" s="758" t="n"/>
      <c r="T206" s="758" t="n"/>
      <c r="U206" s="758" t="n"/>
      <c r="V206" s="758" t="n"/>
      <c r="W206" s="758" t="n"/>
    </row>
    <row r="207" s="184">
      <c r="A207" s="106" t="n">
        <v>206</v>
      </c>
      <c r="B207" s="754" t="inlineStr">
        <is>
          <t>chanhua</t>
        </is>
      </c>
      <c r="C207" s="761" t="n">
        <v>45702</v>
      </c>
      <c r="D207" s="755" t="inlineStr">
        <is>
          <t>新加坡比特</t>
        </is>
      </c>
      <c r="E207" s="756" t="inlineStr">
        <is>
          <t>JSCC</t>
        </is>
      </c>
      <c r="H207" s="756" t="inlineStr">
        <is>
          <t>BM1370PA</t>
        </is>
      </c>
      <c r="I207" s="755">
        <f>VLOOKUP(H207,[1]编码对账表!C:D,2,0)</f>
        <v/>
      </c>
      <c r="J207" s="330" t="n">
        <v>8125</v>
      </c>
      <c r="K207" s="331" t="inlineStr">
        <is>
          <t>202502210011</t>
        </is>
      </c>
      <c r="L207" s="332" t="inlineStr">
        <is>
          <t>1403250221152526</t>
        </is>
      </c>
      <c r="M207" s="757" t="inlineStr">
        <is>
          <t>泰国群光</t>
        </is>
      </c>
      <c r="N207" s="756" t="inlineStr">
        <is>
          <t>CHANHUA PTE. LTD.</t>
        </is>
      </c>
      <c r="O207" s="757" t="n">
        <v>8.327199999999999</v>
      </c>
      <c r="P207" s="346">
        <f>VLOOKUP(L207,[3]BHSC_销售订单明细报表_060825!$E$1:$E$65536,1,FALSE)</f>
        <v/>
      </c>
      <c r="Q207" s="758" t="n"/>
      <c r="R207" s="758" t="n"/>
      <c r="S207" s="758" t="n"/>
      <c r="T207" s="758" t="n"/>
      <c r="U207" s="758" t="n"/>
      <c r="V207" s="758" t="n"/>
      <c r="W207" s="758" t="n"/>
    </row>
    <row r="208" s="184">
      <c r="A208" s="106" t="n">
        <v>207</v>
      </c>
      <c r="B208" s="754" t="inlineStr">
        <is>
          <t>chanhua</t>
        </is>
      </c>
      <c r="C208" s="761" t="n">
        <v>45702</v>
      </c>
      <c r="D208" s="755" t="inlineStr">
        <is>
          <t>新加坡比特</t>
        </is>
      </c>
      <c r="E208" s="756" t="inlineStr">
        <is>
          <t>SPILSZ</t>
        </is>
      </c>
      <c r="H208" s="756" t="inlineStr">
        <is>
          <t>BM1370PA</t>
        </is>
      </c>
      <c r="I208" s="755">
        <f>VLOOKUP(H208,[1]编码对账表!C:D,2,0)</f>
        <v/>
      </c>
      <c r="J208" s="330" t="n">
        <v>718200</v>
      </c>
      <c r="K208" s="331" t="inlineStr">
        <is>
          <t>202502210011</t>
        </is>
      </c>
      <c r="L208" s="332" t="inlineStr">
        <is>
          <t>1403250221152526</t>
        </is>
      </c>
      <c r="M208" s="757" t="inlineStr">
        <is>
          <t>泰国群光</t>
        </is>
      </c>
      <c r="N208" s="756" t="inlineStr">
        <is>
          <t>CHANHUA PTE. LTD.</t>
        </is>
      </c>
      <c r="O208" s="757" t="n">
        <v>8.327199999999999</v>
      </c>
      <c r="P208" s="346">
        <f>VLOOKUP(L208,[3]BHSC_销售订单明细报表_060825!$E$1:$E$65536,1,FALSE)</f>
        <v/>
      </c>
      <c r="Q208" s="758" t="n"/>
      <c r="R208" s="758" t="n"/>
      <c r="S208" s="758" t="n"/>
      <c r="T208" s="758" t="n"/>
      <c r="U208" s="758" t="n"/>
      <c r="V208" s="758" t="n"/>
      <c r="W208" s="758" t="n"/>
    </row>
    <row r="209" s="184">
      <c r="A209" s="106" t="n">
        <v>208</v>
      </c>
      <c r="B209" s="754" t="inlineStr">
        <is>
          <t>chanhua</t>
        </is>
      </c>
      <c r="C209" s="761" t="n">
        <v>45702</v>
      </c>
      <c r="D209" s="755" t="inlineStr">
        <is>
          <t>新加坡比特</t>
        </is>
      </c>
      <c r="E209" s="756" t="inlineStr">
        <is>
          <t>TFME</t>
        </is>
      </c>
      <c r="H209" s="756" t="inlineStr">
        <is>
          <t>BM1370PA</t>
        </is>
      </c>
      <c r="I209" s="755">
        <f>VLOOKUP(H209,[1]编码对账表!C:D,2,0)</f>
        <v/>
      </c>
      <c r="J209" s="330" t="n">
        <v>11071</v>
      </c>
      <c r="K209" s="331" t="inlineStr">
        <is>
          <t>202502210011</t>
        </is>
      </c>
      <c r="L209" s="332" t="inlineStr">
        <is>
          <t>1403250221152526</t>
        </is>
      </c>
      <c r="M209" s="757" t="inlineStr">
        <is>
          <t>泰国群光</t>
        </is>
      </c>
      <c r="N209" s="756" t="inlineStr">
        <is>
          <t>CHANHUA PTE. LTD.</t>
        </is>
      </c>
      <c r="O209" s="757" t="n">
        <v>8.327199999999999</v>
      </c>
      <c r="P209" s="346">
        <f>VLOOKUP(L209,[3]BHSC_销售订单明细报表_060825!$E$1:$E$65536,1,FALSE)</f>
        <v/>
      </c>
      <c r="Q209" s="758" t="n"/>
      <c r="R209" s="758" t="n"/>
      <c r="S209" s="758" t="n"/>
      <c r="T209" s="758" t="n"/>
      <c r="U209" s="758" t="n"/>
      <c r="V209" s="758" t="n"/>
      <c r="W209" s="758" t="n"/>
    </row>
    <row r="210" s="184">
      <c r="A210" s="106" t="n">
        <v>209</v>
      </c>
      <c r="B210" s="754" t="inlineStr">
        <is>
          <t>chanhua</t>
        </is>
      </c>
      <c r="C210" s="761" t="n">
        <v>45702</v>
      </c>
      <c r="D210" s="755" t="inlineStr">
        <is>
          <t>新加坡比特</t>
        </is>
      </c>
      <c r="E210" s="756" t="inlineStr">
        <is>
          <t>JSCC</t>
        </is>
      </c>
      <c r="H210" s="756" t="inlineStr">
        <is>
          <t>BM1370PM</t>
        </is>
      </c>
      <c r="I210" s="755">
        <f>VLOOKUP(H210,[1]编码对账表!C:D,2,0)</f>
        <v/>
      </c>
      <c r="J210" s="330" t="n">
        <v>227223</v>
      </c>
      <c r="K210" s="331" t="inlineStr">
        <is>
          <t>202502210011</t>
        </is>
      </c>
      <c r="L210" s="332" t="inlineStr">
        <is>
          <t>1403250221152526</t>
        </is>
      </c>
      <c r="M210" s="757" t="inlineStr">
        <is>
          <t>泰国群光</t>
        </is>
      </c>
      <c r="N210" s="756" t="inlineStr">
        <is>
          <t>CHANHUA PTE. LTD.</t>
        </is>
      </c>
      <c r="O210" s="757" t="n">
        <v>8.327199999999999</v>
      </c>
      <c r="P210" s="346">
        <f>VLOOKUP(L210,[3]BHSC_销售订单明细报表_060825!$E$1:$E$65536,1,FALSE)</f>
        <v/>
      </c>
      <c r="Q210" s="758" t="n"/>
      <c r="R210" s="758" t="n"/>
      <c r="S210" s="758" t="n"/>
      <c r="T210" s="758" t="n"/>
      <c r="U210" s="758" t="n"/>
      <c r="V210" s="758" t="n"/>
      <c r="W210" s="758" t="n"/>
    </row>
    <row r="211" s="184">
      <c r="A211" s="106" t="n">
        <v>210</v>
      </c>
      <c r="B211" s="754" t="inlineStr">
        <is>
          <t>chanhua</t>
        </is>
      </c>
      <c r="C211" s="761" t="n">
        <v>45702</v>
      </c>
      <c r="D211" s="755" t="inlineStr">
        <is>
          <t>新加坡比特</t>
        </is>
      </c>
      <c r="E211" s="756" t="inlineStr">
        <is>
          <t>SPILSZ</t>
        </is>
      </c>
      <c r="H211" s="756" t="inlineStr">
        <is>
          <t>BM1370BC</t>
        </is>
      </c>
      <c r="I211" s="755">
        <f>VLOOKUP(H211,[1]编码对账表!C:D,2,0)</f>
        <v/>
      </c>
      <c r="J211" s="330" t="n">
        <v>102901</v>
      </c>
      <c r="K211" s="331" t="inlineStr">
        <is>
          <t>202502210012</t>
        </is>
      </c>
      <c r="L211" s="332" t="inlineStr">
        <is>
          <t>1403250221153857</t>
        </is>
      </c>
      <c r="M211" s="757" t="inlineStr">
        <is>
          <t>泰国ONETEC</t>
        </is>
      </c>
      <c r="N211" s="756" t="inlineStr">
        <is>
          <t>CHANHUA PTE. LTD.</t>
        </is>
      </c>
      <c r="O211" s="757" t="n">
        <v>8.327199999999999</v>
      </c>
      <c r="P211" s="346">
        <f>VLOOKUP(L211,[3]BHSC_销售订单明细报表_060825!$E$1:$E$65536,1,FALSE)</f>
        <v/>
      </c>
      <c r="Q211" s="758" t="n"/>
      <c r="R211" s="758" t="n"/>
      <c r="S211" s="758" t="n"/>
      <c r="T211" s="758" t="n"/>
      <c r="U211" s="758" t="n"/>
      <c r="V211" s="758" t="n"/>
      <c r="W211" s="758" t="n"/>
    </row>
    <row r="212" s="184">
      <c r="A212" s="106" t="n">
        <v>211</v>
      </c>
      <c r="B212" s="754" t="inlineStr">
        <is>
          <t>chanhua</t>
        </is>
      </c>
      <c r="C212" s="761" t="n">
        <v>45702</v>
      </c>
      <c r="D212" s="755" t="inlineStr">
        <is>
          <t>新加坡比特</t>
        </is>
      </c>
      <c r="E212" s="756" t="inlineStr">
        <is>
          <t>ASECL</t>
        </is>
      </c>
      <c r="H212" s="756" t="inlineStr">
        <is>
          <t>BM1370PA</t>
        </is>
      </c>
      <c r="I212" s="755">
        <f>VLOOKUP(H212,[1]编码对账表!C:D,2,0)</f>
        <v/>
      </c>
      <c r="J212" s="330" t="n">
        <v>224200</v>
      </c>
      <c r="K212" s="331" t="inlineStr">
        <is>
          <t>202502210012</t>
        </is>
      </c>
      <c r="L212" s="332" t="inlineStr">
        <is>
          <t>1403250221153857</t>
        </is>
      </c>
      <c r="M212" s="757" t="inlineStr">
        <is>
          <t>泰国ONETEC</t>
        </is>
      </c>
      <c r="N212" s="756" t="inlineStr">
        <is>
          <t>CHANHUA PTE. LTD.</t>
        </is>
      </c>
      <c r="O212" s="757" t="n">
        <v>8.327199999999999</v>
      </c>
      <c r="P212" s="346">
        <f>VLOOKUP(L212,[3]BHSC_销售订单明细报表_060825!$E$1:$E$65536,1,FALSE)</f>
        <v/>
      </c>
      <c r="Q212" s="758" t="n"/>
      <c r="R212" s="758" t="n"/>
      <c r="S212" s="758" t="n"/>
      <c r="T212" s="758" t="n"/>
      <c r="U212" s="758" t="n"/>
      <c r="V212" s="758" t="n"/>
      <c r="W212" s="758" t="n"/>
    </row>
    <row r="213" s="184">
      <c r="A213" s="106" t="n">
        <v>212</v>
      </c>
      <c r="B213" s="754" t="inlineStr">
        <is>
          <t>chanhua</t>
        </is>
      </c>
      <c r="C213" s="761" t="n">
        <v>45708</v>
      </c>
      <c r="D213" s="755" t="inlineStr">
        <is>
          <t>新加坡比特</t>
        </is>
      </c>
      <c r="E213" s="756" t="inlineStr">
        <is>
          <t>SPILSZ</t>
        </is>
      </c>
      <c r="H213" s="756" t="inlineStr">
        <is>
          <t>BM1370PA</t>
        </is>
      </c>
      <c r="I213" s="755">
        <f>VLOOKUP(H213,[1]编码对账表!C:D,2,0)</f>
        <v/>
      </c>
      <c r="J213" s="330" t="n">
        <v>391400</v>
      </c>
      <c r="K213" s="331" t="inlineStr">
        <is>
          <t>202502210012</t>
        </is>
      </c>
      <c r="L213" s="332" t="inlineStr">
        <is>
          <t>1403250221153857</t>
        </is>
      </c>
      <c r="M213" s="757" t="inlineStr">
        <is>
          <t>泰国ONETEC</t>
        </is>
      </c>
      <c r="N213" s="756" t="inlineStr">
        <is>
          <t>CHANHUA PTE. LTD.</t>
        </is>
      </c>
      <c r="O213" s="757" t="n">
        <v>8.327199999999999</v>
      </c>
      <c r="P213" s="346">
        <f>VLOOKUP(L213,[3]BHSC_销售订单明细报表_060825!$E$1:$E$65536,1,FALSE)</f>
        <v/>
      </c>
      <c r="Q213" s="758" t="n"/>
      <c r="R213" s="758" t="n"/>
      <c r="S213" s="758" t="n"/>
      <c r="T213" s="758" t="n"/>
      <c r="U213" s="758" t="n"/>
      <c r="V213" s="758" t="n"/>
      <c r="W213" s="758" t="n"/>
    </row>
    <row r="214" s="184">
      <c r="A214" s="106" t="n">
        <v>213</v>
      </c>
      <c r="B214" s="754" t="inlineStr">
        <is>
          <t>chanhua</t>
        </is>
      </c>
      <c r="C214" s="761" t="n">
        <v>45702</v>
      </c>
      <c r="D214" s="755" t="inlineStr">
        <is>
          <t>新加坡比特</t>
        </is>
      </c>
      <c r="E214" s="756" t="inlineStr">
        <is>
          <t>TFME</t>
        </is>
      </c>
      <c r="H214" s="756" t="inlineStr">
        <is>
          <t>BM1370PA</t>
        </is>
      </c>
      <c r="I214" s="755">
        <f>VLOOKUP(H214,[1]编码对账表!C:D,2,0)</f>
        <v/>
      </c>
      <c r="J214" s="330" t="n">
        <v>7892</v>
      </c>
      <c r="K214" s="331" t="inlineStr">
        <is>
          <t>202502210012</t>
        </is>
      </c>
      <c r="L214" s="332" t="inlineStr">
        <is>
          <t>1403250221153857</t>
        </is>
      </c>
      <c r="M214" s="757" t="inlineStr">
        <is>
          <t>泰国ONETEC</t>
        </is>
      </c>
      <c r="N214" s="756" t="inlineStr">
        <is>
          <t>CHANHUA PTE. LTD.</t>
        </is>
      </c>
      <c r="O214" s="757" t="n">
        <v>8.327199999999999</v>
      </c>
      <c r="P214" s="346">
        <f>VLOOKUP(L214,[3]BHSC_销售订单明细报表_060825!$E$1:$E$65536,1,FALSE)</f>
        <v/>
      </c>
      <c r="Q214" s="758" t="n"/>
      <c r="R214" s="758" t="n"/>
      <c r="S214" s="758" t="n"/>
      <c r="T214" s="758" t="n"/>
      <c r="U214" s="758" t="n"/>
      <c r="V214" s="758" t="n"/>
      <c r="W214" s="758" t="n"/>
    </row>
    <row r="215" s="184">
      <c r="A215" s="106" t="n">
        <v>214</v>
      </c>
      <c r="B215" s="754" t="inlineStr">
        <is>
          <t>chanhua</t>
        </is>
      </c>
      <c r="C215" s="761" t="n">
        <v>45702</v>
      </c>
      <c r="D215" s="755" t="inlineStr">
        <is>
          <t>新加坡比特</t>
        </is>
      </c>
      <c r="E215" s="756" t="inlineStr">
        <is>
          <t>JSCC</t>
        </is>
      </c>
      <c r="H215" s="756" t="inlineStr">
        <is>
          <t>BM1370PM</t>
        </is>
      </c>
      <c r="I215" s="755">
        <f>VLOOKUP(H215,[1]编码对账表!C:D,2,0)</f>
        <v/>
      </c>
      <c r="J215" s="330" t="n">
        <v>511263</v>
      </c>
      <c r="K215" s="331" t="inlineStr">
        <is>
          <t>202502210012</t>
        </is>
      </c>
      <c r="L215" s="332" t="inlineStr">
        <is>
          <t>1403250221153857</t>
        </is>
      </c>
      <c r="M215" s="757" t="inlineStr">
        <is>
          <t>泰国ONETEC</t>
        </is>
      </c>
      <c r="N215" s="756" t="inlineStr">
        <is>
          <t>CHANHUA PTE. LTD.</t>
        </is>
      </c>
      <c r="O215" s="757" t="n">
        <v>8.327199999999999</v>
      </c>
      <c r="P215" s="346">
        <f>VLOOKUP(L215,[3]BHSC_销售订单明细报表_060825!$E$1:$E$65536,1,FALSE)</f>
        <v/>
      </c>
      <c r="Q215" s="758" t="n"/>
      <c r="R215" s="758" t="n"/>
      <c r="S215" s="758" t="n"/>
      <c r="T215" s="758" t="n"/>
      <c r="U215" s="758" t="n"/>
      <c r="V215" s="758" t="n"/>
      <c r="W215" s="758" t="n"/>
    </row>
    <row r="216" s="184">
      <c r="A216" s="106" t="n">
        <v>215</v>
      </c>
      <c r="B216" s="754" t="inlineStr">
        <is>
          <t>chanhua</t>
        </is>
      </c>
      <c r="C216" s="761" t="n">
        <v>45702</v>
      </c>
      <c r="D216" s="755" t="inlineStr">
        <is>
          <t>新加坡比特</t>
        </is>
      </c>
      <c r="E216" s="756" t="inlineStr">
        <is>
          <t>SPILSZ</t>
        </is>
      </c>
      <c r="H216" s="756" t="inlineStr">
        <is>
          <t>BM1370BC</t>
        </is>
      </c>
      <c r="I216" s="755">
        <f>VLOOKUP(H216,[1]编码对账表!C:D,2,0)</f>
        <v/>
      </c>
      <c r="J216" s="330" t="n">
        <v>22800</v>
      </c>
      <c r="K216" s="331" t="inlineStr">
        <is>
          <t>202502210013</t>
        </is>
      </c>
      <c r="L216" s="332" t="inlineStr">
        <is>
          <t>1403250221153909</t>
        </is>
      </c>
      <c r="M216" s="757" t="inlineStr">
        <is>
          <t>PIE</t>
        </is>
      </c>
      <c r="N216" s="756" t="inlineStr">
        <is>
          <t>CHANHUA PTE. LTD.</t>
        </is>
      </c>
      <c r="O216" s="757" t="n">
        <v>8.327199999999999</v>
      </c>
      <c r="P216" s="346">
        <f>VLOOKUP(L216,[3]BHSC_销售订单明细报表_060825!$E$1:$E$65536,1,FALSE)</f>
        <v/>
      </c>
      <c r="Q216" s="758" t="n"/>
      <c r="R216" s="758" t="n"/>
      <c r="S216" s="758" t="n"/>
      <c r="T216" s="758" t="n"/>
      <c r="U216" s="758" t="n"/>
      <c r="V216" s="758" t="n"/>
      <c r="W216" s="758" t="n"/>
    </row>
    <row r="217" s="184">
      <c r="A217" s="106" t="n">
        <v>216</v>
      </c>
      <c r="B217" s="754" t="inlineStr">
        <is>
          <t>chanhua</t>
        </is>
      </c>
      <c r="C217" s="761" t="n">
        <v>45702</v>
      </c>
      <c r="D217" s="755" t="inlineStr">
        <is>
          <t>新加坡比特</t>
        </is>
      </c>
      <c r="E217" s="756" t="inlineStr">
        <is>
          <t>ASECL</t>
        </is>
      </c>
      <c r="H217" s="756" t="inlineStr">
        <is>
          <t>BM1370PA</t>
        </is>
      </c>
      <c r="I217" s="755">
        <f>VLOOKUP(H217,[1]编码对账表!C:D,2,0)</f>
        <v/>
      </c>
      <c r="J217" s="330" t="n">
        <v>201400</v>
      </c>
      <c r="K217" s="331" t="inlineStr">
        <is>
          <t>202502210013</t>
        </is>
      </c>
      <c r="L217" s="332" t="inlineStr">
        <is>
          <t>1403250221153909</t>
        </is>
      </c>
      <c r="M217" s="757" t="inlineStr">
        <is>
          <t>PIE</t>
        </is>
      </c>
      <c r="N217" s="756" t="inlineStr">
        <is>
          <t>CHANHUA PTE. LTD.</t>
        </is>
      </c>
      <c r="O217" s="757" t="n">
        <v>8.327199999999999</v>
      </c>
      <c r="P217" s="346">
        <f>VLOOKUP(L217,[3]BHSC_销售订单明细报表_060825!$E$1:$E$65536,1,FALSE)</f>
        <v/>
      </c>
      <c r="Q217" s="758" t="n"/>
      <c r="R217" s="758" t="n"/>
      <c r="S217" s="758" t="n"/>
      <c r="T217" s="758" t="n"/>
      <c r="U217" s="758" t="n"/>
      <c r="V217" s="758" t="n"/>
      <c r="W217" s="758" t="n"/>
    </row>
    <row r="218" s="184">
      <c r="A218" s="106" t="n">
        <v>217</v>
      </c>
      <c r="B218" s="754" t="inlineStr">
        <is>
          <t>chanhua</t>
        </is>
      </c>
      <c r="C218" s="761" t="n">
        <v>45702</v>
      </c>
      <c r="D218" s="755" t="inlineStr">
        <is>
          <t>新加坡比特</t>
        </is>
      </c>
      <c r="E218" s="756" t="inlineStr">
        <is>
          <t>XJ</t>
        </is>
      </c>
      <c r="H218" s="756" t="inlineStr">
        <is>
          <t>BM1370PA</t>
        </is>
      </c>
      <c r="I218" s="755">
        <f>VLOOKUP(H218,[1]编码对账表!C:D,2,0)</f>
        <v/>
      </c>
      <c r="J218" s="330" t="n">
        <v>144036</v>
      </c>
      <c r="K218" s="331" t="inlineStr">
        <is>
          <t>202502210013</t>
        </is>
      </c>
      <c r="L218" s="332" t="inlineStr">
        <is>
          <t>1403250221153909</t>
        </is>
      </c>
      <c r="M218" s="757" t="inlineStr">
        <is>
          <t>PIE</t>
        </is>
      </c>
      <c r="N218" s="756" t="inlineStr">
        <is>
          <t>CHANHUA PTE. LTD.</t>
        </is>
      </c>
      <c r="O218" s="757" t="n">
        <v>8.327199999999999</v>
      </c>
      <c r="P218" s="346">
        <f>VLOOKUP(L218,[3]BHSC_销售订单明细报表_060825!$E$1:$E$65536,1,FALSE)</f>
        <v/>
      </c>
      <c r="Q218" s="758" t="n"/>
      <c r="R218" s="758" t="n"/>
      <c r="S218" s="758" t="n"/>
      <c r="T218" s="758" t="n"/>
      <c r="U218" s="758" t="n"/>
      <c r="V218" s="758" t="n"/>
      <c r="W218" s="758" t="n"/>
    </row>
    <row r="219" s="184">
      <c r="A219" s="106" t="n">
        <v>218</v>
      </c>
      <c r="B219" s="754" t="inlineStr">
        <is>
          <t>chanhua</t>
        </is>
      </c>
      <c r="C219" s="761" t="n">
        <v>45708</v>
      </c>
      <c r="D219" s="755" t="inlineStr">
        <is>
          <t>新加坡比特</t>
        </is>
      </c>
      <c r="E219" s="756" t="inlineStr">
        <is>
          <t>JSCC</t>
        </is>
      </c>
      <c r="H219" s="756" t="inlineStr">
        <is>
          <t>BM1370PM</t>
        </is>
      </c>
      <c r="I219" s="755">
        <f>VLOOKUP(H219,[1]编码对账表!C:D,2,0)</f>
        <v/>
      </c>
      <c r="J219" s="330" t="n">
        <v>250337</v>
      </c>
      <c r="K219" s="331" t="inlineStr">
        <is>
          <t>202502210013</t>
        </is>
      </c>
      <c r="L219" s="332" t="inlineStr">
        <is>
          <t>1403250221153909</t>
        </is>
      </c>
      <c r="M219" s="757" t="inlineStr">
        <is>
          <t>PIE</t>
        </is>
      </c>
      <c r="N219" s="756" t="inlineStr">
        <is>
          <t>CHANHUA PTE. LTD.</t>
        </is>
      </c>
      <c r="O219" s="757" t="n">
        <v>8.327199999999999</v>
      </c>
      <c r="P219" s="346">
        <f>VLOOKUP(L219,[3]BHSC_销售订单明细报表_060825!$E$1:$E$65536,1,FALSE)</f>
        <v/>
      </c>
      <c r="Q219" s="758" t="n"/>
      <c r="R219" s="758" t="n"/>
      <c r="S219" s="758" t="n"/>
      <c r="T219" s="758" t="n"/>
      <c r="U219" s="758" t="n"/>
      <c r="V219" s="758" t="n"/>
      <c r="W219" s="758" t="n"/>
    </row>
    <row r="220" s="184">
      <c r="A220" s="106" t="n">
        <v>219</v>
      </c>
      <c r="B220" s="754" t="inlineStr">
        <is>
          <t>chanhua</t>
        </is>
      </c>
      <c r="C220" s="761" t="n">
        <v>45702</v>
      </c>
      <c r="D220" s="755" t="inlineStr">
        <is>
          <t>新加坡比特</t>
        </is>
      </c>
      <c r="E220" s="756" t="inlineStr">
        <is>
          <t>ASECL</t>
        </is>
      </c>
      <c r="H220" s="756" t="inlineStr">
        <is>
          <t>BM1370PA</t>
        </is>
      </c>
      <c r="I220" s="755">
        <f>VLOOKUP(H220,[1]编码对账表!C:D,2,0)</f>
        <v/>
      </c>
      <c r="J220" s="330" t="n">
        <v>102600</v>
      </c>
      <c r="K220" s="331" t="inlineStr">
        <is>
          <t>202502210014</t>
        </is>
      </c>
      <c r="L220" s="332" t="inlineStr">
        <is>
          <t>1403250221153924</t>
        </is>
      </c>
      <c r="M220" s="757" t="inlineStr">
        <is>
          <t>Nationgate</t>
        </is>
      </c>
      <c r="N220" s="756" t="inlineStr">
        <is>
          <t>CHANHUA PTE. LTD.</t>
        </is>
      </c>
      <c r="O220" s="757" t="n">
        <v>8.327199999999999</v>
      </c>
      <c r="P220" s="346">
        <f>VLOOKUP(L220,[3]BHSC_销售订单明细报表_060825!$E$1:$E$65536,1,FALSE)</f>
        <v/>
      </c>
      <c r="Q220" s="758" t="n"/>
      <c r="R220" s="758" t="n"/>
      <c r="S220" s="758" t="n"/>
      <c r="T220" s="758" t="n"/>
      <c r="U220" s="758" t="n"/>
      <c r="V220" s="758" t="n"/>
      <c r="W220" s="758" t="n"/>
    </row>
    <row r="221" s="184">
      <c r="A221" s="106" t="n">
        <v>220</v>
      </c>
      <c r="B221" s="754" t="inlineStr">
        <is>
          <t>chanhua</t>
        </is>
      </c>
      <c r="C221" s="761" t="n">
        <v>45708</v>
      </c>
      <c r="D221" s="755" t="inlineStr">
        <is>
          <t>新加坡比特</t>
        </is>
      </c>
      <c r="E221" s="756" t="inlineStr">
        <is>
          <t>SPILSZ</t>
        </is>
      </c>
      <c r="H221" s="756" t="inlineStr">
        <is>
          <t>BM1370PA</t>
        </is>
      </c>
      <c r="I221" s="755">
        <f>VLOOKUP(H221,[1]编码对账表!C:D,2,0)</f>
        <v/>
      </c>
      <c r="J221" s="330" t="n">
        <v>459800</v>
      </c>
      <c r="K221" s="331" t="inlineStr">
        <is>
          <t>202502210014</t>
        </is>
      </c>
      <c r="L221" s="332" t="inlineStr">
        <is>
          <t>1403250221153924</t>
        </is>
      </c>
      <c r="M221" s="757" t="inlineStr">
        <is>
          <t>Nationgate</t>
        </is>
      </c>
      <c r="N221" s="756" t="inlineStr">
        <is>
          <t>CHANHUA PTE. LTD.</t>
        </is>
      </c>
      <c r="O221" s="757" t="n">
        <v>8.327199999999999</v>
      </c>
      <c r="P221" s="346">
        <f>VLOOKUP(L221,[3]BHSC_销售订单明细报表_060825!$E$1:$E$65536,1,FALSE)</f>
        <v/>
      </c>
      <c r="Q221" s="758" t="n"/>
      <c r="R221" s="758" t="n"/>
      <c r="S221" s="758" t="n"/>
      <c r="T221" s="758" t="n"/>
      <c r="U221" s="758" t="n"/>
      <c r="V221" s="758" t="n"/>
      <c r="W221" s="758" t="n"/>
    </row>
    <row r="222" s="184">
      <c r="A222" s="106" t="n">
        <v>221</v>
      </c>
      <c r="B222" s="754" t="inlineStr">
        <is>
          <t>chanhua</t>
        </is>
      </c>
      <c r="C222" s="761" t="n">
        <v>45709</v>
      </c>
      <c r="D222" s="755" t="inlineStr">
        <is>
          <t>新加坡比特</t>
        </is>
      </c>
      <c r="E222" s="756" t="inlineStr">
        <is>
          <t>JSCC</t>
        </is>
      </c>
      <c r="H222" s="756" t="inlineStr">
        <is>
          <t>BM1370PA</t>
        </is>
      </c>
      <c r="I222" s="755">
        <f>VLOOKUP(H222,[1]编码对账表!C:D,2,0)</f>
        <v/>
      </c>
      <c r="J222" s="330" t="n">
        <v>127526</v>
      </c>
      <c r="K222" s="331" t="inlineStr">
        <is>
          <t>202502280012</t>
        </is>
      </c>
      <c r="L222" s="332" t="inlineStr">
        <is>
          <t>1403250228100757</t>
        </is>
      </c>
      <c r="M222" s="757" t="inlineStr">
        <is>
          <t>印尼奥海</t>
        </is>
      </c>
      <c r="N222" s="756" t="inlineStr">
        <is>
          <t>CHANHUA PTE. LTD.</t>
        </is>
      </c>
      <c r="O222" s="757" t="n">
        <v>8.327199999999999</v>
      </c>
      <c r="P222" s="346">
        <f>VLOOKUP(L222,[3]BHSC_销售订单明细报表_060825!$E$1:$E$65536,1,FALSE)</f>
        <v/>
      </c>
      <c r="Q222" s="758" t="n"/>
      <c r="R222" s="758" t="n"/>
      <c r="S222" s="758" t="n"/>
      <c r="T222" s="758" t="n"/>
      <c r="U222" s="758" t="n"/>
      <c r="V222" s="758" t="n"/>
      <c r="W222" s="758" t="n"/>
    </row>
    <row r="223" s="184">
      <c r="A223" s="106" t="n">
        <v>222</v>
      </c>
      <c r="B223" s="754" t="inlineStr">
        <is>
          <t>chanhua</t>
        </is>
      </c>
      <c r="C223" s="761" t="n">
        <v>45709</v>
      </c>
      <c r="D223" s="755" t="inlineStr">
        <is>
          <t>新加坡比特</t>
        </is>
      </c>
      <c r="E223" s="756" t="inlineStr">
        <is>
          <t>SPILSZ</t>
        </is>
      </c>
      <c r="H223" s="756" t="inlineStr">
        <is>
          <t>BM1370PA</t>
        </is>
      </c>
      <c r="I223" s="755">
        <f>VLOOKUP(H223,[1]编码对账表!C:D,2,0)</f>
        <v/>
      </c>
      <c r="J223" s="330" t="n">
        <v>676400</v>
      </c>
      <c r="K223" s="331" t="inlineStr">
        <is>
          <t>202502280012</t>
        </is>
      </c>
      <c r="L223" s="332" t="inlineStr">
        <is>
          <t>1403250228100757</t>
        </is>
      </c>
      <c r="M223" s="757" t="inlineStr">
        <is>
          <t>印尼奥海</t>
        </is>
      </c>
      <c r="N223" s="756" t="inlineStr">
        <is>
          <t>CHANHUA PTE. LTD.</t>
        </is>
      </c>
      <c r="O223" s="757" t="n">
        <v>8.327199999999999</v>
      </c>
      <c r="P223" s="346">
        <f>VLOOKUP(L223,[3]BHSC_销售订单明细报表_060825!$E$1:$E$65536,1,FALSE)</f>
        <v/>
      </c>
      <c r="Q223" s="758" t="n"/>
      <c r="R223" s="758" t="n"/>
      <c r="S223" s="758" t="n"/>
      <c r="T223" s="758" t="n"/>
      <c r="U223" s="758" t="n"/>
      <c r="V223" s="758" t="n"/>
      <c r="W223" s="758" t="n"/>
    </row>
    <row r="224" s="184">
      <c r="A224" s="106" t="n">
        <v>223</v>
      </c>
      <c r="B224" s="754" t="inlineStr">
        <is>
          <t>chanhua</t>
        </is>
      </c>
      <c r="C224" s="761" t="n">
        <v>45715</v>
      </c>
      <c r="D224" s="755" t="inlineStr">
        <is>
          <t>新加坡比特</t>
        </is>
      </c>
      <c r="E224" s="756" t="inlineStr">
        <is>
          <t>TFME</t>
        </is>
      </c>
      <c r="H224" s="756" t="inlineStr">
        <is>
          <t>BM1370PA</t>
        </is>
      </c>
      <c r="I224" s="755">
        <f>VLOOKUP(H224,[1]编码对账表!C:D,2,0)</f>
        <v/>
      </c>
      <c r="J224" s="330" t="n">
        <v>42443</v>
      </c>
      <c r="K224" s="331" t="inlineStr">
        <is>
          <t>202502280012</t>
        </is>
      </c>
      <c r="L224" s="332" t="inlineStr">
        <is>
          <t>1403250228100757</t>
        </is>
      </c>
      <c r="M224" s="757" t="inlineStr">
        <is>
          <t>印尼奥海</t>
        </is>
      </c>
      <c r="N224" s="756" t="inlineStr">
        <is>
          <t>CHANHUA PTE. LTD.</t>
        </is>
      </c>
      <c r="O224" s="757" t="n">
        <v>8.327199999999999</v>
      </c>
      <c r="P224" s="346">
        <f>VLOOKUP(L224,[3]BHSC_销售订单明细报表_060825!$E$1:$E$65536,1,FALSE)</f>
        <v/>
      </c>
      <c r="Q224" s="758" t="n"/>
      <c r="R224" s="758" t="n"/>
      <c r="S224" s="758" t="n"/>
      <c r="T224" s="758" t="n"/>
      <c r="U224" s="758" t="n"/>
      <c r="V224" s="758" t="n"/>
      <c r="W224" s="758" t="n"/>
    </row>
    <row r="225" s="184">
      <c r="A225" s="106" t="n">
        <v>224</v>
      </c>
      <c r="B225" s="754" t="inlineStr">
        <is>
          <t>chanhua</t>
        </is>
      </c>
      <c r="C225" s="761" t="n">
        <v>45709</v>
      </c>
      <c r="D225" s="755" t="inlineStr">
        <is>
          <t>新加坡比特</t>
        </is>
      </c>
      <c r="E225" s="756" t="inlineStr">
        <is>
          <t>WX-HN</t>
        </is>
      </c>
      <c r="H225" s="756" t="inlineStr">
        <is>
          <t>BM1370BC</t>
        </is>
      </c>
      <c r="I225" s="755">
        <f>VLOOKUP(H225,[1]编码对账表!C:D,2,0)</f>
        <v/>
      </c>
      <c r="J225" s="330" t="n">
        <v>519770</v>
      </c>
      <c r="K225" s="331" t="inlineStr">
        <is>
          <t>202502280011</t>
        </is>
      </c>
      <c r="L225" s="332" t="inlineStr">
        <is>
          <t>1403250228100738</t>
        </is>
      </c>
      <c r="M225" s="757" t="inlineStr">
        <is>
          <t>泰国ONETEC</t>
        </is>
      </c>
      <c r="N225" s="756" t="inlineStr">
        <is>
          <t>CHANHUA PTE. LTD.</t>
        </is>
      </c>
      <c r="O225" s="757" t="n">
        <v>8.327199999999999</v>
      </c>
      <c r="P225" s="346">
        <f>VLOOKUP(L225,[3]BHSC_销售订单明细报表_060825!$E$1:$E$65536,1,FALSE)</f>
        <v/>
      </c>
      <c r="Q225" s="758" t="n"/>
      <c r="R225" s="758" t="n"/>
      <c r="S225" s="758" t="n"/>
      <c r="T225" s="758" t="n"/>
      <c r="U225" s="758" t="n"/>
      <c r="V225" s="758" t="n"/>
      <c r="W225" s="758" t="n"/>
    </row>
    <row r="226" s="184">
      <c r="A226" s="106" t="n">
        <v>225</v>
      </c>
      <c r="B226" s="754" t="inlineStr">
        <is>
          <t>chanhua</t>
        </is>
      </c>
      <c r="C226" s="761" t="n">
        <v>45709</v>
      </c>
      <c r="D226" s="755" t="inlineStr">
        <is>
          <t>新加坡比特</t>
        </is>
      </c>
      <c r="E226" s="756" t="inlineStr">
        <is>
          <t>ASECL</t>
        </is>
      </c>
      <c r="H226" s="756" t="inlineStr">
        <is>
          <t>BM1370PA</t>
        </is>
      </c>
      <c r="I226" s="755">
        <f>VLOOKUP(H226,[1]编码对账表!C:D,2,0)</f>
        <v/>
      </c>
      <c r="J226" s="330" t="n">
        <v>148200</v>
      </c>
      <c r="K226" s="331" t="inlineStr">
        <is>
          <t>202502280011</t>
        </is>
      </c>
      <c r="L226" s="332" t="inlineStr">
        <is>
          <t>1403250228100738</t>
        </is>
      </c>
      <c r="M226" s="757" t="inlineStr">
        <is>
          <t>泰国ONETEC</t>
        </is>
      </c>
      <c r="N226" s="756" t="inlineStr">
        <is>
          <t>CHANHUA PTE. LTD.</t>
        </is>
      </c>
      <c r="O226" s="757" t="n">
        <v>8.327199999999999</v>
      </c>
      <c r="P226" s="346">
        <f>VLOOKUP(L226,[3]BHSC_销售订单明细报表_060825!$E$1:$E$65536,1,FALSE)</f>
        <v/>
      </c>
      <c r="Q226" s="758" t="n"/>
      <c r="R226" s="758" t="n"/>
      <c r="S226" s="758" t="n"/>
      <c r="T226" s="758" t="n"/>
      <c r="U226" s="758" t="n"/>
      <c r="V226" s="758" t="n"/>
      <c r="W226" s="758" t="n"/>
    </row>
    <row r="227" s="184">
      <c r="A227" s="106" t="n">
        <v>226</v>
      </c>
      <c r="B227" s="754" t="inlineStr">
        <is>
          <t>chanhua</t>
        </is>
      </c>
      <c r="C227" s="761" t="n">
        <v>45709</v>
      </c>
      <c r="D227" s="755" t="inlineStr">
        <is>
          <t>新加坡比特</t>
        </is>
      </c>
      <c r="E227" s="756" t="inlineStr">
        <is>
          <t>JSCC</t>
        </is>
      </c>
      <c r="H227" s="756" t="inlineStr">
        <is>
          <t>BM1370PA</t>
        </is>
      </c>
      <c r="I227" s="755">
        <f>VLOOKUP(H227,[1]编码对账表!C:D,2,0)</f>
        <v/>
      </c>
      <c r="J227" s="330" t="n">
        <v>573387</v>
      </c>
      <c r="K227" s="331" t="inlineStr">
        <is>
          <t>202502280011</t>
        </is>
      </c>
      <c r="L227" s="332" t="inlineStr">
        <is>
          <t>1403250228100738</t>
        </is>
      </c>
      <c r="M227" s="757" t="inlineStr">
        <is>
          <t>泰国ONETEC</t>
        </is>
      </c>
      <c r="N227" s="756" t="inlineStr">
        <is>
          <t>CHANHUA PTE. LTD.</t>
        </is>
      </c>
      <c r="O227" s="757" t="n">
        <v>8.327199999999999</v>
      </c>
      <c r="P227" s="346">
        <f>VLOOKUP(L227,[3]BHSC_销售订单明细报表_060825!$E$1:$E$65536,1,FALSE)</f>
        <v/>
      </c>
      <c r="Q227" s="758" t="n"/>
      <c r="R227" s="758" t="n"/>
      <c r="S227" s="758" t="n"/>
      <c r="T227" s="758" t="n"/>
      <c r="U227" s="758" t="n"/>
      <c r="V227" s="758" t="n"/>
      <c r="W227" s="758" t="n"/>
    </row>
    <row r="228" s="184">
      <c r="A228" s="106" t="n">
        <v>227</v>
      </c>
      <c r="B228" s="754" t="inlineStr">
        <is>
          <t>chanhua</t>
        </is>
      </c>
      <c r="C228" s="761" t="n">
        <v>45715</v>
      </c>
      <c r="D228" s="755" t="inlineStr">
        <is>
          <t>新加坡比特</t>
        </is>
      </c>
      <c r="E228" s="756" t="inlineStr">
        <is>
          <t>TFME</t>
        </is>
      </c>
      <c r="H228" s="756" t="inlineStr">
        <is>
          <t>BM1370PA</t>
        </is>
      </c>
      <c r="I228" s="755">
        <f>VLOOKUP(H228,[1]编码对账表!C:D,2,0)</f>
        <v/>
      </c>
      <c r="J228" s="330" t="n">
        <v>42991</v>
      </c>
      <c r="K228" s="331" t="inlineStr">
        <is>
          <t>202502280011</t>
        </is>
      </c>
      <c r="L228" s="332" t="inlineStr">
        <is>
          <t>1403250228100738</t>
        </is>
      </c>
      <c r="M228" s="757" t="inlineStr">
        <is>
          <t>泰国ONETEC</t>
        </is>
      </c>
      <c r="N228" s="756" t="inlineStr">
        <is>
          <t>CHANHUA PTE. LTD.</t>
        </is>
      </c>
      <c r="O228" s="757" t="n">
        <v>8.327199999999999</v>
      </c>
      <c r="P228" s="346">
        <f>VLOOKUP(L228,[3]BHSC_销售订单明细报表_060825!$E$1:$E$65536,1,FALSE)</f>
        <v/>
      </c>
      <c r="Q228" s="758" t="n"/>
      <c r="R228" s="758" t="n"/>
      <c r="S228" s="758" t="n"/>
      <c r="T228" s="758" t="n"/>
      <c r="U228" s="758" t="n"/>
      <c r="V228" s="758" t="n"/>
      <c r="W228" s="758" t="n"/>
    </row>
    <row r="229" s="184">
      <c r="A229" s="106" t="n">
        <v>228</v>
      </c>
      <c r="B229" s="754" t="inlineStr">
        <is>
          <t>chanhua</t>
        </is>
      </c>
      <c r="C229" s="761" t="n">
        <v>45709</v>
      </c>
      <c r="D229" s="755" t="inlineStr">
        <is>
          <t>新加坡比特</t>
        </is>
      </c>
      <c r="E229" s="756" t="inlineStr">
        <is>
          <t>WX-HN</t>
        </is>
      </c>
      <c r="H229" s="756" t="inlineStr">
        <is>
          <t>BM1370PA</t>
        </is>
      </c>
      <c r="I229" s="755">
        <f>VLOOKUP(H229,[1]编码对账表!C:D,2,0)</f>
        <v/>
      </c>
      <c r="J229" s="330" t="n">
        <v>332908</v>
      </c>
      <c r="K229" s="331" t="inlineStr">
        <is>
          <t>202502280011</t>
        </is>
      </c>
      <c r="L229" s="332" t="inlineStr">
        <is>
          <t>1403250228100738</t>
        </is>
      </c>
      <c r="M229" s="757" t="inlineStr">
        <is>
          <t>泰国ONETEC</t>
        </is>
      </c>
      <c r="N229" s="756" t="inlineStr">
        <is>
          <t>CHANHUA PTE. LTD.</t>
        </is>
      </c>
      <c r="O229" s="757" t="n">
        <v>8.327199999999999</v>
      </c>
      <c r="P229" s="346">
        <f>VLOOKUP(L229,[3]BHSC_销售订单明细报表_060825!$E$1:$E$65536,1,FALSE)</f>
        <v/>
      </c>
      <c r="Q229" s="758" t="n"/>
      <c r="R229" s="758" t="n"/>
      <c r="S229" s="758" t="n"/>
      <c r="T229" s="758" t="n"/>
      <c r="U229" s="758" t="n"/>
      <c r="V229" s="758" t="n"/>
      <c r="W229" s="758" t="n"/>
    </row>
    <row r="230" s="184">
      <c r="A230" s="106" t="n">
        <v>229</v>
      </c>
      <c r="B230" s="754" t="inlineStr">
        <is>
          <t>chanhua</t>
        </is>
      </c>
      <c r="C230" s="761" t="n">
        <v>45715</v>
      </c>
      <c r="D230" s="755" t="inlineStr">
        <is>
          <t>新加坡比特</t>
        </is>
      </c>
      <c r="E230" s="756" t="inlineStr">
        <is>
          <t>ASE-KH</t>
        </is>
      </c>
      <c r="H230" s="756" t="inlineStr">
        <is>
          <t>BM1370BC</t>
        </is>
      </c>
      <c r="I230" s="755">
        <f>VLOOKUP(H230,[1]编码对账表!C:D,2,0)</f>
        <v/>
      </c>
      <c r="J230" s="330" t="n">
        <v>88709</v>
      </c>
      <c r="K230" s="331" t="inlineStr">
        <is>
          <t>202502280010</t>
        </is>
      </c>
      <c r="L230" s="332" t="inlineStr">
        <is>
          <t>1403250228100036</t>
        </is>
      </c>
      <c r="M230" s="757" t="inlineStr">
        <is>
          <t>PIE</t>
        </is>
      </c>
      <c r="N230" s="756" t="inlineStr">
        <is>
          <t>CHANHUA PTE. LTD.</t>
        </is>
      </c>
      <c r="O230" s="757" t="n">
        <v>8.327199999999999</v>
      </c>
      <c r="P230" s="346">
        <f>VLOOKUP(L230,[3]BHSC_销售订单明细报表_060825!$E$1:$E$65536,1,FALSE)</f>
        <v/>
      </c>
      <c r="Q230" s="758" t="n"/>
      <c r="R230" s="758" t="n"/>
      <c r="S230" s="758" t="n"/>
      <c r="T230" s="758" t="n"/>
      <c r="U230" s="758" t="n"/>
      <c r="V230" s="758" t="n"/>
      <c r="W230" s="758" t="n"/>
    </row>
    <row r="231" s="184">
      <c r="A231" s="106" t="n">
        <v>230</v>
      </c>
      <c r="B231" s="754" t="inlineStr">
        <is>
          <t>chanhua</t>
        </is>
      </c>
      <c r="C231" s="761" t="n">
        <v>45709</v>
      </c>
      <c r="D231" s="755" t="inlineStr">
        <is>
          <t>新加坡比特</t>
        </is>
      </c>
      <c r="E231" s="756" t="inlineStr">
        <is>
          <t>NJ-VT</t>
        </is>
      </c>
      <c r="H231" s="756" t="inlineStr">
        <is>
          <t>BM1370BC</t>
        </is>
      </c>
      <c r="I231" s="755">
        <f>VLOOKUP(H231,[1]编码对账表!C:D,2,0)</f>
        <v/>
      </c>
      <c r="J231" s="330" t="n">
        <v>299304</v>
      </c>
      <c r="K231" s="331" t="inlineStr">
        <is>
          <t>202502280010</t>
        </is>
      </c>
      <c r="L231" s="332" t="inlineStr">
        <is>
          <t>1403250228100036</t>
        </is>
      </c>
      <c r="M231" s="757" t="inlineStr">
        <is>
          <t>PIE</t>
        </is>
      </c>
      <c r="N231" s="756" t="inlineStr">
        <is>
          <t>CHANHUA PTE. LTD.</t>
        </is>
      </c>
      <c r="O231" s="757" t="n">
        <v>8.327199999999999</v>
      </c>
      <c r="P231" s="346">
        <f>VLOOKUP(L231,[3]BHSC_销售订单明细报表_060825!$E$1:$E$65536,1,FALSE)</f>
        <v/>
      </c>
      <c r="Q231" s="758" t="n"/>
      <c r="R231" s="758" t="n"/>
      <c r="S231" s="758" t="n"/>
      <c r="T231" s="758" t="n"/>
      <c r="U231" s="758" t="n"/>
      <c r="V231" s="758" t="n"/>
      <c r="W231" s="758" t="n"/>
    </row>
    <row r="232" s="184">
      <c r="A232" s="106" t="n">
        <v>231</v>
      </c>
      <c r="B232" s="754" t="inlineStr">
        <is>
          <t>chanhua</t>
        </is>
      </c>
      <c r="C232" s="761" t="n">
        <v>45715</v>
      </c>
      <c r="D232" s="755" t="inlineStr">
        <is>
          <t>新加坡比特</t>
        </is>
      </c>
      <c r="E232" s="756" t="inlineStr">
        <is>
          <t>ASE-KH</t>
        </is>
      </c>
      <c r="H232" s="756" t="inlineStr">
        <is>
          <t>BM1370PA</t>
        </is>
      </c>
      <c r="I232" s="755">
        <f>VLOOKUP(H232,[1]编码对账表!C:D,2,0)</f>
        <v/>
      </c>
      <c r="J232" s="330" t="n">
        <v>372160</v>
      </c>
      <c r="K232" s="331" t="inlineStr">
        <is>
          <t>202502280010</t>
        </is>
      </c>
      <c r="L232" s="332" t="inlineStr">
        <is>
          <t>1403250228100036</t>
        </is>
      </c>
      <c r="M232" s="757" t="inlineStr">
        <is>
          <t>PIE</t>
        </is>
      </c>
      <c r="N232" s="756" t="inlineStr">
        <is>
          <t>CHANHUA PTE. LTD.</t>
        </is>
      </c>
      <c r="O232" s="757" t="n">
        <v>8.327199999999999</v>
      </c>
      <c r="P232" s="346">
        <f>VLOOKUP(L232,[3]BHSC_销售订单明细报表_060825!$E$1:$E$65536,1,FALSE)</f>
        <v/>
      </c>
      <c r="Q232" s="758" t="n"/>
      <c r="R232" s="758" t="n"/>
      <c r="S232" s="758" t="n"/>
      <c r="T232" s="758" t="n"/>
      <c r="U232" s="758" t="n"/>
      <c r="V232" s="758" t="n"/>
      <c r="W232" s="758" t="n"/>
    </row>
    <row r="233" s="184">
      <c r="A233" s="106" t="n">
        <v>232</v>
      </c>
      <c r="B233" s="754" t="inlineStr">
        <is>
          <t>chanhua</t>
        </is>
      </c>
      <c r="C233" s="761" t="n">
        <v>45709</v>
      </c>
      <c r="D233" s="755" t="inlineStr">
        <is>
          <t>新加坡比特</t>
        </is>
      </c>
      <c r="E233" s="756" t="inlineStr">
        <is>
          <t>NJ-VT</t>
        </is>
      </c>
      <c r="H233" s="756" t="inlineStr">
        <is>
          <t>BM1370PA</t>
        </is>
      </c>
      <c r="I233" s="755">
        <f>VLOOKUP(H233,[1]编码对账表!C:D,2,0)</f>
        <v/>
      </c>
      <c r="J233" s="330" t="n">
        <v>702425</v>
      </c>
      <c r="K233" s="331" t="inlineStr">
        <is>
          <t>202502280010</t>
        </is>
      </c>
      <c r="L233" s="332" t="inlineStr">
        <is>
          <t>1403250228100036</t>
        </is>
      </c>
      <c r="M233" s="757" t="inlineStr">
        <is>
          <t>PIE</t>
        </is>
      </c>
      <c r="N233" s="756" t="inlineStr">
        <is>
          <t>CHANHUA PTE. LTD.</t>
        </is>
      </c>
      <c r="O233" s="757" t="n">
        <v>8.327199999999999</v>
      </c>
      <c r="P233" s="346">
        <f>VLOOKUP(L233,[3]BHSC_销售订单明细报表_060825!$E$1:$E$65536,1,FALSE)</f>
        <v/>
      </c>
      <c r="Q233" s="758" t="n"/>
      <c r="R233" s="758" t="n"/>
      <c r="S233" s="758" t="n"/>
      <c r="T233" s="758" t="n"/>
      <c r="U233" s="758" t="n"/>
      <c r="V233" s="758" t="n"/>
      <c r="W233" s="758" t="n"/>
    </row>
    <row r="234" s="184">
      <c r="A234" s="106" t="n">
        <v>233</v>
      </c>
      <c r="B234" s="754" t="inlineStr">
        <is>
          <t>chanhua</t>
        </is>
      </c>
      <c r="C234" s="761" t="n">
        <v>45716</v>
      </c>
      <c r="D234" s="755" t="inlineStr">
        <is>
          <t>新加坡比特</t>
        </is>
      </c>
      <c r="E234" s="756" t="inlineStr">
        <is>
          <t>JSCC</t>
        </is>
      </c>
      <c r="H234" s="756" t="inlineStr">
        <is>
          <t>BM1370BC</t>
        </is>
      </c>
      <c r="I234" s="755">
        <f>VLOOKUP(H234,[1]编码对账表!C:D,2,0)</f>
        <v/>
      </c>
      <c r="J234" s="330" t="n">
        <v>209129</v>
      </c>
      <c r="K234" s="331" t="inlineStr">
        <is>
          <t>202503070014</t>
        </is>
      </c>
      <c r="L234" s="332" t="inlineStr">
        <is>
          <t>1403250307111412</t>
        </is>
      </c>
      <c r="M234" s="757" t="inlineStr">
        <is>
          <t>印尼奥海</t>
        </is>
      </c>
      <c r="N234" s="756" t="inlineStr">
        <is>
          <t>CHANHUA PTE. LTD.</t>
        </is>
      </c>
      <c r="O234" s="757" t="n">
        <v>8.327199999999999</v>
      </c>
      <c r="P234" s="346">
        <f>VLOOKUP(L234,[3]BHSC_销售订单明细报表_060825!$E$1:$E$65536,1,FALSE)</f>
        <v/>
      </c>
      <c r="Q234" s="758" t="n"/>
      <c r="R234" s="758" t="n"/>
      <c r="S234" s="758" t="n"/>
      <c r="T234" s="758" t="n"/>
      <c r="U234" s="758" t="n"/>
      <c r="V234" s="758" t="n"/>
      <c r="W234" s="758" t="n"/>
    </row>
    <row r="235" s="184">
      <c r="A235" s="106" t="n">
        <v>234</v>
      </c>
      <c r="B235" s="754" t="inlineStr">
        <is>
          <t>chanhua</t>
        </is>
      </c>
      <c r="C235" s="761" t="n">
        <v>45716</v>
      </c>
      <c r="D235" s="755" t="inlineStr">
        <is>
          <t>新加坡比特</t>
        </is>
      </c>
      <c r="E235" s="756" t="inlineStr">
        <is>
          <t>JSCC</t>
        </is>
      </c>
      <c r="H235" s="756" t="inlineStr">
        <is>
          <t>BM1370PA</t>
        </is>
      </c>
      <c r="I235" s="755">
        <f>VLOOKUP(H235,[1]编码对账表!C:D,2,0)</f>
        <v/>
      </c>
      <c r="J235" s="330" t="n">
        <v>1745583</v>
      </c>
      <c r="K235" s="331" t="inlineStr">
        <is>
          <t>202503070014</t>
        </is>
      </c>
      <c r="L235" s="332" t="inlineStr">
        <is>
          <t>1403250307111412</t>
        </is>
      </c>
      <c r="M235" s="757" t="inlineStr">
        <is>
          <t>印尼奥海</t>
        </is>
      </c>
      <c r="N235" s="756" t="inlineStr">
        <is>
          <t>CHANHUA PTE. LTD.</t>
        </is>
      </c>
      <c r="O235" s="757" t="n">
        <v>8.327199999999999</v>
      </c>
      <c r="P235" s="346">
        <f>VLOOKUP(L235,[3]BHSC_销售订单明细报表_060825!$E$1:$E$65536,1,FALSE)</f>
        <v/>
      </c>
      <c r="Q235" s="758" t="n"/>
      <c r="R235" s="758" t="n"/>
      <c r="S235" s="758" t="n"/>
      <c r="T235" s="758" t="n"/>
      <c r="U235" s="758" t="n"/>
      <c r="V235" s="758" t="n"/>
      <c r="W235" s="758" t="n"/>
    </row>
    <row r="236" s="184">
      <c r="A236" s="106" t="n">
        <v>235</v>
      </c>
      <c r="B236" s="754" t="inlineStr">
        <is>
          <t>chanhua</t>
        </is>
      </c>
      <c r="C236" s="761" t="n">
        <v>45717</v>
      </c>
      <c r="D236" s="755" t="inlineStr">
        <is>
          <t>新加坡比特</t>
        </is>
      </c>
      <c r="E236" s="756" t="inlineStr">
        <is>
          <t>SPILSZ</t>
        </is>
      </c>
      <c r="H236" s="756" t="inlineStr">
        <is>
          <t>BM1370PA</t>
        </is>
      </c>
      <c r="I236" s="755">
        <f>VLOOKUP(H236,[1]编码对账表!C:D,2,0)</f>
        <v/>
      </c>
      <c r="J236" s="330" t="n">
        <v>1094400</v>
      </c>
      <c r="K236" s="331" t="inlineStr">
        <is>
          <t>202503070014</t>
        </is>
      </c>
      <c r="L236" s="332" t="inlineStr">
        <is>
          <t>1403250307111412</t>
        </is>
      </c>
      <c r="M236" s="757" t="inlineStr">
        <is>
          <t>印尼奥海</t>
        </is>
      </c>
      <c r="N236" s="756" t="inlineStr">
        <is>
          <t>CHANHUA PTE. LTD.</t>
        </is>
      </c>
      <c r="O236" s="757" t="n">
        <v>8.327199999999999</v>
      </c>
      <c r="P236" s="346">
        <f>VLOOKUP(L236,[3]BHSC_销售订单明细报表_060825!$E$1:$E$65536,1,FALSE)</f>
        <v/>
      </c>
      <c r="Q236" s="758" t="n"/>
      <c r="R236" s="758" t="n"/>
      <c r="S236" s="758" t="n"/>
      <c r="T236" s="758" t="n"/>
      <c r="U236" s="758" t="n"/>
      <c r="V236" s="758" t="n"/>
      <c r="W236" s="758" t="n"/>
    </row>
    <row r="237" s="184">
      <c r="A237" s="106" t="n">
        <v>236</v>
      </c>
      <c r="B237" s="754" t="inlineStr">
        <is>
          <t>chanhua</t>
        </is>
      </c>
      <c r="C237" s="761" t="n">
        <v>45716</v>
      </c>
      <c r="D237" s="755" t="inlineStr">
        <is>
          <t>新加坡比特</t>
        </is>
      </c>
      <c r="E237" s="756" t="inlineStr">
        <is>
          <t>XJ</t>
        </is>
      </c>
      <c r="H237" s="756" t="inlineStr">
        <is>
          <t>BM1491AA</t>
        </is>
      </c>
      <c r="I237" s="755">
        <f>VLOOKUP(H237,[1]编码对账表!C:D,2,0)</f>
        <v/>
      </c>
      <c r="J237" s="330" t="n">
        <v>695243</v>
      </c>
      <c r="K237" s="331" t="inlineStr">
        <is>
          <t>202503070014</t>
        </is>
      </c>
      <c r="L237" s="332" t="inlineStr">
        <is>
          <t>1403250307111412</t>
        </is>
      </c>
      <c r="M237" s="757" t="inlineStr">
        <is>
          <t>印尼奥海</t>
        </is>
      </c>
      <c r="N237" s="756" t="inlineStr">
        <is>
          <t>CHANHUA PTE. LTD.</t>
        </is>
      </c>
      <c r="O237" s="764" t="n">
        <v>11.1592</v>
      </c>
      <c r="P237" s="346">
        <f>VLOOKUP(L237,[3]BHSC_销售订单明细报表_060825!$E$1:$E$65536,1,FALSE)</f>
        <v/>
      </c>
      <c r="Q237" s="758" t="n"/>
      <c r="R237" s="758" t="n"/>
      <c r="S237" s="758" t="n"/>
      <c r="T237" s="758" t="n"/>
      <c r="U237" s="758" t="n"/>
      <c r="V237" s="758" t="n"/>
      <c r="W237" s="758" t="n"/>
    </row>
    <row r="238" s="184">
      <c r="A238" s="106" t="n">
        <v>237</v>
      </c>
      <c r="B238" s="754" t="inlineStr">
        <is>
          <t>chanhua</t>
        </is>
      </c>
      <c r="C238" s="761" t="n">
        <v>45721</v>
      </c>
      <c r="D238" s="755" t="inlineStr">
        <is>
          <t>新加坡比特</t>
        </is>
      </c>
      <c r="E238" s="756" t="inlineStr">
        <is>
          <t>ASECL</t>
        </is>
      </c>
      <c r="H238" s="756" t="inlineStr">
        <is>
          <t>BM1370PA</t>
        </is>
      </c>
      <c r="I238" s="755">
        <f>VLOOKUP(H238,[1]编码对账表!C:D,2,0)</f>
        <v/>
      </c>
      <c r="J238" s="330" t="n">
        <v>31350</v>
      </c>
      <c r="K238" s="331" t="inlineStr">
        <is>
          <t>202503070014</t>
        </is>
      </c>
      <c r="L238" s="332" t="inlineStr">
        <is>
          <t>1403250307111412</t>
        </is>
      </c>
      <c r="M238" s="757" t="inlineStr">
        <is>
          <t>印尼奥海</t>
        </is>
      </c>
      <c r="N238" s="756" t="inlineStr">
        <is>
          <t>CHANHUA PTE. LTD.</t>
        </is>
      </c>
      <c r="O238" s="757" t="n">
        <v>8.327199999999999</v>
      </c>
      <c r="P238" s="346">
        <f>VLOOKUP(L238,[3]BHSC_销售订单明细报表_060825!$E$1:$E$65536,1,FALSE)</f>
        <v/>
      </c>
      <c r="Q238" s="758" t="n"/>
      <c r="R238" s="758" t="n"/>
      <c r="S238" s="758" t="n"/>
      <c r="T238" s="758" t="n"/>
      <c r="U238" s="758" t="n"/>
      <c r="V238" s="758" t="n"/>
      <c r="W238" s="758" t="n"/>
    </row>
    <row r="239" s="184">
      <c r="A239" s="106" t="n">
        <v>238</v>
      </c>
      <c r="B239" s="754" t="inlineStr">
        <is>
          <t>chanhua</t>
        </is>
      </c>
      <c r="C239" s="761" t="n">
        <v>45716</v>
      </c>
      <c r="D239" s="755" t="inlineStr">
        <is>
          <t>新加坡比特</t>
        </is>
      </c>
      <c r="E239" s="756" t="inlineStr">
        <is>
          <t>JSCC</t>
        </is>
      </c>
      <c r="H239" s="756" t="inlineStr">
        <is>
          <t>BM1370BC</t>
        </is>
      </c>
      <c r="I239" s="755">
        <f>VLOOKUP(H239,[1]编码对账表!C:D,2,0)</f>
        <v/>
      </c>
      <c r="J239" s="330" t="n">
        <v>138130</v>
      </c>
      <c r="K239" s="331" t="inlineStr">
        <is>
          <t>202503070013</t>
        </is>
      </c>
      <c r="L239" s="332" t="inlineStr">
        <is>
          <t>1403250307111402</t>
        </is>
      </c>
      <c r="M239" s="757" t="inlineStr">
        <is>
          <t>泰国群光</t>
        </is>
      </c>
      <c r="N239" s="756" t="inlineStr">
        <is>
          <t>CHANHUA PTE. LTD.</t>
        </is>
      </c>
      <c r="O239" s="757" t="n">
        <v>8.327199999999999</v>
      </c>
      <c r="P239" s="346">
        <f>VLOOKUP(L239,[3]BHSC_销售订单明细报表_060825!$E$1:$E$65536,1,FALSE)</f>
        <v/>
      </c>
      <c r="Q239" s="758" t="n"/>
      <c r="R239" s="758" t="n"/>
      <c r="S239" s="758" t="n"/>
      <c r="T239" s="758" t="n"/>
      <c r="U239" s="758" t="n"/>
      <c r="V239" s="758" t="n"/>
      <c r="W239" s="758" t="n"/>
    </row>
    <row r="240" s="184">
      <c r="A240" s="106" t="n">
        <v>239</v>
      </c>
      <c r="B240" s="754" t="inlineStr">
        <is>
          <t>chanhua</t>
        </is>
      </c>
      <c r="C240" s="761" t="n">
        <v>45716</v>
      </c>
      <c r="D240" s="755" t="inlineStr">
        <is>
          <t>新加坡比特</t>
        </is>
      </c>
      <c r="E240" s="756" t="inlineStr">
        <is>
          <t>JSCC</t>
        </is>
      </c>
      <c r="H240" s="756" t="inlineStr">
        <is>
          <t>BM1370PA</t>
        </is>
      </c>
      <c r="I240" s="755">
        <f>VLOOKUP(H240,[1]编码对账表!C:D,2,0)</f>
        <v/>
      </c>
      <c r="J240" s="330" t="n">
        <v>1001507</v>
      </c>
      <c r="K240" s="331" t="inlineStr">
        <is>
          <t>202503070013</t>
        </is>
      </c>
      <c r="L240" s="332" t="inlineStr">
        <is>
          <t>1403250307111402</t>
        </is>
      </c>
      <c r="M240" s="757" t="inlineStr">
        <is>
          <t>泰国群光</t>
        </is>
      </c>
      <c r="N240" s="756" t="inlineStr">
        <is>
          <t>CHANHUA PTE. LTD.</t>
        </is>
      </c>
      <c r="O240" s="757" t="n">
        <v>8.327199999999999</v>
      </c>
      <c r="P240" s="346">
        <f>VLOOKUP(L240,[3]BHSC_销售订单明细报表_060825!$E$1:$E$65536,1,FALSE)</f>
        <v/>
      </c>
      <c r="Q240" s="758" t="n"/>
      <c r="R240" s="758" t="n"/>
      <c r="S240" s="758" t="n"/>
      <c r="T240" s="758" t="n"/>
      <c r="U240" s="758" t="n"/>
      <c r="V240" s="758" t="n"/>
      <c r="W240" s="758" t="n"/>
    </row>
    <row r="241" s="184">
      <c r="A241" s="106" t="n">
        <v>240</v>
      </c>
      <c r="B241" s="754" t="inlineStr">
        <is>
          <t>chanhua</t>
        </is>
      </c>
      <c r="C241" s="761" t="n">
        <v>45717</v>
      </c>
      <c r="D241" s="755" t="inlineStr">
        <is>
          <t>新加坡比特</t>
        </is>
      </c>
      <c r="E241" s="756" t="inlineStr">
        <is>
          <t>SPILSZ</t>
        </is>
      </c>
      <c r="H241" s="756" t="inlineStr">
        <is>
          <t>BM1370PA</t>
        </is>
      </c>
      <c r="I241" s="755">
        <f>VLOOKUP(H241,[1]编码对账表!C:D,2,0)</f>
        <v/>
      </c>
      <c r="J241" s="330" t="n">
        <v>98800</v>
      </c>
      <c r="K241" s="331" t="inlineStr">
        <is>
          <t>202503070013</t>
        </is>
      </c>
      <c r="L241" s="332" t="inlineStr">
        <is>
          <t>1403250307111402</t>
        </is>
      </c>
      <c r="M241" s="757" t="inlineStr">
        <is>
          <t>泰国群光</t>
        </is>
      </c>
      <c r="N241" s="756" t="inlineStr">
        <is>
          <t>CHANHUA PTE. LTD.</t>
        </is>
      </c>
      <c r="O241" s="757" t="n">
        <v>8.327199999999999</v>
      </c>
      <c r="P241" s="346">
        <f>VLOOKUP(L241,[3]BHSC_销售订单明细报表_060825!$E$1:$E$65536,1,FALSE)</f>
        <v/>
      </c>
      <c r="Q241" s="758" t="n"/>
      <c r="R241" s="758" t="n"/>
      <c r="S241" s="758" t="n"/>
      <c r="T241" s="758" t="n"/>
      <c r="U241" s="758" t="n"/>
      <c r="V241" s="758" t="n"/>
      <c r="W241" s="758" t="n"/>
    </row>
    <row r="242" s="184">
      <c r="A242" s="106" t="n">
        <v>241</v>
      </c>
      <c r="B242" s="754" t="inlineStr">
        <is>
          <t>chanhua</t>
        </is>
      </c>
      <c r="C242" s="761" t="n">
        <v>45718</v>
      </c>
      <c r="D242" s="755" t="inlineStr">
        <is>
          <t>新加坡比特</t>
        </is>
      </c>
      <c r="E242" s="756" t="inlineStr">
        <is>
          <t>SPILSZ</t>
        </is>
      </c>
      <c r="H242" s="756" t="inlineStr">
        <is>
          <t>BM1370BC</t>
        </is>
      </c>
      <c r="I242" s="755">
        <f>VLOOKUP(H242,[1]编码对账表!C:D,2,0)</f>
        <v/>
      </c>
      <c r="J242" s="330" t="n">
        <v>23247</v>
      </c>
      <c r="K242" s="331" t="inlineStr">
        <is>
          <t>202503070012</t>
        </is>
      </c>
      <c r="L242" s="332" t="inlineStr">
        <is>
          <t>1403250307111356</t>
        </is>
      </c>
      <c r="M242" s="757" t="inlineStr">
        <is>
          <t>泰国ONETEC</t>
        </is>
      </c>
      <c r="N242" s="756" t="inlineStr">
        <is>
          <t>CHANHUA PTE. LTD.</t>
        </is>
      </c>
      <c r="O242" s="757" t="n">
        <v>8.327199999999999</v>
      </c>
      <c r="P242" s="346">
        <f>VLOOKUP(L242,[3]BHSC_销售订单明细报表_060825!$E$1:$E$65536,1,FALSE)</f>
        <v/>
      </c>
      <c r="Q242" s="758" t="n"/>
      <c r="R242" s="758" t="n"/>
      <c r="S242" s="758" t="n"/>
      <c r="T242" s="758" t="n"/>
      <c r="U242" s="758" t="n"/>
      <c r="V242" s="758" t="n"/>
      <c r="W242" s="758" t="n"/>
    </row>
    <row r="243" s="184">
      <c r="A243" s="106" t="n">
        <v>242</v>
      </c>
      <c r="B243" s="754" t="inlineStr">
        <is>
          <t>chanhua</t>
        </is>
      </c>
      <c r="C243" s="761" t="n">
        <v>45718</v>
      </c>
      <c r="D243" s="755" t="inlineStr">
        <is>
          <t>新加坡比特</t>
        </is>
      </c>
      <c r="E243" s="756" t="inlineStr">
        <is>
          <t>WX-HN</t>
        </is>
      </c>
      <c r="H243" s="756" t="inlineStr">
        <is>
          <t>BM1370BC</t>
        </is>
      </c>
      <c r="I243" s="755">
        <f>VLOOKUP(H243,[1]编码对账表!C:D,2,0)</f>
        <v/>
      </c>
      <c r="J243" s="330" t="n">
        <v>312237</v>
      </c>
      <c r="K243" s="331" t="inlineStr">
        <is>
          <t>202503070012</t>
        </is>
      </c>
      <c r="L243" s="332" t="inlineStr">
        <is>
          <t>1403250307111356</t>
        </is>
      </c>
      <c r="M243" s="757" t="inlineStr">
        <is>
          <t>泰国ONETEC</t>
        </is>
      </c>
      <c r="N243" s="756" t="inlineStr">
        <is>
          <t>CHANHUA PTE. LTD.</t>
        </is>
      </c>
      <c r="O243" s="757" t="n">
        <v>8.327199999999999</v>
      </c>
      <c r="P243" s="346">
        <f>VLOOKUP(L243,[3]BHSC_销售订单明细报表_060825!$E$1:$E$65536,1,FALSE)</f>
        <v/>
      </c>
      <c r="Q243" s="758" t="n"/>
      <c r="R243" s="758" t="n"/>
      <c r="S243" s="758" t="n"/>
      <c r="T243" s="758" t="n"/>
      <c r="U243" s="758" t="n"/>
      <c r="V243" s="758" t="n"/>
      <c r="W243" s="758" t="n"/>
    </row>
    <row r="244" s="184">
      <c r="A244" s="106" t="n">
        <v>243</v>
      </c>
      <c r="B244" s="754" t="inlineStr">
        <is>
          <t>chanhua</t>
        </is>
      </c>
      <c r="C244" s="761" t="n">
        <v>45716</v>
      </c>
      <c r="D244" s="755" t="inlineStr">
        <is>
          <t>新加坡比特</t>
        </is>
      </c>
      <c r="E244" s="756" t="inlineStr">
        <is>
          <t>JSCC</t>
        </is>
      </c>
      <c r="H244" s="756" t="inlineStr">
        <is>
          <t>BM1370PA</t>
        </is>
      </c>
      <c r="I244" s="755">
        <f>VLOOKUP(H244,[1]编码对账表!C:D,2,0)</f>
        <v/>
      </c>
      <c r="J244" s="330" t="n">
        <v>41089</v>
      </c>
      <c r="K244" s="350" t="inlineStr">
        <is>
          <t>202503070012</t>
        </is>
      </c>
      <c r="L244" s="332" t="inlineStr">
        <is>
          <t>1403250307111356</t>
        </is>
      </c>
      <c r="M244" s="757" t="inlineStr">
        <is>
          <t>泰国ONETEC</t>
        </is>
      </c>
      <c r="N244" s="756" t="inlineStr">
        <is>
          <t>CHANHUA PTE. LTD.</t>
        </is>
      </c>
      <c r="O244" s="757" t="n">
        <v>8.327199999999999</v>
      </c>
      <c r="P244" s="346">
        <f>VLOOKUP(L244,[3]BHSC_销售订单明细报表_060825!$E$1:$E$65536,1,FALSE)</f>
        <v/>
      </c>
      <c r="Q244" s="758" t="n"/>
      <c r="R244" s="758" t="n"/>
      <c r="S244" s="758" t="n"/>
      <c r="T244" s="758" t="n"/>
      <c r="U244" s="758" t="n"/>
      <c r="V244" s="758" t="n"/>
      <c r="W244" s="758" t="n"/>
    </row>
    <row r="245" s="184">
      <c r="A245" s="106" t="n">
        <v>244</v>
      </c>
      <c r="B245" s="754" t="inlineStr">
        <is>
          <t>chanhua</t>
        </is>
      </c>
      <c r="C245" s="761" t="n">
        <v>45716</v>
      </c>
      <c r="D245" s="755" t="inlineStr">
        <is>
          <t>新加坡比特</t>
        </is>
      </c>
      <c r="E245" s="756" t="inlineStr">
        <is>
          <t>NJ-VT</t>
        </is>
      </c>
      <c r="H245" s="756" t="inlineStr">
        <is>
          <t>BM1370PA</t>
        </is>
      </c>
      <c r="I245" s="755">
        <f>VLOOKUP(H245,[1]编码对账表!C:D,2,0)</f>
        <v/>
      </c>
      <c r="J245" s="330" t="n">
        <v>337942</v>
      </c>
      <c r="K245" s="350" t="inlineStr">
        <is>
          <t>202503070012</t>
        </is>
      </c>
      <c r="L245" s="332" t="inlineStr">
        <is>
          <t>1403250307111356</t>
        </is>
      </c>
      <c r="M245" s="757" t="inlineStr">
        <is>
          <t>泰国ONETEC</t>
        </is>
      </c>
      <c r="N245" s="756" t="inlineStr">
        <is>
          <t>CHANHUA PTE. LTD.</t>
        </is>
      </c>
      <c r="O245" s="757" t="n">
        <v>8.327199999999999</v>
      </c>
      <c r="P245" s="346">
        <f>VLOOKUP(L245,[3]BHSC_销售订单明细报表_060825!$E$1:$E$65536,1,FALSE)</f>
        <v/>
      </c>
      <c r="Q245" s="758" t="n"/>
      <c r="R245" s="758" t="n"/>
      <c r="S245" s="758" t="n"/>
      <c r="T245" s="758" t="n"/>
      <c r="U245" s="758" t="n"/>
      <c r="V245" s="758" t="n"/>
      <c r="W245" s="758" t="n"/>
    </row>
    <row r="246" s="184">
      <c r="A246" s="106" t="n">
        <v>245</v>
      </c>
      <c r="B246" s="754" t="inlineStr">
        <is>
          <t>chanhua</t>
        </is>
      </c>
      <c r="C246" s="761" t="n">
        <v>45719</v>
      </c>
      <c r="D246" s="755" t="inlineStr">
        <is>
          <t>新加坡比特</t>
        </is>
      </c>
      <c r="E246" s="756" t="inlineStr">
        <is>
          <t>SPILSZ</t>
        </is>
      </c>
      <c r="H246" s="756" t="inlineStr">
        <is>
          <t>BM1370PA</t>
        </is>
      </c>
      <c r="I246" s="755">
        <f>VLOOKUP(H246,[1]编码对账表!C:D,2,0)</f>
        <v/>
      </c>
      <c r="J246" s="330" t="n">
        <v>1770280</v>
      </c>
      <c r="K246" s="350" t="inlineStr">
        <is>
          <t>202503070012</t>
        </is>
      </c>
      <c r="L246" s="332" t="inlineStr">
        <is>
          <t>1403250307111356</t>
        </is>
      </c>
      <c r="M246" s="757" t="inlineStr">
        <is>
          <t>泰国ONETEC</t>
        </is>
      </c>
      <c r="N246" s="756" t="inlineStr">
        <is>
          <t>CHANHUA PTE. LTD.</t>
        </is>
      </c>
      <c r="O246" s="757" t="n">
        <v>8.327199999999999</v>
      </c>
      <c r="P246" s="346">
        <f>VLOOKUP(L246,[3]BHSC_销售订单明细报表_060825!$E$1:$E$65536,1,FALSE)</f>
        <v/>
      </c>
      <c r="Q246" s="758" t="n"/>
      <c r="R246" s="758" t="n"/>
      <c r="S246" s="758" t="n"/>
      <c r="T246" s="758" t="n"/>
      <c r="U246" s="758" t="n"/>
      <c r="V246" s="758" t="n"/>
      <c r="W246" s="758" t="n"/>
    </row>
    <row r="247" s="184">
      <c r="A247" s="106" t="n">
        <v>246</v>
      </c>
      <c r="B247" s="754" t="inlineStr">
        <is>
          <t>chanhua</t>
        </is>
      </c>
      <c r="C247" s="761" t="n">
        <v>45716</v>
      </c>
      <c r="D247" s="755" t="inlineStr">
        <is>
          <t>新加坡比特</t>
        </is>
      </c>
      <c r="E247" s="756" t="inlineStr">
        <is>
          <t>WX-HN</t>
        </is>
      </c>
      <c r="H247" s="756" t="inlineStr">
        <is>
          <t>BM1370PA</t>
        </is>
      </c>
      <c r="I247" s="755">
        <f>VLOOKUP(H247,[1]编码对账表!C:D,2,0)</f>
        <v/>
      </c>
      <c r="J247" s="330" t="n">
        <v>125467</v>
      </c>
      <c r="K247" s="350" t="inlineStr">
        <is>
          <t>202503070012</t>
        </is>
      </c>
      <c r="L247" s="332" t="inlineStr">
        <is>
          <t>1403250307111356</t>
        </is>
      </c>
      <c r="M247" s="757" t="inlineStr">
        <is>
          <t>泰国ONETEC</t>
        </is>
      </c>
      <c r="N247" s="756" t="inlineStr">
        <is>
          <t>CHANHUA PTE. LTD.</t>
        </is>
      </c>
      <c r="O247" s="757" t="n">
        <v>8.327199999999999</v>
      </c>
      <c r="P247" s="346">
        <f>VLOOKUP(L247,[3]BHSC_销售订单明细报表_060825!$E$1:$E$65536,1,FALSE)</f>
        <v/>
      </c>
      <c r="Q247" s="758" t="n"/>
      <c r="R247" s="758" t="n"/>
      <c r="S247" s="758" t="n"/>
      <c r="T247" s="758" t="n"/>
      <c r="U247" s="758" t="n"/>
      <c r="V247" s="758" t="n"/>
      <c r="W247" s="758" t="n"/>
    </row>
    <row r="248" s="184">
      <c r="A248" s="106" t="n">
        <v>247</v>
      </c>
      <c r="B248" s="754" t="inlineStr">
        <is>
          <t>chanhua</t>
        </is>
      </c>
      <c r="C248" s="761" t="n">
        <v>45721</v>
      </c>
      <c r="D248" s="755" t="inlineStr">
        <is>
          <t>新加坡比特</t>
        </is>
      </c>
      <c r="E248" s="756" t="inlineStr">
        <is>
          <t>ASECL</t>
        </is>
      </c>
      <c r="H248" s="756" t="inlineStr">
        <is>
          <t>BM1370PA</t>
        </is>
      </c>
      <c r="I248" s="755">
        <f>VLOOKUP(H248,[1]编码对账表!C:D,2,0)</f>
        <v/>
      </c>
      <c r="J248" s="330" t="n">
        <v>855000</v>
      </c>
      <c r="K248" s="350" t="inlineStr">
        <is>
          <t>202503070012</t>
        </is>
      </c>
      <c r="L248" s="332" t="inlineStr">
        <is>
          <t>1403250307111356</t>
        </is>
      </c>
      <c r="M248" s="757" t="inlineStr">
        <is>
          <t>泰国ONETEC</t>
        </is>
      </c>
      <c r="N248" s="756" t="inlineStr">
        <is>
          <t>CHANHUA PTE. LTD.</t>
        </is>
      </c>
      <c r="O248" s="757" t="n">
        <v>8.327199999999999</v>
      </c>
      <c r="P248" s="346">
        <f>VLOOKUP(L248,[3]BHSC_销售订单明细报表_060825!$E$1:$E$65536,1,FALSE)</f>
        <v/>
      </c>
      <c r="Q248" s="758" t="n"/>
      <c r="R248" s="758" t="n"/>
      <c r="S248" s="758" t="n"/>
      <c r="T248" s="758" t="n"/>
      <c r="U248" s="758" t="n"/>
      <c r="V248" s="758" t="n"/>
      <c r="W248" s="758" t="n"/>
    </row>
    <row r="249" s="184">
      <c r="A249" s="106" t="n">
        <v>248</v>
      </c>
      <c r="B249" s="754" t="inlineStr">
        <is>
          <t>chanhua</t>
        </is>
      </c>
      <c r="C249" s="761" t="n">
        <v>45721</v>
      </c>
      <c r="D249" s="755" t="inlineStr">
        <is>
          <t>新加坡比特</t>
        </is>
      </c>
      <c r="E249" s="756" t="inlineStr">
        <is>
          <t>ASECL</t>
        </is>
      </c>
      <c r="H249" s="756" t="inlineStr">
        <is>
          <t>BM1370BC</t>
        </is>
      </c>
      <c r="I249" s="755">
        <f>VLOOKUP(H249,[1]编码对账表!C:D,2,0)</f>
        <v/>
      </c>
      <c r="J249" s="330" t="n">
        <v>107055</v>
      </c>
      <c r="K249" s="331" t="inlineStr">
        <is>
          <t>202503070011</t>
        </is>
      </c>
      <c r="L249" s="332" t="inlineStr">
        <is>
          <t>1403250307111346</t>
        </is>
      </c>
      <c r="M249" s="757" t="inlineStr">
        <is>
          <t>PIE</t>
        </is>
      </c>
      <c r="N249" s="756" t="inlineStr">
        <is>
          <t>CHANHUA PTE. LTD.</t>
        </is>
      </c>
      <c r="O249" s="757" t="n">
        <v>8.327199999999999</v>
      </c>
      <c r="P249" s="346">
        <f>VLOOKUP(L249,[3]BHSC_销售订单明细报表_060825!$E$1:$E$65536,1,FALSE)</f>
        <v/>
      </c>
      <c r="Q249" s="758" t="n"/>
      <c r="R249" s="758" t="n"/>
      <c r="S249" s="758" t="n"/>
      <c r="T249" s="758" t="n"/>
      <c r="U249" s="758" t="n"/>
      <c r="V249" s="758" t="n"/>
      <c r="W249" s="758" t="n"/>
    </row>
    <row r="250" s="184">
      <c r="A250" s="106" t="n">
        <v>249</v>
      </c>
      <c r="B250" s="754" t="inlineStr">
        <is>
          <t>chanhua</t>
        </is>
      </c>
      <c r="C250" s="761" t="n">
        <v>45717</v>
      </c>
      <c r="D250" s="755" t="inlineStr">
        <is>
          <t>新加坡比特</t>
        </is>
      </c>
      <c r="E250" s="756" t="inlineStr">
        <is>
          <t>SPILSZ</t>
        </is>
      </c>
      <c r="H250" s="756" t="inlineStr">
        <is>
          <t>BM1370BC</t>
        </is>
      </c>
      <c r="I250" s="755">
        <f>VLOOKUP(H250,[1]编码对账表!C:D,2,0)</f>
        <v/>
      </c>
      <c r="J250" s="330" t="n">
        <v>127791</v>
      </c>
      <c r="K250" s="331" t="inlineStr">
        <is>
          <t>202503070011</t>
        </is>
      </c>
      <c r="L250" s="332" t="inlineStr">
        <is>
          <t>1403250307111346</t>
        </is>
      </c>
      <c r="M250" s="757" t="inlineStr">
        <is>
          <t>PIE</t>
        </is>
      </c>
      <c r="N250" s="756" t="inlineStr">
        <is>
          <t>CHANHUA PTE. LTD.</t>
        </is>
      </c>
      <c r="O250" s="757" t="n">
        <v>8.327199999999999</v>
      </c>
      <c r="P250" s="346">
        <f>VLOOKUP(L250,[3]BHSC_销售订单明细报表_060825!$E$1:$E$65536,1,FALSE)</f>
        <v/>
      </c>
      <c r="Q250" s="758" t="n"/>
      <c r="R250" s="758" t="n"/>
      <c r="S250" s="758" t="n"/>
      <c r="T250" s="758" t="n"/>
      <c r="U250" s="758" t="n"/>
      <c r="V250" s="758" t="n"/>
      <c r="W250" s="758" t="n"/>
    </row>
    <row r="251" s="184">
      <c r="A251" s="106" t="n">
        <v>250</v>
      </c>
      <c r="B251" s="754" t="inlineStr">
        <is>
          <t>chanhua</t>
        </is>
      </c>
      <c r="C251" s="761" t="n">
        <v>45721</v>
      </c>
      <c r="D251" s="755" t="inlineStr">
        <is>
          <t>新加坡比特</t>
        </is>
      </c>
      <c r="E251" s="756" t="inlineStr">
        <is>
          <t>ASECL</t>
        </is>
      </c>
      <c r="H251" s="756" t="inlineStr">
        <is>
          <t>BM1370PA</t>
        </is>
      </c>
      <c r="I251" s="755">
        <f>VLOOKUP(H251,[1]编码对账表!C:D,2,0)</f>
        <v/>
      </c>
      <c r="J251" s="330" t="n">
        <v>645761</v>
      </c>
      <c r="K251" s="331" t="inlineStr">
        <is>
          <t>202503070011</t>
        </is>
      </c>
      <c r="L251" s="332" t="inlineStr">
        <is>
          <t>1403250307111346</t>
        </is>
      </c>
      <c r="M251" s="757" t="inlineStr">
        <is>
          <t>PIE</t>
        </is>
      </c>
      <c r="N251" s="756" t="inlineStr">
        <is>
          <t>CHANHUA PTE. LTD.</t>
        </is>
      </c>
      <c r="O251" s="757" t="n">
        <v>8.327199999999999</v>
      </c>
      <c r="P251" s="346">
        <f>VLOOKUP(L251,[3]BHSC_销售订单明细报表_060825!$E$1:$E$65536,1,FALSE)</f>
        <v/>
      </c>
      <c r="Q251" s="758" t="n"/>
      <c r="R251" s="758" t="n"/>
      <c r="S251" s="758" t="n"/>
      <c r="T251" s="758" t="n"/>
      <c r="U251" s="758" t="n"/>
      <c r="V251" s="758" t="n"/>
      <c r="W251" s="758" t="n"/>
    </row>
    <row r="252" s="184">
      <c r="A252" s="106" t="n">
        <v>251</v>
      </c>
      <c r="B252" s="754" t="inlineStr">
        <is>
          <t>chanhua</t>
        </is>
      </c>
      <c r="C252" s="761" t="n">
        <v>45716</v>
      </c>
      <c r="D252" s="755" t="inlineStr">
        <is>
          <t>新加坡比特</t>
        </is>
      </c>
      <c r="E252" s="756" t="inlineStr">
        <is>
          <t>JSCC</t>
        </is>
      </c>
      <c r="H252" s="756" t="inlineStr">
        <is>
          <t>BM1370PA</t>
        </is>
      </c>
      <c r="I252" s="755">
        <f>VLOOKUP(H252,[1]编码对账表!C:D,2,0)</f>
        <v/>
      </c>
      <c r="J252" s="330" t="n">
        <v>616062</v>
      </c>
      <c r="K252" s="331" t="inlineStr">
        <is>
          <t>202503070011</t>
        </is>
      </c>
      <c r="L252" s="332" t="inlineStr">
        <is>
          <t>1403250307111346</t>
        </is>
      </c>
      <c r="M252" s="757" t="inlineStr">
        <is>
          <t>PIE</t>
        </is>
      </c>
      <c r="N252" s="756" t="inlineStr">
        <is>
          <t>CHANHUA PTE. LTD.</t>
        </is>
      </c>
      <c r="O252" s="757" t="n">
        <v>8.327199999999999</v>
      </c>
      <c r="P252" s="346">
        <f>VLOOKUP(L252,[3]BHSC_销售订单明细报表_060825!$E$1:$E$65536,1,FALSE)</f>
        <v/>
      </c>
      <c r="Q252" s="758" t="n"/>
      <c r="R252" s="758" t="n"/>
      <c r="S252" s="758" t="n"/>
      <c r="T252" s="758" t="n"/>
      <c r="U252" s="758" t="n"/>
      <c r="V252" s="758" t="n"/>
      <c r="W252" s="758" t="n"/>
    </row>
    <row r="253" s="184">
      <c r="A253" s="106" t="n">
        <v>252</v>
      </c>
      <c r="B253" s="754" t="inlineStr">
        <is>
          <t>chanhua</t>
        </is>
      </c>
      <c r="C253" s="761" t="n">
        <v>45717</v>
      </c>
      <c r="D253" s="755" t="inlineStr">
        <is>
          <t>新加坡比特</t>
        </is>
      </c>
      <c r="E253" s="756" t="inlineStr">
        <is>
          <t>SPILSZ</t>
        </is>
      </c>
      <c r="H253" s="756" t="inlineStr">
        <is>
          <t>BM1370PA</t>
        </is>
      </c>
      <c r="I253" s="755">
        <f>VLOOKUP(H253,[1]编码对账表!C:D,2,0)</f>
        <v/>
      </c>
      <c r="J253" s="330" t="n">
        <v>387600</v>
      </c>
      <c r="K253" s="331" t="inlineStr">
        <is>
          <t>202503070011</t>
        </is>
      </c>
      <c r="L253" s="332" t="inlineStr">
        <is>
          <t>1403250307111346</t>
        </is>
      </c>
      <c r="M253" s="757" t="inlineStr">
        <is>
          <t>PIE</t>
        </is>
      </c>
      <c r="N253" s="756" t="inlineStr">
        <is>
          <t>CHANHUA PTE. LTD.</t>
        </is>
      </c>
      <c r="O253" s="757" t="n">
        <v>8.327199999999999</v>
      </c>
      <c r="P253" s="346">
        <f>VLOOKUP(L253,[3]BHSC_销售订单明细报表_060825!$E$1:$E$65536,1,FALSE)</f>
        <v/>
      </c>
      <c r="Q253" s="758" t="n"/>
      <c r="R253" s="758" t="n"/>
      <c r="S253" s="758" t="n"/>
      <c r="T253" s="758" t="n"/>
      <c r="U253" s="758" t="n"/>
      <c r="V253" s="758" t="n"/>
      <c r="W253" s="758" t="n"/>
    </row>
    <row r="254" s="184">
      <c r="A254" s="106" t="n">
        <v>253</v>
      </c>
      <c r="B254" s="754" t="inlineStr">
        <is>
          <t>chanhua</t>
        </is>
      </c>
      <c r="C254" s="761" t="n">
        <v>45721</v>
      </c>
      <c r="D254" s="755" t="inlineStr">
        <is>
          <t>新加坡比特</t>
        </is>
      </c>
      <c r="E254" s="756" t="inlineStr">
        <is>
          <t>ASECL</t>
        </is>
      </c>
      <c r="H254" s="756" t="inlineStr">
        <is>
          <t>BM1370PA</t>
        </is>
      </c>
      <c r="I254" s="755">
        <f>VLOOKUP(H254,[1]编码对账表!C:D,2,0)</f>
        <v/>
      </c>
      <c r="J254" s="330" t="n">
        <v>55878</v>
      </c>
      <c r="K254" s="331" t="inlineStr">
        <is>
          <t>202503070016</t>
        </is>
      </c>
      <c r="L254" s="332" t="inlineStr">
        <is>
          <t>1403250307155036</t>
        </is>
      </c>
      <c r="M254" s="757" t="inlineStr">
        <is>
          <t>Nationgate</t>
        </is>
      </c>
      <c r="N254" s="756" t="inlineStr">
        <is>
          <t>CHANHUA PTE. LTD.</t>
        </is>
      </c>
      <c r="O254" s="757" t="n">
        <v>8.327199999999999</v>
      </c>
      <c r="P254" s="346">
        <f>VLOOKUP(L254,[3]BHSC_销售订单明细报表_060825!$E$1:$E$65536,1,FALSE)</f>
        <v/>
      </c>
      <c r="Q254" s="758" t="n"/>
      <c r="R254" s="758" t="n"/>
      <c r="S254" s="758" t="n"/>
      <c r="T254" s="758" t="n"/>
      <c r="U254" s="758" t="n"/>
      <c r="V254" s="758" t="n"/>
      <c r="W254" s="758" t="n"/>
    </row>
    <row r="255" s="184">
      <c r="A255" s="106" t="n">
        <v>254</v>
      </c>
      <c r="B255" s="754" t="inlineStr">
        <is>
          <t>chanhua</t>
        </is>
      </c>
      <c r="C255" s="761" t="n">
        <v>45717</v>
      </c>
      <c r="D255" s="755" t="inlineStr">
        <is>
          <t>新加坡比特</t>
        </is>
      </c>
      <c r="E255" s="756" t="inlineStr">
        <is>
          <t>SPILSZ</t>
        </is>
      </c>
      <c r="H255" s="756" t="inlineStr">
        <is>
          <t>BM1370PA</t>
        </is>
      </c>
      <c r="I255" s="755">
        <f>VLOOKUP(H255,[1]编码对账表!C:D,2,0)</f>
        <v/>
      </c>
      <c r="J255" s="330" t="n">
        <v>1710000</v>
      </c>
      <c r="K255" s="331" t="inlineStr">
        <is>
          <t>202503070016</t>
        </is>
      </c>
      <c r="L255" s="332" t="inlineStr">
        <is>
          <t>1403250307155036</t>
        </is>
      </c>
      <c r="M255" s="757" t="inlineStr">
        <is>
          <t>Nationgate</t>
        </is>
      </c>
      <c r="N255" s="756" t="inlineStr">
        <is>
          <t>CHANHUA PTE. LTD.</t>
        </is>
      </c>
      <c r="O255" s="757" t="n">
        <v>8.327199999999999</v>
      </c>
      <c r="P255" s="346">
        <f>VLOOKUP(L255,[3]BHSC_销售订单明细报表_060825!$E$1:$E$65536,1,FALSE)</f>
        <v/>
      </c>
      <c r="Q255" s="758" t="n"/>
      <c r="R255" s="758" t="n"/>
      <c r="S255" s="758" t="n"/>
      <c r="T255" s="758" t="n"/>
      <c r="U255" s="758" t="n"/>
      <c r="V255" s="758" t="n"/>
      <c r="W255" s="758" t="n"/>
    </row>
    <row r="256" customFormat="1" s="780">
      <c r="A256" s="106" t="n">
        <v>255</v>
      </c>
      <c r="B256" s="754" t="inlineStr">
        <is>
          <t>chanhua</t>
        </is>
      </c>
      <c r="C256" s="761" t="n">
        <v>45709</v>
      </c>
      <c r="D256" s="755" t="inlineStr">
        <is>
          <t>新加坡比特</t>
        </is>
      </c>
      <c r="E256" s="756" t="inlineStr">
        <is>
          <t>XJ</t>
        </is>
      </c>
      <c r="F256" s="756" t="n"/>
      <c r="G256" s="756" t="n"/>
      <c r="H256" s="756" t="inlineStr">
        <is>
          <t>BM1370PA</t>
        </is>
      </c>
      <c r="I256" s="755">
        <f>VLOOKUP(H256,[1]编码对账表!C:D,2,0)</f>
        <v/>
      </c>
      <c r="J256" s="330" t="n">
        <v>495540</v>
      </c>
      <c r="K256" s="331" t="inlineStr">
        <is>
          <t>202503070015</t>
        </is>
      </c>
      <c r="L256" s="332" t="inlineStr">
        <is>
          <t>1403250307111422</t>
        </is>
      </c>
      <c r="M256" s="757" t="inlineStr">
        <is>
          <t>泰国群光</t>
        </is>
      </c>
      <c r="N256" s="756" t="inlineStr">
        <is>
          <t>CHANHUA PTE. LTD.</t>
        </is>
      </c>
      <c r="O256" s="757" t="n">
        <v>8.327199999999999</v>
      </c>
      <c r="P256" s="346">
        <f>VLOOKUP(L256,[3]BHSC_销售订单明细报表_060825!$E$1:$E$65536,1,FALSE)</f>
        <v/>
      </c>
      <c r="Q256" s="758" t="n"/>
      <c r="R256" s="758" t="n"/>
      <c r="S256" s="758" t="n"/>
      <c r="T256" s="758" t="n"/>
      <c r="U256" s="758" t="n"/>
      <c r="V256" s="758" t="n"/>
      <c r="W256" s="758" t="n"/>
      <c r="X256" s="758" t="n"/>
      <c r="Y256" s="758" t="n"/>
      <c r="Z256" s="758" t="n"/>
      <c r="AA256" s="758" t="n"/>
      <c r="AB256" s="758" t="n"/>
      <c r="AC256" s="758" t="n"/>
    </row>
    <row r="257" s="184">
      <c r="A257" s="106" t="n">
        <v>256</v>
      </c>
      <c r="B257" s="754" t="inlineStr">
        <is>
          <t>chanhua</t>
        </is>
      </c>
      <c r="C257" s="761" t="n">
        <v>45723</v>
      </c>
      <c r="D257" s="755" t="inlineStr">
        <is>
          <t>新加坡比特</t>
        </is>
      </c>
      <c r="E257" s="756" t="inlineStr">
        <is>
          <t>ASECL</t>
        </is>
      </c>
      <c r="H257" s="756" t="inlineStr">
        <is>
          <t>BM1370PA</t>
        </is>
      </c>
      <c r="I257" s="755">
        <f>VLOOKUP(H257,[1]编码对账表!C:D,2,0)</f>
        <v/>
      </c>
      <c r="J257" s="330" t="n">
        <v>32298</v>
      </c>
      <c r="K257" s="331" t="inlineStr">
        <is>
          <t>202503110010</t>
        </is>
      </c>
      <c r="L257" s="332" t="inlineStr">
        <is>
          <t>1403250311163807</t>
        </is>
      </c>
      <c r="M257" s="757" t="inlineStr">
        <is>
          <t>PIE</t>
        </is>
      </c>
      <c r="N257" s="756" t="inlineStr">
        <is>
          <t>CHANHUA PTE. LTD.</t>
        </is>
      </c>
      <c r="O257" s="757" t="n">
        <v>8.327199999999999</v>
      </c>
      <c r="P257" s="346">
        <f>VLOOKUP(L257,[3]BHSC_销售订单明细报表_060825!$E$1:$E$65536,1,FALSE)</f>
        <v/>
      </c>
      <c r="Q257" s="758" t="n"/>
      <c r="R257" s="758" t="n"/>
      <c r="S257" s="758" t="n"/>
      <c r="T257" s="758" t="n"/>
      <c r="U257" s="758" t="n"/>
      <c r="V257" s="758" t="n"/>
      <c r="W257" s="758" t="n"/>
    </row>
    <row r="258" s="184">
      <c r="A258" s="106" t="n">
        <v>257</v>
      </c>
      <c r="B258" s="754" t="inlineStr">
        <is>
          <t>chanhua</t>
        </is>
      </c>
      <c r="C258" s="761" t="n">
        <v>45723</v>
      </c>
      <c r="D258" s="755" t="inlineStr">
        <is>
          <t>新加坡比特</t>
        </is>
      </c>
      <c r="E258" s="756" t="inlineStr">
        <is>
          <t>XJ</t>
        </is>
      </c>
      <c r="H258" s="756" t="inlineStr">
        <is>
          <t>BM1368PM</t>
        </is>
      </c>
      <c r="I258" s="755">
        <f>VLOOKUP(H258,[1]编码对账表!C:D,2,0)</f>
        <v/>
      </c>
      <c r="J258" s="330" t="n">
        <v>2222870</v>
      </c>
      <c r="K258" s="331" t="inlineStr">
        <is>
          <t>202503170014</t>
        </is>
      </c>
      <c r="L258" s="332" t="inlineStr">
        <is>
          <t>1403250317104601</t>
        </is>
      </c>
      <c r="M258" s="757" t="inlineStr">
        <is>
          <t>印尼奥海</t>
        </is>
      </c>
      <c r="N258" s="756" t="inlineStr">
        <is>
          <t>CHANHUA PTE. LTD.</t>
        </is>
      </c>
      <c r="O258" s="757" t="n">
        <v>4.382</v>
      </c>
      <c r="P258" s="346">
        <f>VLOOKUP(L258,[3]BHSC_销售订单明细报表_060825!$E$1:$E$65536,1,FALSE)</f>
        <v/>
      </c>
      <c r="Q258" s="758" t="n"/>
      <c r="R258" s="758" t="n"/>
      <c r="S258" s="758" t="n"/>
      <c r="T258" s="758" t="n"/>
      <c r="U258" s="758" t="n"/>
      <c r="V258" s="758" t="n"/>
      <c r="W258" s="758" t="n"/>
    </row>
    <row r="259" s="184">
      <c r="A259" s="106" t="n">
        <v>258</v>
      </c>
      <c r="B259" s="754" t="inlineStr">
        <is>
          <t>chanhua</t>
        </is>
      </c>
      <c r="C259" s="761" t="n">
        <v>45723</v>
      </c>
      <c r="D259" s="755" t="inlineStr">
        <is>
          <t>新加坡比特</t>
        </is>
      </c>
      <c r="E259" s="756" t="inlineStr">
        <is>
          <t>SPILSZ</t>
        </is>
      </c>
      <c r="H259" s="756" t="inlineStr">
        <is>
          <t>BM1370BC</t>
        </is>
      </c>
      <c r="I259" s="755">
        <f>VLOOKUP(H259,[1]编码对账表!C:D,2,0)</f>
        <v/>
      </c>
      <c r="J259" s="330" t="n">
        <v>332120</v>
      </c>
      <c r="K259" s="331" t="inlineStr">
        <is>
          <t>202503170014</t>
        </is>
      </c>
      <c r="L259" s="332" t="inlineStr">
        <is>
          <t>1403250317104601</t>
        </is>
      </c>
      <c r="M259" s="757" t="inlineStr">
        <is>
          <t>印尼奥海</t>
        </is>
      </c>
      <c r="N259" s="756" t="inlineStr">
        <is>
          <t>CHANHUA PTE. LTD.</t>
        </is>
      </c>
      <c r="O259" s="757" t="n">
        <v>8.327199999999999</v>
      </c>
      <c r="P259" s="346">
        <f>VLOOKUP(L259,[3]BHSC_销售订单明细报表_060825!$E$1:$E$65536,1,FALSE)</f>
        <v/>
      </c>
      <c r="Q259" s="758" t="n"/>
      <c r="R259" s="758" t="n"/>
      <c r="S259" s="758" t="n"/>
      <c r="T259" s="758" t="n"/>
      <c r="U259" s="758" t="n"/>
      <c r="V259" s="758" t="n"/>
      <c r="W259" s="758" t="n"/>
    </row>
    <row r="260" s="184">
      <c r="A260" s="106" t="n">
        <v>259</v>
      </c>
      <c r="B260" s="754" t="inlineStr">
        <is>
          <t>chanhua</t>
        </is>
      </c>
      <c r="C260" s="761" t="n">
        <v>45729</v>
      </c>
      <c r="D260" s="755" t="inlineStr">
        <is>
          <t>新加坡比特</t>
        </is>
      </c>
      <c r="E260" s="756" t="inlineStr">
        <is>
          <t>ASECL</t>
        </is>
      </c>
      <c r="H260" s="756" t="inlineStr">
        <is>
          <t>BM1370PA</t>
        </is>
      </c>
      <c r="I260" s="755">
        <f>VLOOKUP(H260,[1]编码对账表!C:D,2,0)</f>
        <v/>
      </c>
      <c r="J260" s="330" t="n">
        <v>76415</v>
      </c>
      <c r="K260" s="331" t="inlineStr">
        <is>
          <t>202503170014</t>
        </is>
      </c>
      <c r="L260" s="332" t="inlineStr">
        <is>
          <t>1403250317104601</t>
        </is>
      </c>
      <c r="M260" s="757" t="inlineStr">
        <is>
          <t>印尼奥海</t>
        </is>
      </c>
      <c r="N260" s="756" t="inlineStr">
        <is>
          <t>CHANHUA PTE. LTD.</t>
        </is>
      </c>
      <c r="O260" s="757" t="n">
        <v>8.327199999999999</v>
      </c>
      <c r="P260" s="346">
        <f>VLOOKUP(L260,[3]BHSC_销售订单明细报表_060825!$E$1:$E$65536,1,FALSE)</f>
        <v/>
      </c>
      <c r="Q260" s="758" t="n"/>
      <c r="R260" s="758" t="n"/>
      <c r="S260" s="758" t="n"/>
      <c r="T260" s="758" t="n"/>
      <c r="U260" s="758" t="n"/>
      <c r="V260" s="758" t="n"/>
      <c r="W260" s="758" t="n"/>
    </row>
    <row r="261" s="184">
      <c r="A261" s="106" t="n">
        <v>260</v>
      </c>
      <c r="B261" s="754" t="inlineStr">
        <is>
          <t>chanhua</t>
        </is>
      </c>
      <c r="C261" s="761" t="n">
        <v>45727</v>
      </c>
      <c r="D261" s="755" t="inlineStr">
        <is>
          <t>新加坡比特</t>
        </is>
      </c>
      <c r="E261" s="756" t="inlineStr">
        <is>
          <t>JSCC</t>
        </is>
      </c>
      <c r="H261" s="756" t="inlineStr">
        <is>
          <t>BM1370PA</t>
        </is>
      </c>
      <c r="I261" s="755">
        <f>VLOOKUP(H261,[1]编码对账表!C:D,2,0)</f>
        <v/>
      </c>
      <c r="J261" s="330" t="n">
        <v>14875</v>
      </c>
      <c r="K261" s="331" t="inlineStr">
        <is>
          <t>202503170014</t>
        </is>
      </c>
      <c r="L261" s="332" t="inlineStr">
        <is>
          <t>1403250317104601</t>
        </is>
      </c>
      <c r="M261" s="757" t="inlineStr">
        <is>
          <t>印尼奥海</t>
        </is>
      </c>
      <c r="N261" s="756" t="inlineStr">
        <is>
          <t>CHANHUA PTE. LTD.</t>
        </is>
      </c>
      <c r="O261" s="757" t="n">
        <v>8.327199999999999</v>
      </c>
      <c r="P261" s="346">
        <f>VLOOKUP(L261,[3]BHSC_销售订单明细报表_060825!$E$1:$E$65536,1,FALSE)</f>
        <v/>
      </c>
      <c r="Q261" s="758" t="n"/>
      <c r="R261" s="758" t="n"/>
      <c r="S261" s="758" t="n"/>
      <c r="T261" s="758" t="n"/>
      <c r="U261" s="758" t="n"/>
      <c r="V261" s="758" t="n"/>
      <c r="W261" s="758" t="n"/>
    </row>
    <row r="262" s="184">
      <c r="A262" s="106" t="n">
        <v>261</v>
      </c>
      <c r="B262" s="754" t="inlineStr">
        <is>
          <t>chanhua</t>
        </is>
      </c>
      <c r="C262" s="761" t="n">
        <v>45730</v>
      </c>
      <c r="D262" s="755" t="inlineStr">
        <is>
          <t>新加坡比特</t>
        </is>
      </c>
      <c r="E262" s="756" t="inlineStr">
        <is>
          <t>SPILSZ</t>
        </is>
      </c>
      <c r="H262" s="756" t="inlineStr">
        <is>
          <t>BM1370PA</t>
        </is>
      </c>
      <c r="I262" s="755">
        <f>VLOOKUP(H262,[1]编码对账表!C:D,2,0)</f>
        <v/>
      </c>
      <c r="J262" s="349" t="n">
        <v>2040600</v>
      </c>
      <c r="K262" s="331" t="inlineStr">
        <is>
          <t>202503170014</t>
        </is>
      </c>
      <c r="L262" s="332" t="inlineStr">
        <is>
          <t>1403250317104601</t>
        </is>
      </c>
      <c r="M262" s="757" t="inlineStr">
        <is>
          <t>印尼奥海</t>
        </is>
      </c>
      <c r="N262" s="756" t="inlineStr">
        <is>
          <t>CHANHUA PTE. LTD.</t>
        </is>
      </c>
      <c r="O262" s="757" t="n">
        <v>8.327199999999999</v>
      </c>
      <c r="P262" s="346">
        <f>VLOOKUP(L262,[3]BHSC_销售订单明细报表_060825!$E$1:$E$65536,1,FALSE)</f>
        <v/>
      </c>
      <c r="Q262" s="758" t="n"/>
      <c r="R262" s="758" t="n"/>
      <c r="S262" s="758" t="n"/>
      <c r="T262" s="758" t="n"/>
      <c r="U262" s="758" t="n"/>
      <c r="V262" s="758" t="n"/>
      <c r="W262" s="758" t="n"/>
    </row>
    <row r="263" s="184">
      <c r="A263" s="106" t="n">
        <v>262</v>
      </c>
      <c r="B263" s="754" t="inlineStr">
        <is>
          <t>chanhua</t>
        </is>
      </c>
      <c r="C263" s="761" t="n">
        <v>45729</v>
      </c>
      <c r="D263" s="755" t="inlineStr">
        <is>
          <t>新加坡比特</t>
        </is>
      </c>
      <c r="E263" s="756" t="inlineStr">
        <is>
          <t>TFME</t>
        </is>
      </c>
      <c r="H263" s="756" t="inlineStr">
        <is>
          <t>BM1370PA</t>
        </is>
      </c>
      <c r="I263" s="755">
        <f>VLOOKUP(H263,[1]编码对账表!C:D,2,0)</f>
        <v/>
      </c>
      <c r="J263" s="330" t="n">
        <v>3373</v>
      </c>
      <c r="K263" s="331" t="inlineStr">
        <is>
          <t>202503170014</t>
        </is>
      </c>
      <c r="L263" s="332" t="inlineStr">
        <is>
          <t>1403250317104601</t>
        </is>
      </c>
      <c r="M263" s="757" t="inlineStr">
        <is>
          <t>印尼奥海</t>
        </is>
      </c>
      <c r="N263" s="756" t="inlineStr">
        <is>
          <t>CHANHUA PTE. LTD.</t>
        </is>
      </c>
      <c r="O263" s="757" t="n">
        <v>8.327199999999999</v>
      </c>
      <c r="P263" s="346">
        <f>VLOOKUP(L263,[3]BHSC_销售订单明细报表_060825!$E$1:$E$65536,1,FALSE)</f>
        <v/>
      </c>
      <c r="Q263" s="758" t="n"/>
      <c r="R263" s="758" t="n"/>
      <c r="S263" s="758" t="n"/>
      <c r="T263" s="758" t="n"/>
      <c r="U263" s="758" t="n"/>
      <c r="V263" s="758" t="n"/>
      <c r="W263" s="758" t="n"/>
    </row>
    <row r="264" s="184">
      <c r="A264" s="106" t="n">
        <v>263</v>
      </c>
      <c r="B264" s="754" t="inlineStr">
        <is>
          <t>chanhua</t>
        </is>
      </c>
      <c r="C264" s="761" t="n">
        <v>45723</v>
      </c>
      <c r="D264" s="755" t="inlineStr">
        <is>
          <t>新加坡比特</t>
        </is>
      </c>
      <c r="E264" s="756" t="inlineStr">
        <is>
          <t>WX-HN</t>
        </is>
      </c>
      <c r="H264" s="756" t="inlineStr">
        <is>
          <t>BM1370PA</t>
        </is>
      </c>
      <c r="I264" s="755">
        <f>VLOOKUP(H264,[1]编码对账表!C:D,2,0)</f>
        <v/>
      </c>
      <c r="J264" s="330" t="n">
        <v>63890</v>
      </c>
      <c r="K264" s="331" t="inlineStr">
        <is>
          <t>202503170014</t>
        </is>
      </c>
      <c r="L264" s="332" t="inlineStr">
        <is>
          <t>1403250317104601</t>
        </is>
      </c>
      <c r="M264" s="757" t="inlineStr">
        <is>
          <t>印尼奥海</t>
        </is>
      </c>
      <c r="N264" s="756" t="inlineStr">
        <is>
          <t>CHANHUA PTE. LTD.</t>
        </is>
      </c>
      <c r="O264" s="757" t="n">
        <v>8.327199999999999</v>
      </c>
      <c r="P264" s="346">
        <f>VLOOKUP(L264,[3]BHSC_销售订单明细报表_060825!$E$1:$E$65536,1,FALSE)</f>
        <v/>
      </c>
      <c r="Q264" s="758" t="n"/>
      <c r="R264" s="758" t="n"/>
      <c r="S264" s="758" t="n"/>
      <c r="T264" s="758" t="n"/>
      <c r="U264" s="758" t="n"/>
      <c r="V264" s="758" t="n"/>
      <c r="W264" s="758" t="n"/>
    </row>
    <row r="265" s="184">
      <c r="A265" s="106" t="n">
        <v>264</v>
      </c>
      <c r="B265" s="754" t="inlineStr">
        <is>
          <t>chanhua</t>
        </is>
      </c>
      <c r="C265" s="761" t="n">
        <v>45723</v>
      </c>
      <c r="D265" s="755" t="inlineStr">
        <is>
          <t>新加坡比特</t>
        </is>
      </c>
      <c r="E265" s="756" t="inlineStr">
        <is>
          <t>NJ-VT</t>
        </is>
      </c>
      <c r="H265" s="756" t="inlineStr">
        <is>
          <t>BM1370BC</t>
        </is>
      </c>
      <c r="I265" s="755">
        <f>VLOOKUP(H265,[1]编码对账表!C:D,2,0)</f>
        <v/>
      </c>
      <c r="J265" s="330" t="n">
        <v>2122</v>
      </c>
      <c r="K265" s="331" t="inlineStr">
        <is>
          <t>202503170013</t>
        </is>
      </c>
      <c r="L265" s="332" t="inlineStr">
        <is>
          <t>1403250317104550</t>
        </is>
      </c>
      <c r="M265" s="757" t="inlineStr">
        <is>
          <t>泰国群光</t>
        </is>
      </c>
      <c r="N265" s="756" t="inlineStr">
        <is>
          <t>CHANHUA PTE. LTD.</t>
        </is>
      </c>
      <c r="O265" s="757" t="n">
        <v>8.327199999999999</v>
      </c>
      <c r="P265" s="346">
        <f>VLOOKUP(L265,[3]BHSC_销售订单明细报表_060825!$E$1:$E$65536,1,FALSE)</f>
        <v/>
      </c>
      <c r="Q265" s="758" t="n"/>
      <c r="R265" s="758" t="n"/>
      <c r="S265" s="758" t="n"/>
      <c r="T265" s="758" t="n"/>
      <c r="U265" s="758" t="n"/>
      <c r="V265" s="758" t="n"/>
      <c r="W265" s="758" t="n"/>
    </row>
    <row r="266" s="184">
      <c r="A266" s="106" t="n">
        <v>265</v>
      </c>
      <c r="B266" s="754" t="inlineStr">
        <is>
          <t>chanhua</t>
        </is>
      </c>
      <c r="C266" s="761" t="n">
        <v>45730</v>
      </c>
      <c r="D266" s="755" t="inlineStr">
        <is>
          <t>新加坡比特</t>
        </is>
      </c>
      <c r="E266" s="756" t="inlineStr">
        <is>
          <t>ASECL</t>
        </is>
      </c>
      <c r="H266" s="756" t="inlineStr">
        <is>
          <t>BM1370PA</t>
        </is>
      </c>
      <c r="I266" s="755">
        <f>VLOOKUP(H266,[1]编码对账表!C:D,2,0)</f>
        <v/>
      </c>
      <c r="J266" s="330" t="n">
        <v>101618</v>
      </c>
      <c r="K266" s="331" t="inlineStr">
        <is>
          <t>202503170013</t>
        </is>
      </c>
      <c r="L266" s="332" t="inlineStr">
        <is>
          <t>1403250317104550</t>
        </is>
      </c>
      <c r="M266" s="757" t="inlineStr">
        <is>
          <t>泰国群光</t>
        </is>
      </c>
      <c r="N266" s="756" t="inlineStr">
        <is>
          <t>CHANHUA PTE. LTD.</t>
        </is>
      </c>
      <c r="O266" s="757" t="n">
        <v>8.327199999999999</v>
      </c>
      <c r="P266" s="346">
        <f>VLOOKUP(L266,[3]BHSC_销售订单明细报表_060825!$E$1:$E$65536,1,FALSE)</f>
        <v/>
      </c>
      <c r="Q266" s="758" t="n"/>
      <c r="R266" s="758" t="n"/>
      <c r="S266" s="758" t="n"/>
      <c r="T266" s="758" t="n"/>
      <c r="U266" s="758" t="n"/>
      <c r="V266" s="758" t="n"/>
      <c r="W266" s="758" t="n"/>
    </row>
    <row r="267" s="184">
      <c r="A267" s="106" t="n">
        <v>266</v>
      </c>
      <c r="B267" s="754" t="inlineStr">
        <is>
          <t>chanhua</t>
        </is>
      </c>
      <c r="C267" s="761" t="n">
        <v>45727</v>
      </c>
      <c r="D267" s="755" t="inlineStr">
        <is>
          <t>新加坡比特</t>
        </is>
      </c>
      <c r="E267" s="756" t="inlineStr">
        <is>
          <t>JSCC</t>
        </is>
      </c>
      <c r="H267" s="756" t="inlineStr">
        <is>
          <t>BM1370PA</t>
        </is>
      </c>
      <c r="I267" s="755">
        <f>VLOOKUP(H267,[1]编码对账表!C:D,2,0)</f>
        <v/>
      </c>
      <c r="J267" s="330" t="n">
        <v>426028</v>
      </c>
      <c r="K267" s="331" t="inlineStr">
        <is>
          <t>202503170013</t>
        </is>
      </c>
      <c r="L267" s="332" t="inlineStr">
        <is>
          <t>1403250317104550</t>
        </is>
      </c>
      <c r="M267" s="757" t="inlineStr">
        <is>
          <t>泰国群光</t>
        </is>
      </c>
      <c r="N267" s="756" t="inlineStr">
        <is>
          <t>CHANHUA PTE. LTD.</t>
        </is>
      </c>
      <c r="O267" s="757" t="n">
        <v>8.327199999999999</v>
      </c>
      <c r="P267" s="346">
        <f>VLOOKUP(L267,[3]BHSC_销售订单明细报表_060825!$E$1:$E$65536,1,FALSE)</f>
        <v/>
      </c>
      <c r="Q267" s="758" t="n"/>
      <c r="R267" s="758" t="n"/>
      <c r="S267" s="758" t="n"/>
      <c r="T267" s="758" t="n"/>
      <c r="U267" s="758" t="n"/>
      <c r="V267" s="758" t="n"/>
      <c r="W267" s="758" t="n"/>
    </row>
    <row r="268" s="184">
      <c r="A268" s="106" t="n">
        <v>267</v>
      </c>
      <c r="B268" s="754" t="inlineStr">
        <is>
          <t>chanhua</t>
        </is>
      </c>
      <c r="C268" s="761" t="n">
        <v>45723</v>
      </c>
      <c r="D268" s="755" t="inlineStr">
        <is>
          <t>新加坡比特</t>
        </is>
      </c>
      <c r="E268" s="756" t="inlineStr">
        <is>
          <t>NJ-VT</t>
        </is>
      </c>
      <c r="H268" s="756" t="inlineStr">
        <is>
          <t>BM1370PA</t>
        </is>
      </c>
      <c r="I268" s="755">
        <f>VLOOKUP(H268,[1]编码对账表!C:D,2,0)</f>
        <v/>
      </c>
      <c r="J268" s="330" t="n">
        <v>591442</v>
      </c>
      <c r="K268" s="331" t="inlineStr">
        <is>
          <t>202503170013</t>
        </is>
      </c>
      <c r="L268" s="332" t="inlineStr">
        <is>
          <t>1403250317104550</t>
        </is>
      </c>
      <c r="M268" s="757" t="inlineStr">
        <is>
          <t>泰国群光</t>
        </is>
      </c>
      <c r="N268" s="756" t="inlineStr">
        <is>
          <t>CHANHUA PTE. LTD.</t>
        </is>
      </c>
      <c r="O268" s="757" t="n">
        <v>8.327199999999999</v>
      </c>
      <c r="P268" s="346">
        <f>VLOOKUP(L268,[3]BHSC_销售订单明细报表_060825!$E$1:$E$65536,1,FALSE)</f>
        <v/>
      </c>
      <c r="Q268" s="758" t="n"/>
      <c r="R268" s="758" t="n"/>
      <c r="S268" s="758" t="n"/>
      <c r="T268" s="758" t="n"/>
      <c r="U268" s="758" t="n"/>
      <c r="V268" s="758" t="n"/>
      <c r="W268" s="758" t="n"/>
    </row>
    <row r="269" s="184">
      <c r="A269" s="106" t="n">
        <v>268</v>
      </c>
      <c r="B269" s="754" t="inlineStr">
        <is>
          <t>chanhua</t>
        </is>
      </c>
      <c r="C269" s="761" t="n">
        <v>45732</v>
      </c>
      <c r="D269" s="755" t="inlineStr">
        <is>
          <t>新加坡比特</t>
        </is>
      </c>
      <c r="E269" s="756" t="inlineStr">
        <is>
          <t>SPILSZ</t>
        </is>
      </c>
      <c r="H269" s="756" t="inlineStr">
        <is>
          <t>BM1370PA</t>
        </is>
      </c>
      <c r="I269" s="755">
        <f>VLOOKUP(H269,[1]编码对账表!C:D,2,0)</f>
        <v/>
      </c>
      <c r="J269" s="330" t="n">
        <v>539600</v>
      </c>
      <c r="K269" s="331" t="inlineStr">
        <is>
          <t>202503170013</t>
        </is>
      </c>
      <c r="L269" s="332" t="inlineStr">
        <is>
          <t>1403250317104550</t>
        </is>
      </c>
      <c r="M269" s="757" t="inlineStr">
        <is>
          <t>泰国群光</t>
        </is>
      </c>
      <c r="N269" s="756" t="inlineStr">
        <is>
          <t>CHANHUA PTE. LTD.</t>
        </is>
      </c>
      <c r="O269" s="757" t="n">
        <v>8.327199999999999</v>
      </c>
      <c r="P269" s="346">
        <f>VLOOKUP(L269,[3]BHSC_销售订单明细报表_060825!$E$1:$E$65536,1,FALSE)</f>
        <v/>
      </c>
      <c r="Q269" s="758" t="n"/>
      <c r="R269" s="758" t="n"/>
      <c r="S269" s="758" t="n"/>
      <c r="T269" s="758" t="n"/>
      <c r="U269" s="758" t="n"/>
      <c r="V269" s="758" t="n"/>
      <c r="W269" s="758" t="n"/>
    </row>
    <row r="270" s="184">
      <c r="A270" s="106" t="n">
        <v>269</v>
      </c>
      <c r="B270" s="754" t="inlineStr">
        <is>
          <t>chanhua</t>
        </is>
      </c>
      <c r="C270" s="761" t="n">
        <v>45723</v>
      </c>
      <c r="D270" s="755" t="inlineStr">
        <is>
          <t>新加坡比特</t>
        </is>
      </c>
      <c r="E270" s="756" t="inlineStr">
        <is>
          <t>XJ</t>
        </is>
      </c>
      <c r="H270" s="756" t="inlineStr">
        <is>
          <t>BM1370PA</t>
        </is>
      </c>
      <c r="I270" s="755">
        <f>VLOOKUP(H270,[1]编码对账表!C:D,2,0)</f>
        <v/>
      </c>
      <c r="J270" s="330" t="n">
        <v>130421</v>
      </c>
      <c r="K270" s="331" t="inlineStr">
        <is>
          <t>202503170013</t>
        </is>
      </c>
      <c r="L270" s="332" t="inlineStr">
        <is>
          <t>1403250317104550</t>
        </is>
      </c>
      <c r="M270" s="757" t="inlineStr">
        <is>
          <t>泰国群光</t>
        </is>
      </c>
      <c r="N270" s="756" t="inlineStr">
        <is>
          <t>CHANHUA PTE. LTD.</t>
        </is>
      </c>
      <c r="O270" s="757" t="n">
        <v>8.327199999999999</v>
      </c>
      <c r="P270" s="346">
        <f>VLOOKUP(L270,[3]BHSC_销售订单明细报表_060825!$E$1:$E$65536,1,FALSE)</f>
        <v/>
      </c>
      <c r="Q270" s="758" t="n"/>
      <c r="R270" s="758" t="n"/>
      <c r="S270" s="758" t="n"/>
      <c r="T270" s="758" t="n"/>
      <c r="U270" s="758" t="n"/>
      <c r="V270" s="758" t="n"/>
      <c r="W270" s="758" t="n"/>
    </row>
    <row r="271" s="184">
      <c r="A271" s="106" t="n">
        <v>270</v>
      </c>
      <c r="B271" s="754" t="inlineStr">
        <is>
          <t>chanhua</t>
        </is>
      </c>
      <c r="C271" s="761" t="n">
        <v>45723</v>
      </c>
      <c r="D271" s="755" t="inlineStr">
        <is>
          <t>新加坡比特</t>
        </is>
      </c>
      <c r="E271" s="756" t="inlineStr">
        <is>
          <t>ASECL</t>
        </is>
      </c>
      <c r="H271" s="756" t="inlineStr">
        <is>
          <t>BM1370BC</t>
        </is>
      </c>
      <c r="I271" s="755">
        <f>VLOOKUP(H271,[1]编码对账表!C:D,2,0)</f>
        <v/>
      </c>
      <c r="J271" s="330" t="n">
        <v>60894</v>
      </c>
      <c r="K271" s="331" t="inlineStr">
        <is>
          <t>202503170012</t>
        </is>
      </c>
      <c r="L271" s="332" t="inlineStr">
        <is>
          <t>1403250317104541</t>
        </is>
      </c>
      <c r="M271" s="757" t="inlineStr">
        <is>
          <t>泰国ONETEC</t>
        </is>
      </c>
      <c r="N271" s="756" t="inlineStr">
        <is>
          <t>CHANHUA PTE. LTD.</t>
        </is>
      </c>
      <c r="O271" s="757" t="n">
        <v>8.327199999999999</v>
      </c>
      <c r="P271" s="346">
        <f>VLOOKUP(L271,[3]BHSC_销售订单明细报表_060825!$E$1:$E$65536,1,FALSE)</f>
        <v/>
      </c>
      <c r="Q271" s="758" t="n"/>
      <c r="R271" s="758" t="n"/>
      <c r="S271" s="758" t="n"/>
      <c r="T271" s="758" t="n"/>
      <c r="U271" s="758" t="n"/>
      <c r="V271" s="758" t="n"/>
      <c r="W271" s="758" t="n"/>
    </row>
    <row r="272" s="184">
      <c r="A272" s="106" t="n">
        <v>271</v>
      </c>
      <c r="B272" s="754" t="inlineStr">
        <is>
          <t>chanhua</t>
        </is>
      </c>
      <c r="C272" s="761" t="n">
        <v>45723</v>
      </c>
      <c r="D272" s="755" t="inlineStr">
        <is>
          <t>新加坡比特</t>
        </is>
      </c>
      <c r="E272" s="756" t="inlineStr">
        <is>
          <t>SPILSZ</t>
        </is>
      </c>
      <c r="H272" s="756" t="inlineStr">
        <is>
          <t>BM1370BC</t>
        </is>
      </c>
      <c r="I272" s="755">
        <f>VLOOKUP(H272,[1]编码对账表!C:D,2,0)</f>
        <v/>
      </c>
      <c r="J272" s="330" t="n">
        <v>136043</v>
      </c>
      <c r="K272" s="331" t="inlineStr">
        <is>
          <t>202503170012</t>
        </is>
      </c>
      <c r="L272" s="332" t="inlineStr">
        <is>
          <t>1403250317104541</t>
        </is>
      </c>
      <c r="M272" s="757" t="inlineStr">
        <is>
          <t>泰国ONETEC</t>
        </is>
      </c>
      <c r="N272" s="756" t="inlineStr">
        <is>
          <t>CHANHUA PTE. LTD.</t>
        </is>
      </c>
      <c r="O272" s="757" t="n">
        <v>8.327199999999999</v>
      </c>
      <c r="P272" s="346">
        <f>VLOOKUP(L272,[3]BHSC_销售订单明细报表_060825!$E$1:$E$65536,1,FALSE)</f>
        <v/>
      </c>
      <c r="Q272" s="758" t="n"/>
      <c r="R272" s="758" t="n"/>
      <c r="S272" s="758" t="n"/>
      <c r="T272" s="758" t="n"/>
      <c r="U272" s="758" t="n"/>
      <c r="V272" s="758" t="n"/>
      <c r="W272" s="758" t="n"/>
    </row>
    <row r="273" s="184">
      <c r="A273" s="106" t="n">
        <v>272</v>
      </c>
      <c r="B273" s="754" t="inlineStr">
        <is>
          <t>chanhua</t>
        </is>
      </c>
      <c r="C273" s="761" t="n">
        <v>45729</v>
      </c>
      <c r="D273" s="755" t="inlineStr">
        <is>
          <t>新加坡比特</t>
        </is>
      </c>
      <c r="E273" s="756" t="inlineStr">
        <is>
          <t>ASECL</t>
        </is>
      </c>
      <c r="H273" s="756" t="inlineStr">
        <is>
          <t>BM1370PA</t>
        </is>
      </c>
      <c r="I273" s="755">
        <f>VLOOKUP(H273,[1]编码对账表!C:D,2,0)</f>
        <v/>
      </c>
      <c r="J273" s="330" t="n">
        <v>39687</v>
      </c>
      <c r="K273" s="331" t="inlineStr">
        <is>
          <t>202503170012</t>
        </is>
      </c>
      <c r="L273" s="332" t="inlineStr">
        <is>
          <t>1403250317104541</t>
        </is>
      </c>
      <c r="M273" s="757" t="inlineStr">
        <is>
          <t>泰国ONETEC</t>
        </is>
      </c>
      <c r="N273" s="756" t="inlineStr">
        <is>
          <t>CHANHUA PTE. LTD.</t>
        </is>
      </c>
      <c r="O273" s="757" t="n">
        <v>8.327199999999999</v>
      </c>
      <c r="P273" s="346">
        <f>VLOOKUP(L273,[3]BHSC_销售订单明细报表_060825!$E$1:$E$65536,1,FALSE)</f>
        <v/>
      </c>
      <c r="Q273" s="758" t="n"/>
      <c r="R273" s="758" t="n"/>
      <c r="S273" s="758" t="n"/>
      <c r="T273" s="758" t="n"/>
      <c r="U273" s="758" t="n"/>
      <c r="V273" s="758" t="n"/>
      <c r="W273" s="758" t="n"/>
    </row>
    <row r="274" s="184">
      <c r="A274" s="106" t="n">
        <v>273</v>
      </c>
      <c r="B274" s="754" t="inlineStr">
        <is>
          <t>chanhua</t>
        </is>
      </c>
      <c r="C274" s="761" t="n">
        <v>45724</v>
      </c>
      <c r="D274" s="755" t="inlineStr">
        <is>
          <t>新加坡比特</t>
        </is>
      </c>
      <c r="E274" s="756" t="inlineStr">
        <is>
          <t>JSCC</t>
        </is>
      </c>
      <c r="H274" s="756" t="inlineStr">
        <is>
          <t>BM1370PA</t>
        </is>
      </c>
      <c r="I274" s="755">
        <f>VLOOKUP(H274,[1]编码对账表!C:D,2,0)</f>
        <v/>
      </c>
      <c r="J274" s="330" t="n">
        <v>10157</v>
      </c>
      <c r="K274" s="331" t="inlineStr">
        <is>
          <t>202503170012</t>
        </is>
      </c>
      <c r="L274" s="332" t="inlineStr">
        <is>
          <t>1403250317104541</t>
        </is>
      </c>
      <c r="M274" s="757" t="inlineStr">
        <is>
          <t>泰国ONETEC</t>
        </is>
      </c>
      <c r="N274" s="756" t="inlineStr">
        <is>
          <t>CHANHUA PTE. LTD.</t>
        </is>
      </c>
      <c r="O274" s="757" t="n">
        <v>8.327199999999999</v>
      </c>
      <c r="P274" s="346">
        <f>VLOOKUP(L274,[3]BHSC_销售订单明细报表_060825!$E$1:$E$65536,1,FALSE)</f>
        <v/>
      </c>
      <c r="Q274" s="758" t="n"/>
      <c r="R274" s="758" t="n"/>
      <c r="S274" s="758" t="n"/>
      <c r="T274" s="758" t="n"/>
      <c r="U274" s="758" t="n"/>
      <c r="V274" s="758" t="n"/>
      <c r="W274" s="758" t="n"/>
    </row>
    <row r="275" s="184">
      <c r="A275" s="106" t="n">
        <v>274</v>
      </c>
      <c r="B275" s="754" t="inlineStr">
        <is>
          <t>chanhua</t>
        </is>
      </c>
      <c r="C275" s="761" t="n">
        <v>45732</v>
      </c>
      <c r="D275" s="755" t="inlineStr">
        <is>
          <t>新加坡比特</t>
        </is>
      </c>
      <c r="E275" s="756" t="inlineStr">
        <is>
          <t>SPILSZ</t>
        </is>
      </c>
      <c r="H275" s="756" t="inlineStr">
        <is>
          <t>BM1370PA</t>
        </is>
      </c>
      <c r="I275" s="755">
        <f>VLOOKUP(H275,[1]编码对账表!C:D,2,0)</f>
        <v/>
      </c>
      <c r="J275" s="330" t="n">
        <v>1493400</v>
      </c>
      <c r="K275" s="331" t="inlineStr">
        <is>
          <t>202503170012</t>
        </is>
      </c>
      <c r="L275" s="332" t="inlineStr">
        <is>
          <t>1403250317104541</t>
        </is>
      </c>
      <c r="M275" s="757" t="inlineStr">
        <is>
          <t>泰国ONETEC</t>
        </is>
      </c>
      <c r="N275" s="756" t="inlineStr">
        <is>
          <t>CHANHUA PTE. LTD.</t>
        </is>
      </c>
      <c r="O275" s="757" t="n">
        <v>8.327199999999999</v>
      </c>
      <c r="P275" s="346">
        <f>VLOOKUP(L275,[3]BHSC_销售订单明细报表_060825!$E$1:$E$65536,1,FALSE)</f>
        <v/>
      </c>
      <c r="Q275" s="758" t="n"/>
      <c r="R275" s="758" t="n"/>
      <c r="S275" s="758" t="n"/>
      <c r="T275" s="758" t="n"/>
      <c r="U275" s="758" t="n"/>
      <c r="V275" s="758" t="n"/>
      <c r="W275" s="758" t="n"/>
    </row>
    <row r="276" s="184">
      <c r="A276" s="106" t="n">
        <v>275</v>
      </c>
      <c r="B276" s="754" t="inlineStr">
        <is>
          <t>chanhua</t>
        </is>
      </c>
      <c r="C276" s="761" t="n">
        <v>45727</v>
      </c>
      <c r="D276" s="755" t="inlineStr">
        <is>
          <t>新加坡比特</t>
        </is>
      </c>
      <c r="E276" s="756" t="inlineStr">
        <is>
          <t>JSCC</t>
        </is>
      </c>
      <c r="H276" s="756" t="inlineStr">
        <is>
          <t>BM1370PM</t>
        </is>
      </c>
      <c r="I276" s="755">
        <f>VLOOKUP(H276,[1]编码对账表!C:D,2,0)</f>
        <v/>
      </c>
      <c r="J276" s="330" t="n">
        <v>1703797</v>
      </c>
      <c r="K276" s="331" t="inlineStr">
        <is>
          <t>202503170012</t>
        </is>
      </c>
      <c r="L276" s="332" t="inlineStr">
        <is>
          <t>1403250317104541</t>
        </is>
      </c>
      <c r="M276" s="757" t="inlineStr">
        <is>
          <t>泰国ONETEC</t>
        </is>
      </c>
      <c r="N276" s="756" t="inlineStr">
        <is>
          <t>CHANHUA PTE. LTD.</t>
        </is>
      </c>
      <c r="O276" s="757" t="n">
        <v>8.327199999999999</v>
      </c>
      <c r="P276" s="346">
        <f>VLOOKUP(L276,[3]BHSC_销售订单明细报表_060825!$E$1:$E$65536,1,FALSE)</f>
        <v/>
      </c>
      <c r="Q276" s="758" t="n"/>
      <c r="R276" s="758" t="n"/>
      <c r="S276" s="758" t="n"/>
      <c r="T276" s="758" t="n"/>
      <c r="U276" s="758" t="n"/>
      <c r="V276" s="758" t="n"/>
      <c r="W276" s="758" t="n"/>
    </row>
    <row r="277" s="184">
      <c r="A277" s="106" t="n">
        <v>276</v>
      </c>
      <c r="B277" s="754" t="inlineStr">
        <is>
          <t>chanhua</t>
        </is>
      </c>
      <c r="C277" s="761" t="n">
        <v>45726</v>
      </c>
      <c r="D277" s="755" t="inlineStr">
        <is>
          <t>新加坡比特</t>
        </is>
      </c>
      <c r="E277" s="756" t="inlineStr">
        <is>
          <t>JSCC</t>
        </is>
      </c>
      <c r="H277" s="756" t="inlineStr">
        <is>
          <t>BM1368AA</t>
        </is>
      </c>
      <c r="I277" s="755">
        <f>VLOOKUP(H277,[1]编码对账表!C:D,2,0)</f>
        <v/>
      </c>
      <c r="J277" s="330" t="n">
        <v>656219</v>
      </c>
      <c r="K277" s="331" t="inlineStr">
        <is>
          <t>202503170011</t>
        </is>
      </c>
      <c r="L277" s="332" t="inlineStr">
        <is>
          <t>1403250317104532</t>
        </is>
      </c>
      <c r="M277" s="757" t="inlineStr">
        <is>
          <t>PIE</t>
        </is>
      </c>
      <c r="N277" s="756" t="inlineStr">
        <is>
          <t>CHANHUA PTE. LTD.</t>
        </is>
      </c>
      <c r="O277" s="757" t="n">
        <v>5.4151</v>
      </c>
      <c r="P277" s="346">
        <f>VLOOKUP(L277,[3]BHSC_销售订单明细报表_060825!$E$1:$E$65536,1,FALSE)</f>
        <v/>
      </c>
      <c r="Q277" s="758" t="n"/>
      <c r="R277" s="758" t="n"/>
      <c r="S277" s="758" t="n"/>
      <c r="T277" s="758" t="n"/>
      <c r="U277" s="758" t="n"/>
      <c r="V277" s="758" t="n"/>
      <c r="W277" s="758" t="n"/>
    </row>
    <row r="278" s="184">
      <c r="A278" s="106" t="n">
        <v>277</v>
      </c>
      <c r="B278" s="754" t="inlineStr">
        <is>
          <t>chanhua</t>
        </is>
      </c>
      <c r="C278" s="761" t="n">
        <v>45728</v>
      </c>
      <c r="D278" s="755" t="inlineStr">
        <is>
          <t>新加坡比特</t>
        </is>
      </c>
      <c r="E278" s="756" t="inlineStr">
        <is>
          <t>JSCC</t>
        </is>
      </c>
      <c r="H278" s="756" t="inlineStr">
        <is>
          <t>BM1370BC</t>
        </is>
      </c>
      <c r="I278" s="755">
        <f>VLOOKUP(H278,[1]编码对账表!C:D,2,0)</f>
        <v/>
      </c>
      <c r="J278" s="330" t="n">
        <v>245698</v>
      </c>
      <c r="K278" s="331" t="inlineStr">
        <is>
          <t>202503170011</t>
        </is>
      </c>
      <c r="L278" s="332" t="inlineStr">
        <is>
          <t>1403250317104532</t>
        </is>
      </c>
      <c r="M278" s="757" t="inlineStr">
        <is>
          <t>PIE</t>
        </is>
      </c>
      <c r="N278" s="756" t="inlineStr">
        <is>
          <t>CHANHUA PTE. LTD.</t>
        </is>
      </c>
      <c r="O278" s="757" t="n">
        <v>8.327199999999999</v>
      </c>
      <c r="P278" s="346">
        <f>VLOOKUP(L278,[3]BHSC_销售订单明细报表_060825!$E$1:$E$65536,1,FALSE)</f>
        <v/>
      </c>
      <c r="Q278" s="758" t="n"/>
      <c r="R278" s="758" t="n"/>
      <c r="S278" s="758" t="n"/>
      <c r="T278" s="758" t="n"/>
      <c r="U278" s="758" t="n"/>
      <c r="V278" s="758" t="n"/>
      <c r="W278" s="758" t="n"/>
    </row>
    <row r="279" s="184">
      <c r="A279" s="106" t="n">
        <v>278</v>
      </c>
      <c r="B279" s="754" t="inlineStr">
        <is>
          <t>chanhua</t>
        </is>
      </c>
      <c r="C279" s="761" t="n">
        <v>45723</v>
      </c>
      <c r="D279" s="755" t="inlineStr">
        <is>
          <t>新加坡比特</t>
        </is>
      </c>
      <c r="E279" s="756" t="inlineStr">
        <is>
          <t>WX-HN</t>
        </is>
      </c>
      <c r="H279" s="756" t="inlineStr">
        <is>
          <t>BM1370BC</t>
        </is>
      </c>
      <c r="I279" s="755">
        <f>VLOOKUP(H279,[1]编码对账表!C:D,2,0)</f>
        <v/>
      </c>
      <c r="J279" s="330" t="n">
        <v>16370</v>
      </c>
      <c r="K279" s="331" t="inlineStr">
        <is>
          <t>202503170011</t>
        </is>
      </c>
      <c r="L279" s="332" t="inlineStr">
        <is>
          <t>1403250317104532</t>
        </is>
      </c>
      <c r="M279" s="757" t="inlineStr">
        <is>
          <t>PIE</t>
        </is>
      </c>
      <c r="N279" s="756" t="inlineStr">
        <is>
          <t>CHANHUA PTE. LTD.</t>
        </is>
      </c>
      <c r="O279" s="757" t="n">
        <v>8.327199999999999</v>
      </c>
      <c r="P279" s="346">
        <f>VLOOKUP(L279,[3]BHSC_销售订单明细报表_060825!$E$1:$E$65536,1,FALSE)</f>
        <v/>
      </c>
      <c r="Q279" s="758" t="n"/>
      <c r="R279" s="758" t="n"/>
      <c r="S279" s="758" t="n"/>
      <c r="T279" s="758" t="n"/>
      <c r="U279" s="758" t="n"/>
      <c r="V279" s="758" t="n"/>
      <c r="W279" s="758" t="n"/>
    </row>
    <row r="280" s="184">
      <c r="A280" s="106" t="n">
        <v>279</v>
      </c>
      <c r="B280" s="754" t="inlineStr">
        <is>
          <t>chanhua</t>
        </is>
      </c>
      <c r="C280" s="761" t="n">
        <v>45723</v>
      </c>
      <c r="D280" s="755" t="inlineStr">
        <is>
          <t>新加坡比特</t>
        </is>
      </c>
      <c r="E280" s="756" t="inlineStr">
        <is>
          <t>ASE-KH</t>
        </is>
      </c>
      <c r="H280" s="756" t="inlineStr">
        <is>
          <t>BM1370PA</t>
        </is>
      </c>
      <c r="I280" s="755">
        <f>VLOOKUP(H280,[1]编码对账表!C:D,2,0)</f>
        <v/>
      </c>
      <c r="J280" s="330" t="n">
        <v>134258</v>
      </c>
      <c r="K280" s="331" t="inlineStr">
        <is>
          <t>202503170011</t>
        </is>
      </c>
      <c r="L280" s="332" t="inlineStr">
        <is>
          <t>1403250317104532</t>
        </is>
      </c>
      <c r="M280" s="757" t="inlineStr">
        <is>
          <t>PIE</t>
        </is>
      </c>
      <c r="N280" s="756" t="inlineStr">
        <is>
          <t>CHANHUA PTE. LTD.</t>
        </is>
      </c>
      <c r="O280" s="757" t="n">
        <v>8.327199999999999</v>
      </c>
      <c r="P280" s="346">
        <f>VLOOKUP(L280,[3]BHSC_销售订单明细报表_060825!$E$1:$E$65536,1,FALSE)</f>
        <v/>
      </c>
      <c r="Q280" s="758" t="n"/>
      <c r="R280" s="758" t="n"/>
      <c r="S280" s="758" t="n"/>
      <c r="T280" s="758" t="n"/>
      <c r="U280" s="758" t="n"/>
      <c r="V280" s="758" t="n"/>
      <c r="W280" s="758" t="n"/>
    </row>
    <row r="281" s="184">
      <c r="A281" s="106" t="n">
        <v>280</v>
      </c>
      <c r="B281" s="754" t="inlineStr">
        <is>
          <t>chanhua</t>
        </is>
      </c>
      <c r="C281" s="761" t="n">
        <v>45726</v>
      </c>
      <c r="D281" s="755" t="inlineStr">
        <is>
          <t>新加坡比特</t>
        </is>
      </c>
      <c r="E281" s="756" t="inlineStr">
        <is>
          <t>JSCC</t>
        </is>
      </c>
      <c r="H281" s="756" t="inlineStr">
        <is>
          <t>BM1370PA</t>
        </is>
      </c>
      <c r="I281" s="755">
        <f>VLOOKUP(H281,[1]编码对账表!C:D,2,0)</f>
        <v/>
      </c>
      <c r="J281" s="330" t="n">
        <v>15836</v>
      </c>
      <c r="K281" s="331" t="inlineStr">
        <is>
          <t>202503170011</t>
        </is>
      </c>
      <c r="L281" s="332" t="inlineStr">
        <is>
          <t>1403250317104532</t>
        </is>
      </c>
      <c r="M281" s="757" t="inlineStr">
        <is>
          <t>PIE</t>
        </is>
      </c>
      <c r="N281" s="756" t="inlineStr">
        <is>
          <t>CHANHUA PTE. LTD.</t>
        </is>
      </c>
      <c r="O281" s="757" t="n">
        <v>8.327199999999999</v>
      </c>
      <c r="P281" s="346">
        <f>VLOOKUP(L281,[3]BHSC_销售订单明细报表_060825!$E$1:$E$65536,1,FALSE)</f>
        <v/>
      </c>
      <c r="Q281" s="758" t="n"/>
      <c r="R281" s="758" t="n"/>
      <c r="S281" s="758" t="n"/>
      <c r="T281" s="758" t="n"/>
      <c r="U281" s="758" t="n"/>
      <c r="V281" s="758" t="n"/>
      <c r="W281" s="758" t="n"/>
    </row>
    <row r="282" s="184">
      <c r="A282" s="106" t="n">
        <v>281</v>
      </c>
      <c r="B282" s="754" t="inlineStr">
        <is>
          <t>chanhua</t>
        </is>
      </c>
      <c r="C282" s="761" t="n">
        <v>45726</v>
      </c>
      <c r="D282" s="755" t="inlineStr">
        <is>
          <t>新加坡比特</t>
        </is>
      </c>
      <c r="E282" s="756" t="inlineStr">
        <is>
          <t>SPILSZ</t>
        </is>
      </c>
      <c r="H282" s="756" t="inlineStr">
        <is>
          <t>BM1370PA</t>
        </is>
      </c>
      <c r="I282" s="755">
        <f>VLOOKUP(H282,[1]编码对账表!C:D,2,0)</f>
        <v/>
      </c>
      <c r="J282" s="330" t="n">
        <v>528200</v>
      </c>
      <c r="K282" s="331" t="inlineStr">
        <is>
          <t>202503170011</t>
        </is>
      </c>
      <c r="L282" s="332" t="inlineStr">
        <is>
          <t>1403250317104532</t>
        </is>
      </c>
      <c r="M282" s="757" t="inlineStr">
        <is>
          <t>PIE</t>
        </is>
      </c>
      <c r="N282" s="756" t="inlineStr">
        <is>
          <t>CHANHUA PTE. LTD.</t>
        </is>
      </c>
      <c r="O282" s="757" t="n">
        <v>8.327199999999999</v>
      </c>
      <c r="P282" s="346">
        <f>VLOOKUP(L282,[3]BHSC_销售订单明细报表_060825!$E$1:$E$65536,1,FALSE)</f>
        <v/>
      </c>
      <c r="Q282" s="758" t="n"/>
      <c r="R282" s="758" t="n"/>
      <c r="S282" s="758" t="n"/>
      <c r="T282" s="758" t="n"/>
      <c r="U282" s="758" t="n"/>
      <c r="V282" s="758" t="n"/>
      <c r="W282" s="758" t="n"/>
    </row>
    <row r="283" s="184">
      <c r="A283" s="106" t="n">
        <v>282</v>
      </c>
      <c r="B283" s="754" t="inlineStr">
        <is>
          <t>chanhua</t>
        </is>
      </c>
      <c r="C283" s="761" t="n">
        <v>45723</v>
      </c>
      <c r="D283" s="755" t="inlineStr">
        <is>
          <t>新加坡比特</t>
        </is>
      </c>
      <c r="E283" s="756" t="inlineStr">
        <is>
          <t>WX-HN</t>
        </is>
      </c>
      <c r="H283" s="756" t="inlineStr">
        <is>
          <t>BM1370PA</t>
        </is>
      </c>
      <c r="I283" s="755">
        <f>VLOOKUP(H283,[1]编码对账表!C:D,2,0)</f>
        <v/>
      </c>
      <c r="J283" s="330" t="n">
        <v>44788</v>
      </c>
      <c r="K283" s="331" t="inlineStr">
        <is>
          <t>202503170011</t>
        </is>
      </c>
      <c r="L283" s="332" t="inlineStr">
        <is>
          <t>1403250317104532</t>
        </is>
      </c>
      <c r="M283" s="757" t="inlineStr">
        <is>
          <t>PIE</t>
        </is>
      </c>
      <c r="N283" s="756" t="inlineStr">
        <is>
          <t>CHANHUA PTE. LTD.</t>
        </is>
      </c>
      <c r="O283" s="757" t="n">
        <v>8.327199999999999</v>
      </c>
      <c r="P283" s="346">
        <f>VLOOKUP(L283,[3]BHSC_销售订单明细报表_060825!$E$1:$E$65536,1,FALSE)</f>
        <v/>
      </c>
      <c r="Q283" s="758" t="n"/>
      <c r="R283" s="758" t="n"/>
      <c r="S283" s="758" t="n"/>
      <c r="T283" s="758" t="n"/>
      <c r="U283" s="758" t="n"/>
      <c r="V283" s="758" t="n"/>
      <c r="W283" s="758" t="n"/>
    </row>
    <row r="284" s="184">
      <c r="A284" s="106" t="n">
        <v>283</v>
      </c>
      <c r="B284" s="754" t="inlineStr">
        <is>
          <t>chanhua</t>
        </is>
      </c>
      <c r="C284" s="761" t="n">
        <v>45730</v>
      </c>
      <c r="D284" s="755" t="inlineStr">
        <is>
          <t>新加坡比特</t>
        </is>
      </c>
      <c r="E284" s="756" t="inlineStr">
        <is>
          <t>SPILSZ</t>
        </is>
      </c>
      <c r="H284" s="756" t="inlineStr">
        <is>
          <t>BM1370BC</t>
        </is>
      </c>
      <c r="I284" s="755">
        <f>VLOOKUP(H284,[1]编码对账表!C:D,2,0)</f>
        <v/>
      </c>
      <c r="J284" s="330" t="n">
        <v>7147</v>
      </c>
      <c r="K284" s="331" t="inlineStr">
        <is>
          <t>202503170010</t>
        </is>
      </c>
      <c r="L284" s="332" t="inlineStr">
        <is>
          <t>1403250317104522</t>
        </is>
      </c>
      <c r="M284" s="757" t="inlineStr">
        <is>
          <t>Nationgate</t>
        </is>
      </c>
      <c r="N284" s="756" t="inlineStr">
        <is>
          <t>CHANHUA PTE. LTD.</t>
        </is>
      </c>
      <c r="O284" s="757" t="n">
        <v>8.327199999999999</v>
      </c>
      <c r="P284" s="346">
        <f>VLOOKUP(L284,[3]BHSC_销售订单明细报表_060825!$E$1:$E$65536,1,FALSE)</f>
        <v/>
      </c>
      <c r="Q284" s="758" t="n"/>
      <c r="R284" s="758" t="n"/>
      <c r="S284" s="758" t="n"/>
      <c r="T284" s="758" t="n"/>
      <c r="U284" s="758" t="n"/>
      <c r="V284" s="758" t="n"/>
      <c r="W284" s="758" t="n"/>
    </row>
    <row r="285" s="184">
      <c r="A285" s="106" t="n">
        <v>284</v>
      </c>
      <c r="B285" s="754" t="inlineStr">
        <is>
          <t>chanhua</t>
        </is>
      </c>
      <c r="C285" s="761" t="n">
        <v>45726</v>
      </c>
      <c r="D285" s="755" t="inlineStr">
        <is>
          <t>新加坡比特</t>
        </is>
      </c>
      <c r="E285" s="756" t="inlineStr">
        <is>
          <t>SPILSZ</t>
        </is>
      </c>
      <c r="H285" s="756" t="inlineStr">
        <is>
          <t>BM1370PA</t>
        </is>
      </c>
      <c r="I285" s="755">
        <f>VLOOKUP(H285,[1]编码对账表!C:D,2,0)</f>
        <v/>
      </c>
      <c r="J285" s="330" t="n">
        <v>174800</v>
      </c>
      <c r="K285" s="331" t="inlineStr">
        <is>
          <t>202503170010</t>
        </is>
      </c>
      <c r="L285" s="332" t="inlineStr">
        <is>
          <t>1403250317104522</t>
        </is>
      </c>
      <c r="M285" s="757" t="inlineStr">
        <is>
          <t>Nationgate</t>
        </is>
      </c>
      <c r="N285" s="756" t="inlineStr">
        <is>
          <t>CHANHUA PTE. LTD.</t>
        </is>
      </c>
      <c r="O285" s="757" t="n">
        <v>8.327199999999999</v>
      </c>
      <c r="P285" s="346">
        <f>VLOOKUP(L285,[3]BHSC_销售订单明细报表_060825!$E$1:$E$65536,1,FALSE)</f>
        <v/>
      </c>
      <c r="Q285" s="758" t="n"/>
      <c r="R285" s="758" t="n"/>
      <c r="S285" s="758" t="n"/>
      <c r="T285" s="758" t="n"/>
      <c r="U285" s="758" t="n"/>
      <c r="V285" s="758" t="n"/>
      <c r="W285" s="758" t="n"/>
    </row>
    <row r="286" s="184">
      <c r="A286" s="106" t="n">
        <v>285</v>
      </c>
      <c r="B286" s="754" t="inlineStr">
        <is>
          <t>chanhua</t>
        </is>
      </c>
      <c r="C286" s="761" t="n">
        <v>45723</v>
      </c>
      <c r="D286" s="755" t="inlineStr">
        <is>
          <t>新加坡比特</t>
        </is>
      </c>
      <c r="E286" s="756" t="inlineStr">
        <is>
          <t>WX-HN</t>
        </is>
      </c>
      <c r="H286" s="756" t="inlineStr">
        <is>
          <t>BM1370PA</t>
        </is>
      </c>
      <c r="I286" s="755">
        <f>VLOOKUP(H286,[1]编码对账表!C:D,2,0)</f>
        <v/>
      </c>
      <c r="J286" s="330" t="n">
        <v>251385</v>
      </c>
      <c r="K286" s="331" t="inlineStr">
        <is>
          <t>202503170010</t>
        </is>
      </c>
      <c r="L286" s="332" t="inlineStr">
        <is>
          <t>1403250317104522</t>
        </is>
      </c>
      <c r="M286" s="757" t="inlineStr">
        <is>
          <t>Nationgate</t>
        </is>
      </c>
      <c r="N286" s="756" t="inlineStr">
        <is>
          <t>CHANHUA PTE. LTD.</t>
        </is>
      </c>
      <c r="O286" s="757" t="n">
        <v>8.327199999999999</v>
      </c>
      <c r="P286" s="346">
        <f>VLOOKUP(L286,[3]BHSC_销售订单明细报表_060825!$E$1:$E$65536,1,FALSE)</f>
        <v/>
      </c>
      <c r="Q286" s="758" t="n"/>
      <c r="R286" s="758" t="n"/>
      <c r="S286" s="758" t="n"/>
      <c r="T286" s="758" t="n"/>
      <c r="U286" s="758" t="n"/>
      <c r="V286" s="758" t="n"/>
      <c r="W286" s="758" t="n"/>
    </row>
    <row r="287" s="184">
      <c r="A287" s="106" t="n">
        <v>286</v>
      </c>
      <c r="B287" s="754" t="inlineStr">
        <is>
          <t>chanhua</t>
        </is>
      </c>
      <c r="C287" s="761" t="n">
        <v>45736</v>
      </c>
      <c r="D287" s="755" t="inlineStr">
        <is>
          <t>新加坡比特</t>
        </is>
      </c>
      <c r="E287" s="756" t="inlineStr">
        <is>
          <t>SPILSZ</t>
        </is>
      </c>
      <c r="H287" s="756" t="inlineStr">
        <is>
          <t>BM1370PA</t>
        </is>
      </c>
      <c r="I287" s="755">
        <f>VLOOKUP(H287,[1]编码对账表!C:D,2,0)</f>
        <v/>
      </c>
      <c r="J287" s="330" t="n">
        <v>371375</v>
      </c>
      <c r="K287" s="331" t="inlineStr">
        <is>
          <t>202503260010</t>
        </is>
      </c>
      <c r="L287" s="332" t="inlineStr">
        <is>
          <t>1403250326104807</t>
        </is>
      </c>
      <c r="M287" s="757" t="inlineStr">
        <is>
          <t>印尼奥海</t>
        </is>
      </c>
      <c r="N287" s="756" t="inlineStr">
        <is>
          <t>CHANHUA PTE. LTD.</t>
        </is>
      </c>
      <c r="O287" s="757" t="n">
        <v>8.327199999999999</v>
      </c>
      <c r="P287" s="346">
        <f>VLOOKUP(L287,[3]BHSC_销售订单明细报表_060825!$E$1:$E$65536,1,FALSE)</f>
        <v/>
      </c>
      <c r="Q287" s="758" t="n"/>
      <c r="R287" s="758" t="n"/>
      <c r="S287" s="758" t="n"/>
      <c r="T287" s="758" t="n"/>
      <c r="U287" s="758" t="n"/>
      <c r="V287" s="758" t="n"/>
      <c r="W287" s="758" t="n"/>
    </row>
    <row r="288" s="184">
      <c r="A288" s="106" t="n">
        <v>287</v>
      </c>
      <c r="B288" s="754" t="inlineStr">
        <is>
          <t>chanhua</t>
        </is>
      </c>
      <c r="C288" s="761" t="n">
        <v>45738</v>
      </c>
      <c r="D288" s="755" t="inlineStr">
        <is>
          <t>新加坡比特</t>
        </is>
      </c>
      <c r="E288" s="756" t="inlineStr">
        <is>
          <t>ASECL</t>
        </is>
      </c>
      <c r="H288" s="756" t="inlineStr">
        <is>
          <t>BM1370PA</t>
        </is>
      </c>
      <c r="I288" s="755">
        <f>VLOOKUP(H288,[1]编码对账表!C:D,2,0)</f>
        <v/>
      </c>
      <c r="J288" s="330" t="n">
        <v>260362</v>
      </c>
      <c r="K288" s="331" t="inlineStr">
        <is>
          <t>202503260010</t>
        </is>
      </c>
      <c r="L288" s="332" t="inlineStr">
        <is>
          <t>1403250326104807</t>
        </is>
      </c>
      <c r="M288" s="757" t="inlineStr">
        <is>
          <t>印尼奥海</t>
        </is>
      </c>
      <c r="N288" s="756" t="inlineStr">
        <is>
          <t>CHANHUA PTE. LTD.</t>
        </is>
      </c>
      <c r="O288" s="757" t="n">
        <v>8.327199999999999</v>
      </c>
      <c r="P288" s="346">
        <f>VLOOKUP(L288,[3]BHSC_销售订单明细报表_060825!$E$1:$E$65536,1,FALSE)</f>
        <v/>
      </c>
      <c r="Q288" s="758" t="n"/>
      <c r="R288" s="758" t="n"/>
      <c r="S288" s="758" t="n"/>
      <c r="T288" s="758" t="n"/>
      <c r="U288" s="758" t="n"/>
      <c r="V288" s="758" t="n"/>
      <c r="W288" s="758" t="n"/>
    </row>
    <row r="289" s="184">
      <c r="A289" s="106" t="n">
        <v>288</v>
      </c>
      <c r="B289" s="754" t="inlineStr">
        <is>
          <t>chanhua</t>
        </is>
      </c>
      <c r="C289" s="761" t="n">
        <v>45740</v>
      </c>
      <c r="D289" s="755" t="inlineStr">
        <is>
          <t>新加坡比特</t>
        </is>
      </c>
      <c r="E289" s="756" t="inlineStr">
        <is>
          <t>TFME</t>
        </is>
      </c>
      <c r="H289" s="756" t="inlineStr">
        <is>
          <t>BM1370PA</t>
        </is>
      </c>
      <c r="I289" s="755">
        <f>VLOOKUP(H289,[1]编码对账表!C:D,2,0)</f>
        <v/>
      </c>
      <c r="J289" s="330" t="n">
        <v>32308</v>
      </c>
      <c r="K289" s="331" t="inlineStr">
        <is>
          <t>202503260010</t>
        </is>
      </c>
      <c r="L289" s="332" t="inlineStr">
        <is>
          <t>1403250326104807</t>
        </is>
      </c>
      <c r="M289" s="757" t="inlineStr">
        <is>
          <t>印尼奥海</t>
        </is>
      </c>
      <c r="N289" s="756" t="inlineStr">
        <is>
          <t>CHANHUA PTE. LTD.</t>
        </is>
      </c>
      <c r="O289" s="757" t="n">
        <v>8.327199999999999</v>
      </c>
      <c r="P289" s="346">
        <f>VLOOKUP(L289,[3]BHSC_销售订单明细报表_060825!$E$1:$E$65536,1,FALSE)</f>
        <v/>
      </c>
      <c r="Q289" s="758" t="n"/>
      <c r="R289" s="758" t="n"/>
      <c r="S289" s="758" t="n"/>
      <c r="T289" s="758" t="n"/>
      <c r="U289" s="758" t="n"/>
      <c r="V289" s="758" t="n"/>
      <c r="W289" s="758" t="n"/>
    </row>
    <row r="290" s="184">
      <c r="A290" s="106" t="n">
        <v>289</v>
      </c>
      <c r="B290" s="754" t="inlineStr">
        <is>
          <t>chanhua</t>
        </is>
      </c>
      <c r="C290" s="761" t="n">
        <v>45737</v>
      </c>
      <c r="D290" s="755" t="inlineStr">
        <is>
          <t>新加坡比特</t>
        </is>
      </c>
      <c r="E290" s="756" t="inlineStr">
        <is>
          <t>ASECL</t>
        </is>
      </c>
      <c r="H290" s="756" t="inlineStr">
        <is>
          <t>BM1370PA</t>
        </is>
      </c>
      <c r="I290" s="755">
        <f>VLOOKUP(H290,[1]编码对账表!C:D,2,0)</f>
        <v/>
      </c>
      <c r="J290" s="330" t="n">
        <v>10254</v>
      </c>
      <c r="K290" s="331" t="inlineStr">
        <is>
          <t>202503260011</t>
        </is>
      </c>
      <c r="L290" s="332" t="inlineStr">
        <is>
          <t>1403250326104820</t>
        </is>
      </c>
      <c r="M290" s="757" t="inlineStr">
        <is>
          <t>泰国ONETEC</t>
        </is>
      </c>
      <c r="N290" s="756" t="inlineStr">
        <is>
          <t>CHANHUA PTE. LTD.</t>
        </is>
      </c>
      <c r="O290" s="757" t="n">
        <v>8.327199999999999</v>
      </c>
      <c r="P290" s="346">
        <f>VLOOKUP(L290,[3]BHSC_销售订单明细报表_060825!$E$1:$E$65536,1,FALSE)</f>
        <v/>
      </c>
      <c r="Q290" s="758" t="n"/>
      <c r="R290" s="758" t="n"/>
      <c r="S290" s="758" t="n"/>
      <c r="T290" s="758" t="n"/>
      <c r="U290" s="758" t="n"/>
      <c r="V290" s="758" t="n"/>
      <c r="W290" s="758" t="n"/>
    </row>
    <row r="291" s="184">
      <c r="A291" s="106" t="n">
        <v>290</v>
      </c>
      <c r="B291" s="754" t="inlineStr">
        <is>
          <t>chanhua</t>
        </is>
      </c>
      <c r="C291" s="761" t="n">
        <v>45736</v>
      </c>
      <c r="D291" s="755" t="inlineStr">
        <is>
          <t>新加坡比特</t>
        </is>
      </c>
      <c r="E291" s="756" t="inlineStr">
        <is>
          <t>SPILSZ</t>
        </is>
      </c>
      <c r="H291" s="756" t="inlineStr">
        <is>
          <t>BM1370PA</t>
        </is>
      </c>
      <c r="I291" s="755">
        <f>VLOOKUP(H291,[1]编码对账表!C:D,2,0)</f>
        <v/>
      </c>
      <c r="J291" s="330" t="n">
        <v>75370</v>
      </c>
      <c r="K291" s="331" t="inlineStr">
        <is>
          <t>202503260011</t>
        </is>
      </c>
      <c r="L291" s="332" t="inlineStr">
        <is>
          <t>1403250326104820</t>
        </is>
      </c>
      <c r="M291" s="757" t="inlineStr">
        <is>
          <t>泰国ONETEC</t>
        </is>
      </c>
      <c r="N291" s="756" t="inlineStr">
        <is>
          <t>CHANHUA PTE. LTD.</t>
        </is>
      </c>
      <c r="O291" s="757" t="n">
        <v>8.327199999999999</v>
      </c>
      <c r="P291" s="346">
        <f>VLOOKUP(L291,[3]BHSC_销售订单明细报表_060825!$E$1:$E$65536,1,FALSE)</f>
        <v/>
      </c>
      <c r="Q291" s="758" t="n"/>
      <c r="R291" s="758" t="n"/>
      <c r="S291" s="758" t="n"/>
      <c r="T291" s="758" t="n"/>
      <c r="U291" s="758" t="n"/>
      <c r="V291" s="758" t="n"/>
      <c r="W291" s="758" t="n"/>
    </row>
    <row r="292" s="184">
      <c r="A292" s="106" t="n">
        <v>291</v>
      </c>
      <c r="B292" s="754" t="inlineStr">
        <is>
          <t>chanhua</t>
        </is>
      </c>
      <c r="C292" s="761" t="n">
        <v>45740</v>
      </c>
      <c r="D292" s="755" t="inlineStr">
        <is>
          <t>新加坡比特</t>
        </is>
      </c>
      <c r="E292" s="756" t="inlineStr">
        <is>
          <t>TFME</t>
        </is>
      </c>
      <c r="H292" s="756" t="inlineStr">
        <is>
          <t>BM1370PA</t>
        </is>
      </c>
      <c r="I292" s="755">
        <f>VLOOKUP(H292,[1]编码对账表!C:D,2,0)</f>
        <v/>
      </c>
      <c r="J292" s="330" t="n">
        <v>21992</v>
      </c>
      <c r="K292" s="331" t="inlineStr">
        <is>
          <t>202503260011</t>
        </is>
      </c>
      <c r="L292" s="332" t="inlineStr">
        <is>
          <t>1403250326104820</t>
        </is>
      </c>
      <c r="M292" s="757" t="inlineStr">
        <is>
          <t>泰国ONETEC</t>
        </is>
      </c>
      <c r="N292" s="756" t="inlineStr">
        <is>
          <t>CHANHUA PTE. LTD.</t>
        </is>
      </c>
      <c r="O292" s="757" t="n">
        <v>8.327199999999999</v>
      </c>
      <c r="P292" s="346">
        <f>VLOOKUP(L292,[3]BHSC_销售订单明细报表_060825!$E$1:$E$65536,1,FALSE)</f>
        <v/>
      </c>
      <c r="Q292" s="758" t="n"/>
      <c r="R292" s="758" t="n"/>
      <c r="S292" s="758" t="n"/>
      <c r="T292" s="758" t="n"/>
      <c r="U292" s="758" t="n"/>
      <c r="V292" s="758" t="n"/>
      <c r="W292" s="758" t="n"/>
    </row>
    <row r="293" s="184">
      <c r="A293" s="106" t="n">
        <v>292</v>
      </c>
      <c r="B293" s="754" t="inlineStr">
        <is>
          <t>chanhua</t>
        </is>
      </c>
      <c r="C293" s="761" t="n">
        <v>45736</v>
      </c>
      <c r="D293" s="755" t="inlineStr">
        <is>
          <t>美国比特</t>
        </is>
      </c>
      <c r="E293" s="756" t="inlineStr">
        <is>
          <t>XJ</t>
        </is>
      </c>
      <c r="H293" s="756" t="inlineStr">
        <is>
          <t>BM1370PA</t>
        </is>
      </c>
      <c r="I293" s="755">
        <f>VLOOKUP(H293,[1]编码对账表!C:D,2,0)</f>
        <v/>
      </c>
      <c r="J293" s="330" t="n">
        <v>39000</v>
      </c>
      <c r="K293" s="331" t="inlineStr">
        <is>
          <t>BTD202503270020</t>
        </is>
      </c>
      <c r="L293" s="332" t="inlineStr">
        <is>
          <t>1155250327094401</t>
        </is>
      </c>
      <c r="M293" s="757" t="inlineStr">
        <is>
          <t>美国KTRN</t>
        </is>
      </c>
      <c r="N293" s="756" t="inlineStr">
        <is>
          <t>CHANHUA PTE. LTD.</t>
        </is>
      </c>
      <c r="O293" s="764" t="n">
        <v>13.84</v>
      </c>
      <c r="P293" s="346">
        <f>VLOOKUP(L293,[3]BHSC_销售订单明细报表_060825!$E$1:$E$65536,1,FALSE)</f>
        <v/>
      </c>
      <c r="Q293" s="758" t="n"/>
      <c r="R293" s="758" t="n"/>
      <c r="S293" s="758" t="n"/>
      <c r="T293" s="758" t="n"/>
      <c r="U293" s="758" t="n"/>
      <c r="V293" s="758" t="n"/>
      <c r="W293" s="758" t="n"/>
    </row>
    <row r="294" s="184">
      <c r="A294" s="106" t="n">
        <v>293</v>
      </c>
      <c r="B294" s="754" t="inlineStr">
        <is>
          <t>chanhua</t>
        </is>
      </c>
      <c r="C294" s="761" t="n">
        <v>45740</v>
      </c>
      <c r="D294" s="755" t="inlineStr">
        <is>
          <t>新加坡比特</t>
        </is>
      </c>
      <c r="E294" s="756" t="inlineStr">
        <is>
          <t>XJ</t>
        </is>
      </c>
      <c r="H294" s="756" t="inlineStr">
        <is>
          <t>BM1370PA</t>
        </is>
      </c>
      <c r="I294" s="755">
        <f>VLOOKUP(H294,[1]编码对账表!C:D,2,0)</f>
        <v/>
      </c>
      <c r="J294" s="330" t="n">
        <v>225249</v>
      </c>
      <c r="K294" s="331" t="inlineStr">
        <is>
          <t>202503260012</t>
        </is>
      </c>
      <c r="L294" s="332" t="inlineStr">
        <is>
          <t>1403250326172927</t>
        </is>
      </c>
      <c r="M294" s="757" t="inlineStr">
        <is>
          <t>印尼奥海</t>
        </is>
      </c>
      <c r="N294" s="756" t="inlineStr">
        <is>
          <t>CHANHUA PTE. LTD.</t>
        </is>
      </c>
      <c r="O294" s="757" t="n">
        <v>8.327199999999999</v>
      </c>
      <c r="P294" s="346">
        <f>VLOOKUP(L294,[3]BHSC_销售订单明细报表_060825!$E$1:$E$65536,1,FALSE)</f>
        <v/>
      </c>
      <c r="Q294" s="758" t="n"/>
      <c r="R294" s="758" t="n"/>
      <c r="S294" s="758" t="n"/>
      <c r="T294" s="758" t="n"/>
      <c r="U294" s="758" t="n"/>
      <c r="V294" s="758" t="n"/>
      <c r="W294" s="758" t="n"/>
    </row>
    <row r="295" s="184">
      <c r="A295" s="106" t="n">
        <v>294</v>
      </c>
      <c r="B295" s="754" t="inlineStr">
        <is>
          <t>chanhua</t>
        </is>
      </c>
      <c r="C295" s="761" t="n">
        <v>45744</v>
      </c>
      <c r="D295" s="755" t="inlineStr">
        <is>
          <t>新加坡比特</t>
        </is>
      </c>
      <c r="E295" s="756" t="inlineStr">
        <is>
          <t>ASECL</t>
        </is>
      </c>
      <c r="H295" s="756" t="inlineStr">
        <is>
          <t>BM1370PA</t>
        </is>
      </c>
      <c r="I295" s="755">
        <f>VLOOKUP(H295,[1]编码对账表!C:D,2,0)</f>
        <v/>
      </c>
      <c r="J295" s="330" t="n">
        <v>74827</v>
      </c>
      <c r="K295" s="331" t="inlineStr">
        <is>
          <t>202503310014</t>
        </is>
      </c>
      <c r="L295" s="332" t="inlineStr">
        <is>
          <t>1403250331114513</t>
        </is>
      </c>
      <c r="M295" s="757" t="inlineStr">
        <is>
          <t>印尼奥海</t>
        </is>
      </c>
      <c r="N295" s="756" t="inlineStr">
        <is>
          <t>CHANHUA PTE. LTD.</t>
        </is>
      </c>
      <c r="O295" s="757" t="n">
        <v>8.327199999999999</v>
      </c>
      <c r="P295" s="346">
        <f>VLOOKUP(L295,[3]BHSC_销售订单明细报表_060825!$E$1:$E$65536,1,FALSE)</f>
        <v/>
      </c>
      <c r="Q295" s="758" t="n"/>
      <c r="R295" s="758" t="n"/>
      <c r="S295" s="758" t="n"/>
      <c r="T295" s="758" t="n"/>
      <c r="U295" s="758" t="n"/>
      <c r="V295" s="758" t="n"/>
      <c r="W295" s="758" t="n"/>
    </row>
    <row r="296" s="184">
      <c r="A296" s="106" t="n">
        <v>295</v>
      </c>
      <c r="B296" s="754" t="inlineStr">
        <is>
          <t>chanhua</t>
        </is>
      </c>
      <c r="C296" s="761" t="n">
        <v>45745</v>
      </c>
      <c r="D296" s="755" t="inlineStr">
        <is>
          <t>新加坡比特</t>
        </is>
      </c>
      <c r="E296" s="756" t="inlineStr">
        <is>
          <t>SPILSZ</t>
        </is>
      </c>
      <c r="H296" s="756" t="inlineStr">
        <is>
          <t>BM1370PA</t>
        </is>
      </c>
      <c r="I296" s="755">
        <f>VLOOKUP(H296,[1]编码对账表!C:D,2,0)</f>
        <v/>
      </c>
      <c r="J296" s="330" t="n">
        <v>1067250</v>
      </c>
      <c r="K296" s="331" t="inlineStr">
        <is>
          <t>202503310014</t>
        </is>
      </c>
      <c r="L296" s="332" t="inlineStr">
        <is>
          <t>1403250331114513</t>
        </is>
      </c>
      <c r="M296" s="757" t="inlineStr">
        <is>
          <t>印尼奥海</t>
        </is>
      </c>
      <c r="N296" s="756" t="inlineStr">
        <is>
          <t>CHANHUA PTE. LTD.</t>
        </is>
      </c>
      <c r="O296" s="757" t="n">
        <v>8.327199999999999</v>
      </c>
      <c r="P296" s="346">
        <f>VLOOKUP(L296,[3]BHSC_销售订单明细报表_060825!$E$1:$E$65536,1,FALSE)</f>
        <v/>
      </c>
      <c r="Q296" s="758" t="n"/>
      <c r="R296" s="758" t="n"/>
      <c r="S296" s="758" t="n"/>
      <c r="T296" s="758" t="n"/>
      <c r="U296" s="758" t="n"/>
      <c r="V296" s="758" t="n"/>
      <c r="W296" s="758" t="n"/>
    </row>
    <row r="297" s="184">
      <c r="A297" s="106" t="n">
        <v>296</v>
      </c>
      <c r="B297" s="754" t="inlineStr">
        <is>
          <t>chanhua</t>
        </is>
      </c>
      <c r="C297" s="761" t="n">
        <v>45743</v>
      </c>
      <c r="D297" s="755" t="inlineStr">
        <is>
          <t>新加坡比特</t>
        </is>
      </c>
      <c r="E297" s="756" t="inlineStr">
        <is>
          <t>WX-HN</t>
        </is>
      </c>
      <c r="H297" s="756" t="inlineStr">
        <is>
          <t>BM1370BC</t>
        </is>
      </c>
      <c r="I297" s="755">
        <f>VLOOKUP(H297,[1]编码对账表!C:D,2,0)</f>
        <v/>
      </c>
      <c r="J297" s="330" t="n">
        <v>5411</v>
      </c>
      <c r="K297" s="331" t="inlineStr">
        <is>
          <t>202503310013</t>
        </is>
      </c>
      <c r="L297" s="332" t="inlineStr">
        <is>
          <t>1403250331114506</t>
        </is>
      </c>
      <c r="M297" s="757" t="inlineStr">
        <is>
          <t>泰国群光</t>
        </is>
      </c>
      <c r="N297" s="756" t="inlineStr">
        <is>
          <t>CHANHUA PTE. LTD.</t>
        </is>
      </c>
      <c r="O297" s="757" t="n">
        <v>8.327199999999999</v>
      </c>
      <c r="P297" s="346">
        <f>VLOOKUP(L297,[3]BHSC_销售订单明细报表_060825!$E$1:$E$65536,1,FALSE)</f>
        <v/>
      </c>
      <c r="Q297" s="758" t="n"/>
      <c r="R297" s="758" t="n"/>
      <c r="S297" s="758" t="n"/>
      <c r="T297" s="758" t="n"/>
      <c r="U297" s="758" t="n"/>
      <c r="V297" s="758" t="n"/>
      <c r="W297" s="758" t="n"/>
    </row>
    <row r="298" s="184">
      <c r="A298" s="106" t="n">
        <v>297</v>
      </c>
      <c r="B298" s="754" t="inlineStr">
        <is>
          <t>chanhua</t>
        </is>
      </c>
      <c r="C298" s="761" t="n">
        <v>45744</v>
      </c>
      <c r="D298" s="755" t="inlineStr">
        <is>
          <t>新加坡比特</t>
        </is>
      </c>
      <c r="E298" s="756" t="inlineStr">
        <is>
          <t>SPILSZ</t>
        </is>
      </c>
      <c r="H298" s="756" t="inlineStr">
        <is>
          <t>BM1370PA</t>
        </is>
      </c>
      <c r="I298" s="755">
        <f>VLOOKUP(H298,[1]编码对账表!C:D,2,0)</f>
        <v/>
      </c>
      <c r="J298" s="330" t="n">
        <v>501600</v>
      </c>
      <c r="K298" s="331" t="inlineStr">
        <is>
          <t>202503310013</t>
        </is>
      </c>
      <c r="L298" s="332" t="inlineStr">
        <is>
          <t>1403250331114506</t>
        </is>
      </c>
      <c r="M298" s="757" t="inlineStr">
        <is>
          <t>泰国群光</t>
        </is>
      </c>
      <c r="N298" s="756" t="inlineStr">
        <is>
          <t>CHANHUA PTE. LTD.</t>
        </is>
      </c>
      <c r="O298" s="757" t="n">
        <v>8.327199999999999</v>
      </c>
      <c r="P298" s="346">
        <f>VLOOKUP(L298,[3]BHSC_销售订单明细报表_060825!$E$1:$E$65536,1,FALSE)</f>
        <v/>
      </c>
      <c r="Q298" s="758" t="n"/>
      <c r="R298" s="758" t="n"/>
      <c r="S298" s="758" t="n"/>
      <c r="T298" s="758" t="n"/>
      <c r="U298" s="758" t="n"/>
      <c r="V298" s="758" t="n"/>
      <c r="W298" s="758" t="n"/>
    </row>
    <row r="299" s="184">
      <c r="A299" s="106" t="n">
        <v>298</v>
      </c>
      <c r="B299" s="754" t="inlineStr">
        <is>
          <t>chanhua</t>
        </is>
      </c>
      <c r="C299" s="761" t="n">
        <v>45743</v>
      </c>
      <c r="D299" s="755" t="inlineStr">
        <is>
          <t>新加坡比特</t>
        </is>
      </c>
      <c r="E299" s="756" t="inlineStr">
        <is>
          <t>WX-HN</t>
        </is>
      </c>
      <c r="H299" s="756" t="inlineStr">
        <is>
          <t>BM1370PA</t>
        </is>
      </c>
      <c r="I299" s="755">
        <f>VLOOKUP(H299,[1]编码对账表!C:D,2,0)</f>
        <v/>
      </c>
      <c r="J299" s="330" t="n">
        <v>149011</v>
      </c>
      <c r="K299" s="331" t="inlineStr">
        <is>
          <t>202503310013</t>
        </is>
      </c>
      <c r="L299" s="332" t="inlineStr">
        <is>
          <t>1403250331114506</t>
        </is>
      </c>
      <c r="M299" s="757" t="inlineStr">
        <is>
          <t>泰国群光</t>
        </is>
      </c>
      <c r="N299" s="756" t="inlineStr">
        <is>
          <t>CHANHUA PTE. LTD.</t>
        </is>
      </c>
      <c r="O299" s="757" t="n">
        <v>8.327199999999999</v>
      </c>
      <c r="P299" s="346">
        <f>VLOOKUP(L299,[3]BHSC_销售订单明细报表_060825!$E$1:$E$65536,1,FALSE)</f>
        <v/>
      </c>
      <c r="Q299" s="758" t="n"/>
      <c r="R299" s="758" t="n"/>
      <c r="S299" s="758" t="n"/>
      <c r="T299" s="758" t="n"/>
      <c r="U299" s="758" t="n"/>
      <c r="V299" s="758" t="n"/>
      <c r="W299" s="758" t="n"/>
    </row>
    <row r="300" s="184">
      <c r="A300" s="106" t="n">
        <v>299</v>
      </c>
      <c r="B300" s="754" t="inlineStr">
        <is>
          <t>chanhua</t>
        </is>
      </c>
      <c r="C300" s="761" t="n">
        <v>45744</v>
      </c>
      <c r="D300" s="755" t="inlineStr">
        <is>
          <t>新加坡比特</t>
        </is>
      </c>
      <c r="E300" s="756" t="inlineStr">
        <is>
          <t>ASECL</t>
        </is>
      </c>
      <c r="H300" s="756" t="inlineStr">
        <is>
          <t>BM1370BC</t>
        </is>
      </c>
      <c r="I300" s="755">
        <f>VLOOKUP(H300,[1]编码对账表!C:D,2,0)</f>
        <v/>
      </c>
      <c r="J300" s="330" t="n">
        <v>148192</v>
      </c>
      <c r="K300" s="331" t="inlineStr">
        <is>
          <t>202503310012</t>
        </is>
      </c>
      <c r="L300" s="332" t="inlineStr">
        <is>
          <t>1403250331114456</t>
        </is>
      </c>
      <c r="M300" s="757" t="inlineStr">
        <is>
          <t>泰国ONETEC</t>
        </is>
      </c>
      <c r="N300" s="756" t="inlineStr">
        <is>
          <t>CHANHUA PTE. LTD.</t>
        </is>
      </c>
      <c r="O300" s="757" t="n">
        <v>8.327199999999999</v>
      </c>
      <c r="P300" s="346">
        <f>VLOOKUP(L300,[3]BHSC_销售订单明细报表_060825!$E$1:$E$65536,1,FALSE)</f>
        <v/>
      </c>
      <c r="Q300" s="758" t="n"/>
      <c r="R300" s="758" t="n"/>
      <c r="S300" s="758" t="n"/>
      <c r="T300" s="758" t="n"/>
      <c r="U300" s="758" t="n"/>
      <c r="V300" s="758" t="n"/>
      <c r="W300" s="758" t="n"/>
    </row>
    <row r="301" s="184">
      <c r="A301" s="106" t="n">
        <v>300</v>
      </c>
      <c r="B301" s="754" t="inlineStr">
        <is>
          <t>chanhua</t>
        </is>
      </c>
      <c r="C301" s="761" t="n">
        <v>45744</v>
      </c>
      <c r="D301" s="755" t="inlineStr">
        <is>
          <t>新加坡比特</t>
        </is>
      </c>
      <c r="E301" s="756" t="inlineStr">
        <is>
          <t>ASECL</t>
        </is>
      </c>
      <c r="H301" s="756" t="inlineStr">
        <is>
          <t>BM1370PA</t>
        </is>
      </c>
      <c r="I301" s="755">
        <f>VLOOKUP(H301,[1]编码对账表!C:D,2,0)</f>
        <v/>
      </c>
      <c r="J301" s="330" t="n">
        <v>1818</v>
      </c>
      <c r="K301" s="331" t="inlineStr">
        <is>
          <t>202503310012</t>
        </is>
      </c>
      <c r="L301" s="332" t="inlineStr">
        <is>
          <t>1403250331114456</t>
        </is>
      </c>
      <c r="M301" s="757" t="inlineStr">
        <is>
          <t>泰国ONETEC</t>
        </is>
      </c>
      <c r="N301" s="756" t="inlineStr">
        <is>
          <t>CHANHUA PTE. LTD.</t>
        </is>
      </c>
      <c r="O301" s="757" t="n">
        <v>8.327199999999999</v>
      </c>
      <c r="P301" s="346">
        <f>VLOOKUP(L301,[3]BHSC_销售订单明细报表_060825!$E$1:$E$65536,1,FALSE)</f>
        <v/>
      </c>
      <c r="Q301" s="758" t="n"/>
      <c r="R301" s="758" t="n"/>
      <c r="S301" s="758" t="n"/>
      <c r="T301" s="758" t="n"/>
      <c r="U301" s="758" t="n"/>
      <c r="V301" s="758" t="n"/>
      <c r="W301" s="758" t="n"/>
    </row>
    <row r="302" s="184">
      <c r="A302" s="106" t="n">
        <v>301</v>
      </c>
      <c r="B302" s="754" t="inlineStr">
        <is>
          <t>chanhua</t>
        </is>
      </c>
      <c r="C302" s="761" t="n">
        <v>45744</v>
      </c>
      <c r="D302" s="755" t="inlineStr">
        <is>
          <t>新加坡比特</t>
        </is>
      </c>
      <c r="E302" s="756" t="inlineStr">
        <is>
          <t>SPILSZ</t>
        </is>
      </c>
      <c r="H302" s="756" t="inlineStr">
        <is>
          <t>BM1370PA</t>
        </is>
      </c>
      <c r="I302" s="755">
        <f>VLOOKUP(H302,[1]编码对账表!C:D,2,0)</f>
        <v/>
      </c>
      <c r="J302" s="330" t="n">
        <v>1906200</v>
      </c>
      <c r="K302" s="331" t="inlineStr">
        <is>
          <t>202503310012</t>
        </is>
      </c>
      <c r="L302" s="332" t="inlineStr">
        <is>
          <t>1403250331114456</t>
        </is>
      </c>
      <c r="M302" s="757" t="inlineStr">
        <is>
          <t>泰国ONETEC</t>
        </is>
      </c>
      <c r="N302" s="756" t="inlineStr">
        <is>
          <t>CHANHUA PTE. LTD.</t>
        </is>
      </c>
      <c r="O302" s="757" t="n">
        <v>8.327199999999999</v>
      </c>
      <c r="P302" s="346">
        <f>VLOOKUP(L302,[3]BHSC_销售订单明细报表_060825!$E$1:$E$65536,1,FALSE)</f>
        <v/>
      </c>
      <c r="Q302" s="758" t="n"/>
      <c r="R302" s="758" t="n"/>
      <c r="S302" s="758" t="n"/>
      <c r="T302" s="758" t="n"/>
      <c r="U302" s="758" t="n"/>
      <c r="V302" s="758" t="n"/>
      <c r="W302" s="758" t="n"/>
    </row>
    <row r="303" s="184">
      <c r="A303" s="106" t="n">
        <v>302</v>
      </c>
      <c r="B303" s="754" t="inlineStr">
        <is>
          <t>chanhua</t>
        </is>
      </c>
      <c r="C303" s="761" t="n">
        <v>45742</v>
      </c>
      <c r="D303" s="755" t="inlineStr">
        <is>
          <t>新加坡比特</t>
        </is>
      </c>
      <c r="E303" s="756" t="inlineStr">
        <is>
          <t>TFME</t>
        </is>
      </c>
      <c r="H303" s="756" t="inlineStr">
        <is>
          <t>BM1370PA</t>
        </is>
      </c>
      <c r="I303" s="755">
        <f>VLOOKUP(H303,[1]编码对账表!C:D,2,0)</f>
        <v/>
      </c>
      <c r="J303" s="330">
        <f>6364</f>
        <v/>
      </c>
      <c r="K303" s="331" t="inlineStr">
        <is>
          <t>202503310012</t>
        </is>
      </c>
      <c r="L303" s="332" t="inlineStr">
        <is>
          <t>1403250331114456</t>
        </is>
      </c>
      <c r="M303" s="757" t="inlineStr">
        <is>
          <t>泰国ONETEC</t>
        </is>
      </c>
      <c r="N303" s="756" t="inlineStr">
        <is>
          <t>CHANHUA PTE. LTD.</t>
        </is>
      </c>
      <c r="O303" s="757" t="n">
        <v>8.327199999999999</v>
      </c>
      <c r="P303" s="346">
        <f>VLOOKUP(L303,[3]BHSC_销售订单明细报表_060825!$E$1:$E$65536,1,FALSE)</f>
        <v/>
      </c>
      <c r="Q303" s="758" t="n"/>
      <c r="R303" s="758" t="n"/>
      <c r="S303" s="758" t="n"/>
      <c r="T303" s="758" t="n"/>
      <c r="U303" s="758" t="n"/>
      <c r="V303" s="758" t="n"/>
      <c r="W303" s="758" t="n"/>
    </row>
    <row r="304" s="184">
      <c r="A304" s="106" t="n">
        <v>303</v>
      </c>
      <c r="B304" s="754" t="inlineStr">
        <is>
          <t>chanhua</t>
        </is>
      </c>
      <c r="C304" s="761" t="n">
        <v>45744</v>
      </c>
      <c r="D304" s="755" t="inlineStr">
        <is>
          <t>新加坡比特</t>
        </is>
      </c>
      <c r="E304" s="756" t="inlineStr">
        <is>
          <t>NJ-VT</t>
        </is>
      </c>
      <c r="H304" s="756" t="inlineStr">
        <is>
          <t>BM1370BC</t>
        </is>
      </c>
      <c r="I304" s="755">
        <f>VLOOKUP(H304,[1]编码对账表!C:D,2,0)</f>
        <v/>
      </c>
      <c r="J304" s="330" t="n">
        <v>109354</v>
      </c>
      <c r="K304" s="331" t="inlineStr">
        <is>
          <t>202503310011</t>
        </is>
      </c>
      <c r="L304" s="332" t="inlineStr">
        <is>
          <t>1403250331114446</t>
        </is>
      </c>
      <c r="M304" s="757" t="inlineStr">
        <is>
          <t>PIE</t>
        </is>
      </c>
      <c r="N304" s="756" t="inlineStr">
        <is>
          <t>CHANHUA PTE. LTD.</t>
        </is>
      </c>
      <c r="O304" s="757" t="n">
        <v>8.327199999999999</v>
      </c>
      <c r="P304" s="346">
        <f>VLOOKUP(L304,[3]BHSC_销售订单明细报表_060825!$E$1:$E$65536,1,FALSE)</f>
        <v/>
      </c>
      <c r="Q304" s="758" t="n"/>
      <c r="R304" s="758" t="n"/>
      <c r="S304" s="758" t="n"/>
      <c r="T304" s="758" t="n"/>
      <c r="U304" s="758" t="n"/>
      <c r="V304" s="758" t="n"/>
      <c r="W304" s="758" t="n"/>
    </row>
    <row r="305" s="184">
      <c r="A305" s="106" t="n">
        <v>304</v>
      </c>
      <c r="B305" s="754" t="inlineStr">
        <is>
          <t>chanhua</t>
        </is>
      </c>
      <c r="C305" s="761" t="n">
        <v>45744</v>
      </c>
      <c r="D305" s="755" t="inlineStr">
        <is>
          <t>新加坡比特</t>
        </is>
      </c>
      <c r="E305" s="756" t="inlineStr">
        <is>
          <t>JSCC</t>
        </is>
      </c>
      <c r="H305" s="756" t="inlineStr">
        <is>
          <t>BM1370PA</t>
        </is>
      </c>
      <c r="I305" s="755">
        <f>VLOOKUP(H305,[1]编码对账表!C:D,2,0)</f>
        <v/>
      </c>
      <c r="J305" s="330" t="n">
        <v>620161</v>
      </c>
      <c r="K305" s="331" t="inlineStr">
        <is>
          <t>202503310011</t>
        </is>
      </c>
      <c r="L305" s="332" t="inlineStr">
        <is>
          <t>1403250331114446</t>
        </is>
      </c>
      <c r="M305" s="757" t="inlineStr">
        <is>
          <t>PIE</t>
        </is>
      </c>
      <c r="N305" s="756" t="inlineStr">
        <is>
          <t>CHANHUA PTE. LTD.</t>
        </is>
      </c>
      <c r="O305" s="757" t="n">
        <v>8.327199999999999</v>
      </c>
      <c r="P305" s="346">
        <f>VLOOKUP(L305,[3]BHSC_销售订单明细报表_060825!$E$1:$E$65536,1,FALSE)</f>
        <v/>
      </c>
      <c r="Q305" s="758" t="n"/>
      <c r="R305" s="758" t="n"/>
      <c r="S305" s="758" t="n"/>
      <c r="T305" s="758" t="n"/>
      <c r="U305" s="758" t="n"/>
      <c r="V305" s="758" t="n"/>
      <c r="W305" s="758" t="n"/>
    </row>
    <row r="306" s="184">
      <c r="A306" s="106" t="n">
        <v>305</v>
      </c>
      <c r="B306" s="754" t="inlineStr">
        <is>
          <t>chanhua</t>
        </is>
      </c>
      <c r="C306" s="761" t="n">
        <v>45744</v>
      </c>
      <c r="D306" s="755" t="inlineStr">
        <is>
          <t>新加坡比特</t>
        </is>
      </c>
      <c r="E306" s="756" t="inlineStr">
        <is>
          <t>NJ-VT</t>
        </is>
      </c>
      <c r="H306" s="756" t="inlineStr">
        <is>
          <t>BM1370PA</t>
        </is>
      </c>
      <c r="I306" s="755">
        <f>VLOOKUP(H306,[1]编码对账表!C:D,2,0)</f>
        <v/>
      </c>
      <c r="J306" s="330" t="n">
        <v>1056103</v>
      </c>
      <c r="K306" s="331" t="inlineStr">
        <is>
          <t>202503310011</t>
        </is>
      </c>
      <c r="L306" s="332" t="inlineStr">
        <is>
          <t>1403250331114446</t>
        </is>
      </c>
      <c r="M306" s="757" t="inlineStr">
        <is>
          <t>PIE</t>
        </is>
      </c>
      <c r="N306" s="756" t="inlineStr">
        <is>
          <t>CHANHUA PTE. LTD.</t>
        </is>
      </c>
      <c r="O306" s="757" t="n">
        <v>8.327199999999999</v>
      </c>
      <c r="P306" s="346">
        <f>VLOOKUP(L306,[3]BHSC_销售订单明细报表_060825!$E$1:$E$65536,1,FALSE)</f>
        <v/>
      </c>
      <c r="Q306" s="758" t="n"/>
      <c r="R306" s="758" t="n"/>
      <c r="S306" s="758" t="n"/>
      <c r="T306" s="758" t="n"/>
      <c r="U306" s="758" t="n"/>
      <c r="V306" s="758" t="n"/>
      <c r="W306" s="758" t="n"/>
    </row>
    <row r="307" s="184">
      <c r="A307" s="106" t="n">
        <v>306</v>
      </c>
      <c r="B307" s="754" t="inlineStr">
        <is>
          <t>chanhua</t>
        </is>
      </c>
      <c r="C307" s="761" t="n">
        <v>45743</v>
      </c>
      <c r="D307" s="755" t="inlineStr">
        <is>
          <t>新加坡比特</t>
        </is>
      </c>
      <c r="E307" s="756" t="inlineStr">
        <is>
          <t>SPILSZ</t>
        </is>
      </c>
      <c r="H307" s="756" t="inlineStr">
        <is>
          <t>BM1370PA</t>
        </is>
      </c>
      <c r="I307" s="755">
        <f>VLOOKUP(H307,[1]编码对账表!C:D,2,0)</f>
        <v/>
      </c>
      <c r="J307" s="330" t="n">
        <v>402800</v>
      </c>
      <c r="K307" s="331" t="inlineStr">
        <is>
          <t>202503310011</t>
        </is>
      </c>
      <c r="L307" s="332" t="inlineStr">
        <is>
          <t>1403250331114446</t>
        </is>
      </c>
      <c r="M307" s="757" t="inlineStr">
        <is>
          <t>PIE</t>
        </is>
      </c>
      <c r="N307" s="756" t="inlineStr">
        <is>
          <t>CHANHUA PTE. LTD.</t>
        </is>
      </c>
      <c r="O307" s="757" t="n">
        <v>8.327199999999999</v>
      </c>
      <c r="P307" s="346">
        <f>VLOOKUP(L307,[3]BHSC_销售订单明细报表_060825!$E$1:$E$65536,1,FALSE)</f>
        <v/>
      </c>
      <c r="Q307" s="758" t="n"/>
      <c r="R307" s="758" t="n"/>
      <c r="S307" s="758" t="n"/>
      <c r="T307" s="758" t="n"/>
      <c r="U307" s="758" t="n"/>
      <c r="V307" s="758" t="n"/>
      <c r="W307" s="758" t="n"/>
    </row>
    <row r="308" s="184">
      <c r="A308" s="106" t="n">
        <v>307</v>
      </c>
      <c r="B308" s="754" t="inlineStr">
        <is>
          <t>chanhua</t>
        </is>
      </c>
      <c r="C308" s="761" t="n">
        <v>45744</v>
      </c>
      <c r="D308" s="755" t="inlineStr">
        <is>
          <t>新加坡比特</t>
        </is>
      </c>
      <c r="E308" s="756" t="inlineStr">
        <is>
          <t>XJ</t>
        </is>
      </c>
      <c r="H308" s="756" t="inlineStr">
        <is>
          <t>BM1370PA</t>
        </is>
      </c>
      <c r="I308" s="755">
        <f>VLOOKUP(H308,[1]编码对账表!C:D,2,0)</f>
        <v/>
      </c>
      <c r="J308" s="330" t="n">
        <v>95322</v>
      </c>
      <c r="K308" s="331" t="inlineStr">
        <is>
          <t>202503310011</t>
        </is>
      </c>
      <c r="L308" s="332" t="inlineStr">
        <is>
          <t>1403250331114446</t>
        </is>
      </c>
      <c r="M308" s="757" t="inlineStr">
        <is>
          <t>PIE</t>
        </is>
      </c>
      <c r="N308" s="756" t="inlineStr">
        <is>
          <t>CHANHUA PTE. LTD.</t>
        </is>
      </c>
      <c r="O308" s="757" t="n">
        <v>8.327199999999999</v>
      </c>
      <c r="P308" s="346">
        <f>VLOOKUP(L308,[3]BHSC_销售订单明细报表_060825!$E$1:$E$65536,1,FALSE)</f>
        <v/>
      </c>
      <c r="Q308" s="758" t="n"/>
      <c r="R308" s="758" t="n"/>
      <c r="S308" s="758" t="n"/>
      <c r="T308" s="758" t="n"/>
      <c r="U308" s="758" t="n"/>
      <c r="V308" s="758" t="n"/>
      <c r="W308" s="758" t="n"/>
    </row>
    <row r="309" s="184">
      <c r="A309" s="106" t="n">
        <v>308</v>
      </c>
      <c r="B309" s="754" t="inlineStr">
        <is>
          <t>chanhua</t>
        </is>
      </c>
      <c r="C309" s="761" t="n">
        <v>45744</v>
      </c>
      <c r="D309" s="755" t="inlineStr">
        <is>
          <t>新加坡比特</t>
        </is>
      </c>
      <c r="E309" s="756" t="inlineStr">
        <is>
          <t>SPILSZ</t>
        </is>
      </c>
      <c r="H309" s="756" t="inlineStr">
        <is>
          <t>BM1370PA</t>
        </is>
      </c>
      <c r="I309" s="755">
        <f>VLOOKUP(H309,[1]编码对账表!C:D,2,0)</f>
        <v/>
      </c>
      <c r="J309" s="330" t="n">
        <v>219474</v>
      </c>
      <c r="K309" s="331" t="inlineStr">
        <is>
          <t>202503310010</t>
        </is>
      </c>
      <c r="L309" s="332" t="inlineStr">
        <is>
          <t>1403250331114437</t>
        </is>
      </c>
      <c r="M309" s="757" t="inlineStr">
        <is>
          <t>Nationgate</t>
        </is>
      </c>
      <c r="N309" s="756" t="inlineStr">
        <is>
          <t>CHANHUA PTE. LTD.</t>
        </is>
      </c>
      <c r="O309" s="757" t="n">
        <v>8.327199999999999</v>
      </c>
      <c r="P309" s="346">
        <f>VLOOKUP(L309,[3]BHSC_销售订单明细报表_060825!$E$1:$E$65536,1,FALSE)</f>
        <v/>
      </c>
      <c r="Q309" s="758" t="n"/>
      <c r="R309" s="758" t="n"/>
      <c r="S309" s="758" t="n"/>
      <c r="T309" s="758" t="n"/>
      <c r="U309" s="758" t="n"/>
      <c r="V309" s="758" t="n"/>
      <c r="W309" s="758" t="n"/>
    </row>
    <row r="310" s="184">
      <c r="A310" s="106" t="n">
        <v>309</v>
      </c>
      <c r="B310" s="754" t="inlineStr">
        <is>
          <t>chanhua</t>
        </is>
      </c>
      <c r="C310" s="761" t="n">
        <v>45743</v>
      </c>
      <c r="D310" s="755" t="inlineStr">
        <is>
          <t>新加坡比特</t>
        </is>
      </c>
      <c r="E310" s="756" t="inlineStr">
        <is>
          <t>WX-HN</t>
        </is>
      </c>
      <c r="H310" s="756" t="inlineStr">
        <is>
          <t>BM1370PA</t>
        </is>
      </c>
      <c r="I310" s="755">
        <f>VLOOKUP(H310,[1]编码对账表!C:D,2,0)</f>
        <v/>
      </c>
      <c r="J310" s="330" t="n">
        <v>100460</v>
      </c>
      <c r="K310" s="331" t="inlineStr">
        <is>
          <t>202503310010</t>
        </is>
      </c>
      <c r="L310" s="332" t="inlineStr">
        <is>
          <t>1403250331114437</t>
        </is>
      </c>
      <c r="M310" s="757" t="inlineStr">
        <is>
          <t>Nationgate</t>
        </is>
      </c>
      <c r="N310" s="756" t="inlineStr">
        <is>
          <t>CHANHUA PTE. LTD.</t>
        </is>
      </c>
      <c r="O310" s="757" t="n">
        <v>8.327199999999999</v>
      </c>
      <c r="P310" s="346">
        <f>VLOOKUP(L310,[3]BHSC_销售订单明细报表_060825!$E$1:$E$65536,1,FALSE)</f>
        <v/>
      </c>
      <c r="Q310" s="758" t="n"/>
      <c r="R310" s="758" t="n"/>
      <c r="S310" s="758" t="n"/>
      <c r="T310" s="758" t="n"/>
      <c r="U310" s="758" t="n"/>
      <c r="V310" s="758" t="n"/>
      <c r="W310" s="758" t="n"/>
    </row>
    <row r="311" s="184">
      <c r="A311" s="106" t="n">
        <v>310</v>
      </c>
      <c r="B311" s="754" t="inlineStr">
        <is>
          <t>chanhua</t>
        </is>
      </c>
      <c r="C311" s="761" t="n">
        <v>45750</v>
      </c>
      <c r="D311" s="755" t="inlineStr">
        <is>
          <t>新加坡比特</t>
        </is>
      </c>
      <c r="E311" s="756" t="inlineStr">
        <is>
          <t>SPILSZ</t>
        </is>
      </c>
      <c r="H311" s="756" t="inlineStr">
        <is>
          <t>BM1370BC</t>
        </is>
      </c>
      <c r="I311" s="755">
        <f>VLOOKUP(H311,[1]编码对账表!C:D,2,0)</f>
        <v/>
      </c>
      <c r="J311" s="330" t="n">
        <v>201088</v>
      </c>
      <c r="K311" s="331" t="inlineStr">
        <is>
          <t>202504080014</t>
        </is>
      </c>
      <c r="L311" s="332" t="inlineStr">
        <is>
          <t>1403250408141427</t>
        </is>
      </c>
      <c r="M311" s="757" t="inlineStr">
        <is>
          <t>印尼奥海</t>
        </is>
      </c>
      <c r="N311" s="756" t="inlineStr">
        <is>
          <t>CHANHUA PTE. LTD.</t>
        </is>
      </c>
      <c r="O311" s="757" t="n">
        <v>8.3123</v>
      </c>
      <c r="P311" s="346">
        <f>VLOOKUP(L311,[3]BHSC_销售订单明细报表_060825!$E$1:$E$65536,1,FALSE)</f>
        <v/>
      </c>
      <c r="Q311" s="758" t="n"/>
      <c r="R311" s="758" t="n"/>
      <c r="S311" s="758" t="n"/>
      <c r="T311" s="758" t="n"/>
      <c r="U311" s="758" t="n"/>
      <c r="V311" s="758" t="n"/>
      <c r="W311" s="758" t="n"/>
    </row>
    <row r="312" s="184">
      <c r="A312" s="106" t="n">
        <v>311</v>
      </c>
      <c r="B312" s="754" t="inlineStr">
        <is>
          <t>chanhua</t>
        </is>
      </c>
      <c r="C312" s="761" t="n">
        <v>45750</v>
      </c>
      <c r="D312" s="755" t="inlineStr">
        <is>
          <t>新加坡比特</t>
        </is>
      </c>
      <c r="E312" s="756" t="inlineStr">
        <is>
          <t>WX-HN</t>
        </is>
      </c>
      <c r="H312" s="756" t="inlineStr">
        <is>
          <t>BM1370BC</t>
        </is>
      </c>
      <c r="I312" s="755">
        <f>VLOOKUP(H312,[1]编码对账表!C:D,2,0)</f>
        <v/>
      </c>
      <c r="J312" s="330" t="n">
        <v>387145</v>
      </c>
      <c r="K312" s="331" t="inlineStr">
        <is>
          <t>202504080014</t>
        </is>
      </c>
      <c r="L312" s="332" t="inlineStr">
        <is>
          <t>1403250408141427</t>
        </is>
      </c>
      <c r="M312" s="757" t="inlineStr">
        <is>
          <t>印尼奥海</t>
        </is>
      </c>
      <c r="N312" s="756" t="inlineStr">
        <is>
          <t>CHANHUA PTE. LTD.</t>
        </is>
      </c>
      <c r="O312" s="757" t="n">
        <v>8.3123</v>
      </c>
      <c r="P312" s="346">
        <f>VLOOKUP(L312,[3]BHSC_销售订单明细报表_060825!$E$1:$E$65536,1,FALSE)</f>
        <v/>
      </c>
      <c r="Q312" s="758" t="n"/>
      <c r="R312" s="758" t="n"/>
      <c r="S312" s="758" t="n"/>
      <c r="T312" s="758" t="n"/>
      <c r="U312" s="758" t="n"/>
      <c r="V312" s="758" t="n"/>
      <c r="W312" s="758" t="n"/>
    </row>
    <row r="313" s="184">
      <c r="A313" s="106" t="n">
        <v>312</v>
      </c>
      <c r="B313" s="754" t="inlineStr">
        <is>
          <t>chanhua</t>
        </is>
      </c>
      <c r="C313" s="761" t="n">
        <v>45750</v>
      </c>
      <c r="D313" s="755" t="inlineStr">
        <is>
          <t>新加坡比特</t>
        </is>
      </c>
      <c r="E313" s="756" t="inlineStr">
        <is>
          <t>SPILSZ</t>
        </is>
      </c>
      <c r="H313" s="756" t="inlineStr">
        <is>
          <t>BM1370PA</t>
        </is>
      </c>
      <c r="I313" s="755">
        <f>VLOOKUP(H313,[1]编码对账表!C:D,2,0)</f>
        <v/>
      </c>
      <c r="J313" s="330" t="n">
        <v>398</v>
      </c>
      <c r="K313" s="331" t="inlineStr">
        <is>
          <t>202504080014</t>
        </is>
      </c>
      <c r="L313" s="332" t="inlineStr">
        <is>
          <t>1403250408141427</t>
        </is>
      </c>
      <c r="M313" s="757" t="inlineStr">
        <is>
          <t>印尼奥海</t>
        </is>
      </c>
      <c r="N313" s="756" t="inlineStr">
        <is>
          <t>CHANHUA PTE. LTD.</t>
        </is>
      </c>
      <c r="O313" s="757" t="n">
        <v>8.3123</v>
      </c>
      <c r="P313" s="346">
        <f>VLOOKUP(L313,[3]BHSC_销售订单明细报表_060825!$E$1:$E$65536,1,FALSE)</f>
        <v/>
      </c>
      <c r="Q313" s="758" t="n"/>
      <c r="R313" s="758" t="n"/>
      <c r="S313" s="758" t="n"/>
      <c r="T313" s="758" t="n"/>
      <c r="U313" s="758" t="n"/>
      <c r="V313" s="758" t="n"/>
      <c r="W313" s="758" t="n"/>
    </row>
    <row r="314" s="184">
      <c r="A314" s="106" t="n">
        <v>313</v>
      </c>
      <c r="B314" s="754" t="inlineStr">
        <is>
          <t>chanhua</t>
        </is>
      </c>
      <c r="C314" s="761" t="n">
        <v>45750</v>
      </c>
      <c r="D314" s="755" t="inlineStr">
        <is>
          <t>新加坡比特</t>
        </is>
      </c>
      <c r="E314" s="756" t="inlineStr">
        <is>
          <t>WX-HN</t>
        </is>
      </c>
      <c r="H314" s="756" t="inlineStr">
        <is>
          <t>BM1370PA</t>
        </is>
      </c>
      <c r="I314" s="755">
        <f>VLOOKUP(H314,[1]编码对账表!C:D,2,0)</f>
        <v/>
      </c>
      <c r="J314" s="330" t="n">
        <v>496103</v>
      </c>
      <c r="K314" s="331" t="inlineStr">
        <is>
          <t>202504080014</t>
        </is>
      </c>
      <c r="L314" s="332" t="inlineStr">
        <is>
          <t>1403250408141427</t>
        </is>
      </c>
      <c r="M314" s="757" t="inlineStr">
        <is>
          <t>印尼奥海</t>
        </is>
      </c>
      <c r="N314" s="756" t="inlineStr">
        <is>
          <t>CHANHUA PTE. LTD.</t>
        </is>
      </c>
      <c r="O314" s="757" t="n">
        <v>8.3123</v>
      </c>
      <c r="P314" s="346">
        <f>VLOOKUP(L314,[3]BHSC_销售订单明细报表_060825!$E$1:$E$65536,1,FALSE)</f>
        <v/>
      </c>
      <c r="Q314" s="758" t="n"/>
      <c r="R314" s="758" t="n"/>
      <c r="S314" s="758" t="n"/>
      <c r="T314" s="758" t="n"/>
      <c r="U314" s="758" t="n"/>
      <c r="V314" s="758" t="n"/>
      <c r="W314" s="758" t="n"/>
    </row>
    <row r="315" s="184">
      <c r="A315" s="106" t="n">
        <v>314</v>
      </c>
      <c r="B315" s="754" t="inlineStr">
        <is>
          <t>chanhua</t>
        </is>
      </c>
      <c r="C315" s="761" t="n">
        <v>45750</v>
      </c>
      <c r="D315" s="755" t="inlineStr">
        <is>
          <t>新加坡比特</t>
        </is>
      </c>
      <c r="E315" s="756" t="inlineStr">
        <is>
          <t>XJ</t>
        </is>
      </c>
      <c r="H315" s="756" t="inlineStr">
        <is>
          <t>BM1370PA</t>
        </is>
      </c>
      <c r="I315" s="755">
        <f>VLOOKUP(H315,[1]编码对账表!C:D,2,0)</f>
        <v/>
      </c>
      <c r="J315" s="330" t="n">
        <v>507213</v>
      </c>
      <c r="K315" s="331" t="inlineStr">
        <is>
          <t>202504080014</t>
        </is>
      </c>
      <c r="L315" s="332" t="inlineStr">
        <is>
          <t>1403250408141427</t>
        </is>
      </c>
      <c r="M315" s="757" t="inlineStr">
        <is>
          <t>印尼奥海</t>
        </is>
      </c>
      <c r="N315" s="756" t="inlineStr">
        <is>
          <t>CHANHUA PTE. LTD.</t>
        </is>
      </c>
      <c r="O315" s="757" t="n">
        <v>8.3123</v>
      </c>
      <c r="P315" s="346">
        <f>VLOOKUP(L315,[3]BHSC_销售订单明细报表_060825!$E$1:$E$65536,1,FALSE)</f>
        <v/>
      </c>
      <c r="Q315" s="758" t="n"/>
      <c r="R315" s="758" t="n"/>
      <c r="S315" s="758" t="n"/>
      <c r="T315" s="758" t="n"/>
      <c r="U315" s="758" t="n"/>
      <c r="V315" s="758" t="n"/>
      <c r="W315" s="758" t="n"/>
    </row>
    <row r="316" s="184">
      <c r="A316" s="106" t="n">
        <v>315</v>
      </c>
      <c r="B316" s="754" t="inlineStr">
        <is>
          <t>chanhua</t>
        </is>
      </c>
      <c r="C316" s="761" t="n">
        <v>45747</v>
      </c>
      <c r="D316" s="755" t="inlineStr">
        <is>
          <t>新加坡比特</t>
        </is>
      </c>
      <c r="E316" s="756" t="inlineStr">
        <is>
          <t>JSCC</t>
        </is>
      </c>
      <c r="H316" s="756" t="inlineStr">
        <is>
          <t>BM1370PM</t>
        </is>
      </c>
      <c r="I316" s="755">
        <f>VLOOKUP(H316,[1]编码对账表!C:D,2,0)</f>
        <v/>
      </c>
      <c r="J316" s="330" t="n">
        <v>28849</v>
      </c>
      <c r="K316" s="331" t="inlineStr">
        <is>
          <t>202504080014</t>
        </is>
      </c>
      <c r="L316" s="332" t="inlineStr">
        <is>
          <t>1403250408141427</t>
        </is>
      </c>
      <c r="M316" s="757" t="inlineStr">
        <is>
          <t>印尼奥海</t>
        </is>
      </c>
      <c r="N316" s="756" t="inlineStr">
        <is>
          <t>CHANHUA PTE. LTD.</t>
        </is>
      </c>
      <c r="O316" s="757" t="n">
        <v>8.3123</v>
      </c>
      <c r="P316" s="346">
        <f>VLOOKUP(L316,[3]BHSC_销售订单明细报表_060825!$E$1:$E$65536,1,FALSE)</f>
        <v/>
      </c>
      <c r="Q316" s="758" t="n"/>
      <c r="R316" s="758" t="n"/>
      <c r="S316" s="758" t="n"/>
      <c r="T316" s="758" t="n"/>
      <c r="U316" s="758" t="n"/>
      <c r="V316" s="758" t="n"/>
      <c r="W316" s="758" t="n"/>
    </row>
    <row r="317" s="184">
      <c r="A317" s="106" t="n">
        <v>316</v>
      </c>
      <c r="B317" s="754" t="inlineStr">
        <is>
          <t>chanhua</t>
        </is>
      </c>
      <c r="C317" s="761" t="n">
        <v>45754</v>
      </c>
      <c r="D317" s="755" t="inlineStr">
        <is>
          <t>新加坡比特</t>
        </is>
      </c>
      <c r="E317" s="756" t="inlineStr">
        <is>
          <t>SPILSZ</t>
        </is>
      </c>
      <c r="H317" s="756" t="inlineStr">
        <is>
          <t>BM1370BC</t>
        </is>
      </c>
      <c r="I317" s="755">
        <f>VLOOKUP(H317,[1]编码对账表!C:D,2,0)</f>
        <v/>
      </c>
      <c r="J317" s="330" t="n">
        <v>523617</v>
      </c>
      <c r="K317" s="331" t="inlineStr">
        <is>
          <t>202504080013</t>
        </is>
      </c>
      <c r="L317" s="332" t="inlineStr">
        <is>
          <t>1403250408141417</t>
        </is>
      </c>
      <c r="M317" s="757" t="inlineStr">
        <is>
          <t>泰国群光</t>
        </is>
      </c>
      <c r="N317" s="756" t="inlineStr">
        <is>
          <t>CHANHUA PTE. LTD.</t>
        </is>
      </c>
      <c r="O317" s="757" t="n">
        <v>8.3123</v>
      </c>
      <c r="P317" s="346">
        <f>VLOOKUP(L317,[3]BHSC_销售订单明细报表_060825!$E$1:$E$65536,1,FALSE)</f>
        <v/>
      </c>
      <c r="Q317" s="758" t="n"/>
      <c r="R317" s="758" t="n"/>
      <c r="S317" s="758" t="n"/>
      <c r="T317" s="758" t="n"/>
      <c r="U317" s="758" t="n"/>
      <c r="V317" s="758" t="n"/>
      <c r="W317" s="758" t="n"/>
    </row>
    <row r="318" s="184">
      <c r="A318" s="106" t="n">
        <v>317</v>
      </c>
      <c r="B318" s="754" t="inlineStr">
        <is>
          <t>chanhua</t>
        </is>
      </c>
      <c r="C318" s="761" t="n">
        <v>45754</v>
      </c>
      <c r="D318" s="755" t="inlineStr">
        <is>
          <t>新加坡比特</t>
        </is>
      </c>
      <c r="E318" s="756" t="inlineStr">
        <is>
          <t>ASE-KH</t>
        </is>
      </c>
      <c r="H318" s="756" t="inlineStr">
        <is>
          <t>BM1370PA</t>
        </is>
      </c>
      <c r="I318" s="755">
        <f>VLOOKUP(H318,[1]编码对账表!C:D,2,0)</f>
        <v/>
      </c>
      <c r="J318" s="330" t="n">
        <v>3715</v>
      </c>
      <c r="K318" s="331" t="inlineStr">
        <is>
          <t>202504080013</t>
        </is>
      </c>
      <c r="L318" s="332" t="inlineStr">
        <is>
          <t>1403250408141417</t>
        </is>
      </c>
      <c r="M318" s="757" t="inlineStr">
        <is>
          <t>泰国群光</t>
        </is>
      </c>
      <c r="N318" s="756" t="inlineStr">
        <is>
          <t>CHANHUA PTE. LTD.</t>
        </is>
      </c>
      <c r="O318" s="757" t="n">
        <v>8.3123</v>
      </c>
      <c r="P318" s="346">
        <f>VLOOKUP(L318,[3]BHSC_销售订单明细报表_060825!$E$1:$E$65536,1,FALSE)</f>
        <v/>
      </c>
      <c r="Q318" s="758" t="n"/>
      <c r="R318" s="758" t="n"/>
      <c r="S318" s="758" t="n"/>
      <c r="T318" s="758" t="n"/>
      <c r="U318" s="758" t="n"/>
      <c r="V318" s="758" t="n"/>
      <c r="W318" s="758" t="n"/>
    </row>
    <row r="319" s="184">
      <c r="A319" s="106" t="n">
        <v>318</v>
      </c>
      <c r="B319" s="754" t="inlineStr">
        <is>
          <t>chanhua</t>
        </is>
      </c>
      <c r="C319" s="761" t="n">
        <v>45750</v>
      </c>
      <c r="D319" s="755" t="inlineStr">
        <is>
          <t>新加坡比特</t>
        </is>
      </c>
      <c r="E319" s="756" t="inlineStr">
        <is>
          <t>ASECL</t>
        </is>
      </c>
      <c r="H319" s="756" t="inlineStr">
        <is>
          <t>BM1370PA</t>
        </is>
      </c>
      <c r="I319" s="755">
        <f>VLOOKUP(H319,[1]编码对账表!C:D,2,0)</f>
        <v/>
      </c>
      <c r="J319" s="330" t="n">
        <v>31145</v>
      </c>
      <c r="K319" s="331" t="inlineStr">
        <is>
          <t>202504080013</t>
        </is>
      </c>
      <c r="L319" s="332" t="inlineStr">
        <is>
          <t>1403250408141417</t>
        </is>
      </c>
      <c r="M319" s="757" t="inlineStr">
        <is>
          <t>泰国群光</t>
        </is>
      </c>
      <c r="N319" s="756" t="inlineStr">
        <is>
          <t>CHANHUA PTE. LTD.</t>
        </is>
      </c>
      <c r="O319" s="757" t="n">
        <v>8.3123</v>
      </c>
      <c r="P319" s="346">
        <f>VLOOKUP(L319,[3]BHSC_销售订单明细报表_060825!$E$1:$E$65536,1,FALSE)</f>
        <v/>
      </c>
      <c r="Q319" s="758" t="n"/>
      <c r="R319" s="758" t="n"/>
      <c r="S319" s="758" t="n"/>
      <c r="T319" s="758" t="n"/>
      <c r="U319" s="758" t="n"/>
      <c r="V319" s="758" t="n"/>
      <c r="W319" s="758" t="n"/>
    </row>
    <row r="320" s="184">
      <c r="A320" s="106" t="n">
        <v>319</v>
      </c>
      <c r="B320" s="754" t="inlineStr">
        <is>
          <t>chanhua</t>
        </is>
      </c>
      <c r="C320" s="761" t="n">
        <v>45750</v>
      </c>
      <c r="D320" s="755" t="inlineStr">
        <is>
          <t>新加坡比特</t>
        </is>
      </c>
      <c r="E320" s="756" t="inlineStr">
        <is>
          <t>SPILSZ</t>
        </is>
      </c>
      <c r="H320" s="756" t="inlineStr">
        <is>
          <t>BM1370PA</t>
        </is>
      </c>
      <c r="I320" s="755">
        <f>VLOOKUP(H320,[1]编码对账表!C:D,2,0)</f>
        <v/>
      </c>
      <c r="J320" s="330" t="n">
        <v>394552</v>
      </c>
      <c r="K320" s="331" t="inlineStr">
        <is>
          <t>202504080013</t>
        </is>
      </c>
      <c r="L320" s="332" t="inlineStr">
        <is>
          <t>1403250408141417</t>
        </is>
      </c>
      <c r="M320" s="757" t="inlineStr">
        <is>
          <t>泰国群光</t>
        </is>
      </c>
      <c r="N320" s="756" t="inlineStr">
        <is>
          <t>CHANHUA PTE. LTD.</t>
        </is>
      </c>
      <c r="O320" s="757" t="n">
        <v>8.3123</v>
      </c>
      <c r="P320" s="346">
        <f>VLOOKUP(L320,[3]BHSC_销售订单明细报表_060825!$E$1:$E$65536,1,FALSE)</f>
        <v/>
      </c>
      <c r="Q320" s="758" t="n"/>
      <c r="R320" s="758" t="n"/>
      <c r="S320" s="758" t="n"/>
      <c r="T320" s="758" t="n"/>
      <c r="U320" s="758" t="n"/>
      <c r="V320" s="758" t="n"/>
      <c r="W320" s="758" t="n"/>
    </row>
    <row r="321" s="184">
      <c r="A321" s="106" t="n">
        <v>320</v>
      </c>
      <c r="B321" s="754" t="inlineStr">
        <is>
          <t>chanhua</t>
        </is>
      </c>
      <c r="C321" s="761" t="n">
        <v>45754</v>
      </c>
      <c r="D321" s="755" t="inlineStr">
        <is>
          <t>新加坡比特</t>
        </is>
      </c>
      <c r="E321" s="756" t="inlineStr">
        <is>
          <t>JSCC</t>
        </is>
      </c>
      <c r="H321" s="756" t="inlineStr">
        <is>
          <t>BM1370PM</t>
        </is>
      </c>
      <c r="I321" s="755">
        <f>VLOOKUP(H321,[1]编码对账表!C:D,2,0)</f>
        <v/>
      </c>
      <c r="J321" s="330" t="n">
        <v>56024</v>
      </c>
      <c r="K321" s="331" t="inlineStr">
        <is>
          <t>202504080013</t>
        </is>
      </c>
      <c r="L321" s="332" t="inlineStr">
        <is>
          <t>1403250408141417</t>
        </is>
      </c>
      <c r="M321" s="757" t="inlineStr">
        <is>
          <t>泰国群光</t>
        </is>
      </c>
      <c r="N321" s="756" t="inlineStr">
        <is>
          <t>CHANHUA PTE. LTD.</t>
        </is>
      </c>
      <c r="O321" s="757" t="n">
        <v>8.3123</v>
      </c>
      <c r="P321" s="346">
        <f>VLOOKUP(L321,[3]BHSC_销售订单明细报表_060825!$E$1:$E$65536,1,FALSE)</f>
        <v/>
      </c>
      <c r="Q321" s="758" t="n"/>
      <c r="R321" s="758" t="n"/>
      <c r="S321" s="758" t="n"/>
      <c r="T321" s="758" t="n"/>
      <c r="U321" s="758" t="n"/>
      <c r="V321" s="758" t="n"/>
      <c r="W321" s="758" t="n"/>
    </row>
    <row r="322" s="184">
      <c r="A322" s="106" t="n">
        <v>321</v>
      </c>
      <c r="B322" s="754" t="inlineStr">
        <is>
          <t>chanhua</t>
        </is>
      </c>
      <c r="C322" s="761" t="n">
        <v>45754</v>
      </c>
      <c r="D322" s="755" t="inlineStr">
        <is>
          <t>新加坡比特</t>
        </is>
      </c>
      <c r="E322" s="756" t="inlineStr">
        <is>
          <t>SPILSZ</t>
        </is>
      </c>
      <c r="H322" s="756" t="inlineStr">
        <is>
          <t>BM1370AA</t>
        </is>
      </c>
      <c r="I322" s="755">
        <f>VLOOKUP(H322,[1]编码对账表!C:D,2,0)</f>
        <v/>
      </c>
      <c r="J322" s="330" t="n">
        <v>129668</v>
      </c>
      <c r="K322" s="331" t="inlineStr">
        <is>
          <t>202504080012</t>
        </is>
      </c>
      <c r="L322" s="332" t="inlineStr">
        <is>
          <t>1403250408141409</t>
        </is>
      </c>
      <c r="M322" s="757" t="inlineStr">
        <is>
          <t>泰国ONETEC</t>
        </is>
      </c>
      <c r="N322" s="756" t="inlineStr">
        <is>
          <t>CHANHUA PTE. LTD.</t>
        </is>
      </c>
      <c r="O322" s="757" t="n">
        <v>8.3123</v>
      </c>
      <c r="P322" s="346">
        <f>VLOOKUP(L322,[3]BHSC_销售订单明细报表_060825!$E$1:$E$65536,1,FALSE)</f>
        <v/>
      </c>
      <c r="Q322" s="758" t="n"/>
      <c r="R322" s="758" t="n"/>
      <c r="S322" s="758" t="n"/>
      <c r="T322" s="758" t="n"/>
      <c r="U322" s="758" t="n"/>
      <c r="V322" s="758" t="n"/>
      <c r="W322" s="758" t="n"/>
    </row>
    <row r="323" s="184">
      <c r="A323" s="106" t="n">
        <v>322</v>
      </c>
      <c r="B323" s="754" t="inlineStr">
        <is>
          <t>chanhua</t>
        </is>
      </c>
      <c r="C323" s="761" t="n">
        <v>45754</v>
      </c>
      <c r="D323" s="755" t="inlineStr">
        <is>
          <t>新加坡比特</t>
        </is>
      </c>
      <c r="E323" s="756" t="inlineStr">
        <is>
          <t>NJ-VT</t>
        </is>
      </c>
      <c r="H323" s="756" t="inlineStr">
        <is>
          <t>BM1370BC</t>
        </is>
      </c>
      <c r="I323" s="755">
        <f>VLOOKUP(H323,[1]编码对账表!C:D,2,0)</f>
        <v/>
      </c>
      <c r="J323" s="330" t="n">
        <v>134909</v>
      </c>
      <c r="K323" s="331" t="inlineStr">
        <is>
          <t>202504080012</t>
        </is>
      </c>
      <c r="L323" s="332" t="inlineStr">
        <is>
          <t>1403250408141409</t>
        </is>
      </c>
      <c r="M323" s="757" t="inlineStr">
        <is>
          <t>泰国ONETEC</t>
        </is>
      </c>
      <c r="N323" s="756" t="inlineStr">
        <is>
          <t>CHANHUA PTE. LTD.</t>
        </is>
      </c>
      <c r="O323" s="757" t="n">
        <v>8.3123</v>
      </c>
      <c r="P323" s="346">
        <f>VLOOKUP(L323,[3]BHSC_销售订单明细报表_060825!$E$1:$E$65536,1,FALSE)</f>
        <v/>
      </c>
      <c r="Q323" s="758" t="n"/>
      <c r="R323" s="758" t="n"/>
      <c r="S323" s="758" t="n"/>
      <c r="T323" s="758" t="n"/>
      <c r="U323" s="758" t="n"/>
      <c r="V323" s="758" t="n"/>
      <c r="W323" s="758" t="n"/>
    </row>
    <row r="324" s="184">
      <c r="A324" s="106" t="n">
        <v>323</v>
      </c>
      <c r="B324" s="754" t="inlineStr">
        <is>
          <t>chanhua</t>
        </is>
      </c>
      <c r="C324" s="761" t="n">
        <v>45754</v>
      </c>
      <c r="D324" s="755" t="inlineStr">
        <is>
          <t>新加坡比特</t>
        </is>
      </c>
      <c r="E324" s="756" t="inlineStr">
        <is>
          <t>SPILSZ</t>
        </is>
      </c>
      <c r="H324" s="756" t="inlineStr">
        <is>
          <t>BM1370BC</t>
        </is>
      </c>
      <c r="I324" s="755">
        <f>VLOOKUP(H324,[1]编码对账表!C:D,2,0)</f>
        <v/>
      </c>
      <c r="J324" s="330" t="n">
        <v>126046</v>
      </c>
      <c r="K324" s="331" t="inlineStr">
        <is>
          <t>202504080012</t>
        </is>
      </c>
      <c r="L324" s="332" t="inlineStr">
        <is>
          <t>1403250408141409</t>
        </is>
      </c>
      <c r="M324" s="757" t="inlineStr">
        <is>
          <t>泰国ONETEC</t>
        </is>
      </c>
      <c r="N324" s="756" t="inlineStr">
        <is>
          <t>CHANHUA PTE. LTD.</t>
        </is>
      </c>
      <c r="O324" s="757" t="n">
        <v>8.3123</v>
      </c>
      <c r="P324" s="346">
        <f>VLOOKUP(L324,[3]BHSC_销售订单明细报表_060825!$E$1:$E$65536,1,FALSE)</f>
        <v/>
      </c>
      <c r="Q324" s="758" t="n"/>
      <c r="R324" s="758" t="n"/>
      <c r="S324" s="758" t="n"/>
      <c r="T324" s="758" t="n"/>
      <c r="U324" s="758" t="n"/>
      <c r="V324" s="758" t="n"/>
      <c r="W324" s="758" t="n"/>
    </row>
    <row r="325" s="184">
      <c r="A325" s="106" t="n">
        <v>324</v>
      </c>
      <c r="B325" s="754" t="inlineStr">
        <is>
          <t>chanhua</t>
        </is>
      </c>
      <c r="C325" s="761" t="n">
        <v>45750</v>
      </c>
      <c r="D325" s="755" t="inlineStr">
        <is>
          <t>新加坡比特</t>
        </is>
      </c>
      <c r="E325" s="756" t="inlineStr">
        <is>
          <t>ASECL</t>
        </is>
      </c>
      <c r="H325" s="756" t="inlineStr">
        <is>
          <t>BM1370PA</t>
        </is>
      </c>
      <c r="I325" s="755">
        <f>VLOOKUP(H325,[1]编码对账表!C:D,2,0)</f>
        <v/>
      </c>
      <c r="J325" s="330" t="n">
        <v>10044</v>
      </c>
      <c r="K325" s="331" t="inlineStr">
        <is>
          <t>202504080012</t>
        </is>
      </c>
      <c r="L325" s="332" t="inlineStr">
        <is>
          <t>1403250408141409</t>
        </is>
      </c>
      <c r="M325" s="757" t="inlineStr">
        <is>
          <t>泰国ONETEC</t>
        </is>
      </c>
      <c r="N325" s="756" t="inlineStr">
        <is>
          <t>CHANHUA PTE. LTD.</t>
        </is>
      </c>
      <c r="O325" s="757" t="n">
        <v>8.3123</v>
      </c>
      <c r="P325" s="346">
        <f>VLOOKUP(L325,[3]BHSC_销售订单明细报表_060825!$E$1:$E$65536,1,FALSE)</f>
        <v/>
      </c>
      <c r="Q325" s="758" t="n"/>
      <c r="R325" s="758" t="n"/>
      <c r="S325" s="758" t="n"/>
      <c r="T325" s="758" t="n"/>
      <c r="U325" s="758" t="n"/>
      <c r="V325" s="758" t="n"/>
      <c r="W325" s="758" t="n"/>
    </row>
    <row r="326" s="184">
      <c r="A326" s="106" t="n">
        <v>325</v>
      </c>
      <c r="B326" s="754" t="inlineStr">
        <is>
          <t>chanhua</t>
        </is>
      </c>
      <c r="C326" s="761" t="n">
        <v>45754</v>
      </c>
      <c r="D326" s="755" t="inlineStr">
        <is>
          <t>新加坡比特</t>
        </is>
      </c>
      <c r="E326" s="756" t="inlineStr">
        <is>
          <t>JSCC</t>
        </is>
      </c>
      <c r="H326" s="756" t="inlineStr">
        <is>
          <t>BM1370PA</t>
        </is>
      </c>
      <c r="I326" s="755">
        <f>VLOOKUP(H326,[1]编码对账表!C:D,2,0)</f>
        <v/>
      </c>
      <c r="J326" s="330" t="n">
        <v>7161</v>
      </c>
      <c r="K326" s="331" t="inlineStr">
        <is>
          <t>202504080012</t>
        </is>
      </c>
      <c r="L326" s="332" t="inlineStr">
        <is>
          <t>1403250408141409</t>
        </is>
      </c>
      <c r="M326" s="757" t="inlineStr">
        <is>
          <t>泰国ONETEC</t>
        </is>
      </c>
      <c r="N326" s="756" t="inlineStr">
        <is>
          <t>CHANHUA PTE. LTD.</t>
        </is>
      </c>
      <c r="O326" s="757" t="n">
        <v>8.3123</v>
      </c>
      <c r="P326" s="346">
        <f>VLOOKUP(L326,[3]BHSC_销售订单明细报表_060825!$E$1:$E$65536,1,FALSE)</f>
        <v/>
      </c>
      <c r="Q326" s="758" t="n"/>
      <c r="R326" s="758" t="n"/>
      <c r="S326" s="758" t="n"/>
      <c r="T326" s="758" t="n"/>
      <c r="U326" s="758" t="n"/>
      <c r="V326" s="758" t="n"/>
      <c r="W326" s="758" t="n"/>
    </row>
    <row r="327" s="184">
      <c r="A327" s="106" t="n">
        <v>326</v>
      </c>
      <c r="B327" s="754" t="inlineStr">
        <is>
          <t>chanhua</t>
        </is>
      </c>
      <c r="C327" s="761" t="n">
        <v>45750</v>
      </c>
      <c r="D327" s="755" t="inlineStr">
        <is>
          <t>新加坡比特</t>
        </is>
      </c>
      <c r="E327" s="756" t="inlineStr">
        <is>
          <t>NJ-VT</t>
        </is>
      </c>
      <c r="H327" s="756" t="inlineStr">
        <is>
          <t>BM1370PA</t>
        </is>
      </c>
      <c r="I327" s="755">
        <f>VLOOKUP(H327,[1]编码对账表!C:D,2,0)</f>
        <v/>
      </c>
      <c r="J327" s="330" t="n">
        <v>114301</v>
      </c>
      <c r="K327" s="331" t="inlineStr">
        <is>
          <t>202504080012</t>
        </is>
      </c>
      <c r="L327" s="332" t="inlineStr">
        <is>
          <t>1403250408141409</t>
        </is>
      </c>
      <c r="M327" s="757" t="inlineStr">
        <is>
          <t>泰国ONETEC</t>
        </is>
      </c>
      <c r="N327" s="756" t="inlineStr">
        <is>
          <t>CHANHUA PTE. LTD.</t>
        </is>
      </c>
      <c r="O327" s="757" t="n">
        <v>8.3123</v>
      </c>
      <c r="P327" s="346">
        <f>VLOOKUP(L327,[3]BHSC_销售订单明细报表_060825!$E$1:$E$65536,1,FALSE)</f>
        <v/>
      </c>
      <c r="Q327" s="758" t="n"/>
      <c r="R327" s="758" t="n"/>
      <c r="S327" s="758" t="n"/>
      <c r="T327" s="758" t="n"/>
      <c r="U327" s="758" t="n"/>
      <c r="V327" s="758" t="n"/>
      <c r="W327" s="758" t="n"/>
    </row>
    <row r="328" s="184">
      <c r="A328" s="106" t="n">
        <v>327</v>
      </c>
      <c r="B328" s="754" t="inlineStr">
        <is>
          <t>chanhua</t>
        </is>
      </c>
      <c r="C328" s="761" t="n">
        <v>45750</v>
      </c>
      <c r="D328" s="755" t="inlineStr">
        <is>
          <t>新加坡比特</t>
        </is>
      </c>
      <c r="E328" s="756" t="inlineStr">
        <is>
          <t>SPILSZ</t>
        </is>
      </c>
      <c r="H328" s="756" t="inlineStr">
        <is>
          <t>BM1370PA</t>
        </is>
      </c>
      <c r="I328" s="755">
        <f>VLOOKUP(H328,[1]编码对账表!C:D,2,0)</f>
        <v/>
      </c>
      <c r="J328" s="330" t="n">
        <v>364598</v>
      </c>
      <c r="K328" s="331" t="inlineStr">
        <is>
          <t>202504080012</t>
        </is>
      </c>
      <c r="L328" s="332" t="inlineStr">
        <is>
          <t>1403250408141409</t>
        </is>
      </c>
      <c r="M328" s="757" t="inlineStr">
        <is>
          <t>泰国ONETEC</t>
        </is>
      </c>
      <c r="N328" s="756" t="inlineStr">
        <is>
          <t>CHANHUA PTE. LTD.</t>
        </is>
      </c>
      <c r="O328" s="757" t="n">
        <v>8.3123</v>
      </c>
      <c r="P328" s="346">
        <f>VLOOKUP(L328,[3]BHSC_销售订单明细报表_060825!$E$1:$E$65536,1,FALSE)</f>
        <v/>
      </c>
      <c r="Q328" s="758" t="n"/>
      <c r="R328" s="758" t="n"/>
      <c r="S328" s="758" t="n"/>
      <c r="T328" s="758" t="n"/>
      <c r="U328" s="758" t="n"/>
      <c r="V328" s="758" t="n"/>
      <c r="W328" s="758" t="n"/>
    </row>
    <row r="329" s="184">
      <c r="A329" s="106" t="n">
        <v>328</v>
      </c>
      <c r="B329" s="754" t="inlineStr">
        <is>
          <t>chanhua</t>
        </is>
      </c>
      <c r="C329" s="761" t="n">
        <v>45753</v>
      </c>
      <c r="D329" s="755" t="inlineStr">
        <is>
          <t>新加坡比特</t>
        </is>
      </c>
      <c r="E329" s="756" t="inlineStr">
        <is>
          <t>XJ</t>
        </is>
      </c>
      <c r="H329" s="756" t="inlineStr">
        <is>
          <t>BM1370PA</t>
        </is>
      </c>
      <c r="I329" s="755">
        <f>VLOOKUP(H329,[1]编码对账表!C:D,2,0)</f>
        <v/>
      </c>
      <c r="J329" s="330" t="n">
        <v>105291</v>
      </c>
      <c r="K329" s="331" t="inlineStr">
        <is>
          <t>202504080012</t>
        </is>
      </c>
      <c r="L329" s="332" t="inlineStr">
        <is>
          <t>1403250408141409</t>
        </is>
      </c>
      <c r="M329" s="757" t="inlineStr">
        <is>
          <t>泰国ONETEC</t>
        </is>
      </c>
      <c r="N329" s="756" t="inlineStr">
        <is>
          <t>CHANHUA PTE. LTD.</t>
        </is>
      </c>
      <c r="O329" s="757" t="n">
        <v>8.3123</v>
      </c>
      <c r="P329" s="346">
        <f>VLOOKUP(L329,[3]BHSC_销售订单明细报表_060825!$E$1:$E$65536,1,FALSE)</f>
        <v/>
      </c>
      <c r="Q329" s="758" t="n"/>
      <c r="R329" s="758" t="n"/>
      <c r="S329" s="758" t="n"/>
      <c r="T329" s="758" t="n"/>
      <c r="U329" s="758" t="n"/>
      <c r="V329" s="758" t="n"/>
      <c r="W329" s="758" t="n"/>
    </row>
    <row r="330" s="184">
      <c r="A330" s="106" t="n">
        <v>329</v>
      </c>
      <c r="B330" s="754" t="inlineStr">
        <is>
          <t>chanhua</t>
        </is>
      </c>
      <c r="C330" s="761" t="n">
        <v>45715</v>
      </c>
      <c r="D330" s="755" t="inlineStr">
        <is>
          <t>新加坡比特</t>
        </is>
      </c>
      <c r="E330" s="756" t="inlineStr">
        <is>
          <t>TFME</t>
        </is>
      </c>
      <c r="H330" s="756" t="inlineStr">
        <is>
          <t>BM1370PA</t>
        </is>
      </c>
      <c r="I330" s="755">
        <f>VLOOKUP(H330,[1]编码对账表!C:D,2,0)</f>
        <v/>
      </c>
      <c r="J330" s="330" t="n">
        <v>2612</v>
      </c>
      <c r="K330" s="331" t="inlineStr">
        <is>
          <t>202504080012</t>
        </is>
      </c>
      <c r="L330" s="332" t="inlineStr">
        <is>
          <t>1403250408141409</t>
        </is>
      </c>
      <c r="M330" s="757" t="inlineStr">
        <is>
          <t>泰国ONETEC</t>
        </is>
      </c>
      <c r="N330" s="756" t="inlineStr">
        <is>
          <t>CHANHUA PTE. LTD.</t>
        </is>
      </c>
      <c r="O330" s="757" t="n">
        <v>8.3123</v>
      </c>
      <c r="P330" s="346">
        <f>VLOOKUP(L330,[3]BHSC_销售订单明细报表_060825!$E$1:$E$65536,1,FALSE)</f>
        <v/>
      </c>
      <c r="Q330" s="758" t="n"/>
      <c r="R330" s="758" t="n"/>
      <c r="S330" s="758" t="n"/>
      <c r="T330" s="758" t="n"/>
      <c r="U330" s="758" t="n"/>
      <c r="V330" s="758" t="n"/>
      <c r="W330" s="758" t="n"/>
    </row>
    <row r="331" s="184">
      <c r="A331" s="106" t="n">
        <v>330</v>
      </c>
      <c r="B331" s="754" t="inlineStr">
        <is>
          <t>chanhua</t>
        </is>
      </c>
      <c r="C331" s="761" t="n">
        <v>45750</v>
      </c>
      <c r="D331" s="755" t="inlineStr">
        <is>
          <t>新加坡比特</t>
        </is>
      </c>
      <c r="E331" s="756" t="inlineStr">
        <is>
          <t>ASECL</t>
        </is>
      </c>
      <c r="H331" s="756" t="inlineStr">
        <is>
          <t>BM1370BC</t>
        </is>
      </c>
      <c r="I331" s="755">
        <f>VLOOKUP(H331,[1]编码对账表!C:D,2,0)</f>
        <v/>
      </c>
      <c r="J331" s="330" t="n">
        <v>39473</v>
      </c>
      <c r="K331" s="331" t="inlineStr">
        <is>
          <t>202504080011</t>
        </is>
      </c>
      <c r="L331" s="332" t="inlineStr">
        <is>
          <t>1403250408141357</t>
        </is>
      </c>
      <c r="M331" s="757" t="inlineStr">
        <is>
          <t>PIE</t>
        </is>
      </c>
      <c r="N331" s="756" t="inlineStr">
        <is>
          <t>CHANHUA PTE. LTD.</t>
        </is>
      </c>
      <c r="O331" s="757" t="n">
        <v>8.3123</v>
      </c>
      <c r="P331" s="346">
        <f>VLOOKUP(L331,[3]BHSC_销售订单明细报表_060825!$E$1:$E$65536,1,FALSE)</f>
        <v/>
      </c>
      <c r="Q331" s="758" t="n"/>
      <c r="R331" s="758" t="n"/>
      <c r="S331" s="758" t="n"/>
      <c r="T331" s="758" t="n"/>
      <c r="U331" s="758" t="n"/>
      <c r="V331" s="758" t="n"/>
      <c r="W331" s="758" t="n"/>
    </row>
    <row r="332" s="184">
      <c r="A332" s="106" t="n">
        <v>331</v>
      </c>
      <c r="B332" s="754" t="inlineStr">
        <is>
          <t>chanhua</t>
        </is>
      </c>
      <c r="C332" s="761" t="n">
        <v>45747</v>
      </c>
      <c r="D332" s="755" t="inlineStr">
        <is>
          <t>新加坡比特</t>
        </is>
      </c>
      <c r="E332" s="756" t="inlineStr">
        <is>
          <t>JSCC</t>
        </is>
      </c>
      <c r="H332" s="756" t="inlineStr">
        <is>
          <t>BM1370BC</t>
        </is>
      </c>
      <c r="I332" s="755">
        <f>VLOOKUP(H332,[1]编码对账表!C:D,2,0)</f>
        <v/>
      </c>
      <c r="J332" s="330" t="n">
        <v>567909</v>
      </c>
      <c r="K332" s="331" t="inlineStr">
        <is>
          <t>202504080011</t>
        </is>
      </c>
      <c r="L332" s="332" t="inlineStr">
        <is>
          <t>1403250408141357</t>
        </is>
      </c>
      <c r="M332" s="757" t="inlineStr">
        <is>
          <t>PIE</t>
        </is>
      </c>
      <c r="N332" s="756" t="inlineStr">
        <is>
          <t>CHANHUA PTE. LTD.</t>
        </is>
      </c>
      <c r="O332" s="757" t="n">
        <v>8.3123</v>
      </c>
      <c r="P332" s="346">
        <f>VLOOKUP(L332,[3]BHSC_销售订单明细报表_060825!$E$1:$E$65536,1,FALSE)</f>
        <v/>
      </c>
      <c r="Q332" s="758" t="n"/>
      <c r="R332" s="758" t="n"/>
      <c r="S332" s="758" t="n"/>
      <c r="T332" s="758" t="n"/>
      <c r="U332" s="758" t="n"/>
      <c r="V332" s="758" t="n"/>
      <c r="W332" s="758" t="n"/>
    </row>
    <row r="333" s="184">
      <c r="A333" s="106" t="n">
        <v>332</v>
      </c>
      <c r="B333" s="754" t="inlineStr">
        <is>
          <t>chanhua</t>
        </is>
      </c>
      <c r="C333" s="761" t="n">
        <v>45750</v>
      </c>
      <c r="D333" s="755" t="inlineStr">
        <is>
          <t>新加坡比特</t>
        </is>
      </c>
      <c r="E333" s="756" t="inlineStr">
        <is>
          <t>SPILSZ</t>
        </is>
      </c>
      <c r="H333" s="756" t="inlineStr">
        <is>
          <t>BM1370BC</t>
        </is>
      </c>
      <c r="I333" s="755">
        <f>VLOOKUP(H333,[1]编码对账表!C:D,2,0)</f>
        <v/>
      </c>
      <c r="J333" s="330" t="n">
        <v>159600</v>
      </c>
      <c r="K333" s="331" t="inlineStr">
        <is>
          <t>202504080011</t>
        </is>
      </c>
      <c r="L333" s="332" t="inlineStr">
        <is>
          <t>1403250408141357</t>
        </is>
      </c>
      <c r="M333" s="757" t="inlineStr">
        <is>
          <t>PIE</t>
        </is>
      </c>
      <c r="N333" s="756" t="inlineStr">
        <is>
          <t>CHANHUA PTE. LTD.</t>
        </is>
      </c>
      <c r="O333" s="757" t="n">
        <v>8.3123</v>
      </c>
      <c r="P333" s="346">
        <f>VLOOKUP(L333,[3]BHSC_销售订单明细报表_060825!$E$1:$E$65536,1,FALSE)</f>
        <v/>
      </c>
      <c r="Q333" s="758" t="n"/>
      <c r="R333" s="758" t="n"/>
      <c r="S333" s="758" t="n"/>
      <c r="T333" s="758" t="n"/>
      <c r="U333" s="758" t="n"/>
      <c r="V333" s="758" t="n"/>
      <c r="W333" s="758" t="n"/>
    </row>
    <row r="334" s="184">
      <c r="A334" s="106" t="n">
        <v>333</v>
      </c>
      <c r="B334" s="754" t="inlineStr">
        <is>
          <t>chanhua</t>
        </is>
      </c>
      <c r="C334" s="761" t="n">
        <v>45750</v>
      </c>
      <c r="D334" s="755" t="inlineStr">
        <is>
          <t>新加坡比特</t>
        </is>
      </c>
      <c r="E334" s="756" t="inlineStr">
        <is>
          <t>JSCC</t>
        </is>
      </c>
      <c r="H334" s="756" t="inlineStr">
        <is>
          <t>BM1370PA</t>
        </is>
      </c>
      <c r="I334" s="755">
        <f>VLOOKUP(H334,[1]编码对账表!C:D,2,0)</f>
        <v/>
      </c>
      <c r="J334" s="330" t="n">
        <v>361247</v>
      </c>
      <c r="K334" s="331" t="inlineStr">
        <is>
          <t>202504080011</t>
        </is>
      </c>
      <c r="L334" s="332" t="inlineStr">
        <is>
          <t>1403250408141357</t>
        </is>
      </c>
      <c r="M334" s="757" t="inlineStr">
        <is>
          <t>PIE</t>
        </is>
      </c>
      <c r="N334" s="756" t="inlineStr">
        <is>
          <t>CHANHUA PTE. LTD.</t>
        </is>
      </c>
      <c r="O334" s="757" t="n">
        <v>8.3123</v>
      </c>
      <c r="P334" s="346">
        <f>VLOOKUP(L334,[3]BHSC_销售订单明细报表_060825!$E$1:$E$65536,1,FALSE)</f>
        <v/>
      </c>
      <c r="Q334" s="758" t="n"/>
      <c r="R334" s="758" t="n"/>
      <c r="S334" s="758" t="n"/>
      <c r="T334" s="758" t="n"/>
      <c r="U334" s="758" t="n"/>
      <c r="V334" s="758" t="n"/>
      <c r="W334" s="758" t="n"/>
    </row>
    <row r="335" s="184">
      <c r="A335" s="106" t="n">
        <v>334</v>
      </c>
      <c r="B335" s="754" t="inlineStr">
        <is>
          <t>chanhua</t>
        </is>
      </c>
      <c r="C335" s="761" t="n">
        <v>45750</v>
      </c>
      <c r="D335" s="755" t="inlineStr">
        <is>
          <t>新加坡比特</t>
        </is>
      </c>
      <c r="E335" s="756" t="inlineStr">
        <is>
          <t>XJ</t>
        </is>
      </c>
      <c r="H335" s="756" t="inlineStr">
        <is>
          <t>BM1370PA</t>
        </is>
      </c>
      <c r="I335" s="755">
        <f>VLOOKUP(H335,[1]编码对账表!C:D,2,0)</f>
        <v/>
      </c>
      <c r="J335" s="330" t="n">
        <v>51773</v>
      </c>
      <c r="K335" s="331" t="inlineStr">
        <is>
          <t>202504080011</t>
        </is>
      </c>
      <c r="L335" s="332" t="inlineStr">
        <is>
          <t>1403250408141357</t>
        </is>
      </c>
      <c r="M335" s="757" t="inlineStr">
        <is>
          <t>PIE</t>
        </is>
      </c>
      <c r="N335" s="756" t="inlineStr">
        <is>
          <t>CHANHUA PTE. LTD.</t>
        </is>
      </c>
      <c r="O335" s="757" t="n">
        <v>8.3123</v>
      </c>
      <c r="P335" s="346">
        <f>VLOOKUP(L335,[3]BHSC_销售订单明细报表_060825!$E$1:$E$65536,1,FALSE)</f>
        <v/>
      </c>
      <c r="Q335" s="758" t="n"/>
      <c r="R335" s="758" t="n"/>
      <c r="S335" s="758" t="n"/>
      <c r="T335" s="758" t="n"/>
      <c r="U335" s="758" t="n"/>
      <c r="V335" s="758" t="n"/>
      <c r="W335" s="758" t="n"/>
    </row>
    <row r="336" s="184">
      <c r="A336" s="106" t="n">
        <v>335</v>
      </c>
      <c r="B336" s="754" t="inlineStr">
        <is>
          <t>chanhua</t>
        </is>
      </c>
      <c r="C336" s="761" t="n">
        <v>45754</v>
      </c>
      <c r="D336" s="755" t="inlineStr">
        <is>
          <t>新加坡比特</t>
        </is>
      </c>
      <c r="E336" s="756" t="inlineStr">
        <is>
          <t>ASE-KH</t>
        </is>
      </c>
      <c r="H336" s="756" t="inlineStr">
        <is>
          <t>BM1370PA</t>
        </is>
      </c>
      <c r="I336" s="755">
        <f>VLOOKUP(H336,[1]编码对账表!C:D,2,0)</f>
        <v/>
      </c>
      <c r="J336" s="330" t="n">
        <v>18088</v>
      </c>
      <c r="K336" s="331" t="inlineStr">
        <is>
          <t>202504080010</t>
        </is>
      </c>
      <c r="L336" s="332" t="inlineStr">
        <is>
          <t>1403250408141346</t>
        </is>
      </c>
      <c r="M336" s="757" t="inlineStr">
        <is>
          <t>Nationgate</t>
        </is>
      </c>
      <c r="N336" s="756" t="inlineStr">
        <is>
          <t>CHANHUA PTE. LTD.</t>
        </is>
      </c>
      <c r="O336" s="757" t="n">
        <v>8.3123</v>
      </c>
      <c r="P336" s="346">
        <f>VLOOKUP(L336,[3]BHSC_销售订单明细报表_060825!$E$1:$E$65536,1,FALSE)</f>
        <v/>
      </c>
      <c r="Q336" s="758" t="n"/>
      <c r="R336" s="758" t="n"/>
      <c r="S336" s="758" t="n"/>
      <c r="T336" s="758" t="n"/>
      <c r="U336" s="758" t="n"/>
      <c r="V336" s="758" t="n"/>
      <c r="W336" s="758" t="n"/>
    </row>
    <row r="337" s="184">
      <c r="A337" s="106" t="n">
        <v>336</v>
      </c>
      <c r="B337" s="754" t="inlineStr">
        <is>
          <t>chanhua</t>
        </is>
      </c>
      <c r="C337" s="761" t="n">
        <v>45750</v>
      </c>
      <c r="D337" s="755" t="inlineStr">
        <is>
          <t>新加坡比特</t>
        </is>
      </c>
      <c r="E337" s="756" t="inlineStr">
        <is>
          <t>ASECL</t>
        </is>
      </c>
      <c r="H337" s="756" t="inlineStr">
        <is>
          <t>BM1370PA</t>
        </is>
      </c>
      <c r="I337" s="755">
        <f>VLOOKUP(H337,[1]编码对账表!C:D,2,0)</f>
        <v/>
      </c>
      <c r="J337" s="330" t="n">
        <v>401124</v>
      </c>
      <c r="K337" s="331" t="inlineStr">
        <is>
          <t>202504080010</t>
        </is>
      </c>
      <c r="L337" s="332" t="inlineStr">
        <is>
          <t>1403250408141346</t>
        </is>
      </c>
      <c r="M337" s="757" t="inlineStr">
        <is>
          <t>Nationgate</t>
        </is>
      </c>
      <c r="N337" s="756" t="inlineStr">
        <is>
          <t>CHANHUA PTE. LTD.</t>
        </is>
      </c>
      <c r="O337" s="757" t="n">
        <v>8.3123</v>
      </c>
      <c r="P337" s="346">
        <f>VLOOKUP(L337,[3]BHSC_销售订单明细报表_060825!$E$1:$E$65536,1,FALSE)</f>
        <v/>
      </c>
      <c r="Q337" s="758" t="n"/>
      <c r="R337" s="758" t="n"/>
      <c r="S337" s="758" t="n"/>
      <c r="T337" s="758" t="n"/>
      <c r="U337" s="758" t="n"/>
      <c r="V337" s="758" t="n"/>
      <c r="W337" s="758" t="n"/>
    </row>
    <row r="338" s="184">
      <c r="A338" s="106" t="n">
        <v>337</v>
      </c>
      <c r="B338" s="754" t="inlineStr">
        <is>
          <t>chanhua</t>
        </is>
      </c>
      <c r="C338" s="761" t="n">
        <v>45750</v>
      </c>
      <c r="D338" s="755" t="inlineStr">
        <is>
          <t>新加坡比特</t>
        </is>
      </c>
      <c r="E338" s="756" t="inlineStr">
        <is>
          <t>XJ</t>
        </is>
      </c>
      <c r="H338" s="756" t="inlineStr">
        <is>
          <t>BM1370PA</t>
        </is>
      </c>
      <c r="I338" s="755">
        <f>VLOOKUP(H338,[1]编码对账表!C:D,2,0)</f>
        <v/>
      </c>
      <c r="J338" s="330" t="n">
        <v>73941</v>
      </c>
      <c r="K338" s="331" t="inlineStr">
        <is>
          <t>202504080010</t>
        </is>
      </c>
      <c r="L338" s="332" t="inlineStr">
        <is>
          <t>1403250408141346</t>
        </is>
      </c>
      <c r="M338" s="757" t="inlineStr">
        <is>
          <t>Nationgate</t>
        </is>
      </c>
      <c r="N338" s="756" t="inlineStr">
        <is>
          <t>CHANHUA PTE. LTD.</t>
        </is>
      </c>
      <c r="O338" s="757" t="n">
        <v>8.3123</v>
      </c>
      <c r="P338" s="346">
        <f>VLOOKUP(L338,[3]BHSC_销售订单明细报表_060825!$E$1:$E$65536,1,FALSE)</f>
        <v/>
      </c>
      <c r="Q338" s="758" t="n"/>
      <c r="R338" s="758" t="n"/>
      <c r="S338" s="758" t="n"/>
      <c r="T338" s="758" t="n"/>
      <c r="U338" s="758" t="n"/>
      <c r="V338" s="758" t="n"/>
      <c r="W338" s="758" t="n"/>
    </row>
    <row r="339" s="184">
      <c r="A339" s="106" t="n">
        <v>338</v>
      </c>
      <c r="B339" s="754" t="inlineStr">
        <is>
          <t>chanhua</t>
        </is>
      </c>
      <c r="C339" s="761" t="n">
        <v>45758</v>
      </c>
      <c r="D339" s="755" t="inlineStr">
        <is>
          <t>新加坡比特</t>
        </is>
      </c>
      <c r="E339" s="756" t="inlineStr">
        <is>
          <t>XJ</t>
        </is>
      </c>
      <c r="H339" s="756" t="inlineStr">
        <is>
          <t>BM1370PA</t>
        </is>
      </c>
      <c r="I339" s="755">
        <f>VLOOKUP(H339,[1]编码对账表!C:D,2,0)</f>
        <v/>
      </c>
      <c r="J339" s="330" t="n">
        <v>447146</v>
      </c>
      <c r="K339" s="350" t="inlineStr">
        <is>
          <t>202504140012</t>
        </is>
      </c>
      <c r="L339" s="332" t="inlineStr">
        <is>
          <t>1403250414135954</t>
        </is>
      </c>
      <c r="M339" s="757" t="inlineStr">
        <is>
          <t>泰国ONETEC</t>
        </is>
      </c>
      <c r="N339" s="756" t="inlineStr">
        <is>
          <t>CHANHUA PTE. LTD.</t>
        </is>
      </c>
      <c r="O339" s="757" t="n">
        <v>8.3123</v>
      </c>
      <c r="P339" s="346">
        <f>VLOOKUP(L339,[3]BHSC_销售订单明细报表_060825!$E$1:$E$65536,1,FALSE)</f>
        <v/>
      </c>
      <c r="Q339" s="758" t="n"/>
      <c r="R339" s="758" t="n"/>
      <c r="S339" s="758" t="n"/>
      <c r="T339" s="758" t="n"/>
      <c r="U339" s="758" t="n"/>
      <c r="V339" s="758" t="n"/>
      <c r="W339" s="758" t="n"/>
    </row>
    <row r="340" s="184">
      <c r="A340" s="106" t="n">
        <v>339</v>
      </c>
      <c r="B340" s="754" t="inlineStr">
        <is>
          <t>chanhua</t>
        </is>
      </c>
      <c r="C340" s="761" t="n">
        <v>45757</v>
      </c>
      <c r="D340" s="755" t="inlineStr">
        <is>
          <t>新加坡比特</t>
        </is>
      </c>
      <c r="E340" s="756" t="inlineStr">
        <is>
          <t>ASE-KH</t>
        </is>
      </c>
      <c r="H340" s="756" t="inlineStr">
        <is>
          <t>BM1370BC</t>
        </is>
      </c>
      <c r="I340" s="755">
        <f>VLOOKUP(H340,[1]编码对账表!C:D,2,0)</f>
        <v/>
      </c>
      <c r="J340" s="330" t="n">
        <v>530827</v>
      </c>
      <c r="K340" s="331" t="inlineStr">
        <is>
          <t>202504140011</t>
        </is>
      </c>
      <c r="L340" s="332" t="inlineStr">
        <is>
          <t>1403250414135940</t>
        </is>
      </c>
      <c r="M340" s="757" t="inlineStr">
        <is>
          <t>PIE</t>
        </is>
      </c>
      <c r="N340" s="756" t="inlineStr">
        <is>
          <t>CHANHUA PTE. LTD.</t>
        </is>
      </c>
      <c r="O340" s="757" t="n">
        <v>8.3123</v>
      </c>
      <c r="P340" s="346">
        <f>VLOOKUP(L340,[3]BHSC_销售订单明细报表_060825!$E$1:$E$65536,1,FALSE)</f>
        <v/>
      </c>
      <c r="Q340" s="758" t="n"/>
      <c r="R340" s="758" t="n"/>
      <c r="S340" s="758" t="n"/>
      <c r="T340" s="758" t="n"/>
      <c r="U340" s="758" t="n"/>
      <c r="V340" s="758" t="n"/>
      <c r="W340" s="758" t="n"/>
    </row>
    <row r="341" s="184">
      <c r="A341" s="106" t="n">
        <v>340</v>
      </c>
      <c r="B341" s="754" t="inlineStr">
        <is>
          <t>chanhua</t>
        </is>
      </c>
      <c r="C341" s="761" t="n">
        <v>45757</v>
      </c>
      <c r="D341" s="755" t="inlineStr">
        <is>
          <t>新加坡比特</t>
        </is>
      </c>
      <c r="E341" s="756" t="inlineStr">
        <is>
          <t>NJ-VT</t>
        </is>
      </c>
      <c r="H341" s="756" t="inlineStr">
        <is>
          <t>BM1370PA</t>
        </is>
      </c>
      <c r="I341" s="755">
        <f>VLOOKUP(H341,[1]编码对账表!C:D,2,0)</f>
        <v/>
      </c>
      <c r="J341" s="330" t="n">
        <v>251890</v>
      </c>
      <c r="K341" s="331" t="inlineStr">
        <is>
          <t>202504140011</t>
        </is>
      </c>
      <c r="L341" s="332" t="inlineStr">
        <is>
          <t>1403250414135940</t>
        </is>
      </c>
      <c r="M341" s="757" t="inlineStr">
        <is>
          <t>PIE</t>
        </is>
      </c>
      <c r="N341" s="756" t="inlineStr">
        <is>
          <t>CHANHUA PTE. LTD.</t>
        </is>
      </c>
      <c r="O341" s="757" t="n">
        <v>8.3123</v>
      </c>
      <c r="P341" s="346">
        <f>VLOOKUP(L341,[3]BHSC_销售订单明细报表_060825!$E$1:$E$65536,1,FALSE)</f>
        <v/>
      </c>
      <c r="Q341" s="758" t="n"/>
      <c r="R341" s="758" t="n"/>
      <c r="S341" s="758" t="n"/>
      <c r="T341" s="758" t="n"/>
      <c r="U341" s="758" t="n"/>
      <c r="V341" s="758" t="n"/>
      <c r="W341" s="758" t="n"/>
    </row>
    <row r="342" s="184">
      <c r="A342" s="106" t="n">
        <v>341</v>
      </c>
      <c r="B342" s="754" t="inlineStr">
        <is>
          <t>chanhua</t>
        </is>
      </c>
      <c r="C342" s="761" t="n">
        <v>45758</v>
      </c>
      <c r="D342" s="755" t="inlineStr">
        <is>
          <t>新加坡比特</t>
        </is>
      </c>
      <c r="E342" s="756" t="inlineStr">
        <is>
          <t>XJ</t>
        </is>
      </c>
      <c r="H342" s="756" t="inlineStr">
        <is>
          <t>BM1370PA</t>
        </is>
      </c>
      <c r="I342" s="755">
        <f>VLOOKUP(H342,[1]编码对账表!C:D,2,0)</f>
        <v/>
      </c>
      <c r="J342" s="330" t="n">
        <v>293684</v>
      </c>
      <c r="K342" s="331" t="inlineStr">
        <is>
          <t>202504140011</t>
        </is>
      </c>
      <c r="L342" s="332" t="inlineStr">
        <is>
          <t>1403250414135940</t>
        </is>
      </c>
      <c r="M342" s="757" t="inlineStr">
        <is>
          <t>PIE</t>
        </is>
      </c>
      <c r="N342" s="756" t="inlineStr">
        <is>
          <t>CHANHUA PTE. LTD.</t>
        </is>
      </c>
      <c r="O342" s="757" t="n">
        <v>8.3123</v>
      </c>
      <c r="P342" s="346">
        <f>VLOOKUP(L342,[3]BHSC_销售订单明细报表_060825!$E$1:$E$65536,1,FALSE)</f>
        <v/>
      </c>
      <c r="Q342" s="758" t="n"/>
      <c r="R342" s="758" t="n"/>
      <c r="S342" s="758" t="n"/>
      <c r="T342" s="758" t="n"/>
      <c r="U342" s="758" t="n"/>
      <c r="V342" s="758" t="n"/>
      <c r="W342" s="758" t="n"/>
    </row>
    <row r="343" s="184">
      <c r="A343" s="106" t="n">
        <v>342</v>
      </c>
      <c r="B343" s="754" t="inlineStr">
        <is>
          <t>chanhua</t>
        </is>
      </c>
      <c r="C343" s="761" t="n">
        <v>45757</v>
      </c>
      <c r="D343" s="755" t="inlineStr">
        <is>
          <t>新加坡比特</t>
        </is>
      </c>
      <c r="E343" s="756" t="inlineStr">
        <is>
          <t>ASECL</t>
        </is>
      </c>
      <c r="H343" s="756" t="inlineStr">
        <is>
          <t>BM1370BC</t>
        </is>
      </c>
      <c r="I343" s="755">
        <f>VLOOKUP(H343,[1]编码对账表!C:D,2,0)</f>
        <v/>
      </c>
      <c r="J343" s="330" t="n">
        <v>450688</v>
      </c>
      <c r="K343" s="331" t="inlineStr">
        <is>
          <t>202504140010</t>
        </is>
      </c>
      <c r="L343" s="332" t="inlineStr">
        <is>
          <t>1403250414135928</t>
        </is>
      </c>
      <c r="M343" s="757" t="inlineStr">
        <is>
          <t>Nationgate</t>
        </is>
      </c>
      <c r="N343" s="756" t="inlineStr">
        <is>
          <t>CHANHUA PTE. LTD.</t>
        </is>
      </c>
      <c r="O343" s="757" t="n">
        <v>8.3123</v>
      </c>
      <c r="P343" s="346">
        <f>VLOOKUP(L343,[3]BHSC_销售订单明细报表_060825!$E$1:$E$65536,1,FALSE)</f>
        <v/>
      </c>
      <c r="Q343" s="758" t="n"/>
      <c r="R343" s="758" t="n"/>
      <c r="S343" s="758" t="n"/>
      <c r="T343" s="758" t="n"/>
      <c r="U343" s="758" t="n"/>
      <c r="V343" s="758" t="n"/>
      <c r="W343" s="758" t="n"/>
    </row>
    <row r="344" s="184">
      <c r="A344" s="106" t="n">
        <v>343</v>
      </c>
      <c r="B344" s="754" t="inlineStr">
        <is>
          <t>chanhua</t>
        </is>
      </c>
      <c r="C344" s="761" t="n">
        <v>45764</v>
      </c>
      <c r="D344" s="755" t="inlineStr">
        <is>
          <t>新加坡比特</t>
        </is>
      </c>
      <c r="E344" s="756" t="inlineStr">
        <is>
          <t>XJ</t>
        </is>
      </c>
      <c r="H344" s="756" t="inlineStr">
        <is>
          <t>BM1370PA</t>
        </is>
      </c>
      <c r="I344" s="755">
        <f>VLOOKUP(H344,[1]编码对账表!C:D,2,0)</f>
        <v/>
      </c>
      <c r="J344" s="330" t="n">
        <v>226462</v>
      </c>
      <c r="K344" s="331" t="inlineStr">
        <is>
          <t>202504210012</t>
        </is>
      </c>
      <c r="L344" s="332" t="inlineStr">
        <is>
          <t>1403250421105359</t>
        </is>
      </c>
      <c r="M344" s="757" t="inlineStr">
        <is>
          <t>印尼奥海</t>
        </is>
      </c>
      <c r="N344" s="756" t="inlineStr">
        <is>
          <t>CHANHUA PTE. LTD.</t>
        </is>
      </c>
      <c r="O344" s="757" t="n">
        <v>8.3123</v>
      </c>
      <c r="P344" s="346">
        <f>VLOOKUP(L344,[3]BHSC_销售订单明细报表_060825!$E$1:$E$65536,1,FALSE)</f>
        <v/>
      </c>
      <c r="Q344" s="758" t="n"/>
      <c r="R344" s="758" t="n"/>
      <c r="S344" s="758" t="n"/>
      <c r="T344" s="758" t="n"/>
      <c r="U344" s="758" t="n"/>
      <c r="V344" s="758" t="n"/>
      <c r="W344" s="758" t="n"/>
    </row>
    <row r="345" s="184">
      <c r="A345" s="106" t="n">
        <v>344</v>
      </c>
      <c r="B345" s="754" t="inlineStr">
        <is>
          <t>chanhua</t>
        </is>
      </c>
      <c r="C345" s="761" t="n">
        <v>45764</v>
      </c>
      <c r="D345" s="755" t="inlineStr">
        <is>
          <t>新加坡比特</t>
        </is>
      </c>
      <c r="E345" s="756" t="inlineStr">
        <is>
          <t>XJ</t>
        </is>
      </c>
      <c r="H345" s="756" t="inlineStr">
        <is>
          <t>BM1370PA</t>
        </is>
      </c>
      <c r="I345" s="755">
        <f>VLOOKUP(H345,[1]编码对账表!C:D,2,0)</f>
        <v/>
      </c>
      <c r="J345" s="330" t="n">
        <v>219174</v>
      </c>
      <c r="K345" s="331" t="inlineStr">
        <is>
          <t>202504210011</t>
        </is>
      </c>
      <c r="L345" s="332" t="inlineStr">
        <is>
          <t>1403250421105350</t>
        </is>
      </c>
      <c r="M345" s="757" t="inlineStr">
        <is>
          <t>泰国ONETEC</t>
        </is>
      </c>
      <c r="N345" s="756" t="inlineStr">
        <is>
          <t>CHANHUA PTE. LTD.</t>
        </is>
      </c>
      <c r="O345" s="757" t="n">
        <v>8.3123</v>
      </c>
      <c r="P345" s="346">
        <f>VLOOKUP(L345,[3]BHSC_销售订单明细报表_060825!$E$1:$E$65536,1,FALSE)</f>
        <v/>
      </c>
      <c r="Q345" s="758" t="n"/>
      <c r="R345" s="758" t="n"/>
      <c r="S345" s="758" t="n"/>
      <c r="T345" s="758" t="n"/>
      <c r="U345" s="758" t="n"/>
      <c r="V345" s="758" t="n"/>
      <c r="W345" s="758" t="n"/>
    </row>
    <row r="346" s="184">
      <c r="A346" s="106" t="n">
        <v>345</v>
      </c>
      <c r="B346" s="754" t="inlineStr">
        <is>
          <t>chanhua</t>
        </is>
      </c>
      <c r="C346" s="761" t="n">
        <v>45765</v>
      </c>
      <c r="D346" s="755" t="inlineStr">
        <is>
          <t>新加坡比特</t>
        </is>
      </c>
      <c r="E346" s="756" t="inlineStr">
        <is>
          <t>SPILSZ</t>
        </is>
      </c>
      <c r="H346" s="756" t="inlineStr">
        <is>
          <t>BM1370BC</t>
        </is>
      </c>
      <c r="I346" s="755">
        <f>VLOOKUP(H346,[1]编码对账表!C:D,2,0)</f>
        <v/>
      </c>
      <c r="J346" s="330" t="n">
        <v>91200</v>
      </c>
      <c r="K346" s="331" t="inlineStr">
        <is>
          <t>202504210010</t>
        </is>
      </c>
      <c r="L346" s="332" t="inlineStr">
        <is>
          <t>1403250421105337</t>
        </is>
      </c>
      <c r="M346" s="757" t="inlineStr">
        <is>
          <t>墨西哥欧陆通</t>
        </is>
      </c>
      <c r="N346" s="756" t="inlineStr">
        <is>
          <t>CHANHUA PTE. LTD.</t>
        </is>
      </c>
      <c r="O346" s="757" t="n">
        <v>8.3123</v>
      </c>
      <c r="P346" s="346">
        <f>VLOOKUP(L346,[3]BHSC_销售订单明细报表_060825!$E$1:$E$65536,1,FALSE)</f>
        <v/>
      </c>
      <c r="Q346" s="758" t="n"/>
      <c r="R346" s="758" t="n"/>
      <c r="S346" s="758" t="n"/>
      <c r="T346" s="758" t="n"/>
      <c r="U346" s="758" t="n"/>
      <c r="V346" s="758" t="n"/>
      <c r="W346" s="758" t="n"/>
    </row>
    <row r="347" s="184">
      <c r="A347" s="106" t="n">
        <v>346</v>
      </c>
      <c r="B347" s="754" t="inlineStr">
        <is>
          <t>chanhua</t>
        </is>
      </c>
      <c r="C347" s="761" t="n">
        <v>45765</v>
      </c>
      <c r="D347" s="755" t="inlineStr">
        <is>
          <t>新加坡比特</t>
        </is>
      </c>
      <c r="E347" s="756" t="inlineStr">
        <is>
          <t>XJ</t>
        </is>
      </c>
      <c r="H347" s="756" t="inlineStr">
        <is>
          <t>BM1370PA</t>
        </is>
      </c>
      <c r="I347" s="755">
        <f>VLOOKUP(H347,[1]编码对账表!C:D,2,0)</f>
        <v/>
      </c>
      <c r="J347" s="330" t="n">
        <v>310515</v>
      </c>
      <c r="K347" s="331" t="inlineStr">
        <is>
          <t>202504210010</t>
        </is>
      </c>
      <c r="L347" s="332" t="inlineStr">
        <is>
          <t>1403250421105337</t>
        </is>
      </c>
      <c r="M347" s="757" t="inlineStr">
        <is>
          <t>墨西哥欧陆通</t>
        </is>
      </c>
      <c r="N347" s="756" t="inlineStr">
        <is>
          <t>CHANHUA PTE. LTD.</t>
        </is>
      </c>
      <c r="O347" s="757" t="n">
        <v>8.3123</v>
      </c>
      <c r="P347" s="346">
        <f>VLOOKUP(L347,[3]BHSC_销售订单明细报表_060825!$E$1:$E$65536,1,FALSE)</f>
        <v/>
      </c>
      <c r="Q347" s="758" t="n"/>
      <c r="R347" s="758" t="n"/>
      <c r="S347" s="758" t="n"/>
      <c r="T347" s="758" t="n"/>
      <c r="U347" s="758" t="n"/>
      <c r="V347" s="758" t="n"/>
      <c r="W347" s="758" t="n"/>
    </row>
    <row r="348" s="184">
      <c r="A348" s="106" t="n">
        <v>347</v>
      </c>
      <c r="B348" s="754" t="inlineStr">
        <is>
          <t>chanhua</t>
        </is>
      </c>
      <c r="C348" s="761" t="n">
        <v>45736</v>
      </c>
      <c r="D348" s="755" t="inlineStr">
        <is>
          <t>新加坡比特</t>
        </is>
      </c>
      <c r="E348" s="756" t="inlineStr">
        <is>
          <t>XJ</t>
        </is>
      </c>
      <c r="H348" s="756" t="inlineStr">
        <is>
          <t>BM1370PA</t>
        </is>
      </c>
      <c r="I348" s="755">
        <f>VLOOKUP(H348,[1]编码对账表!C:D,2,0)</f>
        <v/>
      </c>
      <c r="J348" s="330" t="n">
        <v>39000</v>
      </c>
      <c r="K348" s="331" t="inlineStr">
        <is>
          <t>BTD202503270020</t>
        </is>
      </c>
      <c r="L348" s="332" t="inlineStr">
        <is>
          <t>1155250327094401</t>
        </is>
      </c>
      <c r="M348" s="757" t="inlineStr">
        <is>
          <t>美国KTRN</t>
        </is>
      </c>
      <c r="N348" s="756" t="inlineStr">
        <is>
          <t>CHANHUA PTE. LTD.</t>
        </is>
      </c>
      <c r="O348" s="757" t="n">
        <v>13.84</v>
      </c>
      <c r="P348" s="346">
        <f>VLOOKUP(L348,[3]BHSC_销售订单明细报表_060825!$E$1:$E$65536,1,FALSE)</f>
        <v/>
      </c>
      <c r="Q348" s="758" t="n"/>
      <c r="R348" s="758" t="n"/>
      <c r="S348" s="758" t="n"/>
      <c r="T348" s="758" t="n"/>
      <c r="U348" s="758" t="n"/>
      <c r="V348" s="758" t="n"/>
      <c r="W348" s="758" t="n"/>
    </row>
    <row r="349" s="184">
      <c r="A349" s="106" t="n">
        <v>348</v>
      </c>
      <c r="B349" s="754" t="inlineStr">
        <is>
          <t>chanhua</t>
        </is>
      </c>
      <c r="C349" s="761" t="n">
        <v>45764</v>
      </c>
      <c r="D349" s="755" t="inlineStr">
        <is>
          <t>新加坡比特</t>
        </is>
      </c>
      <c r="E349" s="756" t="inlineStr">
        <is>
          <t>ASECL</t>
        </is>
      </c>
      <c r="H349" s="756" t="inlineStr">
        <is>
          <t>BM1370PA</t>
        </is>
      </c>
      <c r="I349" s="755">
        <f>VLOOKUP(H349,[1]编码对账表!C:D,2,0)</f>
        <v/>
      </c>
      <c r="J349" s="330" t="n">
        <v>61825</v>
      </c>
      <c r="K349" s="350" t="inlineStr">
        <is>
          <t>202504210013</t>
        </is>
      </c>
      <c r="L349" s="332" t="inlineStr">
        <is>
          <t>1403250421113147</t>
        </is>
      </c>
      <c r="M349" s="757" t="inlineStr">
        <is>
          <t>泰国ONETEC</t>
        </is>
      </c>
      <c r="N349" s="756" t="inlineStr">
        <is>
          <t>CHANHUA PTE. LTD.</t>
        </is>
      </c>
      <c r="O349" s="757" t="n">
        <v>8.3123</v>
      </c>
      <c r="P349" s="346">
        <f>VLOOKUP(L349,[3]BHSC_销售订单明细报表_060825!$E$1:$E$65536,1,FALSE)</f>
        <v/>
      </c>
      <c r="Q349" s="758" t="n"/>
      <c r="R349" s="758" t="n"/>
      <c r="S349" s="758" t="n"/>
      <c r="T349" s="758" t="n"/>
      <c r="U349" s="758" t="n"/>
      <c r="V349" s="758" t="n"/>
      <c r="W349" s="758" t="n"/>
    </row>
    <row r="350" s="184">
      <c r="A350" s="106" t="n">
        <v>349</v>
      </c>
      <c r="B350" s="754" t="inlineStr">
        <is>
          <t>chanhua</t>
        </is>
      </c>
      <c r="C350" s="761" t="n">
        <v>45764</v>
      </c>
      <c r="D350" s="755" t="inlineStr">
        <is>
          <t>新加坡比特</t>
        </is>
      </c>
      <c r="E350" s="756" t="inlineStr">
        <is>
          <t>ASECL</t>
        </is>
      </c>
      <c r="H350" s="756" t="inlineStr">
        <is>
          <t>BM1370PA</t>
        </is>
      </c>
      <c r="I350" s="755">
        <f>VLOOKUP(H350,[1]编码对账表!C:D,2,0)</f>
        <v/>
      </c>
      <c r="J350" s="330" t="n">
        <v>40203</v>
      </c>
      <c r="K350" s="331" t="inlineStr">
        <is>
          <t>202504210014</t>
        </is>
      </c>
      <c r="L350" s="332" t="inlineStr">
        <is>
          <t>1403250421113155</t>
        </is>
      </c>
      <c r="M350" s="757" t="inlineStr">
        <is>
          <t>印尼奥海</t>
        </is>
      </c>
      <c r="N350" s="756" t="inlineStr">
        <is>
          <t>CHANHUA PTE. LTD.</t>
        </is>
      </c>
      <c r="O350" s="757" t="n">
        <v>8.3123</v>
      </c>
      <c r="P350" s="346">
        <f>VLOOKUP(L350,[3]BHSC_销售订单明细报表_060825!$E$1:$E$65536,1,FALSE)</f>
        <v/>
      </c>
      <c r="Q350" s="758" t="n"/>
      <c r="R350" s="758" t="n"/>
      <c r="S350" s="758" t="n"/>
      <c r="T350" s="758" t="n"/>
      <c r="U350" s="758" t="n"/>
      <c r="V350" s="758" t="n"/>
      <c r="W350" s="758" t="n"/>
    </row>
    <row r="351" s="184">
      <c r="A351" s="106" t="n">
        <v>350</v>
      </c>
      <c r="B351" s="754" t="inlineStr">
        <is>
          <t>chanhua</t>
        </is>
      </c>
      <c r="C351" s="761" t="n">
        <v>45772</v>
      </c>
      <c r="D351" s="755" t="inlineStr">
        <is>
          <t>新加坡比特</t>
        </is>
      </c>
      <c r="E351" s="756" t="inlineStr">
        <is>
          <t>ASECL</t>
        </is>
      </c>
      <c r="H351" s="756" t="inlineStr">
        <is>
          <t>BM1370PA</t>
        </is>
      </c>
      <c r="I351" s="755">
        <f>VLOOKUP(H351,[1]编码对账表!C:D,2,0)</f>
        <v/>
      </c>
      <c r="J351" s="330" t="n">
        <v>235600</v>
      </c>
      <c r="K351" s="331" t="inlineStr">
        <is>
          <t>202504280011</t>
        </is>
      </c>
      <c r="L351" s="332" t="inlineStr">
        <is>
          <t>1403250428174643</t>
        </is>
      </c>
      <c r="M351" s="757" t="inlineStr">
        <is>
          <t>印尼奥海</t>
        </is>
      </c>
      <c r="N351" s="756" t="inlineStr">
        <is>
          <t>CHANHUA PTE. LTD.</t>
        </is>
      </c>
      <c r="O351" s="757" t="n">
        <v>8.3123</v>
      </c>
      <c r="P351" s="346">
        <f>VLOOKUP(L351,[3]BHSC_销售订单明细报表_060825!$E$1:$E$65536,1,FALSE)</f>
        <v/>
      </c>
      <c r="Q351" s="758" t="n"/>
      <c r="R351" s="758" t="n"/>
      <c r="S351" s="758" t="n"/>
      <c r="T351" s="758" t="n"/>
      <c r="U351" s="758" t="n"/>
      <c r="V351" s="758" t="n"/>
      <c r="W351" s="758" t="n"/>
    </row>
    <row r="352" s="184">
      <c r="A352" s="106" t="n">
        <v>351</v>
      </c>
      <c r="B352" s="754" t="inlineStr">
        <is>
          <t>chanhua</t>
        </is>
      </c>
      <c r="C352" s="761" t="n">
        <v>45772</v>
      </c>
      <c r="D352" s="755" t="inlineStr">
        <is>
          <t>新加坡比特</t>
        </is>
      </c>
      <c r="E352" s="756" t="inlineStr">
        <is>
          <t>XJ</t>
        </is>
      </c>
      <c r="H352" s="756" t="inlineStr">
        <is>
          <t>BM1370PA</t>
        </is>
      </c>
      <c r="I352" s="755">
        <f>VLOOKUP(H352,[1]编码对账表!C:D,2,0)</f>
        <v/>
      </c>
      <c r="J352" s="330" t="n">
        <v>246925</v>
      </c>
      <c r="K352" s="331" t="inlineStr">
        <is>
          <t>202504280011</t>
        </is>
      </c>
      <c r="L352" s="332" t="inlineStr">
        <is>
          <t>1403250428174643</t>
        </is>
      </c>
      <c r="M352" s="757" t="inlineStr">
        <is>
          <t>印尼奥海</t>
        </is>
      </c>
      <c r="N352" s="756" t="inlineStr">
        <is>
          <t>CHANHUA PTE. LTD.</t>
        </is>
      </c>
      <c r="O352" s="757" t="n">
        <v>8.3123</v>
      </c>
      <c r="P352" s="346">
        <f>VLOOKUP(L352,[3]BHSC_销售订单明细报表_060825!$E$1:$E$65536,1,FALSE)</f>
        <v/>
      </c>
      <c r="Q352" s="758" t="n"/>
      <c r="R352" s="758" t="n"/>
      <c r="S352" s="758" t="n"/>
      <c r="T352" s="758" t="n"/>
      <c r="U352" s="758" t="n"/>
      <c r="V352" s="758" t="n"/>
      <c r="W352" s="758" t="n"/>
    </row>
    <row r="353" s="184">
      <c r="A353" s="106" t="n">
        <v>352</v>
      </c>
      <c r="B353" s="754" t="inlineStr">
        <is>
          <t>chanhua</t>
        </is>
      </c>
      <c r="C353" s="761" t="n">
        <v>45771</v>
      </c>
      <c r="D353" s="755" t="inlineStr">
        <is>
          <t>新加坡比特</t>
        </is>
      </c>
      <c r="E353" s="756" t="inlineStr">
        <is>
          <t>XJ</t>
        </is>
      </c>
      <c r="H353" s="756" t="inlineStr">
        <is>
          <t>BM1370PA</t>
        </is>
      </c>
      <c r="I353" s="755">
        <f>VLOOKUP(H353,[1]编码对账表!C:D,2,0)</f>
        <v/>
      </c>
      <c r="J353" s="330" t="n">
        <v>277110</v>
      </c>
      <c r="K353" s="331" t="inlineStr">
        <is>
          <t>202504280012</t>
        </is>
      </c>
      <c r="L353" s="332" t="inlineStr">
        <is>
          <t>1403250428174655</t>
        </is>
      </c>
      <c r="M353" s="757" t="inlineStr">
        <is>
          <t>泰国群光</t>
        </is>
      </c>
      <c r="N353" s="756" t="inlineStr">
        <is>
          <t>CHANHUA PTE. LTD.</t>
        </is>
      </c>
      <c r="O353" s="757" t="n">
        <v>8.3123</v>
      </c>
      <c r="P353" s="346">
        <f>VLOOKUP(L353,[3]BHSC_销售订单明细报表_060825!$E$1:$E$65536,1,FALSE)</f>
        <v/>
      </c>
      <c r="Q353" s="758" t="n"/>
      <c r="R353" s="758" t="n"/>
      <c r="S353" s="758" t="n"/>
      <c r="T353" s="758" t="n"/>
      <c r="U353" s="758" t="n"/>
      <c r="V353" s="758" t="n"/>
      <c r="W353" s="758" t="n"/>
    </row>
    <row r="354" s="184">
      <c r="A354" s="106" t="n">
        <v>353</v>
      </c>
      <c r="B354" s="754" t="inlineStr">
        <is>
          <t>chanhua</t>
        </is>
      </c>
      <c r="C354" s="761" t="n">
        <v>45772</v>
      </c>
      <c r="D354" s="755" t="inlineStr">
        <is>
          <t>新加坡比特</t>
        </is>
      </c>
      <c r="E354" s="756" t="inlineStr">
        <is>
          <t>ASECL</t>
        </is>
      </c>
      <c r="H354" s="756" t="inlineStr">
        <is>
          <t>BM1370PA</t>
        </is>
      </c>
      <c r="I354" s="755">
        <f>VLOOKUP(H354,[1]编码对账表!C:D,2,0)</f>
        <v/>
      </c>
      <c r="J354" s="330" t="n">
        <v>53477</v>
      </c>
      <c r="K354" s="331" t="inlineStr">
        <is>
          <t>202504280010</t>
        </is>
      </c>
      <c r="L354" s="332" t="inlineStr">
        <is>
          <t>1403250428174630</t>
        </is>
      </c>
      <c r="M354" s="757" t="inlineStr">
        <is>
          <t>泰国ONETEC</t>
        </is>
      </c>
      <c r="N354" s="756" t="inlineStr">
        <is>
          <t>CHANHUA PTE. LTD.</t>
        </is>
      </c>
      <c r="O354" s="757" t="n">
        <v>8.3123</v>
      </c>
      <c r="P354" s="346">
        <f>VLOOKUP(L354,[3]BHSC_销售订单明细报表_060825!$E$1:$E$65536,1,FALSE)</f>
        <v/>
      </c>
      <c r="Q354" s="758" t="n"/>
      <c r="R354" s="758" t="n"/>
      <c r="S354" s="758" t="n"/>
      <c r="T354" s="758" t="n"/>
      <c r="U354" s="758" t="n"/>
      <c r="V354" s="758" t="n"/>
      <c r="W354" s="758" t="n"/>
    </row>
    <row r="355" s="184">
      <c r="A355" s="106" t="n">
        <v>354</v>
      </c>
      <c r="B355" s="754" t="inlineStr">
        <is>
          <t>chanhua</t>
        </is>
      </c>
      <c r="C355" s="761" t="n">
        <v>45772</v>
      </c>
      <c r="D355" s="755" t="inlineStr">
        <is>
          <t>新加坡比特</t>
        </is>
      </c>
      <c r="E355" s="756" t="inlineStr">
        <is>
          <t>XJ</t>
        </is>
      </c>
      <c r="H355" s="756" t="inlineStr">
        <is>
          <t>BM1370PA</t>
        </is>
      </c>
      <c r="I355" s="755">
        <f>VLOOKUP(H355,[1]编码对账表!C:D,2,0)</f>
        <v/>
      </c>
      <c r="J355" s="330" t="n">
        <v>53118</v>
      </c>
      <c r="K355" s="331" t="inlineStr">
        <is>
          <t>202504280010</t>
        </is>
      </c>
      <c r="L355" s="332" t="inlineStr">
        <is>
          <t>1403250428174630</t>
        </is>
      </c>
      <c r="M355" s="757" t="inlineStr">
        <is>
          <t>泰国ONETEC</t>
        </is>
      </c>
      <c r="N355" s="756" t="inlineStr">
        <is>
          <t>CHANHUA PTE. LTD.</t>
        </is>
      </c>
      <c r="O355" s="757" t="n">
        <v>8.3123</v>
      </c>
      <c r="P355" s="346">
        <f>VLOOKUP(L355,[3]BHSC_销售订单明细报表_060825!$E$1:$E$65536,1,FALSE)</f>
        <v/>
      </c>
      <c r="Q355" s="758" t="n"/>
      <c r="R355" s="758" t="n"/>
      <c r="S355" s="758" t="n"/>
      <c r="T355" s="758" t="n"/>
      <c r="U355" s="758" t="n"/>
      <c r="V355" s="758" t="n"/>
      <c r="W355" s="758" t="n"/>
    </row>
    <row r="356" s="184">
      <c r="A356" s="106" t="n">
        <v>355</v>
      </c>
      <c r="B356" s="754" t="inlineStr">
        <is>
          <t>chanhua</t>
        </is>
      </c>
      <c r="C356" s="761" t="n">
        <v>45782</v>
      </c>
      <c r="D356" s="755" t="inlineStr">
        <is>
          <t>新加坡比特</t>
        </is>
      </c>
      <c r="E356" s="756" t="inlineStr">
        <is>
          <t>ASECL</t>
        </is>
      </c>
      <c r="H356" s="756" t="inlineStr">
        <is>
          <t>BM1370PA</t>
        </is>
      </c>
      <c r="I356" s="755">
        <f>VLOOKUP(H356,[1]编码对账表!C:D,2,0)</f>
        <v/>
      </c>
      <c r="J356" s="330" t="n">
        <v>53200</v>
      </c>
      <c r="K356" s="331" t="inlineStr">
        <is>
          <t>202505060014</t>
        </is>
      </c>
      <c r="L356" s="332" t="inlineStr">
        <is>
          <t>1403250506164622</t>
        </is>
      </c>
      <c r="M356" s="764" t="inlineStr">
        <is>
          <t>印尼奥海</t>
        </is>
      </c>
      <c r="N356" s="756" t="inlineStr">
        <is>
          <t>CHANHUA PTE. LTD.</t>
        </is>
      </c>
      <c r="O356" s="757" t="n">
        <v>8.3123</v>
      </c>
      <c r="P356" s="346">
        <f>VLOOKUP(L356,[3]BHSC_销售订单明细报表_060825!$E$1:$E$65536,1,FALSE)</f>
        <v/>
      </c>
      <c r="Q356" s="336" t="inlineStr">
        <is>
          <t>是</t>
        </is>
      </c>
      <c r="R356" s="758" t="n"/>
      <c r="S356" s="758" t="n"/>
      <c r="T356" s="758" t="n"/>
      <c r="U356" s="758" t="n"/>
      <c r="V356" s="758" t="n"/>
      <c r="W356" s="758" t="n"/>
    </row>
    <row r="357" s="184">
      <c r="A357" s="106" t="n">
        <v>356</v>
      </c>
      <c r="B357" s="754" t="inlineStr">
        <is>
          <t>chanhua</t>
        </is>
      </c>
      <c r="C357" s="761" t="n">
        <v>45782</v>
      </c>
      <c r="D357" s="755" t="inlineStr">
        <is>
          <t>新加坡比特</t>
        </is>
      </c>
      <c r="E357" s="756" t="inlineStr">
        <is>
          <t>XJ</t>
        </is>
      </c>
      <c r="H357" s="756" t="inlineStr">
        <is>
          <t>BM1370PA</t>
        </is>
      </c>
      <c r="I357" s="755">
        <f>VLOOKUP(H357,[1]编码对账表!C:D,2,0)</f>
        <v/>
      </c>
      <c r="J357" s="330" t="n">
        <v>355036</v>
      </c>
      <c r="K357" s="331" t="inlineStr">
        <is>
          <t>202505060014</t>
        </is>
      </c>
      <c r="L357" s="332" t="inlineStr">
        <is>
          <t>1403250506164622</t>
        </is>
      </c>
      <c r="M357" s="757" t="inlineStr">
        <is>
          <t>印尼奥海</t>
        </is>
      </c>
      <c r="N357" s="756" t="inlineStr">
        <is>
          <t>CHANHUA PTE. LTD.</t>
        </is>
      </c>
      <c r="O357" s="757" t="n">
        <v>8.3123</v>
      </c>
      <c r="P357" s="346">
        <f>VLOOKUP(L357,[3]BHSC_销售订单明细报表_060825!$E$1:$E$65536,1,FALSE)</f>
        <v/>
      </c>
      <c r="Q357" s="336" t="inlineStr">
        <is>
          <t>是</t>
        </is>
      </c>
      <c r="R357" s="758" t="n"/>
      <c r="S357" s="758" t="n"/>
      <c r="T357" s="758" t="n"/>
      <c r="U357" s="758" t="n"/>
      <c r="V357" s="758" t="n"/>
      <c r="W357" s="758" t="n"/>
    </row>
    <row r="358" s="184">
      <c r="A358" s="106" t="n">
        <v>357</v>
      </c>
      <c r="B358" s="754" t="inlineStr">
        <is>
          <t>chanhua</t>
        </is>
      </c>
      <c r="C358" s="761" t="n">
        <v>45782</v>
      </c>
      <c r="D358" s="755" t="inlineStr">
        <is>
          <t>新加坡比特</t>
        </is>
      </c>
      <c r="E358" s="756" t="inlineStr">
        <is>
          <t>XJ</t>
        </is>
      </c>
      <c r="H358" s="756" t="inlineStr">
        <is>
          <t>BM1370PA</t>
        </is>
      </c>
      <c r="I358" s="755">
        <f>VLOOKUP(H358,[1]编码对账表!C:D,2,0)</f>
        <v/>
      </c>
      <c r="J358" s="330" t="n">
        <v>108573</v>
      </c>
      <c r="K358" s="331" t="inlineStr">
        <is>
          <t>202505060013</t>
        </is>
      </c>
      <c r="L358" s="332" t="inlineStr">
        <is>
          <t>1403250506164617</t>
        </is>
      </c>
      <c r="M358" s="757" t="inlineStr">
        <is>
          <t>泰国群光</t>
        </is>
      </c>
      <c r="N358" s="756" t="inlineStr">
        <is>
          <t>CHANHUA PTE. LTD.</t>
        </is>
      </c>
      <c r="O358" s="757" t="n">
        <v>8.3123</v>
      </c>
      <c r="P358" s="346">
        <f>VLOOKUP(L358,[3]BHSC_销售订单明细报表_060825!$E$1:$E$65536,1,FALSE)</f>
        <v/>
      </c>
      <c r="Q358" s="336" t="inlineStr">
        <is>
          <t>是</t>
        </is>
      </c>
    </row>
    <row r="359" s="184">
      <c r="A359" s="106" t="n">
        <v>358</v>
      </c>
      <c r="B359" s="754" t="inlineStr">
        <is>
          <t>chanhua</t>
        </is>
      </c>
      <c r="C359" s="761" t="n">
        <v>45777</v>
      </c>
      <c r="D359" s="755" t="inlineStr">
        <is>
          <t>新加坡比特</t>
        </is>
      </c>
      <c r="E359" s="756" t="inlineStr">
        <is>
          <t>SPILSZ</t>
        </is>
      </c>
      <c r="H359" s="756" t="inlineStr">
        <is>
          <t>BM1370BC</t>
        </is>
      </c>
      <c r="I359" s="755">
        <f>VLOOKUP(H359,[1]编码对账表!C:D,2,0)</f>
        <v/>
      </c>
      <c r="J359" s="330" t="n">
        <v>28310</v>
      </c>
      <c r="K359" s="331" t="inlineStr">
        <is>
          <t>202505060012</t>
        </is>
      </c>
      <c r="L359" s="332" t="inlineStr">
        <is>
          <t>1403250506164606</t>
        </is>
      </c>
      <c r="M359" s="757" t="inlineStr">
        <is>
          <t>泰国ONETEC</t>
        </is>
      </c>
      <c r="N359" s="756" t="inlineStr">
        <is>
          <t>CHANHUA PTE. LTD.</t>
        </is>
      </c>
      <c r="O359" s="757" t="n">
        <v>8.3123</v>
      </c>
      <c r="P359" s="346">
        <f>VLOOKUP(L359,[3]BHSC_销售订单明细报表_060825!$E$1:$E$65536,1,FALSE)</f>
        <v/>
      </c>
      <c r="Q359" s="758" t="n"/>
      <c r="R359" s="758" t="n"/>
      <c r="S359" s="758" t="n"/>
      <c r="T359" s="758" t="n"/>
      <c r="U359" s="758" t="n"/>
      <c r="V359" s="758" t="n"/>
      <c r="W359" s="758" t="n"/>
    </row>
    <row r="360" s="184">
      <c r="A360" s="106" t="n">
        <v>359</v>
      </c>
      <c r="B360" s="754" t="inlineStr">
        <is>
          <t>chanhua</t>
        </is>
      </c>
      <c r="C360" s="761" t="n">
        <v>45777</v>
      </c>
      <c r="D360" s="755" t="inlineStr">
        <is>
          <t>新加坡比特</t>
        </is>
      </c>
      <c r="E360" s="756" t="inlineStr">
        <is>
          <t>ASECL</t>
        </is>
      </c>
      <c r="H360" s="756" t="inlineStr">
        <is>
          <t>BM1370PA</t>
        </is>
      </c>
      <c r="I360" s="755">
        <f>VLOOKUP(H360,[1]编码对账表!C:D,2,0)</f>
        <v/>
      </c>
      <c r="J360" s="330" t="n">
        <v>126364</v>
      </c>
      <c r="K360" s="331" t="inlineStr">
        <is>
          <t>202505060012</t>
        </is>
      </c>
      <c r="L360" s="332" t="inlineStr">
        <is>
          <t>1403250506164606</t>
        </is>
      </c>
      <c r="M360" s="757" t="inlineStr">
        <is>
          <t>泰国ONETEC</t>
        </is>
      </c>
      <c r="N360" s="756" t="inlineStr">
        <is>
          <t>CHANHUA PTE. LTD.</t>
        </is>
      </c>
      <c r="O360" s="757" t="n">
        <v>8.3123</v>
      </c>
      <c r="P360" s="346">
        <f>VLOOKUP(L360,[3]BHSC_销售订单明细报表_060825!$E$1:$E$65536,1,FALSE)</f>
        <v/>
      </c>
      <c r="Q360" s="758" t="n"/>
      <c r="R360" s="758" t="n"/>
      <c r="S360" s="758" t="n"/>
      <c r="T360" s="758" t="n"/>
      <c r="U360" s="758" t="n"/>
      <c r="V360" s="758" t="n"/>
      <c r="W360" s="758" t="n"/>
    </row>
    <row r="361" s="184">
      <c r="A361" s="106" t="n">
        <v>360</v>
      </c>
      <c r="B361" s="754" t="inlineStr">
        <is>
          <t>chanhua</t>
        </is>
      </c>
      <c r="C361" s="761" t="n">
        <v>45777</v>
      </c>
      <c r="D361" s="755" t="inlineStr">
        <is>
          <t>新加坡比特</t>
        </is>
      </c>
      <c r="E361" s="756" t="inlineStr">
        <is>
          <t>XJ</t>
        </is>
      </c>
      <c r="H361" s="756" t="inlineStr">
        <is>
          <t>BM1370PA</t>
        </is>
      </c>
      <c r="I361" s="755">
        <f>VLOOKUP(H361,[1]编码对账表!C:D,2,0)</f>
        <v/>
      </c>
      <c r="J361" s="330" t="n">
        <v>334873</v>
      </c>
      <c r="K361" s="331" t="inlineStr">
        <is>
          <t>202505060012</t>
        </is>
      </c>
      <c r="L361" s="332" t="inlineStr">
        <is>
          <t>1403250506164606</t>
        </is>
      </c>
      <c r="M361" s="757" t="inlineStr">
        <is>
          <t>泰国ONETEC</t>
        </is>
      </c>
      <c r="N361" s="756" t="inlineStr">
        <is>
          <t>CHANHUA PTE. LTD.</t>
        </is>
      </c>
      <c r="O361" s="757" t="n">
        <v>8.3123</v>
      </c>
      <c r="P361" s="346">
        <f>VLOOKUP(L361,[3]BHSC_销售订单明细报表_060825!$E$1:$E$65536,1,FALSE)</f>
        <v/>
      </c>
      <c r="Q361" s="758" t="n"/>
      <c r="R361" s="758" t="n"/>
      <c r="S361" s="758" t="n"/>
      <c r="T361" s="758" t="n"/>
      <c r="U361" s="758" t="n"/>
      <c r="V361" s="758" t="n"/>
      <c r="W361" s="758" t="n"/>
    </row>
    <row r="362" s="184">
      <c r="A362" s="106" t="n">
        <v>361</v>
      </c>
      <c r="B362" s="754" t="inlineStr">
        <is>
          <t>chanhua</t>
        </is>
      </c>
      <c r="C362" s="761" t="n">
        <v>45782</v>
      </c>
      <c r="D362" s="755" t="inlineStr">
        <is>
          <t>新加坡比特</t>
        </is>
      </c>
      <c r="E362" s="756" t="inlineStr">
        <is>
          <t>XJ</t>
        </is>
      </c>
      <c r="H362" s="756" t="inlineStr">
        <is>
          <t>BM1370PA</t>
        </is>
      </c>
      <c r="I362" s="755">
        <f>VLOOKUP(H362,[1]编码对账表!C:D,2,0)</f>
        <v/>
      </c>
      <c r="J362" s="330" t="n">
        <v>297619</v>
      </c>
      <c r="K362" s="331" t="inlineStr">
        <is>
          <t>202505060011</t>
        </is>
      </c>
      <c r="L362" s="332" t="inlineStr">
        <is>
          <t>1403250506164557</t>
        </is>
      </c>
      <c r="M362" s="757" t="inlineStr">
        <is>
          <t>墨西哥欧陆通</t>
        </is>
      </c>
      <c r="N362" s="756" t="inlineStr">
        <is>
          <t>CHANHUA PTE. LTD.</t>
        </is>
      </c>
      <c r="O362" s="757" t="n">
        <v>8.3123</v>
      </c>
      <c r="P362" s="346">
        <f>VLOOKUP(L362,[3]BHSC_销售订单明细报表_060825!$E$1:$E$65536,1,FALSE)</f>
        <v/>
      </c>
      <c r="Q362" s="336" t="inlineStr">
        <is>
          <t>是</t>
        </is>
      </c>
      <c r="R362" s="758" t="n"/>
      <c r="S362" s="758" t="n"/>
      <c r="T362" s="758" t="n"/>
      <c r="U362" s="758" t="n"/>
      <c r="V362" s="758" t="n"/>
      <c r="W362" s="758" t="n"/>
    </row>
    <row r="363" s="184">
      <c r="A363" s="106" t="n">
        <v>362</v>
      </c>
      <c r="B363" s="754" t="inlineStr">
        <is>
          <t>chanhua</t>
        </is>
      </c>
      <c r="C363" s="761" t="n">
        <v>45777</v>
      </c>
      <c r="D363" s="755" t="inlineStr">
        <is>
          <t>新加坡比特</t>
        </is>
      </c>
      <c r="E363" s="756" t="inlineStr">
        <is>
          <t>ASECL</t>
        </is>
      </c>
      <c r="H363" s="756" t="inlineStr">
        <is>
          <t>BM1370PA</t>
        </is>
      </c>
      <c r="I363" s="755">
        <f>VLOOKUP(H363,[1]编码对账表!C:D,2,0)</f>
        <v/>
      </c>
      <c r="J363" s="330" t="n">
        <v>197600</v>
      </c>
      <c r="K363" s="331" t="inlineStr">
        <is>
          <t>202505060010</t>
        </is>
      </c>
      <c r="L363" s="332" t="inlineStr">
        <is>
          <t>1403250506164547</t>
        </is>
      </c>
      <c r="M363" s="757" t="inlineStr">
        <is>
          <t>PIE</t>
        </is>
      </c>
      <c r="N363" s="756" t="inlineStr">
        <is>
          <t>CHANHUA PTE. LTD.</t>
        </is>
      </c>
      <c r="O363" s="757" t="n">
        <v>8.3123</v>
      </c>
      <c r="P363" s="346">
        <f>VLOOKUP(L363,[3]BHSC_销售订单明细报表_060825!$E$1:$E$65536,1,FALSE)</f>
        <v/>
      </c>
      <c r="Q363" s="758" t="n"/>
      <c r="R363" s="758" t="n"/>
      <c r="S363" s="758" t="n"/>
      <c r="T363" s="758" t="n"/>
      <c r="U363" s="758" t="n"/>
      <c r="V363" s="758" t="n"/>
      <c r="W363" s="758" t="n"/>
    </row>
    <row r="364" s="184">
      <c r="A364" s="106" t="n">
        <v>363</v>
      </c>
      <c r="B364" s="754" t="inlineStr">
        <is>
          <t>chanhua</t>
        </is>
      </c>
      <c r="C364" s="761" t="n">
        <v>45789</v>
      </c>
      <c r="D364" s="755" t="inlineStr">
        <is>
          <t>新加坡比特</t>
        </is>
      </c>
      <c r="E364" s="756" t="inlineStr">
        <is>
          <t>NJ-VT</t>
        </is>
      </c>
      <c r="H364" s="756" t="inlineStr">
        <is>
          <t>BM1370PA</t>
        </is>
      </c>
      <c r="I364" s="755">
        <f>VLOOKUP(H364,[1]编码对账表!C:D,2,0)</f>
        <v/>
      </c>
      <c r="J364" s="330" t="n">
        <v>60433</v>
      </c>
      <c r="K364" s="331" t="inlineStr">
        <is>
          <t>202505130012</t>
        </is>
      </c>
      <c r="L364" s="332" t="inlineStr">
        <is>
          <t>1403250513143320</t>
        </is>
      </c>
      <c r="M364" s="757" t="inlineStr">
        <is>
          <t>印尼奥海</t>
        </is>
      </c>
      <c r="N364" s="756" t="inlineStr">
        <is>
          <t>CHANHUA PTE. LTD.</t>
        </is>
      </c>
      <c r="O364" s="757" t="n">
        <v>8.3123</v>
      </c>
      <c r="P364" s="346">
        <f>VLOOKUP(L364,[3]BHSC_销售订单明细报表_060825!$E$1:$E$65536,1,FALSE)</f>
        <v/>
      </c>
      <c r="Q364" s="336" t="inlineStr">
        <is>
          <t>是</t>
        </is>
      </c>
      <c r="R364" s="758" t="n"/>
      <c r="S364" s="758" t="n"/>
      <c r="T364" s="758" t="n"/>
      <c r="U364" s="758" t="n"/>
      <c r="V364" s="758" t="n"/>
      <c r="W364" s="758" t="n"/>
    </row>
    <row r="365" s="184">
      <c r="A365" s="106" t="n">
        <v>364</v>
      </c>
      <c r="B365" s="754" t="inlineStr">
        <is>
          <t>chanhua</t>
        </is>
      </c>
      <c r="C365" s="761" t="n">
        <v>45789</v>
      </c>
      <c r="D365" s="755" t="inlineStr">
        <is>
          <t>新加坡比特</t>
        </is>
      </c>
      <c r="E365" s="756" t="inlineStr">
        <is>
          <t>SPILSZ</t>
        </is>
      </c>
      <c r="H365" s="756" t="inlineStr">
        <is>
          <t>BM1370AA</t>
        </is>
      </c>
      <c r="I365" s="755">
        <f>VLOOKUP(H365,[1]编码对账表!C:D,2,0)</f>
        <v/>
      </c>
      <c r="J365" s="330" t="n">
        <v>2678</v>
      </c>
      <c r="K365" s="331" t="inlineStr">
        <is>
          <t>202505130010</t>
        </is>
      </c>
      <c r="L365" s="332" t="inlineStr">
        <is>
          <t>1403250513143259</t>
        </is>
      </c>
      <c r="M365" s="757" t="inlineStr">
        <is>
          <t>Nationgate</t>
        </is>
      </c>
      <c r="N365" s="756" t="inlineStr">
        <is>
          <t>CHANHUA PTE. LTD.</t>
        </is>
      </c>
      <c r="O365" s="757" t="n">
        <v>8.3123</v>
      </c>
      <c r="P365" s="346">
        <f>VLOOKUP(L365,[3]BHSC_销售订单明细报表_060825!$E$1:$E$65536,1,FALSE)</f>
        <v/>
      </c>
      <c r="Q365" s="758" t="inlineStr">
        <is>
          <t>是</t>
        </is>
      </c>
      <c r="R365" s="758" t="n"/>
      <c r="S365" s="758" t="n"/>
      <c r="T365" s="758" t="n"/>
      <c r="U365" s="758" t="n"/>
      <c r="V365" s="758" t="n"/>
      <c r="W365" s="758" t="n"/>
    </row>
    <row r="366" s="184">
      <c r="A366" s="106" t="n">
        <v>365</v>
      </c>
      <c r="B366" s="754" t="inlineStr">
        <is>
          <t>chanhua</t>
        </is>
      </c>
      <c r="C366" s="761" t="n">
        <v>45789</v>
      </c>
      <c r="D366" s="755" t="inlineStr">
        <is>
          <t>新加坡比特</t>
        </is>
      </c>
      <c r="E366" s="756" t="inlineStr">
        <is>
          <t>SPILSZ</t>
        </is>
      </c>
      <c r="H366" s="756" t="inlineStr">
        <is>
          <t>BM1370BC</t>
        </is>
      </c>
      <c r="I366" s="755">
        <f>VLOOKUP(H366,[1]编码对账表!C:D,2,0)</f>
        <v/>
      </c>
      <c r="J366" s="330" t="n">
        <v>790</v>
      </c>
      <c r="K366" s="331" t="inlineStr">
        <is>
          <t>202505130010</t>
        </is>
      </c>
      <c r="L366" s="332" t="inlineStr">
        <is>
          <t>1403250513143259</t>
        </is>
      </c>
      <c r="M366" s="757" t="inlineStr">
        <is>
          <t>Nationgate</t>
        </is>
      </c>
      <c r="N366" s="756" t="inlineStr">
        <is>
          <t>CHANHUA PTE. LTD.</t>
        </is>
      </c>
      <c r="O366" s="757" t="n">
        <v>8.3123</v>
      </c>
      <c r="P366" s="346">
        <f>VLOOKUP(L366,[3]BHSC_销售订单明细报表_060825!$E$1:$E$65536,1,FALSE)</f>
        <v/>
      </c>
      <c r="Q366" s="758" t="inlineStr">
        <is>
          <t>是</t>
        </is>
      </c>
      <c r="R366" s="758" t="n"/>
      <c r="S366" s="758" t="n"/>
      <c r="T366" s="758" t="n"/>
      <c r="U366" s="758" t="n"/>
      <c r="V366" s="758" t="n"/>
      <c r="W366" s="758" t="n"/>
    </row>
    <row r="367" s="184">
      <c r="A367" s="106" t="n">
        <v>366</v>
      </c>
      <c r="B367" s="754" t="inlineStr">
        <is>
          <t>chanhua</t>
        </is>
      </c>
      <c r="C367" s="761" t="n">
        <v>45789</v>
      </c>
      <c r="D367" s="755" t="inlineStr">
        <is>
          <t>新加坡比特</t>
        </is>
      </c>
      <c r="E367" s="756" t="inlineStr">
        <is>
          <t>SPILSZ</t>
        </is>
      </c>
      <c r="H367" s="756" t="inlineStr">
        <is>
          <t>BM1370PA</t>
        </is>
      </c>
      <c r="I367" s="755">
        <f>VLOOKUP(H367,[1]编码对账表!C:D,2,0)</f>
        <v/>
      </c>
      <c r="J367" s="330" t="n">
        <v>341544</v>
      </c>
      <c r="K367" s="331" t="inlineStr">
        <is>
          <t>202505130010</t>
        </is>
      </c>
      <c r="L367" s="332" t="inlineStr">
        <is>
          <t>1403250513143259</t>
        </is>
      </c>
      <c r="M367" s="757" t="inlineStr">
        <is>
          <t>Nationgate</t>
        </is>
      </c>
      <c r="N367" s="756" t="inlineStr">
        <is>
          <t>CHANHUA PTE. LTD.</t>
        </is>
      </c>
      <c r="O367" s="757" t="n">
        <v>8.3123</v>
      </c>
      <c r="P367" s="346">
        <f>VLOOKUP(L367,[3]BHSC_销售订单明细报表_060825!$E$1:$E$65536,1,FALSE)</f>
        <v/>
      </c>
      <c r="Q367" s="758" t="inlineStr">
        <is>
          <t>是</t>
        </is>
      </c>
      <c r="R367" s="758" t="n"/>
      <c r="S367" s="758" t="n"/>
      <c r="T367" s="758" t="n"/>
      <c r="U367" s="758" t="n"/>
      <c r="V367" s="758" t="n"/>
      <c r="W367" s="758" t="n"/>
    </row>
    <row r="368" s="184">
      <c r="A368" s="106" t="n">
        <v>367</v>
      </c>
      <c r="B368" s="754" t="inlineStr">
        <is>
          <t>chanhua</t>
        </is>
      </c>
      <c r="C368" s="761" t="n">
        <v>45789</v>
      </c>
      <c r="D368" s="755" t="inlineStr">
        <is>
          <t>新加坡比特</t>
        </is>
      </c>
      <c r="E368" s="756" t="inlineStr">
        <is>
          <t>NJ-VT</t>
        </is>
      </c>
      <c r="H368" s="756" t="inlineStr">
        <is>
          <t>BM1370PA</t>
        </is>
      </c>
      <c r="I368" s="755">
        <f>VLOOKUP(H368,[1]编码对账表!C:D,2,0)</f>
        <v/>
      </c>
      <c r="J368" s="330" t="n">
        <v>258148</v>
      </c>
      <c r="K368" s="331" t="inlineStr">
        <is>
          <t>202505130011</t>
        </is>
      </c>
      <c r="L368" s="332" t="inlineStr">
        <is>
          <t>1403250513143313</t>
        </is>
      </c>
      <c r="M368" s="757" t="inlineStr">
        <is>
          <t>PIE</t>
        </is>
      </c>
      <c r="N368" s="756" t="inlineStr">
        <is>
          <t>CHANHUA PTE. LTD.</t>
        </is>
      </c>
      <c r="O368" s="757" t="n">
        <v>8.3123</v>
      </c>
      <c r="P368" s="346">
        <f>VLOOKUP(L368,[3]BHSC_销售订单明细报表_060825!$E$1:$E$65536,1,FALSE)</f>
        <v/>
      </c>
      <c r="Q368" s="336" t="inlineStr">
        <is>
          <t>是</t>
        </is>
      </c>
      <c r="R368" s="758" t="n"/>
      <c r="S368" s="758" t="n"/>
      <c r="T368" s="758" t="n"/>
      <c r="U368" s="758" t="n"/>
      <c r="V368" s="758" t="n"/>
      <c r="W368" s="758" t="n"/>
    </row>
    <row r="369" s="184">
      <c r="A369" s="106" t="n">
        <v>368</v>
      </c>
      <c r="B369" s="754" t="inlineStr">
        <is>
          <t>chanhua</t>
        </is>
      </c>
      <c r="C369" s="761" t="n">
        <v>45790</v>
      </c>
      <c r="D369" s="755" t="inlineStr">
        <is>
          <t>新加坡比特</t>
        </is>
      </c>
      <c r="E369" s="756" t="inlineStr">
        <is>
          <t>SPILSZ</t>
        </is>
      </c>
      <c r="H369" s="756" t="inlineStr">
        <is>
          <t>BM1370AA</t>
        </is>
      </c>
      <c r="I369" s="755">
        <f>VLOOKUP(H369,[1]编码对账表!C:D,2,0)</f>
        <v/>
      </c>
      <c r="J369" s="330" t="n">
        <v>34200</v>
      </c>
      <c r="K369" s="331" t="inlineStr">
        <is>
          <t>202505160010</t>
        </is>
      </c>
      <c r="L369" s="332" t="inlineStr">
        <is>
          <t>1403250516115442</t>
        </is>
      </c>
      <c r="M369" s="757" t="inlineStr">
        <is>
          <t>Nationgate</t>
        </is>
      </c>
      <c r="N369" s="756" t="inlineStr">
        <is>
          <t>CHANHUA PTE. LTD.</t>
        </is>
      </c>
      <c r="O369" s="757" t="n">
        <v>8.3123</v>
      </c>
      <c r="P369" s="346">
        <f>VLOOKUP(L369,[3]BHSC_销售订单明细报表_060825!$E$1:$E$65536,1,FALSE)</f>
        <v/>
      </c>
      <c r="Q369" s="758" t="inlineStr">
        <is>
          <t>是</t>
        </is>
      </c>
      <c r="R369" s="758" t="n"/>
      <c r="S369" s="758" t="n"/>
      <c r="T369" s="758" t="n"/>
      <c r="U369" s="758" t="n"/>
      <c r="V369" s="758" t="n"/>
      <c r="W369" s="758" t="n"/>
    </row>
    <row r="370" s="184">
      <c r="A370" s="106" t="n">
        <v>369</v>
      </c>
      <c r="B370" s="754" t="inlineStr">
        <is>
          <t>chanhua</t>
        </is>
      </c>
      <c r="C370" s="761" t="n">
        <v>45789</v>
      </c>
      <c r="D370" s="755" t="inlineStr">
        <is>
          <t>新加坡比特</t>
        </is>
      </c>
      <c r="E370" s="756" t="inlineStr">
        <is>
          <t>SPILSZ</t>
        </is>
      </c>
      <c r="H370" s="756" t="inlineStr">
        <is>
          <t>BM1370PA</t>
        </is>
      </c>
      <c r="I370" s="755">
        <f>VLOOKUP(H370,[1]编码对账表!C:D,2,0)</f>
        <v/>
      </c>
      <c r="J370" s="330" t="n">
        <v>82721</v>
      </c>
      <c r="K370" s="331" t="inlineStr">
        <is>
          <t>202505160011</t>
        </is>
      </c>
      <c r="L370" s="332" t="inlineStr">
        <is>
          <t>1403250516115452</t>
        </is>
      </c>
      <c r="M370" s="757" t="inlineStr">
        <is>
          <t>PIE</t>
        </is>
      </c>
      <c r="N370" s="756" t="inlineStr">
        <is>
          <t>CHANHUA PTE. LTD.</t>
        </is>
      </c>
      <c r="O370" s="757" t="n">
        <v>8.3123</v>
      </c>
      <c r="P370" s="346">
        <f>VLOOKUP(L370,[3]BHSC_销售订单明细报表_060825!$E$1:$E$65536,1,FALSE)</f>
        <v/>
      </c>
      <c r="Q370" s="758" t="inlineStr">
        <is>
          <t>是</t>
        </is>
      </c>
      <c r="R370" s="758" t="n"/>
      <c r="S370" s="758" t="n"/>
      <c r="T370" s="758" t="n"/>
      <c r="U370" s="758" t="n"/>
      <c r="V370" s="758" t="n"/>
      <c r="W370" s="758" t="n"/>
    </row>
    <row r="371" s="184">
      <c r="A371" s="106" t="n">
        <v>370</v>
      </c>
      <c r="B371" s="754" t="inlineStr">
        <is>
          <t>chanhua</t>
        </is>
      </c>
      <c r="C371" s="761" t="n">
        <v>45789</v>
      </c>
      <c r="D371" s="755" t="inlineStr">
        <is>
          <t>新加坡比特</t>
        </is>
      </c>
      <c r="E371" s="756" t="inlineStr">
        <is>
          <t>XJ</t>
        </is>
      </c>
      <c r="H371" s="756" t="inlineStr">
        <is>
          <t>BM1370PA</t>
        </is>
      </c>
      <c r="I371" s="755">
        <f>VLOOKUP(H371,[1]编码对账表!C:D,2,0)</f>
        <v/>
      </c>
      <c r="J371" s="330" t="n">
        <v>171316</v>
      </c>
      <c r="K371" s="331" t="inlineStr">
        <is>
          <t>202505160011</t>
        </is>
      </c>
      <c r="L371" s="332" t="inlineStr">
        <is>
          <t>1403250516115452</t>
        </is>
      </c>
      <c r="M371" s="757" t="inlineStr">
        <is>
          <t>PIE</t>
        </is>
      </c>
      <c r="N371" s="756" t="inlineStr">
        <is>
          <t>CHANHUA PTE. LTD.</t>
        </is>
      </c>
      <c r="O371" s="757" t="n">
        <v>8.3123</v>
      </c>
      <c r="P371" s="346">
        <f>VLOOKUP(L371,[3]BHSC_销售订单明细报表_060825!$E$1:$E$65536,1,FALSE)</f>
        <v/>
      </c>
      <c r="Q371" s="336" t="inlineStr">
        <is>
          <t>是</t>
        </is>
      </c>
      <c r="R371" s="758" t="n"/>
      <c r="S371" s="758" t="n"/>
      <c r="T371" s="758" t="n"/>
      <c r="U371" s="758" t="n"/>
      <c r="V371" s="758" t="n"/>
      <c r="W371" s="758" t="n"/>
    </row>
    <row r="372" s="184">
      <c r="A372" s="106" t="n">
        <v>371</v>
      </c>
      <c r="B372" s="754" t="inlineStr">
        <is>
          <t>chanhua</t>
        </is>
      </c>
      <c r="C372" s="761" t="n">
        <v>45789</v>
      </c>
      <c r="D372" s="755" t="inlineStr">
        <is>
          <t>新加坡比特</t>
        </is>
      </c>
      <c r="E372" s="756" t="inlineStr">
        <is>
          <t>XJ</t>
        </is>
      </c>
      <c r="H372" s="756" t="inlineStr">
        <is>
          <t>BM1370PA</t>
        </is>
      </c>
      <c r="I372" s="755">
        <f>VLOOKUP(H372,[1]编码对账表!C:D,2,0)</f>
        <v/>
      </c>
      <c r="J372" s="330" t="n">
        <v>235167</v>
      </c>
      <c r="K372" s="331" t="inlineStr">
        <is>
          <t>202505160012</t>
        </is>
      </c>
      <c r="L372" s="332" t="inlineStr">
        <is>
          <t>1403250516115501</t>
        </is>
      </c>
      <c r="M372" s="757" t="inlineStr">
        <is>
          <t>墨西哥欧陆通</t>
        </is>
      </c>
      <c r="N372" s="756" t="inlineStr">
        <is>
          <t>CHANHUA PTE. LTD.</t>
        </is>
      </c>
      <c r="O372" s="757" t="n">
        <v>8.3123</v>
      </c>
      <c r="P372" s="346">
        <f>VLOOKUP(L372,[3]BHSC_销售订单明细报表_060825!$E$1:$E$65536,1,FALSE)</f>
        <v/>
      </c>
      <c r="Q372" s="336" t="inlineStr">
        <is>
          <t>是</t>
        </is>
      </c>
      <c r="R372" s="758" t="n"/>
      <c r="S372" s="758" t="n"/>
      <c r="T372" s="758" t="n"/>
      <c r="U372" s="758" t="n"/>
      <c r="V372" s="758" t="n"/>
      <c r="W372" s="758" t="n"/>
    </row>
    <row r="373" s="184">
      <c r="A373" s="106" t="n">
        <v>372</v>
      </c>
      <c r="B373" s="754" t="inlineStr">
        <is>
          <t>chanhua</t>
        </is>
      </c>
      <c r="C373" s="761" t="n">
        <v>45789</v>
      </c>
      <c r="D373" s="755" t="inlineStr">
        <is>
          <t>新加坡比特</t>
        </is>
      </c>
      <c r="E373" s="756" t="inlineStr">
        <is>
          <t>SPILSZ</t>
        </is>
      </c>
      <c r="H373" s="756" t="inlineStr">
        <is>
          <t>BM1370PA</t>
        </is>
      </c>
      <c r="I373" s="755">
        <f>VLOOKUP(H373,[1]编码对账表!C:D,2,0)</f>
        <v/>
      </c>
      <c r="J373" s="330" t="n">
        <v>66563</v>
      </c>
      <c r="K373" s="331" t="inlineStr">
        <is>
          <t>202505160013</t>
        </is>
      </c>
      <c r="L373" s="332" t="inlineStr">
        <is>
          <t>1403250516115508</t>
        </is>
      </c>
      <c r="M373" s="757" t="inlineStr">
        <is>
          <t>印尼奥海</t>
        </is>
      </c>
      <c r="N373" s="756" t="inlineStr">
        <is>
          <t>CHANHUA PTE. LTD.</t>
        </is>
      </c>
      <c r="O373" s="757" t="n">
        <v>8.3123</v>
      </c>
      <c r="P373" s="346">
        <f>VLOOKUP(L373,[3]BHSC_销售订单明细报表_060825!$E$1:$E$65536,1,FALSE)</f>
        <v/>
      </c>
      <c r="Q373" s="336" t="inlineStr">
        <is>
          <t>是</t>
        </is>
      </c>
      <c r="R373" s="758" t="n"/>
      <c r="S373" s="758" t="n"/>
      <c r="T373" s="758" t="n"/>
      <c r="U373" s="758" t="n"/>
      <c r="V373" s="758" t="n"/>
      <c r="W373" s="758" t="n"/>
    </row>
    <row r="374" s="184">
      <c r="A374" s="106" t="n">
        <v>373</v>
      </c>
      <c r="B374" s="754" t="inlineStr">
        <is>
          <t>chanhua</t>
        </is>
      </c>
      <c r="C374" s="761" t="n">
        <v>45789</v>
      </c>
      <c r="D374" s="755" t="inlineStr">
        <is>
          <t>新加坡比特</t>
        </is>
      </c>
      <c r="E374" s="756" t="inlineStr">
        <is>
          <t>XJ</t>
        </is>
      </c>
      <c r="H374" s="756" t="inlineStr">
        <is>
          <t>BM1370PA</t>
        </is>
      </c>
      <c r="I374" s="755">
        <f>VLOOKUP(H374,[1]编码对账表!C:D,2,0)</f>
        <v/>
      </c>
      <c r="J374" s="330" t="n">
        <v>251617</v>
      </c>
      <c r="K374" s="331" t="inlineStr">
        <is>
          <t>202505160013</t>
        </is>
      </c>
      <c r="L374" s="332" t="inlineStr">
        <is>
          <t>1403250516115508</t>
        </is>
      </c>
      <c r="M374" s="757" t="inlineStr">
        <is>
          <t>印尼奥海</t>
        </is>
      </c>
      <c r="N374" s="756" t="inlineStr">
        <is>
          <t>CHANHUA PTE. LTD.</t>
        </is>
      </c>
      <c r="O374" s="757" t="n">
        <v>8.3123</v>
      </c>
      <c r="P374" s="346">
        <f>VLOOKUP(L374,[3]BHSC_销售订单明细报表_060825!$E$1:$E$65536,1,FALSE)</f>
        <v/>
      </c>
      <c r="Q374" s="336" t="inlineStr">
        <is>
          <t>是</t>
        </is>
      </c>
      <c r="R374" s="758" t="n"/>
      <c r="S374" s="758" t="n"/>
      <c r="T374" s="758" t="n"/>
      <c r="U374" s="758" t="n"/>
      <c r="V374" s="758" t="n"/>
      <c r="W374" s="758" t="n"/>
    </row>
    <row r="375" s="184">
      <c r="A375" s="106" t="n">
        <v>374</v>
      </c>
      <c r="B375" s="754" t="inlineStr">
        <is>
          <t>chanhua</t>
        </is>
      </c>
      <c r="C375" s="761" t="n">
        <v>45789</v>
      </c>
      <c r="D375" s="755" t="inlineStr">
        <is>
          <t>新加坡比特</t>
        </is>
      </c>
      <c r="E375" s="756" t="inlineStr">
        <is>
          <t>ASECL</t>
        </is>
      </c>
      <c r="H375" s="756" t="inlineStr">
        <is>
          <t>BM1370PA</t>
        </is>
      </c>
      <c r="I375" s="755">
        <f>VLOOKUP(H375,[1]编码对账表!C:D,2,0)</f>
        <v/>
      </c>
      <c r="J375" s="330" t="n">
        <v>197600</v>
      </c>
      <c r="K375" s="331" t="inlineStr">
        <is>
          <t>202505190010</t>
        </is>
      </c>
      <c r="L375" s="332" t="inlineStr">
        <is>
          <t>1403250519150612</t>
        </is>
      </c>
      <c r="M375" s="757" t="inlineStr">
        <is>
          <t>PIE</t>
        </is>
      </c>
      <c r="N375" s="756" t="inlineStr">
        <is>
          <t>CHANHUA PTE. LTD.</t>
        </is>
      </c>
      <c r="O375" s="757" t="n">
        <v>8.3123</v>
      </c>
      <c r="P375" s="346">
        <f>VLOOKUP(L375,[3]BHSC_销售订单明细报表_060825!$E$1:$E$65536,1,FALSE)</f>
        <v/>
      </c>
      <c r="Q375" s="758" t="inlineStr">
        <is>
          <t>是</t>
        </is>
      </c>
      <c r="R375" s="758" t="n"/>
      <c r="S375" s="758" t="n"/>
      <c r="T375" s="758" t="n"/>
      <c r="U375" s="758" t="n"/>
      <c r="V375" s="758" t="n"/>
      <c r="W375" s="758" t="n"/>
    </row>
    <row r="376" s="184">
      <c r="A376" s="106" t="n">
        <v>375</v>
      </c>
      <c r="B376" s="754" t="inlineStr">
        <is>
          <t>chanhua</t>
        </is>
      </c>
      <c r="C376" s="761" t="n">
        <v>45796</v>
      </c>
      <c r="D376" s="755" t="inlineStr">
        <is>
          <t>新加坡比特</t>
        </is>
      </c>
      <c r="E376" s="756" t="inlineStr">
        <is>
          <t>ASECL</t>
        </is>
      </c>
      <c r="H376" s="756" t="inlineStr">
        <is>
          <t>BM1370PA</t>
        </is>
      </c>
      <c r="I376" s="755">
        <f>VLOOKUP(H376,[1]编码对账表!C:D,2,0)</f>
        <v/>
      </c>
      <c r="J376" s="330" t="n">
        <v>1143800</v>
      </c>
      <c r="K376" s="331" t="inlineStr">
        <is>
          <t>202505200014</t>
        </is>
      </c>
      <c r="L376" s="332" t="inlineStr">
        <is>
          <t>1403250520145617</t>
        </is>
      </c>
      <c r="M376" s="764" t="inlineStr">
        <is>
          <t>印尼奥海</t>
        </is>
      </c>
      <c r="N376" s="756" t="inlineStr">
        <is>
          <t>CHANHUA PTE. LTD.</t>
        </is>
      </c>
      <c r="O376" s="757" t="n">
        <v>8.3123</v>
      </c>
      <c r="P376" s="346">
        <f>VLOOKUP(L376,[3]BHSC_销售订单明细报表_060825!$E$1:$E$65536,1,FALSE)</f>
        <v/>
      </c>
      <c r="Q376" s="336" t="inlineStr">
        <is>
          <t>是</t>
        </is>
      </c>
      <c r="R376" s="758" t="n"/>
      <c r="S376" s="758" t="n"/>
      <c r="T376" s="758" t="n"/>
      <c r="U376" s="758" t="n"/>
      <c r="V376" s="758" t="n"/>
      <c r="W376" s="758" t="n"/>
    </row>
    <row r="377" s="184">
      <c r="A377" s="106" t="n">
        <v>376</v>
      </c>
      <c r="B377" s="754" t="inlineStr">
        <is>
          <t>chanhua</t>
        </is>
      </c>
      <c r="C377" s="761" t="n">
        <v>45794</v>
      </c>
      <c r="D377" s="755" t="inlineStr">
        <is>
          <t>新加坡比特</t>
        </is>
      </c>
      <c r="E377" s="756" t="inlineStr">
        <is>
          <t>NJ-VT</t>
        </is>
      </c>
      <c r="H377" s="756" t="inlineStr">
        <is>
          <t>BM1370PA</t>
        </is>
      </c>
      <c r="I377" s="755">
        <f>VLOOKUP(H377,[1]编码对账表!C:D,2,0)</f>
        <v/>
      </c>
      <c r="J377" s="330" t="n">
        <v>1007070</v>
      </c>
      <c r="K377" s="331" t="inlineStr">
        <is>
          <t>202505200014</t>
        </is>
      </c>
      <c r="L377" s="332" t="inlineStr">
        <is>
          <t>1403250520145617</t>
        </is>
      </c>
      <c r="M377" s="757" t="inlineStr">
        <is>
          <t>印尼奥海</t>
        </is>
      </c>
      <c r="N377" s="756" t="inlineStr">
        <is>
          <t>CHANHUA PTE. LTD.</t>
        </is>
      </c>
      <c r="O377" s="757" t="n">
        <v>8.3123</v>
      </c>
      <c r="P377" s="346">
        <f>VLOOKUP(L377,[3]BHSC_销售订单明细报表_060825!$E$1:$E$65536,1,FALSE)</f>
        <v/>
      </c>
      <c r="Q377" s="336" t="inlineStr">
        <is>
          <t>是</t>
        </is>
      </c>
      <c r="R377" s="758" t="n"/>
      <c r="S377" s="758" t="n"/>
      <c r="T377" s="758" t="n"/>
      <c r="U377" s="758" t="n"/>
      <c r="V377" s="758" t="n"/>
      <c r="W377" s="758" t="n"/>
    </row>
    <row r="378" s="184">
      <c r="A378" s="106" t="n">
        <v>377</v>
      </c>
      <c r="B378" s="754" t="inlineStr">
        <is>
          <t>chanhua</t>
        </is>
      </c>
      <c r="C378" s="761" t="n">
        <v>45795</v>
      </c>
      <c r="D378" s="755" t="inlineStr">
        <is>
          <t>新加坡比特</t>
        </is>
      </c>
      <c r="E378" s="756" t="inlineStr">
        <is>
          <t>SPILSZ</t>
        </is>
      </c>
      <c r="H378" s="756" t="inlineStr">
        <is>
          <t>BM1370PA</t>
        </is>
      </c>
      <c r="I378" s="755">
        <f>VLOOKUP(H378,[1]编码对账表!C:D,2,0)</f>
        <v/>
      </c>
      <c r="J378" s="330" t="n">
        <v>39313</v>
      </c>
      <c r="K378" s="331" t="inlineStr">
        <is>
          <t>202505200014</t>
        </is>
      </c>
      <c r="L378" s="332" t="inlineStr">
        <is>
          <t>1403250520145617</t>
        </is>
      </c>
      <c r="M378" s="757" t="inlineStr">
        <is>
          <t>印尼奥海</t>
        </is>
      </c>
      <c r="N378" s="756" t="inlineStr">
        <is>
          <t>CHANHUA PTE. LTD.</t>
        </is>
      </c>
      <c r="O378" s="757" t="n">
        <v>8.3123</v>
      </c>
      <c r="P378" s="346">
        <f>VLOOKUP(L378,[3]BHSC_销售订单明细报表_060825!$E$1:$E$65536,1,FALSE)</f>
        <v/>
      </c>
      <c r="Q378" s="336" t="inlineStr">
        <is>
          <t>是</t>
        </is>
      </c>
      <c r="R378" s="758" t="n"/>
      <c r="S378" s="758" t="n"/>
      <c r="T378" s="758" t="n"/>
      <c r="U378" s="758" t="n"/>
      <c r="V378" s="758" t="n"/>
      <c r="W378" s="758" t="n"/>
    </row>
    <row r="379" s="184">
      <c r="A379" s="106" t="n">
        <v>378</v>
      </c>
      <c r="B379" s="754" t="inlineStr">
        <is>
          <t>chanhua</t>
        </is>
      </c>
      <c r="C379" s="761" t="n">
        <v>45794</v>
      </c>
      <c r="D379" s="755" t="inlineStr">
        <is>
          <t>新加坡比特</t>
        </is>
      </c>
      <c r="E379" s="756" t="inlineStr">
        <is>
          <t>XJ</t>
        </is>
      </c>
      <c r="H379" s="756" t="inlineStr">
        <is>
          <t>BM1370PA</t>
        </is>
      </c>
      <c r="I379" s="755">
        <f>VLOOKUP(H379,[1]编码对账表!C:D,2,0)</f>
        <v/>
      </c>
      <c r="J379" s="330" t="n">
        <v>250572</v>
      </c>
      <c r="K379" s="331" t="inlineStr">
        <is>
          <t>202505200014</t>
        </is>
      </c>
      <c r="L379" s="332" t="inlineStr">
        <is>
          <t>1403250520145617</t>
        </is>
      </c>
      <c r="M379" s="757" t="inlineStr">
        <is>
          <t>印尼奥海</t>
        </is>
      </c>
      <c r="N379" s="756" t="inlineStr">
        <is>
          <t>CHANHUA PTE. LTD.</t>
        </is>
      </c>
      <c r="O379" s="757" t="n">
        <v>8.3123</v>
      </c>
      <c r="P379" s="346">
        <f>VLOOKUP(L379,[3]BHSC_销售订单明细报表_060825!$E$1:$E$65536,1,FALSE)</f>
        <v/>
      </c>
      <c r="Q379" s="336" t="inlineStr">
        <is>
          <t>是</t>
        </is>
      </c>
      <c r="R379" s="758" t="n"/>
      <c r="S379" s="758" t="n"/>
      <c r="T379" s="758" t="n"/>
      <c r="U379" s="758" t="n"/>
      <c r="V379" s="758" t="n"/>
      <c r="W379" s="758" t="n"/>
    </row>
    <row r="380" s="184">
      <c r="A380" s="106" t="n">
        <v>379</v>
      </c>
      <c r="B380" s="754" t="inlineStr">
        <is>
          <t>chanhua</t>
        </is>
      </c>
      <c r="C380" s="761" t="n">
        <v>45796</v>
      </c>
      <c r="D380" s="755" t="inlineStr">
        <is>
          <t>新加坡比特</t>
        </is>
      </c>
      <c r="E380" s="756" t="inlineStr">
        <is>
          <t>ASECL</t>
        </is>
      </c>
      <c r="H380" s="756" t="inlineStr">
        <is>
          <t>BM1370PA</t>
        </is>
      </c>
      <c r="I380" s="755">
        <f>VLOOKUP(H380,[1]编码对账表!C:D,2,0)</f>
        <v/>
      </c>
      <c r="J380" s="330" t="n">
        <v>159692</v>
      </c>
      <c r="K380" s="331" t="inlineStr">
        <is>
          <t>202505200013</t>
        </is>
      </c>
      <c r="L380" s="332" t="inlineStr">
        <is>
          <t>1403250520145609</t>
        </is>
      </c>
      <c r="M380" s="757" t="inlineStr">
        <is>
          <t>泰国ONETEC</t>
        </is>
      </c>
      <c r="N380" s="756" t="inlineStr">
        <is>
          <t>CHANHUA PTE. LTD.</t>
        </is>
      </c>
      <c r="O380" s="757" t="n">
        <v>8.3123</v>
      </c>
      <c r="P380" s="346">
        <f>VLOOKUP(L380,[3]BHSC_销售订单明细报表_060825!$E$1:$E$65536,1,FALSE)</f>
        <v/>
      </c>
      <c r="Q380" s="336" t="inlineStr">
        <is>
          <t>是</t>
        </is>
      </c>
      <c r="R380" s="758" t="n"/>
      <c r="S380" s="758" t="n"/>
      <c r="T380" s="758" t="n"/>
      <c r="U380" s="758" t="n"/>
      <c r="V380" s="758" t="n"/>
      <c r="W380" s="758" t="n"/>
    </row>
    <row r="381" s="184">
      <c r="A381" s="106" t="n">
        <v>380</v>
      </c>
      <c r="B381" s="754" t="inlineStr">
        <is>
          <t>chanhua</t>
        </is>
      </c>
      <c r="C381" s="761" t="n">
        <v>45794</v>
      </c>
      <c r="D381" s="755" t="inlineStr">
        <is>
          <t>新加坡比特</t>
        </is>
      </c>
      <c r="E381" s="756" t="inlineStr">
        <is>
          <t>NJ-VT</t>
        </is>
      </c>
      <c r="H381" s="756" t="inlineStr">
        <is>
          <t>BM1370PA</t>
        </is>
      </c>
      <c r="I381" s="755">
        <f>VLOOKUP(H381,[1]编码对账表!C:D,2,0)</f>
        <v/>
      </c>
      <c r="J381" s="330" t="n">
        <v>83743</v>
      </c>
      <c r="K381" s="331" t="inlineStr">
        <is>
          <t>202505200013</t>
        </is>
      </c>
      <c r="L381" s="332" t="inlineStr">
        <is>
          <t>1403250520145609</t>
        </is>
      </c>
      <c r="M381" s="757" t="inlineStr">
        <is>
          <t>泰国ONETEC</t>
        </is>
      </c>
      <c r="N381" s="756" t="inlineStr">
        <is>
          <t>CHANHUA PTE. LTD.</t>
        </is>
      </c>
      <c r="O381" s="757" t="n">
        <v>8.3123</v>
      </c>
      <c r="P381" s="346">
        <f>VLOOKUP(L381,[3]BHSC_销售订单明细报表_060825!$E$1:$E$65536,1,FALSE)</f>
        <v/>
      </c>
      <c r="Q381" s="336" t="inlineStr">
        <is>
          <t>是</t>
        </is>
      </c>
      <c r="R381" s="758" t="n"/>
      <c r="S381" s="758" t="n"/>
      <c r="T381" s="758" t="n"/>
      <c r="U381" s="758" t="n"/>
      <c r="V381" s="758" t="n"/>
      <c r="W381" s="758" t="n"/>
    </row>
    <row r="382" s="184">
      <c r="A382" s="106" t="n">
        <v>381</v>
      </c>
      <c r="B382" s="754" t="inlineStr">
        <is>
          <t>chanhua</t>
        </is>
      </c>
      <c r="C382" s="761" t="n">
        <v>45793</v>
      </c>
      <c r="D382" s="755" t="inlineStr">
        <is>
          <t>新加坡比特</t>
        </is>
      </c>
      <c r="E382" s="756" t="inlineStr">
        <is>
          <t>SPILSZ</t>
        </is>
      </c>
      <c r="H382" s="756" t="inlineStr">
        <is>
          <t>BM1370PA</t>
        </is>
      </c>
      <c r="I382" s="755">
        <f>VLOOKUP(H382,[1]编码对账表!C:D,2,0)</f>
        <v/>
      </c>
      <c r="J382" s="330" t="n">
        <v>13071</v>
      </c>
      <c r="K382" s="331" t="inlineStr">
        <is>
          <t>202505200013</t>
        </is>
      </c>
      <c r="L382" s="332" t="inlineStr">
        <is>
          <t>1403250520145609</t>
        </is>
      </c>
      <c r="M382" s="757" t="inlineStr">
        <is>
          <t>泰国ONETEC</t>
        </is>
      </c>
      <c r="N382" s="756" t="inlineStr">
        <is>
          <t>CHANHUA PTE. LTD.</t>
        </is>
      </c>
      <c r="O382" s="757" t="n">
        <v>8.3123</v>
      </c>
      <c r="P382" s="346">
        <f>VLOOKUP(L382,[3]BHSC_销售订单明细报表_060825!$E$1:$E$65536,1,FALSE)</f>
        <v/>
      </c>
      <c r="Q382" s="336" t="inlineStr">
        <is>
          <t>是</t>
        </is>
      </c>
      <c r="R382" s="758" t="n"/>
      <c r="S382" s="758" t="n"/>
      <c r="T382" s="758" t="n"/>
      <c r="U382" s="758" t="n"/>
      <c r="V382" s="758" t="n"/>
      <c r="W382" s="758" t="n"/>
    </row>
    <row r="383" s="184">
      <c r="A383" s="106" t="n">
        <v>382</v>
      </c>
      <c r="B383" s="754" t="inlineStr">
        <is>
          <t>chanhua</t>
        </is>
      </c>
      <c r="C383" s="761" t="n">
        <v>45795</v>
      </c>
      <c r="D383" s="755" t="inlineStr">
        <is>
          <t>新加坡比特</t>
        </is>
      </c>
      <c r="E383" s="756" t="inlineStr">
        <is>
          <t>XJ</t>
        </is>
      </c>
      <c r="H383" s="756" t="inlineStr">
        <is>
          <t>BM1370PA</t>
        </is>
      </c>
      <c r="I383" s="755">
        <f>VLOOKUP(H383,[1]编码对账表!C:D,2,0)</f>
        <v/>
      </c>
      <c r="J383" s="330" t="n">
        <v>263102</v>
      </c>
      <c r="K383" s="331" t="inlineStr">
        <is>
          <t>202505200013</t>
        </is>
      </c>
      <c r="L383" s="332" t="inlineStr">
        <is>
          <t>1403250520145609</t>
        </is>
      </c>
      <c r="M383" s="757" t="inlineStr">
        <is>
          <t>泰国ONETEC</t>
        </is>
      </c>
      <c r="N383" s="756" t="inlineStr">
        <is>
          <t>CHANHUA PTE. LTD.</t>
        </is>
      </c>
      <c r="O383" s="757" t="n">
        <v>8.3123</v>
      </c>
      <c r="P383" s="346">
        <f>VLOOKUP(L383,[3]BHSC_销售订单明细报表_060825!$E$1:$E$65536,1,FALSE)</f>
        <v/>
      </c>
      <c r="Q383" s="336" t="inlineStr">
        <is>
          <t>是</t>
        </is>
      </c>
      <c r="R383" s="758" t="n"/>
      <c r="S383" s="758" t="n"/>
      <c r="T383" s="758" t="n"/>
      <c r="U383" s="758" t="n"/>
      <c r="V383" s="758" t="n"/>
      <c r="W383" s="758" t="n"/>
    </row>
    <row r="384" s="184">
      <c r="A384" s="106" t="n">
        <v>383</v>
      </c>
      <c r="B384" s="754" t="inlineStr">
        <is>
          <t>chanhua</t>
        </is>
      </c>
      <c r="C384" s="761" t="n">
        <v>45796</v>
      </c>
      <c r="D384" s="755" t="inlineStr">
        <is>
          <t>新加坡比特</t>
        </is>
      </c>
      <c r="E384" s="756" t="inlineStr">
        <is>
          <t>ASE-KH</t>
        </is>
      </c>
      <c r="H384" s="756" t="inlineStr">
        <is>
          <t>BM1370BC</t>
        </is>
      </c>
      <c r="I384" s="755">
        <f>VLOOKUP(H384,[1]编码对账表!C:D,2,0)</f>
        <v/>
      </c>
      <c r="J384" s="330" t="n">
        <v>50264</v>
      </c>
      <c r="K384" s="331" t="inlineStr">
        <is>
          <t>202506030012</t>
        </is>
      </c>
      <c r="L384" s="332" t="inlineStr">
        <is>
          <t>1403250520145601</t>
        </is>
      </c>
      <c r="M384" s="757" t="inlineStr">
        <is>
          <t>墨西哥欧陆通</t>
        </is>
      </c>
      <c r="N384" s="756" t="inlineStr">
        <is>
          <t>CHANHUA PTE. LTD.</t>
        </is>
      </c>
      <c r="O384" s="757" t="n">
        <v>8.3123</v>
      </c>
      <c r="P384" s="346">
        <f>VLOOKUP(L384,[3]BHSC_销售订单明细报表_060825!$E$1:$E$65536,1,FALSE)</f>
        <v/>
      </c>
      <c r="Q384" s="758" t="inlineStr">
        <is>
          <t>是</t>
        </is>
      </c>
      <c r="R384" s="758" t="inlineStr">
        <is>
          <t>待复核</t>
        </is>
      </c>
      <c r="S384" s="758" t="n"/>
      <c r="T384" s="758" t="n"/>
      <c r="U384" s="758" t="n"/>
      <c r="V384" s="758" t="n"/>
      <c r="W384" s="758" t="n"/>
    </row>
    <row r="385" s="184">
      <c r="A385" s="106" t="n">
        <v>384</v>
      </c>
      <c r="B385" s="754" t="inlineStr">
        <is>
          <t>chanhua</t>
        </is>
      </c>
      <c r="C385" s="761" t="n">
        <v>45795</v>
      </c>
      <c r="D385" s="755" t="inlineStr">
        <is>
          <t>新加坡比特</t>
        </is>
      </c>
      <c r="E385" s="756" t="inlineStr">
        <is>
          <t>NJ-VT</t>
        </is>
      </c>
      <c r="H385" s="756" t="inlineStr">
        <is>
          <t>BM1370PA</t>
        </is>
      </c>
      <c r="I385" s="755">
        <f>VLOOKUP(H385,[1]编码对账表!C:D,2,0)</f>
        <v/>
      </c>
      <c r="J385" s="330" t="n">
        <v>143959</v>
      </c>
      <c r="K385" s="331" t="inlineStr">
        <is>
          <t>202505200012</t>
        </is>
      </c>
      <c r="L385" s="332" t="inlineStr">
        <is>
          <t>1403250520145601</t>
        </is>
      </c>
      <c r="M385" s="757" t="inlineStr">
        <is>
          <t>墨西哥欧陆通</t>
        </is>
      </c>
      <c r="N385" s="756" t="inlineStr">
        <is>
          <t>CHANHUA PTE. LTD.</t>
        </is>
      </c>
      <c r="O385" s="757" t="n">
        <v>8.3123</v>
      </c>
      <c r="P385" s="346">
        <f>VLOOKUP(L385,[3]BHSC_销售订单明细报表_060825!$E$1:$E$65536,1,FALSE)</f>
        <v/>
      </c>
      <c r="Q385" s="336" t="inlineStr">
        <is>
          <t>是</t>
        </is>
      </c>
      <c r="R385" s="758" t="n"/>
      <c r="S385" s="758" t="n"/>
      <c r="T385" s="758" t="n"/>
      <c r="U385" s="758" t="n"/>
      <c r="V385" s="758" t="n"/>
      <c r="W385" s="758" t="n"/>
    </row>
    <row r="386" s="184">
      <c r="A386" s="106" t="n">
        <v>385</v>
      </c>
      <c r="B386" s="754" t="inlineStr">
        <is>
          <t>chanhua</t>
        </is>
      </c>
      <c r="C386" s="761" t="n">
        <v>45795</v>
      </c>
      <c r="D386" s="755" t="inlineStr">
        <is>
          <t>新加坡比特</t>
        </is>
      </c>
      <c r="E386" s="756" t="inlineStr">
        <is>
          <t>SPILSZ</t>
        </is>
      </c>
      <c r="H386" s="756" t="inlineStr">
        <is>
          <t>BM1370BC</t>
        </is>
      </c>
      <c r="I386" s="755">
        <f>VLOOKUP(H386,[1]编码对账表!C:D,2,0)</f>
        <v/>
      </c>
      <c r="J386" s="330" t="n">
        <v>11624</v>
      </c>
      <c r="K386" s="331" t="inlineStr">
        <is>
          <t>202505200012</t>
        </is>
      </c>
      <c r="L386" s="332" t="inlineStr">
        <is>
          <t>1403250520145601</t>
        </is>
      </c>
      <c r="M386" s="757" t="inlineStr">
        <is>
          <t>墨西哥欧陆通</t>
        </is>
      </c>
      <c r="N386" s="756" t="inlineStr">
        <is>
          <t>CHANHUA PTE. LTD.</t>
        </is>
      </c>
      <c r="O386" s="757" t="n">
        <v>8.3123</v>
      </c>
      <c r="P386" s="346">
        <f>VLOOKUP(L386,[3]BHSC_销售订单明细报表_060825!$E$1:$E$65536,1,FALSE)</f>
        <v/>
      </c>
      <c r="Q386" s="336" t="inlineStr">
        <is>
          <t>是</t>
        </is>
      </c>
      <c r="R386" s="758" t="n"/>
      <c r="S386" s="758" t="n"/>
      <c r="T386" s="758" t="n"/>
      <c r="U386" s="758" t="n"/>
      <c r="V386" s="758" t="n"/>
      <c r="W386" s="758" t="n"/>
    </row>
    <row r="387" s="184">
      <c r="A387" s="106" t="n">
        <v>386</v>
      </c>
      <c r="B387" s="754" t="inlineStr">
        <is>
          <t>chanhua</t>
        </is>
      </c>
      <c r="C387" s="761" t="n">
        <v>45795</v>
      </c>
      <c r="D387" s="755" t="inlineStr">
        <is>
          <t>新加坡比特</t>
        </is>
      </c>
      <c r="E387" s="756" t="inlineStr">
        <is>
          <t>XJ</t>
        </is>
      </c>
      <c r="H387" s="756" t="inlineStr">
        <is>
          <t>BM1370PA</t>
        </is>
      </c>
      <c r="I387" s="755">
        <f>VLOOKUP(H387,[1]编码对账表!C:D,2,0)</f>
        <v/>
      </c>
      <c r="J387" s="330" t="n">
        <v>146168</v>
      </c>
      <c r="K387" s="331" t="inlineStr">
        <is>
          <t>202505200012</t>
        </is>
      </c>
      <c r="L387" s="332" t="inlineStr">
        <is>
          <t>1403250520145601</t>
        </is>
      </c>
      <c r="M387" s="757" t="inlineStr">
        <is>
          <t>墨西哥欧陆通</t>
        </is>
      </c>
      <c r="N387" s="756" t="inlineStr">
        <is>
          <t>CHANHUA PTE. LTD.</t>
        </is>
      </c>
      <c r="O387" s="757" t="n">
        <v>8.3123</v>
      </c>
      <c r="P387" s="346">
        <f>VLOOKUP(L387,[3]BHSC_销售订单明细报表_060825!$E$1:$E$65536,1,FALSE)</f>
        <v/>
      </c>
      <c r="Q387" s="336" t="inlineStr">
        <is>
          <t>是</t>
        </is>
      </c>
      <c r="R387" s="758" t="n"/>
      <c r="S387" s="758" t="n"/>
      <c r="T387" s="758" t="n"/>
      <c r="U387" s="758" t="n"/>
      <c r="V387" s="758" t="n"/>
      <c r="W387" s="758" t="n"/>
    </row>
    <row r="388" s="184">
      <c r="A388" s="106" t="n">
        <v>387</v>
      </c>
      <c r="B388" s="754" t="inlineStr">
        <is>
          <t>chanhua</t>
        </is>
      </c>
      <c r="C388" s="761" t="n">
        <v>45793</v>
      </c>
      <c r="D388" s="755" t="inlineStr">
        <is>
          <t>新加坡比特</t>
        </is>
      </c>
      <c r="E388" s="756" t="inlineStr">
        <is>
          <t>SPILSZ</t>
        </is>
      </c>
      <c r="H388" s="756" t="inlineStr">
        <is>
          <t>BM1370AA</t>
        </is>
      </c>
      <c r="I388" s="755">
        <f>VLOOKUP(H388,[1]编码对账表!C:D,2,0)</f>
        <v/>
      </c>
      <c r="J388" s="330" t="n">
        <v>275028</v>
      </c>
      <c r="K388" s="331" t="inlineStr">
        <is>
          <t>202505200011</t>
        </is>
      </c>
      <c r="L388" s="332" t="inlineStr">
        <is>
          <t>1403250520145553</t>
        </is>
      </c>
      <c r="M388" s="757" t="inlineStr">
        <is>
          <t>PIE</t>
        </is>
      </c>
      <c r="N388" s="756" t="inlineStr">
        <is>
          <t>CHANHUA PTE. LTD.</t>
        </is>
      </c>
      <c r="O388" s="757" t="n">
        <v>8.3123</v>
      </c>
      <c r="P388" s="346">
        <f>VLOOKUP(L388,[3]BHSC_销售订单明细报表_060825!$E$1:$E$65536,1,FALSE)</f>
        <v/>
      </c>
      <c r="Q388" s="758" t="inlineStr">
        <is>
          <t>是</t>
        </is>
      </c>
      <c r="R388" s="758" t="n"/>
      <c r="S388" s="758" t="n"/>
      <c r="T388" s="758" t="n"/>
      <c r="U388" s="758" t="n"/>
      <c r="V388" s="758" t="n"/>
      <c r="W388" s="758" t="n"/>
    </row>
    <row r="389" s="184">
      <c r="A389" s="106" t="n">
        <v>388</v>
      </c>
      <c r="B389" s="754" t="inlineStr">
        <is>
          <t>chanhua</t>
        </is>
      </c>
      <c r="C389" s="761" t="n">
        <v>45796</v>
      </c>
      <c r="D389" s="755" t="inlineStr">
        <is>
          <t>新加坡比特</t>
        </is>
      </c>
      <c r="E389" s="756" t="inlineStr">
        <is>
          <t>WX-HN</t>
        </is>
      </c>
      <c r="H389" s="756" t="inlineStr">
        <is>
          <t>BM1370BC</t>
        </is>
      </c>
      <c r="I389" s="755">
        <f>VLOOKUP(H389,[1]编码对账表!C:D,2,0)</f>
        <v/>
      </c>
      <c r="J389" s="330" t="n">
        <v>207519</v>
      </c>
      <c r="K389" s="331" t="inlineStr">
        <is>
          <t>202505200011</t>
        </is>
      </c>
      <c r="L389" s="332" t="inlineStr">
        <is>
          <t>1403250520145553</t>
        </is>
      </c>
      <c r="M389" s="757" t="inlineStr">
        <is>
          <t>PIE</t>
        </is>
      </c>
      <c r="N389" s="756" t="inlineStr">
        <is>
          <t>CHANHUA PTE. LTD.</t>
        </is>
      </c>
      <c r="O389" s="757" t="n">
        <v>8.3123</v>
      </c>
      <c r="P389" s="346">
        <f>VLOOKUP(L389,[3]BHSC_销售订单明细报表_060825!$E$1:$E$65536,1,FALSE)</f>
        <v/>
      </c>
      <c r="Q389" s="758" t="inlineStr">
        <is>
          <t>是</t>
        </is>
      </c>
      <c r="R389" s="758" t="n"/>
      <c r="S389" s="758" t="n"/>
      <c r="T389" s="758" t="n"/>
      <c r="U389" s="758" t="n"/>
      <c r="V389" s="758" t="n"/>
      <c r="W389" s="758" t="n"/>
    </row>
    <row r="390" s="184">
      <c r="A390" s="106" t="n">
        <v>389</v>
      </c>
      <c r="B390" s="754" t="inlineStr">
        <is>
          <t>chanhua</t>
        </is>
      </c>
      <c r="C390" s="761" t="n">
        <v>45796</v>
      </c>
      <c r="D390" s="755" t="inlineStr">
        <is>
          <t>新加坡比特</t>
        </is>
      </c>
      <c r="E390" s="756" t="inlineStr">
        <is>
          <t>WX-HN</t>
        </is>
      </c>
      <c r="H390" s="756" t="inlineStr">
        <is>
          <t>BM1370PA</t>
        </is>
      </c>
      <c r="I390" s="755">
        <f>VLOOKUP(H390,[1]编码对账表!C:D,2,0)</f>
        <v/>
      </c>
      <c r="J390" s="330" t="n">
        <v>148428</v>
      </c>
      <c r="K390" s="331" t="inlineStr">
        <is>
          <t>202505200011</t>
        </is>
      </c>
      <c r="L390" s="332" t="inlineStr">
        <is>
          <t>1403250520145553</t>
        </is>
      </c>
      <c r="M390" s="757" t="inlineStr">
        <is>
          <t>PIE</t>
        </is>
      </c>
      <c r="N390" s="756" t="inlineStr">
        <is>
          <t>CHANHUA PTE. LTD.</t>
        </is>
      </c>
      <c r="O390" s="757" t="n">
        <v>8.3123</v>
      </c>
      <c r="P390" s="346">
        <f>VLOOKUP(L390,[3]BHSC_销售订单明细报表_060825!$E$1:$E$65536,1,FALSE)</f>
        <v/>
      </c>
      <c r="Q390" s="758" t="inlineStr">
        <is>
          <t>是</t>
        </is>
      </c>
      <c r="R390" s="758" t="n"/>
      <c r="S390" s="758" t="n"/>
      <c r="T390" s="758" t="n"/>
      <c r="U390" s="758" t="n"/>
      <c r="V390" s="758" t="n"/>
      <c r="W390" s="758" t="n"/>
    </row>
    <row r="391" s="184">
      <c r="A391" s="106" t="n">
        <v>390</v>
      </c>
      <c r="B391" s="754" t="inlineStr">
        <is>
          <t>chanhua</t>
        </is>
      </c>
      <c r="C391" s="761" t="n">
        <v>45793</v>
      </c>
      <c r="D391" s="755" t="inlineStr">
        <is>
          <t>新加坡比特</t>
        </is>
      </c>
      <c r="E391" s="756" t="inlineStr">
        <is>
          <t>NJ-VT</t>
        </is>
      </c>
      <c r="H391" s="756" t="inlineStr">
        <is>
          <t>BM1370PA</t>
        </is>
      </c>
      <c r="I391" s="755">
        <f>VLOOKUP(H391,[1]编码对账表!C:D,2,0)</f>
        <v/>
      </c>
      <c r="J391" s="330" t="n">
        <v>675865</v>
      </c>
      <c r="K391" s="331" t="inlineStr">
        <is>
          <t>202505200010</t>
        </is>
      </c>
      <c r="L391" s="332" t="inlineStr">
        <is>
          <t>1403250520145544</t>
        </is>
      </c>
      <c r="M391" s="757" t="inlineStr">
        <is>
          <t>Nationgate</t>
        </is>
      </c>
      <c r="N391" s="756" t="inlineStr">
        <is>
          <t>CHANHUA PTE. LTD.</t>
        </is>
      </c>
      <c r="O391" s="757" t="n">
        <v>8.3123</v>
      </c>
      <c r="P391" s="346">
        <f>VLOOKUP(L391,[3]BHSC_销售订单明细报表_060825!$E$1:$E$65536,1,FALSE)</f>
        <v/>
      </c>
      <c r="Q391" s="336" t="inlineStr">
        <is>
          <t>是</t>
        </is>
      </c>
      <c r="R391" s="758" t="n"/>
      <c r="S391" s="758" t="n"/>
      <c r="T391" s="758" t="n"/>
      <c r="U391" s="758" t="n"/>
      <c r="V391" s="758" t="n"/>
      <c r="W391" s="758" t="n"/>
    </row>
    <row r="392" s="184">
      <c r="A392" s="106" t="n">
        <v>391</v>
      </c>
      <c r="B392" s="754" t="inlineStr">
        <is>
          <t>chanhua</t>
        </is>
      </c>
      <c r="C392" s="761" t="n">
        <v>45795</v>
      </c>
      <c r="D392" s="755" t="inlineStr">
        <is>
          <t>新加坡比特</t>
        </is>
      </c>
      <c r="E392" s="756" t="inlineStr">
        <is>
          <t>XJ</t>
        </is>
      </c>
      <c r="H392" s="756" t="inlineStr">
        <is>
          <t>BM1370PA</t>
        </is>
      </c>
      <c r="I392" s="755">
        <f>VLOOKUP(H392,[1]编码对账表!C:D,2,0)</f>
        <v/>
      </c>
      <c r="J392" s="330" t="n">
        <v>1439814</v>
      </c>
      <c r="K392" s="331" t="inlineStr">
        <is>
          <t>202505200010</t>
        </is>
      </c>
      <c r="L392" s="332" t="inlineStr">
        <is>
          <t>1403250520145544</t>
        </is>
      </c>
      <c r="M392" s="757" t="inlineStr">
        <is>
          <t>Nationgate</t>
        </is>
      </c>
      <c r="N392" s="756" t="inlineStr">
        <is>
          <t>CHANHUA PTE. LTD.</t>
        </is>
      </c>
      <c r="O392" s="757" t="n">
        <v>8.3123</v>
      </c>
      <c r="P392" s="346">
        <f>VLOOKUP(L392,[3]BHSC_销售订单明细报表_060825!$E$1:$E$65536,1,FALSE)</f>
        <v/>
      </c>
      <c r="Q392" s="336" t="inlineStr">
        <is>
          <t>是</t>
        </is>
      </c>
      <c r="R392" s="758" t="n"/>
      <c r="S392" s="758" t="n"/>
      <c r="T392" s="758" t="n"/>
      <c r="U392" s="758" t="n"/>
      <c r="V392" s="758" t="n"/>
      <c r="W392" s="758" t="n"/>
    </row>
    <row r="393" s="184">
      <c r="A393" s="106" t="n">
        <v>392</v>
      </c>
      <c r="B393" s="754" t="inlineStr">
        <is>
          <t>chanhua</t>
        </is>
      </c>
      <c r="C393" s="761" t="n">
        <v>45799</v>
      </c>
      <c r="D393" s="755" t="inlineStr">
        <is>
          <t>新加坡比特</t>
        </is>
      </c>
      <c r="E393" s="756" t="inlineStr">
        <is>
          <t>SPILSZ</t>
        </is>
      </c>
      <c r="H393" s="756" t="inlineStr">
        <is>
          <t>BM1370BC</t>
        </is>
      </c>
      <c r="I393" s="755">
        <f>VLOOKUP(H393,[1]编码对账表!C:D,2,0)</f>
        <v/>
      </c>
      <c r="J393" s="330" t="n">
        <v>1286</v>
      </c>
      <c r="K393" s="331" t="inlineStr">
        <is>
          <t>202505230010</t>
        </is>
      </c>
      <c r="L393" s="332" t="inlineStr">
        <is>
          <t>1403250523113908</t>
        </is>
      </c>
      <c r="M393" s="757" t="inlineStr">
        <is>
          <t>泰国ONETEC</t>
        </is>
      </c>
      <c r="N393" s="756" t="inlineStr">
        <is>
          <t>CHANHUA PTE. LTD.</t>
        </is>
      </c>
      <c r="O393" s="757" t="n">
        <v>8.3123</v>
      </c>
      <c r="P393" s="346">
        <f>VLOOKUP(L393,[3]BHSC_销售订单明细报表_060825!$E$1:$E$65536,1,FALSE)</f>
        <v/>
      </c>
      <c r="Q393" s="336" t="inlineStr">
        <is>
          <t>是</t>
        </is>
      </c>
      <c r="R393" s="758" t="n"/>
      <c r="S393" s="758" t="n"/>
      <c r="T393" s="758" t="n"/>
      <c r="U393" s="758" t="n"/>
      <c r="V393" s="758" t="n"/>
      <c r="W393" s="758" t="n"/>
    </row>
    <row r="394" s="184">
      <c r="A394" s="106" t="n">
        <v>393</v>
      </c>
      <c r="B394" s="754" t="inlineStr">
        <is>
          <t>chanhua</t>
        </is>
      </c>
      <c r="C394" s="761" t="n">
        <v>45799</v>
      </c>
      <c r="D394" s="755" t="inlineStr">
        <is>
          <t>新加坡比特</t>
        </is>
      </c>
      <c r="E394" s="756" t="inlineStr">
        <is>
          <t>SPILSZ</t>
        </is>
      </c>
      <c r="H394" s="756" t="inlineStr">
        <is>
          <t>BM1370PA</t>
        </is>
      </c>
      <c r="I394" s="755">
        <f>VLOOKUP(H394,[1]编码对账表!C:D,2,0)</f>
        <v/>
      </c>
      <c r="J394" s="330" t="n">
        <v>65382</v>
      </c>
      <c r="K394" s="331" t="inlineStr">
        <is>
          <t>202505230010</t>
        </is>
      </c>
      <c r="L394" s="332" t="inlineStr">
        <is>
          <t>1403250523113908</t>
        </is>
      </c>
      <c r="M394" s="757" t="inlineStr">
        <is>
          <t>泰国ONETEC</t>
        </is>
      </c>
      <c r="N394" s="756" t="inlineStr">
        <is>
          <t>CHANHUA PTE. LTD.</t>
        </is>
      </c>
      <c r="O394" s="757" t="n">
        <v>8.3123</v>
      </c>
      <c r="P394" s="346">
        <f>VLOOKUP(L394,[3]BHSC_销售订单明细报表_060825!$E$1:$E$65536,1,FALSE)</f>
        <v/>
      </c>
      <c r="Q394" s="336" t="inlineStr">
        <is>
          <t>是</t>
        </is>
      </c>
      <c r="R394" s="758" t="n"/>
      <c r="S394" s="758" t="n"/>
      <c r="T394" s="758" t="n"/>
      <c r="U394" s="758" t="n"/>
      <c r="V394" s="758" t="n"/>
      <c r="W394" s="758" t="n"/>
    </row>
    <row r="395" s="184">
      <c r="A395" s="106" t="n">
        <v>394</v>
      </c>
      <c r="B395" s="754" t="inlineStr">
        <is>
          <t>chanhua</t>
        </is>
      </c>
      <c r="C395" s="761" t="n">
        <v>45800</v>
      </c>
      <c r="D395" s="755" t="inlineStr">
        <is>
          <t>新加坡比特</t>
        </is>
      </c>
      <c r="E395" s="756" t="inlineStr">
        <is>
          <t>ASECL</t>
        </is>
      </c>
      <c r="H395" s="756" t="inlineStr">
        <is>
          <t>BM1370PA</t>
        </is>
      </c>
      <c r="I395" s="755">
        <f>VLOOKUP(H395,[1]编码对账表!C:D,2,0)</f>
        <v/>
      </c>
      <c r="J395" s="330" t="n">
        <v>171000</v>
      </c>
      <c r="K395" s="331" t="inlineStr">
        <is>
          <t>202505270010</t>
        </is>
      </c>
      <c r="L395" s="332" t="inlineStr">
        <is>
          <t>1403250527144840</t>
        </is>
      </c>
      <c r="M395" s="757" t="inlineStr">
        <is>
          <t>nationgate</t>
        </is>
      </c>
      <c r="N395" s="756" t="inlineStr">
        <is>
          <t>CHANHUA PTE. LTD.</t>
        </is>
      </c>
      <c r="O395" s="757" t="n">
        <v>8.3123</v>
      </c>
      <c r="P395" s="346">
        <f>VLOOKUP(L395,[3]BHSC_销售订单明细报表_060825!$E$1:$E$65536,1,FALSE)</f>
        <v/>
      </c>
      <c r="Q395" s="758" t="inlineStr">
        <is>
          <t>是</t>
        </is>
      </c>
      <c r="R395" s="758" t="n"/>
      <c r="S395" s="758" t="n"/>
      <c r="T395" s="758" t="n"/>
      <c r="U395" s="758" t="n"/>
      <c r="V395" s="758" t="n"/>
      <c r="W395" s="758" t="n"/>
    </row>
    <row r="396" s="184">
      <c r="A396" s="106" t="n">
        <v>395</v>
      </c>
      <c r="B396" s="754" t="inlineStr">
        <is>
          <t>chanhua</t>
        </is>
      </c>
      <c r="C396" s="761" t="n">
        <v>45800</v>
      </c>
      <c r="D396" s="755" t="inlineStr">
        <is>
          <t>新加坡比特</t>
        </is>
      </c>
      <c r="E396" s="756" t="inlineStr">
        <is>
          <t>WX-HN</t>
        </is>
      </c>
      <c r="H396" s="756" t="inlineStr">
        <is>
          <t>BM1370BC</t>
        </is>
      </c>
      <c r="I396" s="755">
        <f>VLOOKUP(H396,[1]编码对账表!C:D,2,0)</f>
        <v/>
      </c>
      <c r="J396" s="330" t="n">
        <v>40706</v>
      </c>
      <c r="K396" s="331" t="inlineStr">
        <is>
          <t>202505270010</t>
        </is>
      </c>
      <c r="L396" s="332" t="inlineStr">
        <is>
          <t>1403250527144840</t>
        </is>
      </c>
      <c r="M396" s="757" t="inlineStr">
        <is>
          <t>nationgate</t>
        </is>
      </c>
      <c r="N396" s="756" t="inlineStr">
        <is>
          <t>CHANHUA PTE. LTD.</t>
        </is>
      </c>
      <c r="O396" s="757" t="n">
        <v>8.3123</v>
      </c>
      <c r="P396" s="346">
        <f>VLOOKUP(L396,[3]BHSC_销售订单明细报表_060825!$E$1:$E$65536,1,FALSE)</f>
        <v/>
      </c>
      <c r="Q396" s="758" t="inlineStr">
        <is>
          <t>是</t>
        </is>
      </c>
      <c r="R396" s="758" t="n"/>
      <c r="S396" s="758" t="n"/>
      <c r="T396" s="758" t="n"/>
      <c r="U396" s="758" t="n"/>
      <c r="V396" s="758" t="n"/>
      <c r="W396" s="758" t="n"/>
    </row>
    <row r="397" s="184">
      <c r="A397" s="106" t="n">
        <v>396</v>
      </c>
      <c r="B397" s="754" t="inlineStr">
        <is>
          <t>chanhua</t>
        </is>
      </c>
      <c r="C397" s="761" t="n">
        <v>45800</v>
      </c>
      <c r="D397" s="755" t="inlineStr">
        <is>
          <t>新加坡比特</t>
        </is>
      </c>
      <c r="E397" s="756" t="inlineStr">
        <is>
          <t>XJ</t>
        </is>
      </c>
      <c r="H397" s="756" t="inlineStr">
        <is>
          <t>BM1370PA</t>
        </is>
      </c>
      <c r="I397" s="755">
        <f>VLOOKUP(H397,[1]编码对账表!C:D,2,0)</f>
        <v/>
      </c>
      <c r="J397" s="330" t="n">
        <v>182678</v>
      </c>
      <c r="K397" s="331" t="inlineStr">
        <is>
          <t>202505270010</t>
        </is>
      </c>
      <c r="L397" s="332" t="inlineStr">
        <is>
          <t>1403250527144840</t>
        </is>
      </c>
      <c r="M397" s="757" t="inlineStr">
        <is>
          <t>nationgate</t>
        </is>
      </c>
      <c r="N397" s="756" t="inlineStr">
        <is>
          <t>CHANHUA PTE. LTD.</t>
        </is>
      </c>
      <c r="O397" s="757" t="n">
        <v>8.3123</v>
      </c>
      <c r="P397" s="346">
        <f>VLOOKUP(L397,[3]BHSC_销售订单明细报表_060825!$E$1:$E$65536,1,FALSE)</f>
        <v/>
      </c>
      <c r="Q397" s="336" t="inlineStr">
        <is>
          <t>是</t>
        </is>
      </c>
      <c r="R397" s="758" t="n"/>
      <c r="S397" s="758" t="n"/>
      <c r="T397" s="758" t="n"/>
      <c r="U397" s="758" t="n"/>
      <c r="V397" s="758" t="n"/>
      <c r="W397" s="758" t="n"/>
    </row>
    <row r="398" s="184">
      <c r="A398" s="106" t="n">
        <v>397</v>
      </c>
      <c r="B398" s="754" t="inlineStr">
        <is>
          <t>chanhua</t>
        </is>
      </c>
      <c r="C398" s="761" t="n">
        <v>45800</v>
      </c>
      <c r="D398" s="755" t="inlineStr">
        <is>
          <t>新加坡比特</t>
        </is>
      </c>
      <c r="E398" s="756" t="inlineStr">
        <is>
          <t>XJ</t>
        </is>
      </c>
      <c r="H398" s="756" t="inlineStr">
        <is>
          <t>BM1370PA</t>
        </is>
      </c>
      <c r="I398" s="755">
        <f>VLOOKUP(H398,[1]编码对账表!C:D,2,0)</f>
        <v/>
      </c>
      <c r="J398" s="330" t="n">
        <v>50478</v>
      </c>
      <c r="K398" s="331" t="inlineStr">
        <is>
          <t>202505270011</t>
        </is>
      </c>
      <c r="L398" s="332" t="inlineStr">
        <is>
          <t>1403250527144847</t>
        </is>
      </c>
      <c r="M398" s="757" t="inlineStr">
        <is>
          <t>墨西哥欧陆通</t>
        </is>
      </c>
      <c r="N398" s="756" t="inlineStr">
        <is>
          <t>CHANHUA PTE. LTD.</t>
        </is>
      </c>
      <c r="O398" s="757" t="n">
        <v>8.3123</v>
      </c>
      <c r="P398" s="346">
        <f>VLOOKUP(L398,[3]BHSC_销售订单明细报表_060825!$E$1:$E$65536,1,FALSE)</f>
        <v/>
      </c>
      <c r="Q398" s="336" t="inlineStr">
        <is>
          <t>是</t>
        </is>
      </c>
      <c r="R398" s="758" t="n"/>
      <c r="S398" s="758" t="n"/>
      <c r="T398" s="758" t="n"/>
      <c r="U398" s="758" t="n"/>
      <c r="V398" s="758" t="n"/>
      <c r="W398" s="758" t="n"/>
    </row>
    <row r="399" s="184">
      <c r="A399" s="106" t="n">
        <v>398</v>
      </c>
      <c r="B399" s="754" t="inlineStr">
        <is>
          <t>chanhua</t>
        </is>
      </c>
      <c r="C399" s="761" t="n">
        <v>45800</v>
      </c>
      <c r="D399" s="755" t="inlineStr">
        <is>
          <t>新加坡比特</t>
        </is>
      </c>
      <c r="E399" s="756" t="inlineStr">
        <is>
          <t>ASECL</t>
        </is>
      </c>
      <c r="H399" s="756" t="inlineStr">
        <is>
          <t>BM1370PA</t>
        </is>
      </c>
      <c r="I399" s="755">
        <f>VLOOKUP(H399,[1]编码对账表!C:D,2,0)</f>
        <v/>
      </c>
      <c r="J399" s="330" t="n">
        <v>167200</v>
      </c>
      <c r="K399" s="331" t="inlineStr">
        <is>
          <t>202505270012</t>
        </is>
      </c>
      <c r="L399" s="332" t="inlineStr">
        <is>
          <t>1403250527144857</t>
        </is>
      </c>
      <c r="M399" s="764" t="inlineStr">
        <is>
          <t>泰国ONETEC</t>
        </is>
      </c>
      <c r="N399" s="756" t="inlineStr">
        <is>
          <t>CHANHUA PTE. LTD.</t>
        </is>
      </c>
      <c r="O399" s="757" t="n">
        <v>8.3123</v>
      </c>
      <c r="P399" s="346">
        <f>VLOOKUP(L399,[3]BHSC_销售订单明细报表_060825!$E$1:$E$65536,1,FALSE)</f>
        <v/>
      </c>
      <c r="Q399" s="336" t="inlineStr">
        <is>
          <t>是</t>
        </is>
      </c>
      <c r="R399" s="758" t="n"/>
      <c r="S399" s="758" t="n"/>
      <c r="T399" s="758" t="n"/>
      <c r="U399" s="758" t="n"/>
      <c r="V399" s="758" t="n"/>
      <c r="W399" s="758" t="n"/>
    </row>
    <row r="400" s="184">
      <c r="A400" s="106" t="n">
        <v>399</v>
      </c>
      <c r="B400" s="754" t="inlineStr">
        <is>
          <t>chanhua</t>
        </is>
      </c>
      <c r="C400" s="761" t="n">
        <v>45800</v>
      </c>
      <c r="D400" s="755" t="inlineStr">
        <is>
          <t>新加坡比特</t>
        </is>
      </c>
      <c r="E400" s="756" t="inlineStr">
        <is>
          <t>XJ</t>
        </is>
      </c>
      <c r="H400" s="756" t="inlineStr">
        <is>
          <t>BM1370PA</t>
        </is>
      </c>
      <c r="I400" s="755">
        <f>VLOOKUP(H400,[1]编码对账表!C:D,2,0)</f>
        <v/>
      </c>
      <c r="J400" s="330" t="n">
        <v>23127</v>
      </c>
      <c r="K400" s="331" t="inlineStr">
        <is>
          <t>202505270012</t>
        </is>
      </c>
      <c r="L400" s="332" t="inlineStr">
        <is>
          <t>1403250527144857</t>
        </is>
      </c>
      <c r="M400" s="757" t="inlineStr">
        <is>
          <t>泰国ONETEC</t>
        </is>
      </c>
      <c r="N400" s="756" t="inlineStr">
        <is>
          <t>CHANHUA PTE. LTD.</t>
        </is>
      </c>
      <c r="O400" s="757" t="n">
        <v>8.3123</v>
      </c>
      <c r="P400" s="346">
        <f>VLOOKUP(L400,[3]BHSC_销售订单明细报表_060825!$E$1:$E$65536,1,FALSE)</f>
        <v/>
      </c>
      <c r="Q400" s="336" t="inlineStr">
        <is>
          <t>是</t>
        </is>
      </c>
      <c r="R400" s="758" t="n"/>
      <c r="S400" s="758" t="n"/>
      <c r="T400" s="758" t="n"/>
      <c r="U400" s="758" t="n"/>
      <c r="V400" s="758" t="n"/>
      <c r="W400" s="758" t="n"/>
    </row>
    <row r="401" s="184">
      <c r="A401" s="106" t="n">
        <v>400</v>
      </c>
      <c r="B401" s="754" t="inlineStr">
        <is>
          <t>chanhua</t>
        </is>
      </c>
      <c r="C401" s="761" t="n">
        <v>45800</v>
      </c>
      <c r="D401" s="755" t="inlineStr">
        <is>
          <t>新加坡比特</t>
        </is>
      </c>
      <c r="E401" s="756" t="inlineStr">
        <is>
          <t>ASECL</t>
        </is>
      </c>
      <c r="H401" s="756" t="inlineStr">
        <is>
          <t>BM1370PA</t>
        </is>
      </c>
      <c r="I401" s="755">
        <f>VLOOKUP(H401,[1]编码对账表!C:D,2,0)</f>
        <v/>
      </c>
      <c r="J401" s="330" t="n">
        <v>79800</v>
      </c>
      <c r="K401" s="331" t="inlineStr">
        <is>
          <t>202505270013</t>
        </is>
      </c>
      <c r="L401" s="332" t="inlineStr">
        <is>
          <t>1403250527144908</t>
        </is>
      </c>
      <c r="M401" s="764" t="inlineStr">
        <is>
          <t>泰国群光</t>
        </is>
      </c>
      <c r="N401" s="756" t="inlineStr">
        <is>
          <t>CHANHUA PTE. LTD.</t>
        </is>
      </c>
      <c r="O401" s="757" t="n">
        <v>8.3123</v>
      </c>
      <c r="P401" s="346">
        <f>VLOOKUP(L401,[3]BHSC_销售订单明细报表_060825!$E$1:$E$65536,1,FALSE)</f>
        <v/>
      </c>
      <c r="Q401" s="336" t="inlineStr">
        <is>
          <t>是</t>
        </is>
      </c>
      <c r="R401" s="758" t="n"/>
      <c r="S401" s="758" t="n"/>
      <c r="T401" s="758" t="n"/>
      <c r="U401" s="758" t="n"/>
      <c r="V401" s="758" t="n"/>
      <c r="W401" s="758" t="n"/>
    </row>
    <row r="402" s="184">
      <c r="A402" s="106" t="n">
        <v>401</v>
      </c>
      <c r="B402" s="754" t="inlineStr">
        <is>
          <t>chanhua</t>
        </is>
      </c>
      <c r="C402" s="761" t="n">
        <v>45800</v>
      </c>
      <c r="D402" s="755" t="inlineStr">
        <is>
          <t>新加坡比特</t>
        </is>
      </c>
      <c r="E402" s="756" t="inlineStr">
        <is>
          <t>ASECL</t>
        </is>
      </c>
      <c r="H402" s="756" t="inlineStr">
        <is>
          <t>BM1370BC</t>
        </is>
      </c>
      <c r="I402" s="755">
        <f>VLOOKUP(H402,[1]编码对账表!C:D,2,0)</f>
        <v/>
      </c>
      <c r="J402" s="330" t="n">
        <v>18929</v>
      </c>
      <c r="K402" s="331" t="inlineStr">
        <is>
          <t>202505270014</t>
        </is>
      </c>
      <c r="L402" s="332" t="inlineStr">
        <is>
          <t>1403250527144917</t>
        </is>
      </c>
      <c r="M402" s="764" t="inlineStr">
        <is>
          <t>印尼奥海</t>
        </is>
      </c>
      <c r="N402" s="756" t="inlineStr">
        <is>
          <t>CHANHUA PTE. LTD.</t>
        </is>
      </c>
      <c r="O402" s="757" t="n">
        <v>8.3123</v>
      </c>
      <c r="P402" s="346">
        <f>VLOOKUP(L402,[3]BHSC_销售订单明细报表_060825!$E$1:$E$65536,1,FALSE)</f>
        <v/>
      </c>
      <c r="Q402" s="336" t="inlineStr">
        <is>
          <t>是</t>
        </is>
      </c>
      <c r="R402" s="758" t="n"/>
      <c r="S402" s="758" t="n"/>
      <c r="T402" s="758" t="n"/>
      <c r="U402" s="758" t="n"/>
      <c r="V402" s="758" t="n"/>
      <c r="W402" s="758" t="n"/>
    </row>
    <row r="403" s="184">
      <c r="A403" s="106" t="n">
        <v>402</v>
      </c>
      <c r="B403" s="754" t="inlineStr">
        <is>
          <t>chanhua</t>
        </is>
      </c>
      <c r="C403" s="761" t="n">
        <v>45800</v>
      </c>
      <c r="D403" s="755" t="inlineStr">
        <is>
          <t>新加坡比特</t>
        </is>
      </c>
      <c r="E403" s="756" t="inlineStr">
        <is>
          <t>ASECL</t>
        </is>
      </c>
      <c r="H403" s="756" t="inlineStr">
        <is>
          <t>BM1370PA</t>
        </is>
      </c>
      <c r="I403" s="755">
        <f>VLOOKUP(H403,[1]编码对账表!C:D,2,0)</f>
        <v/>
      </c>
      <c r="J403" s="330" t="n">
        <v>670649</v>
      </c>
      <c r="K403" s="331" t="inlineStr">
        <is>
          <t>202505270014</t>
        </is>
      </c>
      <c r="L403" s="351" t="inlineStr">
        <is>
          <t>1403250527144917</t>
        </is>
      </c>
      <c r="M403" s="757" t="inlineStr">
        <is>
          <t>印尼奥海</t>
        </is>
      </c>
      <c r="N403" s="756" t="inlineStr">
        <is>
          <t>CHANHUA PTE. LTD.</t>
        </is>
      </c>
      <c r="O403" s="757" t="n">
        <v>8.3123</v>
      </c>
      <c r="P403" s="346">
        <f>VLOOKUP(L403,[3]BHSC_销售订单明细报表_060825!$E$1:$E$65536,1,FALSE)</f>
        <v/>
      </c>
      <c r="Q403" s="758" t="inlineStr">
        <is>
          <t>是</t>
        </is>
      </c>
      <c r="R403" s="758" t="n"/>
      <c r="S403" s="758" t="n"/>
      <c r="T403" s="758" t="n"/>
      <c r="U403" s="758" t="n"/>
      <c r="V403" s="758" t="n"/>
      <c r="W403" s="758" t="n"/>
    </row>
    <row r="404" s="184">
      <c r="A404" s="106" t="n">
        <v>402</v>
      </c>
      <c r="B404" s="754" t="inlineStr">
        <is>
          <t>chanhua</t>
        </is>
      </c>
      <c r="C404" s="761" t="n">
        <v>45800</v>
      </c>
      <c r="D404" s="755" t="inlineStr">
        <is>
          <t>新加坡比特</t>
        </is>
      </c>
      <c r="E404" s="756" t="inlineStr">
        <is>
          <t>ASECL</t>
        </is>
      </c>
      <c r="H404" s="756" t="inlineStr">
        <is>
          <t>BM1370PA</t>
        </is>
      </c>
      <c r="I404" s="755">
        <f>VLOOKUP(H404,[1]编码对账表!C:D,2,0)</f>
        <v/>
      </c>
      <c r="J404" s="330" t="n">
        <v>22800</v>
      </c>
      <c r="K404" s="331" t="inlineStr">
        <is>
          <t>2025070900109</t>
        </is>
      </c>
      <c r="L404" s="332" t="inlineStr">
        <is>
          <t>1403250709175507</t>
        </is>
      </c>
      <c r="M404" s="764" t="inlineStr">
        <is>
          <t>马来KPMI</t>
        </is>
      </c>
      <c r="N404" s="756" t="inlineStr">
        <is>
          <t>CHANHUA PTE. LTD.</t>
        </is>
      </c>
      <c r="O404" s="757" t="n">
        <v>8.3123</v>
      </c>
      <c r="P404" s="346" t="n"/>
      <c r="Q404" s="336" t="inlineStr">
        <is>
          <t>是</t>
        </is>
      </c>
      <c r="R404" s="336" t="inlineStr">
        <is>
          <t>等待ASECL传输数据</t>
        </is>
      </c>
      <c r="S404" s="758" t="n"/>
      <c r="T404" s="758" t="n"/>
      <c r="U404" s="758" t="n"/>
      <c r="V404" s="758" t="n"/>
      <c r="W404" s="758" t="n"/>
    </row>
    <row r="405" s="184">
      <c r="A405" s="106" t="n">
        <v>402</v>
      </c>
      <c r="B405" s="754" t="inlineStr">
        <is>
          <t>chanhua</t>
        </is>
      </c>
      <c r="C405" s="761" t="n">
        <v>45800</v>
      </c>
      <c r="D405" s="755" t="inlineStr">
        <is>
          <t>新加坡比特</t>
        </is>
      </c>
      <c r="E405" s="756" t="inlineStr">
        <is>
          <t>XJ</t>
        </is>
      </c>
      <c r="H405" s="756" t="inlineStr">
        <is>
          <t>BM1370PA</t>
        </is>
      </c>
      <c r="I405" s="755">
        <f>VLOOKUP(H405,[1]编码对账表!C:D,2,0)</f>
        <v/>
      </c>
      <c r="J405" s="330" t="n">
        <v>959648</v>
      </c>
      <c r="K405" s="331" t="inlineStr">
        <is>
          <t>202505270014</t>
        </is>
      </c>
      <c r="L405" s="332" t="inlineStr">
        <is>
          <t>1403250527144917</t>
        </is>
      </c>
      <c r="M405" s="757" t="inlineStr">
        <is>
          <t>印尼奥海</t>
        </is>
      </c>
      <c r="N405" s="756" t="inlineStr">
        <is>
          <t>CHANHUA PTE. LTD.</t>
        </is>
      </c>
      <c r="O405" s="757" t="n">
        <v>8.3123</v>
      </c>
      <c r="P405" s="346">
        <f>VLOOKUP(L405,[3]BHSC_销售订单明细报表_060825!$E$1:$E$65536,1,FALSE)</f>
        <v/>
      </c>
      <c r="Q405" s="336" t="inlineStr">
        <is>
          <t>是</t>
        </is>
      </c>
      <c r="R405" s="758" t="n"/>
      <c r="S405" s="758" t="n"/>
      <c r="T405" s="758" t="n"/>
      <c r="U405" s="758" t="n"/>
      <c r="V405" s="758" t="n"/>
      <c r="W405" s="758" t="n"/>
    </row>
    <row r="406" s="184">
      <c r="A406" s="106" t="n">
        <v>402</v>
      </c>
      <c r="B406" s="754" t="inlineStr">
        <is>
          <t>chanhua</t>
        </is>
      </c>
      <c r="C406" s="761" t="n">
        <v>45800</v>
      </c>
      <c r="D406" s="755" t="inlineStr">
        <is>
          <t>新加坡比特</t>
        </is>
      </c>
      <c r="E406" s="756" t="inlineStr">
        <is>
          <t>NJ-VT</t>
        </is>
      </c>
      <c r="H406" s="756" t="inlineStr">
        <is>
          <t>BM1370AA</t>
        </is>
      </c>
      <c r="I406" s="755">
        <f>VLOOKUP(H406,[1]编码对账表!C:D,2,0)</f>
        <v/>
      </c>
      <c r="J406" s="330" t="n">
        <v>45664</v>
      </c>
      <c r="K406" s="331" t="inlineStr">
        <is>
          <t>202505270010</t>
        </is>
      </c>
      <c r="L406" s="332" t="inlineStr">
        <is>
          <t>1403250527144840</t>
        </is>
      </c>
      <c r="M406" s="757" t="inlineStr">
        <is>
          <t>Nationgate</t>
        </is>
      </c>
      <c r="N406" s="756" t="inlineStr">
        <is>
          <t>CHANHUA PTE. LTD.</t>
        </is>
      </c>
      <c r="O406" s="757" t="n">
        <v>8.3123</v>
      </c>
      <c r="P406" s="346">
        <f>VLOOKUP(L406,[3]BHSC_销售订单明细报表_060825!$E$1:$E$65536,1,FALSE)</f>
        <v/>
      </c>
      <c r="Q406" s="336" t="inlineStr">
        <is>
          <t>是</t>
        </is>
      </c>
      <c r="R406" s="758" t="inlineStr">
        <is>
          <t>被杂出</t>
        </is>
      </c>
      <c r="S406" s="758" t="n"/>
      <c r="T406" s="758" t="n"/>
      <c r="U406" s="758" t="n"/>
      <c r="V406" s="758" t="n"/>
      <c r="W406" s="758" t="n"/>
    </row>
    <row r="407" s="184">
      <c r="A407" s="106" t="n">
        <v>402</v>
      </c>
      <c r="B407" s="754" t="inlineStr">
        <is>
          <t>chanhua</t>
        </is>
      </c>
      <c r="C407" s="761" t="n">
        <v>45800</v>
      </c>
      <c r="D407" s="755" t="inlineStr">
        <is>
          <t>新加坡比特</t>
        </is>
      </c>
      <c r="E407" s="756" t="inlineStr">
        <is>
          <t>NJ-VT</t>
        </is>
      </c>
      <c r="H407" s="756" t="inlineStr">
        <is>
          <t>BM1370BC</t>
        </is>
      </c>
      <c r="I407" s="755">
        <f>VLOOKUP(H407,[1]编码对账表!C:D,2,0)</f>
        <v/>
      </c>
      <c r="J407" s="330" t="n">
        <v>130036</v>
      </c>
      <c r="K407" s="331" t="inlineStr">
        <is>
          <t>202505270010</t>
        </is>
      </c>
      <c r="L407" s="332" t="inlineStr">
        <is>
          <t>1403250527144840</t>
        </is>
      </c>
      <c r="M407" s="757" t="inlineStr">
        <is>
          <t>Nationgate</t>
        </is>
      </c>
      <c r="N407" s="756" t="inlineStr">
        <is>
          <t>CHANHUA PTE. LTD.</t>
        </is>
      </c>
      <c r="O407" s="757" t="n">
        <v>8.3123</v>
      </c>
      <c r="P407" s="346">
        <f>VLOOKUP(L407,[3]BHSC_销售订单明细报表_060825!$E$1:$E$65536,1,FALSE)</f>
        <v/>
      </c>
      <c r="Q407" s="336" t="inlineStr">
        <is>
          <t>是</t>
        </is>
      </c>
      <c r="R407" s="758" t="n"/>
      <c r="S407" s="758" t="n"/>
      <c r="T407" s="758" t="n"/>
      <c r="U407" s="758" t="n"/>
      <c r="V407" s="758" t="n"/>
      <c r="W407" s="758" t="n"/>
    </row>
    <row r="408" s="184">
      <c r="A408" s="106" t="n">
        <v>402</v>
      </c>
      <c r="B408" s="754" t="inlineStr">
        <is>
          <t>chanhua</t>
        </is>
      </c>
      <c r="C408" s="761" t="n">
        <v>45800</v>
      </c>
      <c r="D408" s="755" t="inlineStr">
        <is>
          <t>新加坡比特</t>
        </is>
      </c>
      <c r="E408" s="756" t="inlineStr">
        <is>
          <t>NJ-VT</t>
        </is>
      </c>
      <c r="H408" s="756" t="inlineStr">
        <is>
          <t>BM1370PA</t>
        </is>
      </c>
      <c r="I408" s="755">
        <f>VLOOKUP(H408,[1]编码对账表!C:D,2,0)</f>
        <v/>
      </c>
      <c r="J408" s="330" t="n">
        <v>683073</v>
      </c>
      <c r="K408" s="331" t="inlineStr">
        <is>
          <t>202505270010</t>
        </is>
      </c>
      <c r="L408" s="332" t="inlineStr">
        <is>
          <t>1403250527144840</t>
        </is>
      </c>
      <c r="M408" s="757" t="inlineStr">
        <is>
          <t>Nationgate</t>
        </is>
      </c>
      <c r="N408" s="756" t="inlineStr">
        <is>
          <t>CHANHUA PTE. LTD.</t>
        </is>
      </c>
      <c r="O408" s="757" t="n">
        <v>8.3123</v>
      </c>
      <c r="P408" s="346">
        <f>VLOOKUP(L408,[3]BHSC_销售订单明细报表_060825!$E$1:$E$65536,1,FALSE)</f>
        <v/>
      </c>
      <c r="Q408" s="336" t="inlineStr">
        <is>
          <t>是</t>
        </is>
      </c>
      <c r="R408" s="758" t="n"/>
      <c r="S408" s="758" t="n"/>
      <c r="T408" s="758" t="n"/>
      <c r="U408" s="758" t="n"/>
      <c r="V408" s="758" t="n"/>
      <c r="W408" s="758" t="n"/>
    </row>
    <row r="409" s="184">
      <c r="A409" s="106" t="n">
        <v>402</v>
      </c>
      <c r="B409" s="754" t="inlineStr">
        <is>
          <t>chanhua</t>
        </is>
      </c>
      <c r="C409" s="761" t="n">
        <v>45800</v>
      </c>
      <c r="D409" s="755" t="inlineStr">
        <is>
          <t>新加坡比特</t>
        </is>
      </c>
      <c r="E409" s="756" t="inlineStr">
        <is>
          <t>NJ-VT</t>
        </is>
      </c>
      <c r="H409" s="756" t="inlineStr">
        <is>
          <t>BM1370PA</t>
        </is>
      </c>
      <c r="I409" s="755">
        <f>VLOOKUP(H409,[1]编码对账表!C:D,2,0)</f>
        <v/>
      </c>
      <c r="J409" s="330" t="n">
        <v>16886</v>
      </c>
      <c r="K409" s="331" t="inlineStr">
        <is>
          <t>202505270012</t>
        </is>
      </c>
      <c r="L409" s="332" t="inlineStr">
        <is>
          <t>1403250527144857</t>
        </is>
      </c>
      <c r="M409" s="757" t="inlineStr">
        <is>
          <t>泰国ONETEC</t>
        </is>
      </c>
      <c r="N409" s="756" t="inlineStr">
        <is>
          <t>CHANHUA PTE. LTD.</t>
        </is>
      </c>
      <c r="O409" s="757" t="n">
        <v>8.3123</v>
      </c>
      <c r="P409" s="346">
        <f>VLOOKUP(L409,[3]BHSC_销售订单明细报表_060825!$E$1:$E$65536,1,FALSE)</f>
        <v/>
      </c>
      <c r="Q409" s="336" t="inlineStr">
        <is>
          <t>是</t>
        </is>
      </c>
      <c r="R409" s="758" t="n"/>
      <c r="S409" s="758" t="n"/>
      <c r="T409" s="758" t="n"/>
      <c r="U409" s="758" t="n"/>
      <c r="V409" s="758" t="n"/>
      <c r="W409" s="758" t="n"/>
    </row>
    <row r="410" s="184">
      <c r="A410" s="106" t="n">
        <v>402</v>
      </c>
      <c r="B410" s="754" t="inlineStr">
        <is>
          <t>chanhua</t>
        </is>
      </c>
      <c r="C410" s="761" t="n">
        <v>45800</v>
      </c>
      <c r="D410" s="755" t="inlineStr">
        <is>
          <t>新加坡比特</t>
        </is>
      </c>
      <c r="E410" s="756" t="inlineStr">
        <is>
          <t>NJ-VT</t>
        </is>
      </c>
      <c r="H410" s="756" t="inlineStr">
        <is>
          <t>BM1370PA</t>
        </is>
      </c>
      <c r="I410" s="755">
        <f>VLOOKUP(H410,[1]编码对账表!C:D,2,0)</f>
        <v/>
      </c>
      <c r="J410" s="330" t="n">
        <v>135892</v>
      </c>
      <c r="K410" s="331" t="inlineStr">
        <is>
          <t>202505270014</t>
        </is>
      </c>
      <c r="L410" s="332" t="inlineStr">
        <is>
          <t>1403250527144917</t>
        </is>
      </c>
      <c r="M410" s="757" t="inlineStr">
        <is>
          <t>印尼奥海</t>
        </is>
      </c>
      <c r="N410" s="756" t="inlineStr">
        <is>
          <t>CHANHUA PTE. LTD.</t>
        </is>
      </c>
      <c r="O410" s="757" t="n">
        <v>8.3123</v>
      </c>
      <c r="P410" s="346">
        <f>VLOOKUP(L410,[3]BHSC_销售订单明细报表_060825!$E$1:$E$65536,1,FALSE)</f>
        <v/>
      </c>
      <c r="Q410" s="336" t="inlineStr">
        <is>
          <t>是</t>
        </is>
      </c>
      <c r="R410" s="758" t="n"/>
      <c r="S410" s="758" t="n"/>
      <c r="T410" s="758" t="n"/>
      <c r="U410" s="758" t="n"/>
      <c r="V410" s="758" t="n"/>
      <c r="W410" s="758" t="n"/>
    </row>
    <row r="411" s="184">
      <c r="A411" s="106" t="n">
        <v>402</v>
      </c>
      <c r="B411" s="754" t="inlineStr">
        <is>
          <t>chanhua</t>
        </is>
      </c>
      <c r="C411" s="761" t="n">
        <v>45800</v>
      </c>
      <c r="D411" s="755" t="inlineStr">
        <is>
          <t>新加坡比特</t>
        </is>
      </c>
      <c r="E411" s="376" t="inlineStr">
        <is>
          <t>ASECL</t>
        </is>
      </c>
      <c r="F411" s="376" t="n"/>
      <c r="G411" s="376" t="n"/>
      <c r="H411" s="376" t="inlineStr">
        <is>
          <t>BM1370</t>
        </is>
      </c>
      <c r="I411" s="755">
        <f>VLOOKUP(H411,[1]编码对账表!C:D,2,0)</f>
        <v/>
      </c>
      <c r="J411" s="349" t="n">
        <v>96</v>
      </c>
      <c r="N411" s="756" t="inlineStr">
        <is>
          <t>CHANHUA PTE. LTD.</t>
        </is>
      </c>
      <c r="O411" s="757" t="n"/>
      <c r="P411" s="346">
        <f>VLOOKUP(L411,[3]BHSC_销售订单明细报表_060825!$E$1:$E$65536,1,FALSE)</f>
        <v/>
      </c>
      <c r="Q411" s="758" t="n"/>
      <c r="R411" s="758" t="n"/>
      <c r="S411" s="758" t="n"/>
      <c r="T411" s="758" t="n"/>
      <c r="U411" s="758" t="n"/>
      <c r="V411" s="758" t="n"/>
      <c r="W411" s="758" t="n"/>
    </row>
    <row r="412" s="184">
      <c r="A412" s="106" t="n">
        <v>402</v>
      </c>
      <c r="B412" s="754" t="inlineStr">
        <is>
          <t>chanhua</t>
        </is>
      </c>
      <c r="C412" s="761" t="n">
        <v>45800</v>
      </c>
      <c r="D412" s="755" t="inlineStr">
        <is>
          <t>新加坡比特</t>
        </is>
      </c>
      <c r="E412" s="376" t="inlineStr">
        <is>
          <t>ASECL</t>
        </is>
      </c>
      <c r="F412" s="376" t="n"/>
      <c r="G412" s="376" t="n"/>
      <c r="H412" s="376" t="inlineStr">
        <is>
          <t>BM1370A1</t>
        </is>
      </c>
      <c r="I412" s="755">
        <f>VLOOKUP(H412,[1]编码对账表!C:D,2,0)</f>
        <v/>
      </c>
      <c r="J412" s="349" t="n">
        <v>39</v>
      </c>
      <c r="N412" s="756" t="inlineStr">
        <is>
          <t>CHANHUA PTE. LTD.</t>
        </is>
      </c>
      <c r="O412" s="757" t="n"/>
      <c r="P412" s="346">
        <f>VLOOKUP(L412,[3]BHSC_销售订单明细报表_060825!$E$1:$E$65536,1,FALSE)</f>
        <v/>
      </c>
      <c r="Q412" s="758" t="n"/>
      <c r="R412" s="758" t="n"/>
      <c r="S412" s="758" t="n"/>
      <c r="T412" s="758" t="n"/>
      <c r="U412" s="758" t="n"/>
      <c r="V412" s="758" t="n"/>
      <c r="W412" s="758" t="n"/>
    </row>
    <row r="413" s="184">
      <c r="A413" s="106" t="n">
        <v>402</v>
      </c>
      <c r="B413" s="754" t="inlineStr">
        <is>
          <t>chanhua</t>
        </is>
      </c>
      <c r="C413" s="761" t="n">
        <v>45800</v>
      </c>
      <c r="D413" s="755" t="inlineStr">
        <is>
          <t>新加坡比特</t>
        </is>
      </c>
      <c r="E413" s="376" t="inlineStr">
        <is>
          <t>ASECL</t>
        </is>
      </c>
      <c r="F413" s="376" t="n"/>
      <c r="G413" s="376" t="n"/>
      <c r="H413" s="376" t="inlineStr">
        <is>
          <t>BM1370AA</t>
        </is>
      </c>
      <c r="I413" s="755">
        <f>VLOOKUP(H413,[1]编码对账表!C:D,2,0)</f>
        <v/>
      </c>
      <c r="J413" s="330" t="n">
        <v>500</v>
      </c>
      <c r="K413" s="331" t="inlineStr">
        <is>
          <t>HKK202505230015</t>
        </is>
      </c>
      <c r="L413" s="332" t="inlineStr">
        <is>
          <t>1403250811165711</t>
        </is>
      </c>
      <c r="M413" s="757" t="inlineStr">
        <is>
          <t>CHHXYXPBLC</t>
        </is>
      </c>
      <c r="N413" s="756" t="inlineStr">
        <is>
          <t>CHANHUA PTE. LTD.</t>
        </is>
      </c>
      <c r="O413" s="757" t="n">
        <v>8.3123</v>
      </c>
      <c r="P413" s="346">
        <f>VLOOKUP(L413,[3]BHSC_销售订单明细报表_060825!$E$1:$E$65536,1,FALSE)</f>
        <v/>
      </c>
      <c r="Q413" s="758" t="n"/>
      <c r="R413" s="758" t="n"/>
      <c r="S413" s="758" t="n"/>
      <c r="T413" s="758" t="n"/>
      <c r="U413" s="758" t="n"/>
      <c r="V413" s="758" t="n"/>
      <c r="W413" s="758" t="n"/>
    </row>
    <row r="414" s="184">
      <c r="A414" s="106" t="n">
        <v>402</v>
      </c>
      <c r="B414" s="754" t="inlineStr">
        <is>
          <t>chanhua</t>
        </is>
      </c>
      <c r="C414" s="761" t="n">
        <v>45800</v>
      </c>
      <c r="D414" s="755" t="inlineStr">
        <is>
          <t>新加坡比特</t>
        </is>
      </c>
      <c r="E414" s="376" t="inlineStr">
        <is>
          <t>ASECL</t>
        </is>
      </c>
      <c r="F414" s="376" t="n"/>
      <c r="G414" s="376" t="n"/>
      <c r="H414" s="376" t="inlineStr">
        <is>
          <t>BM1370BB</t>
        </is>
      </c>
      <c r="I414" s="755">
        <f>VLOOKUP(H414,[1]编码对账表!C:D,2,0)</f>
        <v/>
      </c>
      <c r="J414" s="330" t="n">
        <v>924</v>
      </c>
      <c r="K414" s="331" t="inlineStr">
        <is>
          <t>HKK202505230016</t>
        </is>
      </c>
      <c r="L414" s="332" t="inlineStr">
        <is>
          <t>1403250811165722</t>
        </is>
      </c>
      <c r="M414" s="757" t="inlineStr">
        <is>
          <t>CHHXYXPBLC</t>
        </is>
      </c>
      <c r="N414" s="756" t="inlineStr">
        <is>
          <t>CHANHUA PTE. LTD.</t>
        </is>
      </c>
      <c r="O414" s="757" t="n">
        <v>8.3123</v>
      </c>
      <c r="P414" s="346">
        <f>VLOOKUP(L414,[3]BHSC_销售订单明细报表_060825!$E$1:$E$65536,1,FALSE)</f>
        <v/>
      </c>
      <c r="Q414" s="758" t="n"/>
      <c r="R414" s="758" t="n"/>
      <c r="S414" s="758" t="n"/>
      <c r="T414" s="758" t="n"/>
      <c r="U414" s="758" t="n"/>
      <c r="V414" s="758" t="n"/>
      <c r="W414" s="758" t="n"/>
    </row>
    <row r="415" s="184">
      <c r="A415" s="106" t="n">
        <v>402</v>
      </c>
      <c r="B415" s="754" t="inlineStr">
        <is>
          <t>chanhua</t>
        </is>
      </c>
      <c r="C415" s="761" t="n">
        <v>45800</v>
      </c>
      <c r="D415" s="755" t="inlineStr">
        <is>
          <t>新加坡比特</t>
        </is>
      </c>
      <c r="E415" s="376" t="inlineStr">
        <is>
          <t>ASECL</t>
        </is>
      </c>
      <c r="F415" s="376" t="n"/>
      <c r="G415" s="376" t="n"/>
      <c r="H415" s="376" t="inlineStr">
        <is>
          <t>BM1370BC</t>
        </is>
      </c>
      <c r="I415" s="755">
        <f>VLOOKUP(H415,[1]编码对账表!C:D,2,0)</f>
        <v/>
      </c>
      <c r="J415" s="330" t="n">
        <v>53961</v>
      </c>
      <c r="K415" s="331" t="inlineStr">
        <is>
          <t>HKK202505230017</t>
        </is>
      </c>
      <c r="L415" s="332" t="inlineStr">
        <is>
          <t>1403250811165733</t>
        </is>
      </c>
      <c r="M415" s="757" t="inlineStr">
        <is>
          <t>CHHXYXPBLC</t>
        </is>
      </c>
      <c r="N415" s="756" t="inlineStr">
        <is>
          <t>CHANHUA PTE. LTD.</t>
        </is>
      </c>
      <c r="O415" s="757" t="n">
        <v>8.3123</v>
      </c>
      <c r="P415" s="346">
        <f>VLOOKUP(L415,[3]BHSC_销售订单明细报表_060825!$E$1:$E$65536,1,FALSE)</f>
        <v/>
      </c>
      <c r="Q415" s="758" t="n"/>
      <c r="R415" s="758" t="n"/>
      <c r="S415" s="758" t="n"/>
      <c r="T415" s="758" t="n"/>
      <c r="U415" s="758" t="n"/>
      <c r="V415" s="758" t="n"/>
      <c r="W415" s="758" t="n"/>
    </row>
    <row r="416" s="184">
      <c r="A416" s="106" t="n">
        <v>402</v>
      </c>
      <c r="B416" s="754" t="inlineStr">
        <is>
          <t>chanhua</t>
        </is>
      </c>
      <c r="C416" s="761" t="n">
        <v>45800</v>
      </c>
      <c r="D416" s="755" t="inlineStr">
        <is>
          <t>新加坡比特</t>
        </is>
      </c>
      <c r="E416" s="376" t="inlineStr">
        <is>
          <t>ASECL</t>
        </is>
      </c>
      <c r="F416" s="376" t="n"/>
      <c r="G416" s="376" t="n"/>
      <c r="H416" s="376" t="inlineStr">
        <is>
          <t>BM1370BC</t>
        </is>
      </c>
      <c r="I416" s="755">
        <f>VLOOKUP(H416,[1]编码对账表!C:D,2,0)</f>
        <v/>
      </c>
      <c r="J416" s="330" t="n">
        <v>1617</v>
      </c>
      <c r="K416" s="331" t="inlineStr">
        <is>
          <t>HKK202505230018</t>
        </is>
      </c>
      <c r="L416" s="332" t="inlineStr">
        <is>
          <t>1403250811165741</t>
        </is>
      </c>
      <c r="M416" s="757" t="inlineStr">
        <is>
          <t>CHHXYXPBLC</t>
        </is>
      </c>
      <c r="N416" s="756" t="inlineStr">
        <is>
          <t>CHANHUA PTE. LTD.</t>
        </is>
      </c>
      <c r="O416" s="757" t="n">
        <v>8.3123</v>
      </c>
      <c r="P416" s="346">
        <f>VLOOKUP(L416,[3]BHSC_销售订单明细报表_060825!$E$1:$E$65536,1,FALSE)</f>
        <v/>
      </c>
      <c r="Q416" s="758" t="n"/>
      <c r="R416" s="758" t="n"/>
      <c r="S416" s="758" t="n"/>
      <c r="T416" s="758" t="n"/>
      <c r="U416" s="758" t="n"/>
      <c r="V416" s="758" t="n"/>
      <c r="W416" s="758" t="n"/>
    </row>
    <row r="417" s="184">
      <c r="A417" s="106" t="n">
        <v>402</v>
      </c>
      <c r="B417" s="754" t="inlineStr">
        <is>
          <t>chanhua</t>
        </is>
      </c>
      <c r="C417" s="761" t="n">
        <v>45800</v>
      </c>
      <c r="D417" s="755" t="inlineStr">
        <is>
          <t>新加坡比特</t>
        </is>
      </c>
      <c r="E417" s="376" t="inlineStr">
        <is>
          <t>ASECL</t>
        </is>
      </c>
      <c r="F417" s="376" t="n"/>
      <c r="G417" s="376" t="n"/>
      <c r="H417" s="376" t="inlineStr">
        <is>
          <t>BM1370PA</t>
        </is>
      </c>
      <c r="I417" s="755">
        <f>VLOOKUP(H417,[1]编码对账表!C:D,2,0)</f>
        <v/>
      </c>
      <c r="J417" s="330" t="n">
        <v>48210</v>
      </c>
      <c r="K417" s="331" t="inlineStr">
        <is>
          <t>HKK202505230019</t>
        </is>
      </c>
      <c r="L417" s="332" t="inlineStr">
        <is>
          <t>1403250811165750</t>
        </is>
      </c>
      <c r="M417" s="757" t="inlineStr">
        <is>
          <t>CHHXYXPBLC</t>
        </is>
      </c>
      <c r="N417" s="756" t="inlineStr">
        <is>
          <t>CHANHUA PTE. LTD.</t>
        </is>
      </c>
      <c r="O417" s="757" t="n">
        <v>8.3123</v>
      </c>
      <c r="P417" s="346">
        <f>VLOOKUP(L417,[3]BHSC_销售订单明细报表_060825!$E$1:$E$65536,1,FALSE)</f>
        <v/>
      </c>
      <c r="Q417" s="758" t="n"/>
      <c r="R417" s="758" t="n"/>
      <c r="S417" s="758" t="n"/>
      <c r="T417" s="758" t="n"/>
      <c r="U417" s="758" t="n"/>
      <c r="V417" s="758" t="n"/>
      <c r="W417" s="758" t="n"/>
    </row>
    <row r="418" s="184">
      <c r="A418" s="106" t="n">
        <v>402</v>
      </c>
      <c r="B418" s="754" t="inlineStr">
        <is>
          <t>chanhua</t>
        </is>
      </c>
      <c r="C418" s="761" t="n">
        <v>45800</v>
      </c>
      <c r="D418" s="755" t="inlineStr">
        <is>
          <t>新加坡比特</t>
        </is>
      </c>
      <c r="E418" s="376" t="inlineStr">
        <is>
          <t>ASECL</t>
        </is>
      </c>
      <c r="F418" s="376" t="n"/>
      <c r="G418" s="376" t="n"/>
      <c r="H418" s="376" t="inlineStr">
        <is>
          <t>BM1370PA</t>
        </is>
      </c>
      <c r="I418" s="755">
        <f>VLOOKUP(H418,[1]编码对账表!C:D,2,0)</f>
        <v/>
      </c>
      <c r="J418" s="330" t="n">
        <v>1925</v>
      </c>
      <c r="K418" s="331" t="inlineStr">
        <is>
          <t>HKK202505230020</t>
        </is>
      </c>
      <c r="L418" s="332" t="inlineStr">
        <is>
          <t>1403250811165759</t>
        </is>
      </c>
      <c r="M418" s="757" t="inlineStr">
        <is>
          <t>CHHXYXPBLC</t>
        </is>
      </c>
      <c r="N418" s="756" t="inlineStr">
        <is>
          <t>CHANHUA PTE. LTD.</t>
        </is>
      </c>
      <c r="O418" s="757" t="n">
        <v>8.3123</v>
      </c>
      <c r="P418" s="346">
        <f>VLOOKUP(L418,[3]BHSC_销售订单明细报表_060825!$E$1:$E$65536,1,FALSE)</f>
        <v/>
      </c>
      <c r="Q418" s="758" t="n"/>
      <c r="R418" s="758" t="n"/>
      <c r="S418" s="758" t="n"/>
      <c r="T418" s="758" t="n"/>
      <c r="U418" s="758" t="n"/>
      <c r="V418" s="758" t="n"/>
      <c r="W418" s="758" t="n"/>
    </row>
    <row r="419" s="184">
      <c r="A419" s="106" t="n">
        <v>402</v>
      </c>
      <c r="B419" s="754" t="inlineStr">
        <is>
          <t>chanhua</t>
        </is>
      </c>
      <c r="C419" s="761" t="n">
        <v>45800</v>
      </c>
      <c r="D419" s="755" t="inlineStr">
        <is>
          <t>新加坡比特</t>
        </is>
      </c>
      <c r="E419" s="376" t="inlineStr">
        <is>
          <t>ASECL</t>
        </is>
      </c>
      <c r="F419" s="376" t="n"/>
      <c r="G419" s="376" t="n"/>
      <c r="H419" s="376" t="inlineStr">
        <is>
          <t>BM1370PM</t>
        </is>
      </c>
      <c r="I419" s="755">
        <f>VLOOKUP(H419,[1]编码对账表!C:D,2,0)</f>
        <v/>
      </c>
      <c r="J419" s="330" t="n">
        <v>592</v>
      </c>
      <c r="K419" s="331" t="inlineStr">
        <is>
          <t>HKK202505230021</t>
        </is>
      </c>
      <c r="L419" s="332" t="inlineStr">
        <is>
          <t>1403250811165810</t>
        </is>
      </c>
      <c r="M419" s="757" t="inlineStr">
        <is>
          <t>CHHXYXPBLC</t>
        </is>
      </c>
      <c r="N419" s="756" t="inlineStr">
        <is>
          <t>CHANHUA PTE. LTD.</t>
        </is>
      </c>
      <c r="O419" s="757" t="n">
        <v>8.3123</v>
      </c>
      <c r="P419" s="346">
        <f>VLOOKUP(L419,[3]BHSC_销售订单明细报表_060825!$E$1:$E$65536,1,FALSE)</f>
        <v/>
      </c>
      <c r="Q419" s="758" t="n"/>
      <c r="R419" s="758" t="n"/>
      <c r="S419" s="758" t="n"/>
      <c r="T419" s="758" t="n"/>
      <c r="U419" s="758" t="n"/>
      <c r="V419" s="758" t="n"/>
      <c r="W419" s="758" t="n"/>
    </row>
    <row r="420" s="184">
      <c r="A420" s="106" t="n">
        <v>402</v>
      </c>
      <c r="B420" s="754" t="inlineStr">
        <is>
          <t>chanhua</t>
        </is>
      </c>
      <c r="C420" s="761" t="n">
        <v>45800</v>
      </c>
      <c r="D420" s="755" t="inlineStr">
        <is>
          <t>新加坡比特</t>
        </is>
      </c>
      <c r="E420" s="376" t="inlineStr">
        <is>
          <t>ASECL</t>
        </is>
      </c>
      <c r="F420" s="376" t="n"/>
      <c r="G420" s="376" t="n"/>
      <c r="H420" s="376" t="inlineStr">
        <is>
          <t>BM1372</t>
        </is>
      </c>
      <c r="I420" s="755">
        <f>VLOOKUP(H420,[1]编码对账表!C:D,2,0)</f>
        <v/>
      </c>
      <c r="J420" s="349" t="n">
        <v>1</v>
      </c>
      <c r="N420" s="756" t="inlineStr">
        <is>
          <t>CHANHUA PTE. LTD.</t>
        </is>
      </c>
      <c r="O420" s="757" t="n"/>
      <c r="P420" s="346">
        <f>VLOOKUP(L420,[3]BHSC_销售订单明细报表_060825!$E$1:$E$65536,1,FALSE)</f>
        <v/>
      </c>
      <c r="Q420" s="758" t="n"/>
      <c r="R420" s="758" t="n"/>
      <c r="S420" s="758" t="n"/>
      <c r="T420" s="758" t="n"/>
      <c r="U420" s="758" t="n"/>
      <c r="V420" s="758" t="n"/>
      <c r="W420" s="758" t="n"/>
    </row>
    <row r="421" s="184">
      <c r="A421" s="106" t="n">
        <v>402</v>
      </c>
      <c r="B421" s="754" t="inlineStr">
        <is>
          <t>chanhua</t>
        </is>
      </c>
      <c r="C421" s="761" t="n">
        <v>45807</v>
      </c>
      <c r="D421" s="755" t="inlineStr">
        <is>
          <t>新加坡比特</t>
        </is>
      </c>
      <c r="E421" s="376" t="inlineStr">
        <is>
          <t>WX-HN</t>
        </is>
      </c>
      <c r="F421" s="376" t="n"/>
      <c r="G421" s="376" t="n"/>
      <c r="H421" s="376" t="inlineStr">
        <is>
          <t>BM1370PA</t>
        </is>
      </c>
      <c r="I421" s="755">
        <f>VLOOKUP(H421,[1]编码对账表!C:D,2,0)</f>
        <v/>
      </c>
      <c r="J421" s="330" t="n">
        <v>181958</v>
      </c>
      <c r="K421" s="331" t="inlineStr">
        <is>
          <t>202505300010</t>
        </is>
      </c>
      <c r="L421" s="332" t="inlineStr">
        <is>
          <t>1403250530170134</t>
        </is>
      </c>
      <c r="M421" s="757" t="inlineStr">
        <is>
          <t>Nationgate</t>
        </is>
      </c>
      <c r="N421" s="756" t="inlineStr">
        <is>
          <t>CHANHUA PTE. LTD.</t>
        </is>
      </c>
      <c r="O421" s="757" t="n">
        <v>8.3123</v>
      </c>
      <c r="P421" s="346">
        <f>VLOOKUP(L421,[3]BHSC_销售订单明细报表_060825!$E$1:$E$65536,1,FALSE)</f>
        <v/>
      </c>
      <c r="Q421" s="758" t="inlineStr">
        <is>
          <t>是</t>
        </is>
      </c>
      <c r="R421" s="758" t="n"/>
      <c r="S421" s="758" t="n"/>
      <c r="T421" s="758" t="n"/>
      <c r="U421" s="758" t="n"/>
      <c r="V421" s="758" t="n"/>
      <c r="W421" s="758" t="n"/>
    </row>
    <row r="422" s="184">
      <c r="A422" s="106" t="n">
        <v>402</v>
      </c>
      <c r="B422" s="754" t="inlineStr">
        <is>
          <t>chanhua</t>
        </is>
      </c>
      <c r="C422" s="761" t="n">
        <v>45804</v>
      </c>
      <c r="D422" s="755" t="inlineStr">
        <is>
          <t>新加坡比特</t>
        </is>
      </c>
      <c r="E422" s="376" t="inlineStr">
        <is>
          <t>XJ</t>
        </is>
      </c>
      <c r="F422" s="376" t="n"/>
      <c r="G422" s="376" t="n"/>
      <c r="H422" s="376" t="inlineStr">
        <is>
          <t>BM1370PA</t>
        </is>
      </c>
      <c r="I422" s="755">
        <f>VLOOKUP(H422,[1]编码对账表!C:D,2,0)</f>
        <v/>
      </c>
      <c r="J422" s="330" t="n">
        <v>30973</v>
      </c>
      <c r="K422" s="331" t="inlineStr">
        <is>
          <t>202505300011</t>
        </is>
      </c>
      <c r="L422" s="332" t="inlineStr">
        <is>
          <t>1403250530170143</t>
        </is>
      </c>
      <c r="M422" s="757" t="inlineStr">
        <is>
          <t>墨西哥欧陆通</t>
        </is>
      </c>
      <c r="N422" s="756" t="inlineStr">
        <is>
          <t>CHANHUA PTE. LTD.</t>
        </is>
      </c>
      <c r="O422" s="757" t="n">
        <v>8.3123</v>
      </c>
      <c r="P422" s="346">
        <f>VLOOKUP(L422,[3]BHSC_销售订单明细报表_060825!$E$1:$E$65536,1,FALSE)</f>
        <v/>
      </c>
      <c r="Q422" s="336" t="inlineStr">
        <is>
          <t>是</t>
        </is>
      </c>
      <c r="R422" s="758" t="inlineStr">
        <is>
          <t>待复核</t>
        </is>
      </c>
      <c r="S422" s="758" t="n"/>
      <c r="T422" s="758" t="n"/>
      <c r="U422" s="758" t="n"/>
      <c r="V422" s="758" t="n"/>
      <c r="W422" s="758" t="n"/>
    </row>
    <row r="423" s="184">
      <c r="A423" s="106" t="n">
        <v>402</v>
      </c>
      <c r="B423" s="754" t="inlineStr">
        <is>
          <t>chanhua</t>
        </is>
      </c>
      <c r="C423" s="761" t="n">
        <v>45807</v>
      </c>
      <c r="D423" s="755" t="inlineStr">
        <is>
          <t>新加坡比特</t>
        </is>
      </c>
      <c r="E423" s="376" t="inlineStr">
        <is>
          <t>WX-HN</t>
        </is>
      </c>
      <c r="F423" s="376" t="n"/>
      <c r="G423" s="376" t="n"/>
      <c r="H423" s="376" t="inlineStr">
        <is>
          <t>BM1370PA</t>
        </is>
      </c>
      <c r="I423" s="755">
        <f>VLOOKUP(H423,[1]编码对账表!C:D,2,0)</f>
        <v/>
      </c>
      <c r="J423" s="330" t="n">
        <v>422397</v>
      </c>
      <c r="K423" s="331" t="inlineStr">
        <is>
          <t>202505300012</t>
        </is>
      </c>
      <c r="L423" s="332" t="inlineStr">
        <is>
          <t>1403250530170151</t>
        </is>
      </c>
      <c r="M423" s="757" t="inlineStr">
        <is>
          <t>泰国群光</t>
        </is>
      </c>
      <c r="N423" s="756" t="inlineStr">
        <is>
          <t>CHANHUA PTE. LTD.</t>
        </is>
      </c>
      <c r="O423" s="757" t="n">
        <v>8.3123</v>
      </c>
      <c r="P423" s="346">
        <f>VLOOKUP(L423,[3]BHSC_销售订单明细报表_060825!$E$1:$E$65536,1,FALSE)</f>
        <v/>
      </c>
      <c r="Q423" s="336" t="inlineStr">
        <is>
          <t>是</t>
        </is>
      </c>
      <c r="R423" s="758" t="n"/>
      <c r="S423" s="758" t="n"/>
      <c r="T423" s="758" t="n"/>
      <c r="U423" s="758" t="n"/>
      <c r="V423" s="758" t="n"/>
      <c r="W423" s="758" t="n"/>
    </row>
    <row r="424" s="184">
      <c r="A424" s="106" t="n">
        <v>402</v>
      </c>
      <c r="B424" s="754" t="inlineStr">
        <is>
          <t>chanhua</t>
        </is>
      </c>
      <c r="C424" s="761" t="n">
        <v>45807</v>
      </c>
      <c r="D424" s="755" t="inlineStr">
        <is>
          <t>新加坡比特</t>
        </is>
      </c>
      <c r="E424" s="376" t="inlineStr">
        <is>
          <t>WX-HN</t>
        </is>
      </c>
      <c r="F424" s="376" t="n"/>
      <c r="G424" s="376" t="n"/>
      <c r="H424" s="376" t="inlineStr">
        <is>
          <t>BM1370PA</t>
        </is>
      </c>
      <c r="I424" s="755">
        <f>VLOOKUP(H424,[1]编码对账表!C:D,2,0)</f>
        <v/>
      </c>
      <c r="J424" s="330" t="n">
        <v>233624</v>
      </c>
      <c r="K424" s="331" t="inlineStr">
        <is>
          <t>202505300013</t>
        </is>
      </c>
      <c r="L424" s="332" t="inlineStr">
        <is>
          <t>1403250530170159</t>
        </is>
      </c>
      <c r="M424" s="757" t="inlineStr">
        <is>
          <t>印尼奥海</t>
        </is>
      </c>
      <c r="N424" s="756" t="inlineStr">
        <is>
          <t>CHANHUA PTE. LTD.</t>
        </is>
      </c>
      <c r="O424" s="757" t="n">
        <v>8.3123</v>
      </c>
      <c r="P424" s="346">
        <f>VLOOKUP(L424,[3]BHSC_销售订单明细报表_060825!$E$1:$E$65536,1,FALSE)</f>
        <v/>
      </c>
      <c r="Q424" s="336" t="inlineStr">
        <is>
          <t>是</t>
        </is>
      </c>
      <c r="R424" s="758" t="n"/>
      <c r="S424" s="758" t="n"/>
      <c r="T424" s="758" t="n"/>
      <c r="U424" s="758" t="n"/>
      <c r="V424" s="758" t="n"/>
      <c r="W424" s="758" t="n"/>
    </row>
    <row r="425" s="184">
      <c r="A425" s="106" t="n">
        <v>423</v>
      </c>
      <c r="B425" s="754" t="inlineStr">
        <is>
          <t>chanhua</t>
        </is>
      </c>
      <c r="C425" s="761" t="n">
        <v>45810</v>
      </c>
      <c r="D425" s="755" t="inlineStr">
        <is>
          <t>新加坡比特</t>
        </is>
      </c>
      <c r="E425" s="376" t="inlineStr">
        <is>
          <t>ASE-KH</t>
        </is>
      </c>
      <c r="F425" s="376" t="n"/>
      <c r="G425" s="376" t="n"/>
      <c r="H425" s="376" t="inlineStr">
        <is>
          <t>BM1370PA</t>
        </is>
      </c>
      <c r="I425" s="755">
        <f>VLOOKUP(H425,[1]编码对账表!C:D,2,0)</f>
        <v/>
      </c>
      <c r="J425" s="330" t="n">
        <v>1705</v>
      </c>
      <c r="K425" s="331" t="inlineStr">
        <is>
          <t>202506030010</t>
        </is>
      </c>
      <c r="L425" s="332" t="inlineStr">
        <is>
          <t>1403250603165644</t>
        </is>
      </c>
      <c r="M425" s="757" t="inlineStr">
        <is>
          <t>nationgate</t>
        </is>
      </c>
      <c r="N425" s="756" t="inlineStr">
        <is>
          <t>CHANHUA PTE. LTD.</t>
        </is>
      </c>
      <c r="O425" s="757" t="n">
        <v>8.3123</v>
      </c>
      <c r="P425" s="346">
        <f>VLOOKUP(L425,[3]BHSC_销售订单明细报表_060825!$E$1:$E$65536,1,FALSE)</f>
        <v/>
      </c>
      <c r="Q425" s="758" t="inlineStr">
        <is>
          <t>是</t>
        </is>
      </c>
      <c r="R425" s="758" t="n"/>
      <c r="S425" s="758" t="n"/>
      <c r="T425" s="758" t="n"/>
      <c r="U425" s="758" t="n"/>
      <c r="V425" s="758" t="n"/>
      <c r="W425" s="758" t="n"/>
    </row>
    <row r="426" s="184">
      <c r="A426" s="106" t="n">
        <v>424</v>
      </c>
      <c r="B426" s="754" t="inlineStr">
        <is>
          <t>chanhua</t>
        </is>
      </c>
      <c r="C426" s="761" t="n">
        <v>45810</v>
      </c>
      <c r="D426" s="755" t="inlineStr">
        <is>
          <t>新加坡比特</t>
        </is>
      </c>
      <c r="E426" s="376" t="inlineStr">
        <is>
          <t>ASECL</t>
        </is>
      </c>
      <c r="F426" s="376" t="n"/>
      <c r="G426" s="376" t="n"/>
      <c r="H426" s="376" t="inlineStr">
        <is>
          <t>BM1370BC</t>
        </is>
      </c>
      <c r="I426" s="755">
        <f>VLOOKUP(H426,[1]编码对账表!C:D,2,0)</f>
        <v/>
      </c>
      <c r="J426" s="330" t="n">
        <v>388</v>
      </c>
      <c r="K426" s="331" t="inlineStr">
        <is>
          <t>202506030010</t>
        </is>
      </c>
      <c r="L426" s="332" t="inlineStr">
        <is>
          <t>1403250603165644</t>
        </is>
      </c>
      <c r="M426" s="764" t="inlineStr">
        <is>
          <t>nationgate</t>
        </is>
      </c>
      <c r="N426" s="756" t="inlineStr">
        <is>
          <t>CHANHUA PTE. LTD.</t>
        </is>
      </c>
      <c r="O426" s="757" t="n">
        <v>8.3123</v>
      </c>
      <c r="P426" s="346">
        <f>VLOOKUP(L426,[3]BHSC_销售订单明细报表_060825!$E$1:$E$65536,1,FALSE)</f>
        <v/>
      </c>
      <c r="Q426" s="758" t="inlineStr">
        <is>
          <t>是</t>
        </is>
      </c>
      <c r="R426" s="758" t="n"/>
      <c r="S426" s="758" t="n"/>
      <c r="T426" s="758" t="n"/>
      <c r="U426" s="758" t="n"/>
      <c r="V426" s="758" t="n"/>
      <c r="W426" s="758" t="n"/>
    </row>
    <row r="427" s="184">
      <c r="A427" s="106" t="n">
        <v>425</v>
      </c>
      <c r="B427" s="754" t="inlineStr">
        <is>
          <t>chanhua</t>
        </is>
      </c>
      <c r="C427" s="761" t="n">
        <v>45810</v>
      </c>
      <c r="D427" s="755" t="inlineStr">
        <is>
          <t>新加坡比特</t>
        </is>
      </c>
      <c r="E427" s="376" t="inlineStr">
        <is>
          <t>ASECL</t>
        </is>
      </c>
      <c r="F427" s="376" t="n"/>
      <c r="G427" s="376" t="n"/>
      <c r="H427" s="376" t="inlineStr">
        <is>
          <t>BM1370PA</t>
        </is>
      </c>
      <c r="I427" s="755">
        <f>VLOOKUP(H427,[1]编码对账表!C:D,2,0)</f>
        <v/>
      </c>
      <c r="J427" s="330" t="n">
        <v>843239</v>
      </c>
      <c r="K427" s="331" t="inlineStr">
        <is>
          <t>202506030010</t>
        </is>
      </c>
      <c r="L427" s="332" t="inlineStr">
        <is>
          <t>1403250603165644</t>
        </is>
      </c>
      <c r="M427" s="757" t="inlineStr">
        <is>
          <t>nationgate</t>
        </is>
      </c>
      <c r="N427" s="756" t="inlineStr">
        <is>
          <t>CHANHUA PTE. LTD.</t>
        </is>
      </c>
      <c r="O427" s="757" t="n">
        <v>8.3123</v>
      </c>
      <c r="P427" s="346">
        <f>VLOOKUP(L427,[3]BHSC_销售订单明细报表_060825!$E$1:$E$65536,1,FALSE)</f>
        <v/>
      </c>
      <c r="Q427" s="758" t="inlineStr">
        <is>
          <t>是</t>
        </is>
      </c>
      <c r="R427" s="336" t="inlineStr">
        <is>
          <t>等待ASECL传输数据</t>
        </is>
      </c>
      <c r="S427" s="758" t="n"/>
      <c r="T427" s="758" t="n"/>
      <c r="U427" s="758" t="n"/>
      <c r="V427" s="758" t="n"/>
      <c r="W427" s="758" t="n"/>
    </row>
    <row r="428" s="184">
      <c r="A428" s="106" t="n">
        <v>402</v>
      </c>
      <c r="B428" s="754" t="inlineStr">
        <is>
          <t>chanhua</t>
        </is>
      </c>
      <c r="C428" s="761" t="n">
        <v>45808</v>
      </c>
      <c r="D428" s="755" t="inlineStr">
        <is>
          <t>新加坡比特</t>
        </is>
      </c>
      <c r="E428" s="376" t="inlineStr">
        <is>
          <t>NJ-VT</t>
        </is>
      </c>
      <c r="F428" s="376" t="n"/>
      <c r="G428" s="376" t="n"/>
      <c r="H428" s="376" t="inlineStr">
        <is>
          <t>BM1370PA</t>
        </is>
      </c>
      <c r="I428" s="755">
        <f>VLOOKUP(H428,[1]编码对账表!C:D,2,0)</f>
        <v/>
      </c>
      <c r="J428" s="330" t="n">
        <v>177943</v>
      </c>
      <c r="K428" s="331" t="inlineStr">
        <is>
          <t>202506030010</t>
        </is>
      </c>
      <c r="L428" s="332" t="inlineStr">
        <is>
          <t>1403250603165644</t>
        </is>
      </c>
      <c r="M428" s="757" t="inlineStr">
        <is>
          <t>nationgate</t>
        </is>
      </c>
      <c r="N428" s="756" t="inlineStr">
        <is>
          <t>CHANHUA PTE. LTD.</t>
        </is>
      </c>
      <c r="O428" s="757" t="n">
        <v>8.3123</v>
      </c>
      <c r="P428" s="346">
        <f>VLOOKUP(L428,[3]BHSC_销售订单明细报表_060825!$E$1:$E$65536,1,FALSE)</f>
        <v/>
      </c>
      <c r="Q428" s="336" t="inlineStr">
        <is>
          <t>是</t>
        </is>
      </c>
      <c r="R428" s="758" t="n"/>
      <c r="S428" s="758" t="n"/>
      <c r="T428" s="758" t="n"/>
      <c r="U428" s="758" t="n"/>
      <c r="V428" s="758" t="n"/>
      <c r="W428" s="758" t="n"/>
    </row>
    <row r="429" s="184">
      <c r="A429" s="106" t="n">
        <v>402</v>
      </c>
      <c r="B429" s="754" t="inlineStr">
        <is>
          <t>chanhua</t>
        </is>
      </c>
      <c r="C429" s="761" t="n">
        <v>45808</v>
      </c>
      <c r="D429" s="755" t="inlineStr">
        <is>
          <t>新加坡比特</t>
        </is>
      </c>
      <c r="E429" s="376" t="inlineStr">
        <is>
          <t>XJ</t>
        </is>
      </c>
      <c r="F429" s="376" t="n"/>
      <c r="G429" s="376" t="n"/>
      <c r="H429" s="376" t="inlineStr">
        <is>
          <t>BM1370PA</t>
        </is>
      </c>
      <c r="I429" s="755">
        <f>VLOOKUP(H429,[1]编码对账表!C:D,2,0)</f>
        <v/>
      </c>
      <c r="J429" s="330" t="n">
        <v>219669</v>
      </c>
      <c r="K429" s="331" t="inlineStr">
        <is>
          <t>202506030010</t>
        </is>
      </c>
      <c r="L429" s="332" t="inlineStr">
        <is>
          <t>1403250603165644</t>
        </is>
      </c>
      <c r="M429" s="757" t="inlineStr">
        <is>
          <t>nationgate</t>
        </is>
      </c>
      <c r="N429" s="756" t="inlineStr">
        <is>
          <t>CHANHUA PTE. LTD.</t>
        </is>
      </c>
      <c r="O429" s="757" t="n">
        <v>8.3123</v>
      </c>
      <c r="P429" s="346">
        <f>VLOOKUP(L429,[3]BHSC_销售订单明细报表_060825!$E$1:$E$65536,1,FALSE)</f>
        <v/>
      </c>
      <c r="Q429" s="336" t="inlineStr">
        <is>
          <t>是</t>
        </is>
      </c>
      <c r="R429" s="758" t="n"/>
      <c r="S429" s="758" t="n"/>
      <c r="T429" s="758" t="n"/>
      <c r="U429" s="758" t="n"/>
      <c r="V429" s="758" t="n"/>
      <c r="W429" s="758" t="n"/>
    </row>
    <row r="430" s="184">
      <c r="A430" s="106" t="n">
        <v>428</v>
      </c>
      <c r="B430" s="754" t="inlineStr">
        <is>
          <t>chanhua</t>
        </is>
      </c>
      <c r="C430" s="761" t="n">
        <v>45810</v>
      </c>
      <c r="D430" s="755" t="inlineStr">
        <is>
          <t>新加坡比特</t>
        </is>
      </c>
      <c r="E430" s="376" t="inlineStr">
        <is>
          <t>ASECL</t>
        </is>
      </c>
      <c r="F430" s="376" t="n"/>
      <c r="G430" s="376" t="n"/>
      <c r="H430" s="376" t="inlineStr">
        <is>
          <t>BM1370PA</t>
        </is>
      </c>
      <c r="I430" s="755">
        <f>VLOOKUP(H430,[1]编码对账表!C:D,2,0)</f>
        <v/>
      </c>
      <c r="J430" s="330" t="n">
        <v>34200</v>
      </c>
      <c r="K430" s="331" t="inlineStr">
        <is>
          <t>202506030011</t>
        </is>
      </c>
      <c r="L430" s="332" t="inlineStr">
        <is>
          <t>1403250603165659</t>
        </is>
      </c>
      <c r="M430" s="757" t="inlineStr">
        <is>
          <t>PIE</t>
        </is>
      </c>
      <c r="N430" s="756" t="inlineStr">
        <is>
          <t>CHANHUA PTE. LTD.</t>
        </is>
      </c>
      <c r="O430" s="757" t="n">
        <v>8.3123</v>
      </c>
      <c r="P430" s="346">
        <f>VLOOKUP(L430,[3]BHSC_销售订单明细报表_060825!$E$1:$E$65536,1,FALSE)</f>
        <v/>
      </c>
      <c r="Q430" s="758" t="inlineStr">
        <is>
          <t>是</t>
        </is>
      </c>
      <c r="R430" s="758" t="n"/>
      <c r="S430" s="758" t="n"/>
      <c r="T430" s="758" t="n"/>
      <c r="U430" s="758" t="n"/>
      <c r="V430" s="758" t="n"/>
      <c r="W430" s="758" t="n"/>
    </row>
    <row r="431" s="184">
      <c r="A431" s="106" t="n">
        <v>402</v>
      </c>
      <c r="B431" s="754" t="inlineStr">
        <is>
          <t>chanhua</t>
        </is>
      </c>
      <c r="C431" s="761" t="n">
        <v>45808</v>
      </c>
      <c r="D431" s="755" t="inlineStr">
        <is>
          <t>新加坡比特</t>
        </is>
      </c>
      <c r="E431" s="376" t="inlineStr">
        <is>
          <t>NJ-VT</t>
        </is>
      </c>
      <c r="F431" s="376" t="n"/>
      <c r="G431" s="376" t="n"/>
      <c r="H431" s="376" t="inlineStr">
        <is>
          <t>BM1370PA</t>
        </is>
      </c>
      <c r="I431" s="755">
        <f>VLOOKUP(H431,[1]编码对账表!C:D,2,0)</f>
        <v/>
      </c>
      <c r="J431" s="330" t="n">
        <v>1326741</v>
      </c>
      <c r="K431" s="331" t="inlineStr">
        <is>
          <t>202506030011</t>
        </is>
      </c>
      <c r="L431" s="332" t="inlineStr">
        <is>
          <t>1403250603165659</t>
        </is>
      </c>
      <c r="M431" s="757" t="inlineStr">
        <is>
          <t>PIE</t>
        </is>
      </c>
      <c r="N431" s="756" t="inlineStr">
        <is>
          <t>CHANHUA PTE. LTD.</t>
        </is>
      </c>
      <c r="O431" s="757" t="n">
        <v>8.3123</v>
      </c>
      <c r="P431" s="346">
        <f>VLOOKUP(L431,[3]BHSC_销售订单明细报表_060825!$E$1:$E$65536,1,FALSE)</f>
        <v/>
      </c>
      <c r="Q431" s="336" t="inlineStr">
        <is>
          <t>是</t>
        </is>
      </c>
      <c r="R431" s="758" t="n"/>
      <c r="S431" s="758" t="n"/>
      <c r="T431" s="758" t="n"/>
      <c r="U431" s="758" t="n"/>
      <c r="V431" s="758" t="n"/>
      <c r="W431" s="758" t="n"/>
    </row>
    <row r="432" s="184">
      <c r="A432" s="106" t="n">
        <v>402</v>
      </c>
      <c r="B432" s="754" t="inlineStr">
        <is>
          <t>chanhua</t>
        </is>
      </c>
      <c r="C432" s="761" t="n">
        <v>45807</v>
      </c>
      <c r="D432" s="755" t="inlineStr">
        <is>
          <t>新加坡比特</t>
        </is>
      </c>
      <c r="E432" s="376" t="inlineStr">
        <is>
          <t>SPILSZ</t>
        </is>
      </c>
      <c r="F432" s="376" t="n"/>
      <c r="G432" s="376" t="n"/>
      <c r="H432" s="376" t="inlineStr">
        <is>
          <t>BM1370PA</t>
        </is>
      </c>
      <c r="I432" s="755">
        <f>VLOOKUP(H432,[1]编码对账表!C:D,2,0)</f>
        <v/>
      </c>
      <c r="J432" s="330" t="n">
        <v>111864</v>
      </c>
      <c r="K432" s="331" t="inlineStr">
        <is>
          <t>202506030011</t>
        </is>
      </c>
      <c r="L432" s="332" t="inlineStr">
        <is>
          <t>1403250603165659</t>
        </is>
      </c>
      <c r="M432" s="757" t="inlineStr">
        <is>
          <t>PIE</t>
        </is>
      </c>
      <c r="N432" s="756" t="inlineStr">
        <is>
          <t>CHANHUA PTE. LTD.</t>
        </is>
      </c>
      <c r="O432" s="757" t="n">
        <v>8.3123</v>
      </c>
      <c r="P432" s="346">
        <f>VLOOKUP(L432,[3]BHSC_销售订单明细报表_060825!$E$1:$E$65536,1,FALSE)</f>
        <v/>
      </c>
      <c r="Q432" s="758" t="inlineStr">
        <is>
          <t>是</t>
        </is>
      </c>
      <c r="R432" s="758" t="n"/>
      <c r="S432" s="758" t="n"/>
      <c r="T432" s="758" t="n"/>
      <c r="U432" s="758" t="n"/>
      <c r="V432" s="758" t="n"/>
      <c r="W432" s="758" t="n"/>
    </row>
    <row r="433" s="184">
      <c r="A433" s="106" t="n">
        <v>402</v>
      </c>
      <c r="B433" s="754" t="inlineStr">
        <is>
          <t>chanhua</t>
        </is>
      </c>
      <c r="C433" s="761" t="n">
        <v>45808</v>
      </c>
      <c r="D433" s="755" t="inlineStr">
        <is>
          <t>新加坡比特</t>
        </is>
      </c>
      <c r="E433" s="376" t="inlineStr">
        <is>
          <t>XJ</t>
        </is>
      </c>
      <c r="F433" s="376" t="n"/>
      <c r="G433" s="376" t="n"/>
      <c r="H433" s="376" t="inlineStr">
        <is>
          <t>BM1370PA</t>
        </is>
      </c>
      <c r="I433" s="755">
        <f>VLOOKUP(H433,[1]编码对账表!C:D,2,0)</f>
        <v/>
      </c>
      <c r="J433" s="330" t="n">
        <v>556642</v>
      </c>
      <c r="K433" s="331" t="inlineStr">
        <is>
          <t>202506030011</t>
        </is>
      </c>
      <c r="L433" s="332" t="inlineStr">
        <is>
          <t>1403250603165659</t>
        </is>
      </c>
      <c r="M433" s="757" t="inlineStr">
        <is>
          <t>PIE</t>
        </is>
      </c>
      <c r="N433" s="756" t="inlineStr">
        <is>
          <t>CHANHUA PTE. LTD.</t>
        </is>
      </c>
      <c r="O433" s="757" t="n">
        <v>8.3123</v>
      </c>
      <c r="P433" s="346">
        <f>VLOOKUP(L433,[3]BHSC_销售订单明细报表_060825!$E$1:$E$65536,1,FALSE)</f>
        <v/>
      </c>
      <c r="Q433" s="336" t="inlineStr">
        <is>
          <t>是</t>
        </is>
      </c>
      <c r="R433" s="758" t="n"/>
      <c r="S433" s="758" t="n"/>
      <c r="T433" s="758" t="n"/>
      <c r="U433" s="758" t="n"/>
      <c r="V433" s="758" t="n"/>
      <c r="W433" s="758" t="n"/>
    </row>
    <row r="434" s="184">
      <c r="A434" s="106" t="n">
        <v>402</v>
      </c>
      <c r="B434" s="754" t="inlineStr">
        <is>
          <t>chanhua</t>
        </is>
      </c>
      <c r="C434" s="761" t="n">
        <v>45808</v>
      </c>
      <c r="D434" s="755" t="inlineStr">
        <is>
          <t>新加坡比特</t>
        </is>
      </c>
      <c r="E434" s="376" t="inlineStr">
        <is>
          <t>XJ</t>
        </is>
      </c>
      <c r="F434" s="376" t="n"/>
      <c r="G434" s="376" t="n"/>
      <c r="H434" s="376" t="inlineStr">
        <is>
          <t>BM1370PA</t>
        </is>
      </c>
      <c r="I434" s="755">
        <f>VLOOKUP(H434,[1]编码对账表!C:D,2,0)</f>
        <v/>
      </c>
      <c r="J434" s="330" t="n">
        <v>45947</v>
      </c>
      <c r="K434" s="331" t="inlineStr">
        <is>
          <t>202506030012</t>
        </is>
      </c>
      <c r="L434" s="332" t="inlineStr">
        <is>
          <t>1403250603165708</t>
        </is>
      </c>
      <c r="M434" s="757" t="inlineStr">
        <is>
          <t>墨西哥欧陆通</t>
        </is>
      </c>
      <c r="N434" s="756" t="inlineStr">
        <is>
          <t>CHANHUA PTE. LTD.</t>
        </is>
      </c>
      <c r="O434" s="757" t="n">
        <v>8.3123</v>
      </c>
      <c r="P434" s="346">
        <f>VLOOKUP(L434,[3]BHSC_销售订单明细报表_060825!$E$1:$E$65536,1,FALSE)</f>
        <v/>
      </c>
      <c r="Q434" s="336" t="inlineStr">
        <is>
          <t>是</t>
        </is>
      </c>
      <c r="R434" s="758" t="inlineStr">
        <is>
          <t>待复核</t>
        </is>
      </c>
      <c r="S434" s="758" t="n"/>
      <c r="T434" s="758" t="n"/>
      <c r="U434" s="758" t="n"/>
      <c r="V434" s="758" t="n"/>
      <c r="W434" s="758" t="n"/>
    </row>
    <row r="435" s="184">
      <c r="A435" s="106" t="n">
        <v>402</v>
      </c>
      <c r="B435" s="754" t="inlineStr">
        <is>
          <t>chanhua</t>
        </is>
      </c>
      <c r="C435" s="761" t="n">
        <v>45807</v>
      </c>
      <c r="D435" s="755" t="inlineStr">
        <is>
          <t>新加坡比特</t>
        </is>
      </c>
      <c r="E435" s="376" t="inlineStr">
        <is>
          <t>JSCC</t>
        </is>
      </c>
      <c r="F435" s="376" t="n"/>
      <c r="G435" s="376" t="n"/>
      <c r="H435" s="376" t="inlineStr">
        <is>
          <t>BM1370BC</t>
        </is>
      </c>
      <c r="I435" s="755">
        <f>VLOOKUP(H435,[1]编码对账表!C:D,2,0)</f>
        <v/>
      </c>
      <c r="J435" s="330" t="n">
        <v>298060</v>
      </c>
      <c r="K435" s="331" t="inlineStr">
        <is>
          <t>202506030013</t>
        </is>
      </c>
      <c r="L435" s="332" t="inlineStr">
        <is>
          <t>1403250603165717</t>
        </is>
      </c>
      <c r="M435" s="757" t="inlineStr">
        <is>
          <t>泰国ONETEC</t>
        </is>
      </c>
      <c r="N435" s="756" t="inlineStr">
        <is>
          <t>CHANHUA PTE. LTD.</t>
        </is>
      </c>
      <c r="O435" s="757" t="n">
        <v>8.3123</v>
      </c>
      <c r="P435" s="346">
        <f>VLOOKUP(L435,[3]BHSC_销售订单明细报表_060825!$E$1:$E$65536,1,FALSE)</f>
        <v/>
      </c>
      <c r="Q435" s="758" t="inlineStr">
        <is>
          <t>是</t>
        </is>
      </c>
      <c r="R435" s="758" t="n"/>
      <c r="S435" s="758" t="n"/>
      <c r="T435" s="758" t="n"/>
      <c r="U435" s="758" t="n"/>
      <c r="V435" s="758" t="n"/>
      <c r="W435" s="758" t="n"/>
    </row>
    <row r="436" s="184">
      <c r="A436" s="106" t="n">
        <v>402</v>
      </c>
      <c r="B436" s="754" t="inlineStr">
        <is>
          <t>chanhua</t>
        </is>
      </c>
      <c r="C436" s="761" t="n">
        <v>45807</v>
      </c>
      <c r="D436" s="755" t="inlineStr">
        <is>
          <t>新加坡比特</t>
        </is>
      </c>
      <c r="E436" s="376" t="inlineStr">
        <is>
          <t>JSCC</t>
        </is>
      </c>
      <c r="F436" s="376" t="n"/>
      <c r="G436" s="376" t="n"/>
      <c r="H436" s="376" t="inlineStr">
        <is>
          <t>BM1370PA</t>
        </is>
      </c>
      <c r="I436" s="755">
        <f>VLOOKUP(H436,[1]编码对账表!C:D,2,0)</f>
        <v/>
      </c>
      <c r="J436" s="330" t="n">
        <v>63139</v>
      </c>
      <c r="K436" s="331" t="inlineStr">
        <is>
          <t>202506030013</t>
        </is>
      </c>
      <c r="L436" s="332" t="inlineStr">
        <is>
          <t>1403250603165717</t>
        </is>
      </c>
      <c r="M436" s="757" t="inlineStr">
        <is>
          <t>泰国ONETEC</t>
        </is>
      </c>
      <c r="N436" s="756" t="inlineStr">
        <is>
          <t>CHANHUA PTE. LTD.</t>
        </is>
      </c>
      <c r="O436" s="757" t="n">
        <v>8.3123</v>
      </c>
      <c r="P436" s="346">
        <f>VLOOKUP(L436,[3]BHSC_销售订单明细报表_060825!$E$1:$E$65536,1,FALSE)</f>
        <v/>
      </c>
      <c r="Q436" s="758" t="inlineStr">
        <is>
          <t>是</t>
        </is>
      </c>
      <c r="R436" s="758" t="n"/>
      <c r="S436" s="758" t="n"/>
      <c r="T436" s="758" t="n"/>
      <c r="U436" s="758" t="n"/>
      <c r="V436" s="758" t="n"/>
      <c r="W436" s="758" t="n"/>
    </row>
    <row r="437" s="184">
      <c r="A437" s="106" t="n">
        <v>402</v>
      </c>
      <c r="B437" s="754" t="inlineStr">
        <is>
          <t>chanhua</t>
        </is>
      </c>
      <c r="C437" s="761" t="n">
        <v>45807</v>
      </c>
      <c r="D437" s="755" t="inlineStr">
        <is>
          <t>新加坡比特</t>
        </is>
      </c>
      <c r="E437" s="376" t="inlineStr">
        <is>
          <t>NJ-VT</t>
        </is>
      </c>
      <c r="F437" s="376" t="n"/>
      <c r="G437" s="376" t="n"/>
      <c r="H437" s="376" t="inlineStr">
        <is>
          <t>BM1370PA</t>
        </is>
      </c>
      <c r="I437" s="755">
        <f>VLOOKUP(H437,[1]编码对账表!C:D,2,0)</f>
        <v/>
      </c>
      <c r="J437" s="330" t="n">
        <v>69382</v>
      </c>
      <c r="K437" s="331" t="inlineStr">
        <is>
          <t>202506030013</t>
        </is>
      </c>
      <c r="L437" s="332" t="inlineStr">
        <is>
          <t>1403250603165717</t>
        </is>
      </c>
      <c r="M437" s="757" t="inlineStr">
        <is>
          <t>泰国ONETEC</t>
        </is>
      </c>
      <c r="N437" s="756" t="inlineStr">
        <is>
          <t>CHANHUA PTE. LTD.</t>
        </is>
      </c>
      <c r="O437" s="757" t="n">
        <v>8.3123</v>
      </c>
      <c r="P437" s="346">
        <f>VLOOKUP(L437,[3]BHSC_销售订单明细报表_060825!$E$1:$E$65536,1,FALSE)</f>
        <v/>
      </c>
      <c r="Q437" s="336" t="inlineStr">
        <is>
          <t>是</t>
        </is>
      </c>
      <c r="R437" s="758" t="inlineStr">
        <is>
          <t>待复核</t>
        </is>
      </c>
      <c r="S437" s="758" t="n"/>
      <c r="T437" s="758" t="n"/>
      <c r="U437" s="758" t="n"/>
      <c r="V437" s="758" t="n"/>
      <c r="W437" s="758" t="n"/>
    </row>
    <row r="438" s="184">
      <c r="A438" s="106" t="n">
        <v>402</v>
      </c>
      <c r="B438" s="754" t="inlineStr">
        <is>
          <t>chanhua</t>
        </is>
      </c>
      <c r="C438" s="761" t="n">
        <v>45808</v>
      </c>
      <c r="D438" s="755" t="inlineStr">
        <is>
          <t>新加坡比特</t>
        </is>
      </c>
      <c r="E438" s="376" t="inlineStr">
        <is>
          <t>XJ</t>
        </is>
      </c>
      <c r="F438" s="376" t="n"/>
      <c r="G438" s="376" t="n"/>
      <c r="H438" s="376" t="inlineStr">
        <is>
          <t>BM1370PA</t>
        </is>
      </c>
      <c r="I438" s="755">
        <f>VLOOKUP(H438,[1]编码对账表!C:D,2,0)</f>
        <v/>
      </c>
      <c r="J438" s="330" t="n">
        <v>618066</v>
      </c>
      <c r="K438" s="331" t="inlineStr">
        <is>
          <t>202506030013</t>
        </is>
      </c>
      <c r="L438" s="332" t="inlineStr">
        <is>
          <t>1403250603165717</t>
        </is>
      </c>
      <c r="M438" s="757" t="inlineStr">
        <is>
          <t>泰国ONETEC</t>
        </is>
      </c>
      <c r="N438" s="756" t="inlineStr">
        <is>
          <t>CHANHUA PTE. LTD.</t>
        </is>
      </c>
      <c r="O438" s="757" t="n">
        <v>8.3123</v>
      </c>
      <c r="P438" s="346">
        <f>VLOOKUP(L438,[3]BHSC_销售订单明细报表_060825!$E$1:$E$65536,1,FALSE)</f>
        <v/>
      </c>
      <c r="Q438" s="336" t="inlineStr">
        <is>
          <t>是</t>
        </is>
      </c>
      <c r="R438" s="758" t="inlineStr">
        <is>
          <t>待复核</t>
        </is>
      </c>
      <c r="S438" s="758" t="n"/>
      <c r="T438" s="758" t="n"/>
      <c r="U438" s="758" t="n"/>
      <c r="V438" s="758" t="n"/>
      <c r="W438" s="758" t="n"/>
    </row>
    <row r="439" s="184">
      <c r="A439" s="106" t="n">
        <v>437</v>
      </c>
      <c r="B439" s="754" t="inlineStr">
        <is>
          <t>chanhua</t>
        </is>
      </c>
      <c r="C439" s="761" t="n">
        <v>45810</v>
      </c>
      <c r="D439" s="755" t="inlineStr">
        <is>
          <t>新加坡比特</t>
        </is>
      </c>
      <c r="E439" s="376" t="inlineStr">
        <is>
          <t>ASECL</t>
        </is>
      </c>
      <c r="F439" s="376" t="n"/>
      <c r="G439" s="376" t="n"/>
      <c r="H439" s="376" t="inlineStr">
        <is>
          <t>BM1370PA</t>
        </is>
      </c>
      <c r="I439" s="755">
        <f>VLOOKUP(H439,[1]编码对账表!C:D,2,0)</f>
        <v/>
      </c>
      <c r="J439" s="330" t="n">
        <v>494000</v>
      </c>
      <c r="K439" s="331" t="inlineStr">
        <is>
          <t>202506030014</t>
        </is>
      </c>
      <c r="L439" s="332" t="inlineStr">
        <is>
          <t>1403250603165725</t>
        </is>
      </c>
      <c r="M439" s="764" t="inlineStr">
        <is>
          <t>印尼奥海</t>
        </is>
      </c>
      <c r="N439" s="756" t="inlineStr">
        <is>
          <t>CHANHUA PTE. LTD.</t>
        </is>
      </c>
      <c r="O439" s="757" t="n">
        <v>8.3123</v>
      </c>
      <c r="P439" s="346">
        <f>VLOOKUP(L439,[3]BHSC_销售订单明细报表_060825!$E$1:$E$65536,1,FALSE)</f>
        <v/>
      </c>
      <c r="Q439" s="758" t="inlineStr">
        <is>
          <t>是</t>
        </is>
      </c>
      <c r="R439" s="758" t="n"/>
      <c r="S439" s="758" t="n"/>
      <c r="T439" s="758" t="n"/>
      <c r="U439" s="758" t="n"/>
      <c r="V439" s="758" t="n"/>
      <c r="W439" s="758" t="n"/>
    </row>
    <row r="440" s="184">
      <c r="A440" s="106" t="n">
        <v>402</v>
      </c>
      <c r="B440" s="754" t="inlineStr">
        <is>
          <t>chanhua</t>
        </is>
      </c>
      <c r="C440" s="761" t="n">
        <v>45807</v>
      </c>
      <c r="D440" s="755" t="inlineStr">
        <is>
          <t>新加坡比特</t>
        </is>
      </c>
      <c r="E440" s="376" t="inlineStr">
        <is>
          <t>SPILSZ</t>
        </is>
      </c>
      <c r="F440" s="376" t="n"/>
      <c r="G440" s="376" t="n"/>
      <c r="H440" s="376" t="inlineStr">
        <is>
          <t>BM1370PA</t>
        </is>
      </c>
      <c r="I440" s="755">
        <f>VLOOKUP(H440,[1]编码对账表!C:D,2,0)</f>
        <v/>
      </c>
      <c r="J440" s="330" t="n">
        <v>285293</v>
      </c>
      <c r="K440" s="331" t="inlineStr">
        <is>
          <t>202506030014</t>
        </is>
      </c>
      <c r="L440" s="332" t="inlineStr">
        <is>
          <t>1403250603165725</t>
        </is>
      </c>
      <c r="M440" s="757" t="inlineStr">
        <is>
          <t>印尼奥海</t>
        </is>
      </c>
      <c r="N440" s="756" t="inlineStr">
        <is>
          <t>CHANHUA PTE. LTD.</t>
        </is>
      </c>
      <c r="O440" s="757" t="n">
        <v>8.3123</v>
      </c>
      <c r="P440" s="346">
        <f>VLOOKUP(L440,[3]BHSC_销售订单明细报表_060825!$E$1:$E$65536,1,FALSE)</f>
        <v/>
      </c>
      <c r="Q440" s="336" t="inlineStr">
        <is>
          <t>是</t>
        </is>
      </c>
      <c r="R440" s="758" t="n"/>
      <c r="S440" s="758" t="n"/>
      <c r="T440" s="758" t="n"/>
      <c r="U440" s="758" t="n"/>
      <c r="V440" s="758" t="n"/>
      <c r="W440" s="758" t="n"/>
    </row>
    <row r="441" s="184">
      <c r="A441" s="106" t="n">
        <v>402</v>
      </c>
      <c r="B441" s="754" t="inlineStr">
        <is>
          <t>chanhua</t>
        </is>
      </c>
      <c r="C441" s="761" t="n">
        <v>45808</v>
      </c>
      <c r="D441" s="755" t="inlineStr">
        <is>
          <t>新加坡比特</t>
        </is>
      </c>
      <c r="E441" s="376" t="inlineStr">
        <is>
          <t>XJ</t>
        </is>
      </c>
      <c r="F441" s="376" t="n"/>
      <c r="G441" s="376" t="n"/>
      <c r="H441" s="376" t="inlineStr">
        <is>
          <t>BM1370PA</t>
        </is>
      </c>
      <c r="I441" s="755">
        <f>VLOOKUP(H441,[1]编码对账表!C:D,2,0)</f>
        <v/>
      </c>
      <c r="J441" s="330" t="n">
        <v>462154</v>
      </c>
      <c r="K441" s="331" t="inlineStr">
        <is>
          <t>202506030014</t>
        </is>
      </c>
      <c r="L441" s="332" t="inlineStr">
        <is>
          <t>1403250603165725</t>
        </is>
      </c>
      <c r="M441" s="757" t="inlineStr">
        <is>
          <t>印尼奥海</t>
        </is>
      </c>
      <c r="N441" s="756" t="inlineStr">
        <is>
          <t>CHANHUA PTE. LTD.</t>
        </is>
      </c>
      <c r="O441" s="757" t="n">
        <v>8.3123</v>
      </c>
      <c r="P441" s="346">
        <f>VLOOKUP(L441,[3]BHSC_销售订单明细报表_060825!$E$1:$E$65536,1,FALSE)</f>
        <v/>
      </c>
      <c r="Q441" s="336" t="inlineStr">
        <is>
          <t>是</t>
        </is>
      </c>
      <c r="R441" s="758" t="inlineStr">
        <is>
          <t>待复核</t>
        </is>
      </c>
      <c r="S441" s="758" t="n"/>
      <c r="T441" s="758" t="n"/>
      <c r="U441" s="758" t="n"/>
      <c r="V441" s="758" t="n"/>
      <c r="W441" s="758" t="n"/>
    </row>
    <row r="442" s="184">
      <c r="A442" s="106" t="n">
        <v>440</v>
      </c>
      <c r="B442" s="754" t="inlineStr">
        <is>
          <t>chanhua</t>
        </is>
      </c>
      <c r="C442" s="761" t="n">
        <v>45811</v>
      </c>
      <c r="D442" s="755" t="inlineStr">
        <is>
          <t>新加坡比特</t>
        </is>
      </c>
      <c r="E442" s="376" t="inlineStr">
        <is>
          <t>ASECL</t>
        </is>
      </c>
      <c r="F442" s="376" t="n"/>
      <c r="G442" s="376" t="n"/>
      <c r="H442" s="376" t="inlineStr">
        <is>
          <t>BM1370PA</t>
        </is>
      </c>
      <c r="I442" s="755">
        <f>VLOOKUP(H442,[1]编码对账表!C:D,2,0)</f>
        <v/>
      </c>
      <c r="J442" s="330" t="n">
        <v>604200</v>
      </c>
      <c r="K442" s="331" t="inlineStr">
        <is>
          <t>202506060010</t>
        </is>
      </c>
      <c r="L442" s="332" t="inlineStr">
        <is>
          <t>1403250606113158</t>
        </is>
      </c>
      <c r="M442" s="757" t="inlineStr">
        <is>
          <t>墨西哥欧陆通</t>
        </is>
      </c>
      <c r="N442" s="756" t="inlineStr">
        <is>
          <t>CHANHUA PTE. LTD.</t>
        </is>
      </c>
      <c r="O442" s="757" t="n">
        <v>8.3123</v>
      </c>
      <c r="P442" s="346">
        <f>VLOOKUP(L442,[3]BHSC_销售订单明细报表_060825!$E$1:$E$65536,1,FALSE)</f>
        <v/>
      </c>
      <c r="Q442" s="765" t="inlineStr">
        <is>
          <t>是</t>
        </is>
      </c>
      <c r="R442" s="336" t="inlineStr">
        <is>
          <t>等待ASECL传输数据</t>
        </is>
      </c>
      <c r="S442" s="758" t="n"/>
      <c r="T442" s="758" t="n"/>
      <c r="U442" s="758" t="n"/>
      <c r="V442" s="758" t="n"/>
      <c r="W442" s="758" t="n"/>
    </row>
    <row r="443" s="184">
      <c r="A443" s="106" t="n">
        <v>441</v>
      </c>
      <c r="B443" s="754" t="inlineStr">
        <is>
          <t>chanhua</t>
        </is>
      </c>
      <c r="C443" s="761" t="n">
        <v>45811</v>
      </c>
      <c r="D443" s="755" t="inlineStr">
        <is>
          <t>新加坡比特</t>
        </is>
      </c>
      <c r="E443" s="376" t="inlineStr">
        <is>
          <t>JSCC</t>
        </is>
      </c>
      <c r="F443" s="376" t="n"/>
      <c r="G443" s="376" t="n"/>
      <c r="H443" s="376" t="inlineStr">
        <is>
          <t>BM1370PM</t>
        </is>
      </c>
      <c r="I443" s="755">
        <f>VLOOKUP(H443,[1]编码对账表!C:D,2,0)</f>
        <v/>
      </c>
      <c r="J443" s="330" t="n">
        <v>719534</v>
      </c>
      <c r="K443" s="331" t="inlineStr">
        <is>
          <t>202506060011</t>
        </is>
      </c>
      <c r="L443" s="332" t="inlineStr">
        <is>
          <t>1403250606113208</t>
        </is>
      </c>
      <c r="M443" s="757" t="inlineStr">
        <is>
          <t>印尼奥海</t>
        </is>
      </c>
      <c r="N443" s="756" t="inlineStr">
        <is>
          <t>CHANHUA PTE. LTD.</t>
        </is>
      </c>
      <c r="O443" s="757" t="n">
        <v>8.3123</v>
      </c>
      <c r="P443" s="346">
        <f>VLOOKUP(L443,[3]BHSC_销售订单明细报表_060825!$E$1:$E$65536,1,FALSE)</f>
        <v/>
      </c>
      <c r="Q443" s="758" t="inlineStr">
        <is>
          <t>是</t>
        </is>
      </c>
      <c r="R443" s="758" t="n"/>
      <c r="S443" s="758" t="n"/>
      <c r="T443" s="758" t="n"/>
      <c r="U443" s="758" t="n"/>
      <c r="V443" s="758" t="n"/>
      <c r="W443" s="758" t="n"/>
    </row>
    <row r="444" s="184">
      <c r="A444" s="106" t="n">
        <v>442</v>
      </c>
      <c r="B444" s="754" t="inlineStr">
        <is>
          <t>chanhua</t>
        </is>
      </c>
      <c r="C444" s="761" t="n">
        <v>45814</v>
      </c>
      <c r="D444" s="755" t="inlineStr">
        <is>
          <t>新加坡比特</t>
        </is>
      </c>
      <c r="E444" s="376" t="inlineStr">
        <is>
          <t>ASE-KH</t>
        </is>
      </c>
      <c r="F444" s="376" t="n"/>
      <c r="G444" s="376" t="n"/>
      <c r="H444" s="376" t="inlineStr">
        <is>
          <t>BM1370BC</t>
        </is>
      </c>
      <c r="I444" s="755">
        <f>VLOOKUP(H444,[1]编码对账表!C:D,2,0)</f>
        <v/>
      </c>
      <c r="J444" s="330" t="n">
        <v>392305</v>
      </c>
      <c r="K444" s="331" t="inlineStr">
        <is>
          <t>202506060012</t>
        </is>
      </c>
      <c r="L444" s="332" t="inlineStr">
        <is>
          <t>1403250606155748</t>
        </is>
      </c>
      <c r="M444" s="757" t="inlineStr">
        <is>
          <t>PIE</t>
        </is>
      </c>
      <c r="N444" s="756" t="inlineStr">
        <is>
          <t>CHANHUA PTE. LTD.</t>
        </is>
      </c>
      <c r="O444" s="757" t="n">
        <v>8.3123</v>
      </c>
      <c r="P444" s="346" t="inlineStr">
        <is>
          <t>ICOP无数据，已让ASEKH协助抛数据</t>
        </is>
      </c>
      <c r="Q444" s="758" t="inlineStr">
        <is>
          <t>否</t>
        </is>
      </c>
      <c r="R444" s="758" t="inlineStr">
        <is>
          <t>封装出货</t>
        </is>
      </c>
      <c r="S444" s="758" t="n"/>
      <c r="T444" s="758" t="n"/>
      <c r="U444" s="758" t="n"/>
      <c r="V444" s="758" t="n"/>
      <c r="W444" s="758" t="n"/>
    </row>
    <row r="445" s="184">
      <c r="A445" s="106" t="n">
        <v>443</v>
      </c>
      <c r="B445" s="754" t="inlineStr">
        <is>
          <t>chanhua</t>
        </is>
      </c>
      <c r="C445" s="761" t="n">
        <v>45815</v>
      </c>
      <c r="D445" s="755" t="inlineStr">
        <is>
          <t>新加坡比特</t>
        </is>
      </c>
      <c r="E445" s="376" t="inlineStr">
        <is>
          <t>ASECL</t>
        </is>
      </c>
      <c r="F445" s="376" t="n"/>
      <c r="G445" s="376" t="n"/>
      <c r="H445" s="376" t="inlineStr">
        <is>
          <t>BM1370PA</t>
        </is>
      </c>
      <c r="I445" s="755">
        <f>VLOOKUP(H445,[1]编码对账表!C:D,2,0)</f>
        <v/>
      </c>
      <c r="J445" s="330" t="n">
        <v>171000</v>
      </c>
      <c r="K445" s="331" t="inlineStr">
        <is>
          <t>202506110010</t>
        </is>
      </c>
      <c r="L445" s="332" t="inlineStr">
        <is>
          <t>1403250611102250</t>
        </is>
      </c>
      <c r="M445" s="764" t="inlineStr">
        <is>
          <t>Nationgate</t>
        </is>
      </c>
      <c r="N445" s="756" t="inlineStr">
        <is>
          <t>CHANHUA PTE. LTD.</t>
        </is>
      </c>
      <c r="O445" s="757" t="n">
        <v>8.3123</v>
      </c>
      <c r="P445" s="346" t="n"/>
      <c r="Q445" s="758" t="inlineStr">
        <is>
          <t>是</t>
        </is>
      </c>
      <c r="R445" s="758" t="n"/>
      <c r="S445" s="758" t="n"/>
      <c r="T445" s="758" t="n"/>
      <c r="U445" s="758" t="n"/>
      <c r="V445" s="758" t="n"/>
      <c r="W445" s="758" t="n"/>
    </row>
    <row r="446" s="184">
      <c r="A446" s="106" t="n">
        <v>444</v>
      </c>
      <c r="B446" s="754" t="inlineStr">
        <is>
          <t>chanhua</t>
        </is>
      </c>
      <c r="C446" s="761" t="n">
        <v>45817</v>
      </c>
      <c r="D446" s="755" t="inlineStr">
        <is>
          <t>新加坡比特</t>
        </is>
      </c>
      <c r="E446" s="376" t="inlineStr">
        <is>
          <t>JSCC</t>
        </is>
      </c>
      <c r="F446" s="376" t="n"/>
      <c r="G446" s="376" t="n"/>
      <c r="H446" s="376" t="inlineStr">
        <is>
          <t>BM1370PA</t>
        </is>
      </c>
      <c r="I446" s="755">
        <f>VLOOKUP(H446,[1]编码对账表!C:D,2,0)</f>
        <v/>
      </c>
      <c r="J446" s="330" t="n">
        <v>26</v>
      </c>
      <c r="K446" s="331" t="inlineStr">
        <is>
          <t>202506110011</t>
        </is>
      </c>
      <c r="L446" s="332" t="inlineStr">
        <is>
          <t>1403250611102258</t>
        </is>
      </c>
      <c r="M446" s="757" t="inlineStr">
        <is>
          <t>PIE</t>
        </is>
      </c>
      <c r="N446" s="756" t="inlineStr">
        <is>
          <t>CHANHUA PTE. LTD.</t>
        </is>
      </c>
      <c r="O446" s="757" t="n">
        <v>8.3123</v>
      </c>
      <c r="P446" s="346">
        <f>VLOOKUP(L446,'[2]BHSC_销售订单明细报表_060825 (7)'!$E$1:$E$65536,1,FALSE)</f>
        <v/>
      </c>
      <c r="Q446" s="758" t="inlineStr">
        <is>
          <t>是</t>
        </is>
      </c>
      <c r="R446" s="758" t="n"/>
      <c r="S446" s="758" t="n"/>
      <c r="T446" s="758" t="n"/>
      <c r="U446" s="758" t="n"/>
      <c r="V446" s="758" t="n"/>
      <c r="W446" s="758" t="n"/>
    </row>
    <row r="447" s="184">
      <c r="A447" s="106" t="n">
        <v>445</v>
      </c>
      <c r="B447" s="754" t="inlineStr">
        <is>
          <t>chanhua</t>
        </is>
      </c>
      <c r="C447" s="761" t="n">
        <v>45817</v>
      </c>
      <c r="D447" s="755" t="inlineStr">
        <is>
          <t>新加坡比特</t>
        </is>
      </c>
      <c r="E447" s="376" t="inlineStr">
        <is>
          <t>JSCC</t>
        </is>
      </c>
      <c r="F447" s="376" t="n"/>
      <c r="G447" s="376" t="n"/>
      <c r="H447" s="376" t="inlineStr">
        <is>
          <t>BM1370PM</t>
        </is>
      </c>
      <c r="I447" s="755">
        <f>VLOOKUP(H447,[1]编码对账表!C:D,2,0)</f>
        <v/>
      </c>
      <c r="J447" s="330" t="n">
        <v>290467</v>
      </c>
      <c r="K447" s="331" t="inlineStr">
        <is>
          <t>202506110011</t>
        </is>
      </c>
      <c r="L447" s="332" t="inlineStr">
        <is>
          <t>1403250611102258</t>
        </is>
      </c>
      <c r="M447" s="757" t="inlineStr">
        <is>
          <t>PIE</t>
        </is>
      </c>
      <c r="N447" s="756" t="inlineStr">
        <is>
          <t>CHANHUA PTE. LTD.</t>
        </is>
      </c>
      <c r="O447" s="757" t="n">
        <v>8.3123</v>
      </c>
      <c r="P447" s="346">
        <f>VLOOKUP(L447,'[2]BHSC_销售订单明细报表_060825 (7)'!$E$1:$E$65536,1,FALSE)</f>
        <v/>
      </c>
      <c r="Q447" s="758" t="inlineStr">
        <is>
          <t>是</t>
        </is>
      </c>
      <c r="R447" s="758" t="n"/>
      <c r="S447" s="758" t="n"/>
      <c r="T447" s="758" t="n"/>
      <c r="U447" s="758" t="n"/>
      <c r="V447" s="758" t="n"/>
      <c r="W447" s="758" t="n"/>
    </row>
    <row r="448" s="184">
      <c r="A448" s="106" t="n">
        <v>446</v>
      </c>
      <c r="B448" s="754" t="inlineStr">
        <is>
          <t>chanhua</t>
        </is>
      </c>
      <c r="C448" s="761" t="n">
        <v>45813</v>
      </c>
      <c r="D448" s="755" t="inlineStr">
        <is>
          <t>新加坡比特</t>
        </is>
      </c>
      <c r="E448" s="376" t="inlineStr">
        <is>
          <t>NJ-VT</t>
        </is>
      </c>
      <c r="F448" s="376" t="n"/>
      <c r="G448" s="376" t="n"/>
      <c r="H448" s="376" t="inlineStr">
        <is>
          <t>BM1370PA</t>
        </is>
      </c>
      <c r="I448" s="755">
        <f>VLOOKUP(H448,[1]编码对账表!C:D,2,0)</f>
        <v/>
      </c>
      <c r="J448" s="330" t="n">
        <v>67939</v>
      </c>
      <c r="K448" s="331" t="inlineStr">
        <is>
          <t>202506110011</t>
        </is>
      </c>
      <c r="L448" s="332" t="inlineStr">
        <is>
          <t>1403250611102258</t>
        </is>
      </c>
      <c r="M448" s="757" t="inlineStr">
        <is>
          <t>PIE</t>
        </is>
      </c>
      <c r="N448" s="756" t="inlineStr">
        <is>
          <t>CHANHUA PTE. LTD.</t>
        </is>
      </c>
      <c r="O448" s="757" t="n">
        <v>8.3123</v>
      </c>
      <c r="P448" s="346">
        <f>VLOOKUP(L448,'[2]BHSC_销售订单明细报表_060825 (7)'!$E$1:$E$65536,1,FALSE)</f>
        <v/>
      </c>
      <c r="Q448" s="336" t="inlineStr">
        <is>
          <t>是</t>
        </is>
      </c>
      <c r="R448" s="758" t="n"/>
      <c r="S448" s="758" t="n"/>
      <c r="T448" s="758" t="n"/>
      <c r="U448" s="758" t="n"/>
      <c r="V448" s="758" t="n"/>
      <c r="W448" s="758" t="n"/>
    </row>
    <row r="449" s="184">
      <c r="A449" s="106" t="n">
        <v>447</v>
      </c>
      <c r="B449" s="754" t="inlineStr">
        <is>
          <t>chanhua</t>
        </is>
      </c>
      <c r="C449" s="761" t="n">
        <v>45814</v>
      </c>
      <c r="D449" s="755" t="inlineStr">
        <is>
          <t>新加坡比特</t>
        </is>
      </c>
      <c r="E449" s="376" t="inlineStr">
        <is>
          <t>SPILSZ</t>
        </is>
      </c>
      <c r="F449" s="376" t="n"/>
      <c r="G449" s="376" t="n"/>
      <c r="H449" s="376" t="inlineStr">
        <is>
          <t>BM1370AA</t>
        </is>
      </c>
      <c r="I449" s="755">
        <f>VLOOKUP(H449,[1]编码对账表!C:D,2,0)</f>
        <v/>
      </c>
      <c r="J449" s="330" t="inlineStr">
        <is>
          <t>69969,数量错误，应为70468</t>
        </is>
      </c>
      <c r="K449" s="331" t="inlineStr">
        <is>
          <t>202506110011</t>
        </is>
      </c>
      <c r="L449" s="332" t="inlineStr">
        <is>
          <t>1403250611102258</t>
        </is>
      </c>
      <c r="M449" s="757" t="inlineStr">
        <is>
          <t>PIE</t>
        </is>
      </c>
      <c r="N449" s="756" t="inlineStr">
        <is>
          <t>CHANHUA PTE. LTD.</t>
        </is>
      </c>
      <c r="O449" s="757" t="n">
        <v>8.3123</v>
      </c>
      <c r="P449" s="346">
        <f>VLOOKUP(L449,'[2]BHSC_销售订单明细报表_060825 (7)'!$E$1:$E$65536,1,FALSE)</f>
        <v/>
      </c>
      <c r="Q449" s="758" t="inlineStr">
        <is>
          <t>是</t>
        </is>
      </c>
      <c r="R449" s="758" t="n"/>
      <c r="S449" s="758" t="n"/>
      <c r="T449" s="758" t="n"/>
      <c r="U449" s="758" t="n"/>
      <c r="V449" s="758" t="n"/>
      <c r="W449" s="758" t="n"/>
    </row>
    <row r="450" s="184">
      <c r="A450" s="106" t="n">
        <v>448</v>
      </c>
      <c r="B450" s="754" t="inlineStr">
        <is>
          <t>chanhua</t>
        </is>
      </c>
      <c r="C450" s="761" t="n">
        <v>45814</v>
      </c>
      <c r="D450" s="755" t="inlineStr">
        <is>
          <t>新加坡比特</t>
        </is>
      </c>
      <c r="E450" s="376" t="inlineStr">
        <is>
          <t>XJ</t>
        </is>
      </c>
      <c r="F450" s="376" t="n"/>
      <c r="G450" s="376" t="n"/>
      <c r="H450" s="376" t="inlineStr">
        <is>
          <t>BM1370PA</t>
        </is>
      </c>
      <c r="I450" s="755">
        <f>VLOOKUP(H450,[1]编码对账表!C:D,2,0)</f>
        <v/>
      </c>
      <c r="J450" s="330" t="n">
        <v>29081</v>
      </c>
      <c r="K450" s="331" t="inlineStr">
        <is>
          <t>202506110011</t>
        </is>
      </c>
      <c r="L450" s="332" t="inlineStr">
        <is>
          <t>1403250611102258</t>
        </is>
      </c>
      <c r="M450" s="757" t="inlineStr">
        <is>
          <t>PIE</t>
        </is>
      </c>
      <c r="N450" s="756" t="inlineStr">
        <is>
          <t>CHANHUA PTE. LTD.</t>
        </is>
      </c>
      <c r="O450" s="757" t="n">
        <v>8.3123</v>
      </c>
      <c r="P450" s="346">
        <f>VLOOKUP(L450,'[2]BHSC_销售订单明细报表_060825 (7)'!$E$1:$E$65536,1,FALSE)</f>
        <v/>
      </c>
      <c r="Q450" s="336" t="inlineStr">
        <is>
          <t>是</t>
        </is>
      </c>
      <c r="R450" s="758" t="n"/>
      <c r="S450" s="758" t="n"/>
      <c r="T450" s="758" t="n"/>
      <c r="U450" s="758" t="n"/>
      <c r="V450" s="758" t="n"/>
      <c r="W450" s="758" t="n"/>
    </row>
    <row r="451" s="184">
      <c r="A451" s="106" t="n">
        <v>449</v>
      </c>
      <c r="B451" s="754" t="inlineStr">
        <is>
          <t>chanhua</t>
        </is>
      </c>
      <c r="C451" s="761" t="n">
        <v>45815</v>
      </c>
      <c r="D451" s="755" t="inlineStr">
        <is>
          <t>新加坡比特</t>
        </is>
      </c>
      <c r="E451" s="376" t="inlineStr">
        <is>
          <t>ASECL</t>
        </is>
      </c>
      <c r="F451" s="376" t="n"/>
      <c r="G451" s="376" t="n"/>
      <c r="H451" s="376" t="inlineStr">
        <is>
          <t>BM1370PA</t>
        </is>
      </c>
      <c r="I451" s="755">
        <f>VLOOKUP(H451,[1]编码对账表!C:D,2,0)</f>
        <v/>
      </c>
      <c r="J451" s="330" t="n">
        <v>133612</v>
      </c>
      <c r="K451" s="331" t="inlineStr">
        <is>
          <t>202506110012</t>
        </is>
      </c>
      <c r="L451" s="332" t="inlineStr">
        <is>
          <t>1403250611102307</t>
        </is>
      </c>
      <c r="M451" s="757" t="inlineStr">
        <is>
          <t>墨西哥欧陆通</t>
        </is>
      </c>
      <c r="N451" s="756" t="inlineStr">
        <is>
          <t>CHANHUA PTE. LTD.</t>
        </is>
      </c>
      <c r="O451" s="757" t="n">
        <v>8.3123</v>
      </c>
      <c r="P451" s="346" t="n"/>
      <c r="Q451" s="765" t="inlineStr">
        <is>
          <t>否</t>
        </is>
      </c>
      <c r="R451" s="336" t="inlineStr">
        <is>
          <t>assemblyFinishWrehous Error:本次完成数量不能大于最大可完工数量;最大可完工数量50</t>
        </is>
      </c>
      <c r="S451" s="758" t="n"/>
      <c r="T451" s="758" t="n"/>
      <c r="U451" s="758" t="n"/>
      <c r="V451" s="758" t="n"/>
      <c r="W451" s="758" t="n"/>
    </row>
    <row r="452" s="184">
      <c r="A452" s="106" t="n">
        <v>450</v>
      </c>
      <c r="B452" s="754" t="inlineStr">
        <is>
          <t>chanhua</t>
        </is>
      </c>
      <c r="C452" s="761" t="n">
        <v>45815</v>
      </c>
      <c r="D452" s="755" t="inlineStr">
        <is>
          <t>新加坡比特</t>
        </is>
      </c>
      <c r="E452" s="376" t="inlineStr">
        <is>
          <t>ASECL</t>
        </is>
      </c>
      <c r="F452" s="376" t="n"/>
      <c r="G452" s="376" t="n"/>
      <c r="H452" s="376" t="inlineStr">
        <is>
          <t>BM1370PA</t>
        </is>
      </c>
      <c r="I452" s="755">
        <f>VLOOKUP(H452,[1]编码对账表!C:D,2,0)</f>
        <v/>
      </c>
      <c r="J452" s="330" t="n">
        <v>465773</v>
      </c>
      <c r="K452" s="331" t="inlineStr">
        <is>
          <t>202506110013</t>
        </is>
      </c>
      <c r="L452" s="332" t="inlineStr">
        <is>
          <t>1403250611102315</t>
        </is>
      </c>
      <c r="M452" s="764" t="inlineStr">
        <is>
          <t>泰国ONETEC</t>
        </is>
      </c>
      <c r="N452" s="756" t="inlineStr">
        <is>
          <t>CHANHUA PTE. LTD.</t>
        </is>
      </c>
      <c r="O452" s="757" t="n">
        <v>8.3123</v>
      </c>
      <c r="P452" s="346">
        <f>VLOOKUP(L452,'[2]BHSC_销售订单明细报表_060825 (7)'!$E$1:$E$65536,1,FALSE)</f>
        <v/>
      </c>
      <c r="Q452" s="758" t="inlineStr">
        <is>
          <t>是</t>
        </is>
      </c>
      <c r="R452" s="758" t="n"/>
      <c r="S452" s="758" t="n"/>
      <c r="T452" s="758" t="n"/>
      <c r="U452" s="758" t="n"/>
      <c r="V452" s="758" t="n"/>
      <c r="W452" s="758" t="n"/>
    </row>
    <row r="453" s="184">
      <c r="A453" s="106" t="n">
        <v>451</v>
      </c>
      <c r="B453" s="754" t="inlineStr">
        <is>
          <t>chanhua</t>
        </is>
      </c>
      <c r="C453" s="761" t="n">
        <v>45813</v>
      </c>
      <c r="D453" s="755" t="inlineStr">
        <is>
          <t>新加坡比特</t>
        </is>
      </c>
      <c r="E453" s="376" t="inlineStr">
        <is>
          <t>NJ-VT</t>
        </is>
      </c>
      <c r="F453" s="376" t="n"/>
      <c r="G453" s="376" t="n"/>
      <c r="H453" s="376" t="inlineStr">
        <is>
          <t>BM1370PA</t>
        </is>
      </c>
      <c r="I453" s="755">
        <f>VLOOKUP(H453,[1]编码对账表!C:D,2,0)</f>
        <v/>
      </c>
      <c r="J453" s="330" t="n">
        <v>693177</v>
      </c>
      <c r="K453" s="331" t="inlineStr">
        <is>
          <t>202506110013</t>
        </is>
      </c>
      <c r="L453" s="332" t="inlineStr">
        <is>
          <t>1403250611102315</t>
        </is>
      </c>
      <c r="M453" s="757" t="inlineStr">
        <is>
          <t>泰国ONETEC</t>
        </is>
      </c>
      <c r="N453" s="756" t="inlineStr">
        <is>
          <t>CHANHUA PTE. LTD.</t>
        </is>
      </c>
      <c r="O453" s="757" t="n">
        <v>8.3123</v>
      </c>
      <c r="P453" s="346">
        <f>VLOOKUP(L453,'[2]BHSC_销售订单明细报表_060825 (7)'!$E$1:$E$65536,1,FALSE)</f>
        <v/>
      </c>
      <c r="Q453" s="336" t="inlineStr">
        <is>
          <t>是</t>
        </is>
      </c>
      <c r="R453" s="758" t="n"/>
      <c r="S453" s="758" t="n"/>
      <c r="T453" s="758" t="n"/>
      <c r="U453" s="758" t="n"/>
      <c r="V453" s="758" t="n"/>
      <c r="W453" s="758" t="n"/>
    </row>
    <row r="454" s="184">
      <c r="A454" s="106" t="n">
        <v>452</v>
      </c>
      <c r="B454" s="754" t="inlineStr">
        <is>
          <t>chanhua</t>
        </is>
      </c>
      <c r="C454" s="761" t="n">
        <v>45814</v>
      </c>
      <c r="D454" s="755" t="inlineStr">
        <is>
          <t>新加坡比特</t>
        </is>
      </c>
      <c r="E454" s="376" t="inlineStr">
        <is>
          <t>XJ</t>
        </is>
      </c>
      <c r="F454" s="376" t="n"/>
      <c r="G454" s="376" t="n"/>
      <c r="H454" s="376" t="inlineStr">
        <is>
          <t>BM1370PA</t>
        </is>
      </c>
      <c r="I454" s="755">
        <f>VLOOKUP(H454,[1]编码对账表!C:D,2,0)</f>
        <v/>
      </c>
      <c r="J454" s="330" t="n">
        <v>286410</v>
      </c>
      <c r="K454" s="331" t="inlineStr">
        <is>
          <t>202506110013</t>
        </is>
      </c>
      <c r="L454" s="332" t="inlineStr">
        <is>
          <t>1403250611102315</t>
        </is>
      </c>
      <c r="M454" s="757" t="inlineStr">
        <is>
          <t>泰国ONETEC</t>
        </is>
      </c>
      <c r="N454" s="756" t="inlineStr">
        <is>
          <t>CHANHUA PTE. LTD.</t>
        </is>
      </c>
      <c r="O454" s="757" t="n">
        <v>8.3123</v>
      </c>
      <c r="P454" s="346">
        <f>VLOOKUP(L454,'[2]BHSC_销售订单明细报表_060825 (7)'!$E$1:$E$65536,1,FALSE)</f>
        <v/>
      </c>
      <c r="Q454" s="336" t="inlineStr">
        <is>
          <t>是</t>
        </is>
      </c>
      <c r="R454" s="758" t="n"/>
      <c r="S454" s="758" t="n"/>
      <c r="T454" s="758" t="n"/>
      <c r="U454" s="758" t="n"/>
      <c r="V454" s="758" t="n"/>
      <c r="W454" s="758" t="n"/>
    </row>
    <row r="455" s="184">
      <c r="A455" s="106" t="n">
        <v>453</v>
      </c>
      <c r="B455" s="754" t="inlineStr">
        <is>
          <t>chanhua</t>
        </is>
      </c>
      <c r="C455" s="761" t="n">
        <v>45817</v>
      </c>
      <c r="D455" s="755" t="inlineStr">
        <is>
          <t>新加坡比特</t>
        </is>
      </c>
      <c r="E455" s="376" t="inlineStr">
        <is>
          <t>JSCC</t>
        </is>
      </c>
      <c r="F455" s="376" t="n"/>
      <c r="G455" s="376" t="n"/>
      <c r="H455" s="376" t="inlineStr">
        <is>
          <t>BM1368AA</t>
        </is>
      </c>
      <c r="I455" s="755">
        <f>VLOOKUP(H455,[1]编码对账表!C:D,2,0)</f>
        <v/>
      </c>
      <c r="J455" s="330" t="n">
        <v>436</v>
      </c>
      <c r="K455" s="331" t="inlineStr">
        <is>
          <t>202506110014</t>
        </is>
      </c>
      <c r="L455" s="332" t="inlineStr">
        <is>
          <t>1403250611102323</t>
        </is>
      </c>
      <c r="M455" s="757" t="inlineStr">
        <is>
          <t>泰国群光</t>
        </is>
      </c>
      <c r="N455" s="756" t="inlineStr">
        <is>
          <t>CHANHUA PTE. LTD.</t>
        </is>
      </c>
      <c r="O455" s="757" t="n">
        <v>5.4151</v>
      </c>
      <c r="P455" s="346">
        <f>VLOOKUP(L455,'[2]BHSC_销售订单明细报表_060825 (7)'!$E$1:$E$65536,1,FALSE)</f>
        <v/>
      </c>
      <c r="Q455" s="758" t="inlineStr">
        <is>
          <t>否</t>
        </is>
      </c>
      <c r="R455" s="765" t="inlineStr">
        <is>
          <t>SO出货时异常：交货详细资料 1982278 不适用于活动 启动挑库发放。</t>
        </is>
      </c>
      <c r="S455" s="758" t="n"/>
      <c r="T455" s="758" t="n"/>
      <c r="U455" s="758" t="n"/>
      <c r="V455" s="758" t="n"/>
      <c r="W455" s="758" t="n"/>
    </row>
    <row r="456" s="184">
      <c r="A456" s="106" t="n">
        <v>454</v>
      </c>
      <c r="B456" s="754" t="inlineStr">
        <is>
          <t>chanhua</t>
        </is>
      </c>
      <c r="C456" s="761" t="n">
        <v>45813</v>
      </c>
      <c r="D456" s="755" t="inlineStr">
        <is>
          <t>新加坡比特</t>
        </is>
      </c>
      <c r="E456" s="376" t="inlineStr">
        <is>
          <t>NJ-VT</t>
        </is>
      </c>
      <c r="F456" s="376" t="n"/>
      <c r="G456" s="376" t="n"/>
      <c r="H456" s="376" t="inlineStr">
        <is>
          <t>BM1370PA</t>
        </is>
      </c>
      <c r="I456" s="755">
        <f>VLOOKUP(H456,[1]编码对账表!C:D,2,0)</f>
        <v/>
      </c>
      <c r="J456" s="330" t="n">
        <v>218016</v>
      </c>
      <c r="K456" s="331" t="inlineStr">
        <is>
          <t>202506110014</t>
        </is>
      </c>
      <c r="L456" s="332" t="inlineStr">
        <is>
          <t>1403250611102323</t>
        </is>
      </c>
      <c r="M456" s="757" t="inlineStr">
        <is>
          <t>泰国群光</t>
        </is>
      </c>
      <c r="N456" s="756" t="inlineStr">
        <is>
          <t>CHANHUA PTE. LTD.</t>
        </is>
      </c>
      <c r="O456" s="757" t="n">
        <v>8.3123</v>
      </c>
      <c r="P456" s="346">
        <f>VLOOKUP(L456,'[2]BHSC_销售订单明细报表_060825 (7)'!$E$1:$E$65536,1,FALSE)</f>
        <v/>
      </c>
      <c r="Q456" s="336" t="inlineStr">
        <is>
          <t>是</t>
        </is>
      </c>
      <c r="R456" s="765" t="inlineStr">
        <is>
          <t>交货详细资料 1982278 不适用于活动 启动挑库发放。</t>
        </is>
      </c>
      <c r="S456" s="758" t="n"/>
      <c r="T456" s="758" t="n"/>
      <c r="U456" s="758" t="n"/>
      <c r="V456" s="758" t="n"/>
      <c r="W456" s="758" t="n"/>
    </row>
    <row r="457" s="184">
      <c r="A457" s="106" t="n">
        <v>455</v>
      </c>
      <c r="B457" s="754" t="inlineStr">
        <is>
          <t>chanhua</t>
        </is>
      </c>
      <c r="C457" s="761" t="n">
        <v>45818</v>
      </c>
      <c r="D457" s="755" t="inlineStr">
        <is>
          <t>新加坡比特</t>
        </is>
      </c>
      <c r="E457" s="376" t="inlineStr">
        <is>
          <t>XJ</t>
        </is>
      </c>
      <c r="F457" s="376" t="n"/>
      <c r="G457" s="376" t="n"/>
      <c r="H457" s="376" t="inlineStr">
        <is>
          <t>BM1370PA</t>
        </is>
      </c>
      <c r="I457" s="755">
        <f>VLOOKUP(H457,[1]编码对账表!C:D,2,0)</f>
        <v/>
      </c>
      <c r="J457" s="330" t="n">
        <v>547387</v>
      </c>
      <c r="K457" s="331" t="inlineStr">
        <is>
          <t>202506110014</t>
        </is>
      </c>
      <c r="L457" s="332" t="inlineStr">
        <is>
          <t>1403250611102323</t>
        </is>
      </c>
      <c r="M457" s="757" t="inlineStr">
        <is>
          <t>泰国群光</t>
        </is>
      </c>
      <c r="N457" s="756" t="inlineStr">
        <is>
          <t>CHANHUA PTE. LTD.</t>
        </is>
      </c>
      <c r="O457" s="757" t="n">
        <v>8.3123</v>
      </c>
      <c r="P457" s="346">
        <f>VLOOKUP(L457,'[2]BHSC_销售订单明细报表_060825 (7)'!$E$1:$E$65536,1,FALSE)</f>
        <v/>
      </c>
      <c r="Q457" s="336" t="inlineStr">
        <is>
          <t>是</t>
        </is>
      </c>
      <c r="R457" s="758" t="n"/>
      <c r="S457" s="758" t="n"/>
      <c r="T457" s="758" t="n"/>
      <c r="U457" s="758" t="n"/>
      <c r="V457" s="758" t="n"/>
      <c r="W457" s="758" t="n"/>
    </row>
    <row r="458" s="184">
      <c r="A458" s="106" t="n">
        <v>456</v>
      </c>
      <c r="B458" s="754" t="inlineStr">
        <is>
          <t>chanhua</t>
        </is>
      </c>
      <c r="C458" s="761" t="n">
        <v>45815</v>
      </c>
      <c r="D458" s="755" t="inlineStr">
        <is>
          <t>新加坡比特</t>
        </is>
      </c>
      <c r="E458" s="376" t="inlineStr">
        <is>
          <t>ASECL</t>
        </is>
      </c>
      <c r="F458" s="376" t="n"/>
      <c r="G458" s="376" t="n"/>
      <c r="H458" s="376" t="inlineStr">
        <is>
          <t>BM1370PA</t>
        </is>
      </c>
      <c r="I458" s="755">
        <f>VLOOKUP(H458,[1]编码对账表!C:D,2,0)</f>
        <v/>
      </c>
      <c r="J458" s="330" t="n">
        <v>82563</v>
      </c>
      <c r="K458" s="331" t="inlineStr">
        <is>
          <t>202506110015</t>
        </is>
      </c>
      <c r="L458" s="332" t="inlineStr">
        <is>
          <t>1403250611102330</t>
        </is>
      </c>
      <c r="M458" s="764" t="inlineStr">
        <is>
          <t>印尼奥海</t>
        </is>
      </c>
      <c r="N458" s="756" t="inlineStr">
        <is>
          <t>CHANHUA PTE. LTD.</t>
        </is>
      </c>
      <c r="O458" s="757" t="n">
        <v>8.3123</v>
      </c>
      <c r="P458" s="346">
        <f>VLOOKUP(L458,'[2]BHSC_销售订单明细报表_060825 (7)'!$E$1:$E$65536,1,FALSE)</f>
        <v/>
      </c>
      <c r="Q458" s="758" t="inlineStr">
        <is>
          <t>是</t>
        </is>
      </c>
      <c r="R458" s="758" t="n"/>
      <c r="S458" s="758" t="n"/>
      <c r="T458" s="758" t="n"/>
      <c r="U458" s="758" t="n"/>
      <c r="V458" s="758" t="n"/>
      <c r="W458" s="758" t="n"/>
    </row>
    <row r="459" s="184">
      <c r="A459" s="106" t="n">
        <v>457</v>
      </c>
      <c r="B459" s="754" t="inlineStr">
        <is>
          <t>chanhua</t>
        </is>
      </c>
      <c r="C459" s="761" t="n">
        <v>45818</v>
      </c>
      <c r="D459" s="755" t="inlineStr">
        <is>
          <t>新加坡比特</t>
        </is>
      </c>
      <c r="E459" s="376" t="inlineStr">
        <is>
          <t>XJ</t>
        </is>
      </c>
      <c r="F459" s="376" t="n"/>
      <c r="G459" s="376" t="n"/>
      <c r="H459" s="376" t="inlineStr">
        <is>
          <t>BM1370PA</t>
        </is>
      </c>
      <c r="I459" s="755">
        <f>VLOOKUP(H459,[1]编码对账表!C:D,2,0)</f>
        <v/>
      </c>
      <c r="J459" s="330" t="n">
        <v>90616</v>
      </c>
      <c r="K459" s="331" t="inlineStr">
        <is>
          <t>202506110015</t>
        </is>
      </c>
      <c r="L459" s="332" t="inlineStr">
        <is>
          <t>1403250611102330</t>
        </is>
      </c>
      <c r="M459" s="757" t="inlineStr">
        <is>
          <t>印尼奥海</t>
        </is>
      </c>
      <c r="N459" s="756" t="inlineStr">
        <is>
          <t>CHANHUA PTE. LTD.</t>
        </is>
      </c>
      <c r="O459" s="757" t="n">
        <v>8.3123</v>
      </c>
      <c r="P459" s="346">
        <f>VLOOKUP(L459,'[2]BHSC_销售订单明细报表_060825 (7)'!$E$1:$E$65536,1,FALSE)</f>
        <v/>
      </c>
      <c r="Q459" s="336" t="inlineStr">
        <is>
          <t>是</t>
        </is>
      </c>
      <c r="R459" s="758" t="n"/>
      <c r="S459" s="758" t="n"/>
      <c r="T459" s="758" t="n"/>
      <c r="U459" s="758" t="n"/>
      <c r="V459" s="758" t="n"/>
      <c r="W459" s="758" t="n"/>
    </row>
    <row r="460" s="184">
      <c r="A460" s="106" t="n">
        <v>458</v>
      </c>
      <c r="B460" s="754" t="inlineStr">
        <is>
          <t>chanhua</t>
        </is>
      </c>
      <c r="C460" s="761" t="n">
        <v>45820</v>
      </c>
      <c r="D460" s="755" t="inlineStr">
        <is>
          <t>新加坡比特</t>
        </is>
      </c>
      <c r="E460" s="376" t="inlineStr">
        <is>
          <t>JSCC</t>
        </is>
      </c>
      <c r="F460" s="376" t="n"/>
      <c r="G460" s="376" t="n"/>
      <c r="H460" s="376" t="inlineStr">
        <is>
          <t>BM1370PM</t>
        </is>
      </c>
      <c r="I460" s="755">
        <f>VLOOKUP(H460,[1]编码对账表!C:D,2,0)</f>
        <v/>
      </c>
      <c r="J460" s="330" t="n">
        <v>1573005</v>
      </c>
      <c r="K460" s="331" t="inlineStr">
        <is>
          <t>202506130010</t>
        </is>
      </c>
      <c r="L460" s="332" t="inlineStr">
        <is>
          <t>1403250613153237</t>
        </is>
      </c>
      <c r="M460" s="757" t="inlineStr">
        <is>
          <t>Nationgate</t>
        </is>
      </c>
      <c r="N460" s="756" t="inlineStr">
        <is>
          <t>CHANHUA PTE. LTD.</t>
        </is>
      </c>
      <c r="O460" s="757" t="n">
        <v>8.3123</v>
      </c>
      <c r="P460" s="346">
        <f>VLOOKUP(L460,'[2]BHSC_销售订单明细报表_060825 (7)'!$E$1:$E$65536,1,FALSE)</f>
        <v/>
      </c>
      <c r="Q460" s="758" t="inlineStr">
        <is>
          <t>是</t>
        </is>
      </c>
      <c r="R460" s="758" t="n"/>
      <c r="S460" s="758" t="n"/>
      <c r="T460" s="758" t="n"/>
      <c r="U460" s="758" t="n"/>
      <c r="V460" s="758" t="n"/>
      <c r="W460" s="758" t="n"/>
    </row>
    <row r="461" s="184">
      <c r="A461" s="106" t="n">
        <v>459</v>
      </c>
      <c r="B461" s="754" t="inlineStr">
        <is>
          <t>chanhua</t>
        </is>
      </c>
      <c r="C461" s="761" t="n">
        <v>45820</v>
      </c>
      <c r="D461" s="755" t="inlineStr">
        <is>
          <t>新加坡比特</t>
        </is>
      </c>
      <c r="E461" s="376" t="inlineStr">
        <is>
          <t>JSCC</t>
        </is>
      </c>
      <c r="F461" s="376" t="n"/>
      <c r="G461" s="376" t="n"/>
      <c r="H461" s="376" t="inlineStr">
        <is>
          <t>BM1370PM</t>
        </is>
      </c>
      <c r="I461" s="755">
        <f>VLOOKUP(H461,[1]编码对账表!C:D,2,0)</f>
        <v/>
      </c>
      <c r="J461" s="330" t="n">
        <v>1143642</v>
      </c>
      <c r="K461" s="331" t="inlineStr">
        <is>
          <t>202506130011</t>
        </is>
      </c>
      <c r="L461" s="332" t="inlineStr">
        <is>
          <t>1403250613153241</t>
        </is>
      </c>
      <c r="M461" s="757" t="inlineStr">
        <is>
          <t>PIE</t>
        </is>
      </c>
      <c r="N461" s="756" t="inlineStr">
        <is>
          <t>CHANHUA PTE. LTD.</t>
        </is>
      </c>
      <c r="O461" s="757" t="n">
        <v>8.3123</v>
      </c>
      <c r="P461" s="346" t="inlineStr">
        <is>
          <t>ERP剩余2未完工</t>
        </is>
      </c>
      <c r="Q461" s="758" t="inlineStr">
        <is>
          <t>是</t>
        </is>
      </c>
      <c r="R461" s="765" t="inlineStr">
        <is>
          <t>jscc发数据导入</t>
        </is>
      </c>
      <c r="S461" s="765" t="inlineStr">
        <is>
          <t>J1ZM24BV30/BIN3/BM1370_F1V02B1C2</t>
        </is>
      </c>
      <c r="T461" s="336" t="inlineStr">
        <is>
          <t>JSCC数据抛送错误</t>
        </is>
      </c>
      <c r="U461" s="758" t="n"/>
      <c r="V461" s="758" t="n"/>
      <c r="W461" s="758" t="n"/>
    </row>
    <row r="462" s="184">
      <c r="A462" s="106" t="n">
        <v>460</v>
      </c>
      <c r="B462" s="754" t="inlineStr">
        <is>
          <t>chanhua</t>
        </is>
      </c>
      <c r="C462" s="761" t="n">
        <v>45820</v>
      </c>
      <c r="D462" s="755" t="inlineStr">
        <is>
          <t>新加坡比特</t>
        </is>
      </c>
      <c r="E462" s="376" t="inlineStr">
        <is>
          <t>ASECL</t>
        </is>
      </c>
      <c r="F462" s="376" t="n"/>
      <c r="G462" s="376" t="n"/>
      <c r="H462" s="376" t="inlineStr">
        <is>
          <t>BM1370PA</t>
        </is>
      </c>
      <c r="I462" s="755">
        <f>VLOOKUP(H462,[1]编码对账表!C:D,2,0)</f>
        <v/>
      </c>
      <c r="J462" s="330" t="n">
        <v>1049475</v>
      </c>
      <c r="K462" s="331" t="inlineStr">
        <is>
          <t>202506130012</t>
        </is>
      </c>
      <c r="L462" s="332" t="inlineStr">
        <is>
          <t>1403250613153249</t>
        </is>
      </c>
      <c r="M462" s="757" t="inlineStr">
        <is>
          <t>泰国ONETEC</t>
        </is>
      </c>
      <c r="N462" s="756" t="inlineStr">
        <is>
          <t>CHANHUA PTE. LTD.</t>
        </is>
      </c>
      <c r="O462" s="757" t="n">
        <v>8.3123</v>
      </c>
      <c r="P462" s="346" t="n"/>
      <c r="Q462" s="765" t="inlineStr">
        <is>
          <t>否</t>
        </is>
      </c>
      <c r="R462" s="336" t="inlineStr">
        <is>
          <t>assemblyFinishWrehous Error:本次完成数量不能大于最大可完工数量;最大可完工数量50</t>
        </is>
      </c>
      <c r="S462" s="758" t="n"/>
      <c r="T462" s="758" t="n"/>
      <c r="U462" s="758" t="n"/>
      <c r="V462" s="758" t="n"/>
      <c r="W462" s="758" t="n"/>
    </row>
    <row r="463" s="184">
      <c r="A463" s="106" t="n">
        <v>461</v>
      </c>
      <c r="B463" s="754" t="inlineStr">
        <is>
          <t>chanhua</t>
        </is>
      </c>
      <c r="C463" s="761" t="n">
        <v>45818</v>
      </c>
      <c r="D463" s="755" t="inlineStr">
        <is>
          <t>新加坡比特</t>
        </is>
      </c>
      <c r="E463" s="376" t="inlineStr">
        <is>
          <t>NJ-VT</t>
        </is>
      </c>
      <c r="F463" s="376" t="n"/>
      <c r="G463" s="376" t="n"/>
      <c r="H463" s="376" t="inlineStr">
        <is>
          <t>BM1370PA</t>
        </is>
      </c>
      <c r="I463" s="755">
        <f>VLOOKUP(H463,[1]编码对账表!C:D,2,0)</f>
        <v/>
      </c>
      <c r="J463" s="330" t="n">
        <v>609878</v>
      </c>
      <c r="K463" s="331" t="inlineStr">
        <is>
          <t>202506130013</t>
        </is>
      </c>
      <c r="L463" s="332" t="inlineStr">
        <is>
          <t>1403250613153257</t>
        </is>
      </c>
      <c r="M463" s="757" t="inlineStr">
        <is>
          <t>印尼奥海</t>
        </is>
      </c>
      <c r="N463" s="756" t="inlineStr">
        <is>
          <t>CHANHUA PTE. LTD.</t>
        </is>
      </c>
      <c r="O463" s="757" t="n">
        <v>8.3123</v>
      </c>
      <c r="P463" s="781" t="inlineStr">
        <is>
          <t>2517/P1ZV25BB04/BIN4/BM1370P_F1V02B1C1批次ERP数量不够</t>
        </is>
      </c>
      <c r="Q463" s="336" t="inlineStr">
        <is>
          <t>是</t>
        </is>
      </c>
      <c r="R463" s="758" t="n"/>
      <c r="S463" s="758" t="n"/>
      <c r="T463" s="758" t="n"/>
      <c r="U463" s="758" t="n"/>
      <c r="V463" s="758" t="n"/>
      <c r="W463" s="758" t="n"/>
    </row>
    <row r="464" s="184">
      <c r="A464" s="106" t="n">
        <v>462</v>
      </c>
      <c r="B464" s="754" t="inlineStr">
        <is>
          <t>chanhua</t>
        </is>
      </c>
      <c r="C464" s="761" t="n"/>
      <c r="D464" s="755" t="inlineStr">
        <is>
          <t>hkk</t>
        </is>
      </c>
      <c r="E464" s="376" t="n"/>
      <c r="F464" s="376" t="n"/>
      <c r="G464" s="376" t="n"/>
      <c r="H464" s="376" t="inlineStr">
        <is>
          <t>BM1373A晶圆</t>
        </is>
      </c>
      <c r="I464" s="755" t="inlineStr">
        <is>
          <t>Y30010532</t>
        </is>
      </c>
      <c r="J464" s="330" t="n">
        <v>2</v>
      </c>
      <c r="K464" s="331" t="inlineStr">
        <is>
          <t>202506160010</t>
        </is>
      </c>
      <c r="L464" s="332" t="inlineStr">
        <is>
          <t>1403250618102221</t>
        </is>
      </c>
      <c r="M464" s="757" t="inlineStr">
        <is>
          <t>晶圆仓</t>
        </is>
      </c>
      <c r="O464" s="757" t="n">
        <v>0</v>
      </c>
      <c r="P464" s="346">
        <f>VLOOKUP(L464,'[2]BHSC_销售订单明细报表_060825 (7)'!$E$1:$E$65536,1,FALSE)</f>
        <v/>
      </c>
      <c r="Q464" s="758" t="n"/>
      <c r="R464" s="758" t="n"/>
      <c r="S464" s="758" t="n"/>
      <c r="T464" s="758" t="n"/>
      <c r="U464" s="758" t="n"/>
      <c r="V464" s="758" t="n"/>
      <c r="W464" s="758" t="n"/>
    </row>
    <row r="465" s="184">
      <c r="A465" s="106" t="n">
        <v>463</v>
      </c>
      <c r="B465" s="754" t="inlineStr">
        <is>
          <t>chanhua</t>
        </is>
      </c>
      <c r="C465" s="761" t="n"/>
      <c r="D465" s="755" t="inlineStr">
        <is>
          <t>hkk</t>
        </is>
      </c>
      <c r="E465" s="376" t="n"/>
      <c r="F465" s="376" t="n"/>
      <c r="G465" s="376" t="n"/>
      <c r="H465" s="376" t="inlineStr">
        <is>
          <t>BM1373A晶圆</t>
        </is>
      </c>
      <c r="I465" s="755" t="inlineStr">
        <is>
          <t>Y30010532</t>
        </is>
      </c>
      <c r="J465" s="330" t="n">
        <v>6</v>
      </c>
      <c r="K465" s="331" t="inlineStr">
        <is>
          <t>202506160011</t>
        </is>
      </c>
      <c r="L465" s="332" t="inlineStr">
        <is>
          <t>1403250618102244</t>
        </is>
      </c>
      <c r="M465" s="757" t="inlineStr">
        <is>
          <t>晶圆仓</t>
        </is>
      </c>
      <c r="O465" s="757" t="n">
        <v>17749.87</v>
      </c>
      <c r="P465" s="346">
        <f>VLOOKUP(L465,'[2]BHSC_销售订单明细报表_060825 (7)'!$E$1:$E$65536,1,FALSE)</f>
        <v/>
      </c>
      <c r="Q465" s="758" t="n"/>
      <c r="R465" s="758" t="n"/>
      <c r="S465" s="758" t="n"/>
      <c r="T465" s="758" t="n"/>
      <c r="U465" s="758" t="n"/>
      <c r="V465" s="758" t="n"/>
      <c r="W465" s="758" t="n"/>
    </row>
    <row r="466" s="184">
      <c r="A466" s="106" t="n">
        <v>464</v>
      </c>
      <c r="B466" s="754" t="inlineStr">
        <is>
          <t>chanhua</t>
        </is>
      </c>
      <c r="C466" s="761" t="n">
        <v>45822</v>
      </c>
      <c r="D466" s="755" t="inlineStr">
        <is>
          <t>新加坡比特</t>
        </is>
      </c>
      <c r="E466" s="376" t="inlineStr">
        <is>
          <t>ASECL</t>
        </is>
      </c>
      <c r="F466" s="376" t="n"/>
      <c r="G466" s="376" t="n"/>
      <c r="H466" s="376" t="inlineStr">
        <is>
          <t>BM1370PF</t>
        </is>
      </c>
      <c r="I466" s="755">
        <f>VLOOKUP(H466,编码对账表!C:D,2,0)</f>
        <v/>
      </c>
      <c r="J466" s="330" t="n">
        <v>315400</v>
      </c>
      <c r="K466" s="331" t="inlineStr">
        <is>
          <t>202506160021</t>
        </is>
      </c>
      <c r="L466" s="332" t="inlineStr">
        <is>
          <t>1403250616143610</t>
        </is>
      </c>
      <c r="M466" s="757" t="inlineStr">
        <is>
          <t>PIE</t>
        </is>
      </c>
      <c r="N466" s="756" t="inlineStr">
        <is>
          <t>CHANHUA PTE. LTD.</t>
        </is>
      </c>
      <c r="O466" s="757" t="n">
        <v>8.512600000000001</v>
      </c>
      <c r="P466" s="346">
        <f>VLOOKUP(L466,'[2]BHSC_销售订单明细报表_060825 (7)'!$E$1:$E$65536,1,FALSE)</f>
        <v/>
      </c>
      <c r="Q466" s="758" t="inlineStr">
        <is>
          <t>是</t>
        </is>
      </c>
      <c r="R466" s="336" t="inlineStr">
        <is>
          <t>等待ASECL传输数据</t>
        </is>
      </c>
      <c r="S466" s="758" t="n"/>
      <c r="T466" s="758" t="n"/>
      <c r="U466" s="758" t="n"/>
      <c r="V466" s="758" t="n"/>
      <c r="W466" s="758" t="n"/>
    </row>
    <row r="467" s="184">
      <c r="A467" s="106" t="n">
        <v>465</v>
      </c>
      <c r="B467" s="754" t="inlineStr">
        <is>
          <t>chanhua</t>
        </is>
      </c>
      <c r="C467" s="761" t="n">
        <v>45822</v>
      </c>
      <c r="D467" s="755" t="inlineStr">
        <is>
          <t>新加坡比特</t>
        </is>
      </c>
      <c r="E467" s="376" t="inlineStr">
        <is>
          <t>ASECL</t>
        </is>
      </c>
      <c r="F467" s="376" t="n"/>
      <c r="G467" s="376" t="n"/>
      <c r="H467" s="376" t="inlineStr">
        <is>
          <t>BM1370PA</t>
        </is>
      </c>
      <c r="I467" s="755">
        <f>VLOOKUP(H467,[1]编码对账表!C:D,2,0)</f>
        <v/>
      </c>
      <c r="J467" s="330" t="n">
        <v>388788</v>
      </c>
      <c r="K467" s="331" t="inlineStr">
        <is>
          <t>202506160023</t>
        </is>
      </c>
      <c r="L467" s="332" t="inlineStr">
        <is>
          <t>1403250616143630</t>
        </is>
      </c>
      <c r="M467" s="757" t="inlineStr">
        <is>
          <t>泰国群光</t>
        </is>
      </c>
      <c r="N467" s="756" t="inlineStr">
        <is>
          <t>CHANHUA PTE. LTD.</t>
        </is>
      </c>
      <c r="O467" s="757" t="n">
        <v>8.512600000000001</v>
      </c>
      <c r="P467" s="346" t="n"/>
      <c r="Q467" s="758" t="inlineStr">
        <is>
          <t>是</t>
        </is>
      </c>
      <c r="R467" s="336" t="inlineStr">
        <is>
          <t>等待ASECL传输数据</t>
        </is>
      </c>
      <c r="S467" s="758" t="n"/>
      <c r="T467" s="758" t="n"/>
      <c r="U467" s="758" t="n"/>
      <c r="V467" s="758" t="n"/>
      <c r="W467" s="758" t="n"/>
    </row>
    <row r="468" s="184">
      <c r="A468" s="106" t="n">
        <v>466</v>
      </c>
      <c r="B468" s="754" t="inlineStr">
        <is>
          <t>chanhua</t>
        </is>
      </c>
      <c r="C468" s="761" t="n">
        <v>45822</v>
      </c>
      <c r="D468" s="755" t="inlineStr">
        <is>
          <t>新加坡比特</t>
        </is>
      </c>
      <c r="E468" s="376" t="inlineStr">
        <is>
          <t>ASECL</t>
        </is>
      </c>
      <c r="F468" s="376" t="n"/>
      <c r="G468" s="376" t="n"/>
      <c r="H468" s="376" t="inlineStr">
        <is>
          <t>BM1370PF</t>
        </is>
      </c>
      <c r="I468" s="755">
        <f>VLOOKUP(H468,编码对账表!C:D,2,0)</f>
        <v/>
      </c>
      <c r="J468" s="330" t="n">
        <v>110200</v>
      </c>
      <c r="K468" s="331" t="inlineStr">
        <is>
          <t>202506160023</t>
        </is>
      </c>
      <c r="L468" s="332" t="inlineStr">
        <is>
          <t>1403250616143630</t>
        </is>
      </c>
      <c r="M468" s="757" t="inlineStr">
        <is>
          <t>泰国群光</t>
        </is>
      </c>
      <c r="N468" s="756" t="inlineStr">
        <is>
          <t>CHANHUA PTE. LTD.</t>
        </is>
      </c>
      <c r="O468" s="757" t="n">
        <v>8.512600000000001</v>
      </c>
      <c r="P468" s="346" t="n"/>
      <c r="Q468" s="758" t="inlineStr">
        <is>
          <t>是</t>
        </is>
      </c>
      <c r="R468" s="336" t="inlineStr">
        <is>
          <t>等待ASECL传输数据</t>
        </is>
      </c>
      <c r="S468" s="758" t="n"/>
      <c r="T468" s="758" t="n"/>
      <c r="U468" s="758" t="n"/>
      <c r="V468" s="758" t="n"/>
      <c r="W468" s="758" t="n"/>
    </row>
    <row r="469" s="184">
      <c r="A469" s="106" t="n">
        <v>467</v>
      </c>
      <c r="B469" s="754" t="inlineStr">
        <is>
          <t>chanhua</t>
        </is>
      </c>
      <c r="C469" s="761" t="n">
        <v>45823</v>
      </c>
      <c r="D469" s="755" t="inlineStr">
        <is>
          <t>新加坡比特</t>
        </is>
      </c>
      <c r="E469" s="376" t="inlineStr">
        <is>
          <t>NJ-VT</t>
        </is>
      </c>
      <c r="F469" s="376" t="n"/>
      <c r="G469" s="376" t="n"/>
      <c r="H469" s="376" t="inlineStr">
        <is>
          <t>BM1370PA</t>
        </is>
      </c>
      <c r="I469" s="755">
        <f>VLOOKUP(H469,[1]编码对账表!C:D,2,0)</f>
        <v/>
      </c>
      <c r="J469" s="330" t="n">
        <v>232344</v>
      </c>
      <c r="K469" s="331" t="inlineStr">
        <is>
          <t>202506160020</t>
        </is>
      </c>
      <c r="L469" s="332" t="inlineStr">
        <is>
          <t>1403250616143600</t>
        </is>
      </c>
      <c r="M469" s="757" t="inlineStr">
        <is>
          <t>Nationgate</t>
        </is>
      </c>
      <c r="N469" s="756" t="inlineStr">
        <is>
          <t>CHANHUA PTE. LTD.</t>
        </is>
      </c>
      <c r="O469" s="757" t="n">
        <v>8.512600000000001</v>
      </c>
      <c r="P469" s="346" t="n"/>
      <c r="Q469" s="336" t="inlineStr">
        <is>
          <t>是</t>
        </is>
      </c>
      <c r="R469" s="758" t="n"/>
      <c r="S469" s="758" t="n"/>
      <c r="T469" s="758" t="n"/>
      <c r="U469" s="758" t="n"/>
      <c r="V469" s="758" t="n"/>
      <c r="W469" s="758" t="n"/>
    </row>
    <row r="470" s="184">
      <c r="A470" s="106" t="n">
        <v>468</v>
      </c>
      <c r="B470" s="754" t="inlineStr">
        <is>
          <t>chanhua</t>
        </is>
      </c>
      <c r="C470" s="761" t="n">
        <v>45823</v>
      </c>
      <c r="D470" s="755" t="inlineStr">
        <is>
          <t>新加坡比特</t>
        </is>
      </c>
      <c r="E470" s="376" t="inlineStr">
        <is>
          <t>NJ-VT</t>
        </is>
      </c>
      <c r="F470" s="376" t="n"/>
      <c r="G470" s="376" t="n"/>
      <c r="H470" s="376" t="inlineStr">
        <is>
          <t>BM1370PA</t>
        </is>
      </c>
      <c r="I470" s="755">
        <f>VLOOKUP(H470,[1]编码对账表!C:D,2,0)</f>
        <v/>
      </c>
      <c r="J470" s="330" t="n">
        <v>901407</v>
      </c>
      <c r="K470" s="331" t="inlineStr">
        <is>
          <t>202506160021</t>
        </is>
      </c>
      <c r="L470" s="332" t="inlineStr">
        <is>
          <t>1403250616143610</t>
        </is>
      </c>
      <c r="M470" s="757" t="inlineStr">
        <is>
          <t>PIE</t>
        </is>
      </c>
      <c r="N470" s="756" t="inlineStr">
        <is>
          <t>CHANHUA PTE. LTD.</t>
        </is>
      </c>
      <c r="O470" s="757" t="n">
        <v>8.512600000000001</v>
      </c>
      <c r="P470" s="346">
        <f>VLOOKUP(L470,'[2]BHSC_销售订单明细报表_060825 (7)'!$E$1:$E$65536,1,FALSE)</f>
        <v/>
      </c>
      <c r="Q470" s="336" t="inlineStr">
        <is>
          <t>是</t>
        </is>
      </c>
      <c r="R470" s="758" t="n"/>
      <c r="S470" s="758" t="n"/>
      <c r="T470" s="758" t="n"/>
      <c r="U470" s="758" t="n"/>
      <c r="V470" s="758" t="n"/>
      <c r="W470" s="758" t="n"/>
    </row>
    <row r="471" s="184">
      <c r="A471" s="106" t="n">
        <v>469</v>
      </c>
      <c r="B471" s="754" t="inlineStr">
        <is>
          <t>chanhua</t>
        </is>
      </c>
      <c r="C471" s="761" t="n">
        <v>45823</v>
      </c>
      <c r="D471" s="755" t="inlineStr">
        <is>
          <t>新加坡比特</t>
        </is>
      </c>
      <c r="E471" s="376" t="inlineStr">
        <is>
          <t>NJ-VT</t>
        </is>
      </c>
      <c r="F471" s="376" t="n"/>
      <c r="G471" s="376" t="n"/>
      <c r="H471" s="376" t="inlineStr">
        <is>
          <t>BM1370PF</t>
        </is>
      </c>
      <c r="I471" s="755">
        <f>VLOOKUP(H471,编码对账表!C:D,2,0)</f>
        <v/>
      </c>
      <c r="J471" s="330" t="n">
        <v>132207</v>
      </c>
      <c r="K471" s="331" t="inlineStr">
        <is>
          <t>202506160021</t>
        </is>
      </c>
      <c r="L471" s="332" t="inlineStr">
        <is>
          <t>1403250616143610</t>
        </is>
      </c>
      <c r="M471" s="757" t="inlineStr">
        <is>
          <t>PIE</t>
        </is>
      </c>
      <c r="N471" s="756" t="inlineStr">
        <is>
          <t>CHANHUA PTE. LTD.</t>
        </is>
      </c>
      <c r="O471" s="757" t="n">
        <v>8.512600000000001</v>
      </c>
      <c r="P471" s="346">
        <f>VLOOKUP(L471,'[2]BHSC_销售订单明细报表_060825 (7)'!$E$1:$E$65536,1,FALSE)</f>
        <v/>
      </c>
      <c r="Q471" s="336" t="inlineStr">
        <is>
          <t>是</t>
        </is>
      </c>
      <c r="R471" s="758" t="n"/>
      <c r="S471" s="758" t="n"/>
      <c r="T471" s="758" t="n"/>
      <c r="U471" s="758" t="n"/>
      <c r="V471" s="758" t="n"/>
      <c r="W471" s="758" t="n"/>
    </row>
    <row r="472" s="184">
      <c r="A472" s="106" t="n">
        <v>470</v>
      </c>
      <c r="B472" s="754" t="inlineStr">
        <is>
          <t>chanhua</t>
        </is>
      </c>
      <c r="C472" s="761" t="n">
        <v>45823</v>
      </c>
      <c r="D472" s="755" t="inlineStr">
        <is>
          <t>新加坡比特</t>
        </is>
      </c>
      <c r="E472" s="376" t="inlineStr">
        <is>
          <t>NJ-VT</t>
        </is>
      </c>
      <c r="F472" s="376" t="n"/>
      <c r="G472" s="376" t="n"/>
      <c r="H472" s="376" t="inlineStr">
        <is>
          <t>BM1370PA</t>
        </is>
      </c>
      <c r="I472" s="755">
        <f>VLOOKUP(H472,[1]编码对账表!C:D,2,0)</f>
        <v/>
      </c>
      <c r="J472" s="330" t="n">
        <v>303468</v>
      </c>
      <c r="K472" s="331" t="inlineStr">
        <is>
          <t>202506160022</t>
        </is>
      </c>
      <c r="L472" s="332" t="inlineStr">
        <is>
          <t>1403250616143618</t>
        </is>
      </c>
      <c r="M472" s="757" t="inlineStr">
        <is>
          <t>泰国ONETEC</t>
        </is>
      </c>
      <c r="N472" s="756" t="inlineStr">
        <is>
          <t>CHANHUA PTE. LTD.</t>
        </is>
      </c>
      <c r="O472" s="757" t="n">
        <v>8.512600000000001</v>
      </c>
      <c r="P472" s="346" t="n"/>
      <c r="Q472" s="336" t="inlineStr">
        <is>
          <t>是</t>
        </is>
      </c>
      <c r="R472" s="758" t="n"/>
      <c r="S472" s="758" t="n"/>
      <c r="T472" s="758" t="n"/>
      <c r="U472" s="758" t="n"/>
      <c r="V472" s="758" t="n"/>
      <c r="W472" s="758" t="n"/>
    </row>
    <row r="473" s="184">
      <c r="A473" s="106" t="n">
        <v>471</v>
      </c>
      <c r="B473" s="754" t="inlineStr">
        <is>
          <t>chanhua</t>
        </is>
      </c>
      <c r="C473" s="761" t="n">
        <v>45823</v>
      </c>
      <c r="D473" s="755" t="inlineStr">
        <is>
          <t>新加坡比特</t>
        </is>
      </c>
      <c r="E473" s="376" t="inlineStr">
        <is>
          <t>NJ-VT</t>
        </is>
      </c>
      <c r="F473" s="376" t="n"/>
      <c r="G473" s="376" t="n"/>
      <c r="H473" s="376" t="inlineStr">
        <is>
          <t>BM1370PA</t>
        </is>
      </c>
      <c r="I473" s="755">
        <f>VLOOKUP(H473,[1]编码对账表!C:D,2,0)</f>
        <v/>
      </c>
      <c r="J473" s="330" t="n">
        <v>88319</v>
      </c>
      <c r="K473" s="331" t="inlineStr">
        <is>
          <t>202506160024</t>
        </is>
      </c>
      <c r="L473" s="332" t="inlineStr">
        <is>
          <t>1403250616143638</t>
        </is>
      </c>
      <c r="M473" s="757" t="inlineStr">
        <is>
          <t>印尼奥海</t>
        </is>
      </c>
      <c r="N473" s="756" t="inlineStr">
        <is>
          <t>CHANHUA PTE. LTD.</t>
        </is>
      </c>
      <c r="O473" s="757" t="n">
        <v>8.512600000000001</v>
      </c>
      <c r="P473" s="346">
        <f>VLOOKUP(L473,'[2]BHSC_销售订单明细报表_060825 (7)'!$E$1:$E$65536,1,FALSE)</f>
        <v/>
      </c>
      <c r="Q473" s="336" t="inlineStr">
        <is>
          <t>是</t>
        </is>
      </c>
      <c r="R473" s="758" t="n"/>
      <c r="S473" s="758" t="n"/>
      <c r="T473" s="758" t="n"/>
      <c r="U473" s="758" t="n"/>
      <c r="V473" s="758" t="n"/>
      <c r="W473" s="758" t="n"/>
    </row>
    <row r="474" s="184">
      <c r="A474" s="106" t="n">
        <v>472</v>
      </c>
      <c r="B474" s="754" t="inlineStr">
        <is>
          <t>chanhua</t>
        </is>
      </c>
      <c r="C474" s="761" t="n">
        <v>45822</v>
      </c>
      <c r="D474" s="755" t="inlineStr">
        <is>
          <t>新加坡比特</t>
        </is>
      </c>
      <c r="E474" s="376" t="inlineStr">
        <is>
          <t>XJ</t>
        </is>
      </c>
      <c r="F474" s="376" t="n"/>
      <c r="G474" s="376" t="n"/>
      <c r="H474" s="376" t="inlineStr">
        <is>
          <t>BM1370BC</t>
        </is>
      </c>
      <c r="I474" s="755">
        <f>VLOOKUP(H474,[1]编码对账表!C:D,2,0)</f>
        <v/>
      </c>
      <c r="J474" s="330" t="n">
        <v>272808</v>
      </c>
      <c r="K474" s="331" t="inlineStr">
        <is>
          <t>202506160021</t>
        </is>
      </c>
      <c r="L474" s="332" t="inlineStr">
        <is>
          <t>1403250616143610</t>
        </is>
      </c>
      <c r="M474" s="757" t="inlineStr">
        <is>
          <t>PIE</t>
        </is>
      </c>
      <c r="N474" s="756" t="inlineStr">
        <is>
          <t>CHANHUA PTE. LTD.</t>
        </is>
      </c>
      <c r="O474" s="757" t="n">
        <v>8.512600000000001</v>
      </c>
      <c r="P474" s="346">
        <f>VLOOKUP(L474,'[2]BHSC_销售订单明细报表_060825 (7)'!$E$1:$E$65536,1,FALSE)</f>
        <v/>
      </c>
      <c r="Q474" s="336" t="inlineStr">
        <is>
          <t>是</t>
        </is>
      </c>
      <c r="R474" s="758" t="n"/>
      <c r="S474" s="758" t="n"/>
      <c r="T474" s="758" t="n"/>
      <c r="U474" s="758" t="n"/>
      <c r="V474" s="758" t="n"/>
      <c r="W474" s="758" t="n"/>
    </row>
    <row r="475" s="184">
      <c r="A475" s="106" t="n">
        <v>473</v>
      </c>
      <c r="B475" s="754" t="inlineStr">
        <is>
          <t>chanhua</t>
        </is>
      </c>
      <c r="C475" s="761" t="n">
        <v>45822</v>
      </c>
      <c r="D475" s="755" t="inlineStr">
        <is>
          <t>新加坡比特</t>
        </is>
      </c>
      <c r="E475" s="376" t="inlineStr">
        <is>
          <t>XJ</t>
        </is>
      </c>
      <c r="F475" s="376" t="n"/>
      <c r="G475" s="376" t="n"/>
      <c r="H475" s="376" t="inlineStr">
        <is>
          <t>BM1370PA</t>
        </is>
      </c>
      <c r="I475" s="755">
        <f>VLOOKUP(H475,[1]编码对账表!C:D,2,0)</f>
        <v/>
      </c>
      <c r="J475" s="330" t="n">
        <v>144916</v>
      </c>
      <c r="K475" s="331" t="inlineStr">
        <is>
          <t>202506160021</t>
        </is>
      </c>
      <c r="L475" s="332" t="inlineStr">
        <is>
          <t>1403250616143610</t>
        </is>
      </c>
      <c r="M475" s="757" t="inlineStr">
        <is>
          <t>PIE</t>
        </is>
      </c>
      <c r="N475" s="756" t="inlineStr">
        <is>
          <t>CHANHUA PTE. LTD.</t>
        </is>
      </c>
      <c r="O475" s="757" t="n">
        <v>8.512600000000001</v>
      </c>
      <c r="P475" s="346">
        <f>VLOOKUP(L475,'[2]BHSC_销售订单明细报表_060825 (7)'!$E$1:$E$65536,1,FALSE)</f>
        <v/>
      </c>
      <c r="Q475" s="336" t="inlineStr">
        <is>
          <t>是</t>
        </is>
      </c>
      <c r="R475" s="758" t="n"/>
      <c r="S475" s="758" t="n"/>
      <c r="T475" s="758" t="n"/>
      <c r="U475" s="758" t="n"/>
      <c r="V475" s="758" t="n"/>
      <c r="W475" s="758" t="n"/>
    </row>
    <row r="476" s="184">
      <c r="A476" s="106" t="n">
        <v>474</v>
      </c>
      <c r="B476" s="754" t="inlineStr">
        <is>
          <t>chanhua</t>
        </is>
      </c>
      <c r="C476" s="761" t="n">
        <v>45822</v>
      </c>
      <c r="D476" s="755" t="inlineStr">
        <is>
          <t>新加坡比特</t>
        </is>
      </c>
      <c r="E476" s="376" t="inlineStr">
        <is>
          <t>XJ</t>
        </is>
      </c>
      <c r="F476" s="376" t="n"/>
      <c r="G476" s="376" t="n"/>
      <c r="H476" s="376" t="inlineStr">
        <is>
          <t>BM1370PF</t>
        </is>
      </c>
      <c r="I476" s="755">
        <f>VLOOKUP(H476,编码对账表!C:D,2,0)</f>
        <v/>
      </c>
      <c r="J476" s="330" t="n">
        <v>123412</v>
      </c>
      <c r="K476" s="331" t="inlineStr">
        <is>
          <t>202506160021</t>
        </is>
      </c>
      <c r="L476" s="332" t="inlineStr">
        <is>
          <t>1403250616143610</t>
        </is>
      </c>
      <c r="M476" s="757" t="inlineStr">
        <is>
          <t>PIE</t>
        </is>
      </c>
      <c r="N476" s="756" t="inlineStr">
        <is>
          <t>CHANHUA PTE. LTD.</t>
        </is>
      </c>
      <c r="O476" s="757" t="n">
        <v>8.512600000000001</v>
      </c>
      <c r="P476" s="346">
        <f>VLOOKUP(L476,'[2]BHSC_销售订单明细报表_060825 (7)'!$E$1:$E$65536,1,FALSE)</f>
        <v/>
      </c>
      <c r="Q476" s="336" t="inlineStr">
        <is>
          <t>是</t>
        </is>
      </c>
      <c r="R476" s="758" t="n"/>
      <c r="S476" s="758" t="n"/>
      <c r="T476" s="758" t="n"/>
      <c r="U476" s="758" t="n"/>
      <c r="V476" s="758" t="n"/>
      <c r="W476" s="758" t="n"/>
    </row>
    <row r="477" s="184">
      <c r="A477" s="106" t="n">
        <v>475</v>
      </c>
      <c r="B477" s="754" t="inlineStr">
        <is>
          <t>chanhua</t>
        </is>
      </c>
      <c r="C477" s="761" t="n">
        <v>45822</v>
      </c>
      <c r="D477" s="755" t="inlineStr">
        <is>
          <t>新加坡比特</t>
        </is>
      </c>
      <c r="E477" s="376" t="inlineStr">
        <is>
          <t>XJ</t>
        </is>
      </c>
      <c r="F477" s="376" t="n"/>
      <c r="G477" s="376" t="n"/>
      <c r="H477" s="376" t="inlineStr">
        <is>
          <t>BM1370PA</t>
        </is>
      </c>
      <c r="I477" s="755">
        <f>VLOOKUP(H477,[1]编码对账表!C:D,2,0)</f>
        <v/>
      </c>
      <c r="J477" s="330" t="n">
        <v>393204</v>
      </c>
      <c r="K477" s="331" t="inlineStr">
        <is>
          <t>202506160022</t>
        </is>
      </c>
      <c r="L477" s="332" t="inlineStr">
        <is>
          <t>1403250616143618</t>
        </is>
      </c>
      <c r="M477" s="757" t="inlineStr">
        <is>
          <t>泰国ONETEC</t>
        </is>
      </c>
      <c r="N477" s="756" t="inlineStr">
        <is>
          <t>CHANHUA PTE. LTD.</t>
        </is>
      </c>
      <c r="O477" s="757" t="n">
        <v>8.512600000000001</v>
      </c>
      <c r="P477" s="346" t="n"/>
      <c r="Q477" s="336" t="inlineStr">
        <is>
          <t>是</t>
        </is>
      </c>
      <c r="R477" s="758" t="inlineStr">
        <is>
          <t>无法出库，价目表有问题</t>
        </is>
      </c>
      <c r="S477" s="758" t="inlineStr">
        <is>
          <t>会后确认</t>
        </is>
      </c>
      <c r="T477" s="758" t="n"/>
      <c r="U477" s="758" t="n"/>
      <c r="V477" s="758" t="n"/>
      <c r="W477" s="758" t="n"/>
    </row>
    <row r="478" s="184">
      <c r="A478" s="106" t="n">
        <v>476</v>
      </c>
      <c r="B478" s="754" t="inlineStr">
        <is>
          <t>chanhua</t>
        </is>
      </c>
      <c r="C478" s="761" t="n">
        <v>45822</v>
      </c>
      <c r="D478" s="755" t="inlineStr">
        <is>
          <t>新加坡比特</t>
        </is>
      </c>
      <c r="E478" s="376" t="inlineStr">
        <is>
          <t>XJ</t>
        </is>
      </c>
      <c r="F478" s="376" t="n"/>
      <c r="G478" s="376" t="n"/>
      <c r="H478" s="376" t="inlineStr">
        <is>
          <t>BM1370PA</t>
        </is>
      </c>
      <c r="I478" s="755">
        <f>VLOOKUP(H478,[1]编码对账表!C:D,2,0)</f>
        <v/>
      </c>
      <c r="J478" s="330" t="n">
        <v>48603</v>
      </c>
      <c r="K478" s="331" t="inlineStr">
        <is>
          <t>202506160024</t>
        </is>
      </c>
      <c r="L478" s="332" t="inlineStr">
        <is>
          <t>1403250616143638</t>
        </is>
      </c>
      <c r="M478" s="757" t="inlineStr">
        <is>
          <t>印尼奥海</t>
        </is>
      </c>
      <c r="N478" s="756" t="inlineStr">
        <is>
          <t>CHANHUA PTE. LTD.</t>
        </is>
      </c>
      <c r="O478" s="757" t="n">
        <v>8.512600000000001</v>
      </c>
      <c r="P478" s="346">
        <f>VLOOKUP(L478,'[2]BHSC_销售订单明细报表_060825 (7)'!$E$1:$E$65536,1,FALSE)</f>
        <v/>
      </c>
      <c r="Q478" s="336" t="inlineStr">
        <is>
          <t>是</t>
        </is>
      </c>
      <c r="R478" s="758" t="n"/>
      <c r="S478" s="758" t="n"/>
      <c r="T478" s="758" t="n"/>
      <c r="U478" s="758" t="n"/>
      <c r="V478" s="758" t="n"/>
      <c r="W478" s="758" t="n"/>
    </row>
    <row r="479" s="184">
      <c r="A479" s="106" t="n">
        <v>477</v>
      </c>
      <c r="B479" s="754" t="inlineStr">
        <is>
          <t>chanhua</t>
        </is>
      </c>
      <c r="C479" s="761" t="n">
        <v>45824</v>
      </c>
      <c r="D479" s="755" t="inlineStr">
        <is>
          <t>新加坡比特</t>
        </is>
      </c>
      <c r="E479" s="376" t="inlineStr">
        <is>
          <t>JSCC</t>
        </is>
      </c>
      <c r="F479" s="376" t="n"/>
      <c r="G479" s="376" t="n"/>
      <c r="H479" s="376" t="inlineStr">
        <is>
          <t>BM1370PM</t>
        </is>
      </c>
      <c r="I479" s="755">
        <f>VLOOKUP(H479,编码对账表!C:D,2,0)</f>
        <v/>
      </c>
      <c r="J479" s="330" t="n">
        <v>22756</v>
      </c>
      <c r="K479" s="331" t="inlineStr">
        <is>
          <t>202506200010</t>
        </is>
      </c>
      <c r="L479" s="332" t="inlineStr">
        <is>
          <t>1403250620153236</t>
        </is>
      </c>
      <c r="M479" s="757" t="inlineStr">
        <is>
          <t>PIE</t>
        </is>
      </c>
      <c r="N479" s="756" t="inlineStr">
        <is>
          <t>CHANHUA PTE. LTD.</t>
        </is>
      </c>
      <c r="O479" s="757" t="n">
        <v>8.512600000000001</v>
      </c>
      <c r="P479" s="346">
        <f>VLOOKUP(L479,'[2]BHSC_销售订单明细报表_060825 (7)'!$E$1:$E$65536,1,FALSE)</f>
        <v/>
      </c>
      <c r="Q479" s="758" t="inlineStr">
        <is>
          <t>是</t>
        </is>
      </c>
      <c r="R479" s="758" t="n"/>
      <c r="S479" s="758" t="n"/>
      <c r="T479" s="758" t="n"/>
      <c r="U479" s="758" t="n"/>
      <c r="V479" s="758" t="n"/>
      <c r="W479" s="758" t="n"/>
    </row>
    <row r="480" s="184">
      <c r="A480" s="106" t="n">
        <v>478</v>
      </c>
      <c r="B480" s="754" t="inlineStr">
        <is>
          <t>chanhua</t>
        </is>
      </c>
      <c r="C480" s="761" t="n">
        <v>45829</v>
      </c>
      <c r="D480" s="755" t="inlineStr">
        <is>
          <t>新加坡比特</t>
        </is>
      </c>
      <c r="E480" s="376" t="inlineStr">
        <is>
          <t>ASECL</t>
        </is>
      </c>
      <c r="F480" s="376" t="n"/>
      <c r="G480" s="376" t="n"/>
      <c r="H480" s="376" t="inlineStr">
        <is>
          <t>BM1370PF</t>
        </is>
      </c>
      <c r="I480" s="755">
        <f>VLOOKUP(H480,编码对账表!C:D,2,0)</f>
        <v/>
      </c>
      <c r="J480" s="330" t="n">
        <v>83600</v>
      </c>
      <c r="K480" s="331" t="inlineStr">
        <is>
          <t>202506230010</t>
        </is>
      </c>
      <c r="L480" s="332" t="inlineStr">
        <is>
          <t>1403250623112852</t>
        </is>
      </c>
      <c r="M480" s="757" t="inlineStr">
        <is>
          <t>Nationgate</t>
        </is>
      </c>
      <c r="N480" s="756" t="inlineStr">
        <is>
          <t>CHANHUA PTE. LTD.</t>
        </is>
      </c>
      <c r="O480" s="757" t="n">
        <v>8.512600000000001</v>
      </c>
      <c r="P480" s="346" t="n"/>
      <c r="Q480" s="758" t="inlineStr">
        <is>
          <t>是</t>
        </is>
      </c>
      <c r="R480" s="336" t="inlineStr">
        <is>
          <t>等待ASECL传输数据</t>
        </is>
      </c>
      <c r="S480" s="758" t="n"/>
      <c r="T480" s="758" t="n"/>
      <c r="U480" s="758" t="n"/>
      <c r="V480" s="758" t="n"/>
      <c r="W480" s="758" t="n"/>
    </row>
    <row r="481" s="184">
      <c r="A481" s="106" t="n">
        <v>479</v>
      </c>
      <c r="B481" s="754" t="inlineStr">
        <is>
          <t>chanhua</t>
        </is>
      </c>
      <c r="C481" s="761" t="n">
        <v>45829</v>
      </c>
      <c r="D481" s="755" t="inlineStr">
        <is>
          <t>新加坡比特</t>
        </is>
      </c>
      <c r="E481" s="376" t="inlineStr">
        <is>
          <t>NJ-VT</t>
        </is>
      </c>
      <c r="F481" s="376" t="n"/>
      <c r="G481" s="376" t="n"/>
      <c r="H481" s="376" t="inlineStr">
        <is>
          <t>BM1370PF</t>
        </is>
      </c>
      <c r="I481" s="755">
        <f>VLOOKUP(H481,编码对账表!C:D,2,0)</f>
        <v/>
      </c>
      <c r="J481" s="330" t="n">
        <v>215363</v>
      </c>
      <c r="K481" s="331" t="inlineStr">
        <is>
          <t>202506230011</t>
        </is>
      </c>
      <c r="L481" s="332" t="inlineStr">
        <is>
          <t>1403250623112859</t>
        </is>
      </c>
      <c r="M481" s="757" t="inlineStr">
        <is>
          <t>PIE</t>
        </is>
      </c>
      <c r="N481" s="756" t="inlineStr">
        <is>
          <t>CHANHUA PTE. LTD.</t>
        </is>
      </c>
      <c r="O481" s="757" t="n">
        <v>8.512600000000001</v>
      </c>
      <c r="P481" s="346">
        <f>VLOOKUP(L481,'[2]BHSC_销售订单明细报表_060825 (7)'!$E$1:$E$65536,1,FALSE)</f>
        <v/>
      </c>
      <c r="Q481" s="336" t="inlineStr">
        <is>
          <t>是</t>
        </is>
      </c>
      <c r="R481" s="758" t="n"/>
      <c r="S481" s="758" t="n"/>
      <c r="T481" s="758" t="n"/>
      <c r="U481" s="758" t="n"/>
      <c r="V481" s="758" t="n"/>
      <c r="W481" s="758" t="n"/>
    </row>
    <row r="482" s="184">
      <c r="A482" s="106" t="n">
        <v>480</v>
      </c>
      <c r="B482" s="754" t="inlineStr">
        <is>
          <t>chanhua</t>
        </is>
      </c>
      <c r="C482" s="761" t="n">
        <v>45828</v>
      </c>
      <c r="D482" s="755" t="inlineStr">
        <is>
          <t>新加坡比特</t>
        </is>
      </c>
      <c r="E482" s="376" t="inlineStr">
        <is>
          <t>XJ</t>
        </is>
      </c>
      <c r="F482" s="376" t="n"/>
      <c r="G482" s="376" t="n"/>
      <c r="H482" s="376" t="inlineStr">
        <is>
          <t>BM1370PF</t>
        </is>
      </c>
      <c r="I482" s="755">
        <f>VLOOKUP(H482,编码对账表!C:D,2,0)</f>
        <v/>
      </c>
      <c r="J482" s="330" t="n">
        <v>333813</v>
      </c>
      <c r="K482" s="331" t="inlineStr">
        <is>
          <t>202506230011</t>
        </is>
      </c>
      <c r="L482" s="332" t="inlineStr">
        <is>
          <t>1403250623112859</t>
        </is>
      </c>
      <c r="M482" s="757" t="inlineStr">
        <is>
          <t>PIE</t>
        </is>
      </c>
      <c r="N482" s="756" t="inlineStr">
        <is>
          <t>CHANHUA PTE. LTD.</t>
        </is>
      </c>
      <c r="O482" s="757" t="n">
        <v>8.512600000000001</v>
      </c>
      <c r="P482" s="346">
        <f>VLOOKUP(L482,'[2]BHSC_销售订单明细报表_060825 (7)'!$E$1:$E$65536,1,FALSE)</f>
        <v/>
      </c>
      <c r="Q482" s="336" t="inlineStr">
        <is>
          <t>是</t>
        </is>
      </c>
      <c r="R482" s="758" t="n"/>
      <c r="S482" s="758" t="n"/>
      <c r="T482" s="758" t="n"/>
      <c r="U482" s="758" t="n"/>
      <c r="V482" s="758" t="n"/>
      <c r="W482" s="758" t="n"/>
    </row>
    <row r="483" s="184">
      <c r="A483" s="106" t="n">
        <v>481</v>
      </c>
      <c r="B483" s="754" t="inlineStr">
        <is>
          <t>chanhua</t>
        </is>
      </c>
      <c r="C483" s="761" t="n">
        <v>45828</v>
      </c>
      <c r="D483" s="755" t="inlineStr">
        <is>
          <t>新加坡比特</t>
        </is>
      </c>
      <c r="E483" s="376" t="inlineStr">
        <is>
          <t>XJ</t>
        </is>
      </c>
      <c r="F483" s="376" t="n"/>
      <c r="G483" s="376" t="n"/>
      <c r="H483" s="376" t="inlineStr">
        <is>
          <t>BM1370BC</t>
        </is>
      </c>
      <c r="I483" s="755">
        <f>VLOOKUP(H483,编码对账表!C:D,2,0)</f>
        <v/>
      </c>
      <c r="J483" s="330" t="n">
        <v>57733</v>
      </c>
      <c r="K483" s="331" t="inlineStr">
        <is>
          <t>202506230012</t>
        </is>
      </c>
      <c r="L483" s="332" t="inlineStr">
        <is>
          <t>1403250623112918</t>
        </is>
      </c>
      <c r="M483" s="757" t="inlineStr">
        <is>
          <t>泰国ONETEC</t>
        </is>
      </c>
      <c r="N483" s="756" t="inlineStr">
        <is>
          <t>CHANHUA PTE. LTD.</t>
        </is>
      </c>
      <c r="O483" s="757" t="n">
        <v>8.512600000000001</v>
      </c>
      <c r="P483" s="346">
        <f>VLOOKUP(L483,'[2]BHSC_销售订单明细报表_060825 (7)'!$E$1:$E$65536,1,FALSE)</f>
        <v/>
      </c>
      <c r="Q483" s="336" t="inlineStr">
        <is>
          <t>是</t>
        </is>
      </c>
      <c r="R483" s="758" t="n"/>
      <c r="S483" s="758" t="n"/>
      <c r="T483" s="758" t="n"/>
      <c r="U483" s="758" t="n"/>
      <c r="V483" s="758" t="n"/>
      <c r="W483" s="758" t="n"/>
    </row>
    <row r="484" s="184">
      <c r="A484" s="106" t="n">
        <v>482</v>
      </c>
      <c r="B484" s="754" t="inlineStr">
        <is>
          <t>chanhua</t>
        </is>
      </c>
      <c r="C484" s="761" t="n">
        <v>45828</v>
      </c>
      <c r="D484" s="755" t="inlineStr">
        <is>
          <t>新加坡比特</t>
        </is>
      </c>
      <c r="E484" s="376" t="inlineStr">
        <is>
          <t>NJ-VT</t>
        </is>
      </c>
      <c r="F484" s="376" t="n"/>
      <c r="G484" s="376" t="n"/>
      <c r="H484" s="376" t="inlineStr">
        <is>
          <t>BM1370PA</t>
        </is>
      </c>
      <c r="I484" s="755">
        <f>VLOOKUP(H484,编码对账表!C:D,2,0)</f>
        <v/>
      </c>
      <c r="J484" s="330" t="n">
        <v>52455</v>
      </c>
      <c r="K484" s="331" t="inlineStr">
        <is>
          <t>202506230012</t>
        </is>
      </c>
      <c r="L484" s="332" t="inlineStr">
        <is>
          <t>1403250623112918</t>
        </is>
      </c>
      <c r="M484" s="757" t="inlineStr">
        <is>
          <t>泰国ONETEC</t>
        </is>
      </c>
      <c r="N484" s="756" t="inlineStr">
        <is>
          <t>CHANHUA PTE. LTD.</t>
        </is>
      </c>
      <c r="O484" s="757" t="n">
        <v>8.512600000000001</v>
      </c>
      <c r="P484" s="346">
        <f>VLOOKUP(L484,'[2]BHSC_销售订单明细报表_060825 (7)'!$E$1:$E$65536,1,FALSE)</f>
        <v/>
      </c>
      <c r="Q484" s="336" t="inlineStr">
        <is>
          <t>是</t>
        </is>
      </c>
      <c r="R484" s="758" t="n"/>
      <c r="S484" s="758" t="n"/>
      <c r="T484" s="758" t="n"/>
      <c r="U484" s="758" t="n"/>
      <c r="V484" s="758" t="n"/>
      <c r="W484" s="758" t="n"/>
    </row>
    <row r="485" s="184">
      <c r="A485" s="106" t="n">
        <v>483</v>
      </c>
      <c r="B485" s="754" t="inlineStr">
        <is>
          <t>chanhua</t>
        </is>
      </c>
      <c r="C485" s="761" t="n">
        <v>45828</v>
      </c>
      <c r="D485" s="755" t="inlineStr">
        <is>
          <t>新加坡比特</t>
        </is>
      </c>
      <c r="E485" s="376" t="inlineStr">
        <is>
          <t>XJ</t>
        </is>
      </c>
      <c r="F485" s="376" t="n"/>
      <c r="G485" s="376" t="n"/>
      <c r="H485" s="376" t="inlineStr">
        <is>
          <t>BM1370PA</t>
        </is>
      </c>
      <c r="I485" s="755">
        <f>VLOOKUP(H485,编码对账表!C:D,2,0)</f>
        <v/>
      </c>
      <c r="J485" s="330" t="n">
        <v>26145</v>
      </c>
      <c r="K485" s="331" t="inlineStr">
        <is>
          <t>202506230012</t>
        </is>
      </c>
      <c r="L485" s="332" t="inlineStr">
        <is>
          <t>1403250623112918</t>
        </is>
      </c>
      <c r="M485" s="757" t="inlineStr">
        <is>
          <t>泰国ONETEC</t>
        </is>
      </c>
      <c r="N485" s="756" t="inlineStr">
        <is>
          <t>CHANHUA PTE. LTD.</t>
        </is>
      </c>
      <c r="O485" s="757" t="n">
        <v>8.512600000000001</v>
      </c>
      <c r="P485" s="346">
        <f>VLOOKUP(L485,'[2]BHSC_销售订单明细报表_060825 (7)'!$E$1:$E$65536,1,FALSE)</f>
        <v/>
      </c>
      <c r="Q485" s="336" t="inlineStr">
        <is>
          <t>是</t>
        </is>
      </c>
      <c r="R485" s="758" t="n"/>
      <c r="S485" s="758" t="n"/>
      <c r="T485" s="758" t="n"/>
      <c r="U485" s="758" t="n"/>
      <c r="V485" s="758" t="n"/>
      <c r="W485" s="758" t="n"/>
    </row>
    <row r="486" s="184">
      <c r="A486" s="106" t="n">
        <v>484</v>
      </c>
      <c r="B486" s="754" t="inlineStr">
        <is>
          <t>chanhua</t>
        </is>
      </c>
      <c r="C486" s="761" t="n">
        <v>45829</v>
      </c>
      <c r="D486" s="755" t="inlineStr">
        <is>
          <t>新加坡比特</t>
        </is>
      </c>
      <c r="E486" s="376" t="inlineStr">
        <is>
          <t>ASECL</t>
        </is>
      </c>
      <c r="F486" s="376" t="n"/>
      <c r="G486" s="376" t="n"/>
      <c r="H486" s="376" t="inlineStr">
        <is>
          <t>BM1370PF</t>
        </is>
      </c>
      <c r="I486" s="755">
        <f>VLOOKUP(H486,编码对账表!C:D,2,0)</f>
        <v/>
      </c>
      <c r="J486" s="330" t="n">
        <v>7600</v>
      </c>
      <c r="K486" s="331" t="inlineStr">
        <is>
          <t>202506230012</t>
        </is>
      </c>
      <c r="L486" s="332" t="inlineStr">
        <is>
          <t>1403250623112918</t>
        </is>
      </c>
      <c r="M486" s="757" t="inlineStr">
        <is>
          <t>泰国ONETEC</t>
        </is>
      </c>
      <c r="N486" s="756" t="inlineStr">
        <is>
          <t>CHANHUA PTE. LTD.</t>
        </is>
      </c>
      <c r="O486" s="757" t="n">
        <v>8.512600000000001</v>
      </c>
      <c r="P486" s="346">
        <f>VLOOKUP(L486,'[2]BHSC_销售订单明细报表_060825 (7)'!$E$1:$E$65536,1,FALSE)</f>
        <v/>
      </c>
      <c r="Q486" s="758" t="inlineStr">
        <is>
          <t>是</t>
        </is>
      </c>
      <c r="R486" s="758" t="n"/>
      <c r="S486" s="758" t="n"/>
      <c r="T486" s="758" t="n"/>
      <c r="U486" s="758" t="n"/>
      <c r="V486" s="758" t="n"/>
      <c r="W486" s="758" t="n"/>
    </row>
    <row r="487" s="184">
      <c r="A487" s="106" t="n">
        <v>485</v>
      </c>
      <c r="B487" s="754" t="inlineStr">
        <is>
          <t>chanhua</t>
        </is>
      </c>
      <c r="C487" s="761" t="n">
        <v>45829</v>
      </c>
      <c r="D487" s="755" t="inlineStr">
        <is>
          <t>新加坡比特</t>
        </is>
      </c>
      <c r="E487" s="376" t="inlineStr">
        <is>
          <t>NJ-VT</t>
        </is>
      </c>
      <c r="F487" s="376" t="n"/>
      <c r="G487" s="376" t="n"/>
      <c r="H487" s="376" t="inlineStr">
        <is>
          <t>BM1370PF</t>
        </is>
      </c>
      <c r="I487" s="755">
        <f>VLOOKUP(H487,编码对账表!C:D,2,0)</f>
        <v/>
      </c>
      <c r="J487" s="330" t="n">
        <v>49542</v>
      </c>
      <c r="K487" s="331" t="inlineStr">
        <is>
          <t>202506230012</t>
        </is>
      </c>
      <c r="L487" s="332" t="inlineStr">
        <is>
          <t>1403250623112918</t>
        </is>
      </c>
      <c r="M487" s="757" t="inlineStr">
        <is>
          <t>泰国ONETEC</t>
        </is>
      </c>
      <c r="N487" s="756" t="inlineStr">
        <is>
          <t>CHANHUA PTE. LTD.</t>
        </is>
      </c>
      <c r="O487" s="757" t="n">
        <v>8.512600000000001</v>
      </c>
      <c r="P487" s="346">
        <f>VLOOKUP(L487,'[2]BHSC_销售订单明细报表_060825 (7)'!$E$1:$E$65536,1,FALSE)</f>
        <v/>
      </c>
      <c r="Q487" s="336" t="inlineStr">
        <is>
          <t>是</t>
        </is>
      </c>
      <c r="R487" s="758" t="n"/>
      <c r="S487" s="758" t="n"/>
      <c r="T487" s="758" t="n"/>
      <c r="U487" s="758" t="n"/>
      <c r="V487" s="758" t="n"/>
      <c r="W487" s="758" t="n"/>
    </row>
    <row r="488" s="184">
      <c r="A488" s="106" t="n">
        <v>486</v>
      </c>
      <c r="B488" s="754" t="inlineStr">
        <is>
          <t>chanhua</t>
        </is>
      </c>
      <c r="C488" s="761" t="n">
        <v>45828</v>
      </c>
      <c r="D488" s="755" t="inlineStr">
        <is>
          <t>新加坡比特</t>
        </is>
      </c>
      <c r="E488" s="376" t="inlineStr">
        <is>
          <t>XJ</t>
        </is>
      </c>
      <c r="F488" s="376" t="n"/>
      <c r="G488" s="376" t="n"/>
      <c r="H488" s="376" t="inlineStr">
        <is>
          <t>BM1370BC</t>
        </is>
      </c>
      <c r="I488" s="755">
        <f>VLOOKUP(H488,编码对账表!C:D,2,0)</f>
        <v/>
      </c>
      <c r="J488" s="330" t="n">
        <v>28831</v>
      </c>
      <c r="K488" s="331" t="inlineStr">
        <is>
          <t>202506230013</t>
        </is>
      </c>
      <c r="L488" s="332" t="inlineStr">
        <is>
          <t>1403250623112923</t>
        </is>
      </c>
      <c r="M488" s="757" t="inlineStr">
        <is>
          <t>印尼奥海</t>
        </is>
      </c>
      <c r="N488" s="756" t="inlineStr">
        <is>
          <t>CHANHUA PTE. LTD.</t>
        </is>
      </c>
      <c r="O488" s="757" t="n">
        <v>8.512600000000001</v>
      </c>
      <c r="P488" s="346">
        <f>VLOOKUP(L488,'[2]BHSC_销售订单明细报表_060825 (7)'!$E$1:$E$65536,1,FALSE)</f>
        <v/>
      </c>
      <c r="Q488" s="336" t="inlineStr">
        <is>
          <t>是</t>
        </is>
      </c>
      <c r="R488" s="758" t="n"/>
      <c r="S488" s="758" t="n"/>
      <c r="T488" s="758" t="n"/>
      <c r="U488" s="758" t="n"/>
      <c r="V488" s="758" t="n"/>
      <c r="W488" s="758" t="n"/>
    </row>
    <row r="489" s="184">
      <c r="A489" s="106" t="n">
        <v>487</v>
      </c>
      <c r="B489" s="754" t="inlineStr">
        <is>
          <t>chanhua</t>
        </is>
      </c>
      <c r="C489" s="761" t="n">
        <v>45828</v>
      </c>
      <c r="D489" s="755" t="inlineStr">
        <is>
          <t>新加坡比特</t>
        </is>
      </c>
      <c r="E489" s="376" t="inlineStr">
        <is>
          <t>XJ</t>
        </is>
      </c>
      <c r="F489" s="376" t="n"/>
      <c r="G489" s="376" t="n"/>
      <c r="H489" s="376" t="inlineStr">
        <is>
          <t>BM1370PA</t>
        </is>
      </c>
      <c r="I489" s="755">
        <f>VLOOKUP(H489,编码对账表!C:D,2,0)</f>
        <v/>
      </c>
      <c r="J489" s="330" t="n">
        <v>38894</v>
      </c>
      <c r="K489" s="331" t="inlineStr">
        <is>
          <t>202506230013</t>
        </is>
      </c>
      <c r="L489" s="332" t="inlineStr">
        <is>
          <t>1403250623112923</t>
        </is>
      </c>
      <c r="M489" s="757" t="inlineStr">
        <is>
          <t>印尼奥海</t>
        </is>
      </c>
      <c r="N489" s="756" t="inlineStr">
        <is>
          <t>CHANHUA PTE. LTD.</t>
        </is>
      </c>
      <c r="O489" s="757" t="n">
        <v>8.512600000000001</v>
      </c>
      <c r="P489" s="346">
        <f>VLOOKUP(L489,'[2]BHSC_销售订单明细报表_060825 (7)'!$E$1:$E$65536,1,FALSE)</f>
        <v/>
      </c>
      <c r="Q489" s="336" t="inlineStr">
        <is>
          <t>是</t>
        </is>
      </c>
      <c r="R489" s="758" t="n"/>
      <c r="S489" s="758" t="n"/>
      <c r="T489" s="758" t="n"/>
      <c r="U489" s="758" t="n"/>
      <c r="V489" s="758" t="n"/>
      <c r="W489" s="758" t="n"/>
    </row>
    <row r="490" s="184">
      <c r="A490" s="106" t="n">
        <v>488</v>
      </c>
      <c r="B490" s="754" t="inlineStr">
        <is>
          <t>chanhua</t>
        </is>
      </c>
      <c r="C490" s="761" t="n">
        <v>45829</v>
      </c>
      <c r="D490" s="755" t="inlineStr">
        <is>
          <t>新加坡比特</t>
        </is>
      </c>
      <c r="E490" s="376" t="inlineStr">
        <is>
          <t>ASECL</t>
        </is>
      </c>
      <c r="F490" s="376" t="n"/>
      <c r="G490" s="376" t="n"/>
      <c r="H490" s="376" t="inlineStr">
        <is>
          <t>BM1370PF</t>
        </is>
      </c>
      <c r="I490" s="755">
        <f>VLOOKUP(H490,编码对账表!C:D,2,0)</f>
        <v/>
      </c>
      <c r="J490" s="330" t="n">
        <v>83600</v>
      </c>
      <c r="K490" s="331" t="inlineStr">
        <is>
          <t>202506230013</t>
        </is>
      </c>
      <c r="L490" s="332" t="inlineStr">
        <is>
          <t>1403250623112923</t>
        </is>
      </c>
      <c r="M490" s="764" t="inlineStr">
        <is>
          <t>印尼奥海</t>
        </is>
      </c>
      <c r="N490" s="756" t="inlineStr">
        <is>
          <t>CHANHUA PTE. LTD.</t>
        </is>
      </c>
      <c r="O490" s="757" t="n">
        <v>8.512600000000001</v>
      </c>
      <c r="P490" s="346">
        <f>VLOOKUP(L490,'[2]BHSC_销售订单明细报表_060825 (7)'!$E$1:$E$65536,1,FALSE)</f>
        <v/>
      </c>
      <c r="Q490" s="758" t="inlineStr">
        <is>
          <t>是</t>
        </is>
      </c>
      <c r="R490" s="758" t="n"/>
      <c r="S490" s="758" t="n"/>
      <c r="T490" s="758" t="n"/>
      <c r="U490" s="758" t="n"/>
      <c r="V490" s="758" t="n"/>
      <c r="W490" s="758" t="n"/>
    </row>
    <row r="491" s="184">
      <c r="A491" s="106" t="n">
        <v>489</v>
      </c>
      <c r="B491" s="754" t="inlineStr">
        <is>
          <t>chanhua</t>
        </is>
      </c>
      <c r="C491" s="761" t="n">
        <v>45831</v>
      </c>
      <c r="D491" s="755" t="inlineStr">
        <is>
          <t>新加坡比特</t>
        </is>
      </c>
      <c r="E491" s="376" t="inlineStr">
        <is>
          <t>ASECL</t>
        </is>
      </c>
      <c r="F491" s="376" t="n"/>
      <c r="G491" s="376" t="n"/>
      <c r="H491" s="376" t="inlineStr">
        <is>
          <t>BM1370PA</t>
        </is>
      </c>
      <c r="I491" s="755">
        <f>VLOOKUP(H491,编码对账表!C:D,2,0)</f>
        <v/>
      </c>
      <c r="J491" s="330" t="n">
        <v>45938</v>
      </c>
      <c r="K491" s="331" t="inlineStr">
        <is>
          <t>202506260010</t>
        </is>
      </c>
      <c r="L491" s="332" t="inlineStr">
        <is>
          <t>1403250626115554</t>
        </is>
      </c>
      <c r="M491" s="757" t="inlineStr">
        <is>
          <t>印尼奥海</t>
        </is>
      </c>
      <c r="N491" s="756" t="inlineStr">
        <is>
          <t>CHANHUA PTE. LTD.</t>
        </is>
      </c>
      <c r="O491" s="757" t="n">
        <v>8.512600000000001</v>
      </c>
      <c r="P491" s="346" t="n"/>
      <c r="Q491" s="758" t="inlineStr">
        <is>
          <t>是</t>
        </is>
      </c>
      <c r="R491" s="336" t="inlineStr">
        <is>
          <t>等待ASECL传输数据</t>
        </is>
      </c>
      <c r="S491" s="758" t="n"/>
      <c r="T491" s="758" t="n"/>
      <c r="U491" s="758" t="n"/>
      <c r="V491" s="758" t="n"/>
      <c r="W491" s="758" t="n"/>
    </row>
    <row r="492" s="184">
      <c r="A492" s="106" t="n">
        <v>490</v>
      </c>
      <c r="B492" s="754" t="inlineStr">
        <is>
          <t>chanhua</t>
        </is>
      </c>
      <c r="C492" s="761" t="n">
        <v>45831</v>
      </c>
      <c r="D492" s="755" t="inlineStr">
        <is>
          <t>新加坡比特</t>
        </is>
      </c>
      <c r="E492" s="376" t="inlineStr">
        <is>
          <t>XJ</t>
        </is>
      </c>
      <c r="F492" s="376" t="n"/>
      <c r="G492" s="376" t="n"/>
      <c r="H492" s="376" t="inlineStr">
        <is>
          <t>BM1370PA</t>
        </is>
      </c>
      <c r="I492" s="755">
        <f>VLOOKUP(H492,编码对账表!C:D,2,0)</f>
        <v/>
      </c>
      <c r="J492" s="330" t="n">
        <v>81931</v>
      </c>
      <c r="K492" s="331" t="inlineStr">
        <is>
          <t>202506260010</t>
        </is>
      </c>
      <c r="L492" s="332" t="inlineStr">
        <is>
          <t>1403250626115554</t>
        </is>
      </c>
      <c r="M492" s="757" t="inlineStr">
        <is>
          <t>印尼奥海</t>
        </is>
      </c>
      <c r="N492" s="756" t="inlineStr">
        <is>
          <t>CHANHUA PTE. LTD.</t>
        </is>
      </c>
      <c r="O492" s="757" t="n">
        <v>8.512600000000001</v>
      </c>
      <c r="P492" s="346" t="n"/>
      <c r="Q492" s="336" t="inlineStr">
        <is>
          <t>是</t>
        </is>
      </c>
      <c r="R492" s="758" t="n"/>
      <c r="S492" s="758" t="n"/>
      <c r="T492" s="758" t="n"/>
      <c r="U492" s="758" t="n"/>
      <c r="V492" s="758" t="n"/>
      <c r="W492" s="758" t="n"/>
    </row>
    <row r="493" s="184">
      <c r="A493" s="106" t="n">
        <v>402</v>
      </c>
      <c r="B493" s="754" t="inlineStr">
        <is>
          <t>chanhua</t>
        </is>
      </c>
      <c r="C493" s="761" t="n">
        <v>45808</v>
      </c>
      <c r="D493" s="755" t="inlineStr">
        <is>
          <t>新加坡比特</t>
        </is>
      </c>
      <c r="E493" s="376" t="inlineStr">
        <is>
          <t>SPILSZ</t>
        </is>
      </c>
      <c r="F493" s="376" t="n"/>
      <c r="G493" s="376" t="n"/>
      <c r="H493" s="376" t="inlineStr">
        <is>
          <t>BM1368AA</t>
        </is>
      </c>
      <c r="I493" s="755">
        <f>VLOOKUP(H493,[1]编码对账表!C:D,2,0)</f>
        <v/>
      </c>
      <c r="J493" s="330" t="n">
        <v>3828</v>
      </c>
      <c r="K493" s="331" t="inlineStr">
        <is>
          <t>202506300010</t>
        </is>
      </c>
      <c r="L493" s="332" t="inlineStr">
        <is>
          <t>1403250630143758</t>
        </is>
      </c>
      <c r="M493" s="757" t="inlineStr">
        <is>
          <t>CHHXYXPBLC</t>
        </is>
      </c>
      <c r="N493" s="756" t="inlineStr">
        <is>
          <t>CHANHUA PTE. LTD.</t>
        </is>
      </c>
      <c r="O493" s="757" t="n">
        <v>5.4151</v>
      </c>
      <c r="P493" s="346">
        <f>VLOOKUP(L493,'[2]BHSC_销售订单明细报表_060825 (7)'!$E$1:$E$65536,1,FALSE)</f>
        <v/>
      </c>
      <c r="Q493" s="758" t="n"/>
      <c r="R493" s="758" t="n"/>
      <c r="S493" s="758" t="n"/>
      <c r="T493" s="758" t="n"/>
      <c r="U493" s="758" t="n"/>
      <c r="V493" s="758" t="n"/>
      <c r="W493" s="758" t="n"/>
    </row>
    <row r="494" s="184">
      <c r="A494" s="106" t="n">
        <v>402</v>
      </c>
      <c r="B494" s="754" t="inlineStr">
        <is>
          <t>chanhua</t>
        </is>
      </c>
      <c r="C494" s="761" t="n">
        <v>45808</v>
      </c>
      <c r="D494" s="755" t="inlineStr">
        <is>
          <t>新加坡比特</t>
        </is>
      </c>
      <c r="E494" s="376" t="inlineStr">
        <is>
          <t>SPILSZ</t>
        </is>
      </c>
      <c r="F494" s="376" t="n"/>
      <c r="G494" s="376" t="n"/>
      <c r="H494" s="376" t="inlineStr">
        <is>
          <t>BM1368PB</t>
        </is>
      </c>
      <c r="I494" s="755">
        <f>VLOOKUP(H494,[1]编码对账表!C:D,2,0)</f>
        <v/>
      </c>
      <c r="J494" s="330" t="n">
        <v>28244</v>
      </c>
      <c r="K494" s="331" t="inlineStr">
        <is>
          <t>202506300010</t>
        </is>
      </c>
      <c r="L494" s="332" t="inlineStr">
        <is>
          <t>1403250630143758</t>
        </is>
      </c>
      <c r="M494" s="757" t="inlineStr">
        <is>
          <t>CHHXYXPBLC</t>
        </is>
      </c>
      <c r="N494" s="756" t="inlineStr">
        <is>
          <t>CHANHUA PTE. LTD.</t>
        </is>
      </c>
      <c r="O494" s="757" t="n">
        <v>5.4151</v>
      </c>
      <c r="P494" s="346">
        <f>VLOOKUP(L494,'[2]BHSC_销售订单明细报表_060825 (7)'!$E$1:$E$65536,1,FALSE)</f>
        <v/>
      </c>
      <c r="Q494" s="758" t="n"/>
      <c r="R494" s="758" t="n"/>
      <c r="S494" s="758" t="n"/>
      <c r="T494" s="758" t="n"/>
      <c r="U494" s="758" t="n"/>
      <c r="V494" s="758" t="n"/>
      <c r="W494" s="758" t="n"/>
    </row>
    <row r="495" s="184">
      <c r="A495" s="106" t="n">
        <v>402</v>
      </c>
      <c r="B495" s="754" t="inlineStr">
        <is>
          <t>chanhua</t>
        </is>
      </c>
      <c r="C495" s="761" t="n">
        <v>45808</v>
      </c>
      <c r="D495" s="755" t="inlineStr">
        <is>
          <t>新加坡比特</t>
        </is>
      </c>
      <c r="E495" s="376" t="inlineStr">
        <is>
          <t>SPILSZ</t>
        </is>
      </c>
      <c r="F495" s="376" t="n"/>
      <c r="G495" s="376" t="n"/>
      <c r="H495" s="376" t="inlineStr">
        <is>
          <t>BM1368PV</t>
        </is>
      </c>
      <c r="I495" s="755">
        <f>VLOOKUP(H495,[1]编码对账表!C:D,2,0)</f>
        <v/>
      </c>
      <c r="J495" s="330" t="n">
        <v>2208</v>
      </c>
      <c r="K495" s="331" t="inlineStr">
        <is>
          <t>202506300010</t>
        </is>
      </c>
      <c r="L495" s="332" t="inlineStr">
        <is>
          <t>1403250630143758</t>
        </is>
      </c>
      <c r="M495" s="757" t="inlineStr">
        <is>
          <t>CHHXYXPBLC</t>
        </is>
      </c>
      <c r="N495" s="756" t="inlineStr">
        <is>
          <t>CHANHUA PTE. LTD.</t>
        </is>
      </c>
      <c r="O495" s="757" t="n">
        <v>5.4151</v>
      </c>
      <c r="P495" s="346">
        <f>VLOOKUP(L495,'[2]BHSC_销售订单明细报表_060825 (7)'!$E$1:$E$65536,1,FALSE)</f>
        <v/>
      </c>
      <c r="Q495" s="758" t="n"/>
      <c r="R495" s="758" t="n"/>
      <c r="S495" s="758" t="n"/>
      <c r="T495" s="758" t="n"/>
      <c r="U495" s="758" t="n"/>
      <c r="V495" s="758" t="n"/>
      <c r="W495" s="758" t="n"/>
    </row>
    <row r="496" s="184">
      <c r="A496" s="106" t="n">
        <v>402</v>
      </c>
      <c r="B496" s="754" t="inlineStr">
        <is>
          <t>chanhua</t>
        </is>
      </c>
      <c r="C496" s="761" t="n">
        <v>45808</v>
      </c>
      <c r="D496" s="755" t="inlineStr">
        <is>
          <t>新加坡比特</t>
        </is>
      </c>
      <c r="E496" s="376" t="inlineStr">
        <is>
          <t>SPILSZ</t>
        </is>
      </c>
      <c r="F496" s="376" t="n"/>
      <c r="G496" s="376" t="n"/>
      <c r="H496" s="376" t="inlineStr">
        <is>
          <t>BM1370AA</t>
        </is>
      </c>
      <c r="I496" s="755">
        <f>VLOOKUP(H496,[1]编码对账表!C:D,2,0)</f>
        <v/>
      </c>
      <c r="J496" s="330" t="n">
        <v>6</v>
      </c>
      <c r="K496" s="331" t="inlineStr">
        <is>
          <t>202506300010</t>
        </is>
      </c>
      <c r="L496" s="332" t="inlineStr">
        <is>
          <t>1403250630143758</t>
        </is>
      </c>
      <c r="M496" s="757" t="inlineStr">
        <is>
          <t>CHHXYXPBLC</t>
        </is>
      </c>
      <c r="N496" s="756" t="inlineStr">
        <is>
          <t>CHANHUA PTE. LTD.</t>
        </is>
      </c>
      <c r="O496" s="757" t="n">
        <v>8.512600000000001</v>
      </c>
      <c r="P496" s="346">
        <f>VLOOKUP(L496,'[2]BHSC_销售订单明细报表_060825 (7)'!$E$1:$E$65536,1,FALSE)</f>
        <v/>
      </c>
      <c r="Q496" s="758" t="n"/>
      <c r="R496" s="758" t="n"/>
      <c r="S496" s="758" t="n"/>
      <c r="T496" s="758" t="n"/>
      <c r="U496" s="758" t="n"/>
      <c r="V496" s="758" t="n"/>
      <c r="W496" s="758" t="n"/>
    </row>
    <row r="497" s="184">
      <c r="A497" s="106" t="n">
        <v>402</v>
      </c>
      <c r="B497" s="754" t="inlineStr">
        <is>
          <t>chanhua</t>
        </is>
      </c>
      <c r="C497" s="761" t="n">
        <v>45808</v>
      </c>
      <c r="D497" s="755" t="inlineStr">
        <is>
          <t>新加坡比特</t>
        </is>
      </c>
      <c r="E497" s="376" t="inlineStr">
        <is>
          <t>SPILSZ</t>
        </is>
      </c>
      <c r="F497" s="376" t="n"/>
      <c r="G497" s="376" t="n"/>
      <c r="H497" s="376" t="inlineStr">
        <is>
          <t>BM1370BB</t>
        </is>
      </c>
      <c r="I497" s="755">
        <f>VLOOKUP(H497,[1]编码对账表!C:D,2,0)</f>
        <v/>
      </c>
      <c r="J497" s="330" t="n">
        <v>55</v>
      </c>
      <c r="K497" s="331" t="inlineStr">
        <is>
          <t>202506300010</t>
        </is>
      </c>
      <c r="L497" s="332" t="inlineStr">
        <is>
          <t>1403250630143758</t>
        </is>
      </c>
      <c r="M497" s="757" t="inlineStr">
        <is>
          <t>CHHXYXPBLC</t>
        </is>
      </c>
      <c r="N497" s="756" t="inlineStr">
        <is>
          <t>CHANHUA PTE. LTD.</t>
        </is>
      </c>
      <c r="O497" s="757" t="n">
        <v>8.512600000000001</v>
      </c>
      <c r="P497" s="346">
        <f>VLOOKUP(L497,'[2]BHSC_销售订单明细报表_060825 (7)'!$E$1:$E$65536,1,FALSE)</f>
        <v/>
      </c>
      <c r="Q497" s="758" t="n"/>
      <c r="R497" s="758" t="n"/>
      <c r="S497" s="758" t="n"/>
      <c r="T497" s="758" t="n"/>
      <c r="U497" s="758" t="n"/>
      <c r="V497" s="758" t="n"/>
      <c r="W497" s="758" t="n"/>
    </row>
    <row r="498" s="184">
      <c r="A498" s="106" t="n">
        <v>402</v>
      </c>
      <c r="B498" s="754" t="inlineStr">
        <is>
          <t>chanhua</t>
        </is>
      </c>
      <c r="C498" s="761" t="n">
        <v>45808</v>
      </c>
      <c r="D498" s="755" t="inlineStr">
        <is>
          <t>新加坡比特</t>
        </is>
      </c>
      <c r="E498" s="376" t="inlineStr">
        <is>
          <t>SPILSZ</t>
        </is>
      </c>
      <c r="F498" s="376" t="n"/>
      <c r="G498" s="376" t="n"/>
      <c r="H498" s="376" t="inlineStr">
        <is>
          <t>BM1370BC</t>
        </is>
      </c>
      <c r="I498" s="755">
        <f>VLOOKUP(H498,[1]编码对账表!C:D,2,0)</f>
        <v/>
      </c>
      <c r="J498" s="330" t="n">
        <v>18842</v>
      </c>
      <c r="K498" s="331" t="inlineStr">
        <is>
          <t>202506300010</t>
        </is>
      </c>
      <c r="L498" s="332" t="inlineStr">
        <is>
          <t>1403250630143758</t>
        </is>
      </c>
      <c r="M498" s="757" t="inlineStr">
        <is>
          <t>CHHXYXPBLC</t>
        </is>
      </c>
      <c r="N498" s="756" t="inlineStr">
        <is>
          <t>CHANHUA PTE. LTD.</t>
        </is>
      </c>
      <c r="O498" s="757" t="n">
        <v>8.512600000000001</v>
      </c>
      <c r="P498" s="346">
        <f>VLOOKUP(L498,'[2]BHSC_销售订单明细报表_060825 (7)'!$E$1:$E$65536,1,FALSE)</f>
        <v/>
      </c>
      <c r="Q498" s="758" t="n"/>
      <c r="R498" s="758" t="n"/>
      <c r="S498" s="758" t="n"/>
      <c r="T498" s="758" t="n"/>
      <c r="U498" s="758" t="n"/>
      <c r="V498" s="758" t="n"/>
      <c r="W498" s="758" t="n"/>
    </row>
    <row r="499" s="184">
      <c r="A499" s="106" t="n">
        <v>402</v>
      </c>
      <c r="B499" s="754" t="inlineStr">
        <is>
          <t>chanhua</t>
        </is>
      </c>
      <c r="C499" s="761" t="n">
        <v>45808</v>
      </c>
      <c r="D499" s="755" t="inlineStr">
        <is>
          <t>新加坡比特</t>
        </is>
      </c>
      <c r="E499" s="376" t="inlineStr">
        <is>
          <t>SPILSZ</t>
        </is>
      </c>
      <c r="F499" s="376" t="n"/>
      <c r="G499" s="376" t="n"/>
      <c r="H499" s="376" t="inlineStr">
        <is>
          <t>BM1370PA</t>
        </is>
      </c>
      <c r="I499" s="755">
        <f>VLOOKUP(H499,[1]编码对账表!C:D,2,0)</f>
        <v/>
      </c>
      <c r="J499" s="330" t="n">
        <v>18554</v>
      </c>
      <c r="K499" s="331" t="inlineStr">
        <is>
          <t>202506300010</t>
        </is>
      </c>
      <c r="L499" s="332" t="inlineStr">
        <is>
          <t>1403250630143758</t>
        </is>
      </c>
      <c r="M499" s="757" t="inlineStr">
        <is>
          <t>CHHXYXPBLC</t>
        </is>
      </c>
      <c r="N499" s="756" t="inlineStr">
        <is>
          <t>CHANHUA PTE. LTD.</t>
        </is>
      </c>
      <c r="O499" s="757" t="n">
        <v>8.512600000000001</v>
      </c>
      <c r="P499" s="346">
        <f>VLOOKUP(L499,'[2]BHSC_销售订单明细报表_060825 (7)'!$E$1:$E$65536,1,FALSE)</f>
        <v/>
      </c>
      <c r="Q499" s="758" t="n"/>
      <c r="R499" s="758" t="n"/>
      <c r="S499" s="758" t="n"/>
      <c r="T499" s="758" t="n"/>
      <c r="U499" s="758" t="n"/>
      <c r="V499" s="758" t="n"/>
      <c r="W499" s="758" t="n"/>
    </row>
    <row r="500" s="184">
      <c r="A500" s="106" t="n">
        <v>402</v>
      </c>
      <c r="B500" s="754" t="inlineStr">
        <is>
          <t>chanhua</t>
        </is>
      </c>
      <c r="C500" s="761" t="n">
        <v>45808</v>
      </c>
      <c r="D500" s="755" t="inlineStr">
        <is>
          <t>新加坡比特</t>
        </is>
      </c>
      <c r="E500" s="376" t="inlineStr">
        <is>
          <t>SPILSZ</t>
        </is>
      </c>
      <c r="F500" s="376" t="n"/>
      <c r="G500" s="376" t="n"/>
      <c r="H500" s="376" t="inlineStr">
        <is>
          <t>BM2460AA</t>
        </is>
      </c>
      <c r="I500" s="755">
        <f>VLOOKUP(H500,[1]编码对账表!C:D,2,0)</f>
        <v/>
      </c>
      <c r="J500" s="330" t="n">
        <v>1457</v>
      </c>
      <c r="K500" s="331" t="inlineStr">
        <is>
          <t>202506300010</t>
        </is>
      </c>
      <c r="L500" s="332" t="inlineStr">
        <is>
          <t>1403250630143758</t>
        </is>
      </c>
      <c r="M500" s="757" t="inlineStr">
        <is>
          <t>CHHXYXPBLC</t>
        </is>
      </c>
      <c r="N500" s="756" t="inlineStr">
        <is>
          <t>CHANHUA PTE. LTD.</t>
        </is>
      </c>
      <c r="O500" s="757" t="n">
        <v>11.2214</v>
      </c>
      <c r="P500" s="346">
        <f>VLOOKUP(L500,'[2]BHSC_销售订单明细报表_060825 (7)'!$E$1:$E$65536,1,FALSE)</f>
        <v/>
      </c>
      <c r="Q500" s="758" t="n"/>
      <c r="R500" s="758" t="n"/>
      <c r="S500" s="758" t="n"/>
      <c r="T500" s="758" t="n"/>
      <c r="U500" s="758" t="n"/>
      <c r="V500" s="758" t="n"/>
      <c r="W500" s="758" t="n"/>
    </row>
    <row r="501" s="184">
      <c r="A501" s="106" t="n">
        <v>402</v>
      </c>
      <c r="B501" s="754" t="inlineStr">
        <is>
          <t>chanhua</t>
        </is>
      </c>
      <c r="C501" s="761" t="n">
        <v>45808</v>
      </c>
      <c r="D501" s="755" t="inlineStr">
        <is>
          <t>新加坡比特</t>
        </is>
      </c>
      <c r="E501" s="376" t="inlineStr">
        <is>
          <t>SPILSZ</t>
        </is>
      </c>
      <c r="F501" s="376" t="n"/>
      <c r="G501" s="376" t="n"/>
      <c r="H501" s="376" t="inlineStr">
        <is>
          <t>BM1368AA</t>
        </is>
      </c>
      <c r="I501" s="755">
        <f>VLOOKUP(H501,[1]编码对账表!C:D,2,0)</f>
        <v/>
      </c>
      <c r="J501" s="330" t="n">
        <v>1116</v>
      </c>
      <c r="K501" s="331" t="inlineStr">
        <is>
          <t>202506300011</t>
        </is>
      </c>
      <c r="L501" s="332" t="inlineStr">
        <is>
          <t>1403250630143806</t>
        </is>
      </c>
      <c r="M501" s="757" t="inlineStr">
        <is>
          <t>CHHXYXPBLC</t>
        </is>
      </c>
      <c r="N501" s="756" t="inlineStr">
        <is>
          <t>CHANHUA PTE. LTD.</t>
        </is>
      </c>
      <c r="O501" s="757" t="n">
        <v>5.4151</v>
      </c>
      <c r="P501" s="346">
        <f>VLOOKUP(L501,'[2]BHSC_销售订单明细报表_060825 (7)'!$E$1:$E$65536,1,FALSE)</f>
        <v/>
      </c>
      <c r="Q501" s="758" t="n"/>
      <c r="R501" s="758" t="n"/>
      <c r="S501" s="758" t="n"/>
      <c r="T501" s="758" t="n"/>
      <c r="U501" s="758" t="n"/>
      <c r="V501" s="758" t="n"/>
      <c r="W501" s="758" t="n"/>
    </row>
    <row r="502" s="184">
      <c r="A502" s="106" t="n">
        <v>402</v>
      </c>
      <c r="B502" s="754" t="inlineStr">
        <is>
          <t>chanhua</t>
        </is>
      </c>
      <c r="C502" s="761" t="n">
        <v>45808</v>
      </c>
      <c r="D502" s="755" t="inlineStr">
        <is>
          <t>新加坡比特</t>
        </is>
      </c>
      <c r="E502" s="376" t="inlineStr">
        <is>
          <t>SPILSZ</t>
        </is>
      </c>
      <c r="F502" s="376" t="n"/>
      <c r="G502" s="376" t="n"/>
      <c r="H502" s="376" t="inlineStr">
        <is>
          <t>BM1368PB</t>
        </is>
      </c>
      <c r="I502" s="755">
        <f>VLOOKUP(H502,[1]编码对账表!C:D,2,0)</f>
        <v/>
      </c>
      <c r="J502" s="330" t="n">
        <v>10991</v>
      </c>
      <c r="K502" s="331" t="inlineStr">
        <is>
          <t>202506300011</t>
        </is>
      </c>
      <c r="L502" s="332" t="inlineStr">
        <is>
          <t>1403250630143806</t>
        </is>
      </c>
      <c r="M502" s="757" t="inlineStr">
        <is>
          <t>CHHXYXPBLC</t>
        </is>
      </c>
      <c r="N502" s="756" t="inlineStr">
        <is>
          <t>CHANHUA PTE. LTD.</t>
        </is>
      </c>
      <c r="O502" s="757" t="n">
        <v>5.4151</v>
      </c>
      <c r="P502" s="346">
        <f>VLOOKUP(L502,'[2]BHSC_销售订单明细报表_060825 (7)'!$E$1:$E$65536,1,FALSE)</f>
        <v/>
      </c>
      <c r="Q502" s="758" t="n"/>
      <c r="R502" s="758" t="n"/>
      <c r="S502" s="758" t="n"/>
      <c r="T502" s="758" t="n"/>
      <c r="U502" s="758" t="n"/>
      <c r="V502" s="758" t="n"/>
      <c r="W502" s="758" t="n"/>
    </row>
    <row r="503" s="184">
      <c r="A503" s="106" t="n">
        <v>402</v>
      </c>
      <c r="B503" s="754" t="inlineStr">
        <is>
          <t>chanhua</t>
        </is>
      </c>
      <c r="C503" s="761" t="n">
        <v>45808</v>
      </c>
      <c r="D503" s="755" t="inlineStr">
        <is>
          <t>新加坡比特</t>
        </is>
      </c>
      <c r="E503" s="376" t="inlineStr">
        <is>
          <t>SPILSZ</t>
        </is>
      </c>
      <c r="F503" s="376" t="n"/>
      <c r="G503" s="376" t="n"/>
      <c r="H503" s="376" t="inlineStr">
        <is>
          <t>BM1368PV</t>
        </is>
      </c>
      <c r="I503" s="755">
        <f>VLOOKUP(H503,[1]编码对账表!C:D,2,0)</f>
        <v/>
      </c>
      <c r="J503" s="330" t="n">
        <v>7465</v>
      </c>
      <c r="K503" s="331" t="inlineStr">
        <is>
          <t>202506300011</t>
        </is>
      </c>
      <c r="L503" s="332" t="inlineStr">
        <is>
          <t>1403250630143806</t>
        </is>
      </c>
      <c r="M503" s="757" t="inlineStr">
        <is>
          <t>CHHXYXPBLC</t>
        </is>
      </c>
      <c r="N503" s="756" t="inlineStr">
        <is>
          <t>CHANHUA PTE. LTD.</t>
        </is>
      </c>
      <c r="O503" s="757" t="n">
        <v>5.4151</v>
      </c>
      <c r="P503" s="346">
        <f>VLOOKUP(L503,'[2]BHSC_销售订单明细报表_060825 (7)'!$E$1:$E$65536,1,FALSE)</f>
        <v/>
      </c>
      <c r="Q503" s="758" t="n"/>
      <c r="R503" s="758" t="n"/>
      <c r="S503" s="758" t="n"/>
      <c r="T503" s="758" t="n"/>
      <c r="U503" s="758" t="n"/>
      <c r="V503" s="758" t="n"/>
      <c r="W503" s="758" t="n"/>
    </row>
    <row r="504" s="184">
      <c r="A504" s="106" t="n">
        <v>402</v>
      </c>
      <c r="B504" s="754" t="inlineStr">
        <is>
          <t>chanhua</t>
        </is>
      </c>
      <c r="C504" s="761" t="n">
        <v>45808</v>
      </c>
      <c r="D504" s="755" t="inlineStr">
        <is>
          <t>新加坡比特</t>
        </is>
      </c>
      <c r="E504" s="376" t="inlineStr">
        <is>
          <t>SPILSZ</t>
        </is>
      </c>
      <c r="F504" s="376" t="n"/>
      <c r="G504" s="376" t="n"/>
      <c r="H504" s="376" t="inlineStr">
        <is>
          <t>BM1370AA</t>
        </is>
      </c>
      <c r="I504" s="755">
        <f>VLOOKUP(H504,[1]编码对账表!C:D,2,0)</f>
        <v/>
      </c>
      <c r="J504" s="330" t="n">
        <v>2756</v>
      </c>
      <c r="K504" s="331" t="inlineStr">
        <is>
          <t>202506300011</t>
        </is>
      </c>
      <c r="L504" s="332" t="inlineStr">
        <is>
          <t>1403250630143806</t>
        </is>
      </c>
      <c r="M504" s="757" t="inlineStr">
        <is>
          <t>CHHXYXPBLC</t>
        </is>
      </c>
      <c r="N504" s="756" t="inlineStr">
        <is>
          <t>CHANHUA PTE. LTD.</t>
        </is>
      </c>
      <c r="O504" s="757" t="n">
        <v>8.512600000000001</v>
      </c>
      <c r="P504" s="346">
        <f>VLOOKUP(L504,'[2]BHSC_销售订单明细报表_060825 (7)'!$E$1:$E$65536,1,FALSE)</f>
        <v/>
      </c>
      <c r="Q504" s="758" t="n"/>
      <c r="R504" s="758" t="n"/>
      <c r="S504" s="758" t="n"/>
      <c r="T504" s="758" t="n"/>
      <c r="U504" s="758" t="n"/>
      <c r="V504" s="758" t="n"/>
      <c r="W504" s="758" t="n"/>
    </row>
    <row r="505" s="184">
      <c r="A505" s="106" t="n">
        <v>402</v>
      </c>
      <c r="B505" s="754" t="inlineStr">
        <is>
          <t>chanhua</t>
        </is>
      </c>
      <c r="C505" s="761" t="n">
        <v>45808</v>
      </c>
      <c r="D505" s="755" t="inlineStr">
        <is>
          <t>新加坡比特</t>
        </is>
      </c>
      <c r="E505" s="376" t="inlineStr">
        <is>
          <t>SPILSZ</t>
        </is>
      </c>
      <c r="F505" s="376" t="n"/>
      <c r="G505" s="376" t="n"/>
      <c r="H505" s="376" t="inlineStr">
        <is>
          <t>BM1370BB</t>
        </is>
      </c>
      <c r="I505" s="755">
        <f>VLOOKUP(H505,[1]编码对账表!C:D,2,0)</f>
        <v/>
      </c>
      <c r="J505" s="330" t="n">
        <v>95</v>
      </c>
      <c r="K505" s="331" t="inlineStr">
        <is>
          <t>202506300011</t>
        </is>
      </c>
      <c r="L505" s="332" t="inlineStr">
        <is>
          <t>1403250630143806</t>
        </is>
      </c>
      <c r="M505" s="757" t="inlineStr">
        <is>
          <t>CHHXYXPBLC</t>
        </is>
      </c>
      <c r="N505" s="756" t="inlineStr">
        <is>
          <t>CHANHUA PTE. LTD.</t>
        </is>
      </c>
      <c r="O505" s="757" t="n">
        <v>8.512600000000001</v>
      </c>
      <c r="P505" s="346">
        <f>VLOOKUP(L505,'[2]BHSC_销售订单明细报表_060825 (7)'!$E$1:$E$65536,1,FALSE)</f>
        <v/>
      </c>
      <c r="Q505" s="758" t="n"/>
      <c r="R505" s="758" t="n"/>
      <c r="S505" s="758" t="n"/>
      <c r="T505" s="758" t="n"/>
      <c r="U505" s="758" t="n"/>
      <c r="V505" s="758" t="n"/>
      <c r="W505" s="758" t="n"/>
    </row>
    <row r="506" s="184">
      <c r="A506" s="106" t="n">
        <v>402</v>
      </c>
      <c r="B506" s="754" t="inlineStr">
        <is>
          <t>chanhua</t>
        </is>
      </c>
      <c r="C506" s="761" t="n">
        <v>45808</v>
      </c>
      <c r="D506" s="755" t="inlineStr">
        <is>
          <t>新加坡比特</t>
        </is>
      </c>
      <c r="E506" s="376" t="inlineStr">
        <is>
          <t>SPILSZ</t>
        </is>
      </c>
      <c r="F506" s="376" t="n"/>
      <c r="G506" s="376" t="n"/>
      <c r="H506" s="376" t="inlineStr">
        <is>
          <t>BM1370BC</t>
        </is>
      </c>
      <c r="I506" s="755">
        <f>VLOOKUP(H506,[1]编码对账表!C:D,2,0)</f>
        <v/>
      </c>
      <c r="J506" s="330" t="n">
        <v>10714</v>
      </c>
      <c r="K506" s="331" t="inlineStr">
        <is>
          <t>202506300011</t>
        </is>
      </c>
      <c r="L506" s="332" t="inlineStr">
        <is>
          <t>1403250630143806</t>
        </is>
      </c>
      <c r="M506" s="757" t="inlineStr">
        <is>
          <t>CHHXYXPBLC</t>
        </is>
      </c>
      <c r="N506" s="756" t="inlineStr">
        <is>
          <t>CHANHUA PTE. LTD.</t>
        </is>
      </c>
      <c r="O506" s="757" t="n">
        <v>8.512600000000001</v>
      </c>
      <c r="P506" s="346">
        <f>VLOOKUP(L506,'[2]BHSC_销售订单明细报表_060825 (7)'!$E$1:$E$65536,1,FALSE)</f>
        <v/>
      </c>
      <c r="Q506" s="758" t="n"/>
      <c r="R506" s="758" t="n"/>
      <c r="S506" s="758" t="n"/>
      <c r="T506" s="758" t="n"/>
      <c r="U506" s="758" t="n"/>
      <c r="V506" s="758" t="n"/>
      <c r="W506" s="758" t="n"/>
    </row>
    <row r="507" s="184">
      <c r="A507" s="106" t="n">
        <v>402</v>
      </c>
      <c r="B507" s="754" t="inlineStr">
        <is>
          <t>chanhua</t>
        </is>
      </c>
      <c r="C507" s="761" t="n">
        <v>45808</v>
      </c>
      <c r="D507" s="755" t="inlineStr">
        <is>
          <t>新加坡比特</t>
        </is>
      </c>
      <c r="E507" s="376" t="inlineStr">
        <is>
          <t>SPILSZ</t>
        </is>
      </c>
      <c r="F507" s="376" t="n"/>
      <c r="G507" s="376" t="n"/>
      <c r="H507" s="376" t="inlineStr">
        <is>
          <t>BM1370PA</t>
        </is>
      </c>
      <c r="I507" s="755">
        <f>VLOOKUP(H507,[1]编码对账表!C:D,2,0)</f>
        <v/>
      </c>
      <c r="J507" s="330" t="n">
        <v>27906</v>
      </c>
      <c r="K507" s="331" t="inlineStr">
        <is>
          <t>202506300011</t>
        </is>
      </c>
      <c r="L507" s="332" t="inlineStr">
        <is>
          <t>1403250630143806</t>
        </is>
      </c>
      <c r="M507" s="757" t="inlineStr">
        <is>
          <t>CHHXYXPBLC</t>
        </is>
      </c>
      <c r="N507" s="756" t="inlineStr">
        <is>
          <t>CHANHUA PTE. LTD.</t>
        </is>
      </c>
      <c r="O507" s="757" t="n">
        <v>8.512600000000001</v>
      </c>
      <c r="P507" s="346">
        <f>VLOOKUP(L507,'[2]BHSC_销售订单明细报表_060825 (7)'!$E$1:$E$65536,1,FALSE)</f>
        <v/>
      </c>
      <c r="Q507" s="758" t="n"/>
      <c r="R507" s="758" t="n"/>
      <c r="S507" s="758" t="n"/>
      <c r="T507" s="758" t="n"/>
      <c r="U507" s="758" t="n"/>
      <c r="V507" s="758" t="n"/>
      <c r="W507" s="758" t="n"/>
    </row>
    <row r="508" s="184">
      <c r="A508" s="106" t="n">
        <v>402</v>
      </c>
      <c r="B508" s="754" t="inlineStr">
        <is>
          <t>chanhua</t>
        </is>
      </c>
      <c r="C508" s="761" t="n">
        <v>45808</v>
      </c>
      <c r="D508" s="755" t="inlineStr">
        <is>
          <t>新加坡比特</t>
        </is>
      </c>
      <c r="E508" s="376" t="inlineStr">
        <is>
          <t>SPILSZ</t>
        </is>
      </c>
      <c r="F508" s="376" t="n"/>
      <c r="G508" s="376" t="n"/>
      <c r="H508" s="376" t="inlineStr">
        <is>
          <t>BM1370PZ</t>
        </is>
      </c>
      <c r="I508" s="755">
        <f>VLOOKUP(H508,编码对账表!C:D,2,0)</f>
        <v/>
      </c>
      <c r="J508" s="330" t="n">
        <v>102</v>
      </c>
      <c r="K508" s="331" t="inlineStr">
        <is>
          <t>202506300011</t>
        </is>
      </c>
      <c r="L508" s="332" t="inlineStr">
        <is>
          <t>1403250630143806</t>
        </is>
      </c>
      <c r="M508" s="757" t="inlineStr">
        <is>
          <t>CHHXYXPBLC</t>
        </is>
      </c>
      <c r="N508" s="756" t="inlineStr">
        <is>
          <t>CHANHUA PTE. LTD.</t>
        </is>
      </c>
      <c r="O508" s="757" t="n">
        <v>8.512600000000001</v>
      </c>
      <c r="P508" s="346">
        <f>VLOOKUP(L508,'[2]BHSC_销售订单明细报表_060825 (7)'!$E$1:$E$65536,1,FALSE)</f>
        <v/>
      </c>
      <c r="Q508" s="758" t="n"/>
      <c r="R508" s="758" t="n"/>
      <c r="S508" s="758" t="n"/>
      <c r="T508" s="758" t="n"/>
      <c r="U508" s="758" t="n"/>
      <c r="V508" s="758" t="n"/>
      <c r="W508" s="758" t="n"/>
    </row>
    <row r="509" s="184">
      <c r="A509" s="106" t="n">
        <v>402</v>
      </c>
      <c r="B509" s="754" t="inlineStr">
        <is>
          <t>chanhua</t>
        </is>
      </c>
      <c r="C509" s="761" t="n">
        <v>45808</v>
      </c>
      <c r="D509" s="755" t="inlineStr">
        <is>
          <t>新加坡比特</t>
        </is>
      </c>
      <c r="E509" s="376" t="inlineStr">
        <is>
          <t>SPILSZ</t>
        </is>
      </c>
      <c r="F509" s="376" t="n"/>
      <c r="G509" s="376" t="n"/>
      <c r="H509" s="376" t="inlineStr">
        <is>
          <t>BM2382AA</t>
        </is>
      </c>
      <c r="I509" s="755">
        <f>VLOOKUP(H509,[1]编码对账表!C:D,2,0)</f>
        <v/>
      </c>
      <c r="J509" s="330" t="n">
        <v>1080</v>
      </c>
      <c r="K509" s="331" t="inlineStr">
        <is>
          <t>202506300011</t>
        </is>
      </c>
      <c r="L509" s="332" t="inlineStr">
        <is>
          <t>1403250630143806</t>
        </is>
      </c>
      <c r="M509" s="757" t="inlineStr">
        <is>
          <t>CHHXYXPBLC</t>
        </is>
      </c>
      <c r="N509" s="756" t="inlineStr">
        <is>
          <t>CHANHUA PTE. LTD.</t>
        </is>
      </c>
      <c r="O509" s="757" t="n">
        <v>2.9837</v>
      </c>
      <c r="P509" s="346">
        <f>VLOOKUP(L509,'[2]BHSC_销售订单明细报表_060825 (7)'!$E$1:$E$65536,1,FALSE)</f>
        <v/>
      </c>
      <c r="Q509" s="758" t="n"/>
      <c r="R509" s="758" t="n"/>
      <c r="S509" s="758" t="n"/>
      <c r="T509" s="758" t="n"/>
      <c r="U509" s="758" t="n"/>
      <c r="V509" s="758" t="n"/>
      <c r="W509" s="758" t="n"/>
    </row>
    <row r="510" s="184">
      <c r="A510" s="106" t="n">
        <v>402</v>
      </c>
      <c r="B510" s="754" t="inlineStr">
        <is>
          <t>chanhua</t>
        </is>
      </c>
      <c r="C510" s="761" t="n">
        <v>45808</v>
      </c>
      <c r="D510" s="755" t="inlineStr">
        <is>
          <t>新加坡比特</t>
        </is>
      </c>
      <c r="E510" s="376" t="inlineStr">
        <is>
          <t>SPILSZ</t>
        </is>
      </c>
      <c r="F510" s="376" t="n"/>
      <c r="G510" s="376" t="n"/>
      <c r="H510" s="376" t="inlineStr">
        <is>
          <t>BM2460AA</t>
        </is>
      </c>
      <c r="I510" s="755">
        <f>VLOOKUP(H510,编码对账表!C:D,2,0)</f>
        <v/>
      </c>
      <c r="J510" s="330" t="n">
        <v>186</v>
      </c>
      <c r="K510" s="331" t="inlineStr">
        <is>
          <t>202506300011</t>
        </is>
      </c>
      <c r="L510" s="332" t="inlineStr">
        <is>
          <t>1403250630143806</t>
        </is>
      </c>
      <c r="M510" s="757" t="inlineStr">
        <is>
          <t>CHHXYXPBLC</t>
        </is>
      </c>
      <c r="N510" s="756" t="inlineStr">
        <is>
          <t>CHANHUA PTE. LTD.</t>
        </is>
      </c>
      <c r="O510" s="757" t="n">
        <v>11.2214</v>
      </c>
      <c r="P510" s="346">
        <f>VLOOKUP(L510,'[2]BHSC_销售订单明细报表_060825 (7)'!$E$1:$E$65536,1,FALSE)</f>
        <v/>
      </c>
      <c r="Q510" s="758" t="n"/>
      <c r="R510" s="758" t="n"/>
      <c r="S510" s="758" t="n"/>
      <c r="T510" s="758" t="n"/>
      <c r="U510" s="758" t="n"/>
      <c r="V510" s="758" t="n"/>
      <c r="W510" s="758" t="n"/>
    </row>
    <row r="511" s="184">
      <c r="A511" s="106" t="n">
        <v>509</v>
      </c>
      <c r="B511" s="754" t="inlineStr">
        <is>
          <t>chanhua</t>
        </is>
      </c>
      <c r="C511" s="761" t="n">
        <v>45835</v>
      </c>
      <c r="D511" s="755" t="inlineStr">
        <is>
          <t>新加坡比特</t>
        </is>
      </c>
      <c r="E511" s="376" t="inlineStr">
        <is>
          <t>NJ-VT</t>
        </is>
      </c>
      <c r="F511" s="376" t="n"/>
      <c r="G511" s="376" t="n"/>
      <c r="H511" s="376" t="inlineStr">
        <is>
          <t>BM1370PA</t>
        </is>
      </c>
      <c r="I511" s="755">
        <f>VLOOKUP(H511,编码对账表!C:D,2,0)</f>
        <v/>
      </c>
      <c r="J511" s="349" t="n">
        <v>47648</v>
      </c>
      <c r="K511" s="331" t="inlineStr">
        <is>
          <t>202507010010</t>
        </is>
      </c>
      <c r="L511" s="332" t="inlineStr">
        <is>
          <t>1403250701102653</t>
        </is>
      </c>
      <c r="M511" s="757" t="inlineStr">
        <is>
          <t>PIE</t>
        </is>
      </c>
      <c r="N511" s="756" t="inlineStr">
        <is>
          <t>CHANHUA PTE. LTD.</t>
        </is>
      </c>
      <c r="O511" s="757" t="n">
        <v>8.512600000000001</v>
      </c>
      <c r="P511" s="346">
        <f>VLOOKUP(L511,'[2]BHSC_销售订单明细报表_060825 (7)'!$E$1:$E$65536,1,FALSE)</f>
        <v/>
      </c>
      <c r="Q511" s="336" t="inlineStr">
        <is>
          <t>是</t>
        </is>
      </c>
      <c r="R511" s="758" t="n"/>
      <c r="S511" s="758" t="n"/>
      <c r="T511" s="758" t="n"/>
      <c r="U511" s="758" t="n"/>
      <c r="V511" s="758" t="n"/>
      <c r="W511" s="758" t="n"/>
    </row>
    <row r="512" s="184">
      <c r="A512" s="106" t="n">
        <v>510</v>
      </c>
      <c r="B512" s="754" t="inlineStr">
        <is>
          <t>chanhua</t>
        </is>
      </c>
      <c r="C512" s="761" t="n">
        <v>45835</v>
      </c>
      <c r="D512" s="755" t="inlineStr">
        <is>
          <t>新加坡比特</t>
        </is>
      </c>
      <c r="E512" s="376" t="inlineStr">
        <is>
          <t>SPILSZ</t>
        </is>
      </c>
      <c r="F512" s="376" t="n"/>
      <c r="G512" s="376" t="n"/>
      <c r="H512" s="376" t="inlineStr">
        <is>
          <t>BM1370PA</t>
        </is>
      </c>
      <c r="I512" s="755">
        <f>VLOOKUP(H512,编码对账表!C:D,2,0)</f>
        <v/>
      </c>
      <c r="J512" s="349" t="n">
        <v>9170</v>
      </c>
      <c r="K512" s="331" t="inlineStr">
        <is>
          <t>202507010010</t>
        </is>
      </c>
      <c r="L512" s="332" t="inlineStr">
        <is>
          <t>1403250701102653</t>
        </is>
      </c>
      <c r="M512" s="757" t="inlineStr">
        <is>
          <t>PIE</t>
        </is>
      </c>
      <c r="N512" s="756" t="inlineStr">
        <is>
          <t>CHANHUA PTE. LTD.</t>
        </is>
      </c>
      <c r="O512" s="757" t="n">
        <v>8.512600000000001</v>
      </c>
      <c r="P512" s="346">
        <f>VLOOKUP(L512,'[2]BHSC_销售订单明细报表_060825 (7)'!$E$1:$E$65536,1,FALSE)</f>
        <v/>
      </c>
      <c r="Q512" s="758" t="inlineStr">
        <is>
          <t>是</t>
        </is>
      </c>
      <c r="R512" s="758" t="n"/>
      <c r="S512" s="758" t="n"/>
      <c r="T512" s="758" t="n"/>
      <c r="U512" s="758" t="n"/>
      <c r="V512" s="758" t="n"/>
      <c r="W512" s="758" t="n"/>
    </row>
    <row r="513" s="184">
      <c r="A513" s="106" t="n">
        <v>511</v>
      </c>
      <c r="B513" s="754" t="inlineStr">
        <is>
          <t>chanhua</t>
        </is>
      </c>
      <c r="C513" s="761" t="n">
        <v>45836</v>
      </c>
      <c r="D513" s="755" t="inlineStr">
        <is>
          <t>新加坡比特</t>
        </is>
      </c>
      <c r="E513" s="376" t="inlineStr">
        <is>
          <t>XJ</t>
        </is>
      </c>
      <c r="F513" s="376" t="n"/>
      <c r="G513" s="376" t="n"/>
      <c r="H513" s="376" t="inlineStr">
        <is>
          <t>BM1370PA</t>
        </is>
      </c>
      <c r="I513" s="755">
        <f>VLOOKUP(H513,编码对账表!C:D,2,0)</f>
        <v/>
      </c>
      <c r="J513" s="349" t="n">
        <v>387972</v>
      </c>
      <c r="K513" s="331" t="inlineStr">
        <is>
          <t>202507010010</t>
        </is>
      </c>
      <c r="L513" s="332" t="inlineStr">
        <is>
          <t>1403250701102653</t>
        </is>
      </c>
      <c r="M513" s="757" t="inlineStr">
        <is>
          <t>PIE</t>
        </is>
      </c>
      <c r="N513" s="756" t="inlineStr">
        <is>
          <t>CHANHUA PTE. LTD.</t>
        </is>
      </c>
      <c r="O513" s="757" t="n">
        <v>8.512600000000001</v>
      </c>
      <c r="P513" s="346">
        <f>VLOOKUP(L513,'[2]BHSC_销售订单明细报表_060825 (7)'!$E$1:$E$65536,1,FALSE)</f>
        <v/>
      </c>
      <c r="Q513" s="336" t="inlineStr">
        <is>
          <t>是</t>
        </is>
      </c>
      <c r="R513" s="758" t="n"/>
      <c r="S513" s="758" t="n"/>
      <c r="T513" s="758" t="n"/>
      <c r="U513" s="758" t="n"/>
      <c r="V513" s="758" t="n"/>
      <c r="W513" s="758" t="n"/>
    </row>
    <row r="514" s="184">
      <c r="A514" s="106" t="n">
        <v>512</v>
      </c>
      <c r="B514" s="754" t="inlineStr">
        <is>
          <t>chanhua</t>
        </is>
      </c>
      <c r="C514" s="761" t="n">
        <v>45835</v>
      </c>
      <c r="D514" s="755" t="inlineStr">
        <is>
          <t>新加坡比特</t>
        </is>
      </c>
      <c r="E514" s="376" t="inlineStr">
        <is>
          <t>ASECL</t>
        </is>
      </c>
      <c r="F514" s="376" t="n"/>
      <c r="G514" s="376" t="n"/>
      <c r="H514" s="376" t="inlineStr">
        <is>
          <t>BM1370PF</t>
        </is>
      </c>
      <c r="I514" s="755">
        <f>VLOOKUP(H514,编码对账表!C:D,2,0)</f>
        <v/>
      </c>
      <c r="J514" s="349" t="n">
        <v>543400</v>
      </c>
      <c r="K514" s="331" t="inlineStr">
        <is>
          <t>202507010011</t>
        </is>
      </c>
      <c r="L514" s="332" t="inlineStr">
        <is>
          <t>1403250701102701</t>
        </is>
      </c>
      <c r="M514" s="757" t="inlineStr">
        <is>
          <t>墨西哥欧陆通</t>
        </is>
      </c>
      <c r="N514" s="756" t="inlineStr">
        <is>
          <t>CHANHUA PTE. LTD.</t>
        </is>
      </c>
      <c r="O514" s="757" t="n">
        <v>8.512600000000001</v>
      </c>
      <c r="P514" s="346">
        <f>VLOOKUP(L514,'[2]BHSC_销售订单明细报表_060825 (7)'!$E$1:$E$65536,1,FALSE)</f>
        <v/>
      </c>
      <c r="Q514" s="758" t="inlineStr">
        <is>
          <t>是</t>
        </is>
      </c>
      <c r="R514" s="758" t="n"/>
      <c r="S514" s="758" t="n"/>
      <c r="T514" s="758" t="n"/>
      <c r="U514" s="758" t="n"/>
      <c r="V514" s="758" t="n"/>
      <c r="W514" s="758" t="n"/>
    </row>
    <row r="515" s="184">
      <c r="A515" s="106" t="n">
        <v>513</v>
      </c>
      <c r="B515" s="754" t="inlineStr">
        <is>
          <t>chanhua</t>
        </is>
      </c>
      <c r="C515" s="761" t="n">
        <v>45835</v>
      </c>
      <c r="D515" s="755" t="inlineStr">
        <is>
          <t>新加坡比特</t>
        </is>
      </c>
      <c r="E515" s="376" t="inlineStr">
        <is>
          <t>NJ-VT</t>
        </is>
      </c>
      <c r="F515" s="376" t="n"/>
      <c r="G515" s="376" t="n"/>
      <c r="H515" s="376" t="inlineStr">
        <is>
          <t>BM1370PF</t>
        </is>
      </c>
      <c r="I515" s="755">
        <f>VLOOKUP(H515,编码对账表!C:D,2,0)</f>
        <v/>
      </c>
      <c r="J515" s="349" t="n">
        <v>290207</v>
      </c>
      <c r="K515" s="331" t="inlineStr">
        <is>
          <t>202507010011</t>
        </is>
      </c>
      <c r="L515" s="332" t="inlineStr">
        <is>
          <t>1403250701102701</t>
        </is>
      </c>
      <c r="M515" s="757" t="inlineStr">
        <is>
          <t>墨西哥欧陆通</t>
        </is>
      </c>
      <c r="N515" s="756" t="inlineStr">
        <is>
          <t>CHANHUA PTE. LTD.</t>
        </is>
      </c>
      <c r="O515" s="757" t="n">
        <v>8.512600000000001</v>
      </c>
      <c r="P515" s="346">
        <f>VLOOKUP(L515,'[2]BHSC_销售订单明细报表_060825 (7)'!$E$1:$E$65536,1,FALSE)</f>
        <v/>
      </c>
      <c r="Q515" s="336" t="inlineStr">
        <is>
          <t>是</t>
        </is>
      </c>
      <c r="R515" s="758" t="n"/>
      <c r="S515" s="758" t="n"/>
      <c r="T515" s="758" t="n"/>
      <c r="U515" s="758" t="n"/>
      <c r="V515" s="758" t="n"/>
      <c r="W515" s="758" t="n"/>
    </row>
    <row r="516" s="184">
      <c r="A516" s="106" t="n">
        <v>514</v>
      </c>
      <c r="B516" s="754" t="inlineStr">
        <is>
          <t>chanhua</t>
        </is>
      </c>
      <c r="C516" s="761" t="n">
        <v>45838</v>
      </c>
      <c r="D516" s="755" t="inlineStr">
        <is>
          <t>新加坡比特</t>
        </is>
      </c>
      <c r="E516" s="376" t="inlineStr">
        <is>
          <t>JSCC</t>
        </is>
      </c>
      <c r="F516" s="376" t="n"/>
      <c r="G516" s="376" t="n"/>
      <c r="H516" s="376" t="inlineStr">
        <is>
          <t>BM1368AA</t>
        </is>
      </c>
      <c r="I516" s="755">
        <f>VLOOKUP(H516,编码对账表!C:D,2,0)</f>
        <v/>
      </c>
      <c r="J516" s="349" t="n">
        <v>658</v>
      </c>
      <c r="K516" s="331" t="inlineStr">
        <is>
          <t>202507010012</t>
        </is>
      </c>
      <c r="L516" s="332" t="inlineStr">
        <is>
          <t>1403250701102710</t>
        </is>
      </c>
      <c r="M516" s="757" t="inlineStr">
        <is>
          <t>泰国群光</t>
        </is>
      </c>
      <c r="N516" s="756" t="inlineStr">
        <is>
          <t>CHANHUA PTE. LTD.</t>
        </is>
      </c>
      <c r="O516" s="757" t="n">
        <v>5.4151</v>
      </c>
      <c r="P516" s="346">
        <f>VLOOKUP(L516,'[2]BHSC_销售订单明细报表_060825 (7)'!$E$1:$E$65536,1,FALSE)</f>
        <v/>
      </c>
      <c r="Q516" s="758" t="inlineStr">
        <is>
          <t>是</t>
        </is>
      </c>
      <c r="R516" s="758" t="n"/>
      <c r="S516" s="758" t="n"/>
      <c r="T516" s="758" t="n"/>
      <c r="U516" s="758" t="n"/>
      <c r="V516" s="758" t="n"/>
      <c r="W516" s="758" t="n"/>
    </row>
    <row r="517" s="184">
      <c r="A517" s="106" t="n">
        <v>515</v>
      </c>
      <c r="B517" s="754" t="inlineStr">
        <is>
          <t>chanhua</t>
        </is>
      </c>
      <c r="C517" s="761" t="n">
        <v>45835</v>
      </c>
      <c r="D517" s="755" t="inlineStr">
        <is>
          <t>新加坡比特</t>
        </is>
      </c>
      <c r="E517" s="376" t="inlineStr">
        <is>
          <t>NJ-VT</t>
        </is>
      </c>
      <c r="F517" s="376" t="n"/>
      <c r="G517" s="376" t="n"/>
      <c r="H517" s="376" t="inlineStr">
        <is>
          <t>BM1370PF</t>
        </is>
      </c>
      <c r="I517" s="755">
        <f>VLOOKUP(H517,编码对账表!C:D,2,0)</f>
        <v/>
      </c>
      <c r="J517" s="349" t="n">
        <v>180524</v>
      </c>
      <c r="K517" s="331" t="inlineStr">
        <is>
          <t>202507010012</t>
        </is>
      </c>
      <c r="L517" s="332" t="inlineStr">
        <is>
          <t>1403250701102710</t>
        </is>
      </c>
      <c r="M517" s="757" t="inlineStr">
        <is>
          <t>泰国群光</t>
        </is>
      </c>
      <c r="N517" s="756" t="inlineStr">
        <is>
          <t>CHANHUA PTE. LTD.</t>
        </is>
      </c>
      <c r="O517" s="757" t="n">
        <v>8.512600000000001</v>
      </c>
      <c r="P517" s="346">
        <f>VLOOKUP(L517,'[2]BHSC_销售订单明细报表_060825 (7)'!$E$1:$E$65536,1,FALSE)</f>
        <v/>
      </c>
      <c r="Q517" s="336" t="inlineStr">
        <is>
          <t>是</t>
        </is>
      </c>
      <c r="R517" s="758" t="n"/>
      <c r="S517" s="758" t="n"/>
      <c r="T517" s="758" t="n"/>
      <c r="U517" s="758" t="n"/>
      <c r="V517" s="758" t="n"/>
      <c r="W517" s="758" t="n"/>
    </row>
    <row r="518" s="184">
      <c r="A518" s="106" t="n">
        <v>516</v>
      </c>
      <c r="B518" s="754" t="inlineStr">
        <is>
          <t>chanhua</t>
        </is>
      </c>
      <c r="C518" s="761" t="n">
        <v>45836</v>
      </c>
      <c r="D518" s="755" t="inlineStr">
        <is>
          <t>新加坡比特</t>
        </is>
      </c>
      <c r="E518" s="376" t="inlineStr">
        <is>
          <t>XJ</t>
        </is>
      </c>
      <c r="F518" s="376" t="n"/>
      <c r="G518" s="376" t="n"/>
      <c r="H518" s="376" t="inlineStr">
        <is>
          <t>BM1370PF</t>
        </is>
      </c>
      <c r="I518" s="755">
        <f>VLOOKUP(H518,编码对账表!C:D,2,0)</f>
        <v/>
      </c>
      <c r="J518" s="349" t="n">
        <v>322827</v>
      </c>
      <c r="K518" s="331" t="inlineStr">
        <is>
          <t>202507010012</t>
        </is>
      </c>
      <c r="L518" s="332" t="inlineStr">
        <is>
          <t>1403250701102710</t>
        </is>
      </c>
      <c r="M518" s="757" t="inlineStr">
        <is>
          <t>泰国群光</t>
        </is>
      </c>
      <c r="N518" s="756" t="inlineStr">
        <is>
          <t>CHANHUA PTE. LTD.</t>
        </is>
      </c>
      <c r="O518" s="757" t="n">
        <v>8.512600000000001</v>
      </c>
      <c r="P518" s="346">
        <f>VLOOKUP(L518,'[2]BHSC_销售订单明细报表_060825 (7)'!$E$1:$E$65536,1,FALSE)</f>
        <v/>
      </c>
      <c r="Q518" s="336" t="inlineStr">
        <is>
          <t>是</t>
        </is>
      </c>
      <c r="R518" s="758" t="n"/>
      <c r="S518" s="758" t="n"/>
      <c r="T518" s="758" t="n"/>
      <c r="U518" s="758" t="n"/>
      <c r="V518" s="758" t="n"/>
      <c r="W518" s="758" t="n"/>
    </row>
    <row r="519" s="184">
      <c r="A519" s="106" t="n">
        <v>517</v>
      </c>
      <c r="B519" s="754" t="inlineStr">
        <is>
          <t>chanhua</t>
        </is>
      </c>
      <c r="C519" s="761" t="n">
        <v>45836</v>
      </c>
      <c r="D519" s="755" t="inlineStr">
        <is>
          <t>新加坡比特</t>
        </is>
      </c>
      <c r="E519" s="376" t="inlineStr">
        <is>
          <t>XJ</t>
        </is>
      </c>
      <c r="F519" s="376" t="n"/>
      <c r="G519" s="376" t="n"/>
      <c r="H519" s="376" t="inlineStr">
        <is>
          <t>BM1370PM</t>
        </is>
      </c>
      <c r="I519" s="755">
        <f>VLOOKUP(H519,编码对账表!C:D,2,0)</f>
        <v/>
      </c>
      <c r="J519" s="349" t="n">
        <v>190</v>
      </c>
      <c r="K519" s="331" t="inlineStr">
        <is>
          <t>202507010012</t>
        </is>
      </c>
      <c r="L519" s="332" t="inlineStr">
        <is>
          <t>1403250701102710</t>
        </is>
      </c>
      <c r="M519" s="757" t="inlineStr">
        <is>
          <t>泰国群光</t>
        </is>
      </c>
      <c r="N519" s="756" t="inlineStr">
        <is>
          <t>CHANHUA PTE. LTD.</t>
        </is>
      </c>
      <c r="O519" s="757" t="n">
        <v>8.512600000000001</v>
      </c>
      <c r="P519" s="346">
        <f>VLOOKUP(L519,'[2]BHSC_销售订单明细报表_060825 (7)'!$E$1:$E$65536,1,FALSE)</f>
        <v/>
      </c>
      <c r="Q519" s="336" t="inlineStr">
        <is>
          <t>是</t>
        </is>
      </c>
      <c r="R519" s="758" t="n"/>
      <c r="S519" s="758" t="n"/>
      <c r="T519" s="758" t="n"/>
      <c r="U519" s="758" t="n"/>
      <c r="V519" s="758" t="n"/>
      <c r="W519" s="758" t="n"/>
    </row>
    <row r="520" s="184">
      <c r="A520" s="106" t="n">
        <v>518</v>
      </c>
      <c r="B520" s="754" t="inlineStr">
        <is>
          <t>chanhua</t>
        </is>
      </c>
      <c r="C520" s="761" t="n">
        <v>45835</v>
      </c>
      <c r="D520" s="755" t="inlineStr">
        <is>
          <t>新加坡比特</t>
        </is>
      </c>
      <c r="E520" s="376" t="inlineStr">
        <is>
          <t>NJ-VT</t>
        </is>
      </c>
      <c r="F520" s="376" t="n"/>
      <c r="G520" s="376" t="n"/>
      <c r="H520" s="376" t="inlineStr">
        <is>
          <t>BM1370PA</t>
        </is>
      </c>
      <c r="I520" s="755">
        <f>VLOOKUP(H520,编码对账表!C:D,2,0)</f>
        <v/>
      </c>
      <c r="J520" s="349" t="n">
        <v>367992</v>
      </c>
      <c r="K520" s="331" t="inlineStr">
        <is>
          <t>202507010013</t>
        </is>
      </c>
      <c r="L520" s="332" t="inlineStr">
        <is>
          <t>1403250701102719</t>
        </is>
      </c>
      <c r="M520" s="757" t="inlineStr">
        <is>
          <t>印尼奥海</t>
        </is>
      </c>
      <c r="N520" s="756" t="inlineStr">
        <is>
          <t>CHANHUA PTE. LTD.</t>
        </is>
      </c>
      <c r="O520" s="757" t="n">
        <v>8.512600000000001</v>
      </c>
      <c r="P520" s="346" t="n"/>
      <c r="Q520" s="336" t="inlineStr">
        <is>
          <t>是</t>
        </is>
      </c>
      <c r="R520" s="758" t="n"/>
      <c r="S520" s="758" t="n"/>
      <c r="T520" s="758" t="n"/>
      <c r="U520" s="758" t="n"/>
      <c r="V520" s="758" t="n"/>
      <c r="W520" s="758" t="n"/>
    </row>
    <row r="521" s="184">
      <c r="A521" s="106" t="n">
        <v>519</v>
      </c>
      <c r="B521" s="754" t="inlineStr">
        <is>
          <t>chanhua</t>
        </is>
      </c>
      <c r="C521" s="761" t="n">
        <v>45835</v>
      </c>
      <c r="D521" s="755" t="inlineStr">
        <is>
          <t>新加坡比特</t>
        </is>
      </c>
      <c r="E521" s="376" t="inlineStr">
        <is>
          <t>SPILSZ</t>
        </is>
      </c>
      <c r="F521" s="376" t="n"/>
      <c r="G521" s="376" t="n"/>
      <c r="H521" s="376" t="inlineStr">
        <is>
          <t>BM1370PA</t>
        </is>
      </c>
      <c r="I521" s="755">
        <f>VLOOKUP(H521,编码对账表!C:D,2,0)</f>
        <v/>
      </c>
      <c r="J521" s="349" t="n">
        <v>14157</v>
      </c>
      <c r="K521" s="331" t="inlineStr">
        <is>
          <t>202507010013</t>
        </is>
      </c>
      <c r="L521" s="332" t="inlineStr">
        <is>
          <t>1403250701102719</t>
        </is>
      </c>
      <c r="M521" s="757" t="inlineStr">
        <is>
          <t>印尼奥海</t>
        </is>
      </c>
      <c r="N521" s="756" t="inlineStr">
        <is>
          <t>CHANHUA PTE. LTD.</t>
        </is>
      </c>
      <c r="O521" s="757" t="n">
        <v>8.512600000000001</v>
      </c>
      <c r="P521" s="346" t="n"/>
      <c r="Q521" s="758" t="inlineStr">
        <is>
          <t>是</t>
        </is>
      </c>
      <c r="R521" s="758" t="n"/>
      <c r="S521" s="758" t="n"/>
      <c r="T521" s="758" t="n"/>
      <c r="U521" s="758" t="n"/>
      <c r="V521" s="758" t="n"/>
      <c r="W521" s="758" t="n"/>
    </row>
    <row r="522" s="184">
      <c r="A522" s="106" t="n">
        <v>520</v>
      </c>
      <c r="B522" s="754" t="inlineStr">
        <is>
          <t>chanhua</t>
        </is>
      </c>
      <c r="C522" s="761" t="n">
        <v>45836</v>
      </c>
      <c r="D522" s="755" t="inlineStr">
        <is>
          <t>新加坡比特</t>
        </is>
      </c>
      <c r="E522" s="376" t="inlineStr">
        <is>
          <t>XJ</t>
        </is>
      </c>
      <c r="F522" s="376" t="n"/>
      <c r="G522" s="376" t="n"/>
      <c r="H522" s="376" t="inlineStr">
        <is>
          <t>BM1370PA</t>
        </is>
      </c>
      <c r="I522" s="755">
        <f>VLOOKUP(H522,编码对账表!C:D,2,0)</f>
        <v/>
      </c>
      <c r="J522" s="349" t="n">
        <v>87662</v>
      </c>
      <c r="K522" s="331" t="inlineStr">
        <is>
          <t>202507010013</t>
        </is>
      </c>
      <c r="L522" s="332" t="inlineStr">
        <is>
          <t>1403250701102719</t>
        </is>
      </c>
      <c r="M522" s="757" t="inlineStr">
        <is>
          <t>印尼奥海</t>
        </is>
      </c>
      <c r="N522" s="756" t="inlineStr">
        <is>
          <t>CHANHUA PTE. LTD.</t>
        </is>
      </c>
      <c r="O522" s="757" t="n">
        <v>8.512600000000001</v>
      </c>
      <c r="P522" s="346" t="n"/>
      <c r="Q522" s="336" t="inlineStr">
        <is>
          <t>是</t>
        </is>
      </c>
      <c r="R522" s="758" t="n"/>
      <c r="S522" s="758" t="n"/>
      <c r="T522" s="758" t="n"/>
      <c r="U522" s="758" t="n"/>
      <c r="V522" s="758" t="n"/>
      <c r="W522" s="758" t="n"/>
    </row>
    <row r="523" s="184">
      <c r="A523" s="106" t="n">
        <v>521</v>
      </c>
      <c r="B523" s="754" t="inlineStr">
        <is>
          <t>chanhua</t>
        </is>
      </c>
      <c r="C523" s="761" t="n">
        <v>45827</v>
      </c>
      <c r="D523" s="755" t="inlineStr">
        <is>
          <t>新加坡比特</t>
        </is>
      </c>
      <c r="E523" s="376" t="inlineStr">
        <is>
          <t>XJ</t>
        </is>
      </c>
      <c r="F523" s="376" t="n"/>
      <c r="G523" s="376" t="n"/>
      <c r="H523" s="376" t="inlineStr">
        <is>
          <t>BM1370BC</t>
        </is>
      </c>
      <c r="I523" s="755">
        <f>VLOOKUP(H523,编码对账表!C:D,2,0)</f>
        <v/>
      </c>
      <c r="J523" s="349" t="n">
        <v>70514</v>
      </c>
      <c r="K523" s="331" t="inlineStr">
        <is>
          <t>202507040010</t>
        </is>
      </c>
      <c r="L523" s="332" t="inlineStr">
        <is>
          <t>1403250704111145</t>
        </is>
      </c>
      <c r="M523" s="757" t="inlineStr">
        <is>
          <t>马来KPMI</t>
        </is>
      </c>
      <c r="N523" s="756" t="inlineStr">
        <is>
          <t>CHANHUA PTE. LTD.</t>
        </is>
      </c>
      <c r="O523" s="757" t="n">
        <v>8.512600000000001</v>
      </c>
      <c r="P523" s="346">
        <f>VLOOKUP(L523,'[2]BHSC_销售订单明细报表_060825 (7)'!$E$1:$E$65536,1,FALSE)</f>
        <v/>
      </c>
      <c r="Q523" s="336" t="inlineStr">
        <is>
          <t>是</t>
        </is>
      </c>
      <c r="R523" s="758" t="n"/>
      <c r="S523" s="758" t="n"/>
      <c r="T523" s="758" t="n"/>
      <c r="U523" s="758" t="n"/>
      <c r="V523" s="758" t="n"/>
      <c r="W523" s="758" t="n"/>
    </row>
    <row r="524" s="184">
      <c r="A524" s="106" t="n">
        <v>522</v>
      </c>
      <c r="B524" s="754" t="inlineStr">
        <is>
          <t>chanhua</t>
        </is>
      </c>
      <c r="C524" s="761" t="n">
        <v>45827</v>
      </c>
      <c r="D524" s="755" t="inlineStr">
        <is>
          <t>新加坡比特</t>
        </is>
      </c>
      <c r="E524" s="376" t="inlineStr">
        <is>
          <t>XJ</t>
        </is>
      </c>
      <c r="F524" s="376" t="n"/>
      <c r="G524" s="376" t="n"/>
      <c r="H524" s="376" t="inlineStr">
        <is>
          <t>BM1370PA</t>
        </is>
      </c>
      <c r="I524" s="755">
        <f>VLOOKUP(H524,编码对账表!C:D,2,0)</f>
        <v/>
      </c>
      <c r="J524" s="349" t="n">
        <v>104856</v>
      </c>
      <c r="K524" s="331" t="inlineStr">
        <is>
          <t>202507040010</t>
        </is>
      </c>
      <c r="L524" s="332" t="inlineStr">
        <is>
          <t>1403250704111145</t>
        </is>
      </c>
      <c r="M524" s="757" t="inlineStr">
        <is>
          <t>马来KPMI</t>
        </is>
      </c>
      <c r="N524" s="756" t="inlineStr">
        <is>
          <t>CHANHUA PTE. LTD.</t>
        </is>
      </c>
      <c r="O524" s="757" t="n">
        <v>8.512600000000001</v>
      </c>
      <c r="P524" s="346">
        <f>VLOOKUP(L524,'[2]BHSC_销售订单明细报表_060825 (7)'!$E$1:$E$65536,1,FALSE)</f>
        <v/>
      </c>
      <c r="Q524" s="336" t="inlineStr">
        <is>
          <t>是</t>
        </is>
      </c>
      <c r="R524" s="758" t="n"/>
      <c r="S524" s="758" t="n"/>
      <c r="T524" s="758" t="n"/>
      <c r="U524" s="758" t="n"/>
      <c r="V524" s="758" t="n"/>
      <c r="W524" s="758" t="n"/>
    </row>
    <row r="525" s="184">
      <c r="A525" s="106" t="n">
        <v>523</v>
      </c>
      <c r="B525" s="754" t="inlineStr">
        <is>
          <t>chanhua</t>
        </is>
      </c>
      <c r="C525" s="761" t="n">
        <v>45838</v>
      </c>
      <c r="D525" s="755" t="inlineStr">
        <is>
          <t>新加坡比特</t>
        </is>
      </c>
      <c r="E525" s="376" t="inlineStr">
        <is>
          <t>JSCC</t>
        </is>
      </c>
      <c r="F525" s="376" t="n"/>
      <c r="G525" s="376" t="n"/>
      <c r="H525" s="376" t="inlineStr">
        <is>
          <t>BM1368AA</t>
        </is>
      </c>
      <c r="I525" s="755">
        <f>VLOOKUP(H525,编码对账表!C:D,2,0)</f>
        <v/>
      </c>
      <c r="J525" s="349" t="n">
        <v>56</v>
      </c>
      <c r="K525" s="331" t="inlineStr">
        <is>
          <t>202508070002</t>
        </is>
      </c>
      <c r="L525" s="332" t="inlineStr">
        <is>
          <t>1005202506300009</t>
        </is>
      </c>
      <c r="M525" s="757" t="inlineStr">
        <is>
          <t>泰国群光</t>
        </is>
      </c>
      <c r="N525" s="756" t="inlineStr">
        <is>
          <t>CHANHUA PTE. LTD.</t>
        </is>
      </c>
      <c r="O525" s="757" t="n">
        <v>5.4151</v>
      </c>
      <c r="P525" s="346" t="n"/>
      <c r="Q525" s="758" t="inlineStr">
        <is>
          <t>是</t>
        </is>
      </c>
      <c r="R525" s="758" t="n"/>
      <c r="S525" s="758" t="n"/>
      <c r="T525" s="758" t="n"/>
      <c r="U525" s="758" t="n"/>
      <c r="V525" s="758" t="n"/>
      <c r="W525" s="758" t="n"/>
    </row>
    <row r="526" s="184">
      <c r="A526" s="106" t="n">
        <v>524</v>
      </c>
      <c r="B526" s="754" t="inlineStr">
        <is>
          <t>chanhua</t>
        </is>
      </c>
      <c r="C526" s="761" t="n">
        <v>45841</v>
      </c>
      <c r="D526" s="755" t="inlineStr">
        <is>
          <t>新加坡比特</t>
        </is>
      </c>
      <c r="E526" s="376" t="inlineStr">
        <is>
          <t>JSCC</t>
        </is>
      </c>
      <c r="F526" s="376" t="n"/>
      <c r="G526" s="376" t="n"/>
      <c r="H526" s="376" t="inlineStr">
        <is>
          <t>BM1370AA</t>
        </is>
      </c>
      <c r="I526" s="755">
        <f>VLOOKUP(H526,编码对账表!C:D,2,0)</f>
        <v/>
      </c>
      <c r="J526" s="349" t="n">
        <v>2921</v>
      </c>
      <c r="K526" s="331" t="inlineStr">
        <is>
          <t>DPT202508070014</t>
        </is>
      </c>
      <c r="L526" s="332" t="inlineStr">
        <is>
          <t>1403250807151605</t>
        </is>
      </c>
      <c r="M526" s="757" t="inlineStr">
        <is>
          <t>泰国群光</t>
        </is>
      </c>
      <c r="N526" s="756" t="inlineStr">
        <is>
          <t>CHANHUA PTE. LTD.</t>
        </is>
      </c>
      <c r="O526" s="757" t="n">
        <v>8.512600000000001</v>
      </c>
      <c r="P526" s="346">
        <f>VLOOKUP(L526,'[2]BHSC_销售订单明细报表_060825 (7)'!$E$1:$E$65536,1,FALSE)</f>
        <v/>
      </c>
      <c r="Q526" s="758" t="inlineStr">
        <is>
          <t>是</t>
        </is>
      </c>
      <c r="R526" s="782" t="inlineStr">
        <is>
          <t>J1ZM24BH63未同步ERP，前道wip库存不足20240703-JJ101</t>
        </is>
      </c>
      <c r="S526" s="758" t="n"/>
      <c r="T526" s="758" t="n"/>
      <c r="U526" s="758" t="n"/>
      <c r="V526" s="758" t="n"/>
      <c r="W526" s="758" t="n"/>
    </row>
    <row r="527" s="184">
      <c r="A527" s="106" t="n">
        <v>525</v>
      </c>
      <c r="B527" s="754" t="inlineStr">
        <is>
          <t>chanhua</t>
        </is>
      </c>
      <c r="C527" s="761" t="n">
        <v>45842</v>
      </c>
      <c r="D527" s="755" t="inlineStr">
        <is>
          <t>新加坡比特</t>
        </is>
      </c>
      <c r="E527" s="376" t="inlineStr">
        <is>
          <t>XJ</t>
        </is>
      </c>
      <c r="F527" s="376" t="n"/>
      <c r="G527" s="376" t="n"/>
      <c r="H527" s="376" t="inlineStr">
        <is>
          <t>BM1370PF</t>
        </is>
      </c>
      <c r="I527" s="755">
        <f>VLOOKUP(H527,编码对账表!C:D,2,0)</f>
        <v/>
      </c>
      <c r="J527" s="330" t="n">
        <v>275235</v>
      </c>
      <c r="K527" s="331" t="inlineStr">
        <is>
          <t>202507070010</t>
        </is>
      </c>
      <c r="L527" s="332" t="inlineStr">
        <is>
          <t>1403250707145003</t>
        </is>
      </c>
      <c r="M527" s="757" t="inlineStr">
        <is>
          <t>nationgate</t>
        </is>
      </c>
      <c r="N527" s="756" t="inlineStr">
        <is>
          <t>CHANHUA PTE. LTD.</t>
        </is>
      </c>
      <c r="O527" s="757" t="n">
        <v>8.512600000000001</v>
      </c>
      <c r="P527" s="346">
        <f>VLOOKUP(L527,'[2]BHSC_销售订单明细报表_060825 (7)'!$E$1:$E$65536,1,FALSE)</f>
        <v/>
      </c>
      <c r="Q527" s="758" t="inlineStr">
        <is>
          <t>是</t>
        </is>
      </c>
      <c r="R527" s="758" t="n"/>
      <c r="S527" s="758" t="n"/>
      <c r="T527" s="758" t="n"/>
      <c r="U527" s="758" t="n"/>
      <c r="V527" s="758" t="n"/>
      <c r="W527" s="758" t="n"/>
    </row>
    <row r="528" s="184">
      <c r="A528" s="106" t="n">
        <v>526</v>
      </c>
      <c r="B528" s="754" t="inlineStr">
        <is>
          <t>chanhua</t>
        </is>
      </c>
      <c r="C528" s="761" t="n">
        <v>45842</v>
      </c>
      <c r="D528" s="755" t="inlineStr">
        <is>
          <t>新加坡比特</t>
        </is>
      </c>
      <c r="E528" s="376" t="inlineStr">
        <is>
          <t>XJ</t>
        </is>
      </c>
      <c r="F528" s="376" t="n"/>
      <c r="G528" s="376" t="n"/>
      <c r="H528" s="376" t="inlineStr">
        <is>
          <t>BM1370BC</t>
        </is>
      </c>
      <c r="I528" s="755">
        <f>VLOOKUP(H528,编码对账表!C:D,2,0)</f>
        <v/>
      </c>
      <c r="J528" s="330" t="n">
        <v>14654</v>
      </c>
      <c r="K528" s="331" t="inlineStr">
        <is>
          <t>202507070011</t>
        </is>
      </c>
      <c r="L528" s="332" t="inlineStr">
        <is>
          <t>1403250707145024</t>
        </is>
      </c>
      <c r="M528" s="757" t="inlineStr">
        <is>
          <t>PIE</t>
        </is>
      </c>
      <c r="N528" s="756" t="inlineStr">
        <is>
          <t>CHANHUA PTE. LTD.</t>
        </is>
      </c>
      <c r="O528" s="757" t="n">
        <v>8.512600000000001</v>
      </c>
      <c r="P528" s="346">
        <f>VLOOKUP(L528,'[2]BHSC_销售订单明细报表_060825 (7)'!$E$1:$E$65536,1,FALSE)</f>
        <v/>
      </c>
      <c r="Q528" s="758" t="inlineStr">
        <is>
          <t>是</t>
        </is>
      </c>
      <c r="R528" s="758" t="n"/>
      <c r="S528" s="758" t="n"/>
      <c r="T528" s="758" t="n"/>
      <c r="U528" s="758" t="n"/>
      <c r="V528" s="758" t="n"/>
      <c r="W528" s="758" t="n"/>
    </row>
    <row r="529" s="184">
      <c r="A529" s="106" t="n">
        <v>527</v>
      </c>
      <c r="B529" s="754" t="inlineStr">
        <is>
          <t>chanhua</t>
        </is>
      </c>
      <c r="C529" s="761" t="n">
        <v>45841</v>
      </c>
      <c r="D529" s="755" t="inlineStr">
        <is>
          <t>新加坡比特</t>
        </is>
      </c>
      <c r="E529" s="376" t="inlineStr">
        <is>
          <t>NJ-VT</t>
        </is>
      </c>
      <c r="F529" s="376" t="n"/>
      <c r="G529" s="376" t="n"/>
      <c r="H529" s="376" t="inlineStr">
        <is>
          <t>BM1370PF</t>
        </is>
      </c>
      <c r="I529" s="755">
        <f>VLOOKUP(H529,编码对账表!C:D,2,0)</f>
        <v/>
      </c>
      <c r="J529" s="330" t="n">
        <v>36375</v>
      </c>
      <c r="K529" s="331" t="inlineStr">
        <is>
          <t>202507070012</t>
        </is>
      </c>
      <c r="L529" s="332" t="inlineStr">
        <is>
          <t>1403250707145033</t>
        </is>
      </c>
      <c r="M529" s="757" t="inlineStr">
        <is>
          <t>泰国ONETEC</t>
        </is>
      </c>
      <c r="N529" s="756" t="inlineStr">
        <is>
          <t>CHANHUA PTE. LTD.</t>
        </is>
      </c>
      <c r="O529" s="757" t="n">
        <v>8.512600000000001</v>
      </c>
      <c r="P529" s="346" t="n"/>
      <c r="Q529" s="758" t="inlineStr">
        <is>
          <t>是</t>
        </is>
      </c>
      <c r="R529" s="758" t="n"/>
      <c r="S529" s="758" t="n"/>
      <c r="T529" s="758" t="n"/>
      <c r="U529" s="758" t="n"/>
      <c r="V529" s="758" t="n"/>
      <c r="W529" s="758" t="n"/>
    </row>
    <row r="530" s="184">
      <c r="A530" s="106" t="n">
        <v>528</v>
      </c>
      <c r="B530" s="754" t="inlineStr">
        <is>
          <t>chanhua</t>
        </is>
      </c>
      <c r="C530" s="761" t="n">
        <v>45842</v>
      </c>
      <c r="D530" s="755" t="inlineStr">
        <is>
          <t>新加坡比特</t>
        </is>
      </c>
      <c r="E530" s="376" t="inlineStr">
        <is>
          <t>XJ</t>
        </is>
      </c>
      <c r="F530" s="376" t="n"/>
      <c r="G530" s="376" t="n"/>
      <c r="H530" s="376" t="inlineStr">
        <is>
          <t>BM1370PF</t>
        </is>
      </c>
      <c r="I530" s="755">
        <f>VLOOKUP(H530,编码对账表!C:D,2,0)</f>
        <v/>
      </c>
      <c r="J530" s="330" t="n">
        <v>238464</v>
      </c>
      <c r="K530" s="331" t="inlineStr">
        <is>
          <t>202507070012</t>
        </is>
      </c>
      <c r="L530" s="332" t="inlineStr">
        <is>
          <t>1403250707145033</t>
        </is>
      </c>
      <c r="M530" s="757" t="inlineStr">
        <is>
          <t>泰国ONETEC</t>
        </is>
      </c>
      <c r="N530" s="756" t="inlineStr">
        <is>
          <t>CHANHUA PTE. LTD.</t>
        </is>
      </c>
      <c r="O530" s="757" t="n">
        <v>8.512600000000001</v>
      </c>
      <c r="P530" s="346" t="n"/>
      <c r="Q530" s="758" t="inlineStr">
        <is>
          <t>是</t>
        </is>
      </c>
      <c r="R530" s="758" t="n"/>
      <c r="S530" s="758" t="n"/>
      <c r="T530" s="758" t="n"/>
      <c r="U530" s="758" t="n"/>
      <c r="V530" s="758" t="n"/>
      <c r="W530" s="758" t="n"/>
    </row>
    <row r="531" s="184">
      <c r="A531" s="106" t="n">
        <v>529</v>
      </c>
      <c r="B531" s="754" t="inlineStr">
        <is>
          <t>chanhua</t>
        </is>
      </c>
      <c r="C531" s="761" t="n">
        <v>45841</v>
      </c>
      <c r="D531" s="755" t="inlineStr">
        <is>
          <t>新加坡比特</t>
        </is>
      </c>
      <c r="E531" s="376" t="inlineStr">
        <is>
          <t>NJ-VT</t>
        </is>
      </c>
      <c r="F531" s="376" t="n"/>
      <c r="G531" s="376" t="n"/>
      <c r="H531" s="376" t="inlineStr">
        <is>
          <t>BM1370PA</t>
        </is>
      </c>
      <c r="I531" s="755">
        <f>VLOOKUP(H531,编码对账表!C:D,2,0)</f>
        <v/>
      </c>
      <c r="J531" s="330" t="n">
        <v>6930</v>
      </c>
      <c r="K531" s="331" t="inlineStr">
        <is>
          <t>202507070013</t>
        </is>
      </c>
      <c r="L531" s="332" t="inlineStr">
        <is>
          <t>1403250707145040</t>
        </is>
      </c>
      <c r="M531" s="757" t="inlineStr">
        <is>
          <t>泰国群光</t>
        </is>
      </c>
      <c r="N531" s="756" t="inlineStr">
        <is>
          <t>CHANHUA PTE. LTD.</t>
        </is>
      </c>
      <c r="O531" s="757" t="n">
        <v>8.512600000000001</v>
      </c>
      <c r="P531" s="346" t="n"/>
      <c r="Q531" s="758" t="inlineStr">
        <is>
          <t>是</t>
        </is>
      </c>
      <c r="R531" s="758" t="n"/>
      <c r="S531" s="758" t="n"/>
      <c r="T531" s="758" t="n"/>
      <c r="U531" s="758" t="n"/>
      <c r="V531" s="758" t="n"/>
      <c r="W531" s="758" t="n"/>
    </row>
    <row r="532" s="184">
      <c r="A532" s="106" t="n">
        <v>530</v>
      </c>
      <c r="B532" s="754" t="inlineStr">
        <is>
          <t>chanhua</t>
        </is>
      </c>
      <c r="C532" s="761" t="n">
        <v>45842</v>
      </c>
      <c r="D532" s="755" t="inlineStr">
        <is>
          <t>新加坡比特</t>
        </is>
      </c>
      <c r="E532" s="376" t="inlineStr">
        <is>
          <t>SPILSZ</t>
        </is>
      </c>
      <c r="F532" s="376" t="n"/>
      <c r="G532" s="376" t="n"/>
      <c r="H532" s="376" t="inlineStr">
        <is>
          <t>BM1370AA</t>
        </is>
      </c>
      <c r="I532" s="755">
        <f>VLOOKUP(H532,编码对账表!C:D,2,0)</f>
        <v/>
      </c>
      <c r="J532" s="330" t="n">
        <v>32836</v>
      </c>
      <c r="K532" s="331" t="inlineStr">
        <is>
          <t>202507070013</t>
        </is>
      </c>
      <c r="L532" s="332" t="inlineStr">
        <is>
          <t>1403250707145040</t>
        </is>
      </c>
      <c r="M532" s="757" t="inlineStr">
        <is>
          <t>泰国群光</t>
        </is>
      </c>
      <c r="N532" s="756" t="inlineStr">
        <is>
          <t>CHANHUA PTE. LTD.</t>
        </is>
      </c>
      <c r="O532" s="757" t="n">
        <v>8.512600000000001</v>
      </c>
      <c r="P532" s="346">
        <f>VLOOKUP(L532,'[2]BHSC_销售订单明细报表_060825 (7)'!$E$1:$E$65536,1,FALSE)</f>
        <v/>
      </c>
      <c r="Q532" s="758" t="inlineStr">
        <is>
          <t>是</t>
        </is>
      </c>
      <c r="R532" s="758" t="inlineStr">
        <is>
          <t>工单ICOP未同步，前道WIP库存不足</t>
        </is>
      </c>
      <c r="S532" s="758" t="n"/>
      <c r="T532" s="758" t="n"/>
      <c r="U532" s="758" t="n"/>
      <c r="V532" s="758" t="n"/>
      <c r="W532" s="758" t="n"/>
    </row>
    <row r="533" s="184">
      <c r="A533" s="106" t="n">
        <v>531</v>
      </c>
      <c r="B533" s="754" t="inlineStr">
        <is>
          <t>chanhua</t>
        </is>
      </c>
      <c r="C533" s="761" t="n">
        <v>45842</v>
      </c>
      <c r="D533" s="755" t="inlineStr">
        <is>
          <t>新加坡比特</t>
        </is>
      </c>
      <c r="E533" s="376" t="inlineStr">
        <is>
          <t>XJ</t>
        </is>
      </c>
      <c r="F533" s="376" t="n"/>
      <c r="G533" s="376" t="n"/>
      <c r="H533" s="376" t="inlineStr">
        <is>
          <t>BM1370PA</t>
        </is>
      </c>
      <c r="I533" s="755">
        <f>VLOOKUP(H533,编码对账表!C:D,2,0)</f>
        <v/>
      </c>
      <c r="J533" s="330" t="n">
        <v>149957</v>
      </c>
      <c r="K533" s="331" t="inlineStr">
        <is>
          <t>202507070013</t>
        </is>
      </c>
      <c r="L533" s="332" t="inlineStr">
        <is>
          <t>1403250707145040</t>
        </is>
      </c>
      <c r="M533" s="757" t="inlineStr">
        <is>
          <t>泰国群光</t>
        </is>
      </c>
      <c r="N533" s="756" t="inlineStr">
        <is>
          <t>CHANHUA PTE. LTD.</t>
        </is>
      </c>
      <c r="O533" s="757" t="n">
        <v>8.512600000000001</v>
      </c>
      <c r="P533" s="346">
        <f>VLOOKUP(L533,'[2]BHSC_销售订单明细报表_060825 (7)'!$E$1:$E$65536,1,FALSE)</f>
        <v/>
      </c>
      <c r="Q533" s="758" t="inlineStr">
        <is>
          <t>是</t>
        </is>
      </c>
      <c r="R533" s="783" t="inlineStr">
        <is>
          <t>Y31010530在XAP可用量不足，仅6817</t>
        </is>
      </c>
      <c r="S533" s="758" t="n"/>
      <c r="T533" s="758" t="n"/>
      <c r="U533" s="758" t="n"/>
      <c r="V533" s="758" t="n"/>
      <c r="W533" s="758" t="n"/>
    </row>
    <row r="534" s="184">
      <c r="A534" s="106" t="n">
        <v>532</v>
      </c>
      <c r="B534" s="754" t="inlineStr">
        <is>
          <t>chanhua</t>
        </is>
      </c>
      <c r="C534" s="761" t="n">
        <v>45842</v>
      </c>
      <c r="D534" s="755" t="inlineStr">
        <is>
          <t>新加坡比特</t>
        </is>
      </c>
      <c r="E534" s="376" t="inlineStr">
        <is>
          <t>NJ-VT</t>
        </is>
      </c>
      <c r="F534" s="376" t="n"/>
      <c r="G534" s="376" t="n"/>
      <c r="H534" s="376" t="inlineStr">
        <is>
          <t>BM1370PA</t>
        </is>
      </c>
      <c r="I534" s="755">
        <f>VLOOKUP(H534,编码对账表!C:D,2,0)</f>
        <v/>
      </c>
      <c r="J534" s="330" t="n">
        <v>427800</v>
      </c>
      <c r="K534" s="331" t="inlineStr">
        <is>
          <t>202507070014</t>
        </is>
      </c>
      <c r="L534" s="332" t="inlineStr">
        <is>
          <t>1403250707145048</t>
        </is>
      </c>
      <c r="M534" s="757" t="inlineStr">
        <is>
          <t>印尼奥海</t>
        </is>
      </c>
      <c r="N534" s="756" t="inlineStr">
        <is>
          <t>CHANHUA PTE. LTD.</t>
        </is>
      </c>
      <c r="O534" s="757" t="n">
        <v>8.512600000000001</v>
      </c>
      <c r="P534" s="346">
        <f>VLOOKUP(L534,'[2]BHSC_销售订单明细报表_060825 (7)'!$E$1:$E$65536,1,FALSE)</f>
        <v/>
      </c>
      <c r="Q534" s="758" t="inlineStr">
        <is>
          <t>是</t>
        </is>
      </c>
      <c r="R534" s="783" t="inlineStr">
        <is>
          <t>Y31010530在XAP可用量不足，仅6817</t>
        </is>
      </c>
      <c r="S534" s="758" t="n"/>
      <c r="T534" s="758" t="n"/>
      <c r="U534" s="758" t="n"/>
      <c r="V534" s="758" t="n"/>
      <c r="W534" s="758" t="n"/>
    </row>
    <row r="535" s="184">
      <c r="A535" s="106" t="n">
        <v>533</v>
      </c>
      <c r="B535" s="754" t="inlineStr">
        <is>
          <t>chanhua</t>
        </is>
      </c>
      <c r="C535" s="761" t="n">
        <v>45842</v>
      </c>
      <c r="D535" s="755" t="inlineStr">
        <is>
          <t>新加坡比特</t>
        </is>
      </c>
      <c r="E535" s="376" t="inlineStr">
        <is>
          <t>NJ-VT</t>
        </is>
      </c>
      <c r="F535" s="376" t="n"/>
      <c r="G535" s="376" t="n"/>
      <c r="H535" s="376" t="inlineStr">
        <is>
          <t>BM1370PF</t>
        </is>
      </c>
      <c r="I535" s="755">
        <f>VLOOKUP(H535,编码对账表!C:D,2,0)</f>
        <v/>
      </c>
      <c r="J535" s="330" t="n">
        <v>133024</v>
      </c>
      <c r="K535" s="331" t="inlineStr">
        <is>
          <t>202507070014</t>
        </is>
      </c>
      <c r="L535" s="332" t="inlineStr">
        <is>
          <t>1403250707145048</t>
        </is>
      </c>
      <c r="M535" s="757" t="inlineStr">
        <is>
          <t>印尼奥海</t>
        </is>
      </c>
      <c r="N535" s="756" t="inlineStr">
        <is>
          <t>CHANHUA PTE. LTD.</t>
        </is>
      </c>
      <c r="O535" s="757" t="n">
        <v>8.512600000000001</v>
      </c>
      <c r="P535" s="346" t="n"/>
      <c r="Q535" s="758" t="inlineStr">
        <is>
          <t>是</t>
        </is>
      </c>
      <c r="R535" s="758" t="n"/>
      <c r="S535" s="758" t="n"/>
      <c r="T535" s="758" t="n"/>
      <c r="U535" s="758" t="n"/>
      <c r="V535" s="758" t="n"/>
      <c r="W535" s="758" t="n"/>
    </row>
    <row r="536" s="184">
      <c r="A536" s="106" t="n">
        <v>534</v>
      </c>
      <c r="B536" s="754" t="inlineStr">
        <is>
          <t>chanhua</t>
        </is>
      </c>
      <c r="C536" s="761" t="n">
        <v>45842</v>
      </c>
      <c r="D536" s="755" t="inlineStr">
        <is>
          <t>新加坡比特</t>
        </is>
      </c>
      <c r="E536" s="376" t="inlineStr">
        <is>
          <t>SPILSZ</t>
        </is>
      </c>
      <c r="F536" s="376" t="n"/>
      <c r="G536" s="376" t="n"/>
      <c r="H536" s="376" t="inlineStr">
        <is>
          <t>BM1370PA</t>
        </is>
      </c>
      <c r="I536" s="755">
        <f>VLOOKUP(H536,编码对账表!C:D,2,0)</f>
        <v/>
      </c>
      <c r="J536" s="330" t="n">
        <v>86810</v>
      </c>
      <c r="K536" s="331" t="inlineStr">
        <is>
          <t>202507070014</t>
        </is>
      </c>
      <c r="L536" s="332" t="inlineStr">
        <is>
          <t>1403250707145048</t>
        </is>
      </c>
      <c r="M536" s="757" t="inlineStr">
        <is>
          <t>印尼奥海</t>
        </is>
      </c>
      <c r="N536" s="756" t="inlineStr">
        <is>
          <t>CHANHUA PTE. LTD.</t>
        </is>
      </c>
      <c r="O536" s="757" t="n">
        <v>8.512600000000001</v>
      </c>
      <c r="P536" s="346">
        <f>VLOOKUP(L536,'[2]BHSC_销售订单明细报表_060825 (7)'!$E$1:$E$65536,1,FALSE)</f>
        <v/>
      </c>
      <c r="Q536" s="758" t="inlineStr">
        <is>
          <t>是</t>
        </is>
      </c>
      <c r="R536" s="783" t="inlineStr">
        <is>
          <t>Y31010530在XAP可用量不足，仅6817</t>
        </is>
      </c>
      <c r="S536" s="758" t="n"/>
      <c r="T536" s="758" t="n"/>
      <c r="U536" s="758" t="n"/>
      <c r="V536" s="758" t="n"/>
      <c r="W536" s="758" t="n"/>
    </row>
    <row r="537" s="184">
      <c r="A537" s="106" t="n">
        <v>535</v>
      </c>
      <c r="B537" s="754" t="inlineStr">
        <is>
          <t>chanhua</t>
        </is>
      </c>
      <c r="C537" s="761" t="n">
        <v>45842</v>
      </c>
      <c r="D537" s="755" t="inlineStr">
        <is>
          <t>新加坡比特</t>
        </is>
      </c>
      <c r="E537" s="376" t="inlineStr">
        <is>
          <t>XJ</t>
        </is>
      </c>
      <c r="F537" s="376" t="n"/>
      <c r="G537" s="376" t="n"/>
      <c r="H537" s="376" t="inlineStr">
        <is>
          <t>BM1370PA</t>
        </is>
      </c>
      <c r="I537" s="755">
        <f>VLOOKUP(H537,编码对账表!C:D,2,0)</f>
        <v/>
      </c>
      <c r="J537" s="330" t="n">
        <v>410761</v>
      </c>
      <c r="K537" s="331" t="inlineStr">
        <is>
          <t>202507070014</t>
        </is>
      </c>
      <c r="L537" s="332" t="inlineStr">
        <is>
          <t>1403250707145048</t>
        </is>
      </c>
      <c r="M537" s="757" t="inlineStr">
        <is>
          <t>印尼奥海</t>
        </is>
      </c>
      <c r="N537" s="756" t="inlineStr">
        <is>
          <t>CHANHUA PTE. LTD.</t>
        </is>
      </c>
      <c r="O537" s="757" t="n">
        <v>8.512600000000001</v>
      </c>
      <c r="P537" s="346">
        <f>VLOOKUP(L537,'[2]BHSC_销售订单明细报表_060825 (7)'!$E$1:$E$65536,1,FALSE)</f>
        <v/>
      </c>
      <c r="Q537" s="758" t="inlineStr">
        <is>
          <t>是</t>
        </is>
      </c>
      <c r="R537" s="783" t="inlineStr">
        <is>
          <t>Y31010530在XAP可用量不足，仅6817</t>
        </is>
      </c>
      <c r="S537" s="758" t="n"/>
      <c r="T537" s="758" t="n"/>
      <c r="U537" s="758" t="n"/>
      <c r="V537" s="758" t="n"/>
      <c r="W537" s="758" t="n"/>
    </row>
    <row r="538" s="184">
      <c r="A538" s="106" t="n">
        <v>536</v>
      </c>
      <c r="B538" s="754" t="inlineStr">
        <is>
          <t>chanhua</t>
        </is>
      </c>
      <c r="C538" s="761" t="n">
        <v>45832</v>
      </c>
      <c r="D538" s="755" t="inlineStr">
        <is>
          <t>新加坡比特</t>
        </is>
      </c>
      <c r="E538" s="376" t="inlineStr">
        <is>
          <t>ASECL</t>
        </is>
      </c>
      <c r="F538" s="376" t="n"/>
      <c r="G538" s="376" t="n"/>
      <c r="H538" s="376" t="inlineStr">
        <is>
          <t>BM1370PM</t>
        </is>
      </c>
      <c r="I538" s="755">
        <f>VLOOKUP(H538,编码对账表!C:D,2,0)</f>
        <v/>
      </c>
      <c r="J538" s="330" t="n">
        <v>10406</v>
      </c>
      <c r="K538" s="331" t="inlineStr">
        <is>
          <t>202507090010</t>
        </is>
      </c>
      <c r="L538" s="332" t="inlineStr">
        <is>
          <t>1403250709104117</t>
        </is>
      </c>
      <c r="M538" s="757" t="inlineStr">
        <is>
          <t>深圳前海</t>
        </is>
      </c>
      <c r="N538" s="756" t="inlineStr">
        <is>
          <t>DPTOLBSYCL</t>
        </is>
      </c>
      <c r="O538" s="757" t="n">
        <v>8.512600000000001</v>
      </c>
      <c r="P538" s="346">
        <f>VLOOKUP(L538,'[2]BHSC_销售订单明细报表_060825 (7)'!$E$1:$E$65536,1,FALSE)</f>
        <v/>
      </c>
      <c r="Q538" s="336" t="inlineStr">
        <is>
          <t>是</t>
        </is>
      </c>
      <c r="R538" s="758" t="n"/>
      <c r="S538" s="758" t="n"/>
      <c r="T538" s="758" t="n"/>
      <c r="U538" s="758" t="n"/>
      <c r="V538" s="758" t="n"/>
      <c r="W538" s="758" t="n"/>
    </row>
    <row r="539" s="184">
      <c r="A539" s="106" t="n">
        <v>537</v>
      </c>
      <c r="B539" s="754" t="inlineStr">
        <is>
          <t>chanhua</t>
        </is>
      </c>
      <c r="C539" s="761" t="n">
        <v>45831</v>
      </c>
      <c r="D539" s="755" t="inlineStr">
        <is>
          <t>新加坡比特</t>
        </is>
      </c>
      <c r="E539" s="376" t="inlineStr">
        <is>
          <t>XJ</t>
        </is>
      </c>
      <c r="F539" s="376" t="n"/>
      <c r="G539" s="376" t="n"/>
      <c r="H539" s="376" t="inlineStr">
        <is>
          <t>BM1370PM</t>
        </is>
      </c>
      <c r="I539" s="755">
        <f>VLOOKUP(H539,编码对账表!C:D,2,0)</f>
        <v/>
      </c>
      <c r="J539" s="330" t="n">
        <v>1329</v>
      </c>
      <c r="K539" s="331" t="inlineStr">
        <is>
          <t>202507090010</t>
        </is>
      </c>
      <c r="L539" s="332" t="inlineStr">
        <is>
          <t>1403250709104117</t>
        </is>
      </c>
      <c r="M539" s="757" t="inlineStr">
        <is>
          <t>深圳前海</t>
        </is>
      </c>
      <c r="N539" s="756" t="inlineStr">
        <is>
          <t>DPTOLBSYCL</t>
        </is>
      </c>
      <c r="O539" s="757" t="n">
        <v>8.512600000000001</v>
      </c>
      <c r="P539" s="346">
        <f>VLOOKUP(L539,'[2]BHSC_销售订单明细报表_060825 (7)'!$E$1:$E$65536,1,FALSE)</f>
        <v/>
      </c>
      <c r="Q539" s="336" t="inlineStr">
        <is>
          <t>是</t>
        </is>
      </c>
      <c r="R539" s="758" t="n"/>
      <c r="S539" s="758" t="n"/>
      <c r="T539" s="758" t="n"/>
      <c r="U539" s="758" t="n"/>
      <c r="V539" s="758" t="n"/>
      <c r="W539" s="758" t="n"/>
    </row>
    <row r="540" s="184">
      <c r="A540" s="106" t="n">
        <v>538</v>
      </c>
      <c r="B540" s="754" t="inlineStr">
        <is>
          <t>chanhua</t>
        </is>
      </c>
      <c r="C540" s="761" t="n">
        <v>45843</v>
      </c>
      <c r="D540" s="755" t="inlineStr">
        <is>
          <t>新加坡比特</t>
        </is>
      </c>
      <c r="E540" s="376" t="inlineStr">
        <is>
          <t>ASECL</t>
        </is>
      </c>
      <c r="F540" s="376" t="n"/>
      <c r="G540" s="376" t="n"/>
      <c r="H540" s="376" t="inlineStr">
        <is>
          <t>BM1370PF</t>
        </is>
      </c>
      <c r="I540" s="755">
        <f>VLOOKUP(H540,编码对账表!C:D,2,0)</f>
        <v/>
      </c>
      <c r="J540" s="330" t="n">
        <v>91200</v>
      </c>
      <c r="K540" s="331" t="inlineStr">
        <is>
          <t>202507110010</t>
        </is>
      </c>
      <c r="L540" s="332" t="inlineStr">
        <is>
          <t>1403250711174611</t>
        </is>
      </c>
      <c r="M540" s="757" t="inlineStr">
        <is>
          <t>PIE</t>
        </is>
      </c>
      <c r="N540" s="756" t="inlineStr">
        <is>
          <t>CHANHUA PTE. LTD.</t>
        </is>
      </c>
      <c r="O540" s="757" t="n">
        <v>8.512600000000001</v>
      </c>
      <c r="P540" s="346">
        <f>VLOOKUP(L540,'[2]BHSC_销售订单明细报表_060825 (7)'!$E$1:$E$65536,1,FALSE)</f>
        <v/>
      </c>
      <c r="Q540" s="758" t="inlineStr">
        <is>
          <t>是</t>
        </is>
      </c>
      <c r="R540" s="336" t="inlineStr">
        <is>
          <t>等待ASECL传输数据</t>
        </is>
      </c>
    </row>
    <row r="541" s="184">
      <c r="A541" s="106" t="n">
        <v>539</v>
      </c>
      <c r="B541" s="754" t="inlineStr">
        <is>
          <t>chanhua</t>
        </is>
      </c>
      <c r="C541" s="761" t="n">
        <v>45843</v>
      </c>
      <c r="D541" s="755" t="inlineStr">
        <is>
          <t>新加坡比特</t>
        </is>
      </c>
      <c r="E541" s="756" t="inlineStr">
        <is>
          <t>ASECL</t>
        </is>
      </c>
      <c r="H541" s="376" t="inlineStr">
        <is>
          <t>BM1370PF</t>
        </is>
      </c>
      <c r="I541" s="755">
        <f>VLOOKUP(H541,编码对账表!C:D,2,0)</f>
        <v/>
      </c>
      <c r="J541" s="330" t="n">
        <v>782800</v>
      </c>
      <c r="K541" s="331" t="inlineStr">
        <is>
          <t>202507110011</t>
        </is>
      </c>
      <c r="L541" s="332" t="inlineStr">
        <is>
          <t>1403250711174714</t>
        </is>
      </c>
      <c r="M541" s="757" t="inlineStr">
        <is>
          <t>Nationgate</t>
        </is>
      </c>
      <c r="N541" s="756" t="inlineStr">
        <is>
          <t>CHANHUA PTE. LTD.</t>
        </is>
      </c>
      <c r="O541" s="757" t="n">
        <v>8.512600000000001</v>
      </c>
      <c r="P541" s="346">
        <f>VLOOKUP(L541,'[2]BHSC_销售订单明细报表_060825 (7)'!$E$1:$E$65536,1,FALSE)</f>
        <v/>
      </c>
      <c r="Q541" s="758" t="inlineStr">
        <is>
          <t>是</t>
        </is>
      </c>
      <c r="R541" s="336" t="inlineStr">
        <is>
          <t>等待ASECL传输数据</t>
        </is>
      </c>
    </row>
    <row r="542" s="184">
      <c r="A542" s="106" t="n">
        <v>540</v>
      </c>
      <c r="B542" s="754" t="inlineStr">
        <is>
          <t>chanhua</t>
        </is>
      </c>
      <c r="C542" s="761" t="n">
        <v>45843</v>
      </c>
      <c r="D542" s="755" t="inlineStr">
        <is>
          <t>新加坡比特</t>
        </is>
      </c>
      <c r="E542" s="756" t="inlineStr">
        <is>
          <t>ASECL</t>
        </is>
      </c>
      <c r="H542" s="376" t="inlineStr">
        <is>
          <t>BM1370PF</t>
        </is>
      </c>
      <c r="I542" s="755">
        <f>VLOOKUP(H542,编码对账表!C:D,2,0)</f>
        <v/>
      </c>
      <c r="J542" s="330" t="n">
        <v>307800</v>
      </c>
      <c r="K542" s="331" t="inlineStr">
        <is>
          <t>202507110012</t>
        </is>
      </c>
      <c r="L542" s="332" t="inlineStr">
        <is>
          <t>1403250711174755</t>
        </is>
      </c>
      <c r="M542" s="757" t="inlineStr">
        <is>
          <t>印尼奥海</t>
        </is>
      </c>
      <c r="N542" s="756" t="inlineStr">
        <is>
          <t>CHANHUA PTE. LTD.</t>
        </is>
      </c>
      <c r="O542" s="757" t="n">
        <v>8.512600000000001</v>
      </c>
      <c r="P542" s="346">
        <f>VLOOKUP(L542,'[2]BHSC_销售订单明细报表_060825 (7)'!$E$1:$E$65536,1,FALSE)</f>
        <v/>
      </c>
      <c r="Q542" s="758" t="inlineStr">
        <is>
          <t>是</t>
        </is>
      </c>
      <c r="R542" s="336" t="inlineStr">
        <is>
          <t>等待ASECL传输数据</t>
        </is>
      </c>
    </row>
    <row r="543" s="184">
      <c r="A543" s="106" t="n">
        <v>541</v>
      </c>
      <c r="B543" s="754" t="inlineStr">
        <is>
          <t>chanhua</t>
        </is>
      </c>
      <c r="C543" s="761" t="n">
        <v>45842</v>
      </c>
      <c r="D543" s="755" t="inlineStr">
        <is>
          <t>新加坡比特</t>
        </is>
      </c>
      <c r="E543" s="756" t="inlineStr">
        <is>
          <t>ASE-KH</t>
        </is>
      </c>
      <c r="H543" s="376" t="inlineStr">
        <is>
          <t>BM1370BB</t>
        </is>
      </c>
      <c r="I543" s="755">
        <f>VLOOKUP(H543,编码对账表!C:D,2,0)</f>
        <v/>
      </c>
      <c r="J543" s="330" t="n">
        <v>368704</v>
      </c>
      <c r="K543" s="331" t="inlineStr">
        <is>
          <t>202507110015</t>
        </is>
      </c>
      <c r="L543" s="332" t="inlineStr">
        <is>
          <t>1403250711174846</t>
        </is>
      </c>
      <c r="M543" s="757" t="inlineStr">
        <is>
          <t>泰国群光</t>
        </is>
      </c>
      <c r="N543" s="756" t="inlineStr">
        <is>
          <t>CHANHUA PTE. LTD.</t>
        </is>
      </c>
      <c r="O543" s="757" t="n">
        <v>8.512600000000001</v>
      </c>
      <c r="P543" s="346">
        <f>VLOOKUP(L543,'[2]BHSC_销售订单明细报表_060825 (7)'!$E$1:$E$65536,1,FALSE)</f>
        <v/>
      </c>
      <c r="Q543" s="336" t="inlineStr">
        <is>
          <t>否</t>
        </is>
      </c>
      <c r="R543" s="380" t="inlineStr">
        <is>
          <t>ICOP已完工，ERP中被投入F20250718-BE101工单完成到WXHNLPC</t>
        </is>
      </c>
    </row>
    <row r="544" s="184">
      <c r="A544" s="106" t="n">
        <v>542</v>
      </c>
      <c r="B544" s="754" t="inlineStr">
        <is>
          <t>chanhua</t>
        </is>
      </c>
      <c r="C544" s="761" t="n">
        <v>45843</v>
      </c>
      <c r="D544" s="755" t="inlineStr">
        <is>
          <t>新加坡比特</t>
        </is>
      </c>
      <c r="E544" s="376" t="inlineStr">
        <is>
          <t>XJ</t>
        </is>
      </c>
      <c r="F544" s="376" t="n"/>
      <c r="G544" s="376" t="n"/>
      <c r="H544" s="376" t="inlineStr">
        <is>
          <t>BM1370PF</t>
        </is>
      </c>
      <c r="I544" s="755">
        <f>VLOOKUP(H544,编码对账表!C:D,2,0)</f>
        <v/>
      </c>
      <c r="J544" s="330" t="n">
        <v>150460</v>
      </c>
      <c r="K544" s="331" t="inlineStr">
        <is>
          <t>202507110013</t>
        </is>
      </c>
      <c r="L544" s="332" t="inlineStr">
        <is>
          <t>1403250711174936</t>
        </is>
      </c>
      <c r="M544" s="757" t="inlineStr">
        <is>
          <t>Nationgate</t>
        </is>
      </c>
      <c r="N544" s="756" t="inlineStr">
        <is>
          <t>CHANHUA PTE. LTD.</t>
        </is>
      </c>
      <c r="O544" s="757" t="n">
        <v>8.512600000000001</v>
      </c>
      <c r="P544" s="346">
        <f>VLOOKUP(L544,'[2]BHSC_销售订单明细报表_060825 (7)'!$E$1:$E$65536,1,FALSE)</f>
        <v/>
      </c>
      <c r="Q544" s="336" t="inlineStr">
        <is>
          <t>是</t>
        </is>
      </c>
    </row>
    <row r="545" s="184">
      <c r="A545" s="106" t="n">
        <v>543</v>
      </c>
      <c r="B545" s="754" t="inlineStr">
        <is>
          <t>chanhua</t>
        </is>
      </c>
      <c r="C545" s="761" t="n">
        <v>45843</v>
      </c>
      <c r="D545" s="755" t="inlineStr">
        <is>
          <t>新加坡比特</t>
        </is>
      </c>
      <c r="E545" s="376" t="inlineStr">
        <is>
          <t>XJ</t>
        </is>
      </c>
      <c r="F545" s="376" t="n"/>
      <c r="G545" s="376" t="n"/>
      <c r="H545" s="376" t="inlineStr">
        <is>
          <t>BM1370PF</t>
        </is>
      </c>
      <c r="I545" s="755">
        <f>VLOOKUP(H545,编码对账表!C:D,2,0)</f>
        <v/>
      </c>
      <c r="J545" s="330" t="n">
        <v>321854</v>
      </c>
      <c r="K545" s="331" t="inlineStr">
        <is>
          <t>202507110014</t>
        </is>
      </c>
      <c r="L545" s="332" t="inlineStr">
        <is>
          <t>1403250711175021</t>
        </is>
      </c>
      <c r="M545" s="757" t="inlineStr">
        <is>
          <t>PIE</t>
        </is>
      </c>
      <c r="N545" s="756" t="inlineStr">
        <is>
          <t>CHANHUA PTE. LTD.</t>
        </is>
      </c>
      <c r="O545" s="757" t="n">
        <v>8.512600000000001</v>
      </c>
      <c r="P545" s="346">
        <f>VLOOKUP(L545,'[2]BHSC_销售订单明细报表_060825 (7)'!$E$1:$E$65536,1,FALSE)</f>
        <v/>
      </c>
      <c r="Q545" s="336" t="inlineStr">
        <is>
          <t>是</t>
        </is>
      </c>
    </row>
    <row r="546" s="184">
      <c r="A546" s="106" t="n">
        <v>544</v>
      </c>
      <c r="B546" s="754" t="inlineStr">
        <is>
          <t>chanhua</t>
        </is>
      </c>
      <c r="C546" s="761" t="n">
        <v>45848</v>
      </c>
      <c r="D546" s="755" t="inlineStr">
        <is>
          <t>新加坡比特</t>
        </is>
      </c>
      <c r="E546" s="756" t="inlineStr">
        <is>
          <t>SPILSZ</t>
        </is>
      </c>
      <c r="H546" s="376" t="inlineStr">
        <is>
          <t>BM1370PA</t>
        </is>
      </c>
      <c r="I546" s="755">
        <f>VLOOKUP(H546,编码对账表!C:D,2,0)</f>
        <v/>
      </c>
      <c r="J546" s="330" t="n">
        <v>3633</v>
      </c>
      <c r="K546" s="331" t="inlineStr">
        <is>
          <t>202507110017</t>
        </is>
      </c>
      <c r="L546" s="332" t="inlineStr">
        <is>
          <t>1403250711175117</t>
        </is>
      </c>
      <c r="M546" s="757" t="inlineStr">
        <is>
          <t>泰国群光</t>
        </is>
      </c>
      <c r="N546" s="756" t="inlineStr">
        <is>
          <t>CHANHUA PTE. LTD.</t>
        </is>
      </c>
      <c r="O546" s="757" t="n">
        <v>8.512600000000001</v>
      </c>
      <c r="P546" s="346">
        <f>VLOOKUP(L546,'[2]BHSC_销售订单明细报表_060825 (7)'!$E$1:$E$65536,1,FALSE)</f>
        <v/>
      </c>
      <c r="Q546" s="336" t="inlineStr">
        <is>
          <t>是</t>
        </is>
      </c>
      <c r="R546" s="336" t="inlineStr">
        <is>
          <t>ICOP完工，但MARKING在erp搜不到</t>
        </is>
      </c>
    </row>
    <row r="547" s="184">
      <c r="A547" s="106" t="n">
        <v>545</v>
      </c>
      <c r="B547" s="754" t="inlineStr">
        <is>
          <t>chanhua</t>
        </is>
      </c>
      <c r="C547" s="761" t="n">
        <v>45843</v>
      </c>
      <c r="D547" s="755" t="inlineStr">
        <is>
          <t>新加坡比特</t>
        </is>
      </c>
      <c r="E547" s="756" t="inlineStr">
        <is>
          <t>XJ</t>
        </is>
      </c>
      <c r="H547" s="376" t="inlineStr">
        <is>
          <t>BM1370PF</t>
        </is>
      </c>
      <c r="I547" s="755">
        <f>VLOOKUP(H547,编码对账表!C:D,2,0)</f>
        <v/>
      </c>
      <c r="J547" s="330" t="n">
        <v>207507</v>
      </c>
      <c r="K547" s="331" t="inlineStr">
        <is>
          <t>202507110019</t>
        </is>
      </c>
      <c r="L547" s="332" t="inlineStr">
        <is>
          <t>1403250711175157</t>
        </is>
      </c>
      <c r="M547" s="757" t="inlineStr">
        <is>
          <t>泰国群光</t>
        </is>
      </c>
      <c r="N547" s="756" t="inlineStr">
        <is>
          <t>CHANHUA PTE. LTD.</t>
        </is>
      </c>
      <c r="O547" s="757" t="n">
        <v>8.512600000000001</v>
      </c>
      <c r="P547" s="346" t="n"/>
      <c r="Q547" s="336" t="inlineStr">
        <is>
          <t>是</t>
        </is>
      </c>
    </row>
    <row r="548" s="184">
      <c r="A548" s="106" t="n">
        <v>546</v>
      </c>
      <c r="B548" s="754" t="inlineStr">
        <is>
          <t>chanhua</t>
        </is>
      </c>
      <c r="C548" s="761" t="n">
        <v>45849</v>
      </c>
      <c r="D548" s="755" t="inlineStr">
        <is>
          <t>新加坡比特</t>
        </is>
      </c>
      <c r="E548" s="756" t="inlineStr">
        <is>
          <t>ASECL</t>
        </is>
      </c>
      <c r="H548" s="376" t="inlineStr">
        <is>
          <t>BM1370PF</t>
        </is>
      </c>
      <c r="I548" s="755">
        <f>VLOOKUP(H548,编码对账表!C:D,2,0)</f>
        <v/>
      </c>
      <c r="J548" s="330" t="n">
        <v>254600</v>
      </c>
      <c r="K548" s="331" t="inlineStr">
        <is>
          <t>202507150022</t>
        </is>
      </c>
      <c r="L548" s="332" t="inlineStr">
        <is>
          <t>1403250715150937</t>
        </is>
      </c>
      <c r="M548" s="757" t="inlineStr">
        <is>
          <t>PIE</t>
        </is>
      </c>
      <c r="N548" s="756" t="inlineStr">
        <is>
          <t>CHANHUA PTE. LTD.</t>
        </is>
      </c>
      <c r="O548" s="757" t="n">
        <v>8.512600000000001</v>
      </c>
      <c r="P548" s="346">
        <f>VLOOKUP(L548,'[2]BHSC_销售订单明细报表_060825 (7)'!$E$1:$E$65536,1,FALSE)</f>
        <v/>
      </c>
      <c r="Q548" s="758" t="inlineStr">
        <is>
          <t>是</t>
        </is>
      </c>
      <c r="R548" s="336" t="inlineStr">
        <is>
          <t>等待ASECL传输数据</t>
        </is>
      </c>
    </row>
    <row r="549" s="184">
      <c r="A549" s="106" t="n">
        <v>547</v>
      </c>
      <c r="B549" s="754" t="inlineStr">
        <is>
          <t>chanhua</t>
        </is>
      </c>
      <c r="C549" s="761" t="n">
        <v>45849</v>
      </c>
      <c r="D549" s="755" t="inlineStr">
        <is>
          <t>新加坡比特</t>
        </is>
      </c>
      <c r="E549" s="756" t="inlineStr">
        <is>
          <t>ASECL</t>
        </is>
      </c>
      <c r="H549" s="376" t="inlineStr">
        <is>
          <t>BM1370PM</t>
        </is>
      </c>
      <c r="I549" s="755">
        <f>VLOOKUP(H549,编码对账表!C:D,2,0)</f>
        <v/>
      </c>
      <c r="J549" s="330" t="n">
        <v>14838</v>
      </c>
      <c r="K549" s="331" t="inlineStr">
        <is>
          <t>202507110022</t>
        </is>
      </c>
      <c r="L549" s="332" t="inlineStr">
        <is>
          <t>1403250711175317</t>
        </is>
      </c>
      <c r="M549" s="757" t="inlineStr">
        <is>
          <t>泰国ONETEC</t>
        </is>
      </c>
      <c r="N549" s="756" t="inlineStr">
        <is>
          <t>CHANHUA PTE. LTD.</t>
        </is>
      </c>
      <c r="O549" s="757" t="n">
        <v>8.512600000000001</v>
      </c>
      <c r="P549" s="346">
        <f>VLOOKUP(L549,'[2]BHSC_销售订单明细报表_060825 (7)'!$E$1:$E$65536,1,FALSE)</f>
        <v/>
      </c>
      <c r="Q549" s="758" t="inlineStr">
        <is>
          <t>是</t>
        </is>
      </c>
      <c r="R549" s="336" t="inlineStr">
        <is>
          <t>等待ASECL传输数据</t>
        </is>
      </c>
    </row>
    <row r="550" s="184">
      <c r="A550" s="106" t="n">
        <v>548</v>
      </c>
      <c r="B550" s="754" t="inlineStr">
        <is>
          <t>chanhua</t>
        </is>
      </c>
      <c r="C550" s="761" t="n">
        <v>45849</v>
      </c>
      <c r="D550" s="755" t="inlineStr">
        <is>
          <t>新加坡比特</t>
        </is>
      </c>
      <c r="E550" s="756" t="inlineStr">
        <is>
          <t>ASECL</t>
        </is>
      </c>
      <c r="H550" s="376" t="inlineStr">
        <is>
          <t>BM1370BB</t>
        </is>
      </c>
      <c r="I550" s="755">
        <f>VLOOKUP(H550,编码对账表!C:D,2,0)</f>
        <v/>
      </c>
      <c r="J550" s="330" t="n">
        <v>1652</v>
      </c>
      <c r="K550" s="331" t="inlineStr">
        <is>
          <t>202507110023</t>
        </is>
      </c>
      <c r="L550" s="332" t="inlineStr">
        <is>
          <t>1403250711175359</t>
        </is>
      </c>
      <c r="M550" s="757" t="inlineStr">
        <is>
          <t>泰国群光</t>
        </is>
      </c>
      <c r="N550" s="756" t="inlineStr">
        <is>
          <t>CHANHUA PTE. LTD.</t>
        </is>
      </c>
      <c r="O550" s="757" t="n">
        <v>8.512600000000001</v>
      </c>
      <c r="P550" s="346">
        <f>VLOOKUP(L550,'[2]BHSC_销售订单明细报表_060825 (7)'!$E$1:$E$65536,1,FALSE)</f>
        <v/>
      </c>
      <c r="Q550" s="758" t="inlineStr">
        <is>
          <t>是</t>
        </is>
      </c>
      <c r="R550" s="336" t="inlineStr">
        <is>
          <t>等待ASECL传输数据</t>
        </is>
      </c>
    </row>
    <row r="551" s="184">
      <c r="A551" s="106" t="n">
        <v>549</v>
      </c>
      <c r="B551" s="754" t="inlineStr">
        <is>
          <t>chanhua</t>
        </is>
      </c>
      <c r="C551" s="761" t="n">
        <v>45849</v>
      </c>
      <c r="D551" s="755" t="inlineStr">
        <is>
          <t>新加坡比特</t>
        </is>
      </c>
      <c r="E551" s="756" t="inlineStr">
        <is>
          <t>ASECL</t>
        </is>
      </c>
      <c r="H551" s="376" t="inlineStr">
        <is>
          <t>BM1370PA</t>
        </is>
      </c>
      <c r="I551" s="755">
        <f>VLOOKUP(H551,编码对账表!C:D,2,0)</f>
        <v/>
      </c>
      <c r="J551" s="330" t="n">
        <v>4032</v>
      </c>
      <c r="K551" s="331" t="inlineStr">
        <is>
          <t>202507110024</t>
        </is>
      </c>
      <c r="L551" s="332" t="inlineStr">
        <is>
          <t>1403250711175439</t>
        </is>
      </c>
      <c r="M551" s="757" t="inlineStr">
        <is>
          <t>泰国群光</t>
        </is>
      </c>
      <c r="N551" s="756" t="inlineStr">
        <is>
          <t>CHANHUA PTE. LTD.</t>
        </is>
      </c>
      <c r="O551" s="757" t="n">
        <v>8.512600000000001</v>
      </c>
      <c r="P551" s="346">
        <f>VLOOKUP(L551,'[2]BHSC_销售订单明细报表_060825 (7)'!$E$1:$E$65536,1,FALSE)</f>
        <v/>
      </c>
      <c r="Q551" s="758" t="inlineStr">
        <is>
          <t>是</t>
        </is>
      </c>
      <c r="R551" s="336" t="inlineStr">
        <is>
          <t>等待ASECL传输数据</t>
        </is>
      </c>
    </row>
    <row r="552" s="184">
      <c r="A552" s="106" t="n">
        <v>550</v>
      </c>
      <c r="B552" s="754" t="inlineStr">
        <is>
          <t>chanhua</t>
        </is>
      </c>
      <c r="C552" s="761" t="n">
        <v>45849</v>
      </c>
      <c r="D552" s="755" t="inlineStr">
        <is>
          <t>新加坡比特</t>
        </is>
      </c>
      <c r="E552" s="756" t="inlineStr">
        <is>
          <t>ASECL</t>
        </is>
      </c>
      <c r="H552" s="376" t="inlineStr">
        <is>
          <t>BM1370PM</t>
        </is>
      </c>
      <c r="I552" s="755">
        <f>VLOOKUP(H552,编码对账表!C:D,2,0)</f>
        <v/>
      </c>
      <c r="J552" s="330" t="n">
        <v>2085</v>
      </c>
      <c r="K552" s="331" t="inlineStr">
        <is>
          <t>202507110025</t>
        </is>
      </c>
      <c r="L552" s="332" t="inlineStr">
        <is>
          <t>1403250711175508</t>
        </is>
      </c>
      <c r="M552" s="757" t="inlineStr">
        <is>
          <t>印尼奥海</t>
        </is>
      </c>
      <c r="N552" s="756" t="inlineStr">
        <is>
          <t>CHANHUA PTE. LTD.</t>
        </is>
      </c>
      <c r="O552" s="757" t="n">
        <v>8.512600000000001</v>
      </c>
      <c r="P552" s="346">
        <f>VLOOKUP(L552,'[2]BHSC_销售订单明细报表_060825 (7)'!$E$1:$E$65536,1,FALSE)</f>
        <v/>
      </c>
      <c r="Q552" s="758" t="inlineStr">
        <is>
          <t>是</t>
        </is>
      </c>
      <c r="R552" s="336" t="inlineStr">
        <is>
          <t>等待ASECL传输数据</t>
        </is>
      </c>
    </row>
    <row r="553" s="184">
      <c r="A553" s="106" t="n">
        <v>551</v>
      </c>
      <c r="B553" s="754" t="inlineStr">
        <is>
          <t>chanhua</t>
        </is>
      </c>
      <c r="C553" s="761" t="n">
        <v>45850</v>
      </c>
      <c r="D553" s="755" t="inlineStr">
        <is>
          <t>新加坡比特</t>
        </is>
      </c>
      <c r="E553" s="756" t="inlineStr">
        <is>
          <t>ASECL</t>
        </is>
      </c>
      <c r="H553" s="376" t="inlineStr">
        <is>
          <t>BM1370PF</t>
        </is>
      </c>
      <c r="I553" s="755">
        <f>VLOOKUP(H553,编码对账表!C:D,2,0)</f>
        <v/>
      </c>
      <c r="J553" s="330" t="n">
        <v>159600</v>
      </c>
      <c r="K553" s="331" t="inlineStr">
        <is>
          <t>202507150010</t>
        </is>
      </c>
      <c r="L553" s="332" t="inlineStr">
        <is>
          <t>1403250715114518</t>
        </is>
      </c>
      <c r="M553" s="757" t="inlineStr">
        <is>
          <t>PIE</t>
        </is>
      </c>
      <c r="N553" s="756" t="inlineStr">
        <is>
          <t>CHANHUA PTE. LTD.</t>
        </is>
      </c>
      <c r="O553" s="757" t="n">
        <v>8.512600000000001</v>
      </c>
      <c r="P553" s="346">
        <f>VLOOKUP(L553,'[2]BHSC_销售订单明细报表_060825 (7)'!$E$1:$E$65536,1,FALSE)</f>
        <v/>
      </c>
      <c r="Q553" s="758" t="inlineStr">
        <is>
          <t>是</t>
        </is>
      </c>
      <c r="R553" s="336" t="inlineStr">
        <is>
          <t>等待ASECL传输数据</t>
        </is>
      </c>
    </row>
    <row r="554" s="184">
      <c r="A554" s="106" t="n">
        <v>552</v>
      </c>
      <c r="B554" s="754" t="inlineStr">
        <is>
          <t>chanhua</t>
        </is>
      </c>
      <c r="C554" s="761" t="n">
        <v>45850</v>
      </c>
      <c r="D554" s="755" t="inlineStr">
        <is>
          <t>新加坡比特</t>
        </is>
      </c>
      <c r="E554" s="756" t="inlineStr">
        <is>
          <t>NJ-VT</t>
        </is>
      </c>
      <c r="H554" s="376" t="inlineStr">
        <is>
          <t>BM1370PF</t>
        </is>
      </c>
      <c r="I554" s="755">
        <f>VLOOKUP(H554,编码对账表!C:D,2,0)</f>
        <v/>
      </c>
      <c r="J554" s="330" t="n">
        <v>1061946</v>
      </c>
      <c r="K554" s="331" t="inlineStr">
        <is>
          <t>202507150011</t>
        </is>
      </c>
      <c r="L554" s="332" t="inlineStr">
        <is>
          <t>1403250715114540</t>
        </is>
      </c>
      <c r="M554" s="757" t="inlineStr">
        <is>
          <t>PIE</t>
        </is>
      </c>
      <c r="N554" s="756" t="inlineStr">
        <is>
          <t>CHANHUA PTE. LTD.</t>
        </is>
      </c>
      <c r="O554" s="757" t="n">
        <v>8.512600000000001</v>
      </c>
      <c r="P554" s="346">
        <f>VLOOKUP(L554,'[2]BHSC_销售订单明细报表_060825 (7)'!$E$1:$E$65536,1,FALSE)</f>
        <v/>
      </c>
      <c r="Q554" s="336" t="inlineStr">
        <is>
          <t>是</t>
        </is>
      </c>
    </row>
    <row r="555" s="184">
      <c r="A555" s="106" t="n">
        <v>553</v>
      </c>
      <c r="B555" s="754" t="inlineStr">
        <is>
          <t>chanhua</t>
        </is>
      </c>
      <c r="C555" s="761" t="n">
        <v>45849</v>
      </c>
      <c r="D555" s="755" t="inlineStr">
        <is>
          <t>新加坡比特</t>
        </is>
      </c>
      <c r="E555" s="756" t="inlineStr">
        <is>
          <t>JSCC</t>
        </is>
      </c>
      <c r="H555" s="376" t="inlineStr">
        <is>
          <t>BM1370PM</t>
        </is>
      </c>
      <c r="I555" s="755">
        <f>VLOOKUP(H555,编码对账表!C:D,2,0)</f>
        <v/>
      </c>
      <c r="J555" s="330" t="n">
        <v>670970</v>
      </c>
      <c r="K555" s="331" t="inlineStr">
        <is>
          <t>202507150012</t>
        </is>
      </c>
      <c r="L555" s="332" t="inlineStr">
        <is>
          <t>1403250715114549</t>
        </is>
      </c>
      <c r="M555" s="757" t="inlineStr">
        <is>
          <t>PIE</t>
        </is>
      </c>
      <c r="N555" s="756" t="inlineStr">
        <is>
          <t>CHANHUA PTE. LTD.</t>
        </is>
      </c>
      <c r="O555" s="757" t="n">
        <v>8.512600000000001</v>
      </c>
      <c r="P555" s="346">
        <f>VLOOKUP(L555,'[2]BHSC_销售订单明细报表_060825 (7)'!$E$1:$E$65536,1,FALSE)</f>
        <v/>
      </c>
      <c r="Q555" s="336" t="inlineStr">
        <is>
          <t>是</t>
        </is>
      </c>
    </row>
    <row r="556" s="184">
      <c r="A556" s="106" t="n">
        <v>554</v>
      </c>
      <c r="B556" s="754" t="inlineStr">
        <is>
          <t>chanhua</t>
        </is>
      </c>
      <c r="C556" s="761" t="n">
        <v>45850</v>
      </c>
      <c r="D556" s="755" t="inlineStr">
        <is>
          <t>新加坡比特</t>
        </is>
      </c>
      <c r="E556" s="756" t="inlineStr">
        <is>
          <t>ASECL</t>
        </is>
      </c>
      <c r="H556" s="376" t="inlineStr">
        <is>
          <t>BM1370PF</t>
        </is>
      </c>
      <c r="I556" s="755">
        <f>VLOOKUP(H556,编码对账表!C:D,2,0)</f>
        <v/>
      </c>
      <c r="J556" s="330" t="n">
        <v>866400</v>
      </c>
      <c r="K556" s="331" t="inlineStr">
        <is>
          <t>202507150013</t>
        </is>
      </c>
      <c r="L556" s="332" t="inlineStr">
        <is>
          <t>1403250715114557</t>
        </is>
      </c>
      <c r="M556" s="757" t="inlineStr">
        <is>
          <t>Nationgate</t>
        </is>
      </c>
      <c r="N556" s="756" t="inlineStr">
        <is>
          <t>CHANHUA PTE. LTD.</t>
        </is>
      </c>
      <c r="O556" s="757" t="n">
        <v>8.512600000000001</v>
      </c>
      <c r="P556" s="346">
        <f>VLOOKUP(L556,'[2]BHSC_销售订单明细报表_060825 (7)'!$E$1:$E$65536,1,FALSE)</f>
        <v/>
      </c>
      <c r="Q556" s="758" t="inlineStr">
        <is>
          <t>是</t>
        </is>
      </c>
      <c r="R556" s="336" t="inlineStr">
        <is>
          <t>等待ASECL传输数据</t>
        </is>
      </c>
    </row>
    <row r="557" s="184">
      <c r="A557" s="106" t="n">
        <v>555</v>
      </c>
      <c r="B557" s="754" t="inlineStr">
        <is>
          <t>chanhua</t>
        </is>
      </c>
      <c r="C557" s="761" t="n">
        <v>45850</v>
      </c>
      <c r="D557" s="755" t="inlineStr">
        <is>
          <t>新加坡比特</t>
        </is>
      </c>
      <c r="E557" s="756" t="inlineStr">
        <is>
          <t>NJ-VT</t>
        </is>
      </c>
      <c r="H557" s="376" t="inlineStr">
        <is>
          <t>BM1370PF</t>
        </is>
      </c>
      <c r="I557" s="755">
        <f>VLOOKUP(H557,编码对账表!C:D,2,0)</f>
        <v/>
      </c>
      <c r="J557" s="330" t="n">
        <v>160886</v>
      </c>
      <c r="K557" s="331" t="inlineStr">
        <is>
          <t>202507150014</t>
        </is>
      </c>
      <c r="L557" s="332" t="inlineStr">
        <is>
          <t>1403250715114606</t>
        </is>
      </c>
      <c r="M557" s="757" t="inlineStr">
        <is>
          <t>Nationgate</t>
        </is>
      </c>
      <c r="N557" s="756" t="inlineStr">
        <is>
          <t>CHANHUA PTE. LTD.</t>
        </is>
      </c>
      <c r="O557" s="757" t="n">
        <v>8.512600000000001</v>
      </c>
      <c r="P557" s="346">
        <f>VLOOKUP(L557,'[2]BHSC_销售订单明细报表_060825 (7)'!$E$1:$E$65536,1,FALSE)</f>
        <v/>
      </c>
      <c r="Q557" s="336" t="inlineStr">
        <is>
          <t>是</t>
        </is>
      </c>
    </row>
    <row r="558" s="184">
      <c r="A558" s="106" t="n">
        <v>556</v>
      </c>
      <c r="B558" s="754" t="inlineStr">
        <is>
          <t>chanhua</t>
        </is>
      </c>
      <c r="C558" s="761" t="n">
        <v>45849</v>
      </c>
      <c r="D558" s="755" t="inlineStr">
        <is>
          <t>新加坡比特</t>
        </is>
      </c>
      <c r="E558" s="756" t="inlineStr">
        <is>
          <t>JSCC</t>
        </is>
      </c>
      <c r="H558" s="376" t="inlineStr">
        <is>
          <t>BM1370PM</t>
        </is>
      </c>
      <c r="I558" s="755">
        <f>VLOOKUP(H558,编码对账表!C:D,2,0)</f>
        <v/>
      </c>
      <c r="J558" s="330" t="n">
        <v>345785</v>
      </c>
      <c r="K558" s="331" t="inlineStr">
        <is>
          <t>202507150015</t>
        </is>
      </c>
      <c r="L558" s="332" t="inlineStr">
        <is>
          <t>1403250715114626</t>
        </is>
      </c>
      <c r="M558" s="757" t="inlineStr">
        <is>
          <t>泰国ONETEC</t>
        </is>
      </c>
      <c r="N558" s="756" t="inlineStr">
        <is>
          <t>CHANHUA PTE. LTD.</t>
        </is>
      </c>
      <c r="O558" s="757" t="n">
        <v>8.512600000000001</v>
      </c>
      <c r="P558" s="346">
        <f>VLOOKUP(L558,'[2]BHSC_销售订单明细报表_060825 (7)'!$E$1:$E$65536,1,FALSE)</f>
        <v/>
      </c>
      <c r="Q558" s="336" t="inlineStr">
        <is>
          <t>是</t>
        </is>
      </c>
      <c r="R558" s="336" t="inlineStr">
        <is>
          <t>ICOP未完工，前道库存不足</t>
        </is>
      </c>
    </row>
    <row r="559" s="184">
      <c r="A559" s="106" t="n">
        <v>557</v>
      </c>
      <c r="B559" s="754" t="inlineStr">
        <is>
          <t>chanhua</t>
        </is>
      </c>
      <c r="C559" s="761" t="n">
        <v>45844</v>
      </c>
      <c r="D559" s="755" t="inlineStr">
        <is>
          <t>新加坡比特</t>
        </is>
      </c>
      <c r="E559" s="756" t="inlineStr">
        <is>
          <t>NJ-VT</t>
        </is>
      </c>
      <c r="H559" s="376" t="inlineStr">
        <is>
          <t>BM1370PF</t>
        </is>
      </c>
      <c r="I559" s="755">
        <f>VLOOKUP(H559,编码对账表!C:D,2,0)</f>
        <v/>
      </c>
      <c r="J559" s="330" t="n">
        <v>203411</v>
      </c>
      <c r="K559" s="331" t="inlineStr">
        <is>
          <t>202507150016</t>
        </is>
      </c>
      <c r="L559" s="332" t="inlineStr">
        <is>
          <t>1403250715114634</t>
        </is>
      </c>
      <c r="M559" s="757" t="inlineStr">
        <is>
          <t>泰国群光</t>
        </is>
      </c>
      <c r="N559" s="756" t="inlineStr">
        <is>
          <t>CHANHUA PTE. LTD.</t>
        </is>
      </c>
      <c r="O559" s="757" t="n">
        <v>8.512600000000001</v>
      </c>
      <c r="P559" s="346">
        <f>VLOOKUP(L559,'[2]BHSC_销售订单明细报表_060825 (7)'!$E$1:$E$65536,1,FALSE)</f>
        <v/>
      </c>
      <c r="Q559" s="336" t="inlineStr">
        <is>
          <t>是</t>
        </is>
      </c>
    </row>
    <row r="560" s="184">
      <c r="A560" s="106" t="n">
        <v>558</v>
      </c>
      <c r="B560" s="754" t="inlineStr">
        <is>
          <t>chanhua</t>
        </is>
      </c>
      <c r="C560" s="761" t="n">
        <v>45849</v>
      </c>
      <c r="D560" s="755" t="inlineStr">
        <is>
          <t>新加坡比特</t>
        </is>
      </c>
      <c r="E560" s="756" t="inlineStr">
        <is>
          <t>JSCC</t>
        </is>
      </c>
      <c r="H560" s="376" t="inlineStr">
        <is>
          <t>BM1370PM</t>
        </is>
      </c>
      <c r="I560" s="755">
        <f>VLOOKUP(H560,编码对账表!C:D,2,0)</f>
        <v/>
      </c>
      <c r="J560" s="330" t="n">
        <v>182725</v>
      </c>
      <c r="K560" s="331" t="inlineStr">
        <is>
          <t>202507150017</t>
        </is>
      </c>
      <c r="L560" s="332" t="inlineStr">
        <is>
          <t>1403250715114644</t>
        </is>
      </c>
      <c r="M560" s="757" t="inlineStr">
        <is>
          <t>泰国群光</t>
        </is>
      </c>
      <c r="N560" s="756" t="inlineStr">
        <is>
          <t>CHANHUA PTE. LTD.</t>
        </is>
      </c>
      <c r="O560" s="757" t="n">
        <v>8.512600000000001</v>
      </c>
      <c r="P560" s="346">
        <f>VLOOKUP(L560,'[2]BHSC_销售订单明细报表_060825 (7)'!$E$1:$E$65536,1,FALSE)</f>
        <v/>
      </c>
      <c r="Q560" s="336" t="inlineStr">
        <is>
          <t>是</t>
        </is>
      </c>
      <c r="R560" s="336" t="inlineStr">
        <is>
          <t>ICOP未完工，前道库存不足</t>
        </is>
      </c>
      <c r="S560" s="381" t="inlineStr">
        <is>
          <t>J1ZM24BV30/BIN1/BM1370P_F1V02B1C2没传数据</t>
        </is>
      </c>
      <c r="T560" s="336" t="inlineStr">
        <is>
          <t>J1ZM24BV30/BIN1/BM1370_F1V01B1C2</t>
        </is>
      </c>
    </row>
    <row r="561" s="184">
      <c r="A561" s="106" t="n">
        <v>559</v>
      </c>
      <c r="B561" s="754" t="inlineStr">
        <is>
          <t>chanhua</t>
        </is>
      </c>
      <c r="C561" s="761" t="n">
        <v>45852</v>
      </c>
      <c r="D561" s="755" t="inlineStr">
        <is>
          <t>新加坡比特</t>
        </is>
      </c>
      <c r="E561" s="756" t="inlineStr">
        <is>
          <t>JSCC</t>
        </is>
      </c>
      <c r="H561" s="376" t="inlineStr">
        <is>
          <t>BM1370PM</t>
        </is>
      </c>
      <c r="I561" s="755">
        <f>VLOOKUP(H561,编码对账表!C:D,2,0)</f>
        <v/>
      </c>
      <c r="J561" s="330" t="n">
        <v>138303</v>
      </c>
      <c r="K561" s="331" t="inlineStr">
        <is>
          <t>202507150018</t>
        </is>
      </c>
      <c r="L561" s="332" t="inlineStr">
        <is>
          <t>1403250715153054</t>
        </is>
      </c>
      <c r="M561" s="757" t="inlineStr">
        <is>
          <t>PIE</t>
        </is>
      </c>
      <c r="N561" s="756" t="inlineStr">
        <is>
          <t>CHANHUA PTE. LTD.</t>
        </is>
      </c>
      <c r="O561" s="757" t="n">
        <v>8.512600000000001</v>
      </c>
      <c r="P561" s="346">
        <f>VLOOKUP(L561,'[2]BHSC_销售订单明细报表_060825 (7)'!$E$1:$E$65536,1,FALSE)</f>
        <v/>
      </c>
      <c r="Q561" s="336" t="inlineStr">
        <is>
          <t>是</t>
        </is>
      </c>
    </row>
    <row r="562" s="184">
      <c r="A562" s="106" t="n">
        <v>560</v>
      </c>
      <c r="B562" s="754" t="inlineStr">
        <is>
          <t>chanhua</t>
        </is>
      </c>
      <c r="C562" s="761" t="n">
        <v>45852</v>
      </c>
      <c r="D562" s="755" t="inlineStr">
        <is>
          <t>新加坡比特</t>
        </is>
      </c>
      <c r="E562" s="756" t="inlineStr">
        <is>
          <t>JSCC</t>
        </is>
      </c>
      <c r="H562" s="376" t="inlineStr">
        <is>
          <t>BM1370PM</t>
        </is>
      </c>
      <c r="I562" s="755">
        <f>VLOOKUP(H562,编码对账表!C:D,2,0)</f>
        <v/>
      </c>
      <c r="J562" s="330" t="n">
        <v>527783</v>
      </c>
      <c r="K562" s="331" t="inlineStr">
        <is>
          <t>202507150019</t>
        </is>
      </c>
      <c r="L562" s="332" t="inlineStr">
        <is>
          <t>1403250715153104</t>
        </is>
      </c>
      <c r="M562" s="757" t="inlineStr">
        <is>
          <t>泰国ONETEC</t>
        </is>
      </c>
      <c r="N562" s="756" t="inlineStr">
        <is>
          <t>CHANHUA PTE. LTD.</t>
        </is>
      </c>
      <c r="O562" s="757" t="n">
        <v>8.512600000000001</v>
      </c>
      <c r="P562" s="346">
        <f>VLOOKUP(L562,'[2]BHSC_销售订单明细报表_060825 (7)'!$E$1:$E$65536,1,FALSE)</f>
        <v/>
      </c>
      <c r="Q562" s="336" t="inlineStr">
        <is>
          <t>是</t>
        </is>
      </c>
      <c r="R562" s="336" t="inlineStr">
        <is>
          <t>ICOP未完工，前道库存不足</t>
        </is>
      </c>
    </row>
    <row r="563" s="184">
      <c r="A563" s="106" t="n">
        <v>561</v>
      </c>
      <c r="B563" s="754" t="inlineStr">
        <is>
          <t>chanhua</t>
        </is>
      </c>
      <c r="C563" s="761" t="n">
        <v>45852</v>
      </c>
      <c r="D563" s="755" t="inlineStr">
        <is>
          <t>新加坡比特</t>
        </is>
      </c>
      <c r="E563" s="756" t="inlineStr">
        <is>
          <t>JSCC</t>
        </is>
      </c>
      <c r="H563" s="376" t="inlineStr">
        <is>
          <t>BM1370AA</t>
        </is>
      </c>
      <c r="I563" s="755">
        <f>VLOOKUP(H563,编码对账表!C:D,2,0)</f>
        <v/>
      </c>
      <c r="J563" s="330" t="n">
        <v>12745</v>
      </c>
      <c r="K563" s="331" t="inlineStr">
        <is>
          <t>202507150020</t>
        </is>
      </c>
      <c r="L563" s="332" t="inlineStr">
        <is>
          <t>1403250715153114</t>
        </is>
      </c>
      <c r="M563" s="757" t="inlineStr">
        <is>
          <t>泰国群光</t>
        </is>
      </c>
      <c r="N563" s="756" t="inlineStr">
        <is>
          <t>CHANHUA PTE. LTD.</t>
        </is>
      </c>
      <c r="O563" s="757" t="n">
        <v>8.512600000000001</v>
      </c>
      <c r="P563" s="346">
        <f>VLOOKUP(L563,'[2]BHSC_销售订单明细报表_060825 (7)'!$E$1:$E$65536,1,FALSE)</f>
        <v/>
      </c>
      <c r="Q563" s="336" t="inlineStr">
        <is>
          <t>是</t>
        </is>
      </c>
      <c r="R563" s="336" t="inlineStr">
        <is>
          <t>ICOP未完工，前道库存不足</t>
        </is>
      </c>
    </row>
    <row r="564" s="184">
      <c r="A564" s="106" t="n">
        <v>562</v>
      </c>
      <c r="B564" s="754" t="inlineStr">
        <is>
          <t>chanhua</t>
        </is>
      </c>
      <c r="C564" s="761" t="n">
        <v>45852</v>
      </c>
      <c r="D564" s="755" t="inlineStr">
        <is>
          <t>新加坡比特</t>
        </is>
      </c>
      <c r="E564" s="756" t="inlineStr">
        <is>
          <t>JSCC</t>
        </is>
      </c>
      <c r="H564" s="376" t="inlineStr">
        <is>
          <t>BM1370PM</t>
        </is>
      </c>
      <c r="I564" s="755">
        <f>VLOOKUP(H564,编码对账表!C:D,2,0)</f>
        <v/>
      </c>
      <c r="J564" s="330" t="n">
        <v>433702</v>
      </c>
      <c r="K564" s="331" t="inlineStr">
        <is>
          <t>202507150021</t>
        </is>
      </c>
      <c r="L564" s="332" t="inlineStr">
        <is>
          <t>1403250715153124</t>
        </is>
      </c>
      <c r="M564" s="757" t="inlineStr">
        <is>
          <t>泰国群光</t>
        </is>
      </c>
      <c r="N564" s="756" t="inlineStr">
        <is>
          <t>CHANHUA PTE. LTD.</t>
        </is>
      </c>
      <c r="O564" s="757" t="n">
        <v>8.512600000000001</v>
      </c>
      <c r="P564" s="346">
        <f>VLOOKUP(L564,'[2]BHSC_销售订单明细报表_060825 (7)'!$E$1:$E$65536,1,FALSE)</f>
        <v/>
      </c>
      <c r="Q564" s="336" t="inlineStr">
        <is>
          <t>是</t>
        </is>
      </c>
      <c r="R564" s="336" t="inlineStr">
        <is>
          <t>ICOP未完工，前道库存不足</t>
        </is>
      </c>
      <c r="S564" s="336" t="inlineStr">
        <is>
          <t>很多批次未上传</t>
        </is>
      </c>
      <c r="T564" s="336" t="inlineStr">
        <is>
          <t>JSCC数据抛送错误</t>
        </is>
      </c>
    </row>
    <row r="565" s="184">
      <c r="A565" s="106" t="n">
        <v>563</v>
      </c>
      <c r="B565" s="754" t="inlineStr">
        <is>
          <t>chanhua</t>
        </is>
      </c>
      <c r="C565" s="761" t="n">
        <v>45852</v>
      </c>
      <c r="D565" s="755" t="inlineStr">
        <is>
          <t>新加坡比特</t>
        </is>
      </c>
      <c r="E565" s="756" t="inlineStr">
        <is>
          <t>JSCC</t>
        </is>
      </c>
      <c r="H565" s="376" t="inlineStr">
        <is>
          <t>BM1370PM</t>
        </is>
      </c>
      <c r="I565" s="755">
        <f>VLOOKUP(H565,编码对账表!C:D,2,0)</f>
        <v/>
      </c>
      <c r="J565" s="330" t="n">
        <v>384385</v>
      </c>
      <c r="K565" s="331" t="inlineStr">
        <is>
          <t>202507150023</t>
        </is>
      </c>
      <c r="L565" s="332" t="inlineStr">
        <is>
          <t>1403250715153128</t>
        </is>
      </c>
      <c r="M565" s="757" t="inlineStr">
        <is>
          <t>印尼奥海</t>
        </is>
      </c>
      <c r="N565" s="756" t="inlineStr">
        <is>
          <t>CHANHUA PTE. LTD.</t>
        </is>
      </c>
      <c r="O565" s="757" t="n">
        <v>8.512600000000001</v>
      </c>
      <c r="P565" s="346">
        <f>VLOOKUP(L565,'[2]BHSC_销售订单明细报表_060825 (7)'!$E$1:$E$65536,1,FALSE)</f>
        <v/>
      </c>
      <c r="Q565" s="336" t="inlineStr">
        <is>
          <t>是</t>
        </is>
      </c>
      <c r="R565" s="336" t="inlineStr">
        <is>
          <t>ICOP未完工，前道库存不足</t>
        </is>
      </c>
      <c r="S565" s="381" t="inlineStr">
        <is>
          <t>J1ZM24BV30/BIN4/BM1370P_F1V02B1C2，J1ZM24BV30/BIN5/BM1370P_F1V02B1C2，未传数据</t>
        </is>
      </c>
      <c r="T565" s="336" t="inlineStr">
        <is>
          <t>JSCC数据抛送错误</t>
        </is>
      </c>
    </row>
    <row r="566" s="184">
      <c r="A566" s="106" t="n">
        <v>564</v>
      </c>
      <c r="B566" s="754" t="inlineStr">
        <is>
          <t>chanhua</t>
        </is>
      </c>
      <c r="C566" s="761" t="n">
        <v>45852</v>
      </c>
      <c r="D566" s="755" t="inlineStr">
        <is>
          <t>新加坡比特</t>
        </is>
      </c>
      <c r="E566" s="756" t="inlineStr">
        <is>
          <t>XJ</t>
        </is>
      </c>
      <c r="H566" s="376" t="inlineStr">
        <is>
          <t>BM1370PF</t>
        </is>
      </c>
      <c r="I566" s="755">
        <f>VLOOKUP(H566,编码对账表!C:D,2,0)</f>
        <v/>
      </c>
      <c r="J566" s="330" t="n">
        <v>1079382</v>
      </c>
      <c r="K566" s="331" t="inlineStr">
        <is>
          <t>DPT202507160016</t>
        </is>
      </c>
      <c r="L566" s="332" t="inlineStr">
        <is>
          <t>1403250716151832</t>
        </is>
      </c>
      <c r="M566" s="757" t="inlineStr">
        <is>
          <t>Nationgate</t>
        </is>
      </c>
      <c r="N566" s="756" t="inlineStr">
        <is>
          <t>CHANHUA PTE. LTD.</t>
        </is>
      </c>
      <c r="O566" s="757" t="n">
        <v>8.512600000000001</v>
      </c>
      <c r="P566" s="346">
        <f>VLOOKUP(L566,'[2]BHSC_销售订单明细报表_060825 (7)'!$E$1:$E$65536,1,FALSE)</f>
        <v/>
      </c>
      <c r="Q566" s="336" t="inlineStr">
        <is>
          <t>是</t>
        </is>
      </c>
    </row>
    <row r="567" s="184">
      <c r="A567" s="106" t="n">
        <v>565</v>
      </c>
      <c r="B567" s="754" t="inlineStr">
        <is>
          <t>chanhua</t>
        </is>
      </c>
      <c r="C567" s="761" t="n">
        <v>45852</v>
      </c>
      <c r="D567" s="755" t="inlineStr">
        <is>
          <t>新加坡比特</t>
        </is>
      </c>
      <c r="E567" s="756" t="inlineStr">
        <is>
          <t>XJ</t>
        </is>
      </c>
      <c r="H567" s="376" t="inlineStr">
        <is>
          <t>BM1370PF</t>
        </is>
      </c>
      <c r="I567" s="755">
        <f>VLOOKUP(H567,编码对账表!C:D,2,0)</f>
        <v/>
      </c>
      <c r="J567" s="330" t="n">
        <v>693985</v>
      </c>
      <c r="K567" s="331" t="inlineStr">
        <is>
          <t>DPT202507160011</t>
        </is>
      </c>
      <c r="L567" s="332" t="inlineStr">
        <is>
          <t>1403250716151842</t>
        </is>
      </c>
      <c r="M567" s="757" t="inlineStr">
        <is>
          <t>PIE</t>
        </is>
      </c>
      <c r="N567" s="756" t="inlineStr">
        <is>
          <t>CHANHUA PTE. LTD.</t>
        </is>
      </c>
      <c r="O567" s="757" t="n">
        <v>8.512600000000001</v>
      </c>
      <c r="P567" s="346">
        <f>VLOOKUP(L567,'[2]BHSC_销售订单明细报表_060825 (7)'!$E$1:$E$65536,1,FALSE)</f>
        <v/>
      </c>
      <c r="Q567" s="336" t="inlineStr">
        <is>
          <t>是</t>
        </is>
      </c>
    </row>
    <row r="568" s="184">
      <c r="A568" s="106" t="n">
        <v>566</v>
      </c>
      <c r="B568" s="754" t="inlineStr">
        <is>
          <t>chanhua</t>
        </is>
      </c>
      <c r="C568" s="761" t="n">
        <v>45849</v>
      </c>
      <c r="D568" s="755" t="inlineStr">
        <is>
          <t>新加坡比特</t>
        </is>
      </c>
      <c r="E568" s="756" t="inlineStr">
        <is>
          <t>XJ</t>
        </is>
      </c>
      <c r="H568" s="376" t="inlineStr">
        <is>
          <t>BM1370PM</t>
        </is>
      </c>
      <c r="I568" s="755">
        <f>VLOOKUP(H568,编码对账表!C:D,2,0)</f>
        <v/>
      </c>
      <c r="J568" s="330" t="n">
        <v>18593</v>
      </c>
      <c r="K568" s="331" t="inlineStr">
        <is>
          <t>DPT202507160012</t>
        </is>
      </c>
      <c r="L568" s="332" t="inlineStr">
        <is>
          <t>1403250716151850</t>
        </is>
      </c>
      <c r="M568" s="757" t="inlineStr">
        <is>
          <t>泰国ONETEC</t>
        </is>
      </c>
      <c r="N568" s="756" t="inlineStr">
        <is>
          <t>CHANHUA PTE. LTD.</t>
        </is>
      </c>
      <c r="O568" s="757" t="n">
        <v>8.512600000000001</v>
      </c>
      <c r="P568" s="346" t="n"/>
      <c r="Q568" s="336" t="inlineStr">
        <is>
          <t>是</t>
        </is>
      </c>
      <c r="R568" s="336" t="inlineStr">
        <is>
          <t>PO已关闭</t>
        </is>
      </c>
    </row>
    <row r="569" s="184">
      <c r="A569" s="106" t="n">
        <v>567</v>
      </c>
      <c r="B569" s="754" t="inlineStr">
        <is>
          <t>chanhua</t>
        </is>
      </c>
      <c r="C569" s="761" t="n">
        <v>45850</v>
      </c>
      <c r="D569" s="755" t="inlineStr">
        <is>
          <t>新加坡比特</t>
        </is>
      </c>
      <c r="E569" s="756" t="inlineStr">
        <is>
          <t>XJ</t>
        </is>
      </c>
      <c r="H569" s="376" t="inlineStr">
        <is>
          <t>BM1370PA</t>
        </is>
      </c>
      <c r="I569" s="755">
        <f>VLOOKUP(H569,编码对账表!C:D,2,0)</f>
        <v/>
      </c>
      <c r="J569" s="330" t="n">
        <v>18942</v>
      </c>
      <c r="K569" s="331" t="inlineStr">
        <is>
          <t>DPT202507160013</t>
        </is>
      </c>
      <c r="L569" s="332" t="inlineStr">
        <is>
          <t>1403250716151859</t>
        </is>
      </c>
      <c r="M569" s="757" t="inlineStr">
        <is>
          <t>泰国群光</t>
        </is>
      </c>
      <c r="N569" s="756" t="inlineStr">
        <is>
          <t>CHANHUA PTE. LTD.</t>
        </is>
      </c>
      <c r="O569" s="757" t="n">
        <v>8.512600000000001</v>
      </c>
      <c r="P569" s="346">
        <f>VLOOKUP(L569,'[2]BHSC_销售订单明细报表_060825 (7)'!$E$1:$E$65536,1,FALSE)</f>
        <v/>
      </c>
      <c r="Q569" s="758" t="inlineStr">
        <is>
          <t>是</t>
        </is>
      </c>
      <c r="R569" s="783" t="inlineStr">
        <is>
          <t>Y31010530在XAP可用量不足，仅6817</t>
        </is>
      </c>
      <c r="S569" s="336" t="inlineStr">
        <is>
          <t>完工处理</t>
        </is>
      </c>
    </row>
    <row r="570" s="184">
      <c r="A570" s="106" t="n">
        <v>568</v>
      </c>
      <c r="B570" s="754" t="inlineStr">
        <is>
          <t>chanhua</t>
        </is>
      </c>
      <c r="C570" s="761" t="n">
        <v>45853</v>
      </c>
      <c r="D570" s="755" t="inlineStr">
        <is>
          <t>新加坡比特</t>
        </is>
      </c>
      <c r="E570" s="756" t="inlineStr">
        <is>
          <t>JSCC</t>
        </is>
      </c>
      <c r="H570" s="376" t="inlineStr">
        <is>
          <t>BM1370PM</t>
        </is>
      </c>
      <c r="I570" s="755">
        <f>VLOOKUP(H570,编码对账表!C:D,2,0)</f>
        <v/>
      </c>
      <c r="J570" s="330" t="n">
        <v>575801</v>
      </c>
      <c r="K570" s="331" t="inlineStr">
        <is>
          <t>DPT202507160014</t>
        </is>
      </c>
      <c r="L570" s="332" t="inlineStr">
        <is>
          <t>1403250716151906</t>
        </is>
      </c>
      <c r="M570" s="757" t="inlineStr">
        <is>
          <t>印尼奥海</t>
        </is>
      </c>
      <c r="N570" s="756" t="inlineStr">
        <is>
          <t>CHANHUA PTE. LTD.</t>
        </is>
      </c>
      <c r="O570" s="757" t="n">
        <v>8.512600000000001</v>
      </c>
      <c r="P570" s="346">
        <f>VLOOKUP(L570,'[2]BHSC_销售订单明细报表_060825 (7)'!$E$1:$E$65536,1,FALSE)</f>
        <v/>
      </c>
      <c r="Q570" s="336" t="inlineStr">
        <is>
          <t>是</t>
        </is>
      </c>
      <c r="R570" s="336" t="inlineStr">
        <is>
          <t>ICOP未完工，前道库存不足</t>
        </is>
      </c>
    </row>
    <row r="571" s="184">
      <c r="A571" s="106" t="n">
        <v>569</v>
      </c>
      <c r="B571" s="754" t="inlineStr">
        <is>
          <t>chanhua</t>
        </is>
      </c>
      <c r="C571" s="761" t="n">
        <v>45849</v>
      </c>
      <c r="D571" s="755" t="inlineStr">
        <is>
          <t>新加坡比特</t>
        </is>
      </c>
      <c r="E571" s="756" t="inlineStr">
        <is>
          <t>XJ</t>
        </is>
      </c>
      <c r="H571" s="376" t="inlineStr">
        <is>
          <t>BM1370PM</t>
        </is>
      </c>
      <c r="I571" s="755">
        <f>VLOOKUP(H571,编码对账表!C:D,2,0)</f>
        <v/>
      </c>
      <c r="J571" s="330" t="n">
        <v>25046</v>
      </c>
      <c r="K571" s="331" t="inlineStr">
        <is>
          <t>DPT202507160015</t>
        </is>
      </c>
      <c r="L571" s="332" t="inlineStr">
        <is>
          <t>1403250716151913</t>
        </is>
      </c>
      <c r="M571" s="757" t="inlineStr">
        <is>
          <t>印尼奥海</t>
        </is>
      </c>
      <c r="N571" s="756" t="inlineStr">
        <is>
          <t>CHANHUA PTE. LTD.</t>
        </is>
      </c>
      <c r="O571" s="757" t="n">
        <v>8.512600000000001</v>
      </c>
      <c r="P571" s="346" t="n"/>
      <c r="Q571" s="336" t="inlineStr">
        <is>
          <t>是</t>
        </is>
      </c>
    </row>
    <row r="572" customFormat="1" s="658">
      <c r="A572" s="106" t="n">
        <v>570</v>
      </c>
      <c r="B572" s="754" t="inlineStr">
        <is>
          <t>chanhua</t>
        </is>
      </c>
      <c r="C572" s="761" t="n">
        <v>45848</v>
      </c>
      <c r="D572" s="755" t="inlineStr">
        <is>
          <t>新加坡比特</t>
        </is>
      </c>
      <c r="E572" s="330" t="inlineStr">
        <is>
          <t>NJ-VT</t>
        </is>
      </c>
      <c r="F572" s="330" t="n"/>
      <c r="G572" s="330" t="n"/>
      <c r="H572" s="330" t="inlineStr">
        <is>
          <t>BM1370PF</t>
        </is>
      </c>
      <c r="I572" s="755">
        <f>VLOOKUP(H572,编码对账表!C:D,2,0)</f>
        <v/>
      </c>
      <c r="J572" s="330" t="n">
        <v>277658</v>
      </c>
      <c r="K572" s="331" t="inlineStr">
        <is>
          <t>DPT202507170010</t>
        </is>
      </c>
      <c r="L572" s="332" t="inlineStr">
        <is>
          <t>1403250717152705</t>
        </is>
      </c>
      <c r="M572" s="757" t="inlineStr">
        <is>
          <t>Nationgate</t>
        </is>
      </c>
      <c r="N572" s="756" t="inlineStr">
        <is>
          <t>CHANHUA PTE. LTD.</t>
        </is>
      </c>
      <c r="O572" s="757" t="n">
        <v>8.512600000000001</v>
      </c>
      <c r="P572" s="346">
        <f>VLOOKUP(L572,'[2]BHSC_销售订单明细报表_060825 (7)'!$E$1:$E$65536,1,FALSE)</f>
        <v/>
      </c>
      <c r="Q572" s="330" t="inlineStr">
        <is>
          <t>是</t>
        </is>
      </c>
      <c r="R572" s="658" t="inlineStr">
        <is>
          <t>ICOP未完工，事务处理日期早于计划发放时间</t>
        </is>
      </c>
    </row>
    <row r="573" s="184">
      <c r="A573" s="106" t="n">
        <v>571</v>
      </c>
      <c r="B573" s="754" t="inlineStr">
        <is>
          <t>chanhua</t>
        </is>
      </c>
      <c r="C573" s="761" t="n">
        <v>45855</v>
      </c>
      <c r="D573" s="755" t="inlineStr">
        <is>
          <t>新加坡比特</t>
        </is>
      </c>
      <c r="E573" s="330" t="inlineStr">
        <is>
          <t>NJ-VT</t>
        </is>
      </c>
      <c r="F573" s="330" t="n"/>
      <c r="G573" s="330" t="n"/>
      <c r="H573" s="330" t="inlineStr">
        <is>
          <t>BM1370PA</t>
        </is>
      </c>
      <c r="I573" s="755">
        <f>VLOOKUP(H573,编码对账表!C:D,2,0)</f>
        <v/>
      </c>
      <c r="J573" s="330" t="n">
        <v>11763</v>
      </c>
      <c r="K573" s="331" t="inlineStr">
        <is>
          <t>DPT202507180010</t>
        </is>
      </c>
      <c r="L573" s="332" t="inlineStr">
        <is>
          <t>1403250718141156</t>
        </is>
      </c>
      <c r="M573" s="757" t="inlineStr">
        <is>
          <t>Nationgate</t>
        </is>
      </c>
      <c r="N573" s="756" t="inlineStr">
        <is>
          <t>CHANHUA PTE. LTD.</t>
        </is>
      </c>
      <c r="O573" s="757" t="n">
        <v>8.512600000000001</v>
      </c>
      <c r="P573" s="346">
        <f>VLOOKUP(L573,'[2]BHSC_销售订单明细报表_060825 (7)'!$E$1:$E$65536,1,FALSE)</f>
        <v/>
      </c>
      <c r="Q573" s="336" t="inlineStr">
        <is>
          <t>是</t>
        </is>
      </c>
    </row>
    <row r="574" s="184">
      <c r="A574" s="106" t="n">
        <v>572</v>
      </c>
      <c r="B574" s="754" t="inlineStr">
        <is>
          <t>chanhua</t>
        </is>
      </c>
      <c r="C574" s="761" t="n">
        <v>45855</v>
      </c>
      <c r="D574" s="755" t="inlineStr">
        <is>
          <t>新加坡比特</t>
        </is>
      </c>
      <c r="E574" s="330" t="inlineStr">
        <is>
          <t>NJ-VT</t>
        </is>
      </c>
      <c r="F574" s="330" t="n"/>
      <c r="G574" s="330" t="n"/>
      <c r="H574" s="330" t="inlineStr">
        <is>
          <t>BM1370PA</t>
        </is>
      </c>
      <c r="I574" s="755">
        <f>VLOOKUP(H574,编码对账表!C:D,2,0)</f>
        <v/>
      </c>
      <c r="J574" s="330" t="n">
        <v>9471</v>
      </c>
      <c r="K574" s="331" t="inlineStr">
        <is>
          <t>DPT202507180011</t>
        </is>
      </c>
      <c r="L574" s="332" t="inlineStr">
        <is>
          <t>1403250718141201</t>
        </is>
      </c>
      <c r="M574" s="757" t="inlineStr">
        <is>
          <t>墨西哥欧陆通</t>
        </is>
      </c>
      <c r="N574" s="756" t="inlineStr">
        <is>
          <t>CHANHUA PTE. LTD.</t>
        </is>
      </c>
      <c r="O574" s="757" t="n">
        <v>8.512600000000001</v>
      </c>
      <c r="P574" s="346">
        <f>VLOOKUP(L574,'[2]BHSC_销售订单明细报表_060825 (7)'!$E$1:$E$65536,1,FALSE)</f>
        <v/>
      </c>
      <c r="Q574" s="336" t="inlineStr">
        <is>
          <t>是</t>
        </is>
      </c>
      <c r="R574" s="783" t="inlineStr">
        <is>
          <t>Y31010530在XAP可用量不足，仅6817</t>
        </is>
      </c>
    </row>
    <row r="575" s="184">
      <c r="A575" s="106" t="n">
        <v>573</v>
      </c>
      <c r="B575" s="754" t="inlineStr">
        <is>
          <t>chanhua</t>
        </is>
      </c>
      <c r="C575" s="761" t="n">
        <v>45855</v>
      </c>
      <c r="D575" s="755" t="inlineStr">
        <is>
          <t>新加坡比特</t>
        </is>
      </c>
      <c r="E575" s="330" t="inlineStr">
        <is>
          <t>NJ-VT</t>
        </is>
      </c>
      <c r="F575" s="330" t="n"/>
      <c r="G575" s="330" t="n"/>
      <c r="H575" s="330" t="inlineStr">
        <is>
          <t>BM1370PA</t>
        </is>
      </c>
      <c r="I575" s="755">
        <f>VLOOKUP(H575,编码对账表!C:D,2,0)</f>
        <v/>
      </c>
      <c r="J575" s="330" t="n">
        <v>1009</v>
      </c>
      <c r="K575" s="331" t="inlineStr">
        <is>
          <t>DPT202507180012</t>
        </is>
      </c>
      <c r="L575" s="332" t="inlineStr">
        <is>
          <t>1403250718141208</t>
        </is>
      </c>
      <c r="M575" s="757" t="inlineStr">
        <is>
          <t>泰国ONETEC</t>
        </is>
      </c>
      <c r="N575" s="756" t="inlineStr">
        <is>
          <t>CHANHUA PTE. LTD.</t>
        </is>
      </c>
      <c r="O575" s="757" t="n">
        <v>8.512600000000001</v>
      </c>
      <c r="P575" s="346">
        <f>VLOOKUP(L575,'[2]BHSC_销售订单明细报表_060825 (7)'!$E$1:$E$65536,1,FALSE)</f>
        <v/>
      </c>
      <c r="Q575" s="336" t="inlineStr">
        <is>
          <t>是</t>
        </is>
      </c>
      <c r="R575" s="783" t="inlineStr">
        <is>
          <t>Y31010530在XAP可用量不足，仅6817</t>
        </is>
      </c>
    </row>
    <row r="576" s="184">
      <c r="A576" s="106" t="n">
        <v>574</v>
      </c>
      <c r="B576" s="754" t="inlineStr">
        <is>
          <t>chanhua</t>
        </is>
      </c>
      <c r="C576" s="761" t="n">
        <v>45853</v>
      </c>
      <c r="D576" s="755" t="inlineStr">
        <is>
          <t>新加坡比特</t>
        </is>
      </c>
      <c r="E576" s="756" t="inlineStr">
        <is>
          <t>JSCC</t>
        </is>
      </c>
      <c r="H576" s="376" t="inlineStr">
        <is>
          <t>BM1370PM</t>
        </is>
      </c>
      <c r="I576" s="755">
        <f>VLOOKUP(H576,编码对账表!C:D,2,0)</f>
        <v/>
      </c>
      <c r="J576" s="330" t="n">
        <v>451369</v>
      </c>
      <c r="K576" s="331" t="inlineStr">
        <is>
          <t>DPT202507180013</t>
        </is>
      </c>
      <c r="L576" s="332" t="inlineStr">
        <is>
          <t>1403250718141217</t>
        </is>
      </c>
      <c r="M576" s="757" t="inlineStr">
        <is>
          <t>泰国ONETEC</t>
        </is>
      </c>
      <c r="N576" s="756" t="inlineStr">
        <is>
          <t>CHANHUA PTE. LTD.</t>
        </is>
      </c>
      <c r="O576" s="757" t="n">
        <v>8.512600000000001</v>
      </c>
      <c r="P576" s="346">
        <f>VLOOKUP(L576,'[2]BHSC_销售订单明细报表_060825 (7)'!$E$1:$E$65536,1,FALSE)</f>
        <v/>
      </c>
      <c r="Q576" s="336" t="inlineStr">
        <is>
          <t>是</t>
        </is>
      </c>
      <c r="R576" s="336" t="inlineStr">
        <is>
          <t>ICOP未完工，前道库存不足</t>
        </is>
      </c>
      <c r="S576" s="381" t="inlineStr">
        <is>
          <t>J1ZM24BV30/BIN2/BM1370P_F1V02B1C2没传数据</t>
        </is>
      </c>
      <c r="T576" s="336" t="inlineStr">
        <is>
          <t>JSCC数据抛送错误</t>
        </is>
      </c>
    </row>
    <row r="577" s="184">
      <c r="A577" s="106" t="n">
        <v>575</v>
      </c>
      <c r="B577" s="754" t="inlineStr">
        <is>
          <t>chanhua</t>
        </is>
      </c>
      <c r="C577" s="761" t="n">
        <v>45855</v>
      </c>
      <c r="D577" s="755" t="inlineStr">
        <is>
          <t>新加坡比特</t>
        </is>
      </c>
      <c r="E577" s="756" t="inlineStr">
        <is>
          <t>SPILSZ</t>
        </is>
      </c>
      <c r="H577" s="330" t="inlineStr">
        <is>
          <t>BM1370AA</t>
        </is>
      </c>
      <c r="I577" s="755">
        <f>VLOOKUP(H577,编码对账表!C:D,2,0)</f>
        <v/>
      </c>
      <c r="J577" s="330" t="n">
        <v>349484</v>
      </c>
      <c r="K577" s="331" t="inlineStr">
        <is>
          <t>DPT202507180014</t>
        </is>
      </c>
      <c r="L577" s="332" t="inlineStr">
        <is>
          <t>1403250718141227</t>
        </is>
      </c>
      <c r="M577" s="757" t="inlineStr">
        <is>
          <t>泰国ONETEC</t>
        </is>
      </c>
      <c r="N577" s="756" t="inlineStr">
        <is>
          <t>CHANHUA PTE. LTD.</t>
        </is>
      </c>
      <c r="O577" s="757" t="n">
        <v>8.512600000000001</v>
      </c>
      <c r="P577" s="346">
        <f>VLOOKUP(L577,'[2]BHSC_销售订单明细报表_060825 (7)'!$E$1:$E$65536,1,FALSE)</f>
        <v/>
      </c>
      <c r="Q577" s="758" t="inlineStr">
        <is>
          <t>是</t>
        </is>
      </c>
      <c r="R577" s="758" t="inlineStr">
        <is>
          <t>工单ICOP未同步，没有上一阶段WIP</t>
        </is>
      </c>
    </row>
    <row r="578" s="184">
      <c r="A578" s="106" t="n">
        <v>576</v>
      </c>
      <c r="B578" s="754" t="inlineStr">
        <is>
          <t>chanhua</t>
        </is>
      </c>
      <c r="C578" s="761" t="n">
        <v>45855</v>
      </c>
      <c r="D578" s="755" t="inlineStr">
        <is>
          <t>新加坡比特</t>
        </is>
      </c>
      <c r="E578" s="756" t="inlineStr">
        <is>
          <t>XJ</t>
        </is>
      </c>
      <c r="H578" s="376" t="inlineStr">
        <is>
          <t>BM1370PM</t>
        </is>
      </c>
      <c r="I578" s="755">
        <f>VLOOKUP(H578,编码对账表!C:D,2,0)</f>
        <v/>
      </c>
      <c r="J578" s="330" t="n">
        <v>18593</v>
      </c>
      <c r="K578" s="331" t="inlineStr">
        <is>
          <t>DPT202507180015</t>
        </is>
      </c>
      <c r="L578" s="332" t="inlineStr">
        <is>
          <t>1403250718141233</t>
        </is>
      </c>
      <c r="M578" s="757" t="inlineStr">
        <is>
          <t>泰国ONETEC</t>
        </is>
      </c>
      <c r="N578" s="756" t="inlineStr">
        <is>
          <t>CHANHUA PTE. LTD.</t>
        </is>
      </c>
      <c r="O578" s="757" t="n">
        <v>8.512600000000001</v>
      </c>
      <c r="P578" s="346">
        <f>VLOOKUP(L578,'[2]BHSC_销售订单明细报表_060825 (7)'!$E$1:$E$65536,1,FALSE)</f>
        <v/>
      </c>
      <c r="Q578" s="336" t="inlineStr">
        <is>
          <t>是</t>
        </is>
      </c>
      <c r="R578" s="336" t="inlineStr">
        <is>
          <t>修改</t>
        </is>
      </c>
    </row>
    <row r="579" s="184">
      <c r="A579" s="106" t="n">
        <v>577</v>
      </c>
      <c r="B579" s="754" t="inlineStr">
        <is>
          <t>chanhua</t>
        </is>
      </c>
      <c r="C579" s="761" t="n">
        <v>45855</v>
      </c>
      <c r="D579" s="755" t="inlineStr">
        <is>
          <t>新加坡比特</t>
        </is>
      </c>
      <c r="E579" s="756" t="inlineStr">
        <is>
          <t>ASE-KH</t>
        </is>
      </c>
      <c r="H579" s="376" t="inlineStr">
        <is>
          <t>BM1370BB</t>
        </is>
      </c>
      <c r="I579" s="755">
        <f>VLOOKUP(H579,编码对账表!C:D,2,0)</f>
        <v/>
      </c>
      <c r="J579" s="330" t="n">
        <v>23369</v>
      </c>
      <c r="K579" s="331" t="inlineStr">
        <is>
          <t>DPT202507230010</t>
        </is>
      </c>
      <c r="L579" s="332" t="inlineStr">
        <is>
          <t>1403250723100553</t>
        </is>
      </c>
      <c r="M579" s="757" t="inlineStr">
        <is>
          <t>泰国ONETEC</t>
        </is>
      </c>
      <c r="N579" s="756" t="inlineStr">
        <is>
          <t>CHANHUA PTE. LTD.</t>
        </is>
      </c>
      <c r="O579" s="757" t="n">
        <v>8.512600000000001</v>
      </c>
      <c r="P579" s="346">
        <f>VLOOKUP(L579,'[2]BHSC_销售订单明细报表_060825 (7)'!$E$1:$E$65536,1,FALSE)</f>
        <v/>
      </c>
      <c r="Q579" s="336" t="inlineStr">
        <is>
          <t>否</t>
        </is>
      </c>
      <c r="R579" s="336" t="inlineStr">
        <is>
          <t>投入工单20240703-EE101，但ICOP搜不到，没有完工</t>
        </is>
      </c>
      <c r="S579" s="336" t="inlineStr">
        <is>
          <t>KH抛数据</t>
        </is>
      </c>
    </row>
    <row r="580" s="184">
      <c r="A580" s="106" t="n">
        <v>578</v>
      </c>
      <c r="B580" s="754" t="inlineStr">
        <is>
          <t>chanhua</t>
        </is>
      </c>
      <c r="C580" s="761" t="n">
        <v>45856</v>
      </c>
      <c r="D580" s="755" t="inlineStr">
        <is>
          <t>新加坡比特</t>
        </is>
      </c>
      <c r="E580" s="756" t="inlineStr">
        <is>
          <t>XJ</t>
        </is>
      </c>
      <c r="H580" s="376" t="inlineStr">
        <is>
          <t>BM1370PF</t>
        </is>
      </c>
      <c r="I580" s="755">
        <f>VLOOKUP(H580,编码对账表!C:D,2,0)</f>
        <v/>
      </c>
      <c r="J580" s="330" t="n">
        <v>615188</v>
      </c>
      <c r="K580" s="331" t="inlineStr">
        <is>
          <t>DPT202507230011</t>
        </is>
      </c>
      <c r="L580" s="332" t="inlineStr">
        <is>
          <t>1403250723100602</t>
        </is>
      </c>
      <c r="M580" s="757" t="inlineStr">
        <is>
          <t>PIE</t>
        </is>
      </c>
      <c r="N580" s="756" t="inlineStr">
        <is>
          <t>CHANHUA PTE. LTD.</t>
        </is>
      </c>
      <c r="O580" s="757" t="n">
        <v>8.512600000000001</v>
      </c>
      <c r="P580" s="346">
        <f>VLOOKUP(L580,'[2]BHSC_销售订单明细报表_060825 (7)'!$E$1:$E$65536,1,FALSE)</f>
        <v/>
      </c>
      <c r="Q580" s="336" t="inlineStr">
        <is>
          <t>是</t>
        </is>
      </c>
      <c r="R580" s="336" t="inlineStr">
        <is>
          <t>XJ抛送数量比出货少</t>
        </is>
      </c>
      <c r="S580" s="336" t="inlineStr">
        <is>
          <t>已要求重新抛送</t>
        </is>
      </c>
    </row>
    <row r="581" s="184">
      <c r="A581" s="106" t="n">
        <v>579</v>
      </c>
      <c r="B581" s="754" t="inlineStr">
        <is>
          <t>chanhua</t>
        </is>
      </c>
      <c r="C581" s="761" t="n">
        <v>45854</v>
      </c>
      <c r="D581" s="755" t="inlineStr">
        <is>
          <t>新加坡比特</t>
        </is>
      </c>
      <c r="E581" s="756" t="inlineStr">
        <is>
          <t>ASECL</t>
        </is>
      </c>
      <c r="H581" s="376" t="inlineStr">
        <is>
          <t>BM1370BC</t>
        </is>
      </c>
      <c r="I581" s="755">
        <f>VLOOKUP(H581,编码对账表!C:D,2,0)</f>
        <v/>
      </c>
      <c r="J581" s="330" t="n">
        <v>96959</v>
      </c>
      <c r="K581" s="331" t="inlineStr">
        <is>
          <t>DPT202507230012</t>
        </is>
      </c>
      <c r="L581" s="332" t="inlineStr">
        <is>
          <t>1403250723100613</t>
        </is>
      </c>
      <c r="M581" s="757" t="inlineStr">
        <is>
          <t>印尼奥海</t>
        </is>
      </c>
      <c r="N581" s="756" t="inlineStr">
        <is>
          <t>CHANHUA PTE. LTD.</t>
        </is>
      </c>
      <c r="O581" s="757" t="n">
        <v>8.512600000000001</v>
      </c>
      <c r="P581" s="346">
        <f>VLOOKUP(L581,'[2]BHSC_销售订单明细报表_060825 (7)'!$E$1:$E$65536,1,FALSE)</f>
        <v/>
      </c>
      <c r="Q581" s="758" t="inlineStr">
        <is>
          <t>是</t>
        </is>
      </c>
      <c r="R581" s="336" t="inlineStr">
        <is>
          <t>等待ASECL传输数据</t>
        </is>
      </c>
    </row>
    <row r="582" s="184">
      <c r="A582" s="106" t="n">
        <v>580</v>
      </c>
      <c r="B582" s="754" t="inlineStr">
        <is>
          <t>chanhua</t>
        </is>
      </c>
      <c r="C582" s="761" t="n">
        <v>45854</v>
      </c>
      <c r="D582" s="755" t="inlineStr">
        <is>
          <t>新加坡比特</t>
        </is>
      </c>
      <c r="E582" s="756" t="inlineStr">
        <is>
          <t>ASECL</t>
        </is>
      </c>
      <c r="H582" s="376" t="inlineStr">
        <is>
          <t>BM1370PA</t>
        </is>
      </c>
      <c r="I582" s="755">
        <f>VLOOKUP(H582,编码对账表!C:D,2,0)</f>
        <v/>
      </c>
      <c r="J582" s="330" t="n">
        <v>67050</v>
      </c>
      <c r="K582" s="331" t="inlineStr">
        <is>
          <t>DPT202507230013</t>
        </is>
      </c>
      <c r="L582" s="332" t="inlineStr">
        <is>
          <t>1403250723100620</t>
        </is>
      </c>
      <c r="M582" s="757" t="inlineStr">
        <is>
          <t>印尼奥海</t>
        </is>
      </c>
      <c r="N582" s="756" t="inlineStr">
        <is>
          <t>CHANHUA PTE. LTD.</t>
        </is>
      </c>
      <c r="O582" s="757" t="n">
        <v>8.512600000000001</v>
      </c>
      <c r="P582" s="346">
        <f>VLOOKUP(L582,'[2]BHSC_销售订单明细报表_060825 (7)'!$E$1:$E$65536,1,FALSE)</f>
        <v/>
      </c>
      <c r="Q582" s="758" t="inlineStr">
        <is>
          <t>是</t>
        </is>
      </c>
      <c r="R582" s="336" t="inlineStr">
        <is>
          <t>等待ASECL传输数据</t>
        </is>
      </c>
    </row>
    <row r="583" customFormat="1" s="658">
      <c r="A583" s="106" t="n">
        <v>581</v>
      </c>
      <c r="B583" s="754" t="inlineStr">
        <is>
          <t>chanhua</t>
        </is>
      </c>
      <c r="C583" s="761" t="n">
        <v>45860</v>
      </c>
      <c r="D583" s="755" t="inlineStr">
        <is>
          <t>新加坡比特</t>
        </is>
      </c>
      <c r="E583" s="756" t="inlineStr">
        <is>
          <t>XJ</t>
        </is>
      </c>
      <c r="F583" s="756" t="n"/>
      <c r="G583" s="756" t="n"/>
      <c r="H583" s="376" t="inlineStr">
        <is>
          <t>BM1489</t>
        </is>
      </c>
      <c r="I583" s="755">
        <f>VLOOKUP(H583,编码对账表!C:D,2,0)</f>
        <v/>
      </c>
      <c r="J583" s="330" t="n">
        <v>140481</v>
      </c>
      <c r="K583" s="331" t="inlineStr">
        <is>
          <t>DPT202507280010</t>
        </is>
      </c>
      <c r="L583" s="332" t="inlineStr">
        <is>
          <t>1403250728114146</t>
        </is>
      </c>
      <c r="M583" s="757" t="inlineStr">
        <is>
          <t>印尼奥海</t>
        </is>
      </c>
      <c r="N583" s="763" t="inlineStr">
        <is>
          <t>CHANHUA PTE. LTD.</t>
        </is>
      </c>
      <c r="O583" s="764" t="n">
        <v>5.7392</v>
      </c>
      <c r="P583" s="346" t="n"/>
      <c r="Q583" s="336" t="inlineStr">
        <is>
          <t>是</t>
        </is>
      </c>
      <c r="R583" s="336" t="inlineStr">
        <is>
          <t>在XAP欠账-818977</t>
        </is>
      </c>
      <c r="S583" s="336" t="inlineStr">
        <is>
          <t>ICOP未同步，数据太多</t>
        </is>
      </c>
      <c r="T583" s="336" t="n"/>
      <c r="U583" s="336" t="n"/>
      <c r="V583" s="336" t="n"/>
      <c r="W583" s="336" t="n"/>
      <c r="X583" s="758" t="n"/>
      <c r="Y583" s="758" t="n"/>
      <c r="Z583" s="758" t="n"/>
      <c r="AA583" s="758" t="n"/>
      <c r="AB583" s="758" t="n"/>
      <c r="AC583" s="758" t="n"/>
    </row>
    <row r="584" customFormat="1" s="703">
      <c r="A584" s="382" t="n">
        <v>582</v>
      </c>
      <c r="B584" s="784" t="inlineStr">
        <is>
          <t>chanhua</t>
        </is>
      </c>
      <c r="C584" s="761" t="n">
        <v>45856</v>
      </c>
      <c r="D584" s="762" t="inlineStr">
        <is>
          <t>新加坡比特</t>
        </is>
      </c>
      <c r="E584" s="763" t="inlineStr">
        <is>
          <t>XJ</t>
        </is>
      </c>
      <c r="F584" s="763" t="n"/>
      <c r="G584" s="763" t="n"/>
      <c r="H584" s="384" t="inlineStr">
        <is>
          <t>BM1491AA</t>
        </is>
      </c>
      <c r="I584" s="762">
        <f>VLOOKUP(H584,编码对账表!C:D,2,0)</f>
        <v/>
      </c>
      <c r="J584" s="349" t="n">
        <v>54966</v>
      </c>
      <c r="K584" s="350" t="inlineStr">
        <is>
          <t>DPT202507280011</t>
        </is>
      </c>
      <c r="L584" s="351" t="inlineStr">
        <is>
          <t>1403250728114152</t>
        </is>
      </c>
      <c r="M584" s="764" t="inlineStr">
        <is>
          <t>印尼奥海</t>
        </is>
      </c>
      <c r="N584" s="763" t="inlineStr">
        <is>
          <t>CHANHUA PTE. LTD.</t>
        </is>
      </c>
      <c r="O584" s="764" t="n">
        <v>11.1592</v>
      </c>
      <c r="P584" s="346">
        <f>VLOOKUP(L584,'[2]BHSC_销售订单明细报表_060825 (7)'!$E$1:$E$65536,1,FALSE)</f>
        <v/>
      </c>
      <c r="Q584" s="381" t="inlineStr">
        <is>
          <t>是</t>
        </is>
      </c>
      <c r="R584" s="381" t="n"/>
      <c r="S584" s="381" t="n"/>
      <c r="T584" s="381" t="n"/>
      <c r="U584" s="381" t="n"/>
      <c r="V584" s="381" t="n"/>
      <c r="W584" s="381" t="n"/>
      <c r="X584" s="765" t="n"/>
      <c r="Y584" s="765" t="n"/>
      <c r="Z584" s="765" t="n"/>
      <c r="AA584" s="765" t="n"/>
      <c r="AB584" s="765" t="n"/>
      <c r="AC584" s="765" t="n"/>
    </row>
    <row r="585" s="184">
      <c r="A585" s="106" t="n">
        <v>583</v>
      </c>
      <c r="B585" s="754" t="inlineStr">
        <is>
          <t>chanhua</t>
        </is>
      </c>
      <c r="C585" s="761" t="n">
        <v>45863</v>
      </c>
      <c r="D585" s="755" t="inlineStr">
        <is>
          <t>新加坡比特</t>
        </is>
      </c>
      <c r="E585" s="756" t="inlineStr">
        <is>
          <t>XJ</t>
        </is>
      </c>
      <c r="H585" s="376" t="inlineStr">
        <is>
          <t>BM1370PA</t>
        </is>
      </c>
      <c r="I585" s="755">
        <f>VLOOKUP(H585,编码对账表!C:D,2,0)</f>
        <v/>
      </c>
      <c r="J585" s="330" t="n">
        <v>75968</v>
      </c>
      <c r="K585" s="331" t="inlineStr">
        <is>
          <t>DPT202507280012</t>
        </is>
      </c>
      <c r="L585" s="332" t="inlineStr">
        <is>
          <t>1403250728114159</t>
        </is>
      </c>
      <c r="M585" s="757" t="inlineStr">
        <is>
          <t>Nationgate</t>
        </is>
      </c>
      <c r="N585" s="756" t="inlineStr">
        <is>
          <t>CHANHUA PTE. LTD.</t>
        </is>
      </c>
      <c r="O585" s="757" t="n">
        <v>8.512600000000001</v>
      </c>
      <c r="P585" s="346">
        <f>VLOOKUP(L585,'[2]BHSC_销售订单明细报表_060825 (7)'!$E$1:$E$65536,1,FALSE)</f>
        <v/>
      </c>
      <c r="Q585" s="335" t="inlineStr">
        <is>
          <t>是</t>
        </is>
      </c>
    </row>
    <row r="586" s="184">
      <c r="A586" s="106" t="n">
        <v>584</v>
      </c>
      <c r="B586" s="754" t="inlineStr">
        <is>
          <t>chanhua</t>
        </is>
      </c>
      <c r="C586" s="761" t="n">
        <v>45863</v>
      </c>
      <c r="D586" s="755" t="inlineStr">
        <is>
          <t>新加坡比特</t>
        </is>
      </c>
      <c r="E586" s="756" t="inlineStr">
        <is>
          <t>SPILSZ</t>
        </is>
      </c>
      <c r="H586" s="376" t="inlineStr">
        <is>
          <t>BM1370PA</t>
        </is>
      </c>
      <c r="I586" s="755">
        <f>VLOOKUP(H586,编码对账表!C:D,2,0)</f>
        <v/>
      </c>
      <c r="J586" s="330" t="n">
        <v>180</v>
      </c>
      <c r="K586" s="331" t="inlineStr">
        <is>
          <t>DPT202507280013</t>
        </is>
      </c>
      <c r="L586" s="332" t="inlineStr">
        <is>
          <t>1403250728114206</t>
        </is>
      </c>
      <c r="M586" s="757" t="inlineStr">
        <is>
          <t>PIE</t>
        </is>
      </c>
      <c r="N586" s="756" t="inlineStr">
        <is>
          <t>CHANHUA PTE. LTD.</t>
        </is>
      </c>
      <c r="O586" s="757" t="n">
        <v>8.512600000000001</v>
      </c>
      <c r="P586" s="346">
        <f>VLOOKUP(L586,'[2]BHSC_销售订单明细报表_060825 (7)'!$E$1:$E$65536,1,FALSE)</f>
        <v/>
      </c>
      <c r="Q586" s="335" t="inlineStr">
        <is>
          <t>是</t>
        </is>
      </c>
    </row>
    <row r="587" s="184">
      <c r="A587" s="106" t="n">
        <v>585</v>
      </c>
      <c r="B587" s="754" t="inlineStr">
        <is>
          <t>chanhua</t>
        </is>
      </c>
      <c r="C587" s="761" t="n">
        <v>45863</v>
      </c>
      <c r="D587" s="755" t="inlineStr">
        <is>
          <t>新加坡比特</t>
        </is>
      </c>
      <c r="E587" s="756" t="inlineStr">
        <is>
          <t>NJ-VT</t>
        </is>
      </c>
      <c r="H587" s="756" t="inlineStr">
        <is>
          <t>BM1370PF</t>
        </is>
      </c>
      <c r="I587" s="755">
        <f>VLOOKUP(H587,编码对账表!C:D,2,0)</f>
        <v/>
      </c>
      <c r="J587" s="330" t="n">
        <v>248578</v>
      </c>
      <c r="K587" s="331" t="inlineStr">
        <is>
          <t>DPT202507280014</t>
        </is>
      </c>
      <c r="L587" s="332" t="inlineStr">
        <is>
          <t>1403250728114214</t>
        </is>
      </c>
      <c r="M587" s="757" t="inlineStr">
        <is>
          <t>PIE</t>
        </is>
      </c>
      <c r="N587" s="756" t="inlineStr">
        <is>
          <t>CHANHUA PTE. LTD.</t>
        </is>
      </c>
      <c r="O587" s="757" t="n">
        <v>8.512600000000001</v>
      </c>
      <c r="P587" s="346">
        <f>VLOOKUP(L587,'[2]BHSC_销售订单明细报表_060825 (7)'!$E$1:$E$65536,1,FALSE)</f>
        <v/>
      </c>
      <c r="Q587" s="335" t="inlineStr">
        <is>
          <t>是</t>
        </is>
      </c>
    </row>
    <row r="588" s="184">
      <c r="A588" s="106" t="n">
        <v>586</v>
      </c>
      <c r="B588" s="754" t="inlineStr">
        <is>
          <t>chanhua</t>
        </is>
      </c>
      <c r="C588" s="761" t="n">
        <v>45863</v>
      </c>
      <c r="D588" s="755" t="inlineStr">
        <is>
          <t>新加坡比特</t>
        </is>
      </c>
      <c r="E588" s="756" t="inlineStr">
        <is>
          <t>NJ-VT</t>
        </is>
      </c>
      <c r="H588" s="756" t="inlineStr">
        <is>
          <t>BM1370PA</t>
        </is>
      </c>
      <c r="I588" s="755">
        <f>VLOOKUP(H588,编码对账表!C:D,2,0)</f>
        <v/>
      </c>
      <c r="J588" s="330" t="n">
        <v>424016</v>
      </c>
      <c r="K588" s="331" t="inlineStr">
        <is>
          <t>DPT202507280015</t>
        </is>
      </c>
      <c r="L588" s="332" t="inlineStr">
        <is>
          <t>1403250728114221</t>
        </is>
      </c>
      <c r="M588" s="757" t="inlineStr">
        <is>
          <t>印尼奥海</t>
        </is>
      </c>
      <c r="N588" s="756" t="inlineStr">
        <is>
          <t>CHANHUA PTE. LTD.</t>
        </is>
      </c>
      <c r="O588" s="757" t="n">
        <v>8.512600000000001</v>
      </c>
      <c r="P588" s="346">
        <f>VLOOKUP(L588,'[2]BHSC_销售订单明细报表_060825 (7)'!$E$1:$E$65536,1,FALSE)</f>
        <v/>
      </c>
      <c r="Q588" s="336" t="inlineStr">
        <is>
          <t>是</t>
        </is>
      </c>
      <c r="R588" s="783" t="inlineStr">
        <is>
          <t>Y31010530在XAP可用量不足，仅6817</t>
        </is>
      </c>
    </row>
    <row r="589" s="184">
      <c r="A589" s="106" t="n">
        <v>587</v>
      </c>
      <c r="B589" s="754" t="inlineStr">
        <is>
          <t>chanhua</t>
        </is>
      </c>
      <c r="C589" s="761" t="n">
        <v>45863</v>
      </c>
      <c r="D589" s="755" t="inlineStr">
        <is>
          <t>新加坡比特</t>
        </is>
      </c>
      <c r="E589" s="756" t="inlineStr">
        <is>
          <t>XJ</t>
        </is>
      </c>
      <c r="H589" s="756" t="inlineStr">
        <is>
          <t>BM1370PA</t>
        </is>
      </c>
      <c r="I589" s="755">
        <f>VLOOKUP(H589,编码对账表!C:D,2,0)</f>
        <v/>
      </c>
      <c r="J589" s="330" t="n">
        <v>130836</v>
      </c>
      <c r="K589" s="331" t="inlineStr">
        <is>
          <t>DPT202507280016</t>
        </is>
      </c>
      <c r="L589" s="332" t="inlineStr">
        <is>
          <t>1403250728114229</t>
        </is>
      </c>
      <c r="M589" s="757" t="inlineStr">
        <is>
          <t>印尼奥海</t>
        </is>
      </c>
      <c r="N589" s="756" t="inlineStr">
        <is>
          <t>CHANHUA PTE. LTD.</t>
        </is>
      </c>
      <c r="O589" s="757" t="n">
        <v>8.512600000000001</v>
      </c>
      <c r="P589" s="346">
        <f>VLOOKUP(L589,'[2]BHSC_销售订单明细报表_060825 (7)'!$E$1:$E$65536,1,FALSE)</f>
        <v/>
      </c>
      <c r="Q589" s="758" t="inlineStr">
        <is>
          <t>是</t>
        </is>
      </c>
      <c r="R589" s="783" t="inlineStr">
        <is>
          <t>Y31010530在XAP可用量不足，仅6817</t>
        </is>
      </c>
    </row>
    <row r="590" customFormat="1" s="658">
      <c r="A590" s="106" t="n">
        <v>588</v>
      </c>
      <c r="B590" s="754" t="inlineStr">
        <is>
          <t>chanhua</t>
        </is>
      </c>
      <c r="C590" s="761" t="n">
        <v>45863</v>
      </c>
      <c r="D590" s="755" t="inlineStr">
        <is>
          <t>新加坡比特</t>
        </is>
      </c>
      <c r="E590" s="756" t="inlineStr">
        <is>
          <t>XJ</t>
        </is>
      </c>
      <c r="F590" s="756" t="n"/>
      <c r="G590" s="756" t="n"/>
      <c r="H590" s="756" t="inlineStr">
        <is>
          <t>BM1489</t>
        </is>
      </c>
      <c r="I590" s="755">
        <f>VLOOKUP(H590,编码对账表!C:D,2,0)</f>
        <v/>
      </c>
      <c r="J590" s="330" t="n">
        <v>106931</v>
      </c>
      <c r="K590" s="331" t="inlineStr">
        <is>
          <t>DPT202507280017</t>
        </is>
      </c>
      <c r="L590" s="332" t="inlineStr">
        <is>
          <t>1403250728114236</t>
        </is>
      </c>
      <c r="M590" s="757" t="inlineStr">
        <is>
          <t>印尼奥海</t>
        </is>
      </c>
      <c r="N590" s="756" t="inlineStr">
        <is>
          <t>CHANHUA PTE. LTD.</t>
        </is>
      </c>
      <c r="O590" s="757" t="n">
        <v>5.7392</v>
      </c>
      <c r="P590" s="346">
        <f>VLOOKUP(L590,'[2]BHSC_销售订单明细报表_060825 (7)'!$E$1:$E$65536,1,FALSE)</f>
        <v/>
      </c>
      <c r="Q590" s="336" t="inlineStr">
        <is>
          <t>是</t>
        </is>
      </c>
      <c r="R590" s="336" t="inlineStr">
        <is>
          <t>在XAP欠账-818977</t>
        </is>
      </c>
      <c r="S590" s="336" t="inlineStr">
        <is>
          <t>ICOP未同步，数据太多</t>
        </is>
      </c>
      <c r="T590" s="336" t="n"/>
      <c r="U590" s="336" t="n"/>
      <c r="V590" s="336" t="n"/>
      <c r="W590" s="336" t="n"/>
      <c r="X590" s="758" t="n"/>
      <c r="Y590" s="758" t="n"/>
      <c r="Z590" s="758" t="n"/>
      <c r="AA590" s="758" t="n"/>
      <c r="AB590" s="758" t="n"/>
      <c r="AC590" s="758" t="n"/>
    </row>
    <row r="591" s="184">
      <c r="A591" s="106" t="n">
        <v>589</v>
      </c>
      <c r="B591" s="754" t="inlineStr">
        <is>
          <t>chanhua</t>
        </is>
      </c>
      <c r="C591" s="761" t="n">
        <v>45863</v>
      </c>
      <c r="D591" s="755" t="inlineStr">
        <is>
          <t>新加坡比特</t>
        </is>
      </c>
      <c r="E591" s="756" t="inlineStr">
        <is>
          <t>XJ</t>
        </is>
      </c>
      <c r="H591" s="756" t="inlineStr">
        <is>
          <t>BM1491AA</t>
        </is>
      </c>
      <c r="I591" s="755">
        <f>VLOOKUP(H591,编码对账表!C:D,2,0)</f>
        <v/>
      </c>
      <c r="J591" s="330" t="n">
        <v>81707</v>
      </c>
      <c r="K591" s="331" t="inlineStr">
        <is>
          <t>DPT202507280018</t>
        </is>
      </c>
      <c r="L591" s="332" t="inlineStr">
        <is>
          <t>1403250728114244</t>
        </is>
      </c>
      <c r="M591" s="757" t="inlineStr">
        <is>
          <t>印尼奥海</t>
        </is>
      </c>
      <c r="N591" s="756" t="inlineStr">
        <is>
          <t>CHANHUA PTE. LTD.</t>
        </is>
      </c>
      <c r="O591" s="757" t="n">
        <v>11.1592</v>
      </c>
      <c r="P591" s="346">
        <f>VLOOKUP(L591,'[2]BHSC_销售订单明细报表_060825 (7)'!$E$1:$E$65536,1,FALSE)</f>
        <v/>
      </c>
      <c r="Q591" s="335" t="inlineStr">
        <is>
          <t>是</t>
        </is>
      </c>
      <c r="R591" s="336" t="inlineStr">
        <is>
          <t>A2FX25BJ2T——marking未抛送</t>
        </is>
      </c>
      <c r="S591" s="336" t="inlineStr">
        <is>
          <t>ICOP未同步</t>
        </is>
      </c>
    </row>
    <row r="592" s="184">
      <c r="A592" s="106" t="n">
        <v>591</v>
      </c>
      <c r="B592" s="754" t="inlineStr">
        <is>
          <t>chanhua</t>
        </is>
      </c>
      <c r="C592" s="761" t="n">
        <v>45855</v>
      </c>
      <c r="D592" s="755" t="inlineStr">
        <is>
          <t>新加坡比特</t>
        </is>
      </c>
      <c r="E592" s="756" t="inlineStr">
        <is>
          <t>WX-HN</t>
        </is>
      </c>
      <c r="H592" s="756" t="inlineStr">
        <is>
          <t>BM1370BC</t>
        </is>
      </c>
      <c r="I592" s="755">
        <f>VLOOKUP(H592,编码对账表!C:D,2,0)</f>
        <v/>
      </c>
      <c r="J592" s="330" t="n">
        <v>317376</v>
      </c>
      <c r="K592" s="331" t="inlineStr">
        <is>
          <t>DPT202507280020</t>
        </is>
      </c>
      <c r="L592" s="332" t="inlineStr">
        <is>
          <t>1403250728114259</t>
        </is>
      </c>
      <c r="M592" s="757" t="inlineStr">
        <is>
          <t>印尼奥海</t>
        </is>
      </c>
      <c r="N592" s="756" t="inlineStr">
        <is>
          <t>CHANHUA PTE. LTD.</t>
        </is>
      </c>
      <c r="O592" s="757" t="n">
        <v>8.512600000000001</v>
      </c>
      <c r="P592" s="346" t="n"/>
      <c r="Q592" s="335" t="inlineStr">
        <is>
          <t>是</t>
        </is>
      </c>
    </row>
    <row r="593" s="184">
      <c r="A593" s="106" t="n">
        <v>592</v>
      </c>
      <c r="B593" s="754" t="inlineStr">
        <is>
          <t>chanhua</t>
        </is>
      </c>
      <c r="C593" s="761" t="n">
        <v>45855</v>
      </c>
      <c r="D593" s="755" t="inlineStr">
        <is>
          <t>新加坡比特</t>
        </is>
      </c>
      <c r="E593" s="756" t="inlineStr">
        <is>
          <t>WX-HN</t>
        </is>
      </c>
      <c r="H593" s="756" t="inlineStr">
        <is>
          <t>BM1370PA</t>
        </is>
      </c>
      <c r="I593" s="755">
        <f>VLOOKUP(H593,编码对账表!C:D,2,0)</f>
        <v/>
      </c>
      <c r="J593" s="330" t="n">
        <v>54267</v>
      </c>
      <c r="K593" s="331" t="inlineStr">
        <is>
          <t>DPT202507280021</t>
        </is>
      </c>
      <c r="L593" s="332" t="inlineStr">
        <is>
          <t>1403250728114305</t>
        </is>
      </c>
      <c r="M593" s="757" t="inlineStr">
        <is>
          <t>印尼奥海</t>
        </is>
      </c>
      <c r="N593" s="756" t="inlineStr">
        <is>
          <t>CHANHUA PTE. LTD.</t>
        </is>
      </c>
      <c r="O593" s="757" t="n">
        <v>8.512600000000001</v>
      </c>
      <c r="P593" s="346" t="n"/>
      <c r="Q593" s="335" t="inlineStr">
        <is>
          <t>是</t>
        </is>
      </c>
    </row>
    <row r="594" s="184">
      <c r="A594" s="106" t="n">
        <v>593</v>
      </c>
      <c r="B594" s="754" t="inlineStr">
        <is>
          <t>chanhua</t>
        </is>
      </c>
      <c r="C594" s="761" t="n">
        <v>45862</v>
      </c>
      <c r="D594" s="755" t="inlineStr">
        <is>
          <t>新加坡比特</t>
        </is>
      </c>
      <c r="E594" s="756" t="inlineStr">
        <is>
          <t>NJ-VT</t>
        </is>
      </c>
      <c r="H594" s="756" t="inlineStr">
        <is>
          <t>BM1370PA</t>
        </is>
      </c>
      <c r="I594" s="755">
        <f>VLOOKUP(H594,编码对账表!C:D,2,0)</f>
        <v/>
      </c>
      <c r="J594" s="330" t="n">
        <v>216919</v>
      </c>
      <c r="K594" s="331" t="inlineStr">
        <is>
          <t>DPT202507280022</t>
        </is>
      </c>
      <c r="L594" s="332" t="inlineStr">
        <is>
          <t>1403250728114311</t>
        </is>
      </c>
      <c r="M594" s="757" t="inlineStr">
        <is>
          <t>泰国群光</t>
        </is>
      </c>
      <c r="N594" s="756" t="inlineStr">
        <is>
          <t>CHANHUA PTE. LTD.</t>
        </is>
      </c>
      <c r="O594" s="757" t="n">
        <v>8.512600000000001</v>
      </c>
      <c r="P594" s="346">
        <f>VLOOKUP(L594,'[2]BHSC_销售订单明细报表_060825 (7)'!$E$1:$E$65536,1,FALSE)</f>
        <v/>
      </c>
      <c r="Q594" s="336" t="inlineStr">
        <is>
          <t>是</t>
        </is>
      </c>
      <c r="R594" s="783" t="inlineStr">
        <is>
          <t>Y31010530在XAP可用量不足，仅6817</t>
        </is>
      </c>
    </row>
    <row r="595" s="184">
      <c r="A595" s="106" t="n">
        <v>594</v>
      </c>
      <c r="B595" s="754" t="inlineStr">
        <is>
          <t>chanhua</t>
        </is>
      </c>
      <c r="C595" s="761" t="n">
        <v>45857</v>
      </c>
      <c r="D595" s="755" t="inlineStr">
        <is>
          <t>新加坡比特</t>
        </is>
      </c>
      <c r="E595" s="756" t="inlineStr">
        <is>
          <t>SPILSZ</t>
        </is>
      </c>
      <c r="H595" s="756" t="inlineStr">
        <is>
          <t>BM1370PA</t>
        </is>
      </c>
      <c r="I595" s="755">
        <f>VLOOKUP(H595,编码对账表!C:D,2,0)</f>
        <v/>
      </c>
      <c r="J595" s="330" t="n">
        <v>121208</v>
      </c>
      <c r="K595" s="331" t="inlineStr">
        <is>
          <t>DPT202507280023</t>
        </is>
      </c>
      <c r="L595" s="332" t="inlineStr">
        <is>
          <t>1403250728114317</t>
        </is>
      </c>
      <c r="M595" s="757" t="inlineStr">
        <is>
          <t>泰国群光</t>
        </is>
      </c>
      <c r="N595" s="756" t="inlineStr">
        <is>
          <t>CHANHUA PTE. LTD.</t>
        </is>
      </c>
      <c r="O595" s="757" t="n">
        <v>8.512600000000001</v>
      </c>
      <c r="P595" s="346">
        <f>VLOOKUP(L595,'[2]BHSC_销售订单明细报表_060825 (7)'!$E$1:$E$65536,1,FALSE)</f>
        <v/>
      </c>
      <c r="Q595" s="758" t="inlineStr">
        <is>
          <t>是</t>
        </is>
      </c>
      <c r="R595" s="783" t="inlineStr">
        <is>
          <t>Y31010530在XAP可用量不足，仅6817</t>
        </is>
      </c>
    </row>
    <row r="596" s="184">
      <c r="A596" s="106" t="n">
        <v>595</v>
      </c>
      <c r="B596" s="754" t="inlineStr">
        <is>
          <t>chanhua</t>
        </is>
      </c>
      <c r="C596" s="761" t="n">
        <v>45855</v>
      </c>
      <c r="D596" s="755" t="inlineStr">
        <is>
          <t>新加坡比特</t>
        </is>
      </c>
      <c r="E596" s="756" t="inlineStr">
        <is>
          <t>WX-HN</t>
        </is>
      </c>
      <c r="H596" s="756" t="inlineStr">
        <is>
          <t>BM1370BC</t>
        </is>
      </c>
      <c r="I596" s="755">
        <f>VLOOKUP(H596,编码对账表!C:D,2,0)</f>
        <v/>
      </c>
      <c r="J596" s="330" t="n">
        <v>516086</v>
      </c>
      <c r="K596" s="331" t="inlineStr">
        <is>
          <t>DPT202508070012</t>
        </is>
      </c>
      <c r="L596" s="332" t="inlineStr">
        <is>
          <t>1403250807124135</t>
        </is>
      </c>
      <c r="M596" s="757" t="inlineStr">
        <is>
          <t>泰国群光</t>
        </is>
      </c>
      <c r="N596" s="756" t="inlineStr">
        <is>
          <t>CHANHUA PTE. LTD.</t>
        </is>
      </c>
      <c r="O596" s="757" t="n">
        <v>8.512600000000001</v>
      </c>
      <c r="P596" s="346" t="n"/>
      <c r="Q596" s="335" t="inlineStr">
        <is>
          <t>是</t>
        </is>
      </c>
    </row>
    <row r="597" s="184">
      <c r="A597" s="106" t="n">
        <v>595</v>
      </c>
      <c r="B597" s="754" t="inlineStr">
        <is>
          <t>chanhua</t>
        </is>
      </c>
      <c r="C597" s="761" t="n">
        <v>45863</v>
      </c>
      <c r="D597" s="755" t="inlineStr">
        <is>
          <t>新加坡比特</t>
        </is>
      </c>
      <c r="E597" s="756" t="inlineStr">
        <is>
          <t>WX-HN</t>
        </is>
      </c>
      <c r="H597" s="756" t="inlineStr">
        <is>
          <t>BM1370PA</t>
        </is>
      </c>
      <c r="I597" s="755">
        <f>VLOOKUP(H597,编码对账表!C:D,2,0)</f>
        <v/>
      </c>
      <c r="J597" s="330" t="n">
        <v>196081</v>
      </c>
      <c r="K597" s="331" t="inlineStr">
        <is>
          <t>DPT202508070013</t>
        </is>
      </c>
      <c r="L597" s="332" t="inlineStr">
        <is>
          <t>1403250807124144</t>
        </is>
      </c>
      <c r="M597" s="757" t="inlineStr">
        <is>
          <t>泰国群光</t>
        </is>
      </c>
      <c r="N597" s="756" t="inlineStr">
        <is>
          <t>CHANHUA PTE. LTD.</t>
        </is>
      </c>
      <c r="O597" s="757" t="n">
        <v>8.512600000000001</v>
      </c>
      <c r="P597" s="346" t="n"/>
      <c r="Q597" s="335" t="inlineStr">
        <is>
          <t>是</t>
        </is>
      </c>
    </row>
    <row r="598" s="184">
      <c r="A598" s="106" t="n">
        <v>596</v>
      </c>
      <c r="B598" s="754" t="inlineStr">
        <is>
          <t>chanhua</t>
        </is>
      </c>
      <c r="C598" s="761" t="n">
        <v>45862</v>
      </c>
      <c r="D598" s="755" t="inlineStr">
        <is>
          <t>新加坡比特</t>
        </is>
      </c>
      <c r="E598" s="756" t="inlineStr">
        <is>
          <t>JSCC</t>
        </is>
      </c>
      <c r="H598" s="756" t="inlineStr">
        <is>
          <t>BM1370AA</t>
        </is>
      </c>
      <c r="I598" s="755">
        <f>VLOOKUP(H598,编码对账表!C:D,2,0)</f>
        <v/>
      </c>
      <c r="J598" s="330" t="n">
        <v>15036</v>
      </c>
      <c r="K598" s="331" t="inlineStr">
        <is>
          <t>DPT202507280025</t>
        </is>
      </c>
      <c r="L598" s="332" t="inlineStr">
        <is>
          <t>1403250728114329</t>
        </is>
      </c>
      <c r="M598" s="757" t="inlineStr">
        <is>
          <t>泰国群光</t>
        </is>
      </c>
      <c r="N598" s="756" t="inlineStr">
        <is>
          <t>CHANHUA PTE. LTD.</t>
        </is>
      </c>
      <c r="O598" s="757" t="n">
        <v>8.512600000000001</v>
      </c>
      <c r="P598" s="346">
        <f>VLOOKUP(L598,'[2]BHSC_销售订单明细报表_060825 (7)'!$E$1:$E$65536,1,FALSE)</f>
        <v/>
      </c>
      <c r="Q598" s="336" t="inlineStr">
        <is>
          <t>是</t>
        </is>
      </c>
      <c r="R598" s="336" t="inlineStr">
        <is>
          <t>ICOP未完工，前道库存不足</t>
        </is>
      </c>
    </row>
    <row r="599" s="184">
      <c r="A599" s="106" t="n">
        <v>597</v>
      </c>
      <c r="B599" s="754" t="inlineStr">
        <is>
          <t>chanhua</t>
        </is>
      </c>
      <c r="C599" s="761" t="n">
        <v>45862</v>
      </c>
      <c r="D599" s="755" t="inlineStr">
        <is>
          <t>新加坡比特</t>
        </is>
      </c>
      <c r="E599" s="756" t="inlineStr">
        <is>
          <t>JSCC</t>
        </is>
      </c>
      <c r="H599" s="756" t="inlineStr">
        <is>
          <t>BM1370PA</t>
        </is>
      </c>
      <c r="I599" s="755">
        <f>VLOOKUP(H599,编码对账表!C:D,2,0)</f>
        <v/>
      </c>
      <c r="J599" s="330" t="n">
        <v>22709</v>
      </c>
      <c r="K599" s="331" t="inlineStr">
        <is>
          <t>DPT202507280026</t>
        </is>
      </c>
      <c r="L599" s="332" t="inlineStr">
        <is>
          <t>1403250728114334</t>
        </is>
      </c>
      <c r="M599" s="757" t="inlineStr">
        <is>
          <t>泰国群光</t>
        </is>
      </c>
      <c r="N599" s="756" t="inlineStr">
        <is>
          <t>CHANHUA PTE. LTD.</t>
        </is>
      </c>
      <c r="O599" s="757" t="n">
        <v>8.512600000000001</v>
      </c>
      <c r="P599" s="346">
        <f>VLOOKUP(L599,'[2]BHSC_销售订单明细报表_060825 (7)'!$E$1:$E$65536,1,FALSE)</f>
        <v/>
      </c>
      <c r="Q599" s="336" t="inlineStr">
        <is>
          <t>否</t>
        </is>
      </c>
      <c r="R599" s="336" t="inlineStr">
        <is>
          <t>ICOP未完工，前道库存不足（9/11晚上抛）</t>
        </is>
      </c>
      <c r="S599" s="336" t="inlineStr">
        <is>
          <t>J1ZM25AL02/BIN2/BM1370P_F3V01B1C1没有上一阶段的WIP</t>
        </is>
      </c>
    </row>
    <row r="600" s="184">
      <c r="A600" s="106" t="n">
        <v>598</v>
      </c>
      <c r="B600" s="754" t="inlineStr">
        <is>
          <t>chanhua</t>
        </is>
      </c>
      <c r="C600" s="761" t="n">
        <v>45863</v>
      </c>
      <c r="D600" s="755" t="inlineStr">
        <is>
          <t>新加坡比特</t>
        </is>
      </c>
      <c r="E600" s="756" t="inlineStr">
        <is>
          <t>XJ</t>
        </is>
      </c>
      <c r="H600" s="756" t="inlineStr">
        <is>
          <t>BM1370PA</t>
        </is>
      </c>
      <c r="I600" s="755">
        <f>VLOOKUP(H600,编码对账表!C:D,2,0)</f>
        <v/>
      </c>
      <c r="J600" s="330" t="n">
        <v>163654</v>
      </c>
      <c r="K600" s="331" t="inlineStr">
        <is>
          <t>DPT202507280027</t>
        </is>
      </c>
      <c r="L600" s="332" t="inlineStr">
        <is>
          <t>1403250728114352</t>
        </is>
      </c>
      <c r="M600" s="757" t="inlineStr">
        <is>
          <t>泰国ONETEC</t>
        </is>
      </c>
      <c r="N600" s="756" t="inlineStr">
        <is>
          <t>CHANHUA PTE. LTD.</t>
        </is>
      </c>
      <c r="O600" s="757" t="n">
        <v>8.512600000000001</v>
      </c>
      <c r="P600" s="346">
        <f>VLOOKUP(L600,'[2]BHSC_销售订单明细报表_060825 (7)'!$E$1:$E$65536,1,FALSE)</f>
        <v/>
      </c>
      <c r="Q600" s="758" t="inlineStr">
        <is>
          <t>是</t>
        </is>
      </c>
      <c r="R600" s="783" t="inlineStr">
        <is>
          <t>Y31010530在XAP可用量不足，仅6817</t>
        </is>
      </c>
    </row>
    <row r="601" s="184">
      <c r="A601" s="106" t="n">
        <v>590</v>
      </c>
      <c r="B601" s="754" t="inlineStr">
        <is>
          <t>chanhua</t>
        </is>
      </c>
      <c r="C601" s="761" t="n">
        <v>45854</v>
      </c>
      <c r="D601" s="755" t="inlineStr">
        <is>
          <t>新加坡比特</t>
        </is>
      </c>
      <c r="E601" s="756" t="inlineStr">
        <is>
          <t>XJ</t>
        </is>
      </c>
      <c r="H601" s="756" t="inlineStr">
        <is>
          <t>BM1370PA</t>
        </is>
      </c>
      <c r="I601" s="755">
        <f>VLOOKUP(H601,编码对账表!C:D,2,0)</f>
        <v/>
      </c>
      <c r="J601" s="330" t="n">
        <v>28326</v>
      </c>
      <c r="K601" s="331" t="inlineStr">
        <is>
          <t>DPT202507280028</t>
        </is>
      </c>
      <c r="L601" s="332" t="inlineStr">
        <is>
          <t>1403250728160902</t>
        </is>
      </c>
      <c r="M601" s="757" t="inlineStr">
        <is>
          <t>墨西哥欧陆通</t>
        </is>
      </c>
      <c r="N601" s="756" t="inlineStr">
        <is>
          <t>CHANHUA PTE. LTD.</t>
        </is>
      </c>
      <c r="O601" s="757" t="n">
        <v>8.512600000000001</v>
      </c>
      <c r="P601" s="346">
        <f>VLOOKUP(L601,'[2]BHSC_销售订单明细报表_060825 (7)'!$E$1:$E$65536,1,FALSE)</f>
        <v/>
      </c>
      <c r="Q601" s="758" t="inlineStr">
        <is>
          <t>是</t>
        </is>
      </c>
      <c r="R601" s="783" t="inlineStr">
        <is>
          <t>Y31010530在XAP可用量不足，仅6817</t>
        </is>
      </c>
    </row>
    <row r="602" s="184">
      <c r="A602" s="106" t="n">
        <v>591</v>
      </c>
      <c r="B602" s="754" t="inlineStr">
        <is>
          <t>chanhua</t>
        </is>
      </c>
      <c r="C602" s="761" t="n">
        <v>45854</v>
      </c>
      <c r="D602" s="755" t="inlineStr">
        <is>
          <t>新加坡比特</t>
        </is>
      </c>
      <c r="E602" s="756" t="inlineStr">
        <is>
          <t>XJ</t>
        </is>
      </c>
      <c r="H602" s="756" t="inlineStr">
        <is>
          <t>BM1370PF</t>
        </is>
      </c>
      <c r="I602" s="755">
        <f>VLOOKUP(H602,编码对账表!C:D,2,0)</f>
        <v/>
      </c>
      <c r="J602" s="330" t="n">
        <v>263557</v>
      </c>
      <c r="K602" s="331" t="inlineStr">
        <is>
          <t>DPT202507280029</t>
        </is>
      </c>
      <c r="L602" s="332" t="inlineStr">
        <is>
          <t>1403250728160909</t>
        </is>
      </c>
      <c r="M602" s="757" t="inlineStr">
        <is>
          <t>墨西哥欧陆通</t>
        </is>
      </c>
      <c r="N602" s="756" t="inlineStr">
        <is>
          <t>CHANHUA PTE. LTD.</t>
        </is>
      </c>
      <c r="O602" s="757" t="n">
        <v>8.512600000000001</v>
      </c>
      <c r="P602" s="346" t="n"/>
      <c r="Q602" s="335" t="inlineStr">
        <is>
          <t>是</t>
        </is>
      </c>
    </row>
    <row r="603" s="184">
      <c r="A603" s="106" t="n">
        <v>592</v>
      </c>
      <c r="B603" s="754" t="inlineStr">
        <is>
          <t>chanhua</t>
        </is>
      </c>
      <c r="C603" s="761" t="n">
        <v>45854</v>
      </c>
      <c r="D603" s="755" t="inlineStr">
        <is>
          <t>新加坡比特</t>
        </is>
      </c>
      <c r="E603" s="756" t="inlineStr">
        <is>
          <t>XJ</t>
        </is>
      </c>
      <c r="H603" s="756" t="inlineStr">
        <is>
          <t>BM1370PA</t>
        </is>
      </c>
      <c r="I603" s="755">
        <f>VLOOKUP(H603,编码对账表!C:D,2,0)</f>
        <v/>
      </c>
      <c r="J603" s="330" t="n">
        <v>42018</v>
      </c>
      <c r="K603" s="331" t="inlineStr">
        <is>
          <t>DPT202507280030</t>
        </is>
      </c>
      <c r="L603" s="332" t="inlineStr">
        <is>
          <t>1403250728160918</t>
        </is>
      </c>
      <c r="M603" s="757" t="inlineStr">
        <is>
          <t>印尼奥海</t>
        </is>
      </c>
      <c r="N603" s="756" t="inlineStr">
        <is>
          <t>CHANHUA PTE. LTD.</t>
        </is>
      </c>
      <c r="O603" s="757" t="n">
        <v>8.512600000000001</v>
      </c>
      <c r="P603" s="346">
        <f>VLOOKUP(L603,'[2]BHSC_销售订单明细报表_060825 (7)'!$E$1:$E$65536,1,FALSE)</f>
        <v/>
      </c>
      <c r="Q603" s="758" t="inlineStr">
        <is>
          <t>是</t>
        </is>
      </c>
      <c r="R603" s="783" t="inlineStr">
        <is>
          <t>Y31010530在XAP可用量不足，仅6817</t>
        </is>
      </c>
    </row>
    <row r="604" s="184">
      <c r="A604" s="106" t="n">
        <v>593</v>
      </c>
      <c r="B604" s="754" t="inlineStr">
        <is>
          <t>chanhua</t>
        </is>
      </c>
      <c r="C604" s="761" t="n">
        <v>45863</v>
      </c>
      <c r="D604" s="755" t="inlineStr">
        <is>
          <t>美国比特</t>
        </is>
      </c>
      <c r="E604" s="756" t="inlineStr">
        <is>
          <t>XJ</t>
        </is>
      </c>
      <c r="H604" s="756" t="inlineStr">
        <is>
          <t>BM1370PA</t>
        </is>
      </c>
      <c r="I604" s="755">
        <f>VLOOKUP(H604,编码对账表!C:D,2,0)</f>
        <v/>
      </c>
      <c r="J604" s="330" t="n">
        <v>97971</v>
      </c>
      <c r="K604" s="331" t="inlineStr">
        <is>
          <t>BTD202508180010</t>
        </is>
      </c>
      <c r="L604" s="332" t="inlineStr">
        <is>
          <t>1155250818144420</t>
        </is>
      </c>
      <c r="M604" s="757" t="inlineStr">
        <is>
          <t>美国KTRN</t>
        </is>
      </c>
      <c r="N604" s="756" t="inlineStr">
        <is>
          <t>CHANHUA PTE. LTD.</t>
        </is>
      </c>
      <c r="O604" s="757" t="n">
        <v>14.57</v>
      </c>
      <c r="P604" s="346">
        <f>VLOOKUP(L604,'[2]BHSC_销售订单明细报表_060825 (7)'!$E$1:$E$65536,1,FALSE)</f>
        <v/>
      </c>
      <c r="Q604" s="335" t="inlineStr">
        <is>
          <t>是</t>
        </is>
      </c>
    </row>
    <row r="605" s="184">
      <c r="A605" s="106" t="n">
        <v>594</v>
      </c>
      <c r="B605" s="754" t="inlineStr">
        <is>
          <t>chanhua</t>
        </is>
      </c>
      <c r="C605" s="761" t="n">
        <v>45869</v>
      </c>
      <c r="D605" s="755" t="inlineStr">
        <is>
          <t>新加坡比特</t>
        </is>
      </c>
      <c r="E605" s="756" t="inlineStr">
        <is>
          <t>ASECL</t>
        </is>
      </c>
      <c r="H605" s="756" t="inlineStr">
        <is>
          <t>BM1370PF</t>
        </is>
      </c>
      <c r="I605" s="755">
        <f>VLOOKUP(H605,编码对账表!C:D,2,0)</f>
        <v/>
      </c>
      <c r="J605" s="330" t="n">
        <v>117800</v>
      </c>
      <c r="K605" s="331" t="inlineStr">
        <is>
          <t>DPT202508010010</t>
        </is>
      </c>
      <c r="L605" s="332" t="inlineStr">
        <is>
          <t>1403250801210554</t>
        </is>
      </c>
      <c r="M605" s="757" t="inlineStr">
        <is>
          <t>PIE</t>
        </is>
      </c>
      <c r="N605" s="756" t="inlineStr">
        <is>
          <t>CHANHUA PTE. LTD.</t>
        </is>
      </c>
      <c r="O605" s="757" t="n">
        <v>8.512600000000001</v>
      </c>
      <c r="P605" s="346">
        <f>VLOOKUP(L605,'[2]BHSC_销售订单明细报表_060825 (7)'!$E$1:$E$65536,1,FALSE)</f>
        <v/>
      </c>
      <c r="Q605" s="758" t="inlineStr">
        <is>
          <t>是</t>
        </is>
      </c>
      <c r="R605" s="336" t="inlineStr">
        <is>
          <t>等待ASECL传输数据</t>
        </is>
      </c>
    </row>
    <row r="606" s="184">
      <c r="A606" s="106" t="n">
        <v>595</v>
      </c>
      <c r="B606" s="754" t="inlineStr">
        <is>
          <t>chanhua</t>
        </is>
      </c>
      <c r="C606" s="761" t="n">
        <v>45863</v>
      </c>
      <c r="D606" s="755" t="inlineStr">
        <is>
          <t>新加坡比特</t>
        </is>
      </c>
      <c r="E606" s="756" t="inlineStr">
        <is>
          <t>ASECL</t>
        </is>
      </c>
      <c r="H606" s="756" t="inlineStr">
        <is>
          <t>BM1370BB</t>
        </is>
      </c>
      <c r="I606" s="755">
        <f>VLOOKUP(H606,编码对账表!C:D,2,0)</f>
        <v/>
      </c>
      <c r="J606" s="330" t="n">
        <v>92</v>
      </c>
      <c r="K606" s="331" t="inlineStr">
        <is>
          <t>DPT202508010011</t>
        </is>
      </c>
      <c r="L606" s="332" t="inlineStr">
        <is>
          <t>1403250801210559</t>
        </is>
      </c>
      <c r="M606" s="757" t="inlineStr">
        <is>
          <t>泰国群光</t>
        </is>
      </c>
      <c r="N606" s="756" t="inlineStr">
        <is>
          <t>CHANHUA PTE. LTD.</t>
        </is>
      </c>
      <c r="O606" s="757" t="n">
        <v>8.512600000000001</v>
      </c>
      <c r="P606" s="346">
        <f>VLOOKUP(L606,'[2]BHSC_销售订单明细报表_060825 (7)'!$E$1:$E$65536,1,FALSE)</f>
        <v/>
      </c>
      <c r="Q606" s="758" t="inlineStr">
        <is>
          <t>是</t>
        </is>
      </c>
      <c r="R606" s="336" t="inlineStr">
        <is>
          <t>等待ASECL传输数据</t>
        </is>
      </c>
    </row>
    <row r="607" s="184">
      <c r="A607" s="106" t="n">
        <v>596</v>
      </c>
      <c r="B607" s="754" t="inlineStr">
        <is>
          <t>chanhua</t>
        </is>
      </c>
      <c r="C607" s="761" t="n">
        <v>45863</v>
      </c>
      <c r="D607" s="755" t="inlineStr">
        <is>
          <t>新加坡比特</t>
        </is>
      </c>
      <c r="E607" s="756" t="inlineStr">
        <is>
          <t>ASECL</t>
        </is>
      </c>
      <c r="H607" s="756" t="inlineStr">
        <is>
          <t>BM1370PA</t>
        </is>
      </c>
      <c r="I607" s="755">
        <f>VLOOKUP(H607,编码对账表!C:D,2,0)</f>
        <v/>
      </c>
      <c r="J607" s="330" t="n">
        <v>87528</v>
      </c>
      <c r="K607" s="331" t="inlineStr">
        <is>
          <t>DPT202508010012</t>
        </is>
      </c>
      <c r="L607" s="332" t="inlineStr">
        <is>
          <t>1403250801210607</t>
        </is>
      </c>
      <c r="M607" s="757" t="inlineStr">
        <is>
          <t>泰国群光</t>
        </is>
      </c>
      <c r="N607" s="756" t="inlineStr">
        <is>
          <t>CHANHUA PTE. LTD.</t>
        </is>
      </c>
      <c r="O607" s="757" t="n">
        <v>8.512600000000001</v>
      </c>
      <c r="P607" s="346">
        <f>VLOOKUP(L607,'[2]BHSC_销售订单明细报表_060825 (7)'!$E$1:$E$65536,1,FALSE)</f>
        <v/>
      </c>
      <c r="Q607" s="758" t="inlineStr">
        <is>
          <t>是</t>
        </is>
      </c>
      <c r="R607" s="336" t="inlineStr">
        <is>
          <t>等待ASECL传输数据</t>
        </is>
      </c>
    </row>
    <row r="608" s="184">
      <c r="A608" s="106" t="n">
        <v>597</v>
      </c>
      <c r="B608" s="754" t="inlineStr">
        <is>
          <t>chanhua</t>
        </is>
      </c>
      <c r="C608" s="761" t="n">
        <v>45862</v>
      </c>
      <c r="D608" s="755" t="inlineStr">
        <is>
          <t>新加坡比特</t>
        </is>
      </c>
      <c r="E608" s="756" t="inlineStr">
        <is>
          <t>JSCC</t>
        </is>
      </c>
      <c r="H608" s="756" t="inlineStr">
        <is>
          <t>BM1370AA</t>
        </is>
      </c>
      <c r="I608" s="755">
        <f>VLOOKUP(H608,编码对账表!C:D,2,0)</f>
        <v/>
      </c>
      <c r="J608" s="330" t="n">
        <v>13525</v>
      </c>
      <c r="K608" s="331" t="inlineStr">
        <is>
          <t>DPT202508010013</t>
        </is>
      </c>
      <c r="L608" s="332" t="inlineStr">
        <is>
          <t>1403250801210614</t>
        </is>
      </c>
      <c r="M608" s="757" t="inlineStr">
        <is>
          <t>PIE</t>
        </is>
      </c>
      <c r="N608" s="756" t="inlineStr">
        <is>
          <t>CHANHUA PTE. LTD.</t>
        </is>
      </c>
      <c r="O608" s="757" t="n">
        <v>8.512600000000001</v>
      </c>
      <c r="P608" s="346">
        <f>VLOOKUP(L608,'[2]BHSC_销售订单明细报表_060825 (7)'!$E$1:$E$65536,1,FALSE)</f>
        <v/>
      </c>
      <c r="Q608" s="335" t="inlineStr">
        <is>
          <t>是</t>
        </is>
      </c>
    </row>
    <row r="609" customFormat="1" s="785">
      <c r="A609" s="356" t="n">
        <v>598</v>
      </c>
      <c r="B609" s="786" t="inlineStr">
        <is>
          <t>chanhua</t>
        </is>
      </c>
      <c r="C609" s="761" t="n">
        <v>45862</v>
      </c>
      <c r="D609" s="771" t="inlineStr">
        <is>
          <t>新加坡比特</t>
        </is>
      </c>
      <c r="E609" s="770" t="inlineStr">
        <is>
          <t>JSCC</t>
        </is>
      </c>
      <c r="F609" s="770" t="n"/>
      <c r="G609" s="770" t="n"/>
      <c r="H609" s="770" t="inlineStr">
        <is>
          <t>BM1370AA</t>
        </is>
      </c>
      <c r="I609" s="771">
        <f>VLOOKUP(H609,编码对账表!C:D,2,0)</f>
        <v/>
      </c>
      <c r="J609" s="386" t="n">
        <v>15036</v>
      </c>
      <c r="K609" s="387" t="inlineStr">
        <is>
          <t>DPT202508010014</t>
        </is>
      </c>
      <c r="L609" s="388" t="inlineStr">
        <is>
          <t>1403250801210620</t>
        </is>
      </c>
      <c r="M609" s="787" t="inlineStr">
        <is>
          <t>泰国群光</t>
        </is>
      </c>
      <c r="N609" s="756" t="inlineStr">
        <is>
          <t>CHANHUA PTE. LTD.</t>
        </is>
      </c>
      <c r="O609" s="757" t="n">
        <v>8.512600000000001</v>
      </c>
      <c r="P609" s="346">
        <f>VLOOKUP(L609,'[2]BHSC_销售订单明细报表_060825 (7)'!$E$1:$E$65536,1,FALSE)</f>
        <v/>
      </c>
      <c r="Q609" s="390" t="n"/>
      <c r="R609" s="390" t="inlineStr">
        <is>
          <t>下重复，已取消</t>
        </is>
      </c>
      <c r="S609" s="390" t="inlineStr">
        <is>
          <t>下多</t>
        </is>
      </c>
      <c r="T609" s="390" t="n"/>
      <c r="U609" s="390" t="n"/>
      <c r="V609" s="390" t="n"/>
      <c r="W609" s="390" t="n"/>
      <c r="X609" s="788" t="n"/>
      <c r="Y609" s="788" t="n"/>
      <c r="Z609" s="788" t="n"/>
      <c r="AA609" s="788" t="n"/>
      <c r="AB609" s="788" t="n"/>
      <c r="AC609" s="788" t="n"/>
    </row>
    <row r="610" customFormat="1" s="785">
      <c r="A610" s="356" t="n">
        <v>599</v>
      </c>
      <c r="B610" s="786" t="inlineStr">
        <is>
          <t>chanhua</t>
        </is>
      </c>
      <c r="C610" s="761" t="n">
        <v>45862</v>
      </c>
      <c r="D610" s="771" t="inlineStr">
        <is>
          <t>新加坡比特</t>
        </is>
      </c>
      <c r="E610" s="770" t="inlineStr">
        <is>
          <t>JSCC</t>
        </is>
      </c>
      <c r="F610" s="770" t="n"/>
      <c r="G610" s="770" t="n"/>
      <c r="H610" s="770" t="inlineStr">
        <is>
          <t>BM1370PA</t>
        </is>
      </c>
      <c r="I610" s="771">
        <f>VLOOKUP(H610,编码对账表!C:D,2,0)</f>
        <v/>
      </c>
      <c r="J610" s="386" t="n">
        <v>22709</v>
      </c>
      <c r="K610" s="387" t="inlineStr">
        <is>
          <t>DPT202508010015</t>
        </is>
      </c>
      <c r="L610" s="388" t="inlineStr">
        <is>
          <t>1403250801210628</t>
        </is>
      </c>
      <c r="M610" s="787" t="inlineStr">
        <is>
          <t>泰国群光</t>
        </is>
      </c>
      <c r="N610" s="756" t="inlineStr">
        <is>
          <t>CHANHUA PTE. LTD.</t>
        </is>
      </c>
      <c r="O610" s="757" t="n">
        <v>8.512600000000001</v>
      </c>
      <c r="P610" s="346">
        <f>VLOOKUP(L610,'[2]BHSC_销售订单明细报表_060825 (7)'!$E$1:$E$65536,1,FALSE)</f>
        <v/>
      </c>
      <c r="Q610" s="390" t="n"/>
      <c r="R610" s="390" t="inlineStr">
        <is>
          <t>ICOP未完工，前道库存不足</t>
        </is>
      </c>
      <c r="S610" s="390" t="inlineStr">
        <is>
          <t>下多</t>
        </is>
      </c>
      <c r="T610" s="390" t="n"/>
      <c r="U610" s="390" t="n"/>
      <c r="V610" s="390" t="n"/>
      <c r="W610" s="390" t="n"/>
      <c r="X610" s="788" t="n"/>
      <c r="Y610" s="788" t="n"/>
      <c r="Z610" s="788" t="n"/>
      <c r="AA610" s="788" t="n"/>
      <c r="AB610" s="788" t="n"/>
      <c r="AC610" s="788" t="n"/>
    </row>
    <row r="611" s="184">
      <c r="A611" s="106" t="n">
        <v>600</v>
      </c>
      <c r="B611" s="754" t="inlineStr">
        <is>
          <t>chanhua</t>
        </is>
      </c>
      <c r="C611" s="761" t="n">
        <v>45869</v>
      </c>
      <c r="D611" s="755" t="inlineStr">
        <is>
          <t>新加坡比特</t>
        </is>
      </c>
      <c r="E611" s="756" t="inlineStr">
        <is>
          <t>SPILSZ</t>
        </is>
      </c>
      <c r="H611" s="756" t="inlineStr">
        <is>
          <t>BM1370PA</t>
        </is>
      </c>
      <c r="I611" s="755">
        <f>VLOOKUP(H611,编码对账表!C:D,2,0)</f>
        <v/>
      </c>
      <c r="J611" s="330" t="n">
        <v>69192</v>
      </c>
      <c r="K611" s="331" t="inlineStr">
        <is>
          <t>DPT202508010016</t>
        </is>
      </c>
      <c r="L611" s="332" t="inlineStr">
        <is>
          <t>1403250801210638</t>
        </is>
      </c>
      <c r="M611" s="757" t="inlineStr">
        <is>
          <t>泰国群光</t>
        </is>
      </c>
      <c r="N611" s="756" t="inlineStr">
        <is>
          <t>CHANHUA PTE. LTD.</t>
        </is>
      </c>
      <c r="O611" s="757" t="n">
        <v>8.512600000000001</v>
      </c>
      <c r="P611" s="346">
        <f>VLOOKUP(L611,'[2]BHSC_销售订单明细报表_060825 (7)'!$E$1:$E$65536,1,FALSE)</f>
        <v/>
      </c>
      <c r="Q611" s="758" t="inlineStr">
        <is>
          <t>是</t>
        </is>
      </c>
      <c r="R611" s="783" t="inlineStr">
        <is>
          <t>接收在8月，出在八月</t>
        </is>
      </c>
    </row>
    <row r="612" s="184">
      <c r="A612" s="106" t="n">
        <v>601</v>
      </c>
      <c r="B612" s="754" t="inlineStr">
        <is>
          <t>chanhua</t>
        </is>
      </c>
      <c r="C612" s="761" t="n">
        <v>45869</v>
      </c>
      <c r="D612" s="755" t="inlineStr">
        <is>
          <t>新加坡比特</t>
        </is>
      </c>
      <c r="E612" s="756" t="inlineStr">
        <is>
          <t>SPILSZ</t>
        </is>
      </c>
      <c r="H612" s="756" t="inlineStr">
        <is>
          <t>BM1370PF</t>
        </is>
      </c>
      <c r="I612" s="755">
        <f>VLOOKUP(H612,编码对账表!C:D,2,0)</f>
        <v/>
      </c>
      <c r="J612" s="330" t="n">
        <v>186200</v>
      </c>
      <c r="K612" s="331" t="inlineStr">
        <is>
          <t>DPT202508010017</t>
        </is>
      </c>
      <c r="L612" s="332" t="inlineStr">
        <is>
          <t>1403250801210645</t>
        </is>
      </c>
      <c r="M612" s="757" t="inlineStr">
        <is>
          <t>印尼奥海</t>
        </is>
      </c>
      <c r="N612" s="756" t="inlineStr">
        <is>
          <t>CHANHUA PTE. LTD.</t>
        </is>
      </c>
      <c r="O612" s="757" t="n">
        <v>8.512600000000001</v>
      </c>
      <c r="P612" s="346">
        <f>VLOOKUP(L612,'[2]BHSC_销售订单明细报表_060825 (7)'!$E$1:$E$65536,1,FALSE)</f>
        <v/>
      </c>
      <c r="R612" s="783" t="inlineStr">
        <is>
          <t>接收在8月，出在八月</t>
        </is>
      </c>
      <c r="S612" s="336" t="inlineStr">
        <is>
          <t>ICOP无法完工，最大可完工数量为0</t>
        </is>
      </c>
    </row>
    <row r="613" s="184">
      <c r="A613" s="106" t="n">
        <v>602</v>
      </c>
      <c r="B613" s="754" t="inlineStr">
        <is>
          <t>chanhua</t>
        </is>
      </c>
      <c r="C613" s="761" t="n">
        <v>45868</v>
      </c>
      <c r="D613" s="755" t="inlineStr">
        <is>
          <t>新加坡比特</t>
        </is>
      </c>
      <c r="E613" s="756" t="inlineStr">
        <is>
          <t>XJ</t>
        </is>
      </c>
      <c r="H613" s="756" t="inlineStr">
        <is>
          <t>BM1370PF</t>
        </is>
      </c>
      <c r="I613" s="755">
        <f>VLOOKUP(H613,编码对账表!C:D,2,0)</f>
        <v/>
      </c>
      <c r="J613" s="330" t="n">
        <v>279246</v>
      </c>
      <c r="K613" s="331" t="inlineStr">
        <is>
          <t>DPT202508010018</t>
        </is>
      </c>
      <c r="L613" s="332" t="inlineStr">
        <is>
          <t>1403250801221446</t>
        </is>
      </c>
      <c r="M613" s="757" t="inlineStr">
        <is>
          <t>PIE</t>
        </is>
      </c>
      <c r="N613" s="756" t="inlineStr">
        <is>
          <t>CHANHUA PTE. LTD.</t>
        </is>
      </c>
      <c r="O613" s="757" t="n">
        <v>8.512600000000001</v>
      </c>
      <c r="P613" s="346">
        <f>VLOOKUP(L613,'[2]BHSC_销售订单明细报表_060825 (7)'!$E$1:$E$65536,1,FALSE)</f>
        <v/>
      </c>
      <c r="Q613" s="335" t="inlineStr">
        <is>
          <t>是</t>
        </is>
      </c>
      <c r="R613" s="336" t="inlineStr">
        <is>
          <t>接收在8月，出在八月</t>
        </is>
      </c>
    </row>
    <row r="614" customFormat="1" s="658">
      <c r="A614" s="106" t="n">
        <v>603</v>
      </c>
      <c r="B614" s="754" t="inlineStr">
        <is>
          <t>chanhua</t>
        </is>
      </c>
      <c r="C614" s="761" t="n">
        <v>45867</v>
      </c>
      <c r="D614" s="755" t="inlineStr">
        <is>
          <t>新加坡比特</t>
        </is>
      </c>
      <c r="E614" s="756" t="inlineStr">
        <is>
          <t>XJ</t>
        </is>
      </c>
      <c r="F614" s="756" t="n"/>
      <c r="G614" s="756" t="n"/>
      <c r="H614" s="756" t="inlineStr">
        <is>
          <t>BM1489</t>
        </is>
      </c>
      <c r="I614" s="755">
        <f>VLOOKUP(H614,编码对账表!C:D,2,0)</f>
        <v/>
      </c>
      <c r="J614" s="330" t="n">
        <v>329159</v>
      </c>
      <c r="K614" s="331" t="inlineStr">
        <is>
          <t>DPT202508050013</t>
        </is>
      </c>
      <c r="L614" s="332" t="inlineStr">
        <is>
          <t>1403250805172125</t>
        </is>
      </c>
      <c r="M614" s="757" t="inlineStr">
        <is>
          <t>印尼奥海</t>
        </is>
      </c>
      <c r="N614" s="756" t="inlineStr">
        <is>
          <t>CHANHUA PTE. LTD.</t>
        </is>
      </c>
      <c r="O614" s="757" t="n">
        <v>5.7281</v>
      </c>
      <c r="P614" s="346">
        <f>VLOOKUP(L614,'[2]BHSC_销售订单明细报表_060825 (7)'!$E$1:$E$65536,1,FALSE)</f>
        <v/>
      </c>
      <c r="Q614" s="758" t="inlineStr">
        <is>
          <t>是</t>
        </is>
      </c>
      <c r="R614" s="336" t="inlineStr">
        <is>
          <t>接收在8月，出在八月</t>
        </is>
      </c>
      <c r="S614" s="336" t="inlineStr">
        <is>
          <t>ICOP未同步，数据太多</t>
        </is>
      </c>
      <c r="T614" s="336" t="n"/>
      <c r="U614" s="336" t="n"/>
      <c r="V614" s="336" t="n"/>
      <c r="W614" s="336" t="n"/>
      <c r="X614" s="758" t="n"/>
      <c r="Y614" s="758" t="n"/>
      <c r="Z614" s="758" t="n"/>
      <c r="AA614" s="758" t="n"/>
      <c r="AB614" s="758" t="n"/>
      <c r="AC614" s="758" t="n"/>
    </row>
    <row r="615" s="184">
      <c r="A615" s="106" t="n">
        <v>604</v>
      </c>
      <c r="B615" s="754" t="inlineStr">
        <is>
          <t>chanhua</t>
        </is>
      </c>
      <c r="C615" s="761" t="n">
        <v>45867</v>
      </c>
      <c r="D615" s="755" t="inlineStr">
        <is>
          <t>新加坡比特</t>
        </is>
      </c>
      <c r="E615" s="756" t="inlineStr">
        <is>
          <t>XJ</t>
        </is>
      </c>
      <c r="H615" s="756" t="inlineStr">
        <is>
          <t>BM1491AA</t>
        </is>
      </c>
      <c r="I615" s="755">
        <f>VLOOKUP(H615,编码对账表!C:D,2,0)</f>
        <v/>
      </c>
      <c r="J615" s="330" t="n">
        <v>275489</v>
      </c>
      <c r="K615" s="331" t="inlineStr">
        <is>
          <t>DPT202508010020</t>
        </is>
      </c>
      <c r="L615" s="332" t="inlineStr">
        <is>
          <t>1403250801221456</t>
        </is>
      </c>
      <c r="M615" s="757" t="inlineStr">
        <is>
          <t>印尼奥海</t>
        </is>
      </c>
      <c r="N615" s="756" t="inlineStr">
        <is>
          <t>CHANHUA PTE. LTD.</t>
        </is>
      </c>
      <c r="O615" s="757" t="n">
        <v>11.1592</v>
      </c>
      <c r="P615" s="346">
        <f>VLOOKUP(L615,'[2]BHSC_销售订单明细报表_060825 (7)'!$E$1:$E$65536,1,FALSE)</f>
        <v/>
      </c>
      <c r="Q615" s="335" t="inlineStr">
        <is>
          <t>是</t>
        </is>
      </c>
      <c r="R615" s="336" t="inlineStr">
        <is>
          <t>A2FX25BJ2T——marking未抛送</t>
        </is>
      </c>
      <c r="S615" s="336" t="inlineStr">
        <is>
          <t>ICOP未同步</t>
        </is>
      </c>
    </row>
    <row r="616" customFormat="1" s="658">
      <c r="A616" s="106" t="n">
        <v>605</v>
      </c>
      <c r="B616" s="754" t="inlineStr">
        <is>
          <t>chanhua</t>
        </is>
      </c>
      <c r="C616" s="761" t="n">
        <v>45869</v>
      </c>
      <c r="D616" s="755" t="inlineStr">
        <is>
          <t>新加坡比特</t>
        </is>
      </c>
      <c r="E616" s="756" t="inlineStr">
        <is>
          <t>JSCC</t>
        </is>
      </c>
      <c r="F616" s="756" t="n"/>
      <c r="G616" s="756" t="n"/>
      <c r="H616" s="330" t="inlineStr">
        <is>
          <t>BM1370PM</t>
        </is>
      </c>
      <c r="I616" s="755">
        <f>VLOOKUP(H616,编码对账表!C:D,2,0)</f>
        <v/>
      </c>
      <c r="J616" s="330" t="n">
        <v>405279</v>
      </c>
      <c r="K616" s="331" t="inlineStr">
        <is>
          <t>DPT202508020010</t>
        </is>
      </c>
      <c r="L616" s="332" t="inlineStr">
        <is>
          <t>1403250802110622</t>
        </is>
      </c>
      <c r="M616" s="331" t="inlineStr">
        <is>
          <t>SZQH</t>
        </is>
      </c>
      <c r="N616" s="756" t="inlineStr">
        <is>
          <t>CHANHUA PTE. LTD.</t>
        </is>
      </c>
      <c r="O616" s="789" t="n">
        <v>8.720000000000001</v>
      </c>
      <c r="P616" s="346">
        <f>VLOOKUP(L616,'[2]BHSC_销售订单明细报表_060825 (7)'!$E$1:$E$65536,1,FALSE)</f>
        <v/>
      </c>
      <c r="Q616" s="330" t="n"/>
      <c r="R616" s="330" t="n"/>
      <c r="S616" s="330" t="n"/>
    </row>
    <row r="617" s="184">
      <c r="A617" s="106" t="n">
        <v>607</v>
      </c>
      <c r="B617" s="754" t="inlineStr">
        <is>
          <t>chanhua</t>
        </is>
      </c>
      <c r="C617" s="761" t="n">
        <v>45869</v>
      </c>
      <c r="D617" s="755" t="inlineStr">
        <is>
          <t>新加坡比特</t>
        </is>
      </c>
      <c r="E617" s="756" t="inlineStr">
        <is>
          <t>NJ-VT</t>
        </is>
      </c>
      <c r="H617" s="756" t="inlineStr">
        <is>
          <t>BM1370PA</t>
        </is>
      </c>
      <c r="I617" s="755">
        <f>VLOOKUP(H617,编码对账表!C:D,2,0)</f>
        <v/>
      </c>
      <c r="J617" s="330" t="n">
        <v>39019</v>
      </c>
      <c r="K617" s="331" t="inlineStr">
        <is>
          <t>DPT202508050012</t>
        </is>
      </c>
      <c r="L617" s="332" t="inlineStr">
        <is>
          <t>1403250805164006</t>
        </is>
      </c>
      <c r="M617" s="757" t="inlineStr">
        <is>
          <t>马来KPMI</t>
        </is>
      </c>
      <c r="N617" s="756" t="inlineStr">
        <is>
          <t>CHANHUA PTE. LTD.</t>
        </is>
      </c>
      <c r="O617" s="789" t="n">
        <v>8.720000000000001</v>
      </c>
      <c r="P617" s="346">
        <f>VLOOKUP(L617,'[2]BHSC_销售订单明细报表_060825 (7)'!$E$1:$E$65536,1,FALSE)</f>
        <v/>
      </c>
      <c r="Q617" s="336" t="inlineStr">
        <is>
          <t>是</t>
        </is>
      </c>
      <c r="R617" s="783" t="inlineStr">
        <is>
          <t>Y31010530在XAP可用量不足，仅6817/接收在八月，出在八月</t>
        </is>
      </c>
    </row>
    <row r="618" s="184">
      <c r="A618" s="106" t="n">
        <v>402</v>
      </c>
      <c r="B618" s="754" t="inlineStr">
        <is>
          <t>chanhua</t>
        </is>
      </c>
      <c r="C618" s="761" t="n">
        <v>45800</v>
      </c>
      <c r="D618" s="755" t="inlineStr">
        <is>
          <t>香港比特</t>
        </is>
      </c>
      <c r="E618" s="393" t="inlineStr">
        <is>
          <t>合肥矽迈微电子科技有限公司</t>
        </is>
      </c>
      <c r="F618" s="393" t="n"/>
      <c r="G618" s="393" t="n"/>
      <c r="H618" s="376" t="inlineStr">
        <is>
          <t>BM1366FO</t>
        </is>
      </c>
      <c r="I618" s="755">
        <f>VLOOKUP(H618,编码对账表!C:D,2,0)</f>
        <v/>
      </c>
      <c r="J618" s="330" t="n">
        <v>13395</v>
      </c>
      <c r="K618" s="394" t="inlineStr">
        <is>
          <t>HKK202505230090</t>
        </is>
      </c>
      <c r="L618" s="332" t="inlineStr">
        <is>
          <t>1403250813154948</t>
        </is>
      </c>
      <c r="M618" s="757" t="inlineStr">
        <is>
          <t>CHHXYXPBLC</t>
        </is>
      </c>
      <c r="N618" s="756" t="inlineStr">
        <is>
          <t>CHANHUA PTE. LTD.</t>
        </is>
      </c>
      <c r="O618" s="757" t="n">
        <v>4.0657</v>
      </c>
    </row>
    <row r="619" s="184">
      <c r="A619" s="106" t="n">
        <v>510</v>
      </c>
      <c r="B619" s="754" t="inlineStr">
        <is>
          <t>chanhua</t>
        </is>
      </c>
      <c r="C619" s="761" t="n">
        <v>45810</v>
      </c>
      <c r="D619" s="755" t="inlineStr">
        <is>
          <t>香港比特</t>
        </is>
      </c>
      <c r="E619" s="393" t="inlineStr">
        <is>
          <t>合肥矽迈微电子科技有限公司</t>
        </is>
      </c>
      <c r="F619" s="393" t="n"/>
      <c r="G619" s="393" t="n"/>
      <c r="H619" s="376" t="inlineStr">
        <is>
          <t>BM1366FO</t>
        </is>
      </c>
      <c r="I619" s="755">
        <f>VLOOKUP(H619,编码对账表!C:D,2,0)</f>
        <v/>
      </c>
      <c r="J619" s="330" t="n">
        <v>10381</v>
      </c>
      <c r="K619" s="394" t="inlineStr">
        <is>
          <t>HKK202506020090</t>
        </is>
      </c>
      <c r="L619" s="332" t="inlineStr">
        <is>
          <t>1403250813154956</t>
        </is>
      </c>
      <c r="M619" s="757" t="inlineStr">
        <is>
          <t>CHHXYXPBLC</t>
        </is>
      </c>
      <c r="N619" s="756" t="inlineStr">
        <is>
          <t>CHANHUA PTE. LTD.</t>
        </is>
      </c>
      <c r="O619" s="757" t="n">
        <v>4.0657</v>
      </c>
    </row>
    <row r="620" s="184">
      <c r="A620" s="106" t="n">
        <v>511</v>
      </c>
      <c r="B620" s="754" t="inlineStr">
        <is>
          <t>chanhua</t>
        </is>
      </c>
      <c r="C620" s="761" t="n">
        <v>45810</v>
      </c>
      <c r="D620" s="755" t="inlineStr">
        <is>
          <t>香港比特</t>
        </is>
      </c>
      <c r="E620" s="393" t="inlineStr">
        <is>
          <t>合肥矽迈微电子科技有限公司</t>
        </is>
      </c>
      <c r="F620" s="393" t="n"/>
      <c r="G620" s="393" t="n"/>
      <c r="H620" s="376" t="inlineStr">
        <is>
          <t>BM1362AM</t>
        </is>
      </c>
      <c r="I620" s="755">
        <f>VLOOKUP(H620,编码对账表!C:D,2,0)</f>
        <v/>
      </c>
      <c r="J620" s="330" t="n">
        <v>27685</v>
      </c>
      <c r="K620" s="394" t="inlineStr">
        <is>
          <t>HKK202506020091</t>
        </is>
      </c>
      <c r="L620" s="332" t="inlineStr">
        <is>
          <t>1403250813155007</t>
        </is>
      </c>
      <c r="M620" s="757" t="inlineStr">
        <is>
          <t>CHHXYXPBLC</t>
        </is>
      </c>
      <c r="N620" s="756" t="inlineStr">
        <is>
          <t>CHANHUA PTE. LTD.</t>
        </is>
      </c>
      <c r="O620" s="757" t="n">
        <v>2.4828</v>
      </c>
    </row>
    <row r="621" s="184">
      <c r="A621" s="106" t="n">
        <v>402</v>
      </c>
      <c r="B621" s="754" t="inlineStr">
        <is>
          <t>chanhua</t>
        </is>
      </c>
      <c r="C621" s="761" t="n">
        <v>45800</v>
      </c>
      <c r="D621" s="755" t="inlineStr">
        <is>
          <t>香港比特</t>
        </is>
      </c>
      <c r="E621" s="393" t="inlineStr">
        <is>
          <t>合肥矽迈微电子科技有限公司</t>
        </is>
      </c>
      <c r="F621" s="393" t="n"/>
      <c r="G621" s="393" t="n"/>
      <c r="H621" s="376" t="inlineStr">
        <is>
          <t>BM1368</t>
        </is>
      </c>
      <c r="I621" s="755" t="inlineStr">
        <is>
          <t>Y30010502</t>
        </is>
      </c>
      <c r="J621" s="330" t="n">
        <v>3186</v>
      </c>
      <c r="K621" s="331" t="inlineStr">
        <is>
          <t>HKK202505230011</t>
        </is>
      </c>
      <c r="L621" s="332" t="inlineStr">
        <is>
          <t>1403250813133017</t>
        </is>
      </c>
      <c r="M621" s="757" t="inlineStr">
        <is>
          <t>CHHXYXPBLC</t>
        </is>
      </c>
      <c r="N621" s="756" t="inlineStr">
        <is>
          <t>CHANHUA PTE. LTD.</t>
        </is>
      </c>
      <c r="O621" s="757" t="n">
        <v>4.3202</v>
      </c>
    </row>
    <row r="622" s="184">
      <c r="A622" s="106" t="n">
        <v>402</v>
      </c>
      <c r="B622" s="754" t="inlineStr">
        <is>
          <t>chanhua</t>
        </is>
      </c>
      <c r="C622" s="761" t="n">
        <v>45800</v>
      </c>
      <c r="D622" s="755" t="inlineStr">
        <is>
          <t>香港比特</t>
        </is>
      </c>
      <c r="E622" s="756" t="inlineStr">
        <is>
          <t>ASECL</t>
        </is>
      </c>
      <c r="H622" s="756" t="inlineStr">
        <is>
          <t>BM1370</t>
        </is>
      </c>
      <c r="I622" s="755">
        <f>VLOOKUP(H622,编码对账表!C:D,2,0)</f>
        <v/>
      </c>
      <c r="J622" s="330" t="n">
        <v>96</v>
      </c>
      <c r="K622" s="331" t="inlineStr">
        <is>
          <t>HKK202505230012</t>
        </is>
      </c>
      <c r="M622" s="757" t="inlineStr">
        <is>
          <t>CHHXYXPBLC</t>
        </is>
      </c>
      <c r="N622" s="756" t="inlineStr">
        <is>
          <t>CHANHUA PTE. LTD.</t>
        </is>
      </c>
      <c r="O622" s="757" t="n"/>
    </row>
    <row r="623" s="184">
      <c r="A623" s="106" t="n">
        <v>402</v>
      </c>
      <c r="B623" s="754" t="inlineStr">
        <is>
          <t>chanhua</t>
        </is>
      </c>
      <c r="C623" s="761" t="n">
        <v>45800</v>
      </c>
      <c r="D623" s="755" t="inlineStr">
        <is>
          <t>香港比特</t>
        </is>
      </c>
      <c r="E623" s="756" t="inlineStr">
        <is>
          <t>ASECL</t>
        </is>
      </c>
      <c r="H623" s="756" t="inlineStr">
        <is>
          <t>BM1370A1</t>
        </is>
      </c>
      <c r="I623" s="755">
        <f>VLOOKUP(H623,编码对账表!C:D,2,0)</f>
        <v/>
      </c>
      <c r="J623" s="330" t="n">
        <v>39</v>
      </c>
      <c r="K623" s="331" t="inlineStr">
        <is>
          <t>HKK202505230013</t>
        </is>
      </c>
      <c r="M623" s="757" t="inlineStr">
        <is>
          <t>CHHXYXPBLC</t>
        </is>
      </c>
      <c r="N623" s="756" t="inlineStr">
        <is>
          <t>CHANHUA PTE. LTD.</t>
        </is>
      </c>
      <c r="O623" s="757" t="n"/>
    </row>
    <row r="624" s="184">
      <c r="A624" s="106" t="n">
        <v>402</v>
      </c>
      <c r="B624" s="754" t="inlineStr">
        <is>
          <t>chanhua</t>
        </is>
      </c>
      <c r="C624" s="761" t="n">
        <v>45800</v>
      </c>
      <c r="D624" s="755" t="inlineStr">
        <is>
          <t>香港比特</t>
        </is>
      </c>
      <c r="E624" s="756" t="inlineStr">
        <is>
          <t>ASECL</t>
        </is>
      </c>
      <c r="H624" s="756" t="inlineStr">
        <is>
          <t>BM1372</t>
        </is>
      </c>
      <c r="I624" s="755">
        <f>VLOOKUP(H624,编码对账表!C:D,2,0)</f>
        <v/>
      </c>
      <c r="J624" s="330" t="n">
        <v>1</v>
      </c>
      <c r="K624" s="331" t="inlineStr">
        <is>
          <t>HKK202505230014</t>
        </is>
      </c>
      <c r="M624" s="757" t="inlineStr">
        <is>
          <t>CHHXYXPBLC</t>
        </is>
      </c>
      <c r="N624" s="756" t="inlineStr">
        <is>
          <t>CHANHUA PTE. LTD.</t>
        </is>
      </c>
      <c r="O624" s="757" t="n"/>
    </row>
    <row r="625" s="184">
      <c r="A625" s="106" t="n">
        <v>516</v>
      </c>
      <c r="B625" s="754" t="inlineStr">
        <is>
          <t>chanhua</t>
        </is>
      </c>
      <c r="C625" s="761" t="n">
        <v>45867</v>
      </c>
      <c r="D625" s="755" t="inlineStr">
        <is>
          <t>香港比特</t>
        </is>
      </c>
      <c r="E625" s="756" t="inlineStr">
        <is>
          <t>SPILSZ</t>
        </is>
      </c>
      <c r="H625" s="756" t="inlineStr">
        <is>
          <t>BM1370PA</t>
        </is>
      </c>
      <c r="I625" s="755">
        <f>VLOOKUP(H625,编码对账表!C:D,2,0)</f>
        <v/>
      </c>
      <c r="J625" s="330" t="n">
        <v>58663</v>
      </c>
      <c r="K625" s="331" t="inlineStr">
        <is>
          <t>HKK202507290010</t>
        </is>
      </c>
      <c r="L625" s="332" t="inlineStr">
        <is>
          <t>1403250811170044</t>
        </is>
      </c>
      <c r="M625" s="757" t="inlineStr">
        <is>
          <t>CHHXYXPBLC</t>
        </is>
      </c>
      <c r="N625" s="756" t="inlineStr">
        <is>
          <t>CHANHUA PTE. LTD.</t>
        </is>
      </c>
      <c r="O625" s="757" t="n">
        <v>8.558</v>
      </c>
    </row>
    <row r="626" s="184">
      <c r="A626" s="106" t="n">
        <v>517</v>
      </c>
      <c r="B626" s="754" t="inlineStr">
        <is>
          <t>chanhua</t>
        </is>
      </c>
      <c r="C626" s="761" t="n">
        <v>45867</v>
      </c>
      <c r="D626" s="755" t="inlineStr">
        <is>
          <t>香港比特</t>
        </is>
      </c>
      <c r="E626" s="756" t="inlineStr">
        <is>
          <t>SPILSZ</t>
        </is>
      </c>
      <c r="H626" s="756" t="inlineStr">
        <is>
          <t>BM1370BC</t>
        </is>
      </c>
      <c r="I626" s="755">
        <f>VLOOKUP(H626,编码对账表!C:D,2,0)</f>
        <v/>
      </c>
      <c r="J626" s="330" t="n">
        <v>44887</v>
      </c>
      <c r="K626" s="331" t="inlineStr">
        <is>
          <t>HKK202507290011</t>
        </is>
      </c>
      <c r="L626" s="332" t="inlineStr">
        <is>
          <t>1403250811170053</t>
        </is>
      </c>
      <c r="M626" s="757" t="inlineStr">
        <is>
          <t>CHHXYXPBLC</t>
        </is>
      </c>
      <c r="N626" s="756" t="inlineStr">
        <is>
          <t>CHANHUA PTE. LTD.</t>
        </is>
      </c>
      <c r="O626" s="757" t="n">
        <v>8.558</v>
      </c>
    </row>
    <row r="627" s="184">
      <c r="A627" s="106" t="n">
        <v>518</v>
      </c>
      <c r="B627" s="754" t="inlineStr">
        <is>
          <t>chanhua</t>
        </is>
      </c>
      <c r="C627" s="761" t="n">
        <v>45867</v>
      </c>
      <c r="D627" s="755" t="inlineStr">
        <is>
          <t>香港比特</t>
        </is>
      </c>
      <c r="E627" s="756" t="inlineStr">
        <is>
          <t>SPILSZ</t>
        </is>
      </c>
      <c r="H627" s="756" t="inlineStr">
        <is>
          <t>BM1368PB</t>
        </is>
      </c>
      <c r="I627" s="755">
        <f>VLOOKUP(H627,编码对账表!C:D,2,0)</f>
        <v/>
      </c>
      <c r="J627" s="330" t="n">
        <v>49918</v>
      </c>
      <c r="K627" s="331" t="inlineStr">
        <is>
          <t>HKK202507290012</t>
        </is>
      </c>
      <c r="L627" s="332" t="inlineStr">
        <is>
          <t>1403250811170101</t>
        </is>
      </c>
      <c r="M627" s="757" t="inlineStr">
        <is>
          <t>CHHXYXPBLC</t>
        </is>
      </c>
      <c r="N627" s="756" t="inlineStr">
        <is>
          <t>CHANHUA PTE. LTD.</t>
        </is>
      </c>
      <c r="O627" s="757" t="n">
        <v>4.3851</v>
      </c>
    </row>
    <row r="628" s="184">
      <c r="A628" s="106" t="n">
        <v>519</v>
      </c>
      <c r="B628" s="754" t="inlineStr">
        <is>
          <t>chanhua</t>
        </is>
      </c>
      <c r="C628" s="761" t="n">
        <v>45867</v>
      </c>
      <c r="D628" s="755" t="inlineStr">
        <is>
          <t>香港比特</t>
        </is>
      </c>
      <c r="E628" s="756" t="inlineStr">
        <is>
          <t>SPILSZ</t>
        </is>
      </c>
      <c r="H628" s="756" t="inlineStr">
        <is>
          <t>BM1368PV</t>
        </is>
      </c>
      <c r="I628" s="755">
        <f>VLOOKUP(H628,编码对账表!C:D,2,0)</f>
        <v/>
      </c>
      <c r="J628" s="330" t="n">
        <v>13327</v>
      </c>
      <c r="K628" s="331" t="inlineStr">
        <is>
          <t>HKK202507290013</t>
        </is>
      </c>
      <c r="L628" s="332" t="inlineStr">
        <is>
          <t>1403250811170111</t>
        </is>
      </c>
      <c r="M628" s="757" t="inlineStr">
        <is>
          <t>CHHXYXPBLC</t>
        </is>
      </c>
      <c r="N628" s="756" t="inlineStr">
        <is>
          <t>CHANHUA PTE. LTD.</t>
        </is>
      </c>
      <c r="O628" s="757" t="n">
        <v>4.3851</v>
      </c>
    </row>
    <row r="629" s="184">
      <c r="A629" s="106" t="n">
        <v>520</v>
      </c>
      <c r="B629" s="754" t="inlineStr">
        <is>
          <t>chanhua</t>
        </is>
      </c>
      <c r="C629" s="761" t="n">
        <v>45867</v>
      </c>
      <c r="D629" s="755" t="inlineStr">
        <is>
          <t>香港比特</t>
        </is>
      </c>
      <c r="E629" s="756" t="inlineStr">
        <is>
          <t>SPILSZ</t>
        </is>
      </c>
      <c r="H629" s="756" t="inlineStr">
        <is>
          <t>BM1370AA</t>
        </is>
      </c>
      <c r="I629" s="755">
        <f>VLOOKUP(H629,编码对账表!C:D,2,0)</f>
        <v/>
      </c>
      <c r="J629" s="330" t="n">
        <v>7501</v>
      </c>
      <c r="K629" s="331" t="inlineStr">
        <is>
          <t>HKK202507290014</t>
        </is>
      </c>
      <c r="L629" s="332" t="inlineStr">
        <is>
          <t>1403250811170121</t>
        </is>
      </c>
      <c r="M629" s="757" t="inlineStr">
        <is>
          <t>CHHXYXPBLC</t>
        </is>
      </c>
      <c r="N629" s="756" t="inlineStr">
        <is>
          <t>CHANHUA PTE. LTD.</t>
        </is>
      </c>
      <c r="O629" s="757" t="n">
        <v>8.558</v>
      </c>
    </row>
    <row r="630" s="184">
      <c r="A630" s="106" t="n">
        <v>521</v>
      </c>
      <c r="B630" s="754" t="inlineStr">
        <is>
          <t>chanhua</t>
        </is>
      </c>
      <c r="C630" s="761" t="n">
        <v>45867</v>
      </c>
      <c r="D630" s="755" t="inlineStr">
        <is>
          <t>香港比特</t>
        </is>
      </c>
      <c r="E630" s="756" t="inlineStr">
        <is>
          <t>SPILSZ</t>
        </is>
      </c>
      <c r="H630" s="756" t="inlineStr">
        <is>
          <t>BM1368AA</t>
        </is>
      </c>
      <c r="I630" s="755">
        <f>VLOOKUP(H630,编码对账表!C:D,2,0)</f>
        <v/>
      </c>
      <c r="J630" s="330" t="n">
        <v>6182</v>
      </c>
      <c r="K630" s="331" t="inlineStr">
        <is>
          <t>HKK202507290015</t>
        </is>
      </c>
      <c r="L630" s="332" t="inlineStr">
        <is>
          <t>1403250811170131</t>
        </is>
      </c>
      <c r="M630" s="757" t="inlineStr">
        <is>
          <t>CHHXYXPBLC</t>
        </is>
      </c>
      <c r="N630" s="756" t="inlineStr">
        <is>
          <t>CHANHUA PTE. LTD.</t>
        </is>
      </c>
      <c r="O630" s="757" t="n">
        <v>5.4182</v>
      </c>
    </row>
    <row r="631" s="184">
      <c r="A631" s="106" t="n">
        <v>522</v>
      </c>
      <c r="B631" s="754" t="inlineStr">
        <is>
          <t>chanhua</t>
        </is>
      </c>
      <c r="C631" s="761" t="n">
        <v>45867</v>
      </c>
      <c r="D631" s="755" t="inlineStr">
        <is>
          <t>香港比特</t>
        </is>
      </c>
      <c r="E631" s="756" t="inlineStr">
        <is>
          <t>SPILSZ</t>
        </is>
      </c>
      <c r="H631" s="756" t="inlineStr">
        <is>
          <t>BM2382AA</t>
        </is>
      </c>
      <c r="I631" s="755">
        <f>VLOOKUP(H631,编码对账表!C:D,2,0)</f>
        <v/>
      </c>
      <c r="J631" s="330" t="n">
        <v>1274</v>
      </c>
      <c r="K631" s="331" t="inlineStr">
        <is>
          <t>HKK202507290016</t>
        </is>
      </c>
      <c r="L631" s="332" t="inlineStr">
        <is>
          <t>1403250811170141</t>
        </is>
      </c>
      <c r="M631" s="757" t="inlineStr">
        <is>
          <t>CHHXYXPBLC</t>
        </is>
      </c>
      <c r="N631" s="756" t="inlineStr">
        <is>
          <t>CHANHUA PTE. LTD.</t>
        </is>
      </c>
      <c r="O631" s="757" t="n">
        <v>2.9837</v>
      </c>
    </row>
    <row r="632" s="184">
      <c r="A632" s="106" t="n">
        <v>523</v>
      </c>
      <c r="B632" s="754" t="inlineStr">
        <is>
          <t>chanhua</t>
        </is>
      </c>
      <c r="C632" s="761" t="n">
        <v>45867</v>
      </c>
      <c r="D632" s="755" t="inlineStr">
        <is>
          <t>香港比特</t>
        </is>
      </c>
      <c r="E632" s="756" t="inlineStr">
        <is>
          <t>SPILSZ</t>
        </is>
      </c>
      <c r="H632" s="756" t="inlineStr">
        <is>
          <t>BM2460AA</t>
        </is>
      </c>
      <c r="I632" s="755">
        <f>VLOOKUP(H632,编码对账表!C:D,2,0)</f>
        <v/>
      </c>
      <c r="J632" s="330" t="n">
        <v>1993</v>
      </c>
      <c r="K632" s="331" t="inlineStr">
        <is>
          <t>HKK202507290017</t>
        </is>
      </c>
      <c r="L632" s="332" t="inlineStr">
        <is>
          <t>1403250811170147</t>
        </is>
      </c>
      <c r="M632" s="757" t="inlineStr">
        <is>
          <t>CHHXYXPBLC</t>
        </is>
      </c>
      <c r="N632" s="756" t="inlineStr">
        <is>
          <t>CHANHUA PTE. LTD.</t>
        </is>
      </c>
      <c r="O632" s="757" t="n">
        <v>11.2214</v>
      </c>
    </row>
    <row r="633" s="184">
      <c r="A633" s="106" t="n">
        <v>524</v>
      </c>
      <c r="B633" s="754" t="inlineStr">
        <is>
          <t>chanhua</t>
        </is>
      </c>
      <c r="C633" s="761" t="n">
        <v>45867</v>
      </c>
      <c r="D633" s="755" t="inlineStr">
        <is>
          <t>香港比特</t>
        </is>
      </c>
      <c r="E633" s="756" t="inlineStr">
        <is>
          <t>SPILSZ</t>
        </is>
      </c>
      <c r="H633" s="756" t="inlineStr">
        <is>
          <t>BM1370BB</t>
        </is>
      </c>
      <c r="I633" s="755">
        <f>VLOOKUP(H633,编码对账表!C:D,2,0)</f>
        <v/>
      </c>
      <c r="J633" s="330" t="n">
        <v>185</v>
      </c>
      <c r="K633" s="331" t="inlineStr">
        <is>
          <t>HKK202507290018</t>
        </is>
      </c>
      <c r="L633" s="332" t="inlineStr">
        <is>
          <t>1403250811170154</t>
        </is>
      </c>
      <c r="M633" s="757" t="inlineStr">
        <is>
          <t>CHHXYXPBLC</t>
        </is>
      </c>
      <c r="N633" s="756" t="inlineStr">
        <is>
          <t>CHANHUA PTE. LTD.</t>
        </is>
      </c>
      <c r="O633" s="757" t="n">
        <v>8.558</v>
      </c>
    </row>
    <row r="634" s="184">
      <c r="A634" s="106" t="n">
        <v>525</v>
      </c>
      <c r="B634" s="754" t="inlineStr">
        <is>
          <t>chanhua</t>
        </is>
      </c>
      <c r="C634" s="761" t="n">
        <v>45867</v>
      </c>
      <c r="D634" s="755" t="inlineStr">
        <is>
          <t>香港比特</t>
        </is>
      </c>
      <c r="E634" s="756" t="inlineStr">
        <is>
          <t>SPILSZ</t>
        </is>
      </c>
      <c r="H634" s="756" t="inlineStr">
        <is>
          <t>BM1370PZ</t>
        </is>
      </c>
      <c r="I634" s="755">
        <f>VLOOKUP(H634,编码对账表!C:D,2,0)</f>
        <v/>
      </c>
      <c r="J634" s="330" t="n">
        <v>164</v>
      </c>
      <c r="K634" s="331" t="inlineStr">
        <is>
          <t>HKK202507290019</t>
        </is>
      </c>
      <c r="L634" s="332" t="inlineStr">
        <is>
          <t>1403250811170202</t>
        </is>
      </c>
      <c r="M634" s="757" t="inlineStr">
        <is>
          <t>CHHXYXPBLC</t>
        </is>
      </c>
      <c r="N634" s="756" t="inlineStr">
        <is>
          <t>CHANHUA PTE. LTD.</t>
        </is>
      </c>
      <c r="O634" s="757" t="n">
        <v>8.558</v>
      </c>
    </row>
    <row r="635" s="184">
      <c r="A635" s="106" t="n">
        <v>526</v>
      </c>
      <c r="B635" s="754" t="inlineStr">
        <is>
          <t>chanhua</t>
        </is>
      </c>
      <c r="C635" s="761" t="n">
        <v>45867</v>
      </c>
      <c r="D635" s="755" t="inlineStr">
        <is>
          <t>香港比特</t>
        </is>
      </c>
      <c r="E635" s="756" t="inlineStr">
        <is>
          <t>SPILSZ</t>
        </is>
      </c>
      <c r="H635" s="756" t="inlineStr">
        <is>
          <t>BM1366AL</t>
        </is>
      </c>
      <c r="I635" s="755">
        <f>VLOOKUP(H635,编码对账表!C:D,2,0)</f>
        <v/>
      </c>
      <c r="J635" s="330" t="n">
        <v>105</v>
      </c>
      <c r="K635" s="331" t="inlineStr">
        <is>
          <t>HKK202507290020</t>
        </is>
      </c>
      <c r="L635" s="332" t="inlineStr">
        <is>
          <t>1403250811170211</t>
        </is>
      </c>
      <c r="M635" s="757" t="inlineStr">
        <is>
          <t>CHHXYXPBLC</t>
        </is>
      </c>
      <c r="N635" s="756" t="inlineStr">
        <is>
          <t>CHANHUA PTE. LTD.</t>
        </is>
      </c>
      <c r="O635" s="757" t="n">
        <v>4.0657</v>
      </c>
    </row>
    <row r="636" s="184">
      <c r="A636" s="106" t="n">
        <v>527</v>
      </c>
      <c r="B636" s="754" t="inlineStr">
        <is>
          <t>chanhua</t>
        </is>
      </c>
      <c r="C636" s="761" t="n">
        <v>45867</v>
      </c>
      <c r="D636" s="755" t="inlineStr">
        <is>
          <t>香港比特</t>
        </is>
      </c>
      <c r="E636" s="756" t="inlineStr">
        <is>
          <t>SPILSZ</t>
        </is>
      </c>
      <c r="H636" s="756" t="inlineStr">
        <is>
          <t>BM1368PA</t>
        </is>
      </c>
      <c r="I636" s="755">
        <f>VLOOKUP(H636,编码对账表!C:D,2,0)</f>
        <v/>
      </c>
      <c r="J636" s="330" t="n">
        <v>13</v>
      </c>
      <c r="K636" s="331" t="inlineStr">
        <is>
          <t>HKK202507290021</t>
        </is>
      </c>
      <c r="L636" s="332" t="inlineStr">
        <is>
          <t>1403250811170218</t>
        </is>
      </c>
      <c r="M636" s="757" t="inlineStr">
        <is>
          <t>CHHXYXPBLC</t>
        </is>
      </c>
      <c r="N636" s="756" t="inlineStr">
        <is>
          <t>CHANHUA PTE. LTD.</t>
        </is>
      </c>
      <c r="O636" s="757" t="n">
        <v>5.4182</v>
      </c>
    </row>
    <row r="637" s="184">
      <c r="A637" s="106" t="n">
        <v>528</v>
      </c>
      <c r="B637" s="754" t="inlineStr">
        <is>
          <t>chanhua</t>
        </is>
      </c>
      <c r="C637" s="761" t="n">
        <v>45867</v>
      </c>
      <c r="D637" s="755" t="inlineStr">
        <is>
          <t>香港比特</t>
        </is>
      </c>
      <c r="E637" s="756" t="inlineStr">
        <is>
          <t>SPILSZ</t>
        </is>
      </c>
      <c r="H637" s="756" t="inlineStr">
        <is>
          <t>BM1370PM</t>
        </is>
      </c>
      <c r="I637" s="755">
        <f>VLOOKUP(H637,编码对账表!C:D,2,0)</f>
        <v/>
      </c>
      <c r="J637" s="330" t="n">
        <v>1</v>
      </c>
      <c r="K637" s="331" t="inlineStr">
        <is>
          <t>HKK202507290022</t>
        </is>
      </c>
      <c r="L637" s="332" t="inlineStr">
        <is>
          <t>1403250811170229</t>
        </is>
      </c>
      <c r="M637" s="757" t="inlineStr">
        <is>
          <t>CHHXYXPBLC</t>
        </is>
      </c>
      <c r="N637" s="756" t="inlineStr">
        <is>
          <t>CHANHUA PTE. LTD.</t>
        </is>
      </c>
      <c r="O637" s="757" t="n">
        <v>8.558</v>
      </c>
    </row>
    <row r="638" s="184">
      <c r="A638" s="106" t="n">
        <v>529</v>
      </c>
      <c r="B638" s="754" t="inlineStr">
        <is>
          <t>外部</t>
        </is>
      </c>
      <c r="C638" s="761" t="n">
        <v>45802</v>
      </c>
      <c r="D638" s="755" t="inlineStr">
        <is>
          <t>CHANHUA</t>
        </is>
      </c>
      <c r="E638" s="756" t="inlineStr">
        <is>
          <t>TFME</t>
        </is>
      </c>
      <c r="H638" s="756" t="inlineStr">
        <is>
          <t>BM22808A</t>
        </is>
      </c>
      <c r="I638" s="330" t="inlineStr">
        <is>
          <t>W09JY2280011</t>
        </is>
      </c>
      <c r="J638" s="330" t="n">
        <v>50</v>
      </c>
      <c r="K638" s="394" t="inlineStr">
        <is>
          <t>CHH202505250082</t>
        </is>
      </c>
      <c r="M638" s="393" t="inlineStr">
        <is>
          <t>OCEAN FINE INDUSTRIAL LTD.</t>
        </is>
      </c>
      <c r="N638" s="756" t="inlineStr">
        <is>
          <t>USD</t>
        </is>
      </c>
      <c r="O638" s="394" t="n">
        <v>655</v>
      </c>
    </row>
    <row r="639" s="184">
      <c r="A639" s="106" t="n">
        <v>530</v>
      </c>
      <c r="B639" s="754" t="inlineStr">
        <is>
          <t>外部</t>
        </is>
      </c>
      <c r="C639" s="761" t="n">
        <v>45802</v>
      </c>
      <c r="D639" s="755" t="inlineStr">
        <is>
          <t>CHANHUA</t>
        </is>
      </c>
      <c r="E639" s="756" t="inlineStr">
        <is>
          <t>TFME</t>
        </is>
      </c>
      <c r="H639" s="756" t="inlineStr">
        <is>
          <t>BM22808A</t>
        </is>
      </c>
      <c r="I639" s="330" t="inlineStr">
        <is>
          <t>W31020502</t>
        </is>
      </c>
      <c r="J639" s="330" t="n">
        <v>397</v>
      </c>
      <c r="K639" s="394" t="inlineStr">
        <is>
          <t>CHH202505250083</t>
        </is>
      </c>
      <c r="M639" s="393" t="inlineStr">
        <is>
          <t>OCEAN FINE INDUSTRIAL LTD.</t>
        </is>
      </c>
      <c r="N639" s="756" t="inlineStr">
        <is>
          <t>USD</t>
        </is>
      </c>
      <c r="O639" s="394" t="n">
        <v>470</v>
      </c>
    </row>
    <row r="640" s="184">
      <c r="A640" s="106" t="n">
        <v>531</v>
      </c>
      <c r="B640" s="754" t="inlineStr">
        <is>
          <t>外部</t>
        </is>
      </c>
      <c r="C640" s="761" t="n">
        <v>45802</v>
      </c>
      <c r="D640" s="755" t="inlineStr">
        <is>
          <t>香港比特</t>
        </is>
      </c>
      <c r="E640" s="756" t="inlineStr">
        <is>
          <t>TFME</t>
        </is>
      </c>
      <c r="H640" s="756" t="inlineStr">
        <is>
          <t>BM22808A</t>
        </is>
      </c>
      <c r="I640" s="330" t="inlineStr">
        <is>
          <t>W09JY2280011</t>
        </is>
      </c>
      <c r="J640" s="330" t="n">
        <v>2</v>
      </c>
      <c r="K640" s="394" t="inlineStr">
        <is>
          <t>HKK202505250083</t>
        </is>
      </c>
      <c r="L640" s="757" t="n"/>
      <c r="M640" s="393" t="inlineStr">
        <is>
          <t>OCEAN FINE INDUSTRIAL LTD.</t>
        </is>
      </c>
      <c r="N640" s="756" t="inlineStr">
        <is>
          <t>USD</t>
        </is>
      </c>
      <c r="O640" s="394" t="n">
        <v>576</v>
      </c>
    </row>
    <row r="641" s="184">
      <c r="A641" s="106" t="n">
        <v>532</v>
      </c>
      <c r="B641" s="754" t="inlineStr">
        <is>
          <t>外部</t>
        </is>
      </c>
      <c r="C641" s="761" t="n">
        <v>45802</v>
      </c>
      <c r="D641" s="755" t="inlineStr">
        <is>
          <t>香港比特</t>
        </is>
      </c>
      <c r="E641" s="756" t="inlineStr">
        <is>
          <t>TFME</t>
        </is>
      </c>
      <c r="H641" s="756" t="inlineStr">
        <is>
          <t>BM22808A</t>
        </is>
      </c>
      <c r="I641" s="330" t="inlineStr">
        <is>
          <t>W09JY2280011</t>
        </is>
      </c>
      <c r="J641" s="330" t="n">
        <v>21</v>
      </c>
      <c r="K641" s="394" t="inlineStr">
        <is>
          <t>HKK202505250084</t>
        </is>
      </c>
      <c r="M641" s="393" t="inlineStr">
        <is>
          <t>OCEAN FINE INDUSTRIAL LTD.</t>
        </is>
      </c>
      <c r="N641" s="756" t="inlineStr">
        <is>
          <t>USD</t>
        </is>
      </c>
      <c r="O641" s="394" t="n">
        <v>655</v>
      </c>
    </row>
    <row r="642" s="184">
      <c r="A642" s="106" t="n">
        <v>533</v>
      </c>
      <c r="B642" s="754" t="inlineStr">
        <is>
          <t>外部</t>
        </is>
      </c>
      <c r="C642" s="761" t="n">
        <v>45802</v>
      </c>
      <c r="D642" s="755" t="inlineStr">
        <is>
          <t>香港比特</t>
        </is>
      </c>
      <c r="E642" s="756" t="inlineStr">
        <is>
          <t>TFME</t>
        </is>
      </c>
      <c r="H642" s="756" t="inlineStr">
        <is>
          <t>BM22808A</t>
        </is>
      </c>
      <c r="I642" s="330" t="inlineStr">
        <is>
          <t>W31020502</t>
        </is>
      </c>
      <c r="J642" s="330" t="n">
        <v>121</v>
      </c>
      <c r="K642" s="394" t="inlineStr">
        <is>
          <t>HKK202505250085</t>
        </is>
      </c>
      <c r="M642" s="393" t="inlineStr">
        <is>
          <t>OCEAN FINE INDUSTRIAL LTD.</t>
        </is>
      </c>
      <c r="N642" s="756" t="inlineStr">
        <is>
          <t>USD</t>
        </is>
      </c>
      <c r="O642" s="394" t="n">
        <v>470</v>
      </c>
    </row>
    <row r="643" customFormat="1" s="658">
      <c r="A643" s="106" t="n">
        <v>385</v>
      </c>
      <c r="B643" s="754" t="inlineStr">
        <is>
          <t>chanhua</t>
        </is>
      </c>
      <c r="C643" s="761" t="n">
        <v>45795</v>
      </c>
      <c r="D643" s="755" t="inlineStr">
        <is>
          <t>新加坡比特</t>
        </is>
      </c>
      <c r="E643" s="756" t="inlineStr">
        <is>
          <t>ASE-KH</t>
        </is>
      </c>
      <c r="F643" s="756" t="n"/>
      <c r="G643" s="756" t="n"/>
      <c r="H643" s="756" t="inlineStr">
        <is>
          <t>BM1370BC</t>
        </is>
      </c>
      <c r="I643" s="755" t="inlineStr">
        <is>
          <t>Y31010527</t>
        </is>
      </c>
      <c r="J643" s="330" t="n">
        <v>50264</v>
      </c>
      <c r="K643" s="331" t="inlineStr">
        <is>
          <t>202505200012</t>
        </is>
      </c>
      <c r="L643" s="332" t="inlineStr">
        <is>
          <t>1403250520145601</t>
        </is>
      </c>
      <c r="M643" s="757" t="inlineStr">
        <is>
          <t>墨西哥欧陆通</t>
        </is>
      </c>
      <c r="N643" s="756" t="inlineStr">
        <is>
          <t>CHANHUA PTE. LTD.</t>
        </is>
      </c>
      <c r="O643" s="757" t="n">
        <v>8.3123</v>
      </c>
      <c r="P643" s="336" t="inlineStr">
        <is>
          <t>是</t>
        </is>
      </c>
      <c r="Q643" s="758" t="inlineStr">
        <is>
          <t>否</t>
        </is>
      </c>
      <c r="R643" s="758" t="n"/>
      <c r="S643" s="758" t="n"/>
      <c r="T643" s="758" t="n"/>
      <c r="U643" s="758" t="n"/>
      <c r="V643" s="758" t="n"/>
      <c r="W643" s="758" t="n"/>
      <c r="X643" s="758" t="n"/>
      <c r="Y643" s="758" t="n"/>
      <c r="Z643" s="758" t="n"/>
      <c r="AA643" s="758" t="n"/>
      <c r="AB643" s="758" t="n"/>
      <c r="XFD643" s="106" t="n"/>
    </row>
    <row r="644" s="184">
      <c r="A644" s="106" t="n">
        <v>577</v>
      </c>
      <c r="B644" s="754" t="inlineStr">
        <is>
          <t>chanhua</t>
        </is>
      </c>
      <c r="C644" s="761" t="n">
        <v>45861</v>
      </c>
      <c r="D644" s="755" t="inlineStr">
        <is>
          <t>新加坡比特</t>
        </is>
      </c>
      <c r="E644" s="756" t="inlineStr">
        <is>
          <t>XJ</t>
        </is>
      </c>
      <c r="H644" s="756" t="inlineStr">
        <is>
          <t>BM1491AA</t>
        </is>
      </c>
      <c r="I644" s="755" t="inlineStr">
        <is>
          <t>Y31030502</t>
        </is>
      </c>
      <c r="J644" s="330" t="n">
        <v>54966</v>
      </c>
      <c r="K644" s="331" t="inlineStr">
        <is>
          <t>DPT202507230015</t>
        </is>
      </c>
      <c r="L644" s="600" t="inlineStr">
        <is>
          <t>1403250723100640</t>
        </is>
      </c>
      <c r="M644" s="790" t="inlineStr">
        <is>
          <t>印尼奥海</t>
        </is>
      </c>
    </row>
    <row r="645" s="184">
      <c r="C645" s="761" t="n"/>
    </row>
    <row r="646" s="184">
      <c r="C646" s="761" t="n"/>
    </row>
    <row r="647" s="184">
      <c r="C647" s="761" t="n"/>
    </row>
    <row r="648" s="184">
      <c r="C648" s="761" t="n"/>
    </row>
    <row r="649" s="184">
      <c r="C649" s="761" t="n"/>
    </row>
    <row r="650" s="184">
      <c r="C650" s="761" t="n"/>
    </row>
    <row r="651" s="184">
      <c r="C651" s="761" t="n"/>
    </row>
    <row r="652" s="184">
      <c r="C652" s="761" t="n"/>
    </row>
    <row r="653" s="184">
      <c r="C653" s="761" t="n"/>
    </row>
    <row r="654" s="184">
      <c r="C654" s="761" t="n"/>
    </row>
    <row r="655" s="184">
      <c r="C655" s="761" t="n"/>
    </row>
    <row r="656" s="184">
      <c r="C656" s="761" t="n"/>
    </row>
    <row r="657" s="184">
      <c r="C657" s="761" t="n"/>
    </row>
    <row r="658" s="184">
      <c r="C658" s="761" t="n"/>
    </row>
    <row r="659" s="184">
      <c r="C659" s="761" t="n"/>
    </row>
    <row r="660" s="184">
      <c r="C660" s="761" t="n"/>
    </row>
    <row r="661" s="184">
      <c r="C661" s="761" t="n"/>
    </row>
    <row r="662" s="184">
      <c r="C662" s="761" t="n"/>
    </row>
    <row r="663" s="184">
      <c r="C663" s="761" t="n"/>
    </row>
    <row r="664" s="184">
      <c r="C664" s="761" t="n"/>
    </row>
    <row r="665" s="184">
      <c r="C665" s="761" t="n"/>
    </row>
    <row r="666" s="184">
      <c r="C666" s="761" t="n"/>
    </row>
    <row r="667" s="184">
      <c r="C667" s="761" t="n"/>
    </row>
    <row r="668" s="184">
      <c r="C668" s="761" t="n"/>
    </row>
    <row r="669" s="184">
      <c r="C669" s="761" t="n"/>
    </row>
    <row r="670" s="184">
      <c r="C670" s="761" t="n"/>
    </row>
    <row r="671" s="184">
      <c r="C671" s="761" t="n"/>
    </row>
    <row r="672" s="184">
      <c r="C672" s="761" t="n"/>
    </row>
    <row r="673" s="184">
      <c r="C673" s="761" t="n"/>
    </row>
    <row r="674" s="184">
      <c r="C674" s="761" t="n"/>
    </row>
    <row r="675" s="184">
      <c r="C675" s="761" t="n"/>
    </row>
    <row r="676" s="184">
      <c r="C676" s="761" t="n"/>
    </row>
    <row r="677" s="184">
      <c r="C677" s="761" t="n"/>
    </row>
    <row r="678" s="184">
      <c r="C678" s="761" t="n"/>
    </row>
    <row r="679" s="184">
      <c r="C679" s="761" t="n"/>
    </row>
    <row r="680" s="184">
      <c r="C680" s="761" t="n"/>
    </row>
    <row r="681" s="184">
      <c r="C681" s="761" t="n"/>
    </row>
    <row r="682" s="184">
      <c r="C682" s="761" t="n"/>
    </row>
    <row r="683" s="184">
      <c r="C683" s="761" t="n"/>
    </row>
    <row r="684" s="184">
      <c r="C684" s="761" t="n"/>
    </row>
    <row r="685" s="184">
      <c r="C685" s="761" t="n"/>
    </row>
    <row r="686" s="184">
      <c r="C686" s="761" t="n"/>
    </row>
    <row r="687" s="184">
      <c r="C687" s="761" t="n"/>
    </row>
    <row r="688" s="184">
      <c r="C688" s="761" t="n"/>
    </row>
    <row r="689" s="184">
      <c r="C689" s="761" t="n"/>
    </row>
    <row r="690" s="184">
      <c r="C690" s="761" t="n"/>
    </row>
    <row r="691" s="184">
      <c r="C691" s="761" t="n"/>
    </row>
    <row r="692" s="184">
      <c r="C692" s="761" t="n"/>
    </row>
    <row r="693" s="184">
      <c r="C693" s="761" t="n"/>
    </row>
    <row r="694" s="184">
      <c r="C694" s="761" t="n"/>
    </row>
    <row r="695" s="184">
      <c r="C695" s="761" t="n"/>
    </row>
    <row r="696" s="184">
      <c r="C696" s="761" t="n"/>
    </row>
    <row r="697" s="184">
      <c r="C697" s="761" t="n"/>
    </row>
    <row r="698" s="184">
      <c r="C698" s="761" t="n"/>
    </row>
    <row r="699" s="184">
      <c r="C699" s="761" t="n"/>
    </row>
    <row r="700" s="184">
      <c r="C700" s="761" t="n"/>
    </row>
    <row r="701" s="184">
      <c r="C701" s="761" t="n"/>
    </row>
    <row r="702" s="184">
      <c r="C702" s="761" t="n"/>
    </row>
    <row r="703" s="184">
      <c r="C703" s="761" t="n"/>
    </row>
    <row r="704" s="184">
      <c r="C704" s="761" t="n"/>
    </row>
    <row r="705" s="184">
      <c r="C705" s="761" t="n"/>
    </row>
    <row r="706" s="184">
      <c r="C706" s="761" t="n"/>
    </row>
    <row r="707" s="184">
      <c r="C707" s="761" t="n"/>
    </row>
    <row r="708" s="184">
      <c r="C708" s="761" t="n"/>
    </row>
    <row r="709" s="184">
      <c r="C709" s="761" t="n"/>
    </row>
    <row r="710" s="184">
      <c r="C710" s="761" t="n"/>
    </row>
    <row r="711" s="184">
      <c r="C711" s="761" t="n"/>
    </row>
    <row r="712" s="184">
      <c r="C712" s="761" t="n"/>
    </row>
    <row r="713" s="184">
      <c r="C713" s="761" t="n"/>
    </row>
    <row r="714" s="184">
      <c r="C714" s="761" t="n"/>
    </row>
    <row r="715" s="184">
      <c r="C715" s="761" t="n"/>
    </row>
    <row r="716" s="184">
      <c r="C716" s="761" t="n"/>
    </row>
    <row r="717" s="184">
      <c r="C717" s="761" t="n"/>
    </row>
    <row r="718" s="184">
      <c r="C718" s="761" t="n"/>
    </row>
    <row r="719" s="184">
      <c r="C719" s="761" t="n"/>
    </row>
    <row r="720" s="184">
      <c r="C720" s="761" t="n"/>
    </row>
    <row r="721" s="184">
      <c r="C721" s="761" t="n"/>
    </row>
    <row r="722" s="184">
      <c r="C722" s="761" t="n"/>
    </row>
    <row r="723" s="184">
      <c r="C723" s="761" t="n"/>
    </row>
    <row r="724" s="184">
      <c r="C724" s="761" t="n"/>
    </row>
    <row r="725" s="184">
      <c r="C725" s="761" t="n"/>
    </row>
    <row r="726" s="184">
      <c r="C726" s="761" t="n"/>
    </row>
    <row r="727" s="184">
      <c r="C727" s="761" t="n"/>
    </row>
    <row r="728" s="184">
      <c r="C728" s="761" t="n"/>
    </row>
    <row r="729" s="184">
      <c r="C729" s="761" t="n"/>
    </row>
    <row r="730" s="184">
      <c r="C730" s="761" t="n"/>
    </row>
    <row r="731" s="184">
      <c r="C731" s="761" t="n"/>
    </row>
    <row r="732" s="184">
      <c r="C732" s="761" t="n"/>
    </row>
    <row r="733" s="184">
      <c r="C733" s="761" t="n"/>
    </row>
    <row r="734" s="184">
      <c r="C734" s="761" t="n"/>
    </row>
    <row r="735" s="184">
      <c r="C735" s="761" t="n"/>
    </row>
    <row r="736" s="184">
      <c r="C736" s="761" t="n"/>
    </row>
    <row r="737" s="184">
      <c r="C737" s="761" t="n"/>
    </row>
    <row r="738" s="184">
      <c r="C738" s="761" t="n"/>
    </row>
    <row r="739" s="184">
      <c r="C739" s="761" t="n"/>
    </row>
    <row r="740" s="184">
      <c r="C740" s="761" t="n"/>
    </row>
    <row r="741" s="184">
      <c r="C741" s="761" t="n"/>
    </row>
    <row r="742" s="184">
      <c r="C742" s="761" t="n"/>
    </row>
    <row r="743" s="184">
      <c r="C743" s="761" t="n"/>
    </row>
    <row r="744" s="184">
      <c r="C744" s="761" t="n"/>
    </row>
    <row r="745" s="184">
      <c r="C745" s="761" t="n"/>
    </row>
    <row r="746" s="184">
      <c r="C746" s="761" t="n"/>
    </row>
    <row r="747" s="184">
      <c r="C747" s="761" t="n"/>
    </row>
    <row r="748" s="184">
      <c r="C748" s="761" t="n"/>
    </row>
    <row r="749" s="184">
      <c r="C749" s="761" t="n"/>
    </row>
    <row r="750" s="184">
      <c r="C750" s="761" t="n"/>
    </row>
    <row r="751" s="184">
      <c r="C751" s="761" t="n"/>
    </row>
    <row r="752" s="184">
      <c r="C752" s="761" t="n"/>
    </row>
    <row r="753" s="184">
      <c r="C753" s="761" t="n"/>
    </row>
    <row r="754" s="184">
      <c r="C754" s="761" t="n"/>
    </row>
    <row r="755" s="184">
      <c r="C755" s="761" t="n"/>
    </row>
    <row r="756" s="184">
      <c r="C756" s="761" t="n"/>
    </row>
    <row r="757" s="184">
      <c r="C757" s="761" t="n"/>
    </row>
    <row r="758" s="184">
      <c r="C758" s="761" t="n"/>
    </row>
    <row r="759" s="184">
      <c r="C759" s="761" t="n"/>
    </row>
    <row r="760" s="184">
      <c r="C760" s="761" t="n"/>
    </row>
    <row r="761" s="184">
      <c r="C761" s="761" t="n"/>
    </row>
    <row r="762" s="184">
      <c r="C762" s="761" t="n"/>
    </row>
    <row r="763" s="184">
      <c r="C763" s="761" t="n"/>
    </row>
    <row r="764" s="184">
      <c r="C764" s="761" t="n"/>
    </row>
    <row r="765" s="184">
      <c r="C765" s="761" t="n"/>
    </row>
    <row r="766" s="184">
      <c r="C766" s="761" t="n"/>
    </row>
    <row r="767" s="184">
      <c r="C767" s="761" t="n"/>
    </row>
    <row r="768" s="184">
      <c r="C768" s="761" t="n"/>
    </row>
    <row r="769" s="184">
      <c r="C769" s="761" t="n"/>
    </row>
    <row r="770" s="184">
      <c r="C770" s="761" t="n"/>
    </row>
    <row r="771" s="184">
      <c r="C771" s="761" t="n"/>
    </row>
    <row r="772" s="184">
      <c r="C772" s="761" t="n"/>
    </row>
    <row r="773" s="184">
      <c r="C773" s="761" t="n"/>
    </row>
    <row r="774" s="184">
      <c r="C774" s="761" t="n"/>
    </row>
    <row r="775" s="184">
      <c r="C775" s="761" t="n"/>
    </row>
    <row r="776" s="184">
      <c r="C776" s="761" t="n"/>
    </row>
    <row r="777" s="184">
      <c r="C777" s="761" t="n"/>
    </row>
    <row r="778" s="184">
      <c r="C778" s="761" t="n"/>
    </row>
    <row r="779" s="184">
      <c r="C779" s="761" t="n"/>
    </row>
    <row r="780" s="184">
      <c r="C780" s="761" t="n"/>
    </row>
    <row r="781" s="184">
      <c r="C781" s="761" t="n"/>
    </row>
    <row r="782" s="184">
      <c r="C782" s="761" t="n"/>
    </row>
    <row r="783" s="184">
      <c r="C783" s="761" t="n"/>
    </row>
    <row r="784" s="184">
      <c r="C784" s="761" t="n"/>
    </row>
    <row r="785" s="184">
      <c r="C785" s="761" t="n"/>
    </row>
    <row r="786" s="184">
      <c r="C786" s="761" t="n"/>
    </row>
    <row r="787" s="184">
      <c r="C787" s="761" t="n"/>
    </row>
    <row r="788" s="184">
      <c r="C788" s="761" t="n"/>
    </row>
    <row r="789" s="184">
      <c r="C789" s="761" t="n"/>
    </row>
    <row r="790" s="184">
      <c r="C790" s="761" t="n"/>
    </row>
    <row r="791" s="184">
      <c r="C791" s="761" t="n"/>
    </row>
    <row r="792" s="184">
      <c r="C792" s="761" t="n"/>
    </row>
    <row r="793" s="184">
      <c r="C793" s="761" t="n"/>
    </row>
    <row r="794" s="184">
      <c r="C794" s="761" t="n"/>
    </row>
    <row r="795" s="184">
      <c r="C795" s="761" t="n"/>
    </row>
    <row r="796" s="184">
      <c r="C796" s="761" t="n"/>
    </row>
    <row r="797" s="184">
      <c r="C797" s="761" t="n"/>
    </row>
    <row r="798" s="184">
      <c r="C798" s="761" t="n"/>
    </row>
    <row r="799" s="184">
      <c r="C799" s="761" t="n"/>
    </row>
    <row r="800" s="184">
      <c r="C800" s="761" t="n"/>
    </row>
    <row r="801" s="184">
      <c r="C801" s="761" t="n"/>
    </row>
    <row r="802" s="184">
      <c r="C802" s="761" t="n"/>
    </row>
    <row r="803" s="184">
      <c r="C803" s="761" t="n"/>
    </row>
    <row r="804" s="184">
      <c r="C804" s="761" t="n"/>
    </row>
    <row r="805" s="184">
      <c r="C805" s="761" t="n"/>
    </row>
    <row r="806" s="184">
      <c r="C806" s="761" t="n"/>
    </row>
    <row r="807" s="184">
      <c r="C807" s="761" t="n"/>
    </row>
    <row r="808" s="184">
      <c r="C808" s="761" t="n"/>
    </row>
    <row r="809" s="184">
      <c r="C809" s="761" t="n"/>
    </row>
    <row r="810" s="184">
      <c r="C810" s="761" t="n"/>
    </row>
    <row r="811" s="184">
      <c r="C811" s="761" t="n"/>
    </row>
    <row r="812" s="184">
      <c r="C812" s="761" t="n"/>
    </row>
    <row r="813" s="184">
      <c r="C813" s="761" t="n"/>
    </row>
    <row r="814" s="184">
      <c r="C814" s="761" t="n"/>
    </row>
    <row r="815" s="184">
      <c r="C815" s="761" t="n"/>
    </row>
    <row r="816" s="184">
      <c r="C816" s="761" t="n"/>
    </row>
    <row r="817" s="184">
      <c r="C817" s="761" t="n"/>
    </row>
    <row r="818" s="184">
      <c r="C818" s="761" t="n"/>
    </row>
    <row r="819" s="184">
      <c r="C819" s="761" t="n"/>
    </row>
    <row r="820" s="184">
      <c r="C820" s="761" t="n"/>
    </row>
    <row r="821" s="184">
      <c r="C821" s="761" t="n"/>
    </row>
    <row r="822" s="184">
      <c r="C822" s="761" t="n"/>
    </row>
    <row r="823" s="184">
      <c r="C823" s="761" t="n"/>
    </row>
    <row r="824" s="184">
      <c r="C824" s="761" t="n"/>
    </row>
    <row r="825" s="184">
      <c r="C825" s="761" t="n"/>
    </row>
    <row r="826" s="184">
      <c r="C826" s="761" t="n"/>
    </row>
    <row r="827" s="184">
      <c r="C827" s="761" t="n"/>
    </row>
    <row r="828" s="184">
      <c r="C828" s="761" t="n"/>
    </row>
    <row r="829" s="184">
      <c r="C829" s="761" t="n"/>
    </row>
    <row r="830" s="184">
      <c r="C830" s="761" t="n"/>
    </row>
    <row r="831" s="184">
      <c r="C831" s="761" t="n"/>
    </row>
    <row r="832" s="184">
      <c r="C832" s="761" t="n"/>
    </row>
    <row r="833" s="184">
      <c r="C833" s="761" t="n"/>
    </row>
    <row r="834" s="184">
      <c r="C834" s="761" t="n"/>
    </row>
    <row r="835" s="184">
      <c r="C835" s="761" t="n"/>
    </row>
    <row r="836" s="184">
      <c r="C836" s="761" t="n"/>
    </row>
    <row r="837" s="184">
      <c r="C837" s="761" t="n"/>
    </row>
    <row r="838" s="184">
      <c r="C838" s="761" t="n"/>
    </row>
    <row r="839" s="184">
      <c r="C839" s="761" t="n"/>
    </row>
    <row r="840" s="184">
      <c r="C840" s="761" t="n"/>
    </row>
    <row r="841" s="184">
      <c r="C841" s="761" t="n"/>
    </row>
    <row r="842" s="184">
      <c r="C842" s="761" t="n"/>
    </row>
    <row r="843" s="184">
      <c r="C843" s="761" t="n"/>
    </row>
    <row r="844" s="184">
      <c r="C844" s="761" t="n"/>
    </row>
    <row r="845" s="184">
      <c r="C845" s="761" t="n"/>
    </row>
    <row r="846" s="184">
      <c r="C846" s="761" t="n"/>
    </row>
    <row r="847" s="184">
      <c r="C847" s="761" t="n"/>
    </row>
    <row r="848" s="184">
      <c r="C848" s="761" t="n"/>
    </row>
    <row r="849" s="184">
      <c r="C849" s="761" t="n"/>
    </row>
    <row r="850" s="184">
      <c r="C850" s="761" t="n"/>
    </row>
    <row r="851" s="184">
      <c r="C851" s="761" t="n"/>
    </row>
    <row r="852" s="184">
      <c r="C852" s="761" t="n"/>
    </row>
    <row r="853" s="184">
      <c r="C853" s="761" t="n"/>
    </row>
    <row r="854" s="184">
      <c r="C854" s="761" t="n"/>
    </row>
    <row r="855" s="184">
      <c r="C855" s="761" t="n"/>
    </row>
    <row r="856" s="184">
      <c r="C856" s="761" t="n"/>
    </row>
    <row r="857" s="184">
      <c r="C857" s="761" t="n"/>
    </row>
    <row r="858" s="184">
      <c r="C858" s="761" t="n"/>
    </row>
    <row r="859" s="184">
      <c r="C859" s="761" t="n"/>
    </row>
    <row r="860" s="184">
      <c r="C860" s="761" t="n"/>
    </row>
    <row r="861" s="184">
      <c r="C861" s="761" t="n"/>
    </row>
    <row r="862" s="184">
      <c r="C862" s="761" t="n"/>
    </row>
    <row r="863" s="184">
      <c r="C863" s="761" t="n"/>
    </row>
    <row r="864" s="184">
      <c r="C864" s="761" t="n"/>
    </row>
    <row r="865" s="184">
      <c r="C865" s="761" t="n"/>
    </row>
    <row r="866" s="184">
      <c r="C866" s="761" t="n"/>
    </row>
    <row r="867" s="184">
      <c r="C867" s="761" t="n"/>
    </row>
    <row r="868" s="184">
      <c r="C868" s="761" t="n"/>
    </row>
    <row r="869" s="184">
      <c r="C869" s="761" t="n"/>
    </row>
    <row r="870" s="184">
      <c r="C870" s="761" t="n"/>
    </row>
    <row r="871" s="184">
      <c r="C871" s="761" t="n"/>
    </row>
    <row r="872" s="184">
      <c r="C872" s="761" t="n"/>
    </row>
    <row r="873" s="184">
      <c r="C873" s="761" t="n"/>
    </row>
    <row r="874" s="184">
      <c r="C874" s="761" t="n"/>
    </row>
    <row r="875" s="184">
      <c r="C875" s="761" t="n"/>
    </row>
    <row r="876" s="184">
      <c r="C876" s="761" t="n"/>
    </row>
    <row r="877" s="184">
      <c r="C877" s="761" t="n"/>
    </row>
    <row r="878" s="184">
      <c r="C878" s="761" t="n"/>
    </row>
    <row r="879" s="184">
      <c r="C879" s="761" t="n"/>
    </row>
    <row r="880" s="184">
      <c r="C880" s="761" t="n"/>
    </row>
    <row r="881" s="184">
      <c r="C881" s="761" t="n"/>
    </row>
    <row r="882" s="184">
      <c r="C882" s="761" t="n"/>
    </row>
    <row r="883" s="184">
      <c r="C883" s="761" t="n"/>
    </row>
    <row r="884" s="184">
      <c r="C884" s="761" t="n"/>
    </row>
    <row r="885" s="184">
      <c r="C885" s="761" t="n"/>
    </row>
    <row r="886" s="184">
      <c r="C886" s="761" t="n"/>
    </row>
    <row r="887" s="184">
      <c r="C887" s="761" t="n"/>
    </row>
    <row r="888" s="184">
      <c r="C888" s="761" t="n"/>
    </row>
    <row r="889" s="184">
      <c r="C889" s="761" t="n"/>
    </row>
    <row r="890" s="184">
      <c r="C890" s="761" t="n"/>
    </row>
    <row r="891" s="184">
      <c r="C891" s="761" t="n"/>
    </row>
    <row r="892" s="184">
      <c r="C892" s="761" t="n"/>
    </row>
    <row r="893" s="184">
      <c r="C893" s="761" t="n"/>
    </row>
    <row r="894" s="184">
      <c r="C894" s="761" t="n"/>
    </row>
    <row r="895" s="184">
      <c r="C895" s="761" t="n"/>
    </row>
    <row r="896" s="184">
      <c r="C896" s="761" t="n"/>
    </row>
    <row r="897" s="184">
      <c r="C897" s="761" t="n"/>
    </row>
    <row r="898" s="184">
      <c r="C898" s="761" t="n"/>
    </row>
    <row r="899" s="184">
      <c r="C899" s="761" t="n"/>
    </row>
    <row r="900" s="184">
      <c r="C900" s="761" t="n"/>
    </row>
    <row r="901" s="184">
      <c r="C901" s="761" t="n"/>
    </row>
    <row r="902" s="184">
      <c r="C902" s="761" t="n"/>
    </row>
    <row r="903" s="184">
      <c r="C903" s="761" t="n"/>
    </row>
    <row r="904" s="184">
      <c r="C904" s="761" t="n"/>
    </row>
    <row r="905" s="184">
      <c r="C905" s="761" t="n"/>
    </row>
    <row r="906" s="184">
      <c r="C906" s="761" t="n"/>
    </row>
    <row r="907" s="184">
      <c r="C907" s="761" t="n"/>
    </row>
    <row r="908" s="184">
      <c r="C908" s="761" t="n"/>
    </row>
    <row r="909" s="184">
      <c r="C909" s="761" t="n"/>
    </row>
    <row r="910" s="184">
      <c r="C910" s="761" t="n"/>
    </row>
    <row r="911" s="184">
      <c r="C911" s="761" t="n"/>
    </row>
    <row r="912" s="184">
      <c r="C912" s="761" t="n"/>
    </row>
    <row r="913" s="184">
      <c r="C913" s="761" t="n"/>
    </row>
    <row r="914" s="184">
      <c r="C914" s="761" t="n"/>
    </row>
    <row r="915" s="184">
      <c r="C915" s="761" t="n"/>
    </row>
    <row r="916" s="184">
      <c r="C916" s="761" t="n"/>
    </row>
    <row r="917" s="184">
      <c r="C917" s="761" t="n"/>
    </row>
    <row r="918" s="184">
      <c r="C918" s="761" t="n"/>
    </row>
    <row r="919" s="184">
      <c r="C919" s="761" t="n"/>
    </row>
    <row r="920" s="184">
      <c r="C920" s="761" t="n"/>
    </row>
    <row r="921" s="184">
      <c r="C921" s="761" t="n"/>
    </row>
    <row r="922" s="184">
      <c r="C922" s="761" t="n"/>
    </row>
    <row r="923" s="184">
      <c r="C923" s="761" t="n"/>
    </row>
    <row r="924" s="184">
      <c r="C924" s="761" t="n"/>
    </row>
    <row r="925" s="184">
      <c r="C925" s="761" t="n"/>
    </row>
    <row r="926" s="184">
      <c r="C926" s="761" t="n"/>
    </row>
    <row r="927" s="184">
      <c r="C927" s="761" t="n"/>
    </row>
    <row r="928" s="184">
      <c r="C928" s="761" t="n"/>
    </row>
    <row r="929" s="184">
      <c r="C929" s="761" t="n"/>
    </row>
    <row r="930" s="184">
      <c r="C930" s="761" t="n"/>
    </row>
    <row r="931" s="184">
      <c r="C931" s="761" t="n"/>
    </row>
    <row r="932" s="184">
      <c r="C932" s="761" t="n"/>
    </row>
    <row r="933" s="184">
      <c r="C933" s="761" t="n"/>
    </row>
    <row r="934" s="184">
      <c r="C934" s="761" t="n"/>
    </row>
    <row r="935" s="184">
      <c r="C935" s="761" t="n"/>
    </row>
    <row r="936" s="184">
      <c r="C936" s="761" t="n"/>
    </row>
    <row r="937" s="184">
      <c r="C937" s="761" t="n"/>
    </row>
    <row r="938" s="184">
      <c r="C938" s="761" t="n"/>
    </row>
    <row r="939" s="184">
      <c r="C939" s="761" t="n"/>
    </row>
    <row r="940" s="184">
      <c r="C940" s="761" t="n"/>
    </row>
    <row r="941" s="184">
      <c r="C941" s="761" t="n"/>
    </row>
    <row r="942" s="184">
      <c r="C942" s="761" t="n"/>
    </row>
    <row r="943" s="184">
      <c r="C943" s="761" t="n"/>
    </row>
    <row r="944" s="184">
      <c r="C944" s="761" t="n"/>
    </row>
    <row r="945" s="184">
      <c r="C945" s="761" t="n"/>
    </row>
    <row r="946" s="184">
      <c r="C946" s="761" t="n"/>
    </row>
    <row r="947" s="184">
      <c r="C947" s="761" t="n"/>
    </row>
    <row r="948" s="184">
      <c r="C948" s="761" t="n"/>
    </row>
    <row r="949" s="184">
      <c r="C949" s="761" t="n"/>
    </row>
    <row r="950" s="184">
      <c r="C950" s="761" t="n"/>
    </row>
    <row r="951" s="184">
      <c r="C951" s="761" t="n"/>
    </row>
    <row r="952" s="184">
      <c r="C952" s="761" t="n"/>
    </row>
    <row r="953" s="184">
      <c r="C953" s="761" t="n"/>
    </row>
    <row r="954" s="184">
      <c r="C954" s="761" t="n"/>
    </row>
    <row r="955" s="184">
      <c r="C955" s="761" t="n"/>
    </row>
    <row r="956" s="184">
      <c r="C956" s="761" t="n"/>
    </row>
    <row r="957" s="184">
      <c r="C957" s="761" t="n"/>
    </row>
    <row r="958" s="184">
      <c r="C958" s="761" t="n"/>
    </row>
    <row r="959" s="184">
      <c r="C959" s="761" t="n"/>
    </row>
    <row r="960" s="184">
      <c r="C960" s="761" t="n"/>
    </row>
    <row r="961" s="184">
      <c r="C961" s="761" t="n"/>
    </row>
    <row r="962" s="184">
      <c r="C962" s="761" t="n"/>
    </row>
    <row r="963" s="184">
      <c r="C963" s="761" t="n"/>
    </row>
    <row r="964" s="184">
      <c r="C964" s="761" t="n"/>
    </row>
    <row r="965" s="184">
      <c r="C965" s="761" t="n"/>
    </row>
    <row r="966" s="184">
      <c r="C966" s="761" t="n"/>
    </row>
    <row r="967" s="184">
      <c r="C967" s="761" t="n"/>
    </row>
    <row r="968" s="184">
      <c r="C968" s="761" t="n"/>
    </row>
    <row r="969" s="184">
      <c r="C969" s="761" t="n"/>
    </row>
    <row r="970" s="184">
      <c r="C970" s="761" t="n"/>
    </row>
    <row r="971" s="184">
      <c r="C971" s="761" t="n"/>
    </row>
    <row r="972" s="184">
      <c r="C972" s="761" t="n"/>
    </row>
    <row r="973" s="184">
      <c r="C973" s="761" t="n"/>
    </row>
    <row r="974" s="184">
      <c r="C974" s="761" t="n"/>
    </row>
    <row r="975" s="184">
      <c r="C975" s="761" t="n"/>
    </row>
    <row r="976" s="184">
      <c r="C976" s="761" t="n"/>
    </row>
    <row r="977" s="184">
      <c r="C977" s="761" t="n"/>
    </row>
    <row r="978" s="184">
      <c r="C978" s="761" t="n"/>
    </row>
    <row r="979" s="184">
      <c r="C979" s="761" t="n"/>
    </row>
    <row r="980" s="184">
      <c r="C980" s="761" t="n"/>
    </row>
    <row r="981" s="184">
      <c r="C981" s="761" t="n"/>
    </row>
    <row r="982" s="184">
      <c r="C982" s="761" t="n"/>
    </row>
    <row r="983" s="184">
      <c r="C983" s="761" t="n"/>
    </row>
    <row r="984" s="184">
      <c r="C984" s="761" t="n"/>
    </row>
    <row r="985" s="184">
      <c r="C985" s="761" t="n"/>
    </row>
    <row r="986" s="184">
      <c r="C986" s="761" t="n"/>
    </row>
    <row r="987" s="184">
      <c r="C987" s="761" t="n"/>
    </row>
    <row r="988" s="184">
      <c r="C988" s="761" t="n"/>
    </row>
    <row r="989" s="184">
      <c r="C989" s="761" t="n"/>
    </row>
    <row r="990" s="184">
      <c r="C990" s="761" t="n"/>
    </row>
    <row r="991" s="184">
      <c r="C991" s="761" t="n"/>
    </row>
    <row r="992" s="184">
      <c r="C992" s="761" t="n"/>
    </row>
    <row r="993" s="184">
      <c r="C993" s="761" t="n"/>
    </row>
    <row r="994" s="184">
      <c r="C994" s="761" t="n"/>
    </row>
    <row r="995" s="184">
      <c r="C995" s="761" t="n"/>
    </row>
    <row r="996" s="184">
      <c r="C996" s="761" t="n"/>
    </row>
    <row r="997" s="184">
      <c r="C997" s="761" t="n"/>
    </row>
    <row r="998" s="184">
      <c r="C998" s="761" t="n"/>
    </row>
    <row r="999" s="184">
      <c r="C999" s="761" t="n"/>
    </row>
    <row r="1000" s="184">
      <c r="C1000" s="761" t="n"/>
    </row>
    <row r="1001" s="184">
      <c r="C1001" s="761" t="n"/>
    </row>
    <row r="1002" s="184">
      <c r="C1002" s="761" t="n"/>
    </row>
    <row r="1003" s="184">
      <c r="C1003" s="761" t="n"/>
    </row>
    <row r="1004" s="184">
      <c r="C1004" s="761" t="n"/>
    </row>
    <row r="1005" s="184">
      <c r="C1005" s="761" t="n"/>
    </row>
    <row r="1006" s="184">
      <c r="C1006" s="761" t="n"/>
    </row>
    <row r="1007" s="184">
      <c r="C1007" s="761" t="n"/>
    </row>
    <row r="1008" s="184">
      <c r="C1008" s="761" t="n"/>
    </row>
    <row r="1009" s="184">
      <c r="C1009" s="761" t="n"/>
    </row>
    <row r="1010" s="184">
      <c r="C1010" s="761" t="n"/>
    </row>
    <row r="1011" s="184">
      <c r="C1011" s="761" t="n"/>
    </row>
    <row r="1012" s="184">
      <c r="C1012" s="761" t="n"/>
    </row>
    <row r="1013" s="184">
      <c r="C1013" s="761" t="n"/>
    </row>
    <row r="1014" s="184">
      <c r="C1014" s="761" t="n"/>
    </row>
    <row r="1015" s="184">
      <c r="C1015" s="761" t="n"/>
    </row>
    <row r="1016" s="184">
      <c r="C1016" s="761" t="n"/>
    </row>
    <row r="1017" s="184">
      <c r="C1017" s="761" t="n"/>
    </row>
    <row r="1018" s="184">
      <c r="C1018" s="761" t="n"/>
    </row>
    <row r="1019" s="184">
      <c r="C1019" s="761" t="n"/>
    </row>
    <row r="1020" s="184">
      <c r="C1020" s="761" t="n"/>
    </row>
    <row r="1021" s="184">
      <c r="C1021" s="761" t="n"/>
    </row>
    <row r="1022" s="184">
      <c r="C1022" s="761" t="n"/>
    </row>
    <row r="1023" s="184">
      <c r="C1023" s="761" t="n"/>
    </row>
    <row r="1024" s="184">
      <c r="C1024" s="761" t="n"/>
    </row>
    <row r="1025" s="184">
      <c r="C1025" s="761" t="n"/>
    </row>
    <row r="1026" s="184">
      <c r="C1026" s="761" t="n"/>
    </row>
    <row r="1027" s="184">
      <c r="C1027" s="761" t="n"/>
    </row>
    <row r="1028" s="184">
      <c r="C1028" s="761" t="n"/>
    </row>
    <row r="1029" s="184">
      <c r="C1029" s="761" t="n"/>
    </row>
    <row r="1030" s="184">
      <c r="C1030" s="761" t="n"/>
    </row>
    <row r="1031" s="184">
      <c r="C1031" s="761" t="n"/>
    </row>
    <row r="1032" s="184">
      <c r="C1032" s="761" t="n"/>
    </row>
    <row r="1033" s="184">
      <c r="C1033" s="761" t="n"/>
    </row>
    <row r="1034" s="184">
      <c r="C1034" s="761" t="n"/>
    </row>
    <row r="1035" s="184">
      <c r="C1035" s="761" t="n"/>
    </row>
    <row r="1036" s="184">
      <c r="C1036" s="761" t="n"/>
    </row>
    <row r="1037" s="184">
      <c r="C1037" s="761" t="n"/>
    </row>
    <row r="1038" s="184">
      <c r="C1038" s="761" t="n"/>
    </row>
    <row r="1039" s="184">
      <c r="C1039" s="761" t="n"/>
    </row>
    <row r="1040" s="184">
      <c r="C1040" s="761" t="n"/>
    </row>
    <row r="1041" s="184">
      <c r="C1041" s="761" t="n"/>
    </row>
    <row r="1042" s="184">
      <c r="C1042" s="761" t="n"/>
    </row>
    <row r="1043" s="184">
      <c r="C1043" s="761" t="n"/>
    </row>
    <row r="1044" s="184">
      <c r="C1044" s="761" t="n"/>
    </row>
    <row r="1045" s="184">
      <c r="C1045" s="761" t="n"/>
    </row>
    <row r="1046" s="184">
      <c r="C1046" s="761" t="n"/>
    </row>
    <row r="1047" s="184">
      <c r="C1047" s="761" t="n"/>
    </row>
    <row r="1048" s="184">
      <c r="C1048" s="761" t="n"/>
    </row>
    <row r="1049" s="184">
      <c r="C1049" s="761" t="n"/>
    </row>
    <row r="1050" s="184">
      <c r="C1050" s="761" t="n"/>
    </row>
    <row r="1051" s="184">
      <c r="C1051" s="761" t="n"/>
    </row>
    <row r="1052" s="184">
      <c r="C1052" s="761" t="n"/>
    </row>
    <row r="1053" s="184">
      <c r="C1053" s="761" t="n"/>
    </row>
    <row r="1054" s="184">
      <c r="C1054" s="761" t="n"/>
    </row>
    <row r="1055" s="184">
      <c r="C1055" s="761" t="n"/>
    </row>
    <row r="1056" s="184">
      <c r="C1056" s="761" t="n"/>
    </row>
    <row r="1057" s="184">
      <c r="C1057" s="761" t="n"/>
    </row>
    <row r="1058" s="184">
      <c r="C1058" s="761" t="n"/>
    </row>
    <row r="1059" s="184">
      <c r="C1059" s="761" t="n"/>
    </row>
    <row r="1060" s="184">
      <c r="C1060" s="761" t="n"/>
    </row>
    <row r="1061" s="184">
      <c r="C1061" s="761" t="n"/>
    </row>
    <row r="1062" s="184">
      <c r="C1062" s="761" t="n"/>
    </row>
    <row r="1063" s="184">
      <c r="C1063" s="761" t="n"/>
    </row>
    <row r="1064" s="184">
      <c r="C1064" s="761" t="n"/>
    </row>
    <row r="1065" s="184">
      <c r="C1065" s="761" t="n"/>
    </row>
    <row r="1066" s="184">
      <c r="C1066" s="761" t="n"/>
    </row>
    <row r="1067" s="184">
      <c r="C1067" s="761" t="n"/>
    </row>
    <row r="1068" s="184">
      <c r="C1068" s="761" t="n"/>
    </row>
    <row r="1069" s="184">
      <c r="C1069" s="761" t="n"/>
    </row>
    <row r="1070" s="184">
      <c r="C1070" s="761" t="n"/>
    </row>
    <row r="1071" s="184">
      <c r="C1071" s="761" t="n"/>
    </row>
    <row r="1072" s="184">
      <c r="C1072" s="761" t="n"/>
    </row>
    <row r="1073" s="184">
      <c r="C1073" s="761" t="n"/>
    </row>
    <row r="1074" s="184">
      <c r="C1074" s="761" t="n"/>
    </row>
    <row r="1075" s="184">
      <c r="C1075" s="761" t="n"/>
    </row>
    <row r="1076" s="184">
      <c r="C1076" s="761" t="n"/>
    </row>
    <row r="1077" s="184">
      <c r="C1077" s="761" t="n"/>
    </row>
    <row r="1078" s="184">
      <c r="C1078" s="761" t="n"/>
    </row>
    <row r="1079" s="184">
      <c r="C1079" s="761" t="n"/>
    </row>
    <row r="1080" s="184">
      <c r="C1080" s="761" t="n"/>
    </row>
    <row r="1081" s="184">
      <c r="C1081" s="761" t="n"/>
    </row>
    <row r="1082" s="184">
      <c r="C1082" s="761" t="n"/>
    </row>
    <row r="1083" s="184">
      <c r="C1083" s="761" t="n"/>
    </row>
    <row r="1084" s="184">
      <c r="C1084" s="761" t="n"/>
    </row>
    <row r="1085" s="184">
      <c r="C1085" s="761" t="n"/>
    </row>
    <row r="1086" s="184">
      <c r="C1086" s="761" t="n"/>
    </row>
    <row r="1087" s="184">
      <c r="C1087" s="761" t="n"/>
    </row>
    <row r="1088" s="184">
      <c r="C1088" s="761" t="n"/>
    </row>
    <row r="1089" s="184">
      <c r="C1089" s="761" t="n"/>
    </row>
    <row r="1090" s="184">
      <c r="C1090" s="761" t="n"/>
    </row>
    <row r="1091" s="184">
      <c r="C1091" s="761" t="n"/>
    </row>
    <row r="1092" s="184">
      <c r="C1092" s="761" t="n"/>
    </row>
    <row r="1093" s="184">
      <c r="C1093" s="761" t="n"/>
    </row>
    <row r="1094" s="184">
      <c r="C1094" s="761" t="n"/>
    </row>
    <row r="1095" s="184">
      <c r="C1095" s="761" t="n"/>
    </row>
    <row r="1096" s="184">
      <c r="C1096" s="761" t="n"/>
    </row>
    <row r="1097" s="184">
      <c r="C1097" s="761" t="n"/>
    </row>
    <row r="1098" s="184">
      <c r="C1098" s="761" t="n"/>
    </row>
    <row r="1099" s="184">
      <c r="C1099" s="761" t="n"/>
    </row>
    <row r="1100" s="184">
      <c r="C1100" s="761" t="n"/>
    </row>
    <row r="1101" s="184">
      <c r="C1101" s="761" t="n"/>
    </row>
    <row r="1102" s="184">
      <c r="C1102" s="761" t="n"/>
    </row>
    <row r="1103" s="184">
      <c r="C1103" s="761" t="n"/>
    </row>
    <row r="1104" s="184">
      <c r="C1104" s="761" t="n"/>
    </row>
    <row r="1105" s="184">
      <c r="C1105" s="761" t="n"/>
    </row>
    <row r="1106" s="184">
      <c r="C1106" s="761" t="n"/>
    </row>
    <row r="1107" s="184">
      <c r="C1107" s="761" t="n"/>
    </row>
    <row r="1108" s="184">
      <c r="C1108" s="761" t="n"/>
    </row>
    <row r="1109" s="184">
      <c r="C1109" s="761" t="n"/>
    </row>
    <row r="1110" s="184">
      <c r="C1110" s="761" t="n"/>
    </row>
    <row r="1111" s="184">
      <c r="C1111" s="761" t="n"/>
    </row>
    <row r="1112" s="184">
      <c r="C1112" s="761" t="n"/>
    </row>
    <row r="1113" s="184">
      <c r="C1113" s="761" t="n"/>
    </row>
    <row r="1114" s="184">
      <c r="C1114" s="761" t="n"/>
    </row>
    <row r="1115" s="184">
      <c r="C1115" s="761" t="n"/>
    </row>
    <row r="1116" s="184">
      <c r="C1116" s="761" t="n"/>
    </row>
    <row r="1117" s="184">
      <c r="C1117" s="761" t="n"/>
    </row>
    <row r="1118" s="184">
      <c r="C1118" s="761" t="n"/>
    </row>
    <row r="1119" s="184">
      <c r="C1119" s="761" t="n"/>
    </row>
    <row r="1120" s="184">
      <c r="C1120" s="761" t="n"/>
    </row>
    <row r="1121" s="184">
      <c r="C1121" s="761" t="n"/>
    </row>
    <row r="1122" s="184">
      <c r="C1122" s="761" t="n"/>
    </row>
    <row r="1123" s="184">
      <c r="C1123" s="761" t="n"/>
    </row>
    <row r="1124" s="184">
      <c r="C1124" s="761" t="n"/>
    </row>
    <row r="1125" s="184">
      <c r="C1125" s="761" t="n"/>
    </row>
    <row r="1126" s="184">
      <c r="C1126" s="761" t="n"/>
    </row>
    <row r="1127" s="184">
      <c r="C1127" s="761" t="n"/>
    </row>
    <row r="1128" s="184">
      <c r="C1128" s="761" t="n"/>
    </row>
    <row r="1129" s="184">
      <c r="C1129" s="761" t="n"/>
    </row>
    <row r="1130" s="184">
      <c r="C1130" s="761" t="n"/>
    </row>
    <row r="1131" s="184">
      <c r="C1131" s="761" t="n"/>
    </row>
    <row r="1132" s="184">
      <c r="C1132" s="761" t="n"/>
    </row>
    <row r="1133" s="184">
      <c r="C1133" s="761" t="n"/>
    </row>
    <row r="1134" s="184">
      <c r="C1134" s="761" t="n"/>
    </row>
    <row r="1135" s="184">
      <c r="C1135" s="761" t="n"/>
    </row>
    <row r="1136" s="184">
      <c r="C1136" s="761" t="n"/>
    </row>
    <row r="1137" s="184">
      <c r="C1137" s="761" t="n"/>
    </row>
    <row r="1138" s="184">
      <c r="C1138" s="761" t="n"/>
    </row>
    <row r="1139" s="184">
      <c r="C1139" s="761" t="n"/>
    </row>
    <row r="1140" s="184">
      <c r="C1140" s="761" t="n"/>
    </row>
    <row r="1141" s="184">
      <c r="C1141" s="761" t="n"/>
    </row>
    <row r="1142" s="184">
      <c r="C1142" s="761" t="n"/>
    </row>
    <row r="1143" s="184">
      <c r="C1143" s="761" t="n"/>
    </row>
    <row r="1144" s="184">
      <c r="C1144" s="761" t="n"/>
    </row>
    <row r="1145" s="184">
      <c r="C1145" s="761" t="n"/>
    </row>
    <row r="1146" s="184">
      <c r="C1146" s="761" t="n"/>
    </row>
    <row r="1147" s="184">
      <c r="C1147" s="761" t="n"/>
    </row>
    <row r="1148" s="184">
      <c r="C1148" s="761" t="n"/>
    </row>
    <row r="1149" s="184">
      <c r="C1149" s="761" t="n"/>
    </row>
    <row r="1150" s="184">
      <c r="C1150" s="761" t="n"/>
    </row>
    <row r="1151" s="184">
      <c r="C1151" s="761" t="n"/>
    </row>
    <row r="1152" s="184">
      <c r="C1152" s="761" t="n"/>
    </row>
    <row r="1153" s="184">
      <c r="C1153" s="761" t="n"/>
    </row>
    <row r="1154" s="184">
      <c r="C1154" s="761" t="n"/>
    </row>
    <row r="1155" s="184">
      <c r="C1155" s="761" t="n"/>
    </row>
    <row r="1156" s="184">
      <c r="C1156" s="761" t="n"/>
    </row>
    <row r="1157" s="184">
      <c r="C1157" s="761" t="n"/>
    </row>
    <row r="1158" s="184">
      <c r="C1158" s="761" t="n"/>
    </row>
    <row r="1159" s="184">
      <c r="C1159" s="761" t="n"/>
    </row>
    <row r="1160" s="184">
      <c r="C1160" s="761" t="n"/>
    </row>
    <row r="1161" s="184">
      <c r="C1161" s="761" t="n"/>
    </row>
    <row r="1162" s="184">
      <c r="C1162" s="761" t="n"/>
    </row>
    <row r="1163" s="184">
      <c r="C1163" s="761" t="n"/>
    </row>
    <row r="1164" s="184">
      <c r="C1164" s="761" t="n"/>
    </row>
    <row r="1165" s="184">
      <c r="C1165" s="761" t="n"/>
    </row>
    <row r="1166" s="184">
      <c r="C1166" s="761" t="n"/>
    </row>
    <row r="1167" s="184">
      <c r="C1167" s="761" t="n"/>
    </row>
    <row r="1168" s="184">
      <c r="C1168" s="761" t="n"/>
    </row>
    <row r="1169" s="184">
      <c r="C1169" s="761" t="n"/>
    </row>
    <row r="1170" s="184">
      <c r="C1170" s="761" t="n"/>
    </row>
    <row r="1171" s="184">
      <c r="C1171" s="761" t="n"/>
    </row>
    <row r="1172" s="184">
      <c r="C1172" s="761" t="n"/>
    </row>
    <row r="1173" s="184">
      <c r="C1173" s="761" t="n"/>
    </row>
    <row r="1174" s="184">
      <c r="C1174" s="761" t="n"/>
    </row>
    <row r="1175" s="184">
      <c r="C1175" s="761" t="n"/>
    </row>
    <row r="1176" s="184">
      <c r="C1176" s="761" t="n"/>
    </row>
    <row r="1177" s="184">
      <c r="C1177" s="761" t="n"/>
    </row>
    <row r="1178" s="184">
      <c r="C1178" s="761" t="n"/>
    </row>
    <row r="1179" s="184">
      <c r="C1179" s="761" t="n"/>
    </row>
    <row r="1180" s="184">
      <c r="C1180" s="761" t="n"/>
    </row>
    <row r="1181" s="184">
      <c r="C1181" s="761" t="n"/>
    </row>
    <row r="1182" s="184">
      <c r="C1182" s="761" t="n"/>
    </row>
    <row r="1183" s="184">
      <c r="C1183" s="761" t="n"/>
    </row>
    <row r="1184" s="184">
      <c r="C1184" s="761" t="n"/>
    </row>
    <row r="1185" s="184">
      <c r="C1185" s="761" t="n"/>
    </row>
    <row r="1186" s="184">
      <c r="C1186" s="761" t="n"/>
    </row>
    <row r="1187" s="184">
      <c r="C1187" s="761" t="n"/>
    </row>
    <row r="1188" s="184">
      <c r="C1188" s="761" t="n"/>
    </row>
    <row r="1189" s="184">
      <c r="C1189" s="761" t="n"/>
    </row>
    <row r="1190" s="184">
      <c r="C1190" s="761" t="n"/>
    </row>
    <row r="1191" s="184">
      <c r="C1191" s="761" t="n"/>
    </row>
    <row r="1192" s="184">
      <c r="C1192" s="761" t="n"/>
    </row>
    <row r="1193" s="184">
      <c r="C1193" s="761" t="n"/>
    </row>
    <row r="1194" s="184">
      <c r="C1194" s="761" t="n"/>
    </row>
    <row r="1195" s="184">
      <c r="C1195" s="761" t="n"/>
    </row>
    <row r="1196" s="184">
      <c r="C1196" s="761" t="n"/>
    </row>
    <row r="1197" s="184">
      <c r="C1197" s="761" t="n"/>
    </row>
    <row r="1198" s="184">
      <c r="C1198" s="761" t="n"/>
    </row>
    <row r="1199" s="184">
      <c r="C1199" s="761" t="n"/>
    </row>
    <row r="1200" s="184">
      <c r="C1200" s="761" t="n"/>
    </row>
    <row r="1201" s="184">
      <c r="C1201" s="761" t="n"/>
    </row>
    <row r="1202" s="184">
      <c r="C1202" s="761" t="n"/>
    </row>
    <row r="1203" s="184">
      <c r="C1203" s="761" t="n"/>
    </row>
    <row r="1204" s="184">
      <c r="C1204" s="761" t="n"/>
    </row>
    <row r="1205" s="184">
      <c r="C1205" s="761" t="n"/>
    </row>
    <row r="1206" s="184">
      <c r="C1206" s="761" t="n"/>
    </row>
    <row r="1207" s="184">
      <c r="C1207" s="761" t="n"/>
    </row>
    <row r="1208" s="184">
      <c r="C1208" s="761" t="n"/>
    </row>
    <row r="1209" s="184">
      <c r="C1209" s="761" t="n"/>
    </row>
    <row r="1210" s="184">
      <c r="C1210" s="761" t="n"/>
    </row>
    <row r="1211" s="184">
      <c r="C1211" s="761" t="n"/>
    </row>
    <row r="1212" s="184">
      <c r="C1212" s="761" t="n"/>
    </row>
    <row r="1213" s="184">
      <c r="C1213" s="761" t="n"/>
    </row>
    <row r="1214" s="184">
      <c r="C1214" s="761" t="n"/>
    </row>
    <row r="1215" s="184">
      <c r="C1215" s="761" t="n"/>
    </row>
    <row r="1216" s="184">
      <c r="C1216" s="761" t="n"/>
    </row>
    <row r="1217" s="184">
      <c r="C1217" s="761" t="n"/>
    </row>
    <row r="1218" s="184">
      <c r="C1218" s="761" t="n"/>
    </row>
    <row r="1219" s="184">
      <c r="C1219" s="761" t="n"/>
    </row>
    <row r="1220" s="184">
      <c r="C1220" s="761" t="n"/>
    </row>
    <row r="1221" s="184">
      <c r="C1221" s="761" t="n"/>
    </row>
    <row r="1222" s="184">
      <c r="C1222" s="761" t="n"/>
    </row>
    <row r="1223" s="184">
      <c r="C1223" s="761" t="n"/>
    </row>
    <row r="1224" s="184">
      <c r="C1224" s="761" t="n"/>
    </row>
    <row r="1225" s="184">
      <c r="C1225" s="761" t="n"/>
    </row>
    <row r="1226" s="184">
      <c r="C1226" s="761" t="n"/>
    </row>
    <row r="1227" s="184">
      <c r="C1227" s="761" t="n"/>
    </row>
    <row r="1228" s="184">
      <c r="C1228" s="761" t="n"/>
    </row>
    <row r="1229" s="184">
      <c r="C1229" s="761" t="n"/>
    </row>
    <row r="1230" s="184">
      <c r="C1230" s="761" t="n"/>
    </row>
    <row r="1231" s="184">
      <c r="C1231" s="761" t="n"/>
    </row>
    <row r="1232" s="184">
      <c r="C1232" s="761" t="n"/>
    </row>
    <row r="1233" s="184">
      <c r="C1233" s="761" t="n"/>
    </row>
    <row r="1234" s="184">
      <c r="C1234" s="761" t="n"/>
    </row>
    <row r="1235" s="184">
      <c r="C1235" s="761" t="n"/>
    </row>
    <row r="1236" s="184">
      <c r="C1236" s="761" t="n"/>
    </row>
    <row r="1237" s="184">
      <c r="C1237" s="761" t="n"/>
    </row>
    <row r="1238" s="184">
      <c r="C1238" s="761" t="n"/>
    </row>
    <row r="1239" s="184">
      <c r="C1239" s="761" t="n"/>
    </row>
    <row r="1240" s="184">
      <c r="C1240" s="761" t="n"/>
    </row>
    <row r="1241" s="184">
      <c r="C1241" s="761" t="n"/>
    </row>
    <row r="1242" s="184">
      <c r="C1242" s="761" t="n"/>
    </row>
    <row r="1243" s="184">
      <c r="C1243" s="761" t="n"/>
    </row>
    <row r="1244" s="184">
      <c r="C1244" s="761" t="n"/>
    </row>
    <row r="1245" s="184">
      <c r="C1245" s="761" t="n"/>
    </row>
    <row r="1246" s="184">
      <c r="C1246" s="761" t="n"/>
    </row>
    <row r="1247" s="184">
      <c r="C1247" s="761" t="n"/>
    </row>
    <row r="1248" s="184">
      <c r="C1248" s="761" t="n"/>
    </row>
    <row r="1249" s="184">
      <c r="C1249" s="761" t="n"/>
    </row>
    <row r="1250" s="184">
      <c r="C1250" s="761" t="n"/>
    </row>
    <row r="1251" s="184">
      <c r="C1251" s="761" t="n"/>
    </row>
    <row r="1252" s="184">
      <c r="C1252" s="761" t="n"/>
    </row>
    <row r="1253" s="184">
      <c r="C1253" s="761" t="n"/>
    </row>
    <row r="1254" s="184">
      <c r="C1254" s="761" t="n"/>
    </row>
    <row r="1255" s="184">
      <c r="C1255" s="761" t="n"/>
    </row>
    <row r="1256" s="184">
      <c r="C1256" s="761" t="n"/>
    </row>
    <row r="1257" s="184">
      <c r="C1257" s="761" t="n"/>
    </row>
    <row r="1258" s="184">
      <c r="C1258" s="761" t="n"/>
    </row>
    <row r="1259" s="184">
      <c r="C1259" s="761" t="n"/>
    </row>
    <row r="1260" s="184">
      <c r="C1260" s="761" t="n"/>
    </row>
    <row r="1261" s="184">
      <c r="C1261" s="761" t="n"/>
    </row>
    <row r="1262" s="184">
      <c r="C1262" s="761" t="n"/>
    </row>
    <row r="1263" s="184">
      <c r="C1263" s="761" t="n"/>
    </row>
    <row r="1264" s="184">
      <c r="C1264" s="761" t="n"/>
    </row>
    <row r="1265" s="184">
      <c r="C1265" s="761" t="n"/>
    </row>
    <row r="1266" s="184">
      <c r="C1266" s="761" t="n"/>
    </row>
    <row r="1267" s="184">
      <c r="C1267" s="761" t="n"/>
    </row>
    <row r="1268" s="184">
      <c r="C1268" s="761" t="n"/>
    </row>
    <row r="1269" s="184">
      <c r="C1269" s="761" t="n"/>
    </row>
    <row r="1270" s="184">
      <c r="C1270" s="761" t="n"/>
    </row>
    <row r="1271" s="184">
      <c r="C1271" s="761" t="n"/>
    </row>
    <row r="1272" s="184">
      <c r="C1272" s="761" t="n"/>
    </row>
    <row r="1273" s="184">
      <c r="C1273" s="761" t="n"/>
    </row>
    <row r="1274" s="184">
      <c r="C1274" s="761" t="n"/>
    </row>
    <row r="1275" s="184">
      <c r="C1275" s="761" t="n"/>
    </row>
    <row r="1276" s="184">
      <c r="C1276" s="761" t="n"/>
    </row>
    <row r="1277" s="184">
      <c r="C1277" s="761" t="n"/>
    </row>
    <row r="1278" s="184">
      <c r="C1278" s="761" t="n"/>
    </row>
    <row r="1279" s="184">
      <c r="C1279" s="761" t="n"/>
    </row>
    <row r="1280" s="184">
      <c r="C1280" s="761" t="n"/>
    </row>
    <row r="1281" s="184">
      <c r="C1281" s="761" t="n"/>
    </row>
    <row r="1282" s="184">
      <c r="C1282" s="761" t="n"/>
    </row>
    <row r="1283" s="184">
      <c r="C1283" s="761" t="n"/>
    </row>
    <row r="1284" s="184">
      <c r="C1284" s="761" t="n"/>
    </row>
    <row r="1285" s="184">
      <c r="C1285" s="761" t="n"/>
    </row>
    <row r="1286" s="184">
      <c r="C1286" s="761" t="n"/>
    </row>
    <row r="1287" s="184">
      <c r="C1287" s="761" t="n"/>
    </row>
    <row r="1288" s="184">
      <c r="C1288" s="761" t="n"/>
    </row>
    <row r="1289" s="184">
      <c r="C1289" s="761" t="n"/>
    </row>
    <row r="1290" s="184">
      <c r="C1290" s="761" t="n"/>
    </row>
    <row r="1291" s="184">
      <c r="C1291" s="761" t="n"/>
    </row>
    <row r="1292" s="184">
      <c r="C1292" s="761" t="n"/>
    </row>
    <row r="1293" s="184">
      <c r="C1293" s="761" t="n"/>
    </row>
    <row r="1294" s="184">
      <c r="C1294" s="761" t="n"/>
    </row>
    <row r="1295" s="184">
      <c r="C1295" s="761" t="n"/>
    </row>
    <row r="1296" s="184">
      <c r="C1296" s="761" t="n"/>
    </row>
    <row r="1297" s="184">
      <c r="C1297" s="761" t="n"/>
    </row>
    <row r="1298" s="184">
      <c r="C1298" s="761" t="n"/>
    </row>
    <row r="1299" s="184">
      <c r="C1299" s="761" t="n"/>
    </row>
    <row r="1300" s="184">
      <c r="C1300" s="761" t="n"/>
    </row>
    <row r="1301" s="184">
      <c r="C1301" s="761" t="n"/>
    </row>
    <row r="1302" s="184">
      <c r="C1302" s="761" t="n"/>
    </row>
    <row r="1303" s="184">
      <c r="C1303" s="761" t="n"/>
    </row>
    <row r="1304" s="184">
      <c r="C1304" s="761" t="n"/>
    </row>
    <row r="1305" s="184">
      <c r="C1305" s="761" t="n"/>
    </row>
    <row r="1306" s="184">
      <c r="C1306" s="761" t="n"/>
    </row>
    <row r="1307" s="184">
      <c r="C1307" s="761" t="n"/>
    </row>
    <row r="1308" s="184">
      <c r="C1308" s="761" t="n"/>
    </row>
    <row r="1309" s="184">
      <c r="C1309" s="761" t="n"/>
    </row>
    <row r="1310" s="184">
      <c r="C1310" s="761" t="n"/>
    </row>
    <row r="1311" s="184">
      <c r="C1311" s="761" t="n"/>
    </row>
    <row r="1312" s="184">
      <c r="C1312" s="761" t="n"/>
    </row>
    <row r="1313" s="184">
      <c r="C1313" s="761" t="n"/>
    </row>
    <row r="1314" s="184">
      <c r="C1314" s="761" t="n"/>
    </row>
    <row r="1315" s="184">
      <c r="C1315" s="761" t="n"/>
    </row>
    <row r="1316" s="184">
      <c r="C1316" s="761" t="n"/>
    </row>
    <row r="1317" s="184">
      <c r="C1317" s="761" t="n"/>
    </row>
    <row r="1318" s="184">
      <c r="C1318" s="761" t="n"/>
    </row>
    <row r="1319" s="184">
      <c r="C1319" s="761" t="n"/>
    </row>
    <row r="1320" s="184">
      <c r="C1320" s="761" t="n"/>
    </row>
    <row r="1321" s="184">
      <c r="C1321" s="761" t="n"/>
    </row>
    <row r="1322" s="184">
      <c r="C1322" s="761" t="n"/>
    </row>
    <row r="1323" s="184">
      <c r="C1323" s="761" t="n"/>
    </row>
    <row r="1324" s="184">
      <c r="C1324" s="761" t="n"/>
    </row>
    <row r="1325" s="184">
      <c r="C1325" s="761" t="n"/>
    </row>
    <row r="1326" s="184">
      <c r="C1326" s="761" t="n"/>
    </row>
    <row r="1327" s="184">
      <c r="C1327" s="761" t="n"/>
    </row>
    <row r="1328" s="184">
      <c r="C1328" s="761" t="n"/>
    </row>
    <row r="1329" s="184">
      <c r="C1329" s="761" t="n"/>
    </row>
    <row r="1330" s="184">
      <c r="C1330" s="761" t="n"/>
    </row>
    <row r="1331" s="184">
      <c r="C1331" s="761" t="n"/>
    </row>
    <row r="1332" s="184">
      <c r="C1332" s="761" t="n"/>
    </row>
    <row r="1333" s="184">
      <c r="C1333" s="761" t="n"/>
    </row>
    <row r="1334" s="184">
      <c r="C1334" s="761" t="n"/>
    </row>
    <row r="1335" s="184">
      <c r="C1335" s="761" t="n"/>
    </row>
    <row r="1336" s="184">
      <c r="C1336" s="761" t="n"/>
    </row>
    <row r="1337" s="184">
      <c r="C1337" s="761" t="n"/>
    </row>
    <row r="1338" s="184">
      <c r="C1338" s="761" t="n"/>
    </row>
    <row r="1339" s="184">
      <c r="C1339" s="761" t="n"/>
    </row>
    <row r="1340" s="184">
      <c r="C1340" s="761" t="n"/>
    </row>
    <row r="1341" s="184">
      <c r="C1341" s="761" t="n"/>
    </row>
    <row r="1342" s="184">
      <c r="C1342" s="761" t="n"/>
    </row>
    <row r="1343" s="184">
      <c r="C1343" s="761" t="n"/>
    </row>
    <row r="1344" s="184">
      <c r="C1344" s="761" t="n"/>
    </row>
    <row r="1345" s="184">
      <c r="C1345" s="761" t="n"/>
    </row>
    <row r="1346" s="184">
      <c r="C1346" s="761" t="n"/>
    </row>
    <row r="1347" s="184">
      <c r="C1347" s="761" t="n"/>
    </row>
    <row r="1348" s="184">
      <c r="C1348" s="761" t="n"/>
    </row>
    <row r="1349" s="184">
      <c r="C1349" s="761" t="n"/>
    </row>
    <row r="1350" s="184">
      <c r="C1350" s="761" t="n"/>
    </row>
    <row r="1351" s="184">
      <c r="C1351" s="761" t="n"/>
    </row>
    <row r="1352" s="184">
      <c r="C1352" s="761" t="n"/>
    </row>
    <row r="1353" s="184">
      <c r="C1353" s="761" t="n"/>
    </row>
    <row r="1354" s="184">
      <c r="C1354" s="761" t="n"/>
    </row>
    <row r="1355" s="184">
      <c r="C1355" s="761" t="n"/>
    </row>
    <row r="1356" s="184">
      <c r="C1356" s="761" t="n"/>
    </row>
    <row r="1357" s="184">
      <c r="C1357" s="761" t="n"/>
    </row>
    <row r="1358" s="184">
      <c r="C1358" s="761" t="n"/>
    </row>
    <row r="1359" s="184">
      <c r="C1359" s="761" t="n"/>
    </row>
    <row r="1360" s="184">
      <c r="C1360" s="761" t="n"/>
    </row>
    <row r="1361" s="184">
      <c r="C1361" s="761" t="n"/>
    </row>
    <row r="1362" s="184">
      <c r="C1362" s="761" t="n"/>
    </row>
    <row r="1363" s="184">
      <c r="C1363" s="761" t="n"/>
    </row>
    <row r="1364" s="184">
      <c r="C1364" s="761" t="n"/>
    </row>
    <row r="1365" s="184">
      <c r="C1365" s="761" t="n"/>
    </row>
    <row r="1366" s="184">
      <c r="C1366" s="761" t="n"/>
    </row>
    <row r="1367" s="184">
      <c r="C1367" s="761" t="n"/>
    </row>
    <row r="1368" s="184">
      <c r="C1368" s="761" t="n"/>
    </row>
    <row r="1369" s="184">
      <c r="C1369" s="761" t="n"/>
    </row>
    <row r="1370" s="184">
      <c r="C1370" s="761" t="n"/>
    </row>
    <row r="1371" s="184">
      <c r="C1371" s="761" t="n"/>
    </row>
    <row r="1372" s="184">
      <c r="C1372" s="761" t="n"/>
    </row>
    <row r="1373" s="184">
      <c r="C1373" s="761" t="n"/>
    </row>
    <row r="1374" s="184">
      <c r="C1374" s="761" t="n"/>
    </row>
    <row r="1375" s="184">
      <c r="C1375" s="761" t="n"/>
    </row>
    <row r="1376" s="184">
      <c r="C1376" s="761" t="n"/>
    </row>
    <row r="1377" s="184">
      <c r="C1377" s="761" t="n"/>
    </row>
    <row r="1378" s="184">
      <c r="C1378" s="761" t="n"/>
    </row>
    <row r="1379" s="184">
      <c r="C1379" s="761" t="n"/>
    </row>
    <row r="1380" s="184">
      <c r="C1380" s="761" t="n"/>
    </row>
    <row r="1381" s="184">
      <c r="C1381" s="761" t="n"/>
    </row>
    <row r="1382" s="184">
      <c r="C1382" s="761" t="n"/>
    </row>
    <row r="1383" s="184">
      <c r="C1383" s="761" t="n"/>
    </row>
    <row r="1384" s="184">
      <c r="C1384" s="761" t="n"/>
    </row>
    <row r="1385" s="184">
      <c r="C1385" s="761" t="n"/>
    </row>
    <row r="1386" s="184">
      <c r="C1386" s="761" t="n"/>
    </row>
    <row r="1387" s="184">
      <c r="C1387" s="761" t="n"/>
    </row>
    <row r="1388" s="184">
      <c r="C1388" s="761" t="n"/>
    </row>
    <row r="1389" s="184">
      <c r="C1389" s="761" t="n"/>
    </row>
    <row r="1390" s="184">
      <c r="C1390" s="761" t="n"/>
    </row>
    <row r="1391" s="184">
      <c r="C1391" s="761" t="n"/>
    </row>
    <row r="1392" s="184">
      <c r="C1392" s="761" t="n"/>
    </row>
    <row r="1393" s="184">
      <c r="C1393" s="761" t="n"/>
    </row>
    <row r="1394" s="184">
      <c r="C1394" s="761" t="n"/>
    </row>
    <row r="1395" s="184">
      <c r="C1395" s="761" t="n"/>
    </row>
    <row r="1396" s="184">
      <c r="C1396" s="761" t="n"/>
    </row>
    <row r="1397" s="184">
      <c r="C1397" s="761" t="n"/>
    </row>
    <row r="1398" s="184">
      <c r="C1398" s="761" t="n"/>
    </row>
    <row r="1399" s="184">
      <c r="C1399" s="761" t="n"/>
    </row>
    <row r="1400" s="184">
      <c r="C1400" s="761" t="n"/>
    </row>
    <row r="1401" s="184">
      <c r="C1401" s="761" t="n"/>
    </row>
    <row r="1402" s="184">
      <c r="C1402" s="761" t="n"/>
    </row>
    <row r="1403" s="184">
      <c r="C1403" s="761" t="n"/>
    </row>
    <row r="1404" s="184">
      <c r="C1404" s="761" t="n"/>
    </row>
    <row r="1405" s="184">
      <c r="C1405" s="761" t="n"/>
    </row>
    <row r="1406" s="184">
      <c r="C1406" s="761" t="n"/>
    </row>
    <row r="1407" s="184">
      <c r="C1407" s="761" t="n"/>
    </row>
    <row r="1408" s="184">
      <c r="C1408" s="761" t="n"/>
    </row>
    <row r="1409" s="184">
      <c r="C1409" s="761" t="n"/>
    </row>
    <row r="1410" s="184">
      <c r="C1410" s="761" t="n"/>
    </row>
    <row r="1411" s="184">
      <c r="C1411" s="761" t="n"/>
    </row>
    <row r="1412" s="184">
      <c r="C1412" s="761" t="n"/>
    </row>
    <row r="1413" s="184">
      <c r="C1413" s="761" t="n"/>
    </row>
    <row r="1414" s="184">
      <c r="C1414" s="761" t="n"/>
    </row>
    <row r="1415" s="184">
      <c r="C1415" s="761" t="n"/>
    </row>
    <row r="1416" s="184">
      <c r="C1416" s="761" t="n"/>
    </row>
    <row r="1417" s="184">
      <c r="C1417" s="761" t="n"/>
    </row>
    <row r="1418" s="184">
      <c r="C1418" s="761" t="n"/>
    </row>
    <row r="1419" s="184">
      <c r="C1419" s="761" t="n"/>
    </row>
    <row r="1420" s="184">
      <c r="C1420" s="761" t="n"/>
    </row>
    <row r="1421" s="184">
      <c r="C1421" s="761" t="n"/>
    </row>
    <row r="1422" s="184">
      <c r="C1422" s="761" t="n"/>
    </row>
    <row r="1423" s="184">
      <c r="C1423" s="761" t="n"/>
    </row>
    <row r="1424" s="184">
      <c r="C1424" s="761" t="n"/>
    </row>
    <row r="1425" s="184">
      <c r="C1425" s="761" t="n"/>
    </row>
    <row r="1426" s="184">
      <c r="C1426" s="761" t="n"/>
    </row>
    <row r="1427" s="184">
      <c r="C1427" s="761" t="n"/>
    </row>
    <row r="1428" s="184">
      <c r="C1428" s="761" t="n"/>
    </row>
    <row r="1429" s="184">
      <c r="C1429" s="761" t="n"/>
    </row>
    <row r="1430" s="184">
      <c r="C1430" s="761" t="n"/>
    </row>
    <row r="1431" s="184">
      <c r="C1431" s="761" t="n"/>
    </row>
    <row r="1432" s="184">
      <c r="C1432" s="761" t="n"/>
    </row>
    <row r="1433" s="184">
      <c r="C1433" s="761" t="n"/>
    </row>
    <row r="1434" s="184">
      <c r="C1434" s="761" t="n"/>
    </row>
    <row r="1435" s="184">
      <c r="C1435" s="761" t="n"/>
    </row>
    <row r="1436" s="184">
      <c r="C1436" s="761" t="n"/>
    </row>
    <row r="1437" s="184">
      <c r="C1437" s="761" t="n"/>
    </row>
    <row r="1438" s="184">
      <c r="C1438" s="761" t="n"/>
    </row>
    <row r="1439" s="184">
      <c r="C1439" s="761" t="n"/>
    </row>
    <row r="1440" s="184">
      <c r="C1440" s="761" t="n"/>
    </row>
    <row r="1441" s="184">
      <c r="C1441" s="761" t="n"/>
    </row>
    <row r="1442" s="184">
      <c r="C1442" s="761" t="n"/>
    </row>
    <row r="1443" s="184">
      <c r="C1443" s="761" t="n"/>
    </row>
    <row r="1444" s="184">
      <c r="C1444" s="761" t="n"/>
    </row>
    <row r="1445" s="184">
      <c r="C1445" s="761" t="n"/>
    </row>
    <row r="1446" s="184">
      <c r="C1446" s="761" t="n"/>
    </row>
    <row r="1447" s="184">
      <c r="C1447" s="761" t="n"/>
    </row>
    <row r="1448" s="184">
      <c r="C1448" s="761" t="n"/>
    </row>
    <row r="1449" s="184">
      <c r="C1449" s="761" t="n"/>
    </row>
    <row r="1450" s="184">
      <c r="C1450" s="761" t="n"/>
    </row>
    <row r="1451" s="184">
      <c r="C1451" s="761" t="n"/>
    </row>
    <row r="1452" s="184">
      <c r="C1452" s="761" t="n"/>
    </row>
    <row r="1453" s="184">
      <c r="C1453" s="761" t="n"/>
    </row>
    <row r="1454" s="184">
      <c r="C1454" s="761" t="n"/>
    </row>
    <row r="1455" s="184">
      <c r="C1455" s="761" t="n"/>
    </row>
    <row r="1456" s="184">
      <c r="C1456" s="761" t="n"/>
    </row>
    <row r="1457" s="184">
      <c r="C1457" s="761" t="n"/>
    </row>
    <row r="1458" s="184">
      <c r="C1458" s="761" t="n"/>
    </row>
    <row r="1459" s="184">
      <c r="C1459" s="761" t="n"/>
    </row>
    <row r="1460" s="184">
      <c r="C1460" s="761" t="n"/>
    </row>
    <row r="1461" s="184">
      <c r="C1461" s="761" t="n"/>
    </row>
    <row r="1462" s="184">
      <c r="C1462" s="761" t="n"/>
    </row>
    <row r="1463" s="184">
      <c r="C1463" s="761" t="n"/>
    </row>
    <row r="1464" s="184">
      <c r="C1464" s="761" t="n"/>
    </row>
    <row r="1465" s="184">
      <c r="C1465" s="761" t="n"/>
    </row>
    <row r="1466" s="184">
      <c r="C1466" s="761" t="n"/>
    </row>
    <row r="1467" s="184">
      <c r="C1467" s="761" t="n"/>
    </row>
    <row r="1468" s="184">
      <c r="C1468" s="761" t="n"/>
    </row>
    <row r="1469" s="184">
      <c r="C1469" s="761" t="n"/>
    </row>
    <row r="1470" s="184">
      <c r="C1470" s="761" t="n"/>
    </row>
    <row r="1471" s="184">
      <c r="C1471" s="761" t="n"/>
    </row>
    <row r="1472" s="184">
      <c r="C1472" s="761" t="n"/>
    </row>
    <row r="1473" s="184">
      <c r="C1473" s="761" t="n"/>
    </row>
    <row r="1474" s="184">
      <c r="C1474" s="761" t="n"/>
    </row>
    <row r="1475" s="184">
      <c r="C1475" s="761" t="n"/>
    </row>
    <row r="1476" s="184">
      <c r="C1476" s="761" t="n"/>
    </row>
    <row r="1477" s="184">
      <c r="C1477" s="761" t="n"/>
    </row>
    <row r="1478" s="184">
      <c r="C1478" s="761" t="n"/>
    </row>
    <row r="1479" s="184">
      <c r="C1479" s="761" t="n"/>
    </row>
    <row r="1480" s="184">
      <c r="C1480" s="761" t="n"/>
    </row>
    <row r="1481" s="184">
      <c r="C1481" s="761" t="n"/>
    </row>
    <row r="1482" s="184">
      <c r="C1482" s="761" t="n"/>
    </row>
    <row r="1483" s="184">
      <c r="C1483" s="761" t="n"/>
    </row>
    <row r="1484" s="184">
      <c r="C1484" s="761" t="n"/>
    </row>
    <row r="1485" s="184">
      <c r="C1485" s="761" t="n"/>
    </row>
    <row r="1486" s="184">
      <c r="C1486" s="761" t="n"/>
    </row>
    <row r="1487" s="184">
      <c r="C1487" s="761" t="n"/>
    </row>
    <row r="1488" s="184">
      <c r="C1488" s="761" t="n"/>
    </row>
    <row r="1489" s="184">
      <c r="C1489" s="761" t="n"/>
    </row>
    <row r="1490" s="184">
      <c r="C1490" s="761" t="n"/>
    </row>
    <row r="1491" s="184">
      <c r="C1491" s="761" t="n"/>
    </row>
    <row r="1492" s="184">
      <c r="C1492" s="761" t="n"/>
    </row>
    <row r="1493" s="184">
      <c r="C1493" s="761" t="n"/>
    </row>
    <row r="1494" s="184">
      <c r="C1494" s="761" t="n"/>
    </row>
    <row r="1495" s="184">
      <c r="C1495" s="761" t="n"/>
    </row>
    <row r="1496" s="184">
      <c r="C1496" s="761" t="n"/>
    </row>
    <row r="1497" s="184">
      <c r="C1497" s="761" t="n"/>
    </row>
    <row r="1498" s="184">
      <c r="C1498" s="761" t="n"/>
    </row>
    <row r="1499" s="184">
      <c r="C1499" s="761" t="n"/>
    </row>
    <row r="1500" s="184">
      <c r="C1500" s="761" t="n"/>
    </row>
    <row r="1501" s="184">
      <c r="C1501" s="761" t="n"/>
    </row>
    <row r="1502" s="184">
      <c r="C1502" s="761" t="n"/>
    </row>
    <row r="1503" s="184">
      <c r="C1503" s="761" t="n"/>
    </row>
    <row r="1504" s="184">
      <c r="C1504" s="761" t="n"/>
    </row>
    <row r="1505" s="184">
      <c r="C1505" s="761" t="n"/>
    </row>
    <row r="1506" s="184">
      <c r="C1506" s="761" t="n"/>
    </row>
    <row r="1507" s="184">
      <c r="C1507" s="761" t="n"/>
    </row>
    <row r="1508" s="184">
      <c r="C1508" s="761" t="n"/>
    </row>
    <row r="1509" s="184">
      <c r="C1509" s="761" t="n"/>
    </row>
    <row r="1510" s="184">
      <c r="C1510" s="761" t="n"/>
    </row>
    <row r="1511" s="184">
      <c r="C1511" s="761" t="n"/>
    </row>
    <row r="1512" s="184">
      <c r="C1512" s="761" t="n"/>
    </row>
    <row r="1513" s="184">
      <c r="C1513" s="761" t="n"/>
    </row>
    <row r="1514" s="184">
      <c r="C1514" s="761" t="n"/>
    </row>
    <row r="1515" s="184">
      <c r="C1515" s="761" t="n"/>
    </row>
    <row r="1516" s="184">
      <c r="C1516" s="761" t="n"/>
    </row>
    <row r="1517" s="184">
      <c r="C1517" s="761" t="n"/>
    </row>
    <row r="1518" s="184">
      <c r="C1518" s="761" t="n"/>
    </row>
    <row r="1519" s="184">
      <c r="C1519" s="761" t="n"/>
    </row>
    <row r="1520" s="184">
      <c r="C1520" s="761" t="n"/>
    </row>
    <row r="1521" s="184">
      <c r="C1521" s="761" t="n"/>
    </row>
    <row r="1522" s="184">
      <c r="C1522" s="761" t="n"/>
    </row>
    <row r="1523" s="184">
      <c r="C1523" s="761" t="n"/>
    </row>
    <row r="1524" s="184">
      <c r="C1524" s="761" t="n"/>
    </row>
    <row r="1525" s="184">
      <c r="C1525" s="761" t="n"/>
    </row>
    <row r="1526" s="184">
      <c r="C1526" s="761" t="n"/>
    </row>
    <row r="1527" s="184">
      <c r="C1527" s="761" t="n"/>
    </row>
    <row r="1528" s="184">
      <c r="C1528" s="761" t="n"/>
    </row>
    <row r="1529" s="184">
      <c r="C1529" s="761" t="n"/>
    </row>
    <row r="1530" s="184">
      <c r="C1530" s="761" t="n"/>
    </row>
    <row r="1531" s="184">
      <c r="C1531" s="761" t="n"/>
    </row>
    <row r="1532" s="184">
      <c r="C1532" s="761" t="n"/>
    </row>
    <row r="1533" s="184">
      <c r="C1533" s="761" t="n"/>
    </row>
    <row r="1534" s="184">
      <c r="C1534" s="761" t="n"/>
    </row>
    <row r="1535" s="184">
      <c r="C1535" s="761" t="n"/>
    </row>
    <row r="1536" s="184">
      <c r="C1536" s="761" t="n"/>
    </row>
    <row r="1537" s="184">
      <c r="C1537" s="761" t="n"/>
    </row>
    <row r="1538" s="184">
      <c r="C1538" s="761" t="n"/>
    </row>
    <row r="1539" s="184">
      <c r="C1539" s="761" t="n"/>
    </row>
    <row r="1540" s="184">
      <c r="C1540" s="761" t="n"/>
    </row>
    <row r="1541" s="184">
      <c r="C1541" s="761" t="n"/>
    </row>
    <row r="1542" s="184">
      <c r="C1542" s="761" t="n"/>
    </row>
    <row r="1543" s="184">
      <c r="C1543" s="761" t="n"/>
    </row>
    <row r="1544" s="184">
      <c r="C1544" s="761" t="n"/>
    </row>
    <row r="1545" s="184">
      <c r="C1545" s="761" t="n"/>
    </row>
    <row r="1546" s="184">
      <c r="C1546" s="761" t="n"/>
    </row>
    <row r="1547" s="184">
      <c r="C1547" s="761" t="n"/>
    </row>
    <row r="1548" s="184">
      <c r="C1548" s="761" t="n"/>
    </row>
    <row r="1549" s="184">
      <c r="C1549" s="761" t="n"/>
    </row>
    <row r="1550" s="184">
      <c r="C1550" s="761" t="n"/>
    </row>
    <row r="1551" s="184">
      <c r="C1551" s="761" t="n"/>
    </row>
    <row r="1552" s="184">
      <c r="C1552" s="761" t="n"/>
    </row>
    <row r="1553" s="184">
      <c r="C1553" s="761" t="n"/>
    </row>
    <row r="1554" s="184">
      <c r="C1554" s="761" t="n"/>
    </row>
    <row r="1555" s="184">
      <c r="C1555" s="761" t="n"/>
    </row>
    <row r="1556" s="184">
      <c r="C1556" s="761" t="n"/>
    </row>
    <row r="1557" s="184">
      <c r="C1557" s="761" t="n"/>
    </row>
    <row r="1558" s="184">
      <c r="C1558" s="761" t="n"/>
    </row>
    <row r="1559" s="184">
      <c r="C1559" s="761" t="n"/>
    </row>
    <row r="1560" s="184">
      <c r="C1560" s="761" t="n"/>
    </row>
    <row r="1561" s="184">
      <c r="C1561" s="761" t="n"/>
    </row>
    <row r="1562" s="184">
      <c r="C1562" s="761" t="n"/>
    </row>
    <row r="1563" s="184">
      <c r="C1563" s="761" t="n"/>
    </row>
    <row r="1564" s="184">
      <c r="C1564" s="761" t="n"/>
    </row>
    <row r="1565" s="184">
      <c r="C1565" s="761" t="n"/>
    </row>
    <row r="1566" s="184">
      <c r="C1566" s="761" t="n"/>
    </row>
    <row r="1567" s="184">
      <c r="C1567" s="761" t="n"/>
    </row>
    <row r="1568" s="184">
      <c r="C1568" s="761" t="n"/>
    </row>
    <row r="1569" s="184">
      <c r="C1569" s="761" t="n"/>
    </row>
    <row r="1570" s="184">
      <c r="C1570" s="761" t="n"/>
    </row>
    <row r="1571" s="184">
      <c r="C1571" s="761" t="n"/>
    </row>
    <row r="1572" s="184">
      <c r="C1572" s="761" t="n"/>
    </row>
    <row r="1573" s="184">
      <c r="C1573" s="761" t="n"/>
    </row>
    <row r="1574" s="184">
      <c r="C1574" s="761" t="n"/>
    </row>
    <row r="1575" s="184">
      <c r="C1575" s="761" t="n"/>
    </row>
    <row r="1576" s="184">
      <c r="C1576" s="761" t="n"/>
    </row>
    <row r="1577" s="184">
      <c r="C1577" s="761" t="n"/>
    </row>
    <row r="1578" s="184">
      <c r="C1578" s="761" t="n"/>
    </row>
    <row r="1579" s="184">
      <c r="C1579" s="761" t="n"/>
    </row>
    <row r="1580" s="184">
      <c r="C1580" s="761" t="n"/>
    </row>
    <row r="1581" s="184">
      <c r="C1581" s="761" t="n"/>
    </row>
    <row r="1582" s="184">
      <c r="C1582" s="761" t="n"/>
    </row>
    <row r="1583" s="184">
      <c r="C1583" s="761" t="n"/>
    </row>
    <row r="1584" s="184">
      <c r="C1584" s="761" t="n"/>
    </row>
    <row r="1585" s="184">
      <c r="C1585" s="761" t="n"/>
    </row>
    <row r="1586" s="184">
      <c r="C1586" s="761" t="n"/>
    </row>
    <row r="1587" s="184">
      <c r="C1587" s="761" t="n"/>
    </row>
    <row r="1588" s="184">
      <c r="C1588" s="761" t="n"/>
    </row>
    <row r="1589" s="184">
      <c r="C1589" s="761" t="n"/>
    </row>
    <row r="1590" s="184">
      <c r="C1590" s="761" t="n"/>
    </row>
    <row r="1591" s="184">
      <c r="C1591" s="761" t="n"/>
    </row>
    <row r="1592" s="184">
      <c r="C1592" s="761" t="n"/>
    </row>
    <row r="1593" s="184">
      <c r="C1593" s="761" t="n"/>
    </row>
    <row r="1594" s="184">
      <c r="C1594" s="761" t="n"/>
    </row>
    <row r="1595" s="184">
      <c r="C1595" s="761" t="n"/>
    </row>
    <row r="1596" s="184">
      <c r="C1596" s="761" t="n"/>
    </row>
    <row r="1597" s="184">
      <c r="C1597" s="761" t="n"/>
    </row>
    <row r="1598" s="184">
      <c r="C1598" s="761" t="n"/>
    </row>
    <row r="1599" s="184">
      <c r="C1599" s="761" t="n"/>
    </row>
    <row r="1600" s="184">
      <c r="C1600" s="761" t="n"/>
    </row>
    <row r="1601" s="184">
      <c r="C1601" s="761" t="n"/>
    </row>
    <row r="1602" s="184">
      <c r="C1602" s="761" t="n"/>
    </row>
    <row r="1603" s="184">
      <c r="C1603" s="761" t="n"/>
    </row>
    <row r="1604" s="184">
      <c r="C1604" s="761" t="n"/>
    </row>
    <row r="1605" s="184">
      <c r="C1605" s="761" t="n"/>
    </row>
    <row r="1606" s="184">
      <c r="C1606" s="761" t="n"/>
    </row>
    <row r="1607" s="184">
      <c r="C1607" s="761" t="n"/>
    </row>
    <row r="1608" s="184">
      <c r="C1608" s="761" t="n"/>
    </row>
    <row r="1609" s="184">
      <c r="C1609" s="761" t="n"/>
    </row>
    <row r="1610" s="184">
      <c r="C1610" s="761" t="n"/>
    </row>
    <row r="1611" s="184">
      <c r="C1611" s="761" t="n"/>
    </row>
    <row r="1612" s="184">
      <c r="C1612" s="761" t="n"/>
    </row>
    <row r="1613" s="184">
      <c r="C1613" s="761" t="n"/>
    </row>
    <row r="1614" s="184">
      <c r="C1614" s="761" t="n"/>
    </row>
    <row r="1615" s="184">
      <c r="C1615" s="761" t="n"/>
    </row>
    <row r="1616" s="184">
      <c r="C1616" s="761" t="n"/>
    </row>
    <row r="1617" s="184">
      <c r="C1617" s="761" t="n"/>
    </row>
    <row r="1618" s="184">
      <c r="C1618" s="761" t="n"/>
    </row>
    <row r="1619" s="184">
      <c r="C1619" s="761" t="n"/>
    </row>
    <row r="1620" s="184">
      <c r="C1620" s="761" t="n"/>
    </row>
    <row r="1621" s="184">
      <c r="C1621" s="761" t="n"/>
    </row>
    <row r="1622" s="184">
      <c r="C1622" s="761" t="n"/>
    </row>
    <row r="1623" s="184">
      <c r="C1623" s="761" t="n"/>
    </row>
    <row r="1624" s="184">
      <c r="C1624" s="761" t="n"/>
    </row>
    <row r="1625" s="184">
      <c r="C1625" s="761" t="n"/>
    </row>
    <row r="1626" s="184">
      <c r="C1626" s="761" t="n"/>
    </row>
    <row r="1627" s="184">
      <c r="C1627" s="761" t="n"/>
    </row>
    <row r="1628" s="184">
      <c r="C1628" s="761" t="n"/>
    </row>
    <row r="1629" s="184">
      <c r="C1629" s="761" t="n"/>
    </row>
    <row r="1630" s="184">
      <c r="C1630" s="761" t="n"/>
    </row>
    <row r="1631" s="184">
      <c r="C1631" s="761" t="n"/>
    </row>
    <row r="1632" s="184">
      <c r="C1632" s="761" t="n"/>
    </row>
    <row r="1633" s="184">
      <c r="C1633" s="761" t="n"/>
    </row>
    <row r="1634" s="184">
      <c r="C1634" s="761" t="n"/>
    </row>
    <row r="1635" s="184">
      <c r="C1635" s="761" t="n"/>
    </row>
    <row r="1636" s="184">
      <c r="C1636" s="761" t="n"/>
    </row>
    <row r="1637" s="184">
      <c r="C1637" s="761" t="n"/>
    </row>
    <row r="1638" s="184">
      <c r="C1638" s="761" t="n"/>
    </row>
    <row r="1639" s="184">
      <c r="C1639" s="761" t="n"/>
    </row>
    <row r="1640" s="184">
      <c r="C1640" s="761" t="n"/>
    </row>
    <row r="1641" s="184">
      <c r="C1641" s="761" t="n"/>
    </row>
    <row r="1642" s="184">
      <c r="C1642" s="761" t="n"/>
    </row>
    <row r="1643" s="184">
      <c r="C1643" s="761" t="n"/>
    </row>
    <row r="1644" s="184">
      <c r="C1644" s="761" t="n"/>
    </row>
    <row r="1645" s="184">
      <c r="C1645" s="761" t="n"/>
    </row>
    <row r="1646" s="184">
      <c r="C1646" s="761" t="n"/>
    </row>
    <row r="1647" s="184">
      <c r="C1647" s="761" t="n"/>
    </row>
    <row r="1648" s="184">
      <c r="C1648" s="761" t="n"/>
    </row>
    <row r="1649" s="184">
      <c r="C1649" s="761" t="n"/>
    </row>
    <row r="1650" s="184">
      <c r="C1650" s="761" t="n"/>
    </row>
    <row r="1651" s="184">
      <c r="C1651" s="761" t="n"/>
    </row>
    <row r="1652" s="184">
      <c r="C1652" s="761" t="n"/>
    </row>
    <row r="1653" s="184">
      <c r="C1653" s="761" t="n"/>
    </row>
    <row r="1654" s="184">
      <c r="C1654" s="761" t="n"/>
    </row>
    <row r="1655" s="184">
      <c r="C1655" s="761" t="n"/>
    </row>
    <row r="1656" s="184">
      <c r="C1656" s="761" t="n"/>
    </row>
    <row r="1657" s="184">
      <c r="C1657" s="761" t="n"/>
    </row>
    <row r="1658" s="184">
      <c r="C1658" s="761" t="n"/>
    </row>
    <row r="1659" s="184">
      <c r="C1659" s="761" t="n"/>
    </row>
    <row r="1660" s="184">
      <c r="C1660" s="761" t="n"/>
    </row>
    <row r="1661" s="184">
      <c r="C1661" s="761" t="n"/>
    </row>
    <row r="1662" s="184">
      <c r="C1662" s="761" t="n"/>
    </row>
    <row r="1663" s="184">
      <c r="C1663" s="761" t="n"/>
    </row>
    <row r="1664" s="184">
      <c r="C1664" s="761" t="n"/>
    </row>
    <row r="1665" s="184">
      <c r="C1665" s="761" t="n"/>
    </row>
    <row r="1666" s="184">
      <c r="C1666" s="761" t="n"/>
    </row>
    <row r="1667" s="184">
      <c r="C1667" s="761" t="n"/>
    </row>
    <row r="1668" s="184">
      <c r="C1668" s="761" t="n"/>
    </row>
    <row r="1669" s="184">
      <c r="C1669" s="761" t="n"/>
    </row>
    <row r="1670" s="184">
      <c r="C1670" s="761" t="n"/>
    </row>
    <row r="1671" s="184">
      <c r="C1671" s="761" t="n"/>
    </row>
    <row r="1672" s="184">
      <c r="C1672" s="761" t="n"/>
    </row>
    <row r="1673" s="184">
      <c r="C1673" s="761" t="n"/>
    </row>
    <row r="1674" s="184">
      <c r="C1674" s="761" t="n"/>
    </row>
    <row r="1675" s="184">
      <c r="C1675" s="761" t="n"/>
    </row>
    <row r="1676" s="184">
      <c r="C1676" s="761" t="n"/>
    </row>
    <row r="1677" s="184">
      <c r="C1677" s="761" t="n"/>
    </row>
    <row r="1678" s="184">
      <c r="C1678" s="761" t="n"/>
    </row>
    <row r="1679" s="184">
      <c r="C1679" s="761" t="n"/>
    </row>
    <row r="1680" s="184">
      <c r="C1680" s="761" t="n"/>
    </row>
    <row r="1681" s="184">
      <c r="C1681" s="761" t="n"/>
    </row>
    <row r="1682" s="184">
      <c r="C1682" s="761" t="n"/>
    </row>
    <row r="1683" s="184">
      <c r="C1683" s="761" t="n"/>
    </row>
    <row r="1684" s="184">
      <c r="C1684" s="761" t="n"/>
    </row>
    <row r="1685" s="184">
      <c r="C1685" s="761" t="n"/>
    </row>
    <row r="1686" s="184">
      <c r="C1686" s="761" t="n"/>
    </row>
    <row r="1687" s="184">
      <c r="C1687" s="761" t="n"/>
    </row>
    <row r="1688" s="184">
      <c r="C1688" s="761" t="n"/>
    </row>
    <row r="1689" s="184">
      <c r="C1689" s="761" t="n"/>
    </row>
    <row r="1690" s="184">
      <c r="C1690" s="761" t="n"/>
    </row>
    <row r="1691" s="184">
      <c r="C1691" s="761" t="n"/>
    </row>
    <row r="1692" s="184">
      <c r="C1692" s="761" t="n"/>
    </row>
    <row r="1693" s="184">
      <c r="C1693" s="761" t="n"/>
    </row>
    <row r="1694" s="184">
      <c r="C1694" s="761" t="n"/>
    </row>
    <row r="1695" s="184">
      <c r="C1695" s="761" t="n"/>
    </row>
    <row r="1696" s="184">
      <c r="C1696" s="761" t="n"/>
    </row>
    <row r="1697" s="184">
      <c r="C1697" s="761" t="n"/>
    </row>
    <row r="1698" s="184">
      <c r="C1698" s="761" t="n"/>
    </row>
    <row r="1699" s="184">
      <c r="C1699" s="761" t="n"/>
    </row>
    <row r="1700" s="184">
      <c r="C1700" s="761" t="n"/>
    </row>
    <row r="1701" s="184">
      <c r="C1701" s="761" t="n"/>
    </row>
    <row r="1702" s="184">
      <c r="C1702" s="761" t="n"/>
    </row>
    <row r="1703" s="184">
      <c r="C1703" s="761" t="n"/>
    </row>
    <row r="1704" s="184">
      <c r="C1704" s="761" t="n"/>
    </row>
    <row r="1705" s="184">
      <c r="C1705" s="761" t="n"/>
    </row>
    <row r="1706" s="184">
      <c r="C1706" s="761" t="n"/>
    </row>
    <row r="1707" s="184">
      <c r="C1707" s="761" t="n"/>
    </row>
    <row r="1708" s="184">
      <c r="C1708" s="761" t="n"/>
    </row>
    <row r="1709" s="184">
      <c r="C1709" s="761" t="n"/>
    </row>
    <row r="1710" s="184">
      <c r="C1710" s="761" t="n"/>
    </row>
    <row r="1711" s="184">
      <c r="C1711" s="761" t="n"/>
    </row>
    <row r="1712" s="184">
      <c r="C1712" s="761" t="n"/>
    </row>
    <row r="1713" s="184">
      <c r="C1713" s="761" t="n"/>
    </row>
    <row r="1714" s="184">
      <c r="C1714" s="761" t="n"/>
    </row>
    <row r="1715" s="184">
      <c r="C1715" s="761" t="n"/>
    </row>
    <row r="1716" s="184">
      <c r="C1716" s="761" t="n"/>
    </row>
    <row r="1717" s="184">
      <c r="C1717" s="761" t="n"/>
    </row>
    <row r="1718" s="184">
      <c r="C1718" s="761" t="n"/>
    </row>
    <row r="1719" s="184">
      <c r="C1719" s="761" t="n"/>
    </row>
    <row r="1720" s="184">
      <c r="C1720" s="761" t="n"/>
    </row>
    <row r="1721" s="184">
      <c r="C1721" s="761" t="n"/>
    </row>
    <row r="1722" s="184">
      <c r="C1722" s="761" t="n"/>
    </row>
    <row r="1723" s="184">
      <c r="C1723" s="761" t="n"/>
    </row>
    <row r="1724" s="184">
      <c r="C1724" s="761" t="n"/>
    </row>
    <row r="1725" s="184">
      <c r="C1725" s="761" t="n"/>
    </row>
    <row r="1726" s="184">
      <c r="C1726" s="761" t="n"/>
    </row>
    <row r="1727" s="184">
      <c r="C1727" s="761" t="n"/>
    </row>
    <row r="1728" s="184">
      <c r="C1728" s="761" t="n"/>
    </row>
    <row r="1729" s="184">
      <c r="C1729" s="761" t="n"/>
    </row>
    <row r="1730" s="184">
      <c r="C1730" s="761" t="n"/>
    </row>
    <row r="1731" s="184">
      <c r="C1731" s="761" t="n"/>
    </row>
    <row r="1732" s="184">
      <c r="C1732" s="761" t="n"/>
    </row>
    <row r="1733" s="184">
      <c r="C1733" s="761" t="n"/>
    </row>
    <row r="1734" s="184">
      <c r="C1734" s="761" t="n"/>
    </row>
    <row r="1735" s="184">
      <c r="C1735" s="761" t="n"/>
    </row>
    <row r="1736" s="184">
      <c r="C1736" s="761" t="n"/>
    </row>
    <row r="1737" s="184">
      <c r="C1737" s="761" t="n"/>
    </row>
    <row r="1738" s="184">
      <c r="C1738" s="761" t="n"/>
    </row>
    <row r="1739" s="184">
      <c r="C1739" s="761" t="n"/>
    </row>
    <row r="1740" s="184">
      <c r="C1740" s="761" t="n"/>
    </row>
    <row r="1741" s="184">
      <c r="C1741" s="761" t="n"/>
    </row>
    <row r="1742" s="184">
      <c r="C1742" s="761" t="n"/>
    </row>
    <row r="1743" s="184">
      <c r="C1743" s="761" t="n"/>
    </row>
    <row r="1744" s="184">
      <c r="C1744" s="761" t="n"/>
    </row>
    <row r="1745" s="184">
      <c r="C1745" s="761" t="n"/>
    </row>
    <row r="1746" s="184">
      <c r="C1746" s="761" t="n"/>
    </row>
    <row r="1747" s="184">
      <c r="C1747" s="761" t="n"/>
    </row>
    <row r="1748" s="184">
      <c r="C1748" s="761" t="n"/>
    </row>
    <row r="1749" s="184">
      <c r="C1749" s="761" t="n"/>
    </row>
    <row r="1750" s="184">
      <c r="C1750" s="761" t="n"/>
    </row>
    <row r="1751" s="184">
      <c r="C1751" s="761" t="n"/>
    </row>
    <row r="1752" s="184">
      <c r="C1752" s="761" t="n"/>
    </row>
    <row r="1753" s="184">
      <c r="C1753" s="761" t="n"/>
    </row>
    <row r="1754" s="184">
      <c r="C1754" s="761" t="n"/>
    </row>
    <row r="1755" s="184">
      <c r="C1755" s="761" t="n"/>
    </row>
    <row r="1756" s="184">
      <c r="C1756" s="761" t="n"/>
    </row>
    <row r="1757" s="184">
      <c r="C1757" s="761" t="n"/>
    </row>
    <row r="1758" s="184">
      <c r="C1758" s="761" t="n"/>
    </row>
    <row r="1759" s="184">
      <c r="C1759" s="761" t="n"/>
    </row>
    <row r="1760" s="184">
      <c r="C1760" s="761" t="n"/>
    </row>
    <row r="1761" s="184">
      <c r="C1761" s="761" t="n"/>
    </row>
    <row r="1762" s="184">
      <c r="C1762" s="761" t="n"/>
    </row>
    <row r="1763" s="184">
      <c r="C1763" s="761" t="n"/>
    </row>
    <row r="1764" s="184">
      <c r="C1764" s="761" t="n"/>
    </row>
    <row r="1765" s="184">
      <c r="C1765" s="761" t="n"/>
    </row>
    <row r="1766" s="184">
      <c r="C1766" s="761" t="n"/>
    </row>
    <row r="1767" s="184">
      <c r="C1767" s="761" t="n"/>
    </row>
    <row r="1768" s="184">
      <c r="C1768" s="761" t="n"/>
    </row>
    <row r="1769" s="184">
      <c r="C1769" s="761" t="n"/>
    </row>
    <row r="1770" s="184">
      <c r="C1770" s="761" t="n"/>
    </row>
    <row r="1771" s="184">
      <c r="C1771" s="761" t="n"/>
    </row>
    <row r="1772" s="184">
      <c r="C1772" s="761" t="n"/>
    </row>
    <row r="1773" s="184">
      <c r="C1773" s="761" t="n"/>
    </row>
    <row r="1774" s="184">
      <c r="C1774" s="761" t="n"/>
    </row>
    <row r="1775" s="184">
      <c r="C1775" s="761" t="n"/>
    </row>
    <row r="1776" s="184">
      <c r="C1776" s="761" t="n"/>
    </row>
    <row r="1777" s="184">
      <c r="C1777" s="761" t="n"/>
    </row>
    <row r="1778" s="184">
      <c r="C1778" s="761" t="n"/>
    </row>
    <row r="1779" s="184">
      <c r="C1779" s="761" t="n"/>
    </row>
    <row r="1780" s="184">
      <c r="C1780" s="761" t="n"/>
    </row>
    <row r="1781" s="184">
      <c r="C1781" s="761" t="n"/>
    </row>
    <row r="1782" s="184">
      <c r="C1782" s="761" t="n"/>
    </row>
    <row r="1783" s="184">
      <c r="C1783" s="761" t="n"/>
    </row>
    <row r="1784" s="184">
      <c r="C1784" s="761" t="n"/>
    </row>
    <row r="1785" s="184">
      <c r="C1785" s="761" t="n"/>
    </row>
    <row r="1786" s="184">
      <c r="C1786" s="761" t="n"/>
    </row>
    <row r="1787" s="184">
      <c r="C1787" s="761" t="n"/>
    </row>
    <row r="1788" s="184">
      <c r="C1788" s="761" t="n"/>
    </row>
    <row r="1789" s="184">
      <c r="C1789" s="761" t="n"/>
    </row>
    <row r="1790" s="184">
      <c r="C1790" s="761" t="n"/>
    </row>
    <row r="1791" s="184">
      <c r="C1791" s="761" t="n"/>
    </row>
    <row r="1792" s="184">
      <c r="C1792" s="761" t="n"/>
    </row>
    <row r="1793" s="184">
      <c r="C1793" s="761" t="n"/>
    </row>
    <row r="1794" s="184">
      <c r="C1794" s="761" t="n"/>
    </row>
    <row r="1795" s="184">
      <c r="C1795" s="761" t="n"/>
    </row>
    <row r="1796" s="184">
      <c r="C1796" s="761" t="n"/>
    </row>
    <row r="1797" s="184">
      <c r="C1797" s="761" t="n"/>
    </row>
    <row r="1798" s="184">
      <c r="C1798" s="761" t="n"/>
    </row>
    <row r="1799" s="184">
      <c r="C1799" s="761" t="n"/>
    </row>
    <row r="1800" s="184">
      <c r="C1800" s="761" t="n"/>
    </row>
    <row r="1801" s="184">
      <c r="C1801" s="761" t="n"/>
    </row>
    <row r="1802" s="184">
      <c r="C1802" s="761" t="n"/>
    </row>
    <row r="1803" s="184">
      <c r="C1803" s="761" t="n"/>
    </row>
    <row r="1804" s="184">
      <c r="C1804" s="761" t="n"/>
    </row>
    <row r="1805" s="184">
      <c r="C1805" s="761" t="n"/>
    </row>
    <row r="1806" s="184">
      <c r="C1806" s="761" t="n"/>
    </row>
    <row r="1807" s="184">
      <c r="C1807" s="761" t="n"/>
    </row>
    <row r="1808" s="184">
      <c r="C1808" s="761" t="n"/>
    </row>
    <row r="1809" s="184">
      <c r="C1809" s="761" t="n"/>
    </row>
    <row r="1810" s="184">
      <c r="C1810" s="761" t="n"/>
    </row>
    <row r="1811" s="184">
      <c r="C1811" s="761" t="n"/>
    </row>
    <row r="1812" s="184">
      <c r="C1812" s="761" t="n"/>
    </row>
    <row r="1813" s="184">
      <c r="C1813" s="761" t="n"/>
    </row>
    <row r="1814" s="184">
      <c r="C1814" s="761" t="n"/>
    </row>
    <row r="1815" s="184">
      <c r="C1815" s="761" t="n"/>
    </row>
    <row r="1816" s="184">
      <c r="C1816" s="761" t="n"/>
    </row>
    <row r="1817" s="184">
      <c r="C1817" s="761" t="n"/>
    </row>
    <row r="1818" s="184">
      <c r="C1818" s="761" t="n"/>
    </row>
    <row r="1819" s="184">
      <c r="C1819" s="761" t="n"/>
    </row>
    <row r="1820" s="184">
      <c r="C1820" s="761" t="n"/>
    </row>
    <row r="1821" s="184">
      <c r="C1821" s="761" t="n"/>
    </row>
    <row r="1822" s="184">
      <c r="C1822" s="761" t="n"/>
    </row>
    <row r="1823" s="184">
      <c r="C1823" s="761" t="n"/>
    </row>
    <row r="1824" s="184">
      <c r="C1824" s="761" t="n"/>
    </row>
    <row r="1825" s="184">
      <c r="C1825" s="761" t="n"/>
    </row>
    <row r="1826" s="184">
      <c r="C1826" s="761" t="n"/>
    </row>
    <row r="1827" s="184">
      <c r="C1827" s="761" t="n"/>
    </row>
    <row r="1828" s="184">
      <c r="C1828" s="761" t="n"/>
    </row>
    <row r="1829" s="184">
      <c r="C1829" s="761" t="n"/>
    </row>
    <row r="1830" s="184">
      <c r="C1830" s="761" t="n"/>
    </row>
    <row r="1831" s="184">
      <c r="C1831" s="761" t="n"/>
    </row>
    <row r="1832" s="184">
      <c r="C1832" s="761" t="n"/>
    </row>
    <row r="1833" s="184">
      <c r="C1833" s="761" t="n"/>
    </row>
    <row r="1834" s="184">
      <c r="C1834" s="761" t="n"/>
    </row>
    <row r="1835" s="184">
      <c r="C1835" s="761" t="n"/>
    </row>
    <row r="1836" s="184">
      <c r="C1836" s="761" t="n"/>
    </row>
    <row r="1837" s="184">
      <c r="C1837" s="761" t="n"/>
    </row>
    <row r="1838" s="184">
      <c r="C1838" s="761" t="n"/>
    </row>
    <row r="1839" s="184">
      <c r="C1839" s="761" t="n"/>
    </row>
    <row r="1840" s="184">
      <c r="C1840" s="761" t="n"/>
    </row>
    <row r="1841" s="184">
      <c r="C1841" s="761" t="n"/>
    </row>
    <row r="1842" s="184">
      <c r="C1842" s="761" t="n"/>
    </row>
    <row r="1843" s="184">
      <c r="C1843" s="761" t="n"/>
    </row>
    <row r="1844" s="184">
      <c r="C1844" s="761" t="n"/>
    </row>
    <row r="1845" s="184">
      <c r="C1845" s="761" t="n"/>
    </row>
    <row r="1846" s="184">
      <c r="C1846" s="761" t="n"/>
    </row>
    <row r="1847" s="184">
      <c r="C1847" s="761" t="n"/>
    </row>
    <row r="1848" s="184">
      <c r="C1848" s="761" t="n"/>
    </row>
    <row r="1849" s="184">
      <c r="C1849" s="761" t="n"/>
    </row>
    <row r="1850" s="184">
      <c r="C1850" s="761" t="n"/>
    </row>
    <row r="1851" s="184">
      <c r="C1851" s="761" t="n"/>
    </row>
    <row r="1852" s="184">
      <c r="C1852" s="761" t="n"/>
    </row>
    <row r="1853" s="184">
      <c r="C1853" s="761" t="n"/>
    </row>
    <row r="1854" s="184">
      <c r="C1854" s="761" t="n"/>
    </row>
    <row r="1855" s="184">
      <c r="C1855" s="761" t="n"/>
    </row>
    <row r="1856" s="184">
      <c r="C1856" s="761" t="n"/>
    </row>
    <row r="1857" s="184">
      <c r="C1857" s="761" t="n"/>
    </row>
    <row r="1858" s="184">
      <c r="C1858" s="761" t="n"/>
    </row>
    <row r="1859" s="184">
      <c r="C1859" s="761" t="n"/>
    </row>
    <row r="1860" s="184">
      <c r="C1860" s="761" t="n"/>
    </row>
    <row r="1861" s="184">
      <c r="C1861" s="761" t="n"/>
    </row>
    <row r="1862" s="184">
      <c r="C1862" s="761" t="n"/>
    </row>
    <row r="1863" s="184">
      <c r="C1863" s="761" t="n"/>
    </row>
    <row r="1864" s="184">
      <c r="C1864" s="761" t="n"/>
    </row>
    <row r="1865" s="184">
      <c r="C1865" s="761" t="n"/>
    </row>
    <row r="1866" s="184">
      <c r="C1866" s="761" t="n"/>
    </row>
    <row r="1867" s="184">
      <c r="C1867" s="761" t="n"/>
    </row>
    <row r="1868" s="184">
      <c r="C1868" s="761" t="n"/>
    </row>
    <row r="1869" s="184">
      <c r="C1869" s="761" t="n"/>
    </row>
    <row r="1870" s="184">
      <c r="C1870" s="761" t="n"/>
    </row>
    <row r="1871" s="184">
      <c r="C1871" s="761" t="n"/>
    </row>
    <row r="1872" s="184">
      <c r="C1872" s="761" t="n"/>
    </row>
    <row r="1873" s="184">
      <c r="C1873" s="761" t="n"/>
    </row>
    <row r="1874" s="184">
      <c r="C1874" s="761" t="n"/>
    </row>
    <row r="1875" s="184">
      <c r="C1875" s="761" t="n"/>
    </row>
    <row r="1876" s="184">
      <c r="C1876" s="761" t="n"/>
    </row>
    <row r="1877" s="184">
      <c r="C1877" s="761" t="n"/>
    </row>
    <row r="1878" s="184">
      <c r="C1878" s="761" t="n"/>
    </row>
    <row r="1879" s="184">
      <c r="C1879" s="761" t="n"/>
    </row>
    <row r="1880" s="184">
      <c r="C1880" s="761" t="n"/>
    </row>
    <row r="1881" s="184">
      <c r="C1881" s="761" t="n"/>
    </row>
    <row r="1882" s="184">
      <c r="C1882" s="761" t="n"/>
    </row>
    <row r="1883" s="184">
      <c r="C1883" s="761" t="n"/>
    </row>
    <row r="1884" s="184">
      <c r="C1884" s="761" t="n"/>
    </row>
    <row r="1885" s="184">
      <c r="C1885" s="761" t="n"/>
    </row>
    <row r="1886" s="184">
      <c r="C1886" s="761" t="n"/>
    </row>
    <row r="1887" s="184">
      <c r="C1887" s="761" t="n"/>
    </row>
    <row r="1888" s="184">
      <c r="C1888" s="761" t="n"/>
    </row>
    <row r="1889" s="184">
      <c r="C1889" s="761" t="n"/>
    </row>
    <row r="1890" s="184">
      <c r="C1890" s="761" t="n"/>
    </row>
    <row r="1891" s="184">
      <c r="C1891" s="761" t="n"/>
    </row>
    <row r="1892" s="184">
      <c r="C1892" s="761" t="n"/>
    </row>
    <row r="1893" s="184">
      <c r="C1893" s="761" t="n"/>
    </row>
    <row r="1894" s="184">
      <c r="C1894" s="761" t="n"/>
    </row>
    <row r="1895" s="184">
      <c r="C1895" s="761" t="n"/>
    </row>
    <row r="1896" s="184">
      <c r="C1896" s="761" t="n"/>
    </row>
    <row r="1897" s="184">
      <c r="C1897" s="761" t="n"/>
    </row>
    <row r="1898" s="184">
      <c r="C1898" s="761" t="n"/>
    </row>
    <row r="1899" s="184">
      <c r="C1899" s="761" t="n"/>
    </row>
    <row r="1900" s="184">
      <c r="C1900" s="761" t="n"/>
    </row>
    <row r="1901" s="184">
      <c r="C1901" s="761" t="n"/>
    </row>
    <row r="1902" s="184">
      <c r="C1902" s="761" t="n"/>
    </row>
    <row r="1903" s="184">
      <c r="C1903" s="761" t="n"/>
    </row>
    <row r="1904" s="184">
      <c r="C1904" s="761" t="n"/>
    </row>
    <row r="1905" s="184">
      <c r="C1905" s="761" t="n"/>
    </row>
    <row r="1906" s="184">
      <c r="C1906" s="761" t="n"/>
    </row>
    <row r="1907" s="184">
      <c r="C1907" s="761" t="n"/>
    </row>
    <row r="1908" s="184">
      <c r="C1908" s="761" t="n"/>
    </row>
    <row r="1909" s="184">
      <c r="C1909" s="761" t="n"/>
    </row>
    <row r="1910" s="184">
      <c r="C1910" s="761" t="n"/>
    </row>
    <row r="1911" s="184">
      <c r="C1911" s="761" t="n"/>
    </row>
    <row r="1912" s="184">
      <c r="C1912" s="761" t="n"/>
    </row>
    <row r="1913" s="184">
      <c r="C1913" s="761" t="n"/>
    </row>
    <row r="1914" s="184">
      <c r="C1914" s="761" t="n"/>
    </row>
    <row r="1915" s="184">
      <c r="C1915" s="761" t="n"/>
    </row>
    <row r="1916" s="184">
      <c r="C1916" s="761" t="n"/>
    </row>
    <row r="1917" s="184">
      <c r="C1917" s="761" t="n"/>
    </row>
    <row r="1918" s="184">
      <c r="C1918" s="761" t="n"/>
    </row>
    <row r="1919" s="184">
      <c r="C1919" s="761" t="n"/>
    </row>
    <row r="1920" s="184">
      <c r="C1920" s="761" t="n"/>
    </row>
    <row r="1921" s="184">
      <c r="C1921" s="761" t="n"/>
    </row>
    <row r="1922" s="184">
      <c r="C1922" s="761" t="n"/>
    </row>
    <row r="1923" s="184">
      <c r="C1923" s="761" t="n"/>
    </row>
    <row r="1924" s="184">
      <c r="C1924" s="761" t="n"/>
    </row>
    <row r="1925" s="184">
      <c r="C1925" s="761" t="n"/>
    </row>
    <row r="1926" s="184">
      <c r="C1926" s="761" t="n"/>
    </row>
    <row r="1927" s="184">
      <c r="C1927" s="761" t="n"/>
    </row>
    <row r="1928" s="184">
      <c r="C1928" s="761" t="n"/>
    </row>
    <row r="1929" s="184">
      <c r="C1929" s="761" t="n"/>
    </row>
    <row r="1930" s="184">
      <c r="C1930" s="761" t="n"/>
    </row>
    <row r="1931" s="184">
      <c r="C1931" s="761" t="n"/>
    </row>
    <row r="1932" s="184">
      <c r="C1932" s="761" t="n"/>
    </row>
    <row r="1933" s="184">
      <c r="C1933" s="761" t="n"/>
    </row>
    <row r="1934" s="184">
      <c r="C1934" s="761" t="n"/>
    </row>
    <row r="1935" s="184">
      <c r="C1935" s="761" t="n"/>
    </row>
    <row r="1936" s="184">
      <c r="C1936" s="761" t="n"/>
    </row>
    <row r="1937" s="184">
      <c r="C1937" s="761" t="n"/>
    </row>
    <row r="1938" s="184">
      <c r="C1938" s="761" t="n"/>
    </row>
    <row r="1939" s="184">
      <c r="C1939" s="761" t="n"/>
    </row>
    <row r="1940" s="184">
      <c r="C1940" s="761" t="n"/>
    </row>
    <row r="1941" s="184">
      <c r="C1941" s="761" t="n"/>
    </row>
    <row r="1942" s="184">
      <c r="C1942" s="761" t="n"/>
    </row>
    <row r="1943" s="184">
      <c r="C1943" s="761" t="n"/>
    </row>
    <row r="1944" s="184">
      <c r="C1944" s="761" t="n"/>
    </row>
    <row r="1945" s="184">
      <c r="C1945" s="761" t="n"/>
    </row>
    <row r="1946" s="184">
      <c r="C1946" s="761" t="n"/>
    </row>
    <row r="1947" s="184">
      <c r="C1947" s="761" t="n"/>
    </row>
    <row r="1948" s="184">
      <c r="C1948" s="761" t="n"/>
    </row>
    <row r="1949" s="184">
      <c r="C1949" s="761" t="n"/>
    </row>
    <row r="1950" s="184">
      <c r="C1950" s="761" t="n"/>
    </row>
    <row r="1951" s="184">
      <c r="C1951" s="761" t="n"/>
    </row>
    <row r="1952" s="184">
      <c r="C1952" s="761" t="n"/>
    </row>
    <row r="1953" s="184">
      <c r="C1953" s="761" t="n"/>
    </row>
    <row r="1954" s="184">
      <c r="C1954" s="761" t="n"/>
    </row>
    <row r="1955" s="184">
      <c r="C1955" s="761" t="n"/>
    </row>
    <row r="1956" s="184">
      <c r="C1956" s="761" t="n"/>
    </row>
    <row r="1957" s="184">
      <c r="C1957" s="761" t="n"/>
    </row>
    <row r="1958" s="184">
      <c r="C1958" s="761" t="n"/>
    </row>
    <row r="1959" s="184">
      <c r="C1959" s="761" t="n"/>
    </row>
    <row r="1960" s="184">
      <c r="C1960" s="761" t="n"/>
    </row>
    <row r="1961" s="184">
      <c r="C1961" s="761" t="n"/>
    </row>
    <row r="1962" s="184">
      <c r="C1962" s="761" t="n"/>
    </row>
    <row r="1963" s="184">
      <c r="C1963" s="761" t="n"/>
    </row>
    <row r="1964" s="184">
      <c r="C1964" s="761" t="n"/>
    </row>
    <row r="1965" s="184">
      <c r="C1965" s="761" t="n"/>
    </row>
    <row r="1966" s="184">
      <c r="C1966" s="761" t="n"/>
    </row>
    <row r="1967" s="184">
      <c r="C1967" s="761" t="n"/>
    </row>
    <row r="1968" s="184">
      <c r="C1968" s="761" t="n"/>
    </row>
    <row r="1969" s="184">
      <c r="C1969" s="761" t="n"/>
    </row>
    <row r="1970" s="184">
      <c r="C1970" s="761" t="n"/>
    </row>
    <row r="1971" s="184">
      <c r="C1971" s="761" t="n"/>
    </row>
    <row r="1972" s="184">
      <c r="C1972" s="761" t="n"/>
    </row>
    <row r="1973" s="184">
      <c r="C1973" s="761" t="n"/>
    </row>
    <row r="1974" s="184">
      <c r="C1974" s="761" t="n"/>
    </row>
    <row r="1975" s="184">
      <c r="C1975" s="761" t="n"/>
    </row>
    <row r="1976" s="184">
      <c r="C1976" s="761" t="n"/>
    </row>
    <row r="1977" s="184">
      <c r="C1977" s="761" t="n"/>
    </row>
    <row r="1978" s="184">
      <c r="C1978" s="761" t="n"/>
    </row>
    <row r="1979" s="184">
      <c r="C1979" s="761" t="n"/>
    </row>
    <row r="1980" s="184">
      <c r="C1980" s="761" t="n"/>
    </row>
    <row r="1981" s="184">
      <c r="C1981" s="761" t="n"/>
    </row>
    <row r="1982" s="184">
      <c r="C1982" s="761" t="n"/>
    </row>
    <row r="1983" s="184">
      <c r="C1983" s="761" t="n"/>
    </row>
    <row r="1984" s="184">
      <c r="C1984" s="761" t="n"/>
    </row>
    <row r="1985" s="184">
      <c r="C1985" s="761" t="n"/>
    </row>
    <row r="1986" s="184">
      <c r="C1986" s="761" t="n"/>
    </row>
    <row r="1987" s="184">
      <c r="C1987" s="761" t="n"/>
    </row>
    <row r="1988" s="184">
      <c r="C1988" s="761" t="n"/>
    </row>
    <row r="1989" s="184">
      <c r="C1989" s="761" t="n"/>
    </row>
    <row r="1990" s="184">
      <c r="C1990" s="761" t="n"/>
    </row>
    <row r="1991" s="184">
      <c r="C1991" s="761" t="n"/>
    </row>
    <row r="1992" s="184">
      <c r="C1992" s="761" t="n"/>
    </row>
    <row r="1993" s="184">
      <c r="C1993" s="761" t="n"/>
    </row>
    <row r="1994" s="184">
      <c r="C1994" s="761" t="n"/>
    </row>
    <row r="1995" s="184">
      <c r="C1995" s="761" t="n"/>
    </row>
    <row r="1996" s="184">
      <c r="C1996" s="761" t="n"/>
    </row>
    <row r="1997" s="184">
      <c r="C1997" s="761" t="n"/>
    </row>
    <row r="1998" s="184">
      <c r="C1998" s="761" t="n"/>
    </row>
    <row r="1999" s="184">
      <c r="C1999" s="761" t="n"/>
    </row>
    <row r="2000" s="184">
      <c r="C2000" s="761" t="n"/>
    </row>
    <row r="2001" s="184">
      <c r="C2001" s="761" t="n"/>
    </row>
    <row r="2002" s="184">
      <c r="C2002" s="761" t="n"/>
    </row>
    <row r="2003" s="184">
      <c r="C2003" s="761" t="n"/>
    </row>
    <row r="2004" s="184">
      <c r="C2004" s="761" t="n"/>
    </row>
    <row r="2005" s="184">
      <c r="C2005" s="761" t="n"/>
    </row>
    <row r="2006" s="184">
      <c r="C2006" s="761" t="n"/>
    </row>
    <row r="2007" s="184">
      <c r="C2007" s="761" t="n"/>
    </row>
    <row r="2008" s="184">
      <c r="C2008" s="761" t="n"/>
    </row>
    <row r="2009" s="184">
      <c r="C2009" s="761" t="n"/>
    </row>
    <row r="2010" s="184">
      <c r="C2010" s="761" t="n"/>
    </row>
    <row r="2011" s="184">
      <c r="C2011" s="761" t="n"/>
    </row>
    <row r="2012" s="184">
      <c r="C2012" s="761" t="n"/>
    </row>
    <row r="2013" s="184">
      <c r="C2013" s="761" t="n"/>
    </row>
    <row r="2014" s="184">
      <c r="C2014" s="761" t="n"/>
    </row>
    <row r="2015" s="184">
      <c r="C2015" s="761" t="n"/>
    </row>
    <row r="2016" s="184">
      <c r="C2016" s="761" t="n"/>
    </row>
    <row r="2017" s="184">
      <c r="C2017" s="761" t="n"/>
    </row>
    <row r="2018" s="184">
      <c r="C2018" s="761" t="n"/>
    </row>
    <row r="2019" s="184">
      <c r="C2019" s="761" t="n"/>
    </row>
    <row r="2020" s="184">
      <c r="C2020" s="761" t="n"/>
    </row>
    <row r="2021" s="184">
      <c r="C2021" s="761" t="n"/>
    </row>
    <row r="2022" s="184">
      <c r="C2022" s="761" t="n"/>
    </row>
    <row r="2023" s="184">
      <c r="C2023" s="761" t="n"/>
    </row>
    <row r="2024" s="184">
      <c r="C2024" s="761" t="n"/>
    </row>
    <row r="2025" s="184">
      <c r="C2025" s="761" t="n"/>
    </row>
    <row r="2026" s="184">
      <c r="C2026" s="761" t="n"/>
    </row>
    <row r="2027" s="184">
      <c r="C2027" s="761" t="n"/>
    </row>
    <row r="2028" s="184">
      <c r="C2028" s="761" t="n"/>
    </row>
    <row r="2029" s="184">
      <c r="C2029" s="761" t="n"/>
    </row>
    <row r="2030" s="184">
      <c r="C2030" s="761" t="n"/>
    </row>
    <row r="2031" s="184">
      <c r="C2031" s="761" t="n"/>
    </row>
    <row r="2032" s="184">
      <c r="C2032" s="761" t="n"/>
    </row>
    <row r="2033" s="184">
      <c r="C2033" s="761" t="n"/>
    </row>
    <row r="2034" s="184">
      <c r="C2034" s="761" t="n"/>
    </row>
    <row r="2035" s="184">
      <c r="C2035" s="761" t="n"/>
    </row>
    <row r="2036" s="184">
      <c r="C2036" s="761" t="n"/>
    </row>
    <row r="2037" s="184">
      <c r="C2037" s="761" t="n"/>
    </row>
    <row r="2038" s="184">
      <c r="C2038" s="761" t="n"/>
    </row>
    <row r="2039" s="184">
      <c r="C2039" s="761" t="n"/>
    </row>
    <row r="2040" s="184">
      <c r="C2040" s="761" t="n"/>
    </row>
    <row r="2041" s="184">
      <c r="C2041" s="761" t="n"/>
    </row>
    <row r="2042" s="184">
      <c r="C2042" s="761" t="n"/>
    </row>
    <row r="2043" s="184">
      <c r="C2043" s="761" t="n"/>
    </row>
    <row r="2044" s="184">
      <c r="C2044" s="761" t="n"/>
    </row>
    <row r="2045" s="184">
      <c r="C2045" s="761" t="n"/>
    </row>
    <row r="2046" s="184">
      <c r="C2046" s="761" t="n"/>
    </row>
    <row r="2047" s="184">
      <c r="C2047" s="761" t="n"/>
    </row>
    <row r="2048" s="184">
      <c r="C2048" s="761" t="n"/>
    </row>
    <row r="2049" s="184">
      <c r="C2049" s="761" t="n"/>
    </row>
    <row r="2050" s="184">
      <c r="C2050" s="761" t="n"/>
    </row>
    <row r="2051" s="184">
      <c r="C2051" s="761" t="n"/>
    </row>
    <row r="2052" s="184">
      <c r="C2052" s="761" t="n"/>
    </row>
    <row r="2053" s="184">
      <c r="C2053" s="761" t="n"/>
    </row>
    <row r="2054" s="184">
      <c r="C2054" s="761" t="n"/>
    </row>
    <row r="2055" s="184">
      <c r="C2055" s="761" t="n"/>
    </row>
    <row r="2056" s="184">
      <c r="C2056" s="761" t="n"/>
    </row>
    <row r="2057" s="184">
      <c r="C2057" s="761" t="n"/>
    </row>
    <row r="2058" s="184">
      <c r="C2058" s="761" t="n"/>
    </row>
    <row r="2059" s="184">
      <c r="C2059" s="761" t="n"/>
    </row>
    <row r="2060" s="184">
      <c r="C2060" s="761" t="n"/>
    </row>
    <row r="2061" s="184">
      <c r="C2061" s="761" t="n"/>
    </row>
    <row r="2062" s="184">
      <c r="C2062" s="761" t="n"/>
    </row>
    <row r="2063" s="184">
      <c r="C2063" s="761" t="n"/>
    </row>
    <row r="2064" s="184">
      <c r="C2064" s="761" t="n"/>
    </row>
    <row r="2065" s="184">
      <c r="C2065" s="761" t="n"/>
    </row>
    <row r="2066" s="184">
      <c r="C2066" s="761" t="n"/>
    </row>
    <row r="2067" s="184">
      <c r="C2067" s="761" t="n"/>
    </row>
    <row r="2068" s="184">
      <c r="C2068" s="761" t="n"/>
    </row>
    <row r="2069" s="184">
      <c r="C2069" s="761" t="n"/>
    </row>
    <row r="2070" s="184">
      <c r="C2070" s="761" t="n"/>
    </row>
    <row r="2071" s="184">
      <c r="C2071" s="761" t="n"/>
    </row>
    <row r="2072" s="184">
      <c r="C2072" s="761" t="n"/>
    </row>
    <row r="2073" s="184">
      <c r="C2073" s="761" t="n"/>
    </row>
    <row r="2074" s="184">
      <c r="C2074" s="761" t="n"/>
    </row>
    <row r="2075" s="184">
      <c r="C2075" s="761" t="n"/>
    </row>
    <row r="2076" s="184">
      <c r="C2076" s="761" t="n"/>
    </row>
    <row r="2077" s="184">
      <c r="C2077" s="761" t="n"/>
    </row>
    <row r="2078" s="184">
      <c r="C2078" s="761" t="n"/>
    </row>
    <row r="2079" s="184">
      <c r="C2079" s="761" t="n"/>
    </row>
    <row r="2080" s="184">
      <c r="C2080" s="761" t="n"/>
    </row>
    <row r="2081" s="184">
      <c r="C2081" s="761" t="n"/>
    </row>
    <row r="2082" s="184">
      <c r="C2082" s="761" t="n"/>
    </row>
    <row r="2083" s="184">
      <c r="C2083" s="761" t="n"/>
    </row>
    <row r="2084" s="184">
      <c r="C2084" s="761" t="n"/>
    </row>
    <row r="2085" s="184">
      <c r="C2085" s="761" t="n"/>
    </row>
    <row r="2086" s="184">
      <c r="C2086" s="761" t="n"/>
    </row>
    <row r="2087" s="184">
      <c r="C2087" s="761" t="n"/>
    </row>
    <row r="2088" s="184">
      <c r="C2088" s="761" t="n"/>
    </row>
    <row r="2089" s="184">
      <c r="C2089" s="761" t="n"/>
    </row>
    <row r="2090" s="184">
      <c r="C2090" s="761" t="n"/>
    </row>
    <row r="2091" s="184">
      <c r="C2091" s="761" t="n"/>
    </row>
    <row r="2092" s="184">
      <c r="C2092" s="761" t="n"/>
    </row>
    <row r="2093" s="184">
      <c r="C2093" s="761" t="n"/>
    </row>
    <row r="2094" s="184">
      <c r="C2094" s="761" t="n"/>
    </row>
    <row r="2095" s="184">
      <c r="C2095" s="761" t="n"/>
    </row>
    <row r="2096" s="184">
      <c r="C2096" s="761" t="n"/>
    </row>
    <row r="2097" s="184">
      <c r="C2097" s="761" t="n"/>
    </row>
    <row r="2098" s="184">
      <c r="C2098" s="761" t="n"/>
    </row>
    <row r="2099" s="184">
      <c r="C2099" s="761" t="n"/>
    </row>
    <row r="2100" s="184">
      <c r="C2100" s="761" t="n"/>
    </row>
    <row r="2101" s="184">
      <c r="C2101" s="761" t="n"/>
    </row>
    <row r="2102" s="184">
      <c r="C2102" s="761" t="n"/>
    </row>
    <row r="2103" s="184">
      <c r="C2103" s="761" t="n"/>
    </row>
    <row r="2104" s="184">
      <c r="C2104" s="761" t="n"/>
    </row>
    <row r="2105" s="184">
      <c r="C2105" s="761" t="n"/>
    </row>
    <row r="2106" s="184">
      <c r="C2106" s="761" t="n"/>
    </row>
    <row r="2107" s="184">
      <c r="C2107" s="761" t="n"/>
    </row>
    <row r="2108" s="184">
      <c r="C2108" s="761" t="n"/>
    </row>
    <row r="2109" s="184">
      <c r="C2109" s="761" t="n"/>
    </row>
    <row r="2110" s="184">
      <c r="C2110" s="761" t="n"/>
    </row>
    <row r="2111" s="184">
      <c r="C2111" s="761" t="n"/>
    </row>
    <row r="2112" s="184">
      <c r="C2112" s="761" t="n"/>
    </row>
    <row r="2113" s="184">
      <c r="C2113" s="761" t="n"/>
    </row>
    <row r="2114" s="184">
      <c r="C2114" s="761" t="n"/>
    </row>
    <row r="2115" s="184">
      <c r="C2115" s="761" t="n"/>
    </row>
    <row r="2116" s="184">
      <c r="C2116" s="761" t="n"/>
    </row>
    <row r="2117" s="184">
      <c r="C2117" s="761" t="n"/>
    </row>
    <row r="2118" s="184">
      <c r="C2118" s="761" t="n"/>
    </row>
    <row r="2119" s="184">
      <c r="C2119" s="761" t="n"/>
    </row>
    <row r="2120" s="184">
      <c r="C2120" s="761" t="n"/>
    </row>
    <row r="2121" s="184">
      <c r="C2121" s="761" t="n"/>
    </row>
    <row r="2122" s="184">
      <c r="C2122" s="761" t="n"/>
    </row>
    <row r="2123" s="184">
      <c r="C2123" s="761" t="n"/>
    </row>
    <row r="2124" s="184">
      <c r="C2124" s="761" t="n"/>
    </row>
    <row r="2125" s="184">
      <c r="C2125" s="761" t="n"/>
    </row>
    <row r="2126" s="184">
      <c r="C2126" s="761" t="n"/>
    </row>
    <row r="2127" s="184">
      <c r="C2127" s="761" t="n"/>
    </row>
    <row r="2128" s="184">
      <c r="C2128" s="761" t="n"/>
    </row>
    <row r="2129" s="184">
      <c r="C2129" s="761" t="n"/>
    </row>
    <row r="2130" s="184">
      <c r="C2130" s="761" t="n"/>
    </row>
    <row r="2131" s="184">
      <c r="C2131" s="761" t="n"/>
    </row>
    <row r="2132" s="184">
      <c r="C2132" s="761" t="n"/>
    </row>
    <row r="2133" s="184">
      <c r="C2133" s="761" t="n"/>
    </row>
    <row r="2134" s="184">
      <c r="C2134" s="761" t="n"/>
    </row>
    <row r="2135" s="184">
      <c r="C2135" s="761" t="n"/>
    </row>
    <row r="2136" s="184">
      <c r="C2136" s="761" t="n"/>
    </row>
    <row r="2137" s="184">
      <c r="C2137" s="761" t="n"/>
    </row>
    <row r="2138" s="184">
      <c r="C2138" s="761" t="n"/>
    </row>
    <row r="2139" s="184">
      <c r="C2139" s="761" t="n"/>
    </row>
    <row r="2140" s="184">
      <c r="C2140" s="761" t="n"/>
    </row>
    <row r="2141" s="184">
      <c r="C2141" s="761" t="n"/>
    </row>
    <row r="2142" s="184">
      <c r="C2142" s="761" t="n"/>
    </row>
    <row r="2143" s="184">
      <c r="C2143" s="761" t="n"/>
    </row>
    <row r="2144" s="184">
      <c r="C2144" s="761" t="n"/>
    </row>
    <row r="2145" s="184">
      <c r="C2145" s="761" t="n"/>
    </row>
    <row r="2146" s="184">
      <c r="C2146" s="761" t="n"/>
    </row>
    <row r="2147" s="184">
      <c r="C2147" s="761" t="n"/>
    </row>
    <row r="2148" s="184">
      <c r="C2148" s="761" t="n"/>
    </row>
    <row r="2149" s="184">
      <c r="C2149" s="761" t="n"/>
    </row>
    <row r="2150" s="184">
      <c r="C2150" s="761" t="n"/>
    </row>
    <row r="2151" s="184">
      <c r="C2151" s="761" t="n"/>
    </row>
    <row r="2152" s="184">
      <c r="C2152" s="761" t="n"/>
    </row>
    <row r="2153" s="184">
      <c r="C2153" s="761" t="n"/>
    </row>
    <row r="2154" s="184">
      <c r="C2154" s="761" t="n"/>
    </row>
    <row r="2155" s="184">
      <c r="C2155" s="761" t="n"/>
    </row>
    <row r="2156" s="184">
      <c r="C2156" s="761" t="n"/>
    </row>
    <row r="2157" s="184">
      <c r="C2157" s="761" t="n"/>
    </row>
    <row r="2158" s="184">
      <c r="C2158" s="761" t="n"/>
    </row>
    <row r="2159" s="184">
      <c r="C2159" s="761" t="n"/>
    </row>
    <row r="2160" s="184">
      <c r="C2160" s="761" t="n"/>
    </row>
    <row r="2161" s="184">
      <c r="C2161" s="761" t="n"/>
    </row>
    <row r="2162" s="184">
      <c r="C2162" s="761" t="n"/>
    </row>
    <row r="2163" s="184">
      <c r="C2163" s="761" t="n"/>
    </row>
    <row r="2164" s="184">
      <c r="C2164" s="761" t="n"/>
    </row>
    <row r="2165" s="184">
      <c r="C2165" s="761" t="n"/>
    </row>
    <row r="2166" s="184">
      <c r="C2166" s="761" t="n"/>
    </row>
    <row r="2167" s="184">
      <c r="C2167" s="761" t="n"/>
    </row>
    <row r="2168" s="184">
      <c r="C2168" s="761" t="n"/>
    </row>
    <row r="2169" s="184">
      <c r="C2169" s="761" t="n"/>
    </row>
    <row r="2170" s="184">
      <c r="C2170" s="761" t="n"/>
    </row>
    <row r="2171" s="184">
      <c r="C2171" s="761" t="n"/>
    </row>
    <row r="2172" s="184">
      <c r="C2172" s="761" t="n"/>
    </row>
    <row r="2173" s="184">
      <c r="C2173" s="761" t="n"/>
    </row>
    <row r="2174" s="184">
      <c r="C2174" s="761" t="n"/>
    </row>
    <row r="2175" s="184">
      <c r="C2175" s="761" t="n"/>
    </row>
    <row r="2176" s="184">
      <c r="C2176" s="761" t="n"/>
    </row>
    <row r="2177" s="184">
      <c r="C2177" s="761" t="n"/>
    </row>
    <row r="2178" s="184">
      <c r="C2178" s="761" t="n"/>
    </row>
    <row r="2179" s="184">
      <c r="C2179" s="761" t="n"/>
    </row>
    <row r="2180" s="184">
      <c r="C2180" s="761" t="n"/>
    </row>
    <row r="2181" s="184">
      <c r="C2181" s="761" t="n"/>
    </row>
    <row r="2182" s="184">
      <c r="C2182" s="761" t="n"/>
    </row>
    <row r="2183" s="184">
      <c r="C2183" s="761" t="n"/>
    </row>
    <row r="2184" s="184">
      <c r="C2184" s="761" t="n"/>
    </row>
    <row r="2185" s="184">
      <c r="C2185" s="761" t="n"/>
    </row>
    <row r="2186" s="184">
      <c r="C2186" s="761" t="n"/>
    </row>
    <row r="2187" s="184">
      <c r="C2187" s="761" t="n"/>
    </row>
    <row r="2188" s="184">
      <c r="C2188" s="761" t="n"/>
    </row>
    <row r="2189" s="184">
      <c r="C2189" s="761" t="n"/>
    </row>
    <row r="2190" s="184">
      <c r="C2190" s="761" t="n"/>
    </row>
    <row r="2191" s="184">
      <c r="C2191" s="761" t="n"/>
    </row>
    <row r="2192" s="184">
      <c r="C2192" s="761" t="n"/>
    </row>
    <row r="2193" s="184">
      <c r="C2193" s="761" t="n"/>
    </row>
    <row r="2194" s="184">
      <c r="C2194" s="761" t="n"/>
    </row>
    <row r="2195" s="184">
      <c r="C2195" s="761" t="n"/>
    </row>
    <row r="2196" s="184">
      <c r="C2196" s="761" t="n"/>
    </row>
    <row r="2197" s="184">
      <c r="C2197" s="761" t="n"/>
    </row>
    <row r="2198" s="184">
      <c r="C2198" s="761" t="n"/>
    </row>
    <row r="2199" s="184">
      <c r="C2199" s="761" t="n"/>
    </row>
    <row r="2200" s="184">
      <c r="C2200" s="761" t="n"/>
    </row>
    <row r="2201" s="184">
      <c r="C2201" s="761" t="n"/>
    </row>
    <row r="2202" s="184">
      <c r="C2202" s="761" t="n"/>
    </row>
    <row r="2203" s="184">
      <c r="C2203" s="761" t="n"/>
    </row>
    <row r="2204" s="184">
      <c r="C2204" s="761" t="n"/>
    </row>
    <row r="2205" s="184">
      <c r="C2205" s="761" t="n"/>
    </row>
    <row r="2206" s="184">
      <c r="C2206" s="761" t="n"/>
    </row>
    <row r="2207" s="184">
      <c r="C2207" s="761" t="n"/>
    </row>
    <row r="2208" s="184">
      <c r="C2208" s="761" t="n"/>
    </row>
    <row r="2209" s="184">
      <c r="C2209" s="761" t="n"/>
    </row>
    <row r="2210" s="184">
      <c r="C2210" s="761" t="n"/>
    </row>
    <row r="2211" s="184">
      <c r="C2211" s="761" t="n"/>
    </row>
    <row r="2212" s="184">
      <c r="C2212" s="761" t="n"/>
    </row>
    <row r="2213" s="184">
      <c r="C2213" s="761" t="n"/>
    </row>
    <row r="2214" s="184">
      <c r="C2214" s="761" t="n"/>
    </row>
    <row r="2215" s="184">
      <c r="C2215" s="761" t="n"/>
    </row>
    <row r="2216" s="184">
      <c r="C2216" s="761" t="n"/>
    </row>
    <row r="2217" s="184">
      <c r="C2217" s="761" t="n"/>
    </row>
    <row r="2218" s="184">
      <c r="C2218" s="761" t="n"/>
    </row>
    <row r="2219" s="184">
      <c r="C2219" s="761" t="n"/>
    </row>
    <row r="2220" s="184">
      <c r="C2220" s="761" t="n"/>
    </row>
    <row r="2221" s="184">
      <c r="C2221" s="761" t="n"/>
    </row>
    <row r="2222" s="184">
      <c r="C2222" s="761" t="n"/>
    </row>
    <row r="2223" s="184">
      <c r="C2223" s="761" t="n"/>
    </row>
    <row r="2224" s="184">
      <c r="C2224" s="761" t="n"/>
    </row>
    <row r="2225" s="184">
      <c r="C2225" s="761" t="n"/>
    </row>
    <row r="2226" s="184">
      <c r="C2226" s="761" t="n"/>
    </row>
    <row r="2227" s="184">
      <c r="C2227" s="761" t="n"/>
    </row>
    <row r="2228" s="184">
      <c r="C2228" s="761" t="n"/>
    </row>
    <row r="2229" s="184">
      <c r="C2229" s="761" t="n"/>
    </row>
    <row r="2230" s="184">
      <c r="C2230" s="761" t="n"/>
    </row>
    <row r="2231" s="184">
      <c r="C2231" s="761" t="n"/>
    </row>
    <row r="2232" s="184">
      <c r="C2232" s="761" t="n"/>
    </row>
    <row r="2233" s="184">
      <c r="C2233" s="761" t="n"/>
    </row>
    <row r="2234" s="184">
      <c r="C2234" s="761" t="n"/>
    </row>
    <row r="2235" s="184">
      <c r="C2235" s="761" t="n"/>
    </row>
    <row r="2236" s="184">
      <c r="C2236" s="761" t="n"/>
    </row>
    <row r="2237" s="184">
      <c r="C2237" s="761" t="n"/>
    </row>
    <row r="2238" s="184">
      <c r="C2238" s="761" t="n"/>
    </row>
    <row r="2239" s="184">
      <c r="C2239" s="761" t="n"/>
    </row>
    <row r="2240" s="184">
      <c r="C2240" s="761" t="n"/>
    </row>
    <row r="2241" s="184">
      <c r="C2241" s="761" t="n"/>
    </row>
    <row r="2242" s="184">
      <c r="C2242" s="761" t="n"/>
    </row>
    <row r="2243" s="184">
      <c r="C2243" s="761" t="n"/>
    </row>
    <row r="2244" s="184">
      <c r="C2244" s="761" t="n"/>
    </row>
    <row r="2245" s="184">
      <c r="C2245" s="761" t="n"/>
    </row>
    <row r="2246" s="184">
      <c r="C2246" s="761" t="n"/>
    </row>
    <row r="2247" s="184">
      <c r="C2247" s="761" t="n"/>
    </row>
    <row r="2248" s="184">
      <c r="C2248" s="761" t="n"/>
    </row>
    <row r="2249" s="184">
      <c r="C2249" s="761" t="n"/>
    </row>
    <row r="2250" s="184">
      <c r="C2250" s="761" t="n"/>
    </row>
    <row r="2251" s="184">
      <c r="C2251" s="761" t="n"/>
    </row>
    <row r="2252" s="184">
      <c r="C2252" s="761" t="n"/>
    </row>
    <row r="2253" s="184">
      <c r="C2253" s="761" t="n"/>
    </row>
    <row r="2254" s="184">
      <c r="C2254" s="761" t="n"/>
    </row>
    <row r="2255" s="184">
      <c r="C2255" s="761" t="n"/>
    </row>
    <row r="2256" s="184">
      <c r="C2256" s="761" t="n"/>
    </row>
    <row r="2257" s="184">
      <c r="C2257" s="761" t="n"/>
    </row>
    <row r="2258" s="184">
      <c r="C2258" s="761" t="n"/>
    </row>
    <row r="2259" s="184">
      <c r="C2259" s="761" t="n"/>
    </row>
    <row r="2260" s="184">
      <c r="C2260" s="761" t="n"/>
    </row>
    <row r="2261" s="184">
      <c r="C2261" s="761" t="n"/>
    </row>
    <row r="2262" s="184">
      <c r="C2262" s="761" t="n"/>
    </row>
    <row r="2263" s="184">
      <c r="C2263" s="761" t="n"/>
    </row>
    <row r="2264" s="184">
      <c r="C2264" s="761" t="n"/>
    </row>
    <row r="2265" s="184">
      <c r="C2265" s="761" t="n"/>
    </row>
    <row r="2266" s="184">
      <c r="C2266" s="761" t="n"/>
    </row>
    <row r="2267" s="184">
      <c r="C2267" s="761" t="n"/>
    </row>
    <row r="2268" s="184">
      <c r="C2268" s="761" t="n"/>
    </row>
    <row r="2269" s="184">
      <c r="C2269" s="761" t="n"/>
    </row>
    <row r="2270" s="184">
      <c r="C2270" s="761" t="n"/>
    </row>
    <row r="2271" s="184">
      <c r="C2271" s="761" t="n"/>
    </row>
    <row r="2272" s="184">
      <c r="C2272" s="761" t="n"/>
    </row>
    <row r="2273" s="184">
      <c r="C2273" s="761" t="n"/>
    </row>
    <row r="2274" s="184">
      <c r="C2274" s="761" t="n"/>
    </row>
    <row r="2275" s="184">
      <c r="C2275" s="761" t="n"/>
    </row>
    <row r="2276" s="184">
      <c r="C2276" s="761" t="n"/>
    </row>
    <row r="2277" s="184">
      <c r="C2277" s="761" t="n"/>
    </row>
    <row r="2278" s="184">
      <c r="C2278" s="761" t="n"/>
    </row>
    <row r="2279" s="184">
      <c r="C2279" s="761" t="n"/>
    </row>
    <row r="2280" s="184">
      <c r="C2280" s="761" t="n"/>
    </row>
    <row r="2281" s="184">
      <c r="C2281" s="761" t="n"/>
    </row>
    <row r="2282" s="184">
      <c r="C2282" s="761" t="n"/>
    </row>
    <row r="2283" s="184">
      <c r="C2283" s="761" t="n"/>
    </row>
    <row r="2284" s="184">
      <c r="C2284" s="761" t="n"/>
    </row>
    <row r="2285" s="184">
      <c r="C2285" s="761" t="n"/>
    </row>
    <row r="2286" s="184">
      <c r="C2286" s="761" t="n"/>
    </row>
    <row r="2287" s="184">
      <c r="C2287" s="761" t="n"/>
    </row>
    <row r="2288" s="184">
      <c r="C2288" s="761" t="n"/>
    </row>
    <row r="2289" s="184">
      <c r="C2289" s="761" t="n"/>
    </row>
    <row r="2290" s="184">
      <c r="C2290" s="761" t="n"/>
    </row>
    <row r="2291" s="184">
      <c r="C2291" s="761" t="n"/>
    </row>
    <row r="2292" s="184">
      <c r="C2292" s="761" t="n"/>
    </row>
    <row r="2293" s="184">
      <c r="C2293" s="761" t="n"/>
    </row>
    <row r="2294" s="184">
      <c r="C2294" s="761" t="n"/>
    </row>
    <row r="2295" s="184">
      <c r="C2295" s="761" t="n"/>
    </row>
    <row r="2296" s="184">
      <c r="C2296" s="761" t="n"/>
    </row>
    <row r="2297" s="184">
      <c r="C2297" s="761" t="n"/>
    </row>
    <row r="2298" s="184">
      <c r="C2298" s="761" t="n"/>
    </row>
    <row r="2299" s="184">
      <c r="C2299" s="761" t="n"/>
    </row>
    <row r="2300" s="184">
      <c r="C2300" s="761" t="n"/>
    </row>
    <row r="2301" s="184">
      <c r="C2301" s="761" t="n"/>
    </row>
    <row r="2302" s="184">
      <c r="C2302" s="761" t="n"/>
    </row>
    <row r="2303" s="184">
      <c r="C2303" s="761" t="n"/>
    </row>
    <row r="2304" s="184">
      <c r="C2304" s="761" t="n"/>
    </row>
    <row r="2305" s="184">
      <c r="C2305" s="761" t="n"/>
    </row>
    <row r="2306" s="184">
      <c r="C2306" s="761" t="n"/>
    </row>
    <row r="2307" s="184">
      <c r="C2307" s="761" t="n"/>
    </row>
    <row r="2308" s="184">
      <c r="C2308" s="761" t="n"/>
    </row>
    <row r="2309" s="184">
      <c r="C2309" s="761" t="n"/>
    </row>
    <row r="2310" s="184">
      <c r="C2310" s="761" t="n"/>
    </row>
    <row r="2311" s="184">
      <c r="C2311" s="761" t="n"/>
    </row>
    <row r="2312" s="184">
      <c r="C2312" s="761" t="n"/>
    </row>
    <row r="2313" s="184">
      <c r="C2313" s="761" t="n"/>
    </row>
    <row r="2314" s="184">
      <c r="C2314" s="761" t="n"/>
    </row>
    <row r="2315" s="184">
      <c r="C2315" s="761" t="n"/>
    </row>
    <row r="2316" s="184">
      <c r="C2316" s="761" t="n"/>
    </row>
    <row r="2317" s="184">
      <c r="C2317" s="761" t="n"/>
    </row>
    <row r="2318" s="184">
      <c r="C2318" s="761" t="n"/>
    </row>
    <row r="2319" s="184">
      <c r="C2319" s="761" t="n"/>
    </row>
    <row r="2320" s="184">
      <c r="C2320" s="761" t="n"/>
    </row>
    <row r="2321" s="184">
      <c r="C2321" s="761" t="n"/>
    </row>
    <row r="2322" s="184">
      <c r="C2322" s="761" t="n"/>
    </row>
    <row r="2323" s="184">
      <c r="C2323" s="761" t="n"/>
    </row>
    <row r="2324" s="184">
      <c r="C2324" s="761" t="n"/>
    </row>
    <row r="2325" s="184">
      <c r="C2325" s="761" t="n"/>
    </row>
    <row r="2326" s="184">
      <c r="C2326" s="761" t="n"/>
    </row>
    <row r="2327" s="184">
      <c r="C2327" s="761" t="n"/>
    </row>
    <row r="2328" s="184">
      <c r="C2328" s="761" t="n"/>
    </row>
    <row r="2329" s="184">
      <c r="C2329" s="761" t="n"/>
    </row>
    <row r="2330" s="184">
      <c r="C2330" s="761" t="n"/>
    </row>
    <row r="2331" s="184">
      <c r="C2331" s="761" t="n"/>
    </row>
    <row r="2332" s="184">
      <c r="C2332" s="761" t="n"/>
    </row>
    <row r="2333" s="184">
      <c r="C2333" s="761" t="n"/>
    </row>
    <row r="2334" s="184">
      <c r="C2334" s="761" t="n"/>
    </row>
    <row r="2335" s="184">
      <c r="C2335" s="761" t="n"/>
    </row>
    <row r="2336" s="184">
      <c r="C2336" s="761" t="n"/>
    </row>
    <row r="2337" s="184">
      <c r="C2337" s="761" t="n"/>
    </row>
    <row r="2338" s="184">
      <c r="C2338" s="761" t="n"/>
    </row>
    <row r="2339" s="184">
      <c r="C2339" s="761" t="n"/>
    </row>
    <row r="2340" s="184">
      <c r="C2340" s="761" t="n"/>
    </row>
    <row r="2341" s="184">
      <c r="C2341" s="761" t="n"/>
    </row>
    <row r="2342" s="184">
      <c r="C2342" s="761" t="n"/>
    </row>
    <row r="2343" s="184">
      <c r="C2343" s="761" t="n"/>
    </row>
    <row r="2344" s="184">
      <c r="C2344" s="761" t="n"/>
    </row>
    <row r="2345" s="184">
      <c r="C2345" s="761" t="n"/>
    </row>
    <row r="2346" s="184">
      <c r="C2346" s="761" t="n"/>
    </row>
    <row r="2347" s="184">
      <c r="C2347" s="761" t="n"/>
    </row>
    <row r="2348" s="184">
      <c r="C2348" s="761" t="n"/>
    </row>
    <row r="2349" s="184">
      <c r="C2349" s="761" t="n"/>
    </row>
    <row r="2350" s="184">
      <c r="C2350" s="761" t="n"/>
    </row>
    <row r="2351" s="184">
      <c r="C2351" s="761" t="n"/>
    </row>
    <row r="2352" s="184">
      <c r="C2352" s="761" t="n"/>
    </row>
    <row r="2353" s="184">
      <c r="C2353" s="761" t="n"/>
    </row>
    <row r="2354" s="184">
      <c r="C2354" s="761" t="n"/>
    </row>
    <row r="2355" s="184">
      <c r="C2355" s="761" t="n"/>
    </row>
    <row r="2356" s="184">
      <c r="C2356" s="761" t="n"/>
    </row>
    <row r="2357" s="184">
      <c r="C2357" s="761" t="n"/>
    </row>
    <row r="2358" s="184">
      <c r="C2358" s="761" t="n"/>
    </row>
    <row r="2359" s="184">
      <c r="C2359" s="761" t="n"/>
    </row>
    <row r="2360" s="184">
      <c r="C2360" s="761" t="n"/>
    </row>
    <row r="2361" s="184">
      <c r="C2361" s="761" t="n"/>
    </row>
    <row r="2362" s="184">
      <c r="C2362" s="761" t="n"/>
    </row>
    <row r="2363" s="184">
      <c r="C2363" s="761" t="n"/>
    </row>
    <row r="2364" s="184">
      <c r="C2364" s="761" t="n"/>
    </row>
    <row r="2365" s="184">
      <c r="C2365" s="761" t="n"/>
    </row>
    <row r="2366" s="184">
      <c r="C2366" s="761" t="n"/>
    </row>
    <row r="2367" s="184">
      <c r="C2367" s="761" t="n"/>
    </row>
    <row r="2368" s="184">
      <c r="C2368" s="761" t="n"/>
    </row>
    <row r="2369" s="184">
      <c r="C2369" s="761" t="n"/>
    </row>
    <row r="2370" s="184">
      <c r="C2370" s="761" t="n"/>
    </row>
    <row r="2371" s="184">
      <c r="C2371" s="761" t="n"/>
    </row>
    <row r="2372" s="184">
      <c r="C2372" s="761" t="n"/>
    </row>
    <row r="2373" s="184">
      <c r="C2373" s="761" t="n"/>
    </row>
    <row r="2374" s="184">
      <c r="C2374" s="761" t="n"/>
    </row>
    <row r="2375" s="184">
      <c r="C2375" s="761" t="n"/>
    </row>
    <row r="2376" s="184">
      <c r="C2376" s="761" t="n"/>
    </row>
    <row r="2377" s="184">
      <c r="C2377" s="761" t="n"/>
    </row>
    <row r="2378" s="184">
      <c r="C2378" s="761" t="n"/>
    </row>
    <row r="2379" s="184">
      <c r="C2379" s="761" t="n"/>
    </row>
    <row r="2380" s="184">
      <c r="C2380" s="761" t="n"/>
    </row>
    <row r="2381" s="184">
      <c r="C2381" s="761" t="n"/>
    </row>
    <row r="2382" s="184">
      <c r="C2382" s="761" t="n"/>
    </row>
    <row r="2383" s="184">
      <c r="C2383" s="761" t="n"/>
    </row>
    <row r="2384" s="184">
      <c r="C2384" s="761" t="n"/>
    </row>
    <row r="2385" s="184">
      <c r="C2385" s="761" t="n"/>
    </row>
    <row r="2386" s="184">
      <c r="C2386" s="761" t="n"/>
    </row>
    <row r="2387" s="184">
      <c r="C2387" s="761" t="n"/>
    </row>
    <row r="2388" s="184">
      <c r="C2388" s="761" t="n"/>
    </row>
    <row r="2389" s="184">
      <c r="C2389" s="761" t="n"/>
    </row>
    <row r="2390" s="184">
      <c r="C2390" s="761" t="n"/>
    </row>
    <row r="2391" s="184">
      <c r="C2391" s="761" t="n"/>
    </row>
    <row r="2392" s="184">
      <c r="C2392" s="761" t="n"/>
    </row>
    <row r="2393" s="184">
      <c r="C2393" s="761" t="n"/>
    </row>
    <row r="2394" s="184">
      <c r="C2394" s="761" t="n"/>
    </row>
    <row r="2395" s="184">
      <c r="C2395" s="761" t="n"/>
    </row>
    <row r="2396" s="184">
      <c r="C2396" s="761" t="n"/>
    </row>
    <row r="2397" s="184">
      <c r="C2397" s="761" t="n"/>
    </row>
    <row r="2398" s="184">
      <c r="C2398" s="761" t="n"/>
    </row>
    <row r="2399" s="184">
      <c r="C2399" s="761" t="n"/>
    </row>
    <row r="2400" s="184">
      <c r="C2400" s="761" t="n"/>
    </row>
    <row r="2401" s="184">
      <c r="C2401" s="761" t="n"/>
    </row>
    <row r="2402" s="184">
      <c r="C2402" s="761" t="n"/>
    </row>
    <row r="2403" s="184">
      <c r="C2403" s="761" t="n"/>
    </row>
    <row r="2404" s="184">
      <c r="C2404" s="761" t="n"/>
    </row>
    <row r="2405" s="184">
      <c r="C2405" s="761" t="n"/>
    </row>
    <row r="2406" s="184">
      <c r="C2406" s="761" t="n"/>
    </row>
    <row r="2407" s="184">
      <c r="C2407" s="761" t="n"/>
    </row>
    <row r="2408" s="184">
      <c r="C2408" s="761" t="n"/>
    </row>
    <row r="2409" s="184">
      <c r="C2409" s="761" t="n"/>
    </row>
    <row r="2410" s="184">
      <c r="C2410" s="761" t="n"/>
    </row>
    <row r="2411" s="184">
      <c r="C2411" s="761" t="n"/>
    </row>
    <row r="2412" s="184">
      <c r="C2412" s="761" t="n"/>
    </row>
    <row r="2413" s="184">
      <c r="C2413" s="761" t="n"/>
    </row>
    <row r="2414" s="184">
      <c r="C2414" s="761" t="n"/>
    </row>
    <row r="2415" s="184">
      <c r="C2415" s="761" t="n"/>
    </row>
    <row r="2416" s="184">
      <c r="C2416" s="761" t="n"/>
    </row>
    <row r="2417" s="184">
      <c r="C2417" s="761" t="n"/>
    </row>
    <row r="2418" s="184">
      <c r="C2418" s="761" t="n"/>
    </row>
    <row r="2419" s="184">
      <c r="C2419" s="761" t="n"/>
    </row>
    <row r="2420" s="184">
      <c r="C2420" s="761" t="n"/>
    </row>
    <row r="2421" s="184">
      <c r="C2421" s="761" t="n"/>
    </row>
    <row r="2422" s="184">
      <c r="C2422" s="761" t="n"/>
    </row>
    <row r="2423" s="184">
      <c r="C2423" s="761" t="n"/>
    </row>
    <row r="2424" s="184">
      <c r="C2424" s="761" t="n"/>
    </row>
    <row r="2425" s="184">
      <c r="C2425" s="761" t="n"/>
    </row>
    <row r="2426" s="184">
      <c r="C2426" s="761" t="n"/>
    </row>
    <row r="2427" s="184">
      <c r="C2427" s="761" t="n"/>
    </row>
    <row r="2428" s="184">
      <c r="C2428" s="761" t="n"/>
    </row>
    <row r="2429" s="184">
      <c r="C2429" s="761" t="n"/>
    </row>
    <row r="2430" s="184">
      <c r="C2430" s="761" t="n"/>
    </row>
    <row r="2431" s="184">
      <c r="C2431" s="761" t="n"/>
    </row>
    <row r="2432" s="184">
      <c r="C2432" s="761" t="n"/>
    </row>
    <row r="2433" s="184">
      <c r="C2433" s="761" t="n"/>
    </row>
    <row r="2434" s="184">
      <c r="C2434" s="761" t="n"/>
    </row>
    <row r="2435" s="184">
      <c r="C2435" s="761" t="n"/>
    </row>
    <row r="2436" s="184">
      <c r="C2436" s="761" t="n"/>
    </row>
    <row r="2437" s="184">
      <c r="C2437" s="761" t="n"/>
    </row>
    <row r="2438" s="184">
      <c r="C2438" s="761" t="n"/>
    </row>
    <row r="2439" s="184">
      <c r="C2439" s="761" t="n"/>
    </row>
    <row r="2440" s="184">
      <c r="C2440" s="761" t="n"/>
    </row>
    <row r="2441" s="184">
      <c r="C2441" s="761" t="n"/>
    </row>
    <row r="2442" s="184">
      <c r="C2442" s="761" t="n"/>
    </row>
    <row r="2443" s="184">
      <c r="C2443" s="761" t="n"/>
    </row>
    <row r="2444" s="184">
      <c r="C2444" s="761" t="n"/>
    </row>
    <row r="2445" s="184">
      <c r="C2445" s="761" t="n"/>
    </row>
    <row r="2446" s="184">
      <c r="C2446" s="761" t="n"/>
    </row>
    <row r="2447" s="184">
      <c r="C2447" s="761" t="n"/>
    </row>
    <row r="2448" s="184">
      <c r="C2448" s="761" t="n"/>
    </row>
    <row r="2449" s="184">
      <c r="C2449" s="761" t="n"/>
    </row>
    <row r="2450" s="184">
      <c r="C2450" s="761" t="n"/>
    </row>
    <row r="2451" s="184">
      <c r="C2451" s="761" t="n"/>
    </row>
    <row r="2452" s="184">
      <c r="C2452" s="761" t="n"/>
    </row>
    <row r="2453" s="184">
      <c r="C2453" s="761" t="n"/>
    </row>
    <row r="2454" s="184">
      <c r="C2454" s="761" t="n"/>
    </row>
    <row r="2455" s="184">
      <c r="C2455" s="761" t="n"/>
    </row>
    <row r="2456" s="184">
      <c r="C2456" s="761" t="n"/>
    </row>
    <row r="2457" s="184">
      <c r="C2457" s="761" t="n"/>
    </row>
    <row r="2458" s="184">
      <c r="C2458" s="761" t="n"/>
    </row>
    <row r="2459" s="184">
      <c r="C2459" s="761" t="n"/>
    </row>
    <row r="2460" s="184">
      <c r="C2460" s="761" t="n"/>
    </row>
    <row r="2461" s="184">
      <c r="C2461" s="761" t="n"/>
    </row>
    <row r="2462" s="184">
      <c r="C2462" s="761" t="n"/>
    </row>
    <row r="2463" s="184">
      <c r="C2463" s="761" t="n"/>
    </row>
    <row r="2464" s="184">
      <c r="C2464" s="761" t="n"/>
    </row>
    <row r="2465" s="184">
      <c r="C2465" s="761" t="n"/>
    </row>
    <row r="2466" s="184">
      <c r="C2466" s="761" t="n"/>
    </row>
    <row r="2467" s="184">
      <c r="C2467" s="761" t="n"/>
    </row>
    <row r="2468" s="184">
      <c r="C2468" s="761" t="n"/>
    </row>
    <row r="2469" s="184">
      <c r="C2469" s="761" t="n"/>
    </row>
    <row r="2470" s="184">
      <c r="C2470" s="761" t="n"/>
    </row>
    <row r="2471" s="184">
      <c r="C2471" s="761" t="n"/>
    </row>
    <row r="2472" s="184">
      <c r="C2472" s="761" t="n"/>
    </row>
    <row r="2473" s="184">
      <c r="C2473" s="761" t="n"/>
    </row>
    <row r="2474" s="184">
      <c r="C2474" s="761" t="n"/>
    </row>
    <row r="2475" s="184">
      <c r="C2475" s="761" t="n"/>
    </row>
    <row r="2476" s="184">
      <c r="C2476" s="761" t="n"/>
    </row>
    <row r="2477" s="184">
      <c r="C2477" s="761" t="n"/>
    </row>
    <row r="2478" s="184">
      <c r="C2478" s="761" t="n"/>
    </row>
    <row r="2479" s="184">
      <c r="C2479" s="761" t="n"/>
    </row>
    <row r="2480" s="184">
      <c r="C2480" s="761" t="n"/>
    </row>
    <row r="2481" s="184">
      <c r="C2481" s="761" t="n"/>
    </row>
    <row r="2482" s="184">
      <c r="C2482" s="761" t="n"/>
    </row>
    <row r="2483" s="184">
      <c r="C2483" s="761" t="n"/>
    </row>
    <row r="2484" s="184">
      <c r="C2484" s="761" t="n"/>
    </row>
    <row r="2485" s="184">
      <c r="C2485" s="761" t="n"/>
    </row>
    <row r="2486" s="184">
      <c r="C2486" s="761" t="n"/>
    </row>
    <row r="2487" s="184">
      <c r="C2487" s="761" t="n"/>
    </row>
    <row r="2488" s="184">
      <c r="C2488" s="761" t="n"/>
    </row>
    <row r="2489" s="184">
      <c r="C2489" s="761" t="n"/>
    </row>
    <row r="2490" s="184">
      <c r="C2490" s="761" t="n"/>
    </row>
    <row r="2491" s="184">
      <c r="C2491" s="761" t="n"/>
    </row>
    <row r="2492" s="184">
      <c r="C2492" s="761" t="n"/>
    </row>
    <row r="2493" s="184">
      <c r="C2493" s="761" t="n"/>
    </row>
    <row r="2494" s="184">
      <c r="C2494" s="761" t="n"/>
    </row>
    <row r="2495" s="184">
      <c r="C2495" s="761" t="n"/>
    </row>
    <row r="2496" s="184">
      <c r="C2496" s="761" t="n"/>
    </row>
    <row r="2497" s="184">
      <c r="C2497" s="761" t="n"/>
    </row>
    <row r="2498" s="184">
      <c r="C2498" s="761" t="n"/>
    </row>
    <row r="2499" s="184">
      <c r="C2499" s="761" t="n"/>
    </row>
    <row r="2500" s="184">
      <c r="C2500" s="761" t="n"/>
    </row>
    <row r="2501" s="184">
      <c r="C2501" s="761" t="n"/>
    </row>
    <row r="2502" s="184">
      <c r="C2502" s="761" t="n"/>
    </row>
    <row r="2503" s="184">
      <c r="C2503" s="761" t="n"/>
    </row>
    <row r="2504" s="184">
      <c r="C2504" s="761" t="n"/>
    </row>
    <row r="2505" s="184">
      <c r="C2505" s="761" t="n"/>
    </row>
    <row r="2506" s="184">
      <c r="C2506" s="761" t="n"/>
    </row>
    <row r="2507" s="184">
      <c r="C2507" s="761" t="n"/>
    </row>
    <row r="2508" s="184">
      <c r="C2508" s="761" t="n"/>
    </row>
    <row r="2509" s="184">
      <c r="C2509" s="761" t="n"/>
    </row>
    <row r="2510" s="184">
      <c r="C2510" s="761" t="n"/>
    </row>
    <row r="2511" s="184">
      <c r="C2511" s="761" t="n"/>
    </row>
    <row r="2512" s="184">
      <c r="C2512" s="761" t="n"/>
    </row>
    <row r="2513" s="184">
      <c r="C2513" s="761" t="n"/>
    </row>
    <row r="2514" s="184">
      <c r="C2514" s="761" t="n"/>
    </row>
    <row r="2515" s="184">
      <c r="C2515" s="761" t="n"/>
    </row>
    <row r="2516" s="184">
      <c r="C2516" s="761" t="n"/>
    </row>
    <row r="2517" s="184">
      <c r="C2517" s="761" t="n"/>
    </row>
    <row r="2518" s="184">
      <c r="C2518" s="761" t="n"/>
    </row>
    <row r="2519" s="184">
      <c r="C2519" s="761" t="n"/>
    </row>
    <row r="2520" s="184">
      <c r="C2520" s="761" t="n"/>
    </row>
    <row r="2521" s="184">
      <c r="C2521" s="761" t="n"/>
    </row>
    <row r="2522" s="184">
      <c r="C2522" s="761" t="n"/>
    </row>
    <row r="2523" s="184">
      <c r="C2523" s="761" t="n"/>
    </row>
    <row r="2524" s="184">
      <c r="C2524" s="761" t="n"/>
    </row>
    <row r="2525" s="184">
      <c r="C2525" s="761" t="n"/>
    </row>
    <row r="2526" s="184">
      <c r="C2526" s="761" t="n"/>
    </row>
    <row r="2527" s="184">
      <c r="C2527" s="761" t="n"/>
    </row>
    <row r="2528" s="184">
      <c r="C2528" s="761" t="n"/>
    </row>
    <row r="2529" s="184">
      <c r="C2529" s="761" t="n"/>
    </row>
    <row r="2530" s="184">
      <c r="C2530" s="761" t="n"/>
    </row>
    <row r="2531" s="184">
      <c r="C2531" s="761" t="n"/>
    </row>
    <row r="2532" s="184">
      <c r="C2532" s="761" t="n"/>
    </row>
    <row r="2533" s="184">
      <c r="C2533" s="761" t="n"/>
    </row>
    <row r="2534" s="184">
      <c r="C2534" s="761" t="n"/>
    </row>
    <row r="2535" s="184">
      <c r="C2535" s="761" t="n"/>
    </row>
    <row r="2536" s="184">
      <c r="C2536" s="761" t="n"/>
    </row>
    <row r="2537" s="184">
      <c r="C2537" s="761" t="n"/>
    </row>
    <row r="2538" s="184">
      <c r="C2538" s="761" t="n"/>
    </row>
    <row r="2539" s="184">
      <c r="C2539" s="761" t="n"/>
    </row>
    <row r="2540" s="184">
      <c r="C2540" s="761" t="n"/>
    </row>
    <row r="2541" s="184">
      <c r="C2541" s="761" t="n"/>
    </row>
    <row r="2542" s="184">
      <c r="C2542" s="761" t="n"/>
    </row>
    <row r="2543" s="184">
      <c r="C2543" s="761" t="n"/>
    </row>
    <row r="2544" s="184">
      <c r="C2544" s="761" t="n"/>
    </row>
    <row r="2545" s="184">
      <c r="C2545" s="761" t="n"/>
    </row>
    <row r="2546" s="184">
      <c r="C2546" s="761" t="n"/>
    </row>
    <row r="2547" s="184">
      <c r="C2547" s="761" t="n"/>
    </row>
    <row r="2548" s="184">
      <c r="C2548" s="761" t="n"/>
    </row>
    <row r="2549" s="184">
      <c r="C2549" s="761" t="n"/>
    </row>
    <row r="2550" s="184">
      <c r="C2550" s="761" t="n"/>
    </row>
    <row r="2551" s="184">
      <c r="C2551" s="761" t="n"/>
    </row>
    <row r="2552" s="184">
      <c r="C2552" s="761" t="n"/>
    </row>
    <row r="2553" s="184">
      <c r="C2553" s="761" t="n"/>
    </row>
    <row r="2554" s="184">
      <c r="C2554" s="761" t="n"/>
    </row>
    <row r="2555" s="184">
      <c r="C2555" s="761" t="n"/>
    </row>
    <row r="2556" s="184">
      <c r="C2556" s="761" t="n"/>
    </row>
    <row r="2557" s="184">
      <c r="C2557" s="761" t="n"/>
    </row>
    <row r="2558" s="184">
      <c r="C2558" s="761" t="n"/>
    </row>
    <row r="2559" s="184">
      <c r="C2559" s="761" t="n"/>
    </row>
    <row r="2560" s="184">
      <c r="C2560" s="761" t="n"/>
    </row>
    <row r="2561" s="184">
      <c r="C2561" s="761" t="n"/>
    </row>
    <row r="2562" s="184">
      <c r="C2562" s="761" t="n"/>
    </row>
    <row r="2563" s="184">
      <c r="C2563" s="761" t="n"/>
    </row>
    <row r="2564" s="184">
      <c r="C2564" s="761" t="n"/>
    </row>
    <row r="2565" s="184">
      <c r="C2565" s="761" t="n"/>
    </row>
    <row r="2566" s="184">
      <c r="C2566" s="761" t="n"/>
    </row>
    <row r="2567" s="184">
      <c r="C2567" s="761" t="n"/>
    </row>
    <row r="2568" s="184">
      <c r="C2568" s="761" t="n"/>
    </row>
    <row r="2569" s="184">
      <c r="C2569" s="761" t="n"/>
    </row>
    <row r="2570" s="184">
      <c r="C2570" s="761" t="n"/>
    </row>
    <row r="2571" s="184">
      <c r="C2571" s="761" t="n"/>
    </row>
    <row r="2572" s="184">
      <c r="C2572" s="761" t="n"/>
    </row>
    <row r="2573" s="184">
      <c r="C2573" s="761" t="n"/>
    </row>
    <row r="2574" s="184">
      <c r="C2574" s="761" t="n"/>
    </row>
    <row r="2575" s="184">
      <c r="C2575" s="761" t="n"/>
    </row>
    <row r="2576" s="184">
      <c r="C2576" s="761" t="n"/>
    </row>
    <row r="2577" s="184">
      <c r="C2577" s="761" t="n"/>
    </row>
    <row r="2578" s="184">
      <c r="C2578" s="761" t="n"/>
    </row>
    <row r="2579" s="184">
      <c r="C2579" s="761" t="n"/>
    </row>
    <row r="2580" s="184">
      <c r="C2580" s="761" t="n"/>
    </row>
    <row r="2581" s="184">
      <c r="C2581" s="761" t="n"/>
    </row>
    <row r="2582" s="184">
      <c r="C2582" s="761" t="n"/>
    </row>
    <row r="2583" s="184">
      <c r="C2583" s="761" t="n"/>
    </row>
    <row r="2584" s="184">
      <c r="C2584" s="761" t="n"/>
    </row>
    <row r="2585" s="184">
      <c r="C2585" s="761" t="n"/>
    </row>
    <row r="2586" s="184">
      <c r="C2586" s="761" t="n"/>
    </row>
    <row r="2587" s="184">
      <c r="C2587" s="761" t="n"/>
    </row>
    <row r="2588" s="184">
      <c r="C2588" s="761" t="n"/>
    </row>
    <row r="2589" s="184">
      <c r="C2589" s="761" t="n"/>
    </row>
    <row r="2590" s="184">
      <c r="C2590" s="761" t="n"/>
    </row>
    <row r="2591" s="184">
      <c r="C2591" s="761" t="n"/>
    </row>
    <row r="2592" s="184">
      <c r="C2592" s="761" t="n"/>
    </row>
    <row r="2593" s="184">
      <c r="C2593" s="761" t="n"/>
    </row>
    <row r="2594" s="184">
      <c r="C2594" s="761" t="n"/>
    </row>
    <row r="2595" s="184">
      <c r="C2595" s="761" t="n"/>
    </row>
    <row r="2596" s="184">
      <c r="C2596" s="761" t="n"/>
    </row>
    <row r="2597" s="184">
      <c r="C2597" s="761" t="n"/>
    </row>
    <row r="2598" s="184">
      <c r="C2598" s="761" t="n"/>
    </row>
    <row r="2599" s="184">
      <c r="C2599" s="761" t="n"/>
    </row>
    <row r="2600" s="184">
      <c r="C2600" s="761" t="n"/>
    </row>
    <row r="2601" s="184">
      <c r="C2601" s="761" t="n"/>
    </row>
    <row r="2602" s="184">
      <c r="C2602" s="761" t="n"/>
    </row>
    <row r="2603" s="184">
      <c r="C2603" s="761" t="n"/>
    </row>
    <row r="2604" s="184">
      <c r="C2604" s="761" t="n"/>
    </row>
    <row r="2605" s="184">
      <c r="C2605" s="761" t="n"/>
    </row>
    <row r="2606" s="184">
      <c r="C2606" s="761" t="n"/>
    </row>
    <row r="2607" s="184">
      <c r="C2607" s="761" t="n"/>
    </row>
    <row r="2608" s="184">
      <c r="C2608" s="761" t="n"/>
    </row>
    <row r="2609" s="184">
      <c r="C2609" s="761" t="n"/>
    </row>
    <row r="2610" s="184">
      <c r="C2610" s="761" t="n"/>
    </row>
    <row r="2611" s="184">
      <c r="C2611" s="761" t="n"/>
    </row>
    <row r="2612" s="184">
      <c r="C2612" s="761" t="n"/>
    </row>
    <row r="2613" s="184">
      <c r="C2613" s="761" t="n"/>
    </row>
    <row r="2614" s="184">
      <c r="C2614" s="761" t="n"/>
    </row>
    <row r="2615" s="184">
      <c r="C2615" s="761" t="n"/>
    </row>
    <row r="2616" s="184">
      <c r="C2616" s="761" t="n"/>
    </row>
    <row r="2617" s="184">
      <c r="C2617" s="761" t="n"/>
    </row>
    <row r="2618" s="184">
      <c r="C2618" s="761" t="n"/>
    </row>
    <row r="2619" s="184">
      <c r="C2619" s="761" t="n"/>
    </row>
    <row r="2620" s="184">
      <c r="C2620" s="761" t="n"/>
    </row>
    <row r="2621" s="184">
      <c r="C2621" s="761" t="n"/>
    </row>
    <row r="2622" s="184">
      <c r="C2622" s="761" t="n"/>
    </row>
    <row r="2623" s="184">
      <c r="C2623" s="761" t="n"/>
    </row>
    <row r="2624" s="184">
      <c r="C2624" s="761" t="n"/>
    </row>
    <row r="2625" s="184">
      <c r="C2625" s="761" t="n"/>
    </row>
    <row r="2626" s="184">
      <c r="C2626" s="761" t="n"/>
    </row>
    <row r="2627" s="184">
      <c r="C2627" s="761" t="n"/>
    </row>
    <row r="2628" s="184">
      <c r="C2628" s="761" t="n"/>
    </row>
    <row r="2629" s="184">
      <c r="C2629" s="761" t="n"/>
    </row>
    <row r="2630" s="184">
      <c r="C2630" s="761" t="n"/>
    </row>
    <row r="2631" s="184">
      <c r="C2631" s="761" t="n"/>
    </row>
    <row r="2632" s="184">
      <c r="C2632" s="761" t="n"/>
    </row>
    <row r="2633" s="184">
      <c r="C2633" s="761" t="n"/>
    </row>
    <row r="2634" s="184">
      <c r="C2634" s="761" t="n"/>
    </row>
    <row r="2635" s="184">
      <c r="C2635" s="761" t="n"/>
    </row>
    <row r="2636" s="184">
      <c r="C2636" s="761" t="n"/>
    </row>
    <row r="2637" s="184">
      <c r="C2637" s="761" t="n"/>
    </row>
    <row r="2638" s="184">
      <c r="C2638" s="761" t="n"/>
    </row>
    <row r="2639" s="184">
      <c r="C2639" s="761" t="n"/>
    </row>
    <row r="2640" s="184">
      <c r="C2640" s="761" t="n"/>
    </row>
    <row r="2641" s="184">
      <c r="C2641" s="761" t="n"/>
    </row>
    <row r="2642" s="184">
      <c r="C2642" s="761" t="n"/>
    </row>
    <row r="2643" s="184">
      <c r="C2643" s="761" t="n"/>
    </row>
    <row r="2644" s="184">
      <c r="C2644" s="761" t="n"/>
    </row>
    <row r="2645" s="184">
      <c r="C2645" s="761" t="n"/>
    </row>
    <row r="2646" s="184">
      <c r="C2646" s="761" t="n"/>
    </row>
    <row r="2647" s="184">
      <c r="C2647" s="761" t="n"/>
    </row>
    <row r="2648" s="184">
      <c r="C2648" s="761" t="n"/>
    </row>
    <row r="2649" s="184">
      <c r="C2649" s="761" t="n"/>
    </row>
    <row r="2650" s="184">
      <c r="C2650" s="761" t="n"/>
    </row>
    <row r="2651" s="184">
      <c r="C2651" s="761" t="n"/>
    </row>
    <row r="2652" s="184">
      <c r="C2652" s="761" t="n"/>
    </row>
    <row r="2653" s="184">
      <c r="C2653" s="761" t="n"/>
    </row>
    <row r="2654" s="184">
      <c r="C2654" s="761" t="n"/>
    </row>
    <row r="2655" s="184">
      <c r="C2655" s="761" t="n"/>
    </row>
    <row r="2656" s="184">
      <c r="C2656" s="761" t="n"/>
    </row>
    <row r="2657" s="184">
      <c r="C2657" s="761" t="n"/>
    </row>
    <row r="2658" s="184">
      <c r="C2658" s="761" t="n"/>
    </row>
    <row r="2659" s="184">
      <c r="C2659" s="761" t="n"/>
    </row>
    <row r="2660" s="184">
      <c r="C2660" s="761" t="n"/>
    </row>
    <row r="2661" s="184">
      <c r="C2661" s="761" t="n"/>
    </row>
    <row r="2662" s="184">
      <c r="C2662" s="761" t="n"/>
    </row>
    <row r="2663" s="184">
      <c r="C2663" s="761" t="n"/>
    </row>
    <row r="2664" s="184">
      <c r="C2664" s="761" t="n"/>
    </row>
    <row r="2665" s="184">
      <c r="C2665" s="761" t="n"/>
    </row>
    <row r="2666" s="184">
      <c r="C2666" s="761" t="n"/>
    </row>
    <row r="2667" s="184">
      <c r="C2667" s="761" t="n"/>
    </row>
    <row r="2668" s="184">
      <c r="C2668" s="761" t="n"/>
    </row>
    <row r="2669" s="184">
      <c r="C2669" s="761" t="n"/>
    </row>
    <row r="2670" s="184">
      <c r="C2670" s="761" t="n"/>
    </row>
    <row r="2671" s="184">
      <c r="C2671" s="761" t="n"/>
    </row>
    <row r="2672" s="184">
      <c r="C2672" s="761" t="n"/>
    </row>
    <row r="2673" s="184">
      <c r="C2673" s="761" t="n"/>
    </row>
    <row r="2674" s="184">
      <c r="C2674" s="761" t="n"/>
    </row>
    <row r="2675" s="184">
      <c r="C2675" s="761" t="n"/>
    </row>
    <row r="2676" s="184">
      <c r="C2676" s="761" t="n"/>
    </row>
    <row r="2677" s="184">
      <c r="C2677" s="761" t="n"/>
    </row>
    <row r="2678" s="184">
      <c r="C2678" s="761" t="n"/>
    </row>
    <row r="2679" s="184">
      <c r="C2679" s="761" t="n"/>
    </row>
    <row r="2680" s="184">
      <c r="C2680" s="761" t="n"/>
    </row>
    <row r="2681" s="184">
      <c r="C2681" s="761" t="n"/>
    </row>
    <row r="2682" s="184">
      <c r="C2682" s="761" t="n"/>
    </row>
    <row r="2683" s="184">
      <c r="C2683" s="761" t="n"/>
    </row>
    <row r="2684" s="184">
      <c r="C2684" s="761" t="n"/>
    </row>
    <row r="2685" s="184">
      <c r="C2685" s="761" t="n"/>
    </row>
    <row r="2686" s="184">
      <c r="C2686" s="761" t="n"/>
    </row>
    <row r="2687" s="184">
      <c r="C2687" s="761" t="n"/>
    </row>
    <row r="2688" s="184">
      <c r="C2688" s="761" t="n"/>
    </row>
    <row r="2689" s="184">
      <c r="C2689" s="761" t="n"/>
    </row>
    <row r="2690" s="184">
      <c r="C2690" s="761" t="n"/>
    </row>
    <row r="2691" s="184">
      <c r="C2691" s="761" t="n"/>
    </row>
    <row r="2692" s="184">
      <c r="C2692" s="761" t="n"/>
    </row>
    <row r="2693" s="184">
      <c r="C2693" s="761" t="n"/>
    </row>
    <row r="2694" s="184">
      <c r="C2694" s="761" t="n"/>
    </row>
    <row r="2695" s="184">
      <c r="C2695" s="761" t="n"/>
    </row>
    <row r="2696" s="184">
      <c r="C2696" s="761" t="n"/>
    </row>
    <row r="2697" s="184">
      <c r="C2697" s="761" t="n"/>
    </row>
    <row r="2698" s="184">
      <c r="C2698" s="761" t="n"/>
    </row>
    <row r="2699" s="184">
      <c r="C2699" s="761" t="n"/>
    </row>
    <row r="2700" s="184">
      <c r="C2700" s="761" t="n"/>
    </row>
    <row r="2701" s="184">
      <c r="C2701" s="761" t="n"/>
    </row>
    <row r="2702" s="184">
      <c r="C2702" s="761" t="n"/>
    </row>
    <row r="2703" s="184">
      <c r="C2703" s="761" t="n"/>
    </row>
    <row r="2704" s="184">
      <c r="C2704" s="761" t="n"/>
    </row>
    <row r="2705" s="184">
      <c r="C2705" s="761" t="n"/>
    </row>
    <row r="2706" s="184">
      <c r="C2706" s="761" t="n"/>
    </row>
    <row r="2707" s="184">
      <c r="C2707" s="761" t="n"/>
    </row>
    <row r="2708" s="184">
      <c r="C2708" s="761" t="n"/>
    </row>
    <row r="2709" s="184">
      <c r="C2709" s="761" t="n"/>
    </row>
    <row r="2710" s="184">
      <c r="C2710" s="761" t="n"/>
    </row>
    <row r="2711" s="184">
      <c r="C2711" s="761" t="n"/>
    </row>
    <row r="2712" s="184">
      <c r="C2712" s="761" t="n"/>
    </row>
    <row r="2713" s="184">
      <c r="C2713" s="761" t="n"/>
    </row>
    <row r="2714" s="184">
      <c r="C2714" s="761" t="n"/>
    </row>
    <row r="2715" s="184">
      <c r="C2715" s="761" t="n"/>
    </row>
    <row r="2716" s="184">
      <c r="C2716" s="761" t="n"/>
    </row>
    <row r="2717" s="184">
      <c r="C2717" s="761" t="n"/>
    </row>
    <row r="2718" s="184">
      <c r="C2718" s="761" t="n"/>
    </row>
    <row r="2719" s="184">
      <c r="C2719" s="761" t="n"/>
    </row>
    <row r="2720" s="184">
      <c r="C2720" s="761" t="n"/>
    </row>
    <row r="2721" s="184">
      <c r="C2721" s="761" t="n"/>
    </row>
    <row r="2722" s="184">
      <c r="C2722" s="761" t="n"/>
    </row>
    <row r="2723" s="184">
      <c r="C2723" s="761" t="n"/>
    </row>
    <row r="2724" s="184">
      <c r="C2724" s="761" t="n"/>
    </row>
    <row r="2725" s="184">
      <c r="C2725" s="761" t="n"/>
    </row>
    <row r="2726" s="184">
      <c r="C2726" s="761" t="n"/>
    </row>
    <row r="2727" s="184">
      <c r="C2727" s="761" t="n"/>
    </row>
    <row r="2728" s="184">
      <c r="C2728" s="761" t="n"/>
    </row>
    <row r="2729" s="184">
      <c r="C2729" s="761" t="n"/>
    </row>
    <row r="2730" s="184">
      <c r="C2730" s="761" t="n"/>
    </row>
    <row r="2731" s="184">
      <c r="C2731" s="761" t="n"/>
    </row>
    <row r="2732" s="184">
      <c r="C2732" s="761" t="n"/>
    </row>
    <row r="2733" s="184">
      <c r="C2733" s="761" t="n"/>
    </row>
    <row r="2734" s="184">
      <c r="C2734" s="761" t="n"/>
    </row>
    <row r="2735" s="184">
      <c r="C2735" s="761" t="n"/>
    </row>
    <row r="2736" s="184">
      <c r="C2736" s="761" t="n"/>
    </row>
    <row r="2737" s="184">
      <c r="C2737" s="761" t="n"/>
    </row>
    <row r="2738" s="184">
      <c r="C2738" s="761" t="n"/>
    </row>
    <row r="2739" s="184">
      <c r="C2739" s="761" t="n"/>
    </row>
    <row r="2740" s="184">
      <c r="C2740" s="761" t="n"/>
    </row>
    <row r="2741" s="184">
      <c r="C2741" s="761" t="n"/>
    </row>
    <row r="2742" s="184">
      <c r="C2742" s="761" t="n"/>
    </row>
    <row r="2743" s="184">
      <c r="C2743" s="761" t="n"/>
    </row>
    <row r="2744" s="184">
      <c r="C2744" s="761" t="n"/>
    </row>
    <row r="2745" s="184">
      <c r="C2745" s="761" t="n"/>
    </row>
    <row r="2746" s="184">
      <c r="C2746" s="761" t="n"/>
    </row>
    <row r="2747" s="184">
      <c r="C2747" s="761" t="n"/>
    </row>
    <row r="2748" s="184">
      <c r="C2748" s="761" t="n"/>
    </row>
    <row r="2749" s="184">
      <c r="C2749" s="761" t="n"/>
    </row>
    <row r="2750" s="184">
      <c r="C2750" s="761" t="n"/>
    </row>
    <row r="2751" s="184">
      <c r="C2751" s="761" t="n"/>
    </row>
    <row r="2752" s="184">
      <c r="C2752" s="761" t="n"/>
    </row>
    <row r="2753" s="184">
      <c r="C2753" s="761" t="n"/>
    </row>
    <row r="2754" s="184">
      <c r="C2754" s="761" t="n"/>
    </row>
    <row r="2755" s="184">
      <c r="C2755" s="761" t="n"/>
    </row>
    <row r="2756" s="184">
      <c r="C2756" s="761" t="n"/>
    </row>
    <row r="2757" s="184">
      <c r="C2757" s="761" t="n"/>
    </row>
    <row r="2758" s="184">
      <c r="C2758" s="761" t="n"/>
    </row>
    <row r="2759" s="184">
      <c r="C2759" s="761" t="n"/>
    </row>
    <row r="2760" s="184">
      <c r="C2760" s="761" t="n"/>
    </row>
    <row r="2761" s="184">
      <c r="C2761" s="761" t="n"/>
    </row>
    <row r="2762" s="184">
      <c r="C2762" s="761" t="n"/>
    </row>
    <row r="2763" s="184">
      <c r="C2763" s="761" t="n"/>
    </row>
    <row r="2764" s="184">
      <c r="C2764" s="761" t="n"/>
    </row>
    <row r="2765" s="184">
      <c r="C2765" s="761" t="n"/>
    </row>
    <row r="2766" s="184">
      <c r="C2766" s="761" t="n"/>
    </row>
    <row r="2767" s="184">
      <c r="C2767" s="761" t="n"/>
    </row>
    <row r="2768" s="184">
      <c r="C2768" s="761" t="n"/>
    </row>
    <row r="2769" s="184">
      <c r="C2769" s="761" t="n"/>
    </row>
    <row r="2770" s="184">
      <c r="C2770" s="761" t="n"/>
    </row>
    <row r="2771" s="184">
      <c r="C2771" s="761" t="n"/>
    </row>
    <row r="2772" s="184">
      <c r="C2772" s="761" t="n"/>
    </row>
    <row r="2773" s="184">
      <c r="C2773" s="761" t="n"/>
    </row>
    <row r="2774" s="184">
      <c r="C2774" s="761" t="n"/>
    </row>
    <row r="2775" s="184">
      <c r="C2775" s="761" t="n"/>
    </row>
    <row r="2776" s="184">
      <c r="C2776" s="761" t="n"/>
    </row>
    <row r="2777" s="184">
      <c r="C2777" s="761" t="n"/>
    </row>
    <row r="2778" s="184">
      <c r="C2778" s="761" t="n"/>
    </row>
    <row r="2779" s="184">
      <c r="C2779" s="761" t="n"/>
    </row>
    <row r="2780" s="184">
      <c r="C2780" s="761" t="n"/>
    </row>
    <row r="2781" s="184">
      <c r="C2781" s="761" t="n"/>
    </row>
    <row r="2782" s="184">
      <c r="C2782" s="761" t="n"/>
    </row>
    <row r="2783" s="184">
      <c r="C2783" s="761" t="n"/>
    </row>
    <row r="2784" s="184">
      <c r="C2784" s="761" t="n"/>
    </row>
    <row r="2785" s="184">
      <c r="C2785" s="761" t="n"/>
    </row>
    <row r="2786" s="184">
      <c r="C2786" s="761" t="n"/>
    </row>
    <row r="2787" s="184">
      <c r="C2787" s="761" t="n"/>
    </row>
    <row r="2788" s="184">
      <c r="C2788" s="761" t="n"/>
    </row>
    <row r="2789" s="184">
      <c r="C2789" s="761" t="n"/>
    </row>
    <row r="2790" s="184">
      <c r="C2790" s="761" t="n"/>
    </row>
    <row r="2791" s="184">
      <c r="C2791" s="761" t="n"/>
    </row>
    <row r="2792" s="184">
      <c r="C2792" s="761" t="n"/>
    </row>
    <row r="2793" s="184">
      <c r="C2793" s="761" t="n"/>
    </row>
    <row r="2794" s="184">
      <c r="C2794" s="761" t="n"/>
    </row>
    <row r="2795" s="184">
      <c r="C2795" s="761" t="n"/>
    </row>
    <row r="2796" s="184">
      <c r="C2796" s="761" t="n"/>
    </row>
    <row r="2797" s="184">
      <c r="C2797" s="761" t="n"/>
    </row>
    <row r="2798" s="184">
      <c r="C2798" s="761" t="n"/>
    </row>
    <row r="2799" s="184">
      <c r="C2799" s="761" t="n"/>
    </row>
    <row r="2800" s="184">
      <c r="C2800" s="761" t="n"/>
    </row>
    <row r="2801" s="184">
      <c r="C2801" s="761" t="n"/>
    </row>
    <row r="2802" s="184">
      <c r="C2802" s="761" t="n"/>
    </row>
    <row r="2803" s="184">
      <c r="C2803" s="761" t="n"/>
    </row>
    <row r="2804" s="184">
      <c r="C2804" s="761" t="n"/>
    </row>
    <row r="2805" s="184">
      <c r="C2805" s="761" t="n"/>
    </row>
    <row r="2806" s="184">
      <c r="C2806" s="761" t="n"/>
    </row>
    <row r="2807" s="184">
      <c r="C2807" s="761" t="n"/>
    </row>
    <row r="2808" s="184">
      <c r="C2808" s="761" t="n"/>
    </row>
    <row r="2809" s="184">
      <c r="C2809" s="761" t="n"/>
    </row>
    <row r="2810" s="184">
      <c r="C2810" s="761" t="n"/>
    </row>
    <row r="2811" s="184">
      <c r="C2811" s="761" t="n"/>
    </row>
    <row r="2812" s="184">
      <c r="C2812" s="761" t="n"/>
    </row>
    <row r="2813" s="184">
      <c r="C2813" s="761" t="n"/>
    </row>
    <row r="2814" s="184">
      <c r="C2814" s="761" t="n"/>
    </row>
    <row r="2815" s="184">
      <c r="C2815" s="761" t="n"/>
    </row>
    <row r="2816" s="184">
      <c r="C2816" s="761" t="n"/>
    </row>
    <row r="2817" s="184">
      <c r="C2817" s="761" t="n"/>
    </row>
    <row r="2818" s="184">
      <c r="C2818" s="761" t="n"/>
    </row>
    <row r="2819" s="184">
      <c r="C2819" s="761" t="n"/>
    </row>
    <row r="2820" s="184">
      <c r="C2820" s="761" t="n"/>
    </row>
    <row r="2821" s="184">
      <c r="C2821" s="761" t="n"/>
    </row>
    <row r="2822" s="184">
      <c r="C2822" s="761" t="n"/>
    </row>
    <row r="2823" s="184">
      <c r="C2823" s="761" t="n"/>
    </row>
    <row r="2824" s="184">
      <c r="C2824" s="761" t="n"/>
    </row>
    <row r="2825" s="184">
      <c r="C2825" s="761" t="n"/>
    </row>
    <row r="2826" s="184">
      <c r="C2826" s="761" t="n"/>
    </row>
    <row r="2827" s="184">
      <c r="C2827" s="761" t="n"/>
    </row>
    <row r="2828" s="184">
      <c r="C2828" s="761" t="n"/>
    </row>
    <row r="2829" s="184">
      <c r="C2829" s="761" t="n"/>
    </row>
    <row r="2830" s="184">
      <c r="C2830" s="761" t="n"/>
    </row>
    <row r="2831" s="184">
      <c r="C2831" s="761" t="n"/>
    </row>
    <row r="2832" s="184">
      <c r="C2832" s="761" t="n"/>
    </row>
    <row r="2833" s="184">
      <c r="C2833" s="761" t="n"/>
    </row>
    <row r="2834" s="184">
      <c r="C2834" s="761" t="n"/>
    </row>
    <row r="2835" s="184">
      <c r="C2835" s="761" t="n"/>
    </row>
    <row r="2836" s="184">
      <c r="C2836" s="761" t="n"/>
    </row>
    <row r="2837" s="184">
      <c r="C2837" s="761" t="n"/>
    </row>
    <row r="2838" s="184">
      <c r="C2838" s="761" t="n"/>
    </row>
    <row r="2839" s="184">
      <c r="C2839" s="761" t="n"/>
    </row>
    <row r="2840" s="184">
      <c r="C2840" s="761" t="n"/>
    </row>
    <row r="2841" s="184">
      <c r="C2841" s="761" t="n"/>
    </row>
    <row r="2842" s="184">
      <c r="C2842" s="761" t="n"/>
    </row>
    <row r="2843" s="184">
      <c r="C2843" s="761" t="n"/>
    </row>
    <row r="2844" s="184">
      <c r="C2844" s="761" t="n"/>
    </row>
    <row r="2845" s="184">
      <c r="C2845" s="761" t="n"/>
    </row>
    <row r="2846" s="184">
      <c r="C2846" s="761" t="n"/>
    </row>
    <row r="2847" s="184">
      <c r="C2847" s="761" t="n"/>
    </row>
    <row r="2848" s="184">
      <c r="C2848" s="761" t="n"/>
    </row>
    <row r="2849" s="184">
      <c r="C2849" s="761" t="n"/>
    </row>
    <row r="2850" s="184">
      <c r="C2850" s="761" t="n"/>
    </row>
    <row r="2851" s="184">
      <c r="C2851" s="761" t="n"/>
    </row>
    <row r="2852" s="184">
      <c r="C2852" s="761" t="n"/>
    </row>
    <row r="2853" s="184">
      <c r="C2853" s="761" t="n"/>
    </row>
    <row r="2854" s="184">
      <c r="C2854" s="761" t="n"/>
    </row>
    <row r="2855" s="184">
      <c r="C2855" s="761" t="n"/>
    </row>
    <row r="2856" s="184">
      <c r="C2856" s="761" t="n"/>
    </row>
    <row r="2857" s="184">
      <c r="C2857" s="761" t="n"/>
    </row>
    <row r="2858" s="184">
      <c r="C2858" s="761" t="n"/>
    </row>
    <row r="2859" s="184">
      <c r="C2859" s="761" t="n"/>
    </row>
    <row r="2860" s="184">
      <c r="C2860" s="761" t="n"/>
    </row>
    <row r="2861" s="184">
      <c r="C2861" s="761" t="n"/>
    </row>
    <row r="2862" s="184">
      <c r="C2862" s="761" t="n"/>
    </row>
    <row r="2863" s="184">
      <c r="C2863" s="761" t="n"/>
    </row>
    <row r="2864" s="184">
      <c r="C2864" s="761" t="n"/>
    </row>
    <row r="2865" s="184">
      <c r="C2865" s="761" t="n"/>
    </row>
    <row r="2866" s="184">
      <c r="C2866" s="761" t="n"/>
    </row>
    <row r="2867" s="184">
      <c r="C2867" s="761" t="n"/>
    </row>
    <row r="2868" s="184">
      <c r="C2868" s="761" t="n"/>
    </row>
    <row r="2869" s="184">
      <c r="C2869" s="761" t="n"/>
    </row>
    <row r="2870" s="184">
      <c r="C2870" s="761" t="n"/>
    </row>
    <row r="2871" s="184">
      <c r="C2871" s="761" t="n"/>
    </row>
    <row r="2872" s="184">
      <c r="C2872" s="761" t="n"/>
    </row>
    <row r="2873" s="184">
      <c r="C2873" s="761" t="n"/>
    </row>
    <row r="2874" s="184">
      <c r="C2874" s="761" t="n"/>
    </row>
    <row r="2875" s="184">
      <c r="C2875" s="761" t="n"/>
    </row>
    <row r="2876" s="184">
      <c r="C2876" s="761" t="n"/>
    </row>
    <row r="2877" s="184">
      <c r="C2877" s="761" t="n"/>
    </row>
    <row r="2878" s="184">
      <c r="C2878" s="761" t="n"/>
    </row>
    <row r="2879" s="184">
      <c r="C2879" s="761" t="n"/>
    </row>
    <row r="2880" s="184">
      <c r="C2880" s="761" t="n"/>
    </row>
    <row r="2881" s="184">
      <c r="C2881" s="761" t="n"/>
    </row>
    <row r="2882" s="184">
      <c r="C2882" s="761" t="n"/>
    </row>
    <row r="2883" s="184">
      <c r="C2883" s="761" t="n"/>
    </row>
    <row r="2884" s="184">
      <c r="C2884" s="761" t="n"/>
    </row>
    <row r="2885" s="184">
      <c r="C2885" s="761" t="n"/>
    </row>
    <row r="2886" s="184">
      <c r="C2886" s="761" t="n"/>
    </row>
    <row r="2887" s="184">
      <c r="C2887" s="761" t="n"/>
    </row>
    <row r="2888" s="184">
      <c r="C2888" s="761" t="n"/>
    </row>
    <row r="2889" s="184">
      <c r="C2889" s="761" t="n"/>
    </row>
    <row r="2890" s="184">
      <c r="C2890" s="761" t="n"/>
    </row>
    <row r="2891" s="184">
      <c r="C2891" s="761" t="n"/>
    </row>
    <row r="2892" s="184">
      <c r="C2892" s="761" t="n"/>
    </row>
    <row r="2893" s="184">
      <c r="C2893" s="761" t="n"/>
    </row>
    <row r="2894" s="184">
      <c r="C2894" s="761" t="n"/>
    </row>
    <row r="2895" s="184">
      <c r="C2895" s="761" t="n"/>
    </row>
    <row r="2896" s="184">
      <c r="C2896" s="761" t="n"/>
    </row>
    <row r="2897" s="184">
      <c r="C2897" s="761" t="n"/>
    </row>
    <row r="2898" s="184">
      <c r="C2898" s="761" t="n"/>
    </row>
    <row r="2899" s="184">
      <c r="C2899" s="761" t="n"/>
    </row>
    <row r="2900" s="184">
      <c r="C2900" s="761" t="n"/>
    </row>
    <row r="2901" s="184">
      <c r="C2901" s="761" t="n"/>
    </row>
    <row r="2902" s="184">
      <c r="C2902" s="761" t="n"/>
    </row>
    <row r="2903" s="184">
      <c r="C2903" s="761" t="n"/>
    </row>
    <row r="2904" s="184">
      <c r="C2904" s="761" t="n"/>
    </row>
    <row r="2905" s="184">
      <c r="C2905" s="761" t="n"/>
    </row>
    <row r="2906" s="184">
      <c r="C2906" s="761" t="n"/>
    </row>
    <row r="2907" s="184">
      <c r="C2907" s="761" t="n"/>
    </row>
    <row r="2908" s="184">
      <c r="C2908" s="761" t="n"/>
    </row>
    <row r="2909" s="184">
      <c r="C2909" s="761" t="n"/>
    </row>
    <row r="2910" s="184">
      <c r="C2910" s="761" t="n"/>
    </row>
    <row r="2911" s="184">
      <c r="C2911" s="761" t="n"/>
    </row>
    <row r="2912" s="184">
      <c r="C2912" s="761" t="n"/>
    </row>
    <row r="2913" s="184">
      <c r="C2913" s="761" t="n"/>
    </row>
    <row r="2914" s="184">
      <c r="C2914" s="761" t="n"/>
    </row>
    <row r="2915" s="184">
      <c r="C2915" s="761" t="n"/>
    </row>
    <row r="2916" s="184">
      <c r="C2916" s="761" t="n"/>
    </row>
    <row r="2917" s="184">
      <c r="C2917" s="761" t="n"/>
    </row>
    <row r="2918" s="184">
      <c r="C2918" s="761" t="n"/>
    </row>
    <row r="2919" s="184">
      <c r="C2919" s="761" t="n"/>
    </row>
    <row r="2920" s="184">
      <c r="C2920" s="761" t="n"/>
    </row>
    <row r="2921" s="184">
      <c r="C2921" s="761" t="n"/>
    </row>
    <row r="2922" s="184">
      <c r="C2922" s="761" t="n"/>
    </row>
    <row r="2923" s="184">
      <c r="C2923" s="761" t="n"/>
    </row>
    <row r="2924" s="184">
      <c r="C2924" s="761" t="n"/>
    </row>
    <row r="2925" s="184">
      <c r="C2925" s="761" t="n"/>
    </row>
    <row r="2926" s="184">
      <c r="C2926" s="761" t="n"/>
    </row>
    <row r="2927" s="184">
      <c r="C2927" s="761" t="n"/>
    </row>
    <row r="2928" s="184">
      <c r="C2928" s="761" t="n"/>
    </row>
    <row r="2929" s="184">
      <c r="C2929" s="761" t="n"/>
    </row>
    <row r="2930" s="184">
      <c r="C2930" s="761" t="n"/>
    </row>
    <row r="2931" s="184">
      <c r="C2931" s="761" t="n"/>
    </row>
    <row r="2932" s="184">
      <c r="C2932" s="761" t="n"/>
    </row>
    <row r="2933" s="184">
      <c r="C2933" s="761" t="n"/>
    </row>
    <row r="2934" s="184">
      <c r="C2934" s="761" t="n"/>
    </row>
    <row r="2935" s="184">
      <c r="C2935" s="761" t="n"/>
    </row>
    <row r="2936" s="184">
      <c r="C2936" s="761" t="n"/>
    </row>
    <row r="2937" s="184">
      <c r="C2937" s="761" t="n"/>
    </row>
    <row r="2938" s="184">
      <c r="C2938" s="761" t="n"/>
    </row>
    <row r="2939" s="184">
      <c r="C2939" s="761" t="n"/>
    </row>
    <row r="2940" s="184">
      <c r="C2940" s="761" t="n"/>
    </row>
    <row r="2941" s="184">
      <c r="C2941" s="761" t="n"/>
    </row>
    <row r="2942" s="184">
      <c r="C2942" s="761" t="n"/>
    </row>
    <row r="2943" s="184">
      <c r="C2943" s="761" t="n"/>
    </row>
    <row r="2944" s="184">
      <c r="C2944" s="761" t="n"/>
    </row>
    <row r="2945" s="184">
      <c r="C2945" s="761" t="n"/>
    </row>
    <row r="2946" s="184">
      <c r="C2946" s="761" t="n"/>
    </row>
    <row r="2947" s="184">
      <c r="C2947" s="761" t="n"/>
    </row>
    <row r="2948" s="184">
      <c r="C2948" s="761" t="n"/>
    </row>
    <row r="2949" s="184">
      <c r="C2949" s="761" t="n"/>
    </row>
    <row r="2950" s="184">
      <c r="C2950" s="761" t="n"/>
    </row>
    <row r="2951" s="184">
      <c r="C2951" s="761" t="n"/>
    </row>
    <row r="2952" s="184">
      <c r="C2952" s="761" t="n"/>
    </row>
    <row r="2953" s="184">
      <c r="C2953" s="761" t="n"/>
    </row>
    <row r="2954" s="184">
      <c r="C2954" s="761" t="n"/>
    </row>
    <row r="2955" s="184">
      <c r="C2955" s="761" t="n"/>
    </row>
    <row r="2956" s="184">
      <c r="C2956" s="761" t="n"/>
    </row>
    <row r="2957" s="184">
      <c r="C2957" s="761" t="n"/>
    </row>
    <row r="2958" s="184">
      <c r="C2958" s="761" t="n"/>
    </row>
    <row r="2959" s="184">
      <c r="C2959" s="761" t="n"/>
    </row>
    <row r="2960" s="184">
      <c r="C2960" s="761" t="n"/>
    </row>
    <row r="2961" s="184">
      <c r="C2961" s="761" t="n"/>
    </row>
    <row r="2962" s="184">
      <c r="C2962" s="761" t="n"/>
    </row>
    <row r="2963" s="184">
      <c r="C2963" s="761" t="n"/>
    </row>
    <row r="2964" s="184">
      <c r="C2964" s="761" t="n"/>
    </row>
    <row r="2965" s="184">
      <c r="C2965" s="761" t="n"/>
    </row>
    <row r="2966" s="184">
      <c r="C2966" s="761" t="n"/>
    </row>
    <row r="2967" s="184">
      <c r="C2967" s="761" t="n"/>
    </row>
    <row r="2968" s="184">
      <c r="C2968" s="761" t="n"/>
    </row>
    <row r="2969" s="184">
      <c r="C2969" s="761" t="n"/>
    </row>
    <row r="2970" s="184">
      <c r="C2970" s="761" t="n"/>
    </row>
    <row r="2971" s="184">
      <c r="C2971" s="761" t="n"/>
    </row>
    <row r="2972" s="184">
      <c r="C2972" s="761" t="n"/>
    </row>
    <row r="2973" s="184">
      <c r="C2973" s="761" t="n"/>
    </row>
    <row r="2974" s="184">
      <c r="C2974" s="761" t="n"/>
    </row>
    <row r="2975" s="184">
      <c r="C2975" s="761" t="n"/>
    </row>
    <row r="2976" s="184">
      <c r="C2976" s="761" t="n"/>
    </row>
    <row r="2977" s="184">
      <c r="C2977" s="761" t="n"/>
    </row>
    <row r="2978" s="184">
      <c r="C2978" s="761" t="n"/>
    </row>
    <row r="2979" s="184">
      <c r="C2979" s="761" t="n"/>
    </row>
    <row r="2980" s="184">
      <c r="C2980" s="761" t="n"/>
    </row>
    <row r="2981" s="184">
      <c r="C2981" s="761" t="n"/>
    </row>
    <row r="2982" s="184">
      <c r="C2982" s="761" t="n"/>
    </row>
    <row r="2983" s="184">
      <c r="C2983" s="761" t="n"/>
    </row>
    <row r="2984" s="184">
      <c r="C2984" s="761" t="n"/>
    </row>
    <row r="2985" s="184">
      <c r="C2985" s="761" t="n"/>
    </row>
    <row r="2986" s="184">
      <c r="C2986" s="761" t="n"/>
    </row>
    <row r="2987" s="184">
      <c r="C2987" s="761" t="n"/>
    </row>
    <row r="2988" s="184">
      <c r="C2988" s="761" t="n"/>
    </row>
    <row r="2989" s="184">
      <c r="C2989" s="761" t="n"/>
    </row>
    <row r="2990" s="184">
      <c r="C2990" s="761" t="n"/>
    </row>
    <row r="2991" s="184">
      <c r="C2991" s="761" t="n"/>
    </row>
    <row r="2992" s="184">
      <c r="C2992" s="761" t="n"/>
    </row>
    <row r="2993" s="184">
      <c r="C2993" s="761" t="n"/>
    </row>
    <row r="2994" s="184">
      <c r="C2994" s="761" t="n"/>
    </row>
    <row r="2995" s="184">
      <c r="C2995" s="761" t="n"/>
    </row>
    <row r="2996" s="184">
      <c r="C2996" s="761" t="n"/>
    </row>
    <row r="2997" s="184">
      <c r="C2997" s="761" t="n"/>
    </row>
    <row r="2998" s="184">
      <c r="C2998" s="761" t="n"/>
    </row>
    <row r="2999" s="184">
      <c r="C2999" s="761" t="n"/>
    </row>
    <row r="3000" s="184">
      <c r="C3000" s="761" t="n"/>
    </row>
    <row r="3001" s="184">
      <c r="C3001" s="761" t="n"/>
    </row>
    <row r="3002" s="184">
      <c r="C3002" s="761" t="n"/>
    </row>
    <row r="3003" s="184">
      <c r="C3003" s="761" t="n"/>
    </row>
    <row r="3004" s="184">
      <c r="C3004" s="761" t="n"/>
    </row>
    <row r="3005" s="184">
      <c r="C3005" s="761" t="n"/>
    </row>
    <row r="3006" s="184">
      <c r="C3006" s="761" t="n"/>
    </row>
    <row r="3007" s="184">
      <c r="C3007" s="761" t="n"/>
    </row>
    <row r="3008" s="184">
      <c r="C3008" s="761" t="n"/>
    </row>
    <row r="3009" s="184">
      <c r="C3009" s="761" t="n"/>
    </row>
    <row r="3010" s="184">
      <c r="C3010" s="761" t="n"/>
    </row>
    <row r="3011" s="184">
      <c r="C3011" s="761" t="n"/>
    </row>
    <row r="3012" s="184">
      <c r="C3012" s="761" t="n"/>
    </row>
    <row r="3013" s="184">
      <c r="C3013" s="761" t="n"/>
    </row>
    <row r="3014" s="184">
      <c r="C3014" s="761" t="n"/>
    </row>
    <row r="3015" s="184">
      <c r="C3015" s="761" t="n"/>
    </row>
    <row r="3016" s="184">
      <c r="C3016" s="761" t="n"/>
    </row>
    <row r="3017" s="184">
      <c r="C3017" s="761" t="n"/>
    </row>
    <row r="3018" s="184">
      <c r="C3018" s="761" t="n"/>
    </row>
    <row r="3019" s="184">
      <c r="C3019" s="761" t="n"/>
    </row>
    <row r="3020" s="184">
      <c r="C3020" s="761" t="n"/>
    </row>
    <row r="3021" s="184">
      <c r="C3021" s="761" t="n"/>
    </row>
    <row r="3022" s="184">
      <c r="C3022" s="761" t="n"/>
    </row>
    <row r="3023" s="184">
      <c r="C3023" s="761" t="n"/>
    </row>
    <row r="3024" s="184">
      <c r="C3024" s="761" t="n"/>
    </row>
    <row r="3025" s="184">
      <c r="C3025" s="761" t="n"/>
    </row>
    <row r="3026" s="184">
      <c r="C3026" s="761" t="n"/>
    </row>
    <row r="3027" s="184">
      <c r="C3027" s="761" t="n"/>
    </row>
    <row r="3028" s="184">
      <c r="C3028" s="761" t="n"/>
    </row>
    <row r="3029" s="184">
      <c r="C3029" s="761" t="n"/>
    </row>
    <row r="3030" s="184">
      <c r="C3030" s="761" t="n"/>
    </row>
    <row r="3031" s="184">
      <c r="C3031" s="761" t="n"/>
    </row>
    <row r="3032" s="184">
      <c r="C3032" s="761" t="n"/>
    </row>
    <row r="3033" s="184">
      <c r="C3033" s="761" t="n"/>
    </row>
    <row r="3034" s="184">
      <c r="C3034" s="761" t="n"/>
    </row>
    <row r="3035" s="184">
      <c r="C3035" s="761" t="n"/>
    </row>
    <row r="3036" s="184">
      <c r="C3036" s="761" t="n"/>
    </row>
    <row r="3037" s="184">
      <c r="C3037" s="761" t="n"/>
    </row>
    <row r="3038" s="184">
      <c r="C3038" s="761" t="n"/>
    </row>
    <row r="3039" s="184">
      <c r="C3039" s="761" t="n"/>
    </row>
    <row r="3040" s="184">
      <c r="C3040" s="761" t="n"/>
    </row>
    <row r="3041" s="184">
      <c r="C3041" s="761" t="n"/>
    </row>
    <row r="3042" s="184">
      <c r="C3042" s="761" t="n"/>
    </row>
    <row r="3043" s="184">
      <c r="C3043" s="761" t="n"/>
    </row>
    <row r="3044" s="184">
      <c r="C3044" s="761" t="n"/>
    </row>
    <row r="3045" s="184">
      <c r="C3045" s="761" t="n"/>
    </row>
    <row r="3046" s="184">
      <c r="C3046" s="761" t="n"/>
    </row>
    <row r="3047" s="184">
      <c r="C3047" s="761" t="n"/>
    </row>
    <row r="3048" s="184">
      <c r="C3048" s="761" t="n"/>
    </row>
    <row r="3049" s="184">
      <c r="C3049" s="761" t="n"/>
    </row>
    <row r="3050" s="184">
      <c r="C3050" s="761" t="n"/>
    </row>
    <row r="3051" s="184">
      <c r="C3051" s="761" t="n"/>
    </row>
    <row r="3052" s="184">
      <c r="C3052" s="761" t="n"/>
    </row>
    <row r="3053" s="184">
      <c r="C3053" s="761" t="n"/>
    </row>
    <row r="3054" s="184">
      <c r="C3054" s="761" t="n"/>
    </row>
    <row r="3055" s="184">
      <c r="C3055" s="761" t="n"/>
    </row>
    <row r="3056" s="184">
      <c r="C3056" s="761" t="n"/>
    </row>
    <row r="3057" s="184">
      <c r="C3057" s="761" t="n"/>
    </row>
    <row r="3058" s="184">
      <c r="C3058" s="761" t="n"/>
    </row>
    <row r="3059" s="184">
      <c r="C3059" s="761" t="n"/>
    </row>
    <row r="3060" s="184">
      <c r="C3060" s="761" t="n"/>
    </row>
    <row r="3061" s="184">
      <c r="C3061" s="761" t="n"/>
    </row>
    <row r="3062" s="184">
      <c r="C3062" s="761" t="n"/>
    </row>
    <row r="3063" s="184">
      <c r="C3063" s="761" t="n"/>
    </row>
    <row r="3064" s="184">
      <c r="C3064" s="761" t="n"/>
    </row>
    <row r="3065" s="184">
      <c r="C3065" s="761" t="n"/>
    </row>
    <row r="3066" s="184">
      <c r="C3066" s="761" t="n"/>
    </row>
    <row r="3067" s="184">
      <c r="C3067" s="761" t="n"/>
    </row>
    <row r="3068" s="184">
      <c r="C3068" s="761" t="n"/>
    </row>
    <row r="3069" s="184">
      <c r="C3069" s="761" t="n"/>
    </row>
    <row r="3070" s="184">
      <c r="C3070" s="761" t="n"/>
    </row>
    <row r="3071" s="184">
      <c r="C3071" s="761" t="n"/>
    </row>
    <row r="3072" s="184">
      <c r="C3072" s="761" t="n"/>
    </row>
    <row r="3073" s="184">
      <c r="C3073" s="761" t="n"/>
    </row>
    <row r="3074" s="184">
      <c r="C3074" s="761" t="n"/>
    </row>
    <row r="3075" s="184">
      <c r="C3075" s="761" t="n"/>
    </row>
    <row r="3076" s="184">
      <c r="C3076" s="761" t="n"/>
    </row>
    <row r="3077" s="184">
      <c r="C3077" s="761" t="n"/>
    </row>
    <row r="3078" s="184">
      <c r="C3078" s="761" t="n"/>
    </row>
    <row r="3079" s="184">
      <c r="C3079" s="761" t="n"/>
    </row>
    <row r="3080" s="184">
      <c r="C3080" s="761" t="n"/>
    </row>
    <row r="3081" s="184">
      <c r="C3081" s="761" t="n"/>
    </row>
    <row r="3082" s="184">
      <c r="C3082" s="761" t="n"/>
    </row>
    <row r="3083" s="184">
      <c r="C3083" s="761" t="n"/>
    </row>
    <row r="3084" s="184">
      <c r="C3084" s="761" t="n"/>
    </row>
    <row r="3085" s="184">
      <c r="C3085" s="761" t="n"/>
    </row>
    <row r="3086" s="184">
      <c r="C3086" s="761" t="n"/>
    </row>
    <row r="3087" s="184">
      <c r="C3087" s="761" t="n"/>
    </row>
    <row r="3088" s="184">
      <c r="C3088" s="761" t="n"/>
    </row>
    <row r="3089" s="184">
      <c r="C3089" s="761" t="n"/>
    </row>
    <row r="3090" s="184">
      <c r="C3090" s="761" t="n"/>
    </row>
    <row r="3091" s="184">
      <c r="C3091" s="761" t="n"/>
    </row>
    <row r="3092" s="184">
      <c r="C3092" s="761" t="n"/>
    </row>
    <row r="3093" s="184">
      <c r="C3093" s="761" t="n"/>
    </row>
    <row r="3094" s="184">
      <c r="C3094" s="761" t="n"/>
    </row>
    <row r="3095" s="184">
      <c r="C3095" s="761" t="n"/>
    </row>
    <row r="3096" s="184">
      <c r="C3096" s="761" t="n"/>
    </row>
    <row r="3097" s="184">
      <c r="C3097" s="761" t="n"/>
    </row>
    <row r="3098" s="184">
      <c r="C3098" s="761" t="n"/>
    </row>
    <row r="3099" s="184">
      <c r="C3099" s="761" t="n"/>
    </row>
    <row r="3100" s="184">
      <c r="C3100" s="761" t="n"/>
    </row>
    <row r="3101" s="184">
      <c r="C3101" s="761" t="n"/>
    </row>
    <row r="3102" s="184">
      <c r="C3102" s="761" t="n"/>
    </row>
    <row r="3103" s="184">
      <c r="C3103" s="761" t="n"/>
    </row>
    <row r="3104" s="184">
      <c r="C3104" s="761" t="n"/>
    </row>
    <row r="3105" s="184">
      <c r="C3105" s="761" t="n"/>
    </row>
    <row r="3106" s="184">
      <c r="C3106" s="761" t="n"/>
    </row>
    <row r="3107" s="184">
      <c r="C3107" s="761" t="n"/>
    </row>
    <row r="3108" s="184">
      <c r="C3108" s="761" t="n"/>
    </row>
    <row r="3109" s="184">
      <c r="C3109" s="761" t="n"/>
    </row>
    <row r="3110" s="184">
      <c r="C3110" s="761" t="n"/>
    </row>
    <row r="3111" s="184">
      <c r="C3111" s="761" t="n"/>
    </row>
    <row r="3112" s="184">
      <c r="C3112" s="761" t="n"/>
    </row>
    <row r="3113" s="184">
      <c r="C3113" s="761" t="n"/>
    </row>
    <row r="3114" s="184">
      <c r="C3114" s="761" t="n"/>
    </row>
    <row r="3115" s="184">
      <c r="C3115" s="761" t="n"/>
    </row>
    <row r="3116" s="184">
      <c r="C3116" s="761" t="n"/>
    </row>
    <row r="3117" s="184">
      <c r="C3117" s="761" t="n"/>
    </row>
    <row r="3118" s="184">
      <c r="C3118" s="761" t="n"/>
    </row>
    <row r="3119" s="184">
      <c r="C3119" s="761" t="n"/>
    </row>
    <row r="3120" s="184">
      <c r="C3120" s="761" t="n"/>
    </row>
    <row r="3121" s="184">
      <c r="C3121" s="761" t="n"/>
    </row>
    <row r="3122" s="184">
      <c r="C3122" s="761" t="n"/>
    </row>
    <row r="3123" s="184">
      <c r="C3123" s="761" t="n"/>
    </row>
    <row r="3124" s="184">
      <c r="C3124" s="761" t="n"/>
    </row>
    <row r="3125" s="184">
      <c r="C3125" s="761" t="n"/>
    </row>
    <row r="3126" s="184">
      <c r="C3126" s="761" t="n"/>
    </row>
    <row r="3127" s="184">
      <c r="C3127" s="761" t="n"/>
    </row>
    <row r="3128" s="184">
      <c r="C3128" s="761" t="n"/>
    </row>
    <row r="3129" s="184">
      <c r="C3129" s="761" t="n"/>
    </row>
    <row r="3130" s="184">
      <c r="C3130" s="761" t="n"/>
    </row>
    <row r="3131" s="184">
      <c r="C3131" s="761" t="n"/>
    </row>
    <row r="3132" s="184">
      <c r="C3132" s="761" t="n"/>
    </row>
    <row r="3133" s="184">
      <c r="C3133" s="761" t="n"/>
    </row>
    <row r="3134" s="184">
      <c r="C3134" s="761" t="n"/>
    </row>
    <row r="3135" s="184">
      <c r="C3135" s="761" t="n"/>
    </row>
    <row r="3136" s="184">
      <c r="C3136" s="761" t="n"/>
    </row>
    <row r="3137" s="184">
      <c r="C3137" s="761" t="n"/>
    </row>
    <row r="3138" s="184">
      <c r="C3138" s="761" t="n"/>
    </row>
    <row r="3139" s="184">
      <c r="C3139" s="761" t="n"/>
    </row>
    <row r="3140" s="184">
      <c r="C3140" s="761" t="n"/>
    </row>
    <row r="3141" s="184">
      <c r="C3141" s="761" t="n"/>
    </row>
    <row r="3142" s="184">
      <c r="C3142" s="761" t="n"/>
    </row>
    <row r="3143" s="184">
      <c r="C3143" s="761" t="n"/>
    </row>
    <row r="3144" s="184">
      <c r="C3144" s="761" t="n"/>
    </row>
    <row r="3145" s="184">
      <c r="C3145" s="761" t="n"/>
    </row>
    <row r="3146" s="184">
      <c r="C3146" s="761" t="n"/>
    </row>
    <row r="3147" s="184">
      <c r="C3147" s="761" t="n"/>
    </row>
    <row r="3148" s="184">
      <c r="C3148" s="761" t="n"/>
    </row>
    <row r="3149" s="184">
      <c r="C3149" s="761" t="n"/>
    </row>
    <row r="3150" s="184">
      <c r="C3150" s="761" t="n"/>
    </row>
    <row r="3151" s="184">
      <c r="C3151" s="761" t="n"/>
    </row>
    <row r="3152" s="184">
      <c r="C3152" s="761" t="n"/>
    </row>
    <row r="3153" s="184">
      <c r="C3153" s="761" t="n"/>
    </row>
    <row r="3154" s="184">
      <c r="C3154" s="761" t="n"/>
    </row>
    <row r="3155" s="184">
      <c r="C3155" s="761" t="n"/>
    </row>
    <row r="3156" s="184">
      <c r="C3156" s="761" t="n"/>
    </row>
    <row r="3157" s="184">
      <c r="C3157" s="761" t="n"/>
    </row>
    <row r="3158" s="184">
      <c r="C3158" s="761" t="n"/>
    </row>
    <row r="3159" s="184">
      <c r="C3159" s="761" t="n"/>
    </row>
    <row r="3160" s="184">
      <c r="C3160" s="761" t="n"/>
    </row>
    <row r="3161" s="184">
      <c r="C3161" s="761" t="n"/>
    </row>
    <row r="3162" s="184">
      <c r="C3162" s="761" t="n"/>
    </row>
    <row r="3163" s="184">
      <c r="C3163" s="761" t="n"/>
    </row>
    <row r="3164" s="184">
      <c r="C3164" s="761" t="n"/>
    </row>
    <row r="3165" s="184">
      <c r="C3165" s="761" t="n"/>
    </row>
    <row r="3166" s="184">
      <c r="C3166" s="761" t="n"/>
    </row>
    <row r="3167" s="184">
      <c r="C3167" s="761" t="n"/>
    </row>
    <row r="3168" s="184">
      <c r="C3168" s="761" t="n"/>
    </row>
    <row r="3169" s="184">
      <c r="C3169" s="761" t="n"/>
    </row>
    <row r="3170" s="184">
      <c r="C3170" s="761" t="n"/>
    </row>
    <row r="3171" s="184">
      <c r="C3171" s="761" t="n"/>
    </row>
    <row r="3172" s="184">
      <c r="C3172" s="761" t="n"/>
    </row>
    <row r="3173" s="184">
      <c r="C3173" s="761" t="n"/>
    </row>
    <row r="3174" s="184">
      <c r="C3174" s="761" t="n"/>
    </row>
    <row r="3175" s="184">
      <c r="C3175" s="761" t="n"/>
    </row>
    <row r="3176" s="184">
      <c r="C3176" s="761" t="n"/>
    </row>
    <row r="3177" s="184">
      <c r="C3177" s="761" t="n"/>
    </row>
    <row r="3178" s="184">
      <c r="C3178" s="761" t="n"/>
    </row>
    <row r="3179" s="184">
      <c r="C3179" s="761" t="n"/>
    </row>
    <row r="3180" s="184">
      <c r="C3180" s="761" t="n"/>
    </row>
    <row r="3181" s="184">
      <c r="C3181" s="761" t="n"/>
    </row>
    <row r="3182" s="184">
      <c r="C3182" s="761" t="n"/>
    </row>
    <row r="3183" s="184">
      <c r="C3183" s="761" t="n"/>
    </row>
    <row r="3184" s="184">
      <c r="C3184" s="761" t="n"/>
    </row>
    <row r="3185" s="184">
      <c r="C3185" s="761" t="n"/>
    </row>
    <row r="3186" s="184">
      <c r="C3186" s="761" t="n"/>
    </row>
    <row r="3187" s="184">
      <c r="C3187" s="761" t="n"/>
    </row>
    <row r="3188" s="184">
      <c r="C3188" s="761" t="n"/>
    </row>
    <row r="3189" s="184">
      <c r="C3189" s="761" t="n"/>
    </row>
    <row r="3190" s="184">
      <c r="C3190" s="761" t="n"/>
    </row>
    <row r="3191" s="184">
      <c r="C3191" s="761" t="n"/>
    </row>
    <row r="3192" s="184">
      <c r="C3192" s="761" t="n"/>
    </row>
    <row r="3193" s="184">
      <c r="C3193" s="761" t="n"/>
    </row>
    <row r="3194" s="184">
      <c r="C3194" s="761" t="n"/>
    </row>
    <row r="3195" s="184">
      <c r="C3195" s="761" t="n"/>
    </row>
    <row r="3196" s="184">
      <c r="C3196" s="761" t="n"/>
    </row>
    <row r="3197" s="184">
      <c r="C3197" s="761" t="n"/>
    </row>
    <row r="3198" s="184">
      <c r="C3198" s="761" t="n"/>
    </row>
    <row r="3199" s="184">
      <c r="C3199" s="761" t="n"/>
    </row>
    <row r="3200" s="184">
      <c r="C3200" s="761" t="n"/>
    </row>
    <row r="3201" s="184">
      <c r="C3201" s="761" t="n"/>
    </row>
    <row r="3202" s="184">
      <c r="C3202" s="761" t="n"/>
    </row>
    <row r="3203" s="184">
      <c r="C3203" s="761" t="n"/>
    </row>
    <row r="3204" s="184">
      <c r="C3204" s="761" t="n"/>
    </row>
    <row r="3205" s="184">
      <c r="C3205" s="761" t="n"/>
    </row>
    <row r="3206" s="184">
      <c r="C3206" s="761" t="n"/>
    </row>
    <row r="3207" s="184">
      <c r="C3207" s="761" t="n"/>
    </row>
    <row r="3208" s="184">
      <c r="C3208" s="761" t="n"/>
    </row>
    <row r="3209" s="184">
      <c r="C3209" s="761" t="n"/>
    </row>
    <row r="3210" s="184">
      <c r="C3210" s="761" t="n"/>
    </row>
    <row r="3211" s="184">
      <c r="C3211" s="761" t="n"/>
    </row>
    <row r="3212" s="184">
      <c r="C3212" s="761" t="n"/>
    </row>
    <row r="3213" s="184">
      <c r="C3213" s="761" t="n"/>
    </row>
    <row r="3214" s="184">
      <c r="C3214" s="761" t="n"/>
    </row>
    <row r="3215" s="184">
      <c r="C3215" s="761" t="n"/>
    </row>
    <row r="3216" s="184">
      <c r="C3216" s="761" t="n"/>
    </row>
    <row r="3217" s="184">
      <c r="C3217" s="761" t="n"/>
    </row>
    <row r="3218" s="184">
      <c r="C3218" s="761" t="n"/>
    </row>
    <row r="3219" s="184">
      <c r="C3219" s="761" t="n"/>
    </row>
    <row r="3220" s="184">
      <c r="C3220" s="761" t="n"/>
    </row>
    <row r="3221" s="184">
      <c r="C3221" s="761" t="n"/>
    </row>
    <row r="3222" s="184">
      <c r="C3222" s="761" t="n"/>
    </row>
    <row r="3223" s="184">
      <c r="C3223" s="761" t="n"/>
    </row>
    <row r="3224" s="184">
      <c r="C3224" s="761" t="n"/>
    </row>
    <row r="3225" s="184">
      <c r="C3225" s="761" t="n"/>
    </row>
    <row r="3226" s="184">
      <c r="C3226" s="761" t="n"/>
    </row>
    <row r="3227" s="184">
      <c r="C3227" s="761" t="n"/>
    </row>
    <row r="3228" s="184">
      <c r="C3228" s="761" t="n"/>
    </row>
    <row r="3229" s="184">
      <c r="C3229" s="761" t="n"/>
    </row>
    <row r="3230" s="184">
      <c r="C3230" s="761" t="n"/>
    </row>
    <row r="3231" s="184">
      <c r="C3231" s="761" t="n"/>
    </row>
    <row r="3232" s="184">
      <c r="C3232" s="761" t="n"/>
    </row>
    <row r="3233" s="184">
      <c r="C3233" s="761" t="n"/>
    </row>
    <row r="3234" s="184">
      <c r="C3234" s="761" t="n"/>
    </row>
    <row r="3235" s="184">
      <c r="C3235" s="761" t="n"/>
    </row>
    <row r="3236" s="184">
      <c r="C3236" s="761" t="n"/>
    </row>
    <row r="3237" s="184">
      <c r="C3237" s="761" t="n"/>
    </row>
    <row r="3238" s="184">
      <c r="C3238" s="761" t="n"/>
    </row>
    <row r="3239" s="184">
      <c r="C3239" s="761" t="n"/>
    </row>
    <row r="3240" s="184">
      <c r="C3240" s="761" t="n"/>
    </row>
    <row r="3241" s="184">
      <c r="C3241" s="761" t="n"/>
    </row>
    <row r="3242" s="184">
      <c r="C3242" s="761" t="n"/>
    </row>
    <row r="3243" s="184">
      <c r="C3243" s="761" t="n"/>
    </row>
    <row r="3244" s="184">
      <c r="C3244" s="761" t="n"/>
    </row>
    <row r="3245" s="184">
      <c r="C3245" s="761" t="n"/>
    </row>
    <row r="3246" s="184">
      <c r="C3246" s="761" t="n"/>
    </row>
    <row r="3247" s="184">
      <c r="C3247" s="761" t="n"/>
    </row>
    <row r="3248" s="184">
      <c r="C3248" s="761" t="n"/>
    </row>
    <row r="3249" s="184">
      <c r="C3249" s="761" t="n"/>
    </row>
    <row r="3250" s="184">
      <c r="C3250" s="761" t="n"/>
    </row>
    <row r="3251" s="184">
      <c r="C3251" s="761" t="n"/>
    </row>
    <row r="3252" s="184">
      <c r="C3252" s="761" t="n"/>
    </row>
    <row r="3253" s="184">
      <c r="C3253" s="761" t="n"/>
    </row>
    <row r="3254" s="184">
      <c r="C3254" s="761" t="n"/>
    </row>
    <row r="3255" s="184">
      <c r="C3255" s="761" t="n"/>
    </row>
    <row r="3256" s="184">
      <c r="C3256" s="761" t="n"/>
    </row>
    <row r="3257" s="184">
      <c r="C3257" s="761" t="n"/>
    </row>
    <row r="3258" s="184">
      <c r="C3258" s="761" t="n"/>
    </row>
    <row r="3259" s="184">
      <c r="C3259" s="761" t="n"/>
    </row>
    <row r="3260" s="184">
      <c r="C3260" s="761" t="n"/>
    </row>
    <row r="3261" s="184">
      <c r="C3261" s="761" t="n"/>
    </row>
    <row r="3262" s="184">
      <c r="C3262" s="761" t="n"/>
    </row>
    <row r="3263" s="184">
      <c r="C3263" s="761" t="n"/>
    </row>
    <row r="3264" s="184">
      <c r="C3264" s="761" t="n"/>
    </row>
    <row r="3265" s="184">
      <c r="C3265" s="761" t="n"/>
    </row>
    <row r="3266" s="184">
      <c r="C3266" s="761" t="n"/>
    </row>
    <row r="3267" s="184">
      <c r="C3267" s="761" t="n"/>
    </row>
    <row r="3268" s="184">
      <c r="C3268" s="761" t="n"/>
    </row>
    <row r="3269" s="184">
      <c r="C3269" s="761" t="n"/>
    </row>
    <row r="3270" s="184">
      <c r="C3270" s="761" t="n"/>
    </row>
    <row r="3271" s="184">
      <c r="C3271" s="761" t="n"/>
    </row>
    <row r="3272" s="184">
      <c r="C3272" s="761" t="n"/>
    </row>
    <row r="3273" s="184">
      <c r="C3273" s="761" t="n"/>
    </row>
    <row r="3274" s="184">
      <c r="C3274" s="761" t="n"/>
    </row>
    <row r="3275" s="184">
      <c r="C3275" s="761" t="n"/>
    </row>
    <row r="3276" s="184">
      <c r="C3276" s="761" t="n"/>
    </row>
    <row r="3277" s="184">
      <c r="C3277" s="761" t="n"/>
    </row>
    <row r="3278" s="184">
      <c r="C3278" s="761" t="n"/>
    </row>
    <row r="3279" s="184">
      <c r="C3279" s="761" t="n"/>
    </row>
    <row r="3280" s="184">
      <c r="C3280" s="761" t="n"/>
    </row>
    <row r="3281" s="184">
      <c r="C3281" s="761" t="n"/>
    </row>
    <row r="3282" s="184">
      <c r="C3282" s="761" t="n"/>
    </row>
    <row r="3283" s="184">
      <c r="C3283" s="761" t="n"/>
    </row>
    <row r="3284" s="184">
      <c r="C3284" s="761" t="n"/>
    </row>
    <row r="3285" s="184">
      <c r="C3285" s="761" t="n"/>
    </row>
    <row r="3286" s="184">
      <c r="C3286" s="761" t="n"/>
    </row>
    <row r="3287" s="184">
      <c r="C3287" s="761" t="n"/>
    </row>
    <row r="3288" s="184">
      <c r="C3288" s="761" t="n"/>
    </row>
    <row r="3289" s="184">
      <c r="C3289" s="761" t="n"/>
    </row>
    <row r="3290" s="184">
      <c r="C3290" s="761" t="n"/>
    </row>
    <row r="3291" s="184">
      <c r="C3291" s="761" t="n"/>
    </row>
    <row r="3292" s="184">
      <c r="C3292" s="761" t="n"/>
    </row>
    <row r="3293" s="184">
      <c r="C3293" s="761" t="n"/>
    </row>
    <row r="3294" s="184">
      <c r="C3294" s="761" t="n"/>
    </row>
    <row r="3295" s="184">
      <c r="C3295" s="761" t="n"/>
    </row>
    <row r="3296" s="184">
      <c r="C3296" s="761" t="n"/>
    </row>
    <row r="3297" s="184">
      <c r="C3297" s="761" t="n"/>
    </row>
    <row r="3298" s="184">
      <c r="C3298" s="761" t="n"/>
    </row>
    <row r="3299" s="184">
      <c r="C3299" s="761" t="n"/>
    </row>
    <row r="3300" s="184">
      <c r="C3300" s="761" t="n"/>
    </row>
    <row r="3301" s="184">
      <c r="C3301" s="761" t="n"/>
    </row>
    <row r="3302" s="184">
      <c r="C3302" s="761" t="n"/>
    </row>
    <row r="3303" s="184">
      <c r="C3303" s="761" t="n"/>
    </row>
    <row r="3304" s="184">
      <c r="C3304" s="761" t="n"/>
    </row>
    <row r="3305" s="184">
      <c r="C3305" s="761" t="n"/>
    </row>
    <row r="3306" s="184">
      <c r="C3306" s="761" t="n"/>
    </row>
    <row r="3307" s="184">
      <c r="C3307" s="761" t="n"/>
    </row>
    <row r="3308" s="184">
      <c r="C3308" s="761" t="n"/>
    </row>
    <row r="3309" s="184">
      <c r="C3309" s="761" t="n"/>
    </row>
    <row r="3310" s="184">
      <c r="C3310" s="761" t="n"/>
    </row>
    <row r="3311" s="184">
      <c r="C3311" s="761" t="n"/>
    </row>
    <row r="3312" s="184">
      <c r="C3312" s="761" t="n"/>
    </row>
    <row r="3313" s="184">
      <c r="C3313" s="761" t="n"/>
    </row>
    <row r="3314" s="184">
      <c r="C3314" s="761" t="n"/>
    </row>
    <row r="3315" s="184">
      <c r="C3315" s="761" t="n"/>
    </row>
    <row r="3316" s="184">
      <c r="C3316" s="761" t="n"/>
    </row>
    <row r="3317" s="184">
      <c r="C3317" s="761" t="n"/>
    </row>
    <row r="3318" s="184">
      <c r="C3318" s="761" t="n"/>
    </row>
    <row r="3319" s="184">
      <c r="C3319" s="761" t="n"/>
    </row>
    <row r="3320" s="184">
      <c r="C3320" s="761" t="n"/>
    </row>
    <row r="3321" s="184">
      <c r="C3321" s="761" t="n"/>
    </row>
    <row r="3322" s="184">
      <c r="C3322" s="761" t="n"/>
    </row>
    <row r="3323" s="184">
      <c r="C3323" s="761" t="n"/>
    </row>
    <row r="3324" s="184">
      <c r="C3324" s="761" t="n"/>
    </row>
    <row r="3325" s="184">
      <c r="C3325" s="761" t="n"/>
    </row>
    <row r="3326" s="184">
      <c r="C3326" s="761" t="n"/>
    </row>
    <row r="3327" s="184">
      <c r="C3327" s="761" t="n"/>
    </row>
    <row r="3328" s="184">
      <c r="C3328" s="761" t="n"/>
    </row>
    <row r="3329" s="184">
      <c r="C3329" s="761" t="n"/>
    </row>
    <row r="3330" s="184">
      <c r="C3330" s="761" t="n"/>
    </row>
    <row r="3331" s="184">
      <c r="C3331" s="761" t="n"/>
    </row>
    <row r="3332" s="184">
      <c r="C3332" s="761" t="n"/>
    </row>
    <row r="3333" s="184">
      <c r="C3333" s="761" t="n"/>
    </row>
    <row r="3334" s="184">
      <c r="C3334" s="761" t="n"/>
    </row>
    <row r="3335" s="184">
      <c r="C3335" s="761" t="n"/>
    </row>
    <row r="3336" s="184">
      <c r="C3336" s="761" t="n"/>
    </row>
    <row r="3337" s="184">
      <c r="C3337" s="761" t="n"/>
    </row>
    <row r="3338" s="184">
      <c r="C3338" s="761" t="n"/>
    </row>
    <row r="3339" s="184">
      <c r="C3339" s="761" t="n"/>
    </row>
    <row r="3340" s="184">
      <c r="C3340" s="761" t="n"/>
    </row>
    <row r="3341" s="184">
      <c r="C3341" s="761" t="n"/>
    </row>
    <row r="3342" s="184">
      <c r="C3342" s="761" t="n"/>
    </row>
    <row r="3343" s="184">
      <c r="C3343" s="761" t="n"/>
    </row>
    <row r="3344" s="184">
      <c r="C3344" s="761" t="n"/>
    </row>
    <row r="3345" s="184">
      <c r="C3345" s="761" t="n"/>
    </row>
    <row r="3346" s="184">
      <c r="C3346" s="761" t="n"/>
    </row>
    <row r="3347" s="184">
      <c r="C3347" s="761" t="n"/>
    </row>
    <row r="3348" s="184">
      <c r="C3348" s="761" t="n"/>
    </row>
    <row r="3349" s="184">
      <c r="C3349" s="761" t="n"/>
    </row>
    <row r="3350" s="184">
      <c r="C3350" s="761" t="n"/>
    </row>
    <row r="3351" s="184">
      <c r="C3351" s="761" t="n"/>
    </row>
    <row r="3352" s="184">
      <c r="C3352" s="761" t="n"/>
    </row>
    <row r="3353" s="184">
      <c r="C3353" s="761" t="n"/>
    </row>
    <row r="3354" s="184">
      <c r="C3354" s="761" t="n"/>
    </row>
    <row r="3355" s="184">
      <c r="C3355" s="761" t="n"/>
    </row>
    <row r="3356" s="184">
      <c r="C3356" s="761" t="n"/>
    </row>
    <row r="3357" s="184">
      <c r="C3357" s="761" t="n"/>
    </row>
    <row r="3358" s="184">
      <c r="C3358" s="761" t="n"/>
    </row>
    <row r="3359" s="184">
      <c r="C3359" s="761" t="n"/>
    </row>
    <row r="3360" s="184">
      <c r="C3360" s="761" t="n"/>
    </row>
    <row r="3361" s="184">
      <c r="C3361" s="761" t="n"/>
    </row>
    <row r="3362" s="184">
      <c r="C3362" s="761" t="n"/>
    </row>
    <row r="3363" s="184">
      <c r="C3363" s="761" t="n"/>
    </row>
    <row r="3364" s="184">
      <c r="C3364" s="761" t="n"/>
    </row>
    <row r="3365" s="184">
      <c r="C3365" s="761" t="n"/>
    </row>
    <row r="3366" s="184">
      <c r="C3366" s="761" t="n"/>
    </row>
    <row r="3367" s="184">
      <c r="C3367" s="761" t="n"/>
    </row>
    <row r="3368" s="184">
      <c r="C3368" s="761" t="n"/>
    </row>
    <row r="3369" s="184">
      <c r="C3369" s="761" t="n"/>
    </row>
    <row r="3370" s="184">
      <c r="C3370" s="761" t="n"/>
    </row>
    <row r="3371" s="184">
      <c r="C3371" s="761" t="n"/>
    </row>
    <row r="3372" s="184">
      <c r="C3372" s="761" t="n"/>
    </row>
    <row r="3373" s="184">
      <c r="C3373" s="761" t="n"/>
    </row>
    <row r="3374" s="184">
      <c r="C3374" s="761" t="n"/>
    </row>
    <row r="3375" s="184">
      <c r="C3375" s="761" t="n"/>
    </row>
    <row r="3376" s="184">
      <c r="C3376" s="761" t="n"/>
    </row>
    <row r="3377" s="184">
      <c r="C3377" s="761" t="n"/>
    </row>
    <row r="3378" s="184">
      <c r="C3378" s="761" t="n"/>
    </row>
    <row r="3379" s="184">
      <c r="C3379" s="761" t="n"/>
    </row>
    <row r="3380" s="184">
      <c r="C3380" s="761" t="n"/>
    </row>
    <row r="3381" s="184">
      <c r="C3381" s="761" t="n"/>
    </row>
    <row r="3382" s="184">
      <c r="C3382" s="761" t="n"/>
    </row>
    <row r="3383" s="184">
      <c r="C3383" s="761" t="n"/>
    </row>
    <row r="3384" s="184">
      <c r="C3384" s="761" t="n"/>
    </row>
    <row r="3385" s="184">
      <c r="C3385" s="761" t="n"/>
    </row>
    <row r="3386" s="184">
      <c r="C3386" s="761" t="n"/>
    </row>
    <row r="3387" s="184">
      <c r="C3387" s="761" t="n"/>
    </row>
    <row r="3388" s="184">
      <c r="C3388" s="761" t="n"/>
    </row>
    <row r="3389" s="184">
      <c r="C3389" s="761" t="n"/>
    </row>
    <row r="3390" s="184">
      <c r="C3390" s="761" t="n"/>
    </row>
    <row r="3391" s="184">
      <c r="C3391" s="761" t="n"/>
    </row>
    <row r="3392" s="184">
      <c r="C3392" s="761" t="n"/>
    </row>
    <row r="3393" s="184">
      <c r="C3393" s="761" t="n"/>
    </row>
    <row r="3394" s="184">
      <c r="C3394" s="761" t="n"/>
    </row>
    <row r="3395" s="184">
      <c r="C3395" s="761" t="n"/>
    </row>
    <row r="3396" s="184">
      <c r="C3396" s="761" t="n"/>
    </row>
    <row r="3397" s="184">
      <c r="C3397" s="761" t="n"/>
    </row>
    <row r="3398" s="184">
      <c r="C3398" s="761" t="n"/>
    </row>
    <row r="3399" s="184">
      <c r="C3399" s="761" t="n"/>
    </row>
    <row r="3400" s="184">
      <c r="C3400" s="761" t="n"/>
    </row>
    <row r="3401" s="184">
      <c r="C3401" s="761" t="n"/>
    </row>
    <row r="3402" s="184">
      <c r="C3402" s="761" t="n"/>
    </row>
    <row r="3403" s="184">
      <c r="C3403" s="761" t="n"/>
    </row>
    <row r="3404" s="184">
      <c r="C3404" s="761" t="n"/>
    </row>
    <row r="3405" s="184">
      <c r="C3405" s="761" t="n"/>
    </row>
    <row r="3406" s="184">
      <c r="C3406" s="761" t="n"/>
    </row>
    <row r="3407" s="184">
      <c r="C3407" s="761" t="n"/>
    </row>
    <row r="3408" s="184">
      <c r="C3408" s="761" t="n"/>
    </row>
    <row r="3409" s="184">
      <c r="C3409" s="761" t="n"/>
    </row>
    <row r="3410" s="184">
      <c r="C3410" s="761" t="n"/>
    </row>
    <row r="3411" s="184">
      <c r="C3411" s="761" t="n"/>
    </row>
    <row r="3412" s="184">
      <c r="C3412" s="761" t="n"/>
    </row>
    <row r="3413" s="184">
      <c r="C3413" s="761" t="n"/>
    </row>
    <row r="3414" s="184">
      <c r="C3414" s="761" t="n"/>
    </row>
    <row r="3415" s="184">
      <c r="C3415" s="761" t="n"/>
    </row>
    <row r="3416" s="184">
      <c r="C3416" s="761" t="n"/>
    </row>
    <row r="3417" s="184">
      <c r="C3417" s="761" t="n"/>
    </row>
    <row r="3418" s="184">
      <c r="C3418" s="761" t="n"/>
    </row>
    <row r="3419" s="184">
      <c r="C3419" s="761" t="n"/>
    </row>
    <row r="3420" s="184">
      <c r="C3420" s="761" t="n"/>
    </row>
    <row r="3421" s="184">
      <c r="C3421" s="761" t="n"/>
    </row>
    <row r="3422" s="184">
      <c r="C3422" s="761" t="n"/>
    </row>
    <row r="3423" s="184">
      <c r="C3423" s="761" t="n"/>
    </row>
    <row r="3424" s="184">
      <c r="C3424" s="761" t="n"/>
    </row>
    <row r="3425" s="184">
      <c r="C3425" s="761" t="n"/>
    </row>
    <row r="3426" s="184">
      <c r="C3426" s="761" t="n"/>
    </row>
    <row r="3427" s="184">
      <c r="C3427" s="761" t="n"/>
    </row>
    <row r="3428" s="184">
      <c r="C3428" s="761" t="n"/>
    </row>
    <row r="3429" s="184">
      <c r="C3429" s="761" t="n"/>
    </row>
    <row r="3430" s="184">
      <c r="C3430" s="761" t="n"/>
    </row>
    <row r="3431" s="184">
      <c r="C3431" s="761" t="n"/>
    </row>
    <row r="3432" s="184">
      <c r="C3432" s="761" t="n"/>
    </row>
    <row r="3433" s="184">
      <c r="C3433" s="761" t="n"/>
    </row>
    <row r="3434" s="184">
      <c r="C3434" s="761" t="n"/>
    </row>
    <row r="3435" s="184">
      <c r="C3435" s="761" t="n"/>
    </row>
    <row r="3436" s="184">
      <c r="C3436" s="761" t="n"/>
    </row>
    <row r="3437" s="184">
      <c r="C3437" s="761" t="n"/>
    </row>
    <row r="3438" s="184">
      <c r="C3438" s="761" t="n"/>
    </row>
    <row r="3439" s="184">
      <c r="C3439" s="761" t="n"/>
    </row>
    <row r="3440" s="184">
      <c r="C3440" s="761" t="n"/>
    </row>
    <row r="3441" s="184">
      <c r="C3441" s="761" t="n"/>
    </row>
    <row r="3442" s="184">
      <c r="C3442" s="761" t="n"/>
    </row>
    <row r="3443" s="184">
      <c r="C3443" s="761" t="n"/>
    </row>
    <row r="3444" s="184">
      <c r="C3444" s="761" t="n"/>
    </row>
    <row r="3445" s="184">
      <c r="C3445" s="761" t="n"/>
    </row>
    <row r="3446" s="184">
      <c r="C3446" s="761" t="n"/>
    </row>
    <row r="3447" s="184">
      <c r="C3447" s="761" t="n"/>
    </row>
    <row r="3448" s="184">
      <c r="C3448" s="761" t="n"/>
    </row>
    <row r="3449" s="184">
      <c r="C3449" s="761" t="n"/>
    </row>
    <row r="3450" s="184">
      <c r="C3450" s="761" t="n"/>
    </row>
    <row r="3451" s="184">
      <c r="C3451" s="761" t="n"/>
    </row>
    <row r="3452" s="184">
      <c r="C3452" s="761" t="n"/>
    </row>
    <row r="3453" s="184">
      <c r="C3453" s="761" t="n"/>
    </row>
    <row r="3454" s="184">
      <c r="C3454" s="761" t="n"/>
    </row>
    <row r="3455" s="184">
      <c r="C3455" s="761" t="n"/>
    </row>
    <row r="3456" s="184">
      <c r="C3456" s="761" t="n"/>
    </row>
    <row r="3457" s="184">
      <c r="C3457" s="761" t="n"/>
    </row>
    <row r="3458" s="184">
      <c r="C3458" s="761" t="n"/>
    </row>
    <row r="3459" s="184">
      <c r="C3459" s="761" t="n"/>
    </row>
    <row r="3460" s="184">
      <c r="C3460" s="761" t="n"/>
    </row>
    <row r="3461" s="184">
      <c r="C3461" s="761" t="n"/>
    </row>
    <row r="3462" s="184">
      <c r="C3462" s="761" t="n"/>
    </row>
    <row r="3463" s="184">
      <c r="C3463" s="761" t="n"/>
    </row>
    <row r="3464" s="184">
      <c r="C3464" s="761" t="n"/>
    </row>
    <row r="3465" s="184">
      <c r="C3465" s="761" t="n"/>
    </row>
    <row r="3466" s="184">
      <c r="C3466" s="761" t="n"/>
    </row>
    <row r="3467" s="184">
      <c r="C3467" s="761" t="n"/>
    </row>
    <row r="3468" s="184">
      <c r="C3468" s="761" t="n"/>
    </row>
    <row r="3469" s="184">
      <c r="C3469" s="761" t="n"/>
    </row>
    <row r="3470" s="184">
      <c r="C3470" s="761" t="n"/>
    </row>
    <row r="3471" s="184">
      <c r="C3471" s="761" t="n"/>
    </row>
    <row r="3472" s="184">
      <c r="C3472" s="761" t="n"/>
    </row>
    <row r="3473" s="184">
      <c r="C3473" s="761" t="n"/>
    </row>
    <row r="3474" s="184">
      <c r="C3474" s="761" t="n"/>
    </row>
    <row r="3475" s="184">
      <c r="C3475" s="761" t="n"/>
    </row>
    <row r="3476" s="184">
      <c r="C3476" s="761" t="n"/>
    </row>
    <row r="3477" s="184">
      <c r="C3477" s="761" t="n"/>
    </row>
    <row r="3478" s="184">
      <c r="C3478" s="761" t="n"/>
    </row>
    <row r="3479" s="184">
      <c r="C3479" s="761" t="n"/>
    </row>
    <row r="3480" s="184">
      <c r="C3480" s="761" t="n"/>
    </row>
    <row r="3481" s="184">
      <c r="C3481" s="761" t="n"/>
    </row>
    <row r="3482" s="184">
      <c r="C3482" s="761" t="n"/>
    </row>
    <row r="3483" s="184">
      <c r="C3483" s="761" t="n"/>
    </row>
    <row r="3484" s="184">
      <c r="C3484" s="761" t="n"/>
    </row>
    <row r="3485" s="184">
      <c r="C3485" s="761" t="n"/>
    </row>
    <row r="3486" s="184">
      <c r="C3486" s="761" t="n"/>
    </row>
    <row r="3487" s="184">
      <c r="C3487" s="761" t="n"/>
    </row>
    <row r="3488" s="184">
      <c r="C3488" s="761" t="n"/>
    </row>
    <row r="3489" s="184">
      <c r="C3489" s="761" t="n"/>
    </row>
    <row r="3490" s="184">
      <c r="C3490" s="761" t="n"/>
    </row>
    <row r="3491" s="184">
      <c r="C3491" s="761" t="n"/>
    </row>
    <row r="3492" s="184">
      <c r="C3492" s="761" t="n"/>
    </row>
    <row r="3493" s="184">
      <c r="C3493" s="761" t="n"/>
    </row>
    <row r="3494" s="184">
      <c r="C3494" s="761" t="n"/>
    </row>
    <row r="3495" s="184">
      <c r="C3495" s="761" t="n"/>
    </row>
    <row r="3496" s="184">
      <c r="C3496" s="761" t="n"/>
    </row>
    <row r="3497" s="184">
      <c r="C3497" s="761" t="n"/>
    </row>
    <row r="3498" s="184">
      <c r="C3498" s="761" t="n"/>
    </row>
    <row r="3499" s="184">
      <c r="C3499" s="761" t="n"/>
    </row>
    <row r="3500" s="184">
      <c r="C3500" s="761" t="n"/>
    </row>
    <row r="3501" s="184">
      <c r="C3501" s="761" t="n"/>
    </row>
    <row r="3502" s="184">
      <c r="C3502" s="761" t="n"/>
    </row>
    <row r="3503" s="184">
      <c r="C3503" s="761" t="n"/>
    </row>
    <row r="3504" s="184">
      <c r="C3504" s="761" t="n"/>
    </row>
    <row r="3505" s="184">
      <c r="C3505" s="761" t="n"/>
    </row>
    <row r="3506" s="184">
      <c r="C3506" s="761" t="n"/>
    </row>
    <row r="3507" s="184">
      <c r="C3507" s="761" t="n"/>
    </row>
    <row r="3508" s="184">
      <c r="C3508" s="761" t="n"/>
    </row>
    <row r="3509" s="184">
      <c r="C3509" s="761" t="n"/>
    </row>
    <row r="3510" s="184">
      <c r="C3510" s="761" t="n"/>
    </row>
    <row r="3511" s="184">
      <c r="C3511" s="761" t="n"/>
    </row>
    <row r="3512" s="184">
      <c r="C3512" s="761" t="n"/>
    </row>
    <row r="3513" s="184">
      <c r="C3513" s="761" t="n"/>
    </row>
    <row r="3514" s="184">
      <c r="C3514" s="761" t="n"/>
    </row>
    <row r="3515" s="184">
      <c r="C3515" s="761" t="n"/>
    </row>
    <row r="3516" s="184">
      <c r="C3516" s="761" t="n"/>
    </row>
    <row r="3517" s="184">
      <c r="C3517" s="761" t="n"/>
    </row>
    <row r="3518" s="184">
      <c r="C3518" s="761" t="n"/>
    </row>
    <row r="3519" s="184">
      <c r="C3519" s="761" t="n"/>
    </row>
    <row r="3520" s="184">
      <c r="C3520" s="761" t="n"/>
    </row>
    <row r="3521" s="184">
      <c r="C3521" s="761" t="n"/>
    </row>
    <row r="3522" s="184">
      <c r="C3522" s="761" t="n"/>
    </row>
    <row r="3523" s="184">
      <c r="C3523" s="761" t="n"/>
    </row>
    <row r="3524" s="184">
      <c r="C3524" s="761" t="n"/>
    </row>
    <row r="3525" s="184">
      <c r="C3525" s="761" t="n"/>
    </row>
    <row r="3526" s="184">
      <c r="C3526" s="761" t="n"/>
    </row>
    <row r="3527" s="184">
      <c r="C3527" s="761" t="n"/>
    </row>
    <row r="3528" s="184">
      <c r="C3528" s="761" t="n"/>
    </row>
    <row r="3529" s="184">
      <c r="C3529" s="761" t="n"/>
    </row>
    <row r="3530" s="184">
      <c r="C3530" s="761" t="n"/>
    </row>
    <row r="3531" s="184">
      <c r="C3531" s="761" t="n"/>
    </row>
    <row r="3532" s="184">
      <c r="C3532" s="761" t="n"/>
    </row>
    <row r="3533" s="184">
      <c r="C3533" s="761" t="n"/>
    </row>
    <row r="3534" s="184">
      <c r="C3534" s="761" t="n"/>
    </row>
    <row r="3535" s="184">
      <c r="C3535" s="761" t="n"/>
    </row>
    <row r="3536" s="184">
      <c r="C3536" s="761" t="n"/>
    </row>
    <row r="3537" s="184">
      <c r="C3537" s="761" t="n"/>
    </row>
    <row r="3538" s="184">
      <c r="C3538" s="761" t="n"/>
    </row>
    <row r="3539" s="184">
      <c r="C3539" s="761" t="n"/>
    </row>
    <row r="3540" s="184">
      <c r="C3540" s="761" t="n"/>
    </row>
    <row r="3541" s="184">
      <c r="C3541" s="761" t="n"/>
    </row>
    <row r="3542" s="184">
      <c r="C3542" s="761" t="n"/>
    </row>
    <row r="3543" s="184">
      <c r="C3543" s="761" t="n"/>
    </row>
    <row r="3544" s="184">
      <c r="C3544" s="761" t="n"/>
    </row>
    <row r="3545" s="184">
      <c r="C3545" s="761" t="n"/>
    </row>
    <row r="3546" s="184">
      <c r="C3546" s="761" t="n"/>
    </row>
    <row r="3547" s="184">
      <c r="C3547" s="761" t="n"/>
    </row>
    <row r="3548" s="184">
      <c r="C3548" s="761" t="n"/>
    </row>
    <row r="3549" s="184">
      <c r="C3549" s="761" t="n"/>
    </row>
    <row r="3550" s="184">
      <c r="C3550" s="761" t="n"/>
    </row>
    <row r="3551" s="184">
      <c r="C3551" s="761" t="n"/>
    </row>
    <row r="3552" s="184">
      <c r="C3552" s="761" t="n"/>
    </row>
    <row r="3553" s="184">
      <c r="C3553" s="761" t="n"/>
    </row>
    <row r="3554" s="184">
      <c r="C3554" s="761" t="n"/>
    </row>
    <row r="3555" s="184">
      <c r="C3555" s="761" t="n"/>
    </row>
    <row r="3556" s="184">
      <c r="C3556" s="761" t="n"/>
    </row>
    <row r="3557" s="184">
      <c r="C3557" s="761" t="n"/>
    </row>
    <row r="3558" s="184">
      <c r="C3558" s="761" t="n"/>
    </row>
    <row r="3559" s="184">
      <c r="C3559" s="761" t="n"/>
    </row>
    <row r="3560" s="184">
      <c r="C3560" s="761" t="n"/>
    </row>
    <row r="3561" s="184">
      <c r="C3561" s="761" t="n"/>
    </row>
    <row r="3562" s="184">
      <c r="C3562" s="761" t="n"/>
    </row>
    <row r="3563" s="184">
      <c r="C3563" s="761" t="n"/>
    </row>
    <row r="3564" s="184">
      <c r="C3564" s="761" t="n"/>
    </row>
    <row r="3565" s="184">
      <c r="C3565" s="761" t="n"/>
    </row>
    <row r="3566" s="184">
      <c r="C3566" s="761" t="n"/>
    </row>
    <row r="3567" s="184">
      <c r="C3567" s="761" t="n"/>
    </row>
    <row r="3568" s="184">
      <c r="C3568" s="761" t="n"/>
    </row>
    <row r="3569" s="184">
      <c r="C3569" s="761" t="n"/>
    </row>
    <row r="3570" s="184">
      <c r="C3570" s="761" t="n"/>
    </row>
    <row r="3571" s="184">
      <c r="C3571" s="761" t="n"/>
    </row>
    <row r="3572" s="184">
      <c r="C3572" s="761" t="n"/>
    </row>
    <row r="3573" s="184">
      <c r="C3573" s="761" t="n"/>
    </row>
    <row r="3574" s="184">
      <c r="C3574" s="761" t="n"/>
    </row>
    <row r="3575" s="184">
      <c r="C3575" s="761" t="n"/>
    </row>
    <row r="3576" s="184">
      <c r="C3576" s="761" t="n"/>
    </row>
    <row r="3577" s="184">
      <c r="C3577" s="761" t="n"/>
    </row>
    <row r="3578" s="184">
      <c r="C3578" s="761" t="n"/>
    </row>
    <row r="3579" s="184">
      <c r="C3579" s="761" t="n"/>
    </row>
    <row r="3580" s="184">
      <c r="C3580" s="761" t="n"/>
    </row>
    <row r="3581" s="184">
      <c r="C3581" s="761" t="n"/>
    </row>
    <row r="3582" s="184">
      <c r="C3582" s="761" t="n"/>
    </row>
    <row r="3583" s="184">
      <c r="C3583" s="761" t="n"/>
    </row>
    <row r="3584" s="184">
      <c r="C3584" s="761" t="n"/>
    </row>
    <row r="3585" s="184">
      <c r="C3585" s="761" t="n"/>
    </row>
    <row r="3586" s="184">
      <c r="C3586" s="761" t="n"/>
    </row>
    <row r="3587" s="184">
      <c r="C3587" s="761" t="n"/>
    </row>
    <row r="3588" s="184">
      <c r="C3588" s="761" t="n"/>
    </row>
    <row r="3589" s="184">
      <c r="C3589" s="761" t="n"/>
    </row>
    <row r="3590" s="184">
      <c r="C3590" s="761" t="n"/>
    </row>
    <row r="3591" s="184">
      <c r="C3591" s="761" t="n"/>
    </row>
    <row r="3592" s="184">
      <c r="C3592" s="761" t="n"/>
    </row>
    <row r="3593" s="184">
      <c r="C3593" s="761" t="n"/>
    </row>
    <row r="3594" s="184">
      <c r="C3594" s="761" t="n"/>
    </row>
    <row r="3595" s="184">
      <c r="C3595" s="761" t="n"/>
    </row>
    <row r="3596" s="184">
      <c r="C3596" s="761" t="n"/>
    </row>
    <row r="3597" s="184">
      <c r="C3597" s="761" t="n"/>
    </row>
    <row r="3598" s="184">
      <c r="C3598" s="761" t="n"/>
    </row>
    <row r="3599" s="184">
      <c r="C3599" s="761" t="n"/>
    </row>
    <row r="3600" s="184">
      <c r="C3600" s="761" t="n"/>
    </row>
    <row r="3601" s="184">
      <c r="C3601" s="761" t="n"/>
    </row>
    <row r="3602" s="184">
      <c r="C3602" s="761" t="n"/>
    </row>
    <row r="3603" s="184">
      <c r="C3603" s="761" t="n"/>
    </row>
    <row r="3604" s="184">
      <c r="C3604" s="761" t="n"/>
    </row>
    <row r="3605" s="184">
      <c r="C3605" s="761" t="n"/>
    </row>
    <row r="3606" s="184">
      <c r="C3606" s="761" t="n"/>
    </row>
    <row r="3607" s="184">
      <c r="C3607" s="761" t="n"/>
    </row>
    <row r="3608" s="184">
      <c r="C3608" s="761" t="n"/>
    </row>
    <row r="3609" s="184">
      <c r="C3609" s="761" t="n"/>
    </row>
    <row r="3610" s="184">
      <c r="C3610" s="761" t="n"/>
    </row>
    <row r="3611" s="184">
      <c r="C3611" s="761" t="n"/>
    </row>
    <row r="3612" s="184">
      <c r="C3612" s="761" t="n"/>
    </row>
    <row r="3613" s="184">
      <c r="C3613" s="761" t="n"/>
    </row>
    <row r="3614" s="184">
      <c r="C3614" s="761" t="n"/>
    </row>
    <row r="3615" s="184">
      <c r="C3615" s="761" t="n"/>
    </row>
    <row r="3616" s="184">
      <c r="C3616" s="761" t="n"/>
    </row>
    <row r="3617" s="184">
      <c r="C3617" s="761" t="n"/>
    </row>
    <row r="3618" s="184">
      <c r="C3618" s="761" t="n"/>
    </row>
    <row r="3619" s="184">
      <c r="C3619" s="761" t="n"/>
    </row>
    <row r="3620" s="184">
      <c r="C3620" s="761" t="n"/>
    </row>
    <row r="3621" s="184">
      <c r="C3621" s="761" t="n"/>
    </row>
    <row r="3622" s="184">
      <c r="C3622" s="761" t="n"/>
    </row>
    <row r="3623" s="184">
      <c r="C3623" s="761" t="n"/>
    </row>
    <row r="3624" s="184">
      <c r="C3624" s="761" t="n"/>
    </row>
    <row r="3625" s="184">
      <c r="C3625" s="761" t="n"/>
    </row>
    <row r="3626" s="184">
      <c r="C3626" s="761" t="n"/>
    </row>
    <row r="3627" s="184">
      <c r="C3627" s="761" t="n"/>
    </row>
    <row r="3628" s="184">
      <c r="C3628" s="761" t="n"/>
    </row>
    <row r="3629" s="184">
      <c r="C3629" s="761" t="n"/>
    </row>
    <row r="3630" s="184">
      <c r="C3630" s="761" t="n"/>
    </row>
    <row r="3631" s="184">
      <c r="C3631" s="761" t="n"/>
    </row>
    <row r="3632" s="184">
      <c r="C3632" s="761" t="n"/>
    </row>
    <row r="3633" s="184">
      <c r="C3633" s="761" t="n"/>
    </row>
    <row r="3634" s="184">
      <c r="C3634" s="761" t="n"/>
    </row>
    <row r="3635" s="184">
      <c r="C3635" s="761" t="n"/>
    </row>
    <row r="3636" s="184">
      <c r="C3636" s="761" t="n"/>
    </row>
    <row r="3637" s="184">
      <c r="C3637" s="761" t="n"/>
    </row>
    <row r="3638" s="184">
      <c r="C3638" s="761" t="n"/>
    </row>
    <row r="3639" s="184">
      <c r="C3639" s="761" t="n"/>
    </row>
    <row r="3640" s="184">
      <c r="C3640" s="761" t="n"/>
    </row>
    <row r="3641" s="184">
      <c r="C3641" s="761" t="n"/>
    </row>
    <row r="3642" s="184">
      <c r="C3642" s="761" t="n"/>
    </row>
    <row r="3643" s="184">
      <c r="C3643" s="761" t="n"/>
    </row>
    <row r="3644" s="184">
      <c r="C3644" s="761" t="n"/>
    </row>
    <row r="3645" s="184">
      <c r="C3645" s="761" t="n"/>
    </row>
    <row r="3646" s="184">
      <c r="C3646" s="761" t="n"/>
    </row>
    <row r="3647" s="184">
      <c r="C3647" s="761" t="n"/>
    </row>
    <row r="3648" s="184">
      <c r="C3648" s="761" t="n"/>
    </row>
    <row r="3649" s="184">
      <c r="C3649" s="761" t="n"/>
    </row>
    <row r="3650" s="184">
      <c r="C3650" s="761" t="n"/>
    </row>
    <row r="3651" s="184">
      <c r="C3651" s="761" t="n"/>
    </row>
    <row r="3652" s="184">
      <c r="C3652" s="761" t="n"/>
    </row>
    <row r="3653" s="184">
      <c r="C3653" s="761" t="n"/>
    </row>
    <row r="3654" s="184">
      <c r="C3654" s="761" t="n"/>
    </row>
    <row r="3655" s="184">
      <c r="C3655" s="761" t="n"/>
    </row>
    <row r="3656" s="184">
      <c r="C3656" s="761" t="n"/>
    </row>
    <row r="3657" s="184">
      <c r="C3657" s="761" t="n"/>
    </row>
    <row r="3658" s="184">
      <c r="C3658" s="761" t="n"/>
    </row>
    <row r="3659" s="184">
      <c r="C3659" s="761" t="n"/>
    </row>
    <row r="3660" s="184">
      <c r="C3660" s="761" t="n"/>
    </row>
    <row r="3661" s="184">
      <c r="C3661" s="761" t="n"/>
    </row>
    <row r="3662" s="184">
      <c r="C3662" s="761" t="n"/>
    </row>
    <row r="3663" s="184">
      <c r="C3663" s="761" t="n"/>
    </row>
    <row r="3664" s="184">
      <c r="C3664" s="761" t="n"/>
    </row>
    <row r="3665" s="184">
      <c r="C3665" s="761" t="n"/>
    </row>
    <row r="3666" s="184">
      <c r="C3666" s="761" t="n"/>
    </row>
    <row r="3667" s="184">
      <c r="C3667" s="761" t="n"/>
    </row>
    <row r="3668" s="184">
      <c r="C3668" s="761" t="n"/>
    </row>
    <row r="3669" s="184">
      <c r="C3669" s="761" t="n"/>
    </row>
    <row r="3670" s="184">
      <c r="C3670" s="761" t="n"/>
    </row>
    <row r="3671" s="184">
      <c r="C3671" s="761" t="n"/>
    </row>
    <row r="3672" s="184">
      <c r="C3672" s="761" t="n"/>
    </row>
    <row r="3673" s="184">
      <c r="C3673" s="761" t="n"/>
    </row>
    <row r="3674" s="184">
      <c r="C3674" s="761" t="n"/>
    </row>
    <row r="3675" s="184">
      <c r="C3675" s="761" t="n"/>
    </row>
    <row r="3676" s="184">
      <c r="C3676" s="761" t="n"/>
    </row>
    <row r="3677" s="184">
      <c r="C3677" s="761" t="n"/>
    </row>
    <row r="3678" s="184">
      <c r="C3678" s="761" t="n"/>
    </row>
    <row r="3679" s="184">
      <c r="C3679" s="761" t="n"/>
    </row>
    <row r="3680" s="184">
      <c r="C3680" s="761" t="n"/>
    </row>
    <row r="3681" s="184">
      <c r="C3681" s="761" t="n"/>
    </row>
    <row r="3682" s="184">
      <c r="C3682" s="761" t="n"/>
    </row>
    <row r="3683" s="184">
      <c r="C3683" s="761" t="n"/>
    </row>
    <row r="3684" s="184">
      <c r="C3684" s="761" t="n"/>
    </row>
    <row r="3685" s="184">
      <c r="C3685" s="761" t="n"/>
    </row>
    <row r="3686" s="184">
      <c r="C3686" s="761" t="n"/>
    </row>
    <row r="3687" s="184">
      <c r="C3687" s="761" t="n"/>
    </row>
    <row r="3688" s="184">
      <c r="C3688" s="761" t="n"/>
    </row>
    <row r="3689" s="184">
      <c r="C3689" s="761" t="n"/>
    </row>
    <row r="3690" s="184">
      <c r="C3690" s="761" t="n"/>
    </row>
    <row r="3691" s="184">
      <c r="C3691" s="761" t="n"/>
    </row>
    <row r="3692" s="184">
      <c r="C3692" s="761" t="n"/>
    </row>
    <row r="3693" s="184">
      <c r="C3693" s="761" t="n"/>
    </row>
    <row r="3694" s="184">
      <c r="C3694" s="761" t="n"/>
    </row>
    <row r="3695" s="184">
      <c r="C3695" s="761" t="n"/>
    </row>
    <row r="3696" s="184">
      <c r="C3696" s="761" t="n"/>
    </row>
    <row r="3697" s="184">
      <c r="C3697" s="761" t="n"/>
    </row>
    <row r="3698" s="184">
      <c r="C3698" s="761" t="n"/>
    </row>
    <row r="3699" s="184">
      <c r="C3699" s="761" t="n"/>
    </row>
    <row r="3700" s="184">
      <c r="C3700" s="761" t="n"/>
    </row>
    <row r="3701" s="184">
      <c r="C3701" s="761" t="n"/>
    </row>
    <row r="3702" s="184">
      <c r="C3702" s="761" t="n"/>
    </row>
    <row r="3703" s="184">
      <c r="C3703" s="761" t="n"/>
    </row>
    <row r="3704" s="184">
      <c r="C3704" s="761" t="n"/>
    </row>
    <row r="3705" s="184">
      <c r="C3705" s="761" t="n"/>
    </row>
    <row r="3706" s="184">
      <c r="C3706" s="761" t="n"/>
    </row>
    <row r="3707" s="184">
      <c r="C3707" s="761" t="n"/>
    </row>
    <row r="3708" s="184">
      <c r="C3708" s="761" t="n"/>
    </row>
    <row r="3709" s="184">
      <c r="C3709" s="761" t="n"/>
    </row>
    <row r="3710" s="184">
      <c r="C3710" s="761" t="n"/>
    </row>
    <row r="3711" s="184">
      <c r="C3711" s="761" t="n"/>
    </row>
  </sheetData>
  <autoFilter ref="A1:AC644"/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 codeName="Sheet2">
    <outlinePr summaryBelow="1" summaryRight="1"/>
    <pageSetUpPr/>
  </sheetPr>
  <dimension ref="A1:O309"/>
  <sheetViews>
    <sheetView workbookViewId="0">
      <pane ySplit="1" topLeftCell="A275" activePane="bottomLeft" state="frozen"/>
      <selection activeCell="A1" sqref="A1"/>
      <selection pane="bottomLeft" activeCell="K261" sqref="K261"/>
    </sheetView>
  </sheetViews>
  <sheetFormatPr baseColWidth="8" defaultColWidth="8.75" defaultRowHeight="14.25"/>
  <cols>
    <col width="23.6666666666667" customWidth="1" style="791" min="1" max="1"/>
    <col width="13.75" customWidth="1" style="792" min="2" max="2"/>
    <col width="11.3333333333333" customWidth="1" style="792" min="3" max="3"/>
    <col width="19.4166666666667" customWidth="1" style="792" min="4" max="4"/>
    <col width="13.5833333333333" customWidth="1" style="793" min="5" max="5"/>
    <col width="14" customWidth="1" style="793" min="6" max="6"/>
    <col width="11.4166666666667" customWidth="1" style="791" min="7" max="7"/>
    <col width="56.3333333333333" customWidth="1" style="791" min="8" max="8"/>
    <col width="80.4166666666667" customWidth="1" style="791" min="9" max="9"/>
    <col width="17.0833333333333" customWidth="1" style="794" min="10" max="10"/>
    <col width="12.3333333333333" customWidth="1" style="795" min="11" max="11"/>
    <col width="23.75" customWidth="1" style="794" min="12" max="12"/>
    <col width="141.083333333333" customWidth="1" style="794" min="13" max="13"/>
    <col width="17.4166666666667" customWidth="1" style="794" min="14" max="14"/>
    <col width="93.4166666666667" customWidth="1" style="794" min="15" max="15"/>
    <col width="8.75" customWidth="1" style="794" min="16" max="16"/>
    <col width="8.75" customWidth="1" style="794" min="17" max="16384"/>
  </cols>
  <sheetData>
    <row r="1" ht="15.75" customHeight="1" s="184">
      <c r="A1" s="796">
        <f>G:G</f>
        <v/>
      </c>
      <c r="B1" s="797" t="inlineStr">
        <is>
          <t>芯片简称</t>
        </is>
      </c>
      <c r="C1" s="797" t="inlineStr">
        <is>
          <t>芯片名称</t>
        </is>
      </c>
      <c r="D1" s="797" t="inlineStr">
        <is>
          <t>物料编码</t>
        </is>
      </c>
      <c r="E1" s="798" t="inlineStr">
        <is>
          <t>Wafer名称</t>
        </is>
      </c>
      <c r="F1" s="799" t="inlineStr">
        <is>
          <t>物料编码</t>
        </is>
      </c>
      <c r="G1" s="796" t="inlineStr">
        <is>
          <t>晶圆名称</t>
        </is>
      </c>
      <c r="H1" s="796" t="inlineStr">
        <is>
          <t>晶圆描述</t>
        </is>
      </c>
      <c r="I1" s="796" t="inlineStr">
        <is>
          <t>封装描述</t>
        </is>
      </c>
      <c r="J1" s="800" t="inlineStr">
        <is>
          <t>测试描述</t>
        </is>
      </c>
      <c r="K1" s="801" t="inlineStr">
        <is>
          <t>裸die数量</t>
        </is>
      </c>
      <c r="L1" s="802" t="inlineStr">
        <is>
          <t>晶圆</t>
        </is>
      </c>
      <c r="N1" s="802" t="inlineStr">
        <is>
          <t>芯片</t>
        </is>
      </c>
      <c r="O1" s="802" t="inlineStr">
        <is>
          <t>-</t>
        </is>
      </c>
    </row>
    <row r="2">
      <c r="A2" s="803" t="inlineStr">
        <is>
          <t>TMJR23A-T1EAZP</t>
        </is>
      </c>
      <c r="B2" s="641" t="inlineStr">
        <is>
          <t>BM1390S</t>
        </is>
      </c>
      <c r="C2" s="641" t="inlineStr">
        <is>
          <t>BM1390S</t>
        </is>
      </c>
      <c r="D2" s="641" t="inlineStr">
        <is>
          <t>Y09BM1390S10</t>
        </is>
      </c>
      <c r="E2" s="804" t="inlineStr">
        <is>
          <t>BM1390S</t>
        </is>
      </c>
      <c r="F2" s="804" t="inlineStr">
        <is>
          <t>Y09JY1390S00</t>
        </is>
      </c>
      <c r="G2" s="803" t="inlineStr">
        <is>
          <t>TMJR23A-T1EAZP</t>
        </is>
      </c>
      <c r="H2" s="803" t="inlineStr">
        <is>
          <t>12nm, No PI, No Bumping</t>
        </is>
      </c>
      <c r="I2" s="803" t="inlineStr">
        <is>
          <t>molding</t>
        </is>
      </c>
      <c r="J2" s="805" t="n"/>
      <c r="K2" s="806" t="n">
        <v>6058</v>
      </c>
      <c r="L2" s="794">
        <f>E2&amp;$L$1</f>
        <v/>
      </c>
      <c r="N2" s="794">
        <f>C2&amp;$N$1</f>
        <v/>
      </c>
    </row>
    <row r="3">
      <c r="A3" s="803" t="inlineStr">
        <is>
          <t>TMJR23B-T1EAZP</t>
        </is>
      </c>
      <c r="B3" s="641" t="inlineStr">
        <is>
          <t>BM1390P</t>
        </is>
      </c>
      <c r="C3" s="641" t="inlineStr">
        <is>
          <t>BM1390P</t>
        </is>
      </c>
      <c r="D3" s="641" t="inlineStr">
        <is>
          <t>Y09BM1390P10</t>
        </is>
      </c>
      <c r="E3" s="804" t="inlineStr">
        <is>
          <t>BM1390P</t>
        </is>
      </c>
      <c r="F3" s="804" t="inlineStr">
        <is>
          <t>Y09JY1390P00</t>
        </is>
      </c>
      <c r="G3" s="803" t="inlineStr">
        <is>
          <t>TMJR23B-T1EAZP</t>
        </is>
      </c>
      <c r="H3" s="803" t="inlineStr">
        <is>
          <t>12nm, No PI, No Bumping</t>
        </is>
      </c>
      <c r="I3" s="803" t="inlineStr">
        <is>
          <t>molding</t>
        </is>
      </c>
      <c r="J3" s="805" t="n"/>
      <c r="K3" s="806" t="n">
        <v>6058</v>
      </c>
      <c r="L3" s="794">
        <f>E3&amp;$L$1</f>
        <v/>
      </c>
      <c r="N3" s="794">
        <f>C3&amp;$N$1</f>
        <v/>
      </c>
    </row>
    <row r="4">
      <c r="A4" s="803" t="inlineStr">
        <is>
          <t>TMJR23F-T4EAZP</t>
        </is>
      </c>
      <c r="B4" s="641" t="inlineStr">
        <is>
          <t>BM1390C</t>
        </is>
      </c>
      <c r="C4" s="641" t="inlineStr">
        <is>
          <t>BM1390C</t>
        </is>
      </c>
      <c r="D4" s="641" t="inlineStr">
        <is>
          <t>Y09BM1390C00</t>
        </is>
      </c>
      <c r="E4" s="804" t="inlineStr">
        <is>
          <t>BM1390C</t>
        </is>
      </c>
      <c r="F4" s="804" t="inlineStr">
        <is>
          <t>Y09JY1390C10</t>
        </is>
      </c>
      <c r="G4" s="803" t="inlineStr">
        <is>
          <t>TMJR23F-T4EAZP</t>
        </is>
      </c>
      <c r="H4" s="803" t="inlineStr">
        <is>
          <t>306/309 mask change</t>
        </is>
      </c>
      <c r="I4" s="803" t="inlineStr">
        <is>
          <t>molding</t>
        </is>
      </c>
      <c r="J4" s="805" t="n"/>
      <c r="K4" s="806" t="n">
        <v>6058</v>
      </c>
      <c r="L4" s="794">
        <f>E4&amp;$L$1</f>
        <v/>
      </c>
      <c r="N4" s="794">
        <f>C4&amp;$N$1</f>
        <v/>
      </c>
    </row>
    <row r="5">
      <c r="A5" s="803" t="inlineStr">
        <is>
          <t>TMJR23G-T4EAZP</t>
        </is>
      </c>
      <c r="B5" s="641" t="inlineStr">
        <is>
          <t>BM1390G</t>
        </is>
      </c>
      <c r="C5" s="641" t="inlineStr">
        <is>
          <t>BM1390G</t>
        </is>
      </c>
      <c r="D5" s="641" t="inlineStr">
        <is>
          <t>Y09BM1390G20</t>
        </is>
      </c>
      <c r="E5" s="804" t="inlineStr">
        <is>
          <t>BM1390G</t>
        </is>
      </c>
      <c r="F5" s="804" t="inlineStr">
        <is>
          <t>Y09JY1390G20</t>
        </is>
      </c>
      <c r="G5" s="803" t="inlineStr">
        <is>
          <t>TMJR23G-T4EAZP</t>
        </is>
      </c>
      <c r="H5" s="803" t="inlineStr">
        <is>
          <t>12nm, No PI, No Bumping, N12 BKM Process Change</t>
        </is>
      </c>
      <c r="I5" s="803" t="inlineStr">
        <is>
          <t>molding</t>
        </is>
      </c>
      <c r="J5" s="805" t="n"/>
      <c r="K5" s="806" t="n">
        <v>6058</v>
      </c>
      <c r="L5" s="794">
        <f>E5&amp;$L$1</f>
        <v/>
      </c>
      <c r="N5" s="794">
        <f>C5&amp;$N$1</f>
        <v/>
      </c>
    </row>
    <row r="6">
      <c r="A6" s="803" t="inlineStr">
        <is>
          <t>TMJR23A-T1EAZP</t>
        </is>
      </c>
      <c r="B6" s="641" t="inlineStr">
        <is>
          <t>BM1390SE</t>
        </is>
      </c>
      <c r="C6" s="641" t="inlineStr">
        <is>
          <t>BM1390SE</t>
        </is>
      </c>
      <c r="D6" s="641" t="inlineStr">
        <is>
          <t>Y09BM1390130</t>
        </is>
      </c>
      <c r="E6" s="804" t="inlineStr">
        <is>
          <t>BM1390S</t>
        </is>
      </c>
      <c r="F6" s="804" t="inlineStr">
        <is>
          <t>Y09JY1390S00</t>
        </is>
      </c>
      <c r="G6" s="803" t="inlineStr">
        <is>
          <t>TMJR23A-T1EAZP</t>
        </is>
      </c>
      <c r="H6" s="803" t="inlineStr">
        <is>
          <t>12nm, No PI, No Bumping</t>
        </is>
      </c>
      <c r="I6" s="803" t="inlineStr">
        <is>
          <t>Molding, exposed die</t>
        </is>
      </c>
      <c r="J6" s="805" t="n"/>
      <c r="K6" s="806" t="n">
        <v>6058</v>
      </c>
      <c r="L6" s="794">
        <f>E6&amp;$L$1</f>
        <v/>
      </c>
      <c r="N6" s="794">
        <f>C6&amp;$N$1</f>
        <v/>
      </c>
    </row>
    <row r="7">
      <c r="A7" s="803" t="inlineStr">
        <is>
          <t>TMIH52A-T1EAZT</t>
        </is>
      </c>
      <c r="B7" s="641" t="inlineStr">
        <is>
          <t>BM1485AE</t>
        </is>
      </c>
      <c r="C7" s="641" t="inlineStr">
        <is>
          <t>BM1485AE</t>
        </is>
      </c>
      <c r="D7" s="641" t="inlineStr">
        <is>
          <t>Y09BM1485110</t>
        </is>
      </c>
      <c r="E7" s="804" t="inlineStr">
        <is>
          <t>BM1485</t>
        </is>
      </c>
      <c r="F7" s="804" t="inlineStr">
        <is>
          <t>Y09JY1485000</t>
        </is>
      </c>
      <c r="G7" s="803" t="inlineStr">
        <is>
          <t>TMIH52A-T1EAZT</t>
        </is>
      </c>
      <c r="H7" s="803" t="inlineStr">
        <is>
          <t>28nm, No PI, No Bumping</t>
        </is>
      </c>
      <c r="I7" s="803" t="inlineStr">
        <is>
          <t>Molding, exposed die</t>
        </is>
      </c>
      <c r="J7" s="805" t="n"/>
      <c r="K7" s="806" t="n">
        <v>2378</v>
      </c>
      <c r="L7" s="794">
        <f>E7&amp;$L$1</f>
        <v/>
      </c>
      <c r="N7" s="794">
        <f>C7&amp;$N$1</f>
        <v/>
      </c>
    </row>
    <row r="8">
      <c r="A8" s="803" t="inlineStr">
        <is>
          <t>TMJS53A-EAZT</t>
        </is>
      </c>
      <c r="B8" s="641" t="inlineStr">
        <is>
          <t>BM1720</t>
        </is>
      </c>
      <c r="C8" s="641" t="inlineStr">
        <is>
          <t>BM1720</t>
        </is>
      </c>
      <c r="D8" s="641" t="inlineStr">
        <is>
          <t>Y09BM1720010</t>
        </is>
      </c>
      <c r="E8" s="804" t="inlineStr">
        <is>
          <t>BM1720</t>
        </is>
      </c>
      <c r="F8" s="804" t="inlineStr">
        <is>
          <t>Y09JY1720000</t>
        </is>
      </c>
      <c r="G8" s="803" t="inlineStr">
        <is>
          <t>TMJS53A-EAZT</t>
        </is>
      </c>
      <c r="H8" s="803" t="inlineStr">
        <is>
          <t>28nm, No PI, No Bumping</t>
        </is>
      </c>
      <c r="I8" s="803" t="inlineStr">
        <is>
          <t>molding</t>
        </is>
      </c>
      <c r="J8" s="805" t="n"/>
      <c r="K8" s="806" t="n">
        <v>7083</v>
      </c>
      <c r="L8" s="794">
        <f>E8&amp;$L$1</f>
        <v/>
      </c>
      <c r="N8" s="794">
        <f>C8&amp;$N$1</f>
        <v/>
      </c>
    </row>
    <row r="9">
      <c r="A9" s="803" t="inlineStr">
        <is>
          <t>TMJW99A-EAZP</t>
        </is>
      </c>
      <c r="B9" s="641" t="inlineStr">
        <is>
          <t>BM1700</t>
        </is>
      </c>
      <c r="C9" s="641" t="inlineStr">
        <is>
          <t>BM1700</t>
        </is>
      </c>
      <c r="D9" s="641" t="inlineStr">
        <is>
          <t>Y09BM1700000</t>
        </is>
      </c>
      <c r="E9" s="804" t="inlineStr">
        <is>
          <t>BM1700</t>
        </is>
      </c>
      <c r="F9" s="804" t="inlineStr">
        <is>
          <t>Y09JY1700010</t>
        </is>
      </c>
      <c r="G9" s="803" t="inlineStr">
        <is>
          <t>TMJW99A-EAZP</t>
        </is>
      </c>
      <c r="H9" s="803" t="inlineStr">
        <is>
          <t>12nm, No PI, No Bumping</t>
        </is>
      </c>
      <c r="I9" s="803" t="inlineStr">
        <is>
          <t>molding</t>
        </is>
      </c>
      <c r="J9" s="805" t="n"/>
      <c r="K9" s="806" t="n">
        <v>2586</v>
      </c>
      <c r="L9" s="794">
        <f>E9&amp;$L$1</f>
        <v/>
      </c>
      <c r="N9" s="794">
        <f>C9&amp;$N$1</f>
        <v/>
      </c>
    </row>
    <row r="10">
      <c r="A10" s="803" t="inlineStr">
        <is>
          <t>TMJW99B-EAZP</t>
        </is>
      </c>
      <c r="B10" s="641" t="inlineStr">
        <is>
          <t>BM1700B</t>
        </is>
      </c>
      <c r="C10" s="641" t="inlineStr">
        <is>
          <t>BM1700B</t>
        </is>
      </c>
      <c r="D10" s="641" t="inlineStr">
        <is>
          <t>Y09BM1700B00</t>
        </is>
      </c>
      <c r="E10" s="804" t="inlineStr">
        <is>
          <t>BM1700B</t>
        </is>
      </c>
      <c r="F10" s="804" t="inlineStr">
        <is>
          <t>Y09JY1700B20</t>
        </is>
      </c>
      <c r="G10" s="803" t="inlineStr">
        <is>
          <t>TMJW99B-EAZP</t>
        </is>
      </c>
      <c r="H10" s="803" t="inlineStr">
        <is>
          <t>12nm, No PI, No Bumping,  Process Change</t>
        </is>
      </c>
      <c r="I10" s="803" t="inlineStr">
        <is>
          <t>molding</t>
        </is>
      </c>
      <c r="J10" s="805" t="n"/>
      <c r="K10" s="806" t="n">
        <v>2586</v>
      </c>
      <c r="L10" s="794">
        <f>E10&amp;$L$1</f>
        <v/>
      </c>
      <c r="N10" s="794">
        <f>C10&amp;$N$1</f>
        <v/>
      </c>
    </row>
    <row r="11">
      <c r="A11" s="803" t="inlineStr">
        <is>
          <t>TMJW99C-EAZP</t>
        </is>
      </c>
      <c r="B11" s="641" t="inlineStr">
        <is>
          <t>BM1700C</t>
        </is>
      </c>
      <c r="C11" s="641" t="inlineStr">
        <is>
          <t>BM1700C</t>
        </is>
      </c>
      <c r="D11" s="641" t="inlineStr">
        <is>
          <t>Y09BM1370C00</t>
        </is>
      </c>
      <c r="E11" s="804" t="inlineStr">
        <is>
          <t>BM1700C</t>
        </is>
      </c>
      <c r="F11" s="804" t="inlineStr">
        <is>
          <t>Y09JY1700C30</t>
        </is>
      </c>
      <c r="G11" s="803" t="inlineStr">
        <is>
          <t>TMJW99C-EAZP</t>
        </is>
      </c>
      <c r="H11" s="803" t="inlineStr">
        <is>
          <t>12nm, No PI, No Bumping,  N12 BKM Process Change</t>
        </is>
      </c>
      <c r="I11" s="803" t="inlineStr">
        <is>
          <t>molding</t>
        </is>
      </c>
      <c r="J11" s="805" t="n"/>
      <c r="K11" s="806" t="n">
        <v>2586</v>
      </c>
      <c r="L11" s="794">
        <f>E11&amp;$L$1</f>
        <v/>
      </c>
      <c r="N11" s="794">
        <f>C11&amp;$N$1</f>
        <v/>
      </c>
    </row>
    <row r="12">
      <c r="A12" s="803" t="inlineStr">
        <is>
          <t>TMHF24A-C1T7EAZ</t>
        </is>
      </c>
      <c r="B12" s="641" t="inlineStr">
        <is>
          <t>BM1385L2</t>
        </is>
      </c>
      <c r="C12" s="641" t="inlineStr">
        <is>
          <t>BM1385L2</t>
        </is>
      </c>
      <c r="D12" s="641" t="inlineStr">
        <is>
          <t>Y09BM1385101</t>
        </is>
      </c>
      <c r="E12" s="804" t="inlineStr">
        <is>
          <t>BM1385</t>
        </is>
      </c>
      <c r="F12" s="804" t="inlineStr">
        <is>
          <t>Y09JY1385010</t>
        </is>
      </c>
      <c r="G12" s="803" t="inlineStr">
        <is>
          <t>TMHF24A-C1T7EAZ</t>
        </is>
      </c>
      <c r="H12" s="803" t="inlineStr">
        <is>
          <t>28nm, No PI, No Bumping</t>
        </is>
      </c>
      <c r="I12" s="803" t="inlineStr">
        <is>
          <t>molding，2层基板</t>
        </is>
      </c>
      <c r="J12" s="805" t="n"/>
      <c r="K12" s="806" t="n">
        <v>7125</v>
      </c>
      <c r="L12" s="794">
        <f>E12&amp;$L$1</f>
        <v/>
      </c>
      <c r="N12" s="794">
        <f>C12&amp;$N$1</f>
        <v/>
      </c>
    </row>
    <row r="13">
      <c r="A13" s="803" t="inlineStr">
        <is>
          <t>TMHF24A-C1T7EAZ</t>
        </is>
      </c>
      <c r="B13" s="641" t="inlineStr">
        <is>
          <t>BM1580L2</t>
        </is>
      </c>
      <c r="C13" s="641" t="inlineStr">
        <is>
          <t>BM1580L2</t>
        </is>
      </c>
      <c r="D13" s="641" t="inlineStr">
        <is>
          <t>Y09BM1580000</t>
        </is>
      </c>
      <c r="E13" s="804" t="inlineStr">
        <is>
          <t>BM1385</t>
        </is>
      </c>
      <c r="F13" s="804" t="inlineStr">
        <is>
          <t>Y09JY1385010</t>
        </is>
      </c>
      <c r="G13" s="803" t="inlineStr">
        <is>
          <t>TMHF24A-C1T7EAZ</t>
        </is>
      </c>
      <c r="H13" s="803" t="inlineStr">
        <is>
          <t>28nm, No PI, No Bumping</t>
        </is>
      </c>
      <c r="I13" s="803" t="inlineStr">
        <is>
          <t>molding，2层基板</t>
        </is>
      </c>
      <c r="J13" s="805" t="n"/>
      <c r="K13" s="806" t="n">
        <v>7125</v>
      </c>
      <c r="L13" s="794">
        <f>E13&amp;$L$1</f>
        <v/>
      </c>
      <c r="N13" s="794">
        <f>C13&amp;$N$1</f>
        <v/>
      </c>
    </row>
    <row r="14">
      <c r="A14" s="803" t="inlineStr">
        <is>
          <t>TMHF24A-C1T7EAZ</t>
        </is>
      </c>
      <c r="B14" s="641" t="inlineStr">
        <is>
          <t>BM1580L3</t>
        </is>
      </c>
      <c r="C14" s="641" t="inlineStr">
        <is>
          <t>BM1580L3</t>
        </is>
      </c>
      <c r="D14" s="641" t="inlineStr">
        <is>
          <t>Y09BM1580010</t>
        </is>
      </c>
      <c r="E14" s="804" t="inlineStr">
        <is>
          <t>BM1385</t>
        </is>
      </c>
      <c r="F14" s="804" t="inlineStr">
        <is>
          <t>Y09JY1385010</t>
        </is>
      </c>
      <c r="G14" s="803" t="inlineStr">
        <is>
          <t>TMHF24A-C1T7EAZ</t>
        </is>
      </c>
      <c r="H14" s="803" t="inlineStr">
        <is>
          <t>28nm, No PI, No Bumping</t>
        </is>
      </c>
      <c r="I14" s="803" t="inlineStr">
        <is>
          <t>molding，3层基板</t>
        </is>
      </c>
      <c r="J14" s="805" t="n"/>
      <c r="K14" s="806" t="n">
        <v>7125</v>
      </c>
      <c r="L14" s="794">
        <f>E14&amp;$L$1</f>
        <v/>
      </c>
      <c r="N14" s="794">
        <f>C14&amp;$N$1</f>
        <v/>
      </c>
    </row>
    <row r="15">
      <c r="A15" s="803" t="inlineStr">
        <is>
          <t>TMNI18_C37</t>
        </is>
      </c>
      <c r="B15" s="641" t="inlineStr">
        <is>
          <t>BM17A0</t>
        </is>
      </c>
      <c r="C15" s="641" t="inlineStr">
        <is>
          <t>BM17A0</t>
        </is>
      </c>
      <c r="D15" s="641" t="n">
        <v>0</v>
      </c>
      <c r="E15" s="804" t="n"/>
      <c r="F15" s="804" t="e">
        <v>#N/A</v>
      </c>
      <c r="G15" s="803" t="inlineStr">
        <is>
          <t>TMNI18_C37</t>
        </is>
      </c>
      <c r="H15" s="803" t="inlineStr">
        <is>
          <t>0.18um, CMOS High Voltage Process</t>
        </is>
      </c>
      <c r="I15" s="803" t="inlineStr">
        <is>
          <t>molding</t>
        </is>
      </c>
      <c r="J15" s="805" t="n"/>
      <c r="K15" s="806" t="inlineStr">
        <is>
          <t>MPW</t>
        </is>
      </c>
      <c r="L15" s="794">
        <f>E15&amp;$L$1</f>
        <v/>
      </c>
      <c r="N15" s="794">
        <f>C15&amp;$N$1</f>
        <v/>
      </c>
    </row>
    <row r="16">
      <c r="A16" s="803" t="inlineStr">
        <is>
          <t>TMKB24A-T1DDAEABT</t>
        </is>
      </c>
      <c r="B16" s="641" t="inlineStr">
        <is>
          <t>BM1790</t>
        </is>
      </c>
      <c r="C16" s="641" t="inlineStr">
        <is>
          <t>BM1790</t>
        </is>
      </c>
      <c r="D16" s="641" t="inlineStr">
        <is>
          <t>Y09BM1790001</t>
        </is>
      </c>
      <c r="E16" s="804" t="inlineStr">
        <is>
          <t>BM1790</t>
        </is>
      </c>
      <c r="F16" s="804" t="inlineStr">
        <is>
          <t>Y09JY1790010</t>
        </is>
      </c>
      <c r="G16" s="803" t="inlineStr">
        <is>
          <t>TMKB24A-T1DDAEABT</t>
        </is>
      </c>
      <c r="H16" s="803" t="inlineStr">
        <is>
          <t>28nm, Only bumping process with mask 020A</t>
        </is>
      </c>
      <c r="I16" s="803" t="inlineStr">
        <is>
          <t>molding</t>
        </is>
      </c>
      <c r="J16" s="805" t="n"/>
      <c r="K16" s="806" t="n">
        <v>581</v>
      </c>
      <c r="L16" s="794">
        <f>E16&amp;$L$1</f>
        <v/>
      </c>
      <c r="N16" s="794">
        <f>C16&amp;$N$1</f>
        <v/>
      </c>
    </row>
    <row r="17">
      <c r="A17" s="803" t="inlineStr">
        <is>
          <t>TMKB24A-T1EAZT</t>
        </is>
      </c>
      <c r="B17" s="641" t="inlineStr">
        <is>
          <t>BM1790_BP_I</t>
        </is>
      </c>
      <c r="C17" s="641" t="inlineStr">
        <is>
          <t>BM1790</t>
        </is>
      </c>
      <c r="D17" s="641" t="inlineStr">
        <is>
          <t>Y09BM1790001</t>
        </is>
      </c>
      <c r="E17" s="804" t="inlineStr">
        <is>
          <t>BM1790</t>
        </is>
      </c>
      <c r="F17" s="804" t="inlineStr">
        <is>
          <t>Y09JY1790010</t>
        </is>
      </c>
      <c r="G17" s="803" t="inlineStr">
        <is>
          <t>TMKB24A-T1EAZT</t>
        </is>
      </c>
      <c r="H17" s="803" t="inlineStr">
        <is>
          <t>28nm, With PI process, mask 009A</t>
        </is>
      </c>
      <c r="I17" s="803" t="inlineStr">
        <is>
          <t>molding</t>
        </is>
      </c>
      <c r="J17" s="805" t="n"/>
      <c r="K17" s="806" t="n">
        <v>581</v>
      </c>
      <c r="L17" s="794">
        <f>E17&amp;$L$1</f>
        <v/>
      </c>
      <c r="N17" s="794">
        <f>C17&amp;$N$1</f>
        <v/>
      </c>
    </row>
    <row r="18">
      <c r="A18" s="803" t="inlineStr">
        <is>
          <t>TMKB24A-EAZT</t>
        </is>
      </c>
      <c r="B18" s="641" t="inlineStr">
        <is>
          <t>BM1790_BP</t>
        </is>
      </c>
      <c r="C18" s="641" t="inlineStr">
        <is>
          <t>BM1790</t>
        </is>
      </c>
      <c r="D18" s="641" t="inlineStr">
        <is>
          <t>Y09BM1790001</t>
        </is>
      </c>
      <c r="E18" s="804" t="inlineStr">
        <is>
          <t>BM1790</t>
        </is>
      </c>
      <c r="F18" s="804" t="inlineStr">
        <is>
          <t>Y09JY1790010</t>
        </is>
      </c>
      <c r="G18" s="803" t="inlineStr">
        <is>
          <t>TMKB24A-EAZT</t>
        </is>
      </c>
      <c r="H18" s="803" t="inlineStr">
        <is>
          <t>28nm, Without PI process, mask 009A</t>
        </is>
      </c>
      <c r="I18" s="803" t="inlineStr">
        <is>
          <t>molding</t>
        </is>
      </c>
      <c r="J18" s="805" t="n"/>
      <c r="K18" s="806" t="n">
        <v>581</v>
      </c>
      <c r="L18" s="794">
        <f>E18&amp;$L$1</f>
        <v/>
      </c>
      <c r="N18" s="794">
        <f>C18&amp;$N$1</f>
        <v/>
      </c>
    </row>
    <row r="19">
      <c r="A19" s="803" t="inlineStr">
        <is>
          <t>TMKB24A-EAZT</t>
        </is>
      </c>
      <c r="B19" s="641" t="inlineStr">
        <is>
          <t>BM1790P</t>
        </is>
      </c>
      <c r="C19" s="641" t="inlineStr">
        <is>
          <t>BM1790</t>
        </is>
      </c>
      <c r="D19" s="641" t="inlineStr">
        <is>
          <t>Y09BM1790001</t>
        </is>
      </c>
      <c r="E19" s="804" t="inlineStr">
        <is>
          <t>BM1790</t>
        </is>
      </c>
      <c r="F19" s="804" t="inlineStr">
        <is>
          <t>Y09JY1790010</t>
        </is>
      </c>
      <c r="G19" s="803" t="inlineStr">
        <is>
          <t>TMKB24A-EAZT</t>
        </is>
      </c>
      <c r="H19" s="803" t="inlineStr">
        <is>
          <t>28nm, Without PI process, mask 009A</t>
        </is>
      </c>
      <c r="I19" s="803" t="inlineStr">
        <is>
          <t>molding，with PI</t>
        </is>
      </c>
      <c r="J19" s="805" t="n"/>
      <c r="K19" s="806" t="n">
        <v>581</v>
      </c>
      <c r="L19" s="794">
        <f>E19&amp;$L$1</f>
        <v/>
      </c>
      <c r="N19" s="794">
        <f>C19&amp;$N$1</f>
        <v/>
      </c>
    </row>
    <row r="20">
      <c r="A20" s="803" t="inlineStr">
        <is>
          <t>TMKB24A-EAZT</t>
        </is>
      </c>
      <c r="B20" s="641" t="inlineStr">
        <is>
          <t>BM1790E</t>
        </is>
      </c>
      <c r="C20" s="641" t="inlineStr">
        <is>
          <t>BM1790E</t>
        </is>
      </c>
      <c r="D20" s="641" t="inlineStr">
        <is>
          <t>Y09BM1790E10</t>
        </is>
      </c>
      <c r="E20" s="804" t="inlineStr">
        <is>
          <t>BM1790</t>
        </is>
      </c>
      <c r="F20" s="804" t="inlineStr">
        <is>
          <t>Y09JY1790010</t>
        </is>
      </c>
      <c r="G20" s="803" t="inlineStr">
        <is>
          <t>TMKB24A-EAZT</t>
        </is>
      </c>
      <c r="H20" s="803" t="inlineStr">
        <is>
          <t>28nm, Without PI process</t>
        </is>
      </c>
      <c r="I20" s="803" t="inlineStr">
        <is>
          <t>molding，with PI, exposed die</t>
        </is>
      </c>
      <c r="J20" s="805" t="n"/>
      <c r="K20" s="806" t="n">
        <v>581</v>
      </c>
      <c r="L20" s="794">
        <f>E20&amp;$L$1</f>
        <v/>
      </c>
      <c r="N20" s="794">
        <f>C20&amp;$N$1</f>
        <v/>
      </c>
    </row>
    <row r="21">
      <c r="A21" s="803" t="inlineStr">
        <is>
          <t>TMIH52A-T1EAZT</t>
        </is>
      </c>
      <c r="B21" s="641" t="inlineStr">
        <is>
          <t>BM1485L2</t>
        </is>
      </c>
      <c r="C21" s="641" t="inlineStr">
        <is>
          <t>BM1485L2</t>
        </is>
      </c>
      <c r="D21" s="641" t="inlineStr">
        <is>
          <t>Y09BM1485001</t>
        </is>
      </c>
      <c r="E21" s="804" t="inlineStr">
        <is>
          <t>BM1485</t>
        </is>
      </c>
      <c r="F21" s="804" t="inlineStr">
        <is>
          <t>Y09JY1485000</t>
        </is>
      </c>
      <c r="G21" s="803" t="inlineStr">
        <is>
          <t>TMIH52A-T1EAZT</t>
        </is>
      </c>
      <c r="H21" s="803" t="inlineStr">
        <is>
          <t>28nm, No PI, No Bumping</t>
        </is>
      </c>
      <c r="I21" s="803" t="inlineStr">
        <is>
          <t>2 Layer substrate</t>
        </is>
      </c>
      <c r="J21" s="805" t="n"/>
      <c r="K21" s="807" t="n">
        <v>2378</v>
      </c>
      <c r="L21" s="794">
        <f>E21&amp;$L$1</f>
        <v/>
      </c>
      <c r="N21" s="794">
        <f>C21&amp;$N$1</f>
        <v/>
      </c>
    </row>
    <row r="22" ht="15.75" customHeight="1" s="184">
      <c r="A22" s="808" t="inlineStr">
        <is>
          <t>TMKC90A-EAZT</t>
        </is>
      </c>
      <c r="B22" s="809" t="inlineStr">
        <is>
          <t>BM1740</t>
        </is>
      </c>
      <c r="C22" s="809" t="inlineStr">
        <is>
          <t>BM1740</t>
        </is>
      </c>
      <c r="D22" s="641" t="inlineStr">
        <is>
          <t>Y09BM1740000</t>
        </is>
      </c>
      <c r="E22" s="810" t="inlineStr">
        <is>
          <t>BM1740</t>
        </is>
      </c>
      <c r="F22" s="804" t="inlineStr">
        <is>
          <t>Y09JY1740010</t>
        </is>
      </c>
      <c r="G22" s="808" t="inlineStr">
        <is>
          <t>TMKC90A-EAZT</t>
        </is>
      </c>
      <c r="H22" s="808" t="inlineStr">
        <is>
          <t>10nm, No Bumping</t>
        </is>
      </c>
      <c r="I22" s="803" t="inlineStr">
        <is>
          <t>molding</t>
        </is>
      </c>
      <c r="J22" s="805" t="n"/>
      <c r="K22" s="811" t="n">
        <v>296</v>
      </c>
      <c r="L22" s="794">
        <f>E22&amp;$L$1</f>
        <v/>
      </c>
      <c r="N22" s="794">
        <f>C22&amp;$N$1</f>
        <v/>
      </c>
    </row>
    <row r="23" ht="15.75" customHeight="1" s="184">
      <c r="A23" s="803" t="inlineStr">
        <is>
          <t>TMHU59C-T7EAZP</t>
        </is>
      </c>
      <c r="B23" s="809" t="inlineStr">
        <is>
          <t>BM1387BH</t>
        </is>
      </c>
      <c r="C23" s="809" t="inlineStr">
        <is>
          <t>BM1387BH</t>
        </is>
      </c>
      <c r="D23" s="641" t="inlineStr">
        <is>
          <t>Y09BM138BH60</t>
        </is>
      </c>
      <c r="E23" s="810" t="inlineStr">
        <is>
          <t>BM1387B</t>
        </is>
      </c>
      <c r="F23" s="804" t="inlineStr">
        <is>
          <t>Y09JY1387B00</t>
        </is>
      </c>
      <c r="G23" s="803" t="inlineStr">
        <is>
          <t>TMHU59C-T7EAZP</t>
        </is>
      </c>
      <c r="H23" s="803" t="inlineStr">
        <is>
          <t>16nm, No PI, No Bumping</t>
        </is>
      </c>
      <c r="I23" s="803" t="inlineStr">
        <is>
          <t>High thermal compound package</t>
        </is>
      </c>
      <c r="J23" s="805" t="n"/>
      <c r="K23" s="806" t="n">
        <v>5180</v>
      </c>
      <c r="L23" s="794">
        <f>E23&amp;$L$1</f>
        <v/>
      </c>
      <c r="N23" s="794">
        <f>C23&amp;$N$1</f>
        <v/>
      </c>
    </row>
    <row r="24" ht="15.75" customHeight="1" s="184">
      <c r="A24" s="803" t="inlineStr">
        <is>
          <t>TMHU59C-T7EAZP</t>
        </is>
      </c>
      <c r="B24" s="809" t="inlineStr">
        <is>
          <t>BM1387BE</t>
        </is>
      </c>
      <c r="C24" s="809" t="inlineStr">
        <is>
          <t>BM1387BE</t>
        </is>
      </c>
      <c r="D24" s="641" t="inlineStr">
        <is>
          <t>Y09BM138BE0E</t>
        </is>
      </c>
      <c r="E24" s="810" t="inlineStr">
        <is>
          <t>BM1387B</t>
        </is>
      </c>
      <c r="F24" s="804" t="inlineStr">
        <is>
          <t>Y09JY1387B00</t>
        </is>
      </c>
      <c r="G24" s="803" t="inlineStr">
        <is>
          <t>TMHU59C-T7EAZP</t>
        </is>
      </c>
      <c r="H24" s="803" t="inlineStr">
        <is>
          <t>16nm, No PI, No Bumping</t>
        </is>
      </c>
      <c r="I24" s="803" t="inlineStr">
        <is>
          <t>exposed die package</t>
        </is>
      </c>
      <c r="J24" s="805" t="n"/>
      <c r="K24" s="806" t="n">
        <v>5180</v>
      </c>
      <c r="L24" s="794">
        <f>E24&amp;$L$1</f>
        <v/>
      </c>
      <c r="N24" s="794">
        <f>C24&amp;$N$1</f>
        <v/>
      </c>
    </row>
    <row r="25">
      <c r="A25" s="803" t="inlineStr">
        <is>
          <t>TMJZ27A-T1EAZT</t>
        </is>
      </c>
      <c r="B25" s="641" t="inlineStr">
        <is>
          <t>BM1682</t>
        </is>
      </c>
      <c r="C25" s="641" t="inlineStr">
        <is>
          <t>BM1682</t>
        </is>
      </c>
      <c r="D25" s="641" t="inlineStr">
        <is>
          <t>Y09BM1682000</t>
        </is>
      </c>
      <c r="E25" s="804" t="inlineStr">
        <is>
          <t>BM1682</t>
        </is>
      </c>
      <c r="F25" s="804" t="inlineStr">
        <is>
          <t>Y09JY1682000</t>
        </is>
      </c>
      <c r="G25" s="803" t="inlineStr">
        <is>
          <t>TMJZ27A-T1EAZT</t>
        </is>
      </c>
      <c r="H25" s="803" t="inlineStr">
        <is>
          <t>28nm, No PI, No Bumping</t>
        </is>
      </c>
      <c r="I25" s="803" t="inlineStr">
        <is>
          <t>molding</t>
        </is>
      </c>
      <c r="J25" s="805" t="n"/>
      <c r="K25" s="806" t="n">
        <v>265</v>
      </c>
      <c r="L25" s="794">
        <f>E25&amp;$L$1</f>
        <v/>
      </c>
      <c r="N25" s="794">
        <f>C25&amp;$N$1</f>
        <v/>
      </c>
    </row>
    <row r="26" ht="16.25" customHeight="1" s="184">
      <c r="A26" s="803" t="inlineStr">
        <is>
          <t>TMJZ27A-T1EAZT</t>
        </is>
      </c>
      <c r="B26" s="641" t="inlineStr">
        <is>
          <t>BM1682_A</t>
        </is>
      </c>
      <c r="C26" s="641" t="inlineStr">
        <is>
          <t>BM1682_A</t>
        </is>
      </c>
      <c r="D26" s="641" t="inlineStr">
        <is>
          <t>Y09BM1682A11</t>
        </is>
      </c>
      <c r="E26" s="804" t="inlineStr">
        <is>
          <t>BM1682</t>
        </is>
      </c>
      <c r="F26" s="804" t="inlineStr">
        <is>
          <t>Y09JY1682000</t>
        </is>
      </c>
      <c r="G26" s="803" t="inlineStr">
        <is>
          <t>TMJZ27A-T1EAZT</t>
        </is>
      </c>
      <c r="H26" s="803" t="inlineStr">
        <is>
          <t>28nm, No PI, No Bumping</t>
        </is>
      </c>
      <c r="I26" s="803" t="inlineStr">
        <is>
          <t>molding, ASEKH second version substrate</t>
        </is>
      </c>
      <c r="J26" s="805" t="n"/>
      <c r="K26" s="806" t="n">
        <v>265</v>
      </c>
      <c r="L26" s="794">
        <f>E26&amp;$L$1</f>
        <v/>
      </c>
      <c r="N26" s="794">
        <f>C26&amp;$N$1</f>
        <v/>
      </c>
    </row>
    <row r="27" ht="16.25" customHeight="1" s="184">
      <c r="A27" s="803" t="inlineStr">
        <is>
          <t>TMJZ27A-T1EAZT</t>
        </is>
      </c>
      <c r="B27" s="641" t="inlineStr">
        <is>
          <t>BM1682_B</t>
        </is>
      </c>
      <c r="C27" s="641" t="inlineStr">
        <is>
          <t>BM1682_B</t>
        </is>
      </c>
      <c r="D27" s="641" t="inlineStr">
        <is>
          <t>Y09BM1682B11</t>
        </is>
      </c>
      <c r="E27" s="804" t="inlineStr">
        <is>
          <t>BM1682</t>
        </is>
      </c>
      <c r="F27" s="804" t="inlineStr">
        <is>
          <t>Y09JY1682000</t>
        </is>
      </c>
      <c r="G27" s="803" t="inlineStr">
        <is>
          <t>TMJZ27A-T1EAZT</t>
        </is>
      </c>
      <c r="H27" s="803" t="inlineStr">
        <is>
          <t>28nm, No PI, No Bumping</t>
        </is>
      </c>
      <c r="I27" s="803" t="inlineStr">
        <is>
          <t>molding, ASEKH second version substrate</t>
        </is>
      </c>
      <c r="J27" s="805" t="inlineStr">
        <is>
          <t>矿机专用测试程序</t>
        </is>
      </c>
      <c r="K27" s="806" t="n">
        <v>265</v>
      </c>
      <c r="L27" s="794">
        <f>E27&amp;$L$1</f>
        <v/>
      </c>
      <c r="N27" s="794">
        <f>C27&amp;$N$1</f>
        <v/>
      </c>
    </row>
    <row r="28">
      <c r="A28" s="803" t="inlineStr">
        <is>
          <t>TMJI89A-EAZT</t>
        </is>
      </c>
      <c r="B28" s="641" t="inlineStr">
        <is>
          <t>BM1760</t>
        </is>
      </c>
      <c r="C28" s="641" t="inlineStr">
        <is>
          <t>BM1760</t>
        </is>
      </c>
      <c r="D28" s="641" t="inlineStr">
        <is>
          <t>Y09BM1760010</t>
        </is>
      </c>
      <c r="E28" s="804" t="inlineStr">
        <is>
          <t>BM1760</t>
        </is>
      </c>
      <c r="F28" s="804" t="inlineStr">
        <is>
          <t>Y09JY1760010</t>
        </is>
      </c>
      <c r="G28" s="803" t="inlineStr">
        <is>
          <t>TMJI89A-EAZT</t>
        </is>
      </c>
      <c r="H28" s="803" t="inlineStr">
        <is>
          <t>28nm, No PI, No Bumping</t>
        </is>
      </c>
      <c r="I28" s="803" t="inlineStr">
        <is>
          <t>molding</t>
        </is>
      </c>
      <c r="J28" s="805" t="n"/>
      <c r="K28" s="806" t="n">
        <v>7973</v>
      </c>
      <c r="L28" s="794">
        <f>E28&amp;$L$1</f>
        <v/>
      </c>
      <c r="N28" s="794">
        <f>C28&amp;$N$1</f>
        <v/>
      </c>
    </row>
    <row r="29">
      <c r="A29" s="803" t="inlineStr">
        <is>
          <t>TMJI89A-T1EAZT</t>
        </is>
      </c>
      <c r="B29" s="641" t="inlineStr">
        <is>
          <t>BM1760B</t>
        </is>
      </c>
      <c r="C29" s="641" t="inlineStr">
        <is>
          <t>BM1760B</t>
        </is>
      </c>
      <c r="D29" s="641" t="inlineStr">
        <is>
          <t>Y09BM1760B00</t>
        </is>
      </c>
      <c r="E29" s="804" t="inlineStr">
        <is>
          <t>BM1760B</t>
        </is>
      </c>
      <c r="F29" s="804" t="inlineStr">
        <is>
          <t>Y09JY1760B20</t>
        </is>
      </c>
      <c r="G29" s="803" t="inlineStr">
        <is>
          <t>TMJI89A-T1EAZT</t>
        </is>
      </c>
      <c r="H29" s="803" t="inlineStr">
        <is>
          <t>28nm, No PI, No Bumping, Process Change</t>
        </is>
      </c>
      <c r="I29" s="803" t="inlineStr">
        <is>
          <t>molding</t>
        </is>
      </c>
      <c r="J29" s="805" t="n"/>
      <c r="K29" s="806" t="n">
        <v>7973</v>
      </c>
      <c r="L29" s="794">
        <f>E29&amp;$L$1</f>
        <v/>
      </c>
      <c r="N29" s="794">
        <f>C29&amp;$N$1</f>
        <v/>
      </c>
    </row>
    <row r="30">
      <c r="A30" s="803" t="inlineStr">
        <is>
          <t>TMJI89A-T1EAZT</t>
        </is>
      </c>
      <c r="B30" s="641" t="inlineStr">
        <is>
          <t>BM1760BE</t>
        </is>
      </c>
      <c r="C30" s="641" t="inlineStr">
        <is>
          <t>BM1760BE</t>
        </is>
      </c>
      <c r="D30" s="641" t="inlineStr">
        <is>
          <t>Y09BM1760B10</t>
        </is>
      </c>
      <c r="E30" s="804" t="inlineStr">
        <is>
          <t>BM1760B</t>
        </is>
      </c>
      <c r="F30" s="804" t="inlineStr">
        <is>
          <t>Y09JY1760B20</t>
        </is>
      </c>
      <c r="G30" s="803" t="inlineStr">
        <is>
          <t>TMJI89A-T1EAZT</t>
        </is>
      </c>
      <c r="H30" s="803" t="inlineStr">
        <is>
          <t>28nm, No PI, No Bumping, Process Change</t>
        </is>
      </c>
      <c r="I30" s="803" t="inlineStr">
        <is>
          <t>exposed die package</t>
        </is>
      </c>
      <c r="J30" s="805" t="n"/>
      <c r="K30" s="806" t="n">
        <v>7973</v>
      </c>
      <c r="L30" s="794">
        <f>E30&amp;$L$1</f>
        <v/>
      </c>
      <c r="N30" s="794">
        <f>C30&amp;$N$1</f>
        <v/>
      </c>
    </row>
    <row r="31" ht="15.75" customHeight="1" s="184">
      <c r="A31" s="808" t="inlineStr">
        <is>
          <t>TMKC37A-EAZT</t>
        </is>
      </c>
      <c r="B31" s="809" t="inlineStr">
        <is>
          <t>BM1393P</t>
        </is>
      </c>
      <c r="C31" s="809" t="inlineStr">
        <is>
          <t>BM1393P</t>
        </is>
      </c>
      <c r="D31" s="641" t="inlineStr">
        <is>
          <t>Y09BM1393P00</t>
        </is>
      </c>
      <c r="E31" s="810" t="inlineStr">
        <is>
          <t>BM1393P</t>
        </is>
      </c>
      <c r="F31" s="804" t="inlineStr">
        <is>
          <t>Y09JY1393P10</t>
        </is>
      </c>
      <c r="G31" s="808" t="inlineStr">
        <is>
          <t>TMKC37A-EAZT</t>
        </is>
      </c>
      <c r="H31" s="808" t="inlineStr">
        <is>
          <t>10nm, With PI, No Bumping</t>
        </is>
      </c>
      <c r="I31" s="808" t="inlineStr">
        <is>
          <t>molding, without Caps</t>
        </is>
      </c>
      <c r="J31" s="812" t="n"/>
      <c r="K31" s="811" t="n">
        <v>4398</v>
      </c>
      <c r="L31" s="794">
        <f>E31&amp;$L$1</f>
        <v/>
      </c>
      <c r="N31" s="794">
        <f>C31&amp;$N$1</f>
        <v/>
      </c>
    </row>
    <row r="32" ht="15.75" customHeight="1" s="184">
      <c r="A32" s="808" t="inlineStr">
        <is>
          <t>TMKC37A-EAZT</t>
        </is>
      </c>
      <c r="B32" s="809" t="inlineStr">
        <is>
          <t>BM1393PC</t>
        </is>
      </c>
      <c r="C32" s="809" t="inlineStr">
        <is>
          <t>BM1393PC</t>
        </is>
      </c>
      <c r="D32" s="641" t="inlineStr">
        <is>
          <t>Y09BM1393100</t>
        </is>
      </c>
      <c r="E32" s="810" t="inlineStr">
        <is>
          <t>BM1393P</t>
        </is>
      </c>
      <c r="F32" s="804" t="inlineStr">
        <is>
          <t>Y09JY1393P10</t>
        </is>
      </c>
      <c r="G32" s="808" t="inlineStr">
        <is>
          <t>TMKC37A-EAZT</t>
        </is>
      </c>
      <c r="H32" s="808" t="inlineStr">
        <is>
          <t>10nm, With  PI, No Bumping</t>
        </is>
      </c>
      <c r="I32" s="808" t="inlineStr">
        <is>
          <t>molding, with Caps</t>
        </is>
      </c>
      <c r="J32" s="812" t="n"/>
      <c r="K32" s="811" t="n">
        <v>4398</v>
      </c>
      <c r="L32" s="794">
        <f>E32&amp;$L$1</f>
        <v/>
      </c>
      <c r="N32" s="794">
        <f>C32&amp;$N$1</f>
        <v/>
      </c>
    </row>
    <row r="33" ht="15.75" customHeight="1" s="184">
      <c r="A33" s="808" t="inlineStr">
        <is>
          <t>TMKC37A-T1EAZT</t>
        </is>
      </c>
      <c r="B33" s="809" t="inlineStr">
        <is>
          <t>BM1393</t>
        </is>
      </c>
      <c r="C33" s="809" t="inlineStr">
        <is>
          <t>BM1393</t>
        </is>
      </c>
      <c r="D33" s="641" t="inlineStr">
        <is>
          <t>Y09BM1393000</t>
        </is>
      </c>
      <c r="E33" s="810" t="inlineStr">
        <is>
          <t>BM1393</t>
        </is>
      </c>
      <c r="F33" s="804" t="inlineStr">
        <is>
          <t>Y09JY1393010</t>
        </is>
      </c>
      <c r="G33" s="808" t="inlineStr">
        <is>
          <t>TMKC37A-T1EAZT</t>
        </is>
      </c>
      <c r="H33" s="808" t="inlineStr">
        <is>
          <t>10nm, No PI, No Bumping</t>
        </is>
      </c>
      <c r="I33" s="808" t="inlineStr">
        <is>
          <t>molding, without Caps</t>
        </is>
      </c>
      <c r="J33" s="812" t="n"/>
      <c r="K33" s="811" t="n">
        <v>4398</v>
      </c>
      <c r="L33" s="794">
        <f>E33&amp;$L$1</f>
        <v/>
      </c>
      <c r="N33" s="794">
        <f>C33&amp;$N$1</f>
        <v/>
      </c>
    </row>
    <row r="34" ht="15.75" customHeight="1" s="184">
      <c r="A34" s="808" t="inlineStr">
        <is>
          <t>TMKC37A-T1EAZT</t>
        </is>
      </c>
      <c r="B34" s="809" t="inlineStr">
        <is>
          <t>BM1393C</t>
        </is>
      </c>
      <c r="C34" s="809" t="inlineStr">
        <is>
          <t>BM1393C</t>
        </is>
      </c>
      <c r="D34" s="641" t="inlineStr">
        <is>
          <t>Y09BM1393C00</t>
        </is>
      </c>
      <c r="E34" s="810" t="inlineStr">
        <is>
          <t>BM1393</t>
        </is>
      </c>
      <c r="F34" s="804" t="inlineStr">
        <is>
          <t>Y09JY1393010</t>
        </is>
      </c>
      <c r="G34" s="808" t="inlineStr">
        <is>
          <t>TMKC37A-T1EAZT</t>
        </is>
      </c>
      <c r="H34" s="808" t="inlineStr">
        <is>
          <t>10nm, No PI, No Bumping</t>
        </is>
      </c>
      <c r="I34" s="808" t="inlineStr">
        <is>
          <t>molding, with Caps</t>
        </is>
      </c>
      <c r="J34" s="812" t="n"/>
      <c r="K34" s="811" t="n">
        <v>4398</v>
      </c>
      <c r="L34" s="794">
        <f>E34&amp;$L$1</f>
        <v/>
      </c>
      <c r="N34" s="794">
        <f>C34&amp;$N$1</f>
        <v/>
      </c>
    </row>
    <row r="35" ht="15.75" customHeight="1" s="184">
      <c r="A35" s="808" t="inlineStr">
        <is>
          <t>TMKC37C-T1EAZT</t>
        </is>
      </c>
      <c r="B35" s="809" t="inlineStr">
        <is>
          <t>BM1393B</t>
        </is>
      </c>
      <c r="C35" s="809" t="inlineStr">
        <is>
          <t>BM1393B</t>
        </is>
      </c>
      <c r="D35" s="641" t="inlineStr">
        <is>
          <t>Y09BM1393B00</t>
        </is>
      </c>
      <c r="E35" s="810" t="inlineStr">
        <is>
          <t>BM1393B</t>
        </is>
      </c>
      <c r="F35" s="804" t="inlineStr">
        <is>
          <t>Y09JY1393B20</t>
        </is>
      </c>
      <c r="G35" s="808" t="inlineStr">
        <is>
          <t>TMKC37C-T1EAZT</t>
        </is>
      </c>
      <c r="H35" s="808" t="inlineStr">
        <is>
          <t xml:space="preserve">10nm, No PI, No Bumping，mask change </t>
        </is>
      </c>
      <c r="I35" s="808" t="inlineStr">
        <is>
          <t>molding, without Caps</t>
        </is>
      </c>
      <c r="J35" s="812" t="n"/>
      <c r="K35" s="811" t="n">
        <v>4398</v>
      </c>
      <c r="L35" s="794">
        <f>E35&amp;$L$1</f>
        <v/>
      </c>
      <c r="N35" s="794">
        <f>C35&amp;$N$1</f>
        <v/>
      </c>
    </row>
    <row r="36" ht="15.75" customHeight="1" s="184">
      <c r="A36" s="808" t="inlineStr">
        <is>
          <t>TMKC37C-T1EAZT</t>
        </is>
      </c>
      <c r="B36" s="809" t="inlineStr">
        <is>
          <t>BM1393BC</t>
        </is>
      </c>
      <c r="C36" s="809" t="inlineStr">
        <is>
          <t>BM1393BC</t>
        </is>
      </c>
      <c r="D36" s="641" t="inlineStr">
        <is>
          <t>Y09BM1393B10</t>
        </is>
      </c>
      <c r="E36" s="810" t="inlineStr">
        <is>
          <t>BM1393B</t>
        </is>
      </c>
      <c r="F36" s="804" t="inlineStr">
        <is>
          <t>Y09JY1393B20</t>
        </is>
      </c>
      <c r="G36" s="808" t="inlineStr">
        <is>
          <t>TMKC37C-T1EAZT</t>
        </is>
      </c>
      <c r="H36" s="808" t="inlineStr">
        <is>
          <t>10nm, No PI, No Bumping, mask change</t>
        </is>
      </c>
      <c r="I36" s="808" t="inlineStr">
        <is>
          <t>molding, with Caps</t>
        </is>
      </c>
      <c r="J36" s="812" t="n"/>
      <c r="K36" s="811" t="n">
        <v>4398</v>
      </c>
      <c r="L36" s="794">
        <f>E36&amp;$L$1</f>
        <v/>
      </c>
      <c r="N36" s="794">
        <f>C36&amp;$N$1</f>
        <v/>
      </c>
    </row>
    <row r="37" ht="15.75" customHeight="1" s="184">
      <c r="A37" s="808" t="inlineStr">
        <is>
          <t>TMKC37B-T2EAZT</t>
        </is>
      </c>
      <c r="B37" s="809" t="inlineStr">
        <is>
          <t>BM1393_BGM</t>
        </is>
      </c>
      <c r="C37" s="809" t="inlineStr">
        <is>
          <t>BM1393_BGM</t>
        </is>
      </c>
      <c r="D37" s="641" t="inlineStr">
        <is>
          <t>Y09BM1393300</t>
        </is>
      </c>
      <c r="E37" s="810" t="inlineStr">
        <is>
          <t>BM1393_BGM</t>
        </is>
      </c>
      <c r="F37" s="804" t="inlineStr">
        <is>
          <t>Y09JY1393130</t>
        </is>
      </c>
      <c r="G37" s="808" t="inlineStr">
        <is>
          <t>TMKC37B-T2EAZT</t>
        </is>
      </c>
      <c r="H37" s="808" t="inlineStr">
        <is>
          <t>10nm, No PI, No Bumping，Custom IO, BGM</t>
        </is>
      </c>
      <c r="I37" s="808" t="inlineStr">
        <is>
          <t>molding, without Caps</t>
        </is>
      </c>
      <c r="J37" s="812" t="n"/>
      <c r="K37" s="811" t="n">
        <v>4398</v>
      </c>
      <c r="L37" s="794">
        <f>E37&amp;$L$1</f>
        <v/>
      </c>
      <c r="N37" s="794">
        <f>C37&amp;$N$1</f>
        <v/>
      </c>
    </row>
    <row r="38" ht="15.75" customHeight="1" s="184">
      <c r="A38" s="808" t="inlineStr">
        <is>
          <t>TMKC37C-T2EAZT</t>
        </is>
      </c>
      <c r="B38" s="809" t="inlineStr">
        <is>
          <t>BM1393B_BGM</t>
        </is>
      </c>
      <c r="C38" s="809" t="inlineStr">
        <is>
          <t>BM1393B_BGM</t>
        </is>
      </c>
      <c r="D38" s="641" t="inlineStr">
        <is>
          <t>Y09BM1393B30</t>
        </is>
      </c>
      <c r="E38" s="810" t="inlineStr">
        <is>
          <t>BM1393B_BGM</t>
        </is>
      </c>
      <c r="F38" s="804" t="inlineStr">
        <is>
          <t>Y09JY1393240</t>
        </is>
      </c>
      <c r="G38" s="808" t="inlineStr">
        <is>
          <t>TMKC37C-T2EAZT</t>
        </is>
      </c>
      <c r="H38" s="808" t="inlineStr">
        <is>
          <t>10nm, No PI, No Bumping，TSMC IO, BGM</t>
        </is>
      </c>
      <c r="I38" s="808" t="inlineStr">
        <is>
          <t>molding, without Caps</t>
        </is>
      </c>
      <c r="J38" s="812" t="n"/>
      <c r="K38" s="811" t="n">
        <v>4398</v>
      </c>
      <c r="L38" s="794">
        <f>E38&amp;$L$1</f>
        <v/>
      </c>
      <c r="N38" s="794">
        <f>C38&amp;$N$1</f>
        <v/>
      </c>
    </row>
    <row r="39" ht="15.75" customHeight="1" s="184">
      <c r="A39" s="808" t="inlineStr">
        <is>
          <t>TMKC37C-T2DNAEACT</t>
        </is>
      </c>
      <c r="B39" s="809" t="inlineStr">
        <is>
          <t>BM1393B_BGM_CP</t>
        </is>
      </c>
      <c r="C39" s="809" t="inlineStr">
        <is>
          <t>BM1393B_BGM_CP</t>
        </is>
      </c>
      <c r="D39" s="641" t="e">
        <v>#N/A</v>
      </c>
      <c r="E39" s="810" t="inlineStr">
        <is>
          <t>BM1393B_BGM_CP</t>
        </is>
      </c>
      <c r="F39" s="804" t="e">
        <v>#N/A</v>
      </c>
      <c r="G39" s="808" t="inlineStr">
        <is>
          <t>TMKC37C-T2DNAEACT</t>
        </is>
      </c>
      <c r="H39" s="808" t="inlineStr">
        <is>
          <t>TSMC IO, BGM, TSMC bumping + CP</t>
        </is>
      </c>
      <c r="I39" s="808" t="inlineStr">
        <is>
          <t>molding, without Caps</t>
        </is>
      </c>
      <c r="J39" s="812" t="n"/>
      <c r="K39" s="811" t="n">
        <v>4398</v>
      </c>
      <c r="L39" s="794">
        <f>E39&amp;$L$1</f>
        <v/>
      </c>
      <c r="N39" s="794">
        <f>C39&amp;$N$1</f>
        <v/>
      </c>
    </row>
    <row r="40" ht="15.75" customHeight="1" s="184">
      <c r="A40" s="808" t="inlineStr">
        <is>
          <t>TMKC37B-T2EAZT</t>
        </is>
      </c>
      <c r="B40" s="809" t="inlineStr">
        <is>
          <t>BM1393C_BGM</t>
        </is>
      </c>
      <c r="C40" s="809" t="inlineStr">
        <is>
          <t>BM1393C_BGM</t>
        </is>
      </c>
      <c r="D40" s="641" t="inlineStr">
        <is>
          <t>Y09BM1393C10</t>
        </is>
      </c>
      <c r="E40" s="810" t="inlineStr">
        <is>
          <t>BM1393_BGM</t>
        </is>
      </c>
      <c r="F40" s="804" t="inlineStr">
        <is>
          <t>Y09JY1393130</t>
        </is>
      </c>
      <c r="G40" s="808" t="inlineStr">
        <is>
          <t>TMKC37B-T2EAZT</t>
        </is>
      </c>
      <c r="H40" s="808" t="inlineStr">
        <is>
          <t>10nm, No PI, No Bumping，Custom IO, BGM</t>
        </is>
      </c>
      <c r="I40" s="808" t="inlineStr">
        <is>
          <t>molding, with Caps</t>
        </is>
      </c>
      <c r="J40" s="812" t="n"/>
      <c r="K40" s="811" t="n">
        <v>4398</v>
      </c>
      <c r="L40" s="794">
        <f>E40&amp;$L$1</f>
        <v/>
      </c>
      <c r="N40" s="794">
        <f>C40&amp;$N$1</f>
        <v/>
      </c>
    </row>
    <row r="41" ht="15.75" customHeight="1" s="184">
      <c r="A41" s="808" t="inlineStr">
        <is>
          <t>TMKC37C-T2EAZT</t>
        </is>
      </c>
      <c r="B41" s="809" t="inlineStr">
        <is>
          <t>BM1393BC_BGM</t>
        </is>
      </c>
      <c r="C41" s="809" t="inlineStr">
        <is>
          <t>BM1393BC_BGM</t>
        </is>
      </c>
      <c r="D41" s="641" t="inlineStr">
        <is>
          <t>Y09BM1393B40</t>
        </is>
      </c>
      <c r="E41" s="810" t="inlineStr">
        <is>
          <t>BM1393B_BGM</t>
        </is>
      </c>
      <c r="F41" s="804" t="inlineStr">
        <is>
          <t>Y09JY1393240</t>
        </is>
      </c>
      <c r="G41" s="808" t="inlineStr">
        <is>
          <t>TMKC37C-T2EAZT</t>
        </is>
      </c>
      <c r="H41" s="808" t="inlineStr">
        <is>
          <t>10nm, No PI, No Bumping，TSMC IO, BGM</t>
        </is>
      </c>
      <c r="I41" s="808" t="inlineStr">
        <is>
          <t>molding, with Caps</t>
        </is>
      </c>
      <c r="J41" s="812" t="n"/>
      <c r="K41" s="811" t="n">
        <v>4398</v>
      </c>
      <c r="L41" s="794">
        <f>E41&amp;$L$1</f>
        <v/>
      </c>
      <c r="N41" s="794">
        <f>C41&amp;$N$1</f>
        <v/>
      </c>
    </row>
    <row r="42" ht="15.75" customHeight="1" s="184">
      <c r="A42" s="808" t="inlineStr">
        <is>
          <t>TMKC37A-T1EAZT</t>
        </is>
      </c>
      <c r="B42" s="809" t="inlineStr">
        <is>
          <t>BM1393C1</t>
        </is>
      </c>
      <c r="C42" s="809" t="inlineStr">
        <is>
          <t>BM1393C1</t>
        </is>
      </c>
      <c r="D42" s="641" t="inlineStr">
        <is>
          <t>Y09BM1393C40</t>
        </is>
      </c>
      <c r="E42" s="810" t="inlineStr">
        <is>
          <t>BM1393</t>
        </is>
      </c>
      <c r="F42" s="804" t="inlineStr">
        <is>
          <t>Y09JY1393010</t>
        </is>
      </c>
      <c r="G42" s="808" t="inlineStr">
        <is>
          <t>TMKC37A-T1EAZT</t>
        </is>
      </c>
      <c r="H42" s="808" t="inlineStr">
        <is>
          <t>10nm, No PI, No Bumping，Custom IO, BSL</t>
        </is>
      </c>
      <c r="I42" s="808" t="inlineStr">
        <is>
          <t>molding, with Section Caps</t>
        </is>
      </c>
      <c r="J42" s="812" t="n"/>
      <c r="K42" s="811" t="n">
        <v>4398</v>
      </c>
      <c r="L42" s="794">
        <f>E42&amp;$L$1</f>
        <v/>
      </c>
      <c r="N42" s="794">
        <f>C42&amp;$N$1</f>
        <v/>
      </c>
    </row>
    <row r="43" ht="15.75" customHeight="1" s="184">
      <c r="A43" s="808" t="inlineStr">
        <is>
          <t>TMKC37C-T1EAZT</t>
        </is>
      </c>
      <c r="B43" s="809" t="inlineStr">
        <is>
          <t>BM1393BC1</t>
        </is>
      </c>
      <c r="C43" s="809" t="inlineStr">
        <is>
          <t>BM1393BC1</t>
        </is>
      </c>
      <c r="D43" s="641" t="inlineStr">
        <is>
          <t>Y09BM1393C60</t>
        </is>
      </c>
      <c r="E43" s="810" t="inlineStr">
        <is>
          <t>BM1393B</t>
        </is>
      </c>
      <c r="F43" s="804" t="inlineStr">
        <is>
          <t>Y09JY1393B20</t>
        </is>
      </c>
      <c r="G43" s="808" t="inlineStr">
        <is>
          <t>TMKC37C-T1EAZT</t>
        </is>
      </c>
      <c r="H43" s="808" t="inlineStr">
        <is>
          <t>10nm, No PI, No Bumping，TSMC IO, BSL</t>
        </is>
      </c>
      <c r="I43" s="808" t="inlineStr">
        <is>
          <t>molding, with Section Caps</t>
        </is>
      </c>
      <c r="J43" s="812" t="n"/>
      <c r="K43" s="811" t="n">
        <v>4398</v>
      </c>
      <c r="L43" s="794">
        <f>E43&amp;$L$1</f>
        <v/>
      </c>
      <c r="N43" s="794">
        <f>C43&amp;$N$1</f>
        <v/>
      </c>
    </row>
    <row r="44" ht="15.75" customHeight="1" s="184">
      <c r="A44" s="808" t="inlineStr">
        <is>
          <t>TMKC37B-T2EAZT</t>
        </is>
      </c>
      <c r="B44" s="809" t="inlineStr">
        <is>
          <t>BM1393C1_BGM</t>
        </is>
      </c>
      <c r="C44" s="809" t="inlineStr">
        <is>
          <t>BM1393C1_BGM</t>
        </is>
      </c>
      <c r="D44" s="641" t="inlineStr">
        <is>
          <t>Y09BM1393C20</t>
        </is>
      </c>
      <c r="E44" s="810" t="inlineStr">
        <is>
          <t>BM1393_BGM</t>
        </is>
      </c>
      <c r="F44" s="804" t="inlineStr">
        <is>
          <t>Y09JY1393130</t>
        </is>
      </c>
      <c r="G44" s="808" t="inlineStr">
        <is>
          <t>TMKC37B-T2EAZT</t>
        </is>
      </c>
      <c r="H44" s="808" t="inlineStr">
        <is>
          <t>10nm, No PI, No Bumping，Custom IO, BGM</t>
        </is>
      </c>
      <c r="I44" s="808" t="inlineStr">
        <is>
          <t>molding, with Section Caps</t>
        </is>
      </c>
      <c r="J44" s="812" t="n"/>
      <c r="K44" s="811" t="n">
        <v>4398</v>
      </c>
      <c r="L44" s="794">
        <f>E44&amp;$L$1</f>
        <v/>
      </c>
      <c r="N44" s="794">
        <f>C44&amp;$N$1</f>
        <v/>
      </c>
    </row>
    <row r="45" ht="15.75" customHeight="1" s="184">
      <c r="A45" s="808" t="inlineStr">
        <is>
          <t>TMKC37C-T2EAZT</t>
        </is>
      </c>
      <c r="B45" s="809" t="inlineStr">
        <is>
          <t>BM1393BC1_BGM</t>
        </is>
      </c>
      <c r="C45" s="809" t="inlineStr">
        <is>
          <t>BM1393BC1_BGM</t>
        </is>
      </c>
      <c r="D45" s="641" t="inlineStr">
        <is>
          <t>Y09BM1393B50</t>
        </is>
      </c>
      <c r="E45" s="810" t="inlineStr">
        <is>
          <t>BM1393B_BGM</t>
        </is>
      </c>
      <c r="F45" s="804" t="inlineStr">
        <is>
          <t>Y09JY1393240</t>
        </is>
      </c>
      <c r="G45" s="808" t="inlineStr">
        <is>
          <t>TMKC37C-T2EAZT</t>
        </is>
      </c>
      <c r="H45" s="808" t="inlineStr">
        <is>
          <t>10nm, No PI, No Bumping，TSMC IO, BGM</t>
        </is>
      </c>
      <c r="I45" s="808" t="inlineStr">
        <is>
          <t>molding, with Section Caps</t>
        </is>
      </c>
      <c r="J45" s="812" t="n"/>
      <c r="K45" s="811" t="n">
        <v>4398</v>
      </c>
      <c r="L45" s="794">
        <f>E45&amp;$L$1</f>
        <v/>
      </c>
      <c r="N45" s="794">
        <f>C45&amp;$N$1</f>
        <v/>
      </c>
    </row>
    <row r="46" ht="15.75" customHeight="1" s="184">
      <c r="A46" s="808" t="inlineStr">
        <is>
          <t>TMKC37A-T1EAZT</t>
        </is>
      </c>
      <c r="B46" s="809" t="inlineStr">
        <is>
          <t>BM1393C2</t>
        </is>
      </c>
      <c r="C46" s="809" t="inlineStr">
        <is>
          <t>BM1393C2</t>
        </is>
      </c>
      <c r="D46" s="641" t="inlineStr">
        <is>
          <t>Y09BM1393C50</t>
        </is>
      </c>
      <c r="E46" s="810" t="inlineStr">
        <is>
          <t>BM1393</t>
        </is>
      </c>
      <c r="F46" s="804" t="inlineStr">
        <is>
          <t>Y09JY1393010</t>
        </is>
      </c>
      <c r="G46" s="808" t="inlineStr">
        <is>
          <t>TMKC37A-T1EAZT</t>
        </is>
      </c>
      <c r="H46" s="808" t="inlineStr">
        <is>
          <t>10nm, No PI, No Bumping，Custom IO, BSL</t>
        </is>
      </c>
      <c r="I46" s="808" t="inlineStr">
        <is>
          <t>molding, with GND Caps</t>
        </is>
      </c>
      <c r="J46" s="812" t="n"/>
      <c r="K46" s="811" t="n">
        <v>4398</v>
      </c>
      <c r="L46" s="794">
        <f>E46&amp;$L$1</f>
        <v/>
      </c>
      <c r="N46" s="794">
        <f>C46&amp;$N$1</f>
        <v/>
      </c>
    </row>
    <row r="47" ht="15.75" customHeight="1" s="184">
      <c r="A47" s="808" t="inlineStr">
        <is>
          <t>TMKC37C-T1EAZT</t>
        </is>
      </c>
      <c r="B47" s="809" t="inlineStr">
        <is>
          <t>BM1393BC2</t>
        </is>
      </c>
      <c r="C47" s="809" t="inlineStr">
        <is>
          <t>BM1393BC2</t>
        </is>
      </c>
      <c r="D47" s="641" t="inlineStr">
        <is>
          <t>Y09BM1393C70</t>
        </is>
      </c>
      <c r="E47" s="810" t="inlineStr">
        <is>
          <t>BM1393B</t>
        </is>
      </c>
      <c r="F47" s="804" t="inlineStr">
        <is>
          <t>Y09JY1393B20</t>
        </is>
      </c>
      <c r="G47" s="808" t="inlineStr">
        <is>
          <t>TMKC37C-T1EAZT</t>
        </is>
      </c>
      <c r="H47" s="808" t="inlineStr">
        <is>
          <t>10nm, No PI, No Bumping，TSMC IO, BSL</t>
        </is>
      </c>
      <c r="I47" s="808" t="inlineStr">
        <is>
          <t>molding, with GND Caps</t>
        </is>
      </c>
      <c r="J47" s="812" t="n"/>
      <c r="K47" s="811" t="n">
        <v>4398</v>
      </c>
      <c r="L47" s="794">
        <f>E47&amp;$L$1</f>
        <v/>
      </c>
      <c r="N47" s="794">
        <f>C47&amp;$N$1</f>
        <v/>
      </c>
    </row>
    <row r="48" ht="15.75" customHeight="1" s="184">
      <c r="A48" s="808" t="inlineStr">
        <is>
          <t>TMKC37B-T2EAZT</t>
        </is>
      </c>
      <c r="B48" s="809" t="inlineStr">
        <is>
          <t>BM1393C2_BGM</t>
        </is>
      </c>
      <c r="C48" s="809" t="inlineStr">
        <is>
          <t>BM1393C2_BGM</t>
        </is>
      </c>
      <c r="D48" s="641" t="inlineStr">
        <is>
          <t>Y09BM1393C30</t>
        </is>
      </c>
      <c r="E48" s="810" t="inlineStr">
        <is>
          <t>BM1393_BGM</t>
        </is>
      </c>
      <c r="F48" s="804" t="inlineStr">
        <is>
          <t>Y09JY1393130</t>
        </is>
      </c>
      <c r="G48" s="808" t="inlineStr">
        <is>
          <t>TMKC37B-T2EAZT</t>
        </is>
      </c>
      <c r="H48" s="808" t="inlineStr">
        <is>
          <t>10nm, No PI, No Bumping，Custom IO, BGM</t>
        </is>
      </c>
      <c r="I48" s="808" t="inlineStr">
        <is>
          <t>molding, with GND Caps</t>
        </is>
      </c>
      <c r="J48" s="812" t="n"/>
      <c r="K48" s="811" t="n">
        <v>4398</v>
      </c>
      <c r="L48" s="794">
        <f>E48&amp;$L$1</f>
        <v/>
      </c>
      <c r="N48" s="794">
        <f>C48&amp;$N$1</f>
        <v/>
      </c>
    </row>
    <row r="49" ht="15.75" customHeight="1" s="184">
      <c r="A49" s="808" t="inlineStr">
        <is>
          <t>TMKC37C-T2EAZT</t>
        </is>
      </c>
      <c r="B49" s="809" t="inlineStr">
        <is>
          <t>BM1393BC2_BGM</t>
        </is>
      </c>
      <c r="C49" s="809" t="inlineStr">
        <is>
          <t>BM1393BC2_BGM</t>
        </is>
      </c>
      <c r="D49" s="641" t="inlineStr">
        <is>
          <t>Y09BM1393B60</t>
        </is>
      </c>
      <c r="E49" s="810" t="inlineStr">
        <is>
          <t>BM1393B_BGM</t>
        </is>
      </c>
      <c r="F49" s="804" t="inlineStr">
        <is>
          <t>Y09JY1393240</t>
        </is>
      </c>
      <c r="G49" s="808" t="inlineStr">
        <is>
          <t>TMKC37C-T2EAZT</t>
        </is>
      </c>
      <c r="H49" s="808" t="inlineStr">
        <is>
          <t>10nm, No PI, No Bumping，TSMC IO, BGM</t>
        </is>
      </c>
      <c r="I49" s="808" t="inlineStr">
        <is>
          <t>molding, with GND Caps</t>
        </is>
      </c>
      <c r="J49" s="812" t="n"/>
      <c r="K49" s="811" t="n">
        <v>4398</v>
      </c>
      <c r="L49" s="794">
        <f>E49&amp;$L$1</f>
        <v/>
      </c>
      <c r="N49" s="794">
        <f>C49&amp;$N$1</f>
        <v/>
      </c>
    </row>
    <row r="50" ht="15.75" customHeight="1" s="184">
      <c r="A50" s="808" t="inlineStr">
        <is>
          <t>TMKC37C-T1EAZT</t>
        </is>
      </c>
      <c r="B50" s="809" t="inlineStr">
        <is>
          <t>BM1393BE</t>
        </is>
      </c>
      <c r="C50" s="809" t="inlineStr">
        <is>
          <t>BM1393BE</t>
        </is>
      </c>
      <c r="D50" s="641" t="inlineStr">
        <is>
          <t>Y09BM1393310</t>
        </is>
      </c>
      <c r="E50" s="810" t="inlineStr">
        <is>
          <t>BM1393B</t>
        </is>
      </c>
      <c r="F50" s="804" t="inlineStr">
        <is>
          <t>Y09JY1393B20</t>
        </is>
      </c>
      <c r="G50" s="808" t="inlineStr">
        <is>
          <t>TMKC37C-T1EAZT</t>
        </is>
      </c>
      <c r="H50" s="808" t="inlineStr">
        <is>
          <t>10nm, No PI, No Bumping，mask change</t>
        </is>
      </c>
      <c r="I50" s="808" t="inlineStr">
        <is>
          <t>molding, exposed die, without Caps</t>
        </is>
      </c>
      <c r="J50" s="812" t="n"/>
      <c r="K50" s="811" t="n">
        <v>4398</v>
      </c>
      <c r="L50" s="794">
        <f>E50&amp;$L$1</f>
        <v/>
      </c>
      <c r="N50" s="794">
        <f>C50&amp;$N$1</f>
        <v/>
      </c>
    </row>
    <row r="51" ht="15.75" customHeight="1" s="184">
      <c r="A51" s="808" t="inlineStr">
        <is>
          <t>TMKC37C-T2EAZT</t>
        </is>
      </c>
      <c r="B51" s="809" t="inlineStr">
        <is>
          <t>BM1393BE_BGM</t>
        </is>
      </c>
      <c r="C51" s="809" t="inlineStr">
        <is>
          <t>BM1393BE_BGM</t>
        </is>
      </c>
      <c r="D51" s="641" t="inlineStr">
        <is>
          <t>Y09BM1393410</t>
        </is>
      </c>
      <c r="E51" s="810" t="inlineStr">
        <is>
          <t>BM1393B_BGM</t>
        </is>
      </c>
      <c r="F51" s="804" t="inlineStr">
        <is>
          <t>Y09JY1393240</t>
        </is>
      </c>
      <c r="G51" s="808" t="inlineStr">
        <is>
          <t>TMKC37C-T2EAZT</t>
        </is>
      </c>
      <c r="H51" s="808" t="inlineStr">
        <is>
          <t>10nm, No PI, No Bumping，mask change</t>
        </is>
      </c>
      <c r="I51" s="808" t="inlineStr">
        <is>
          <t>molding, exposed die, without Caps</t>
        </is>
      </c>
      <c r="J51" s="812" t="n"/>
      <c r="K51" s="811" t="n">
        <v>4398</v>
      </c>
      <c r="L51" s="794">
        <f>E51&amp;$L$1</f>
        <v/>
      </c>
      <c r="N51" s="794">
        <f>C51&amp;$N$1</f>
        <v/>
      </c>
    </row>
    <row r="52" ht="15.75" customHeight="1" s="184">
      <c r="A52" s="808" t="inlineStr">
        <is>
          <t>TMHU59C-T8EAZP</t>
        </is>
      </c>
      <c r="B52" s="809" t="inlineStr">
        <is>
          <t>BM1387BL</t>
        </is>
      </c>
      <c r="C52" s="809" t="inlineStr">
        <is>
          <t>BM1387BL</t>
        </is>
      </c>
      <c r="D52" s="641" t="inlineStr">
        <is>
          <t>Y09BM1387B40</t>
        </is>
      </c>
      <c r="E52" s="810" t="inlineStr">
        <is>
          <t>BM1387BL</t>
        </is>
      </c>
      <c r="F52" s="804" t="inlineStr">
        <is>
          <t>Y09JY1393B50</t>
        </is>
      </c>
      <c r="G52" s="808" t="inlineStr">
        <is>
          <t>TMHU59C-T8EAZP</t>
        </is>
      </c>
      <c r="H52" s="803" t="inlineStr">
        <is>
          <t>16nm, No PI, No Bumping，Low VT</t>
        </is>
      </c>
      <c r="I52" s="808" t="inlineStr">
        <is>
          <t>molding</t>
        </is>
      </c>
      <c r="J52" s="812" t="n"/>
      <c r="K52" s="806" t="n">
        <v>5180</v>
      </c>
      <c r="L52" s="794">
        <f>E52&amp;$L$1</f>
        <v/>
      </c>
      <c r="N52" s="794">
        <f>C52&amp;$N$1</f>
        <v/>
      </c>
    </row>
    <row r="53" ht="15.75" customHeight="1" s="184">
      <c r="A53" s="808" t="inlineStr">
        <is>
          <t>TMHU59C-T8EAZM</t>
        </is>
      </c>
      <c r="B53" s="809" t="inlineStr">
        <is>
          <t>BM1387BL</t>
        </is>
      </c>
      <c r="C53" s="809" t="inlineStr">
        <is>
          <t>BM1387BL</t>
        </is>
      </c>
      <c r="D53" s="641" t="inlineStr">
        <is>
          <t>Y09BM1387B40</t>
        </is>
      </c>
      <c r="E53" s="810" t="inlineStr">
        <is>
          <t>BM1387FFM</t>
        </is>
      </c>
      <c r="F53" s="804" t="inlineStr">
        <is>
          <t>Y09JY1387130</t>
        </is>
      </c>
      <c r="G53" s="808" t="inlineStr">
        <is>
          <t>TMHU59C-T8EAZM</t>
        </is>
      </c>
      <c r="H53" s="803" t="inlineStr">
        <is>
          <t>16nm, No PI, No Bumping，0.36V Low VT</t>
        </is>
      </c>
      <c r="I53" s="808" t="inlineStr">
        <is>
          <t>molding</t>
        </is>
      </c>
      <c r="J53" s="812" t="n"/>
      <c r="K53" s="806" t="n">
        <v>5180</v>
      </c>
      <c r="L53" s="794">
        <f>E53&amp;$L$1</f>
        <v/>
      </c>
      <c r="N53" s="794">
        <f>C53&amp;$N$1</f>
        <v/>
      </c>
    </row>
    <row r="54" ht="15.75" customHeight="1" s="184">
      <c r="A54" s="808" t="inlineStr">
        <is>
          <t>TMHU59C-TAEAZP</t>
        </is>
      </c>
      <c r="B54" s="809" t="inlineStr">
        <is>
          <t>BM1387BL</t>
        </is>
      </c>
      <c r="C54" s="809" t="inlineStr">
        <is>
          <t>BM1387BL</t>
        </is>
      </c>
      <c r="D54" s="641" t="inlineStr">
        <is>
          <t>Y09BM1387B40</t>
        </is>
      </c>
      <c r="E54" s="810" t="inlineStr">
        <is>
          <t>BM1387FFB</t>
        </is>
      </c>
      <c r="F54" s="804" t="inlineStr">
        <is>
          <t>Y09JY1387240</t>
        </is>
      </c>
      <c r="G54" s="808" t="inlineStr">
        <is>
          <t>TMHU59C-TAEAZP</t>
        </is>
      </c>
      <c r="H54" s="803" t="inlineStr">
        <is>
          <t>16nm, 0.36V, No PI, No Bumping</t>
        </is>
      </c>
      <c r="I54" s="808" t="n"/>
      <c r="J54" s="813" t="n"/>
      <c r="K54" s="811" t="n">
        <v>5180</v>
      </c>
      <c r="L54" s="794">
        <f>E54&amp;$L$1</f>
        <v/>
      </c>
      <c r="N54" s="794">
        <f>C54&amp;$N$1</f>
        <v/>
      </c>
    </row>
    <row r="55" ht="15.75" customHeight="1" s="184">
      <c r="A55" s="808" t="inlineStr">
        <is>
          <t>TMHU59C-TAEAZM</t>
        </is>
      </c>
      <c r="B55" s="809" t="inlineStr">
        <is>
          <t>BM1387BL</t>
        </is>
      </c>
      <c r="C55" s="809" t="inlineStr">
        <is>
          <t>BM1387BL</t>
        </is>
      </c>
      <c r="D55" s="641" t="inlineStr">
        <is>
          <t>Y09BM1387B40</t>
        </is>
      </c>
      <c r="E55" s="810" t="inlineStr">
        <is>
          <t>BM1387FFB</t>
        </is>
      </c>
      <c r="F55" s="804" t="inlineStr">
        <is>
          <t>Y09JY1387240</t>
        </is>
      </c>
      <c r="G55" s="808" t="inlineStr">
        <is>
          <t>TMHU59C-TAEAZM</t>
        </is>
      </c>
      <c r="H55" s="803" t="inlineStr">
        <is>
          <t>16nm, 0.36V, No PI, No Bumping</t>
        </is>
      </c>
      <c r="I55" s="808" t="n"/>
      <c r="J55" s="813" t="n"/>
      <c r="K55" s="811" t="n">
        <v>5180</v>
      </c>
      <c r="L55" s="794">
        <f>E55&amp;$L$1</f>
        <v/>
      </c>
      <c r="N55" s="794">
        <f>C55&amp;$N$1</f>
        <v/>
      </c>
    </row>
    <row r="56" ht="17.5" customHeight="1" s="184">
      <c r="A56" s="808" t="inlineStr">
        <is>
          <t>TMKR70A-EAZM</t>
        </is>
      </c>
      <c r="B56" s="809" t="inlineStr">
        <is>
          <t>BM1762</t>
        </is>
      </c>
      <c r="C56" s="809" t="inlineStr">
        <is>
          <t>BM1762AA</t>
        </is>
      </c>
      <c r="D56" s="641" t="inlineStr">
        <is>
          <t>Y09BM1762100</t>
        </is>
      </c>
      <c r="E56" s="810" t="inlineStr">
        <is>
          <t>BM1762</t>
        </is>
      </c>
      <c r="F56" s="804" t="inlineStr">
        <is>
          <t>Y09JY1762020</t>
        </is>
      </c>
      <c r="G56" s="808" t="inlineStr">
        <is>
          <t>TMKR70A-EAZM</t>
        </is>
      </c>
      <c r="H56" s="803" t="inlineStr">
        <is>
          <t>16nm, 0.4V, No PI, No Bumping</t>
        </is>
      </c>
      <c r="I56" s="814" t="inlineStr">
        <is>
          <t>molding，expose die,BSM,CTM IO</t>
        </is>
      </c>
      <c r="J56" s="812" t="n"/>
      <c r="K56" s="806" t="n">
        <v>2897</v>
      </c>
      <c r="L56" s="794">
        <f>E56&amp;$L$1</f>
        <v/>
      </c>
      <c r="M56" s="794">
        <f>L56&amp;$O$1&amp;G56&amp;$O$1&amp;H56</f>
        <v/>
      </c>
      <c r="N56" s="794">
        <f>C56&amp;$N$1</f>
        <v/>
      </c>
      <c r="O56" s="794">
        <f>N56&amp;$O$1&amp;I56</f>
        <v/>
      </c>
    </row>
    <row r="57" ht="17.5" customHeight="1" s="184">
      <c r="A57" s="808" t="inlineStr">
        <is>
          <t>TMKR70A-T1EAZM</t>
        </is>
      </c>
      <c r="B57" s="809" t="inlineStr">
        <is>
          <t>BM1762</t>
        </is>
      </c>
      <c r="C57" s="809" t="inlineStr">
        <is>
          <t>BM1762AB</t>
        </is>
      </c>
      <c r="D57" s="641" t="inlineStr">
        <is>
          <t>Y09BM1762200</t>
        </is>
      </c>
      <c r="E57" s="810" t="inlineStr">
        <is>
          <t>BM1762FFM</t>
        </is>
      </c>
      <c r="F57" s="804" t="inlineStr">
        <is>
          <t>Y09JY1762110</t>
        </is>
      </c>
      <c r="G57" s="808" t="inlineStr">
        <is>
          <t>TMKR70A-T1EAZM</t>
        </is>
      </c>
      <c r="H57" s="803" t="inlineStr">
        <is>
          <t>16nm, 0.36V, No PI, No Bumping</t>
        </is>
      </c>
      <c r="I57" s="814" t="inlineStr">
        <is>
          <t>molding，expose die,BSM,CTM IO</t>
        </is>
      </c>
      <c r="J57" s="812" t="n"/>
      <c r="K57" s="806" t="n">
        <v>2897</v>
      </c>
      <c r="L57" s="794">
        <f>E57&amp;$L$1</f>
        <v/>
      </c>
      <c r="M57" s="794">
        <f>L57&amp;$O$1&amp;G57&amp;$O$1&amp;H57</f>
        <v/>
      </c>
      <c r="N57" s="794">
        <f>C57&amp;$N$1</f>
        <v/>
      </c>
      <c r="O57" s="794">
        <f>N57&amp;$O$1&amp;I57</f>
        <v/>
      </c>
    </row>
    <row r="58" ht="15.75" customHeight="1" s="184">
      <c r="A58" s="808" t="inlineStr">
        <is>
          <t>TMKR70A-EAZM</t>
        </is>
      </c>
      <c r="B58" s="809" t="inlineStr">
        <is>
          <t>BM1762</t>
        </is>
      </c>
      <c r="C58" s="809" t="inlineStr">
        <is>
          <t>BM1762AC</t>
        </is>
      </c>
      <c r="D58" s="641" t="inlineStr">
        <is>
          <t>Y09BM1762300</t>
        </is>
      </c>
      <c r="E58" s="810" t="inlineStr">
        <is>
          <t>BM1762</t>
        </is>
      </c>
      <c r="F58" s="804" t="inlineStr">
        <is>
          <t>Y09JY1762020</t>
        </is>
      </c>
      <c r="G58" s="808" t="inlineStr">
        <is>
          <t>TMKR70A-EAZM</t>
        </is>
      </c>
      <c r="H58" s="803" t="inlineStr">
        <is>
          <t>16nm, 0.4V, No PI, No Bumping</t>
        </is>
      </c>
      <c r="I58" s="814" t="inlineStr">
        <is>
          <t>molding, expose die,BSM,CTM IO</t>
        </is>
      </c>
      <c r="J58" s="812" t="n"/>
      <c r="K58" s="806" t="n">
        <v>2897</v>
      </c>
      <c r="L58" s="794">
        <f>E58&amp;$L$1</f>
        <v/>
      </c>
      <c r="M58" s="794">
        <f>L58&amp;$O$1&amp;G58&amp;$O$1&amp;H58</f>
        <v/>
      </c>
      <c r="N58" s="794">
        <f>C58&amp;$N$1</f>
        <v/>
      </c>
      <c r="O58" s="794">
        <f>N58&amp;$O$1&amp;I58</f>
        <v/>
      </c>
    </row>
    <row r="59" ht="17.5" customHeight="1" s="184">
      <c r="A59" s="808" t="inlineStr">
        <is>
          <t>TMKR70A-T1EAZM</t>
        </is>
      </c>
      <c r="B59" s="809" t="inlineStr">
        <is>
          <t>BM1762</t>
        </is>
      </c>
      <c r="C59" s="809" t="inlineStr">
        <is>
          <t>BM1762AD</t>
        </is>
      </c>
      <c r="D59" s="641" t="inlineStr">
        <is>
          <t>Y09BM1762400</t>
        </is>
      </c>
      <c r="E59" s="810" t="inlineStr">
        <is>
          <t>BM1762FFM</t>
        </is>
      </c>
      <c r="F59" s="804" t="inlineStr">
        <is>
          <t>Y09JY1762110</t>
        </is>
      </c>
      <c r="G59" s="808" t="inlineStr">
        <is>
          <t>TMKR70A-T1EAZM</t>
        </is>
      </c>
      <c r="H59" s="803" t="inlineStr">
        <is>
          <t>16nm, 0.36V, No PI, No Bumping</t>
        </is>
      </c>
      <c r="I59" s="814" t="inlineStr">
        <is>
          <t>molding, expose die,BSM,CTM IO</t>
        </is>
      </c>
      <c r="J59" s="812" t="n"/>
      <c r="K59" s="806" t="n">
        <v>2897</v>
      </c>
      <c r="L59" s="794">
        <f>E59&amp;$L$1</f>
        <v/>
      </c>
      <c r="M59" s="794">
        <f>L59&amp;$O$1&amp;G59&amp;$O$1&amp;H59</f>
        <v/>
      </c>
      <c r="N59" s="794">
        <f>C59&amp;$N$1</f>
        <v/>
      </c>
      <c r="O59" s="794">
        <f>N59&amp;$O$1&amp;I59</f>
        <v/>
      </c>
    </row>
    <row r="60" ht="15.75" customHeight="1" s="184">
      <c r="A60" s="808" t="inlineStr">
        <is>
          <t>TMKM60A-EAZM</t>
        </is>
      </c>
      <c r="B60" s="809" t="inlineStr">
        <is>
          <t>BM1487</t>
        </is>
      </c>
      <c r="C60" s="809" t="inlineStr">
        <is>
          <t>BM1487AA</t>
        </is>
      </c>
      <c r="D60" s="641" t="inlineStr">
        <is>
          <t>Y09BM1487100</t>
        </is>
      </c>
      <c r="E60" s="810" t="inlineStr">
        <is>
          <t>BM1487</t>
        </is>
      </c>
      <c r="F60" s="804" t="inlineStr">
        <is>
          <t>Y09JY1487020</t>
        </is>
      </c>
      <c r="G60" s="808" t="inlineStr">
        <is>
          <t>TMKM60A-EAZM</t>
        </is>
      </c>
      <c r="H60" s="803" t="inlineStr">
        <is>
          <t>Fab16, 12nm, No PI, No Bumping</t>
        </is>
      </c>
      <c r="I60" s="808" t="inlineStr">
        <is>
          <t>molding</t>
        </is>
      </c>
      <c r="J60" s="812" t="n"/>
      <c r="K60" s="806" t="n">
        <v>2314</v>
      </c>
      <c r="L60" s="794">
        <f>E60&amp;$L$1</f>
        <v/>
      </c>
      <c r="N60" s="794">
        <f>C60&amp;$N$1</f>
        <v/>
      </c>
    </row>
    <row r="61" ht="15.75" customHeight="1" s="184">
      <c r="A61" s="808" t="inlineStr">
        <is>
          <t>TMKM60A-T1EAZM</t>
        </is>
      </c>
      <c r="B61" s="809" t="inlineStr">
        <is>
          <t>BM1487</t>
        </is>
      </c>
      <c r="C61" s="809" t="inlineStr">
        <is>
          <t>BM1487AB</t>
        </is>
      </c>
      <c r="D61" s="641" t="inlineStr">
        <is>
          <t>Y09BM1487300</t>
        </is>
      </c>
      <c r="E61" s="810" t="inlineStr">
        <is>
          <t>BM1487FFM</t>
        </is>
      </c>
      <c r="F61" s="804" t="inlineStr">
        <is>
          <t>Y09JY1487110</t>
        </is>
      </c>
      <c r="G61" s="808" t="inlineStr">
        <is>
          <t>TMKM60A-T1EAZM</t>
        </is>
      </c>
      <c r="H61" s="808" t="inlineStr">
        <is>
          <t>Fab16, 16nm, No PI, No Bumping</t>
        </is>
      </c>
      <c r="I61" s="808" t="inlineStr">
        <is>
          <t>molding</t>
        </is>
      </c>
      <c r="J61" s="812" t="n"/>
      <c r="K61" s="811" t="n">
        <v>2314</v>
      </c>
      <c r="L61" s="794">
        <f>E61&amp;$L$1</f>
        <v/>
      </c>
      <c r="N61" s="794">
        <f>C61&amp;$N$1</f>
        <v/>
      </c>
    </row>
    <row r="62" ht="15.75" customHeight="1" s="184">
      <c r="A62" s="808" t="inlineStr">
        <is>
          <t>TMKM60A-EAZP</t>
        </is>
      </c>
      <c r="B62" s="809" t="inlineStr">
        <is>
          <t>BM1487</t>
        </is>
      </c>
      <c r="C62" s="809" t="inlineStr">
        <is>
          <t>BM1487AC</t>
        </is>
      </c>
      <c r="D62" s="641" t="inlineStr">
        <is>
          <t>Y09BM1487200</t>
        </is>
      </c>
      <c r="E62" s="810" t="inlineStr">
        <is>
          <t>BM1487</t>
        </is>
      </c>
      <c r="F62" s="804" t="inlineStr">
        <is>
          <t>Y09JY1487020</t>
        </is>
      </c>
      <c r="G62" s="808" t="inlineStr">
        <is>
          <t>TMKM60A-EAZP</t>
        </is>
      </c>
      <c r="H62" s="803" t="inlineStr">
        <is>
          <t>Fab14, 12nm, No PI, No Bumping</t>
        </is>
      </c>
      <c r="I62" s="808" t="inlineStr">
        <is>
          <t>molding</t>
        </is>
      </c>
      <c r="J62" s="812" t="n"/>
      <c r="K62" s="806" t="n">
        <v>2314</v>
      </c>
      <c r="L62" s="794">
        <f>E62&amp;$L$1</f>
        <v/>
      </c>
      <c r="N62" s="794">
        <f>C62&amp;$N$1</f>
        <v/>
      </c>
    </row>
    <row r="63" ht="15.75" customHeight="1" s="184">
      <c r="A63" s="808" t="inlineStr">
        <is>
          <t>TMKQ50A-EAZP</t>
        </is>
      </c>
      <c r="B63" s="809" t="inlineStr">
        <is>
          <t>BM1792</t>
        </is>
      </c>
      <c r="C63" s="809" t="inlineStr">
        <is>
          <t>BM1792AA</t>
        </is>
      </c>
      <c r="D63" s="641" t="inlineStr">
        <is>
          <t>Y09BM1792100</t>
        </is>
      </c>
      <c r="E63" s="810" t="inlineStr">
        <is>
          <t>BM1792</t>
        </is>
      </c>
      <c r="F63" s="804" t="inlineStr">
        <is>
          <t>Y09JY1792010</t>
        </is>
      </c>
      <c r="G63" s="808" t="inlineStr">
        <is>
          <t>TMKQ50A-EAZP</t>
        </is>
      </c>
      <c r="H63" s="803" t="inlineStr">
        <is>
          <t>Fab14, 12nm, No PI, No Bumping</t>
        </is>
      </c>
      <c r="I63" s="808" t="inlineStr">
        <is>
          <t>molding, exposed die</t>
        </is>
      </c>
      <c r="J63" s="812" t="n"/>
      <c r="K63" s="806" t="n">
        <v>1027</v>
      </c>
      <c r="L63" s="794">
        <f>E63&amp;$L$1</f>
        <v/>
      </c>
      <c r="N63" s="794">
        <f>C63&amp;$N$1</f>
        <v/>
      </c>
    </row>
    <row r="64" ht="15.75" customHeight="1" s="184">
      <c r="A64" s="808" t="inlineStr">
        <is>
          <t>TMKU97A-EAZT</t>
        </is>
      </c>
      <c r="B64" s="809" t="inlineStr">
        <is>
          <t>BM1722</t>
        </is>
      </c>
      <c r="C64" s="809" t="inlineStr">
        <is>
          <t>BM1722AA</t>
        </is>
      </c>
      <c r="D64" s="641" t="inlineStr">
        <is>
          <t>Y09BM1722A10</t>
        </is>
      </c>
      <c r="E64" s="810" t="inlineStr">
        <is>
          <t>BM1722</t>
        </is>
      </c>
      <c r="F64" s="804" t="inlineStr">
        <is>
          <t>Y09JY1722000</t>
        </is>
      </c>
      <c r="G64" s="808" t="inlineStr">
        <is>
          <t>TMKU97A-EAZT</t>
        </is>
      </c>
      <c r="H64" s="803" t="inlineStr">
        <is>
          <t>Fab15, 28nm, No PI, No Bumping</t>
        </is>
      </c>
      <c r="I64" s="808" t="inlineStr">
        <is>
          <t>molding, exposed die</t>
        </is>
      </c>
      <c r="J64" s="812" t="n"/>
      <c r="K64" s="806" t="n">
        <v>3151</v>
      </c>
      <c r="L64" s="794">
        <f>E64&amp;$L$1</f>
        <v/>
      </c>
      <c r="N64" s="794">
        <f>C64&amp;$N$1</f>
        <v/>
      </c>
    </row>
    <row r="65" ht="15.75" customHeight="1" s="184">
      <c r="A65" s="808" t="inlineStr">
        <is>
          <t>TMKQ50A-T1EAZP</t>
        </is>
      </c>
      <c r="B65" s="809" t="inlineStr">
        <is>
          <t>BM1792</t>
        </is>
      </c>
      <c r="C65" s="809" t="inlineStr">
        <is>
          <t>BM1792AB</t>
        </is>
      </c>
      <c r="D65" s="641" t="inlineStr">
        <is>
          <t>Y09BM1792110</t>
        </is>
      </c>
      <c r="E65" s="810" t="inlineStr">
        <is>
          <t>BM1792</t>
        </is>
      </c>
      <c r="F65" s="804" t="inlineStr">
        <is>
          <t>Y09JY1792010</t>
        </is>
      </c>
      <c r="G65" s="808" t="inlineStr">
        <is>
          <t>TMKQ50A-T1EAZP</t>
        </is>
      </c>
      <c r="H65" s="803" t="inlineStr">
        <is>
          <t>Fab14, 16nm, No PI, No Bumping</t>
        </is>
      </c>
      <c r="I65" s="808" t="inlineStr">
        <is>
          <t>molding, exposed die</t>
        </is>
      </c>
      <c r="J65" s="812" t="n"/>
      <c r="K65" s="806" t="n">
        <v>1027</v>
      </c>
      <c r="L65" s="794">
        <f>E65&amp;$L$1</f>
        <v/>
      </c>
      <c r="N65" s="794">
        <f>C65&amp;$N$1</f>
        <v/>
      </c>
    </row>
    <row r="66" ht="15.75" customHeight="1" s="184">
      <c r="A66" s="808" t="inlineStr">
        <is>
          <t>TMKN68B-EAZT</t>
        </is>
      </c>
      <c r="B66" s="809" t="inlineStr">
        <is>
          <t>BM1391</t>
        </is>
      </c>
      <c r="C66" s="815" t="inlineStr">
        <is>
          <t>BM1391AE</t>
        </is>
      </c>
      <c r="D66" s="641" t="inlineStr">
        <is>
          <t>Y09BM1391110</t>
        </is>
      </c>
      <c r="E66" s="810" t="inlineStr">
        <is>
          <t>BM1391</t>
        </is>
      </c>
      <c r="F66" s="804" t="inlineStr">
        <is>
          <t>Y09JY1391010</t>
        </is>
      </c>
      <c r="G66" s="808" t="inlineStr">
        <is>
          <t>TMKN68B-EAZT</t>
        </is>
      </c>
      <c r="H66" s="803" t="inlineStr">
        <is>
          <t>Fab15, 7nm, No PI, No Bumping</t>
        </is>
      </c>
      <c r="I66" s="808" t="inlineStr">
        <is>
          <t>molding, exposed die</t>
        </is>
      </c>
      <c r="J66" s="812" t="n"/>
      <c r="K66" s="806" t="n">
        <v>5620</v>
      </c>
      <c r="L66" s="794">
        <f>E66&amp;$L$1</f>
        <v/>
      </c>
      <c r="N66" s="794">
        <f>C66&amp;$N$1</f>
        <v/>
      </c>
    </row>
    <row r="67" ht="15.75" customHeight="1" s="184">
      <c r="A67" s="808" t="inlineStr">
        <is>
          <t>TMKN68C-EAZT</t>
        </is>
      </c>
      <c r="B67" s="809" t="inlineStr">
        <is>
          <t>BM1391</t>
        </is>
      </c>
      <c r="C67" s="815" t="inlineStr">
        <is>
          <t>BM1391BE</t>
        </is>
      </c>
      <c r="D67" s="641" t="inlineStr">
        <is>
          <t>Y09BM1391210</t>
        </is>
      </c>
      <c r="E67" s="810" t="inlineStr">
        <is>
          <t>BM1391B</t>
        </is>
      </c>
      <c r="F67" s="804" t="inlineStr">
        <is>
          <t>Y09JY1391120</t>
        </is>
      </c>
      <c r="G67" s="808" t="inlineStr">
        <is>
          <t>TMKN68C-EAZT</t>
        </is>
      </c>
      <c r="H67" s="803" t="inlineStr">
        <is>
          <t>Fab15, 7nm, No PI, No Bumping</t>
        </is>
      </c>
      <c r="I67" s="808" t="inlineStr">
        <is>
          <t>molding, exposed die</t>
        </is>
      </c>
      <c r="J67" s="812" t="n"/>
      <c r="K67" s="806" t="n">
        <v>5620</v>
      </c>
      <c r="L67" s="794">
        <f>E67&amp;$L$1</f>
        <v/>
      </c>
      <c r="N67" s="794">
        <f>C67&amp;$N$1</f>
        <v/>
      </c>
    </row>
    <row r="68" ht="15.75" customHeight="1" s="184">
      <c r="A68" s="808" t="inlineStr">
        <is>
          <t>TMKN68D-EAZT</t>
        </is>
      </c>
      <c r="B68" s="809" t="inlineStr">
        <is>
          <t>BM1391</t>
        </is>
      </c>
      <c r="C68" s="815" t="inlineStr">
        <is>
          <t>BM1391CE</t>
        </is>
      </c>
      <c r="D68" s="641" t="inlineStr">
        <is>
          <t>Y09BM1391310</t>
        </is>
      </c>
      <c r="E68" s="810" t="inlineStr">
        <is>
          <t>BM1391C</t>
        </is>
      </c>
      <c r="F68" s="804" t="inlineStr">
        <is>
          <t>Y09JY1391230</t>
        </is>
      </c>
      <c r="G68" s="808" t="inlineStr">
        <is>
          <t>TMKN68D-EAZT</t>
        </is>
      </c>
      <c r="H68" s="803" t="inlineStr">
        <is>
          <t>Fab15, 7nm, No PI, No Bumping</t>
        </is>
      </c>
      <c r="I68" s="808" t="inlineStr">
        <is>
          <t>molding, exposed die</t>
        </is>
      </c>
      <c r="J68" s="812" t="n"/>
      <c r="K68" s="806" t="n">
        <v>5620</v>
      </c>
      <c r="L68" s="794">
        <f>E68&amp;$L$1</f>
        <v/>
      </c>
      <c r="N68" s="794">
        <f>C68&amp;$N$1</f>
        <v/>
      </c>
    </row>
    <row r="69" ht="15.75" customHeight="1" s="184">
      <c r="A69" s="808" t="inlineStr">
        <is>
          <t>TMKN68E-EAZT</t>
        </is>
      </c>
      <c r="B69" s="809" t="inlineStr">
        <is>
          <t>BM1391</t>
        </is>
      </c>
      <c r="C69" s="815" t="inlineStr">
        <is>
          <t>BM1391DE</t>
        </is>
      </c>
      <c r="D69" s="641" t="inlineStr">
        <is>
          <t>Y09BM1391410</t>
        </is>
      </c>
      <c r="E69" s="810" t="inlineStr">
        <is>
          <t>BM1391D</t>
        </is>
      </c>
      <c r="F69" s="804" t="inlineStr">
        <is>
          <t>Y09JY1391340</t>
        </is>
      </c>
      <c r="G69" s="808" t="inlineStr">
        <is>
          <t>TMKN68E-EAZT</t>
        </is>
      </c>
      <c r="H69" s="803" t="inlineStr">
        <is>
          <t>Fab15, 7nm, No PI, No Bumping</t>
        </is>
      </c>
      <c r="I69" s="808" t="inlineStr">
        <is>
          <t>molding, exposed die</t>
        </is>
      </c>
      <c r="J69" s="812" t="n"/>
      <c r="K69" s="806" t="n">
        <v>5620</v>
      </c>
      <c r="L69" s="794">
        <f>E69&amp;$L$1</f>
        <v/>
      </c>
      <c r="N69" s="794">
        <f>C69&amp;$N$1</f>
        <v/>
      </c>
    </row>
    <row r="70" ht="15.75" customHeight="1" s="184">
      <c r="A70" s="808" t="inlineStr">
        <is>
          <t>TMKT19A-EAZM</t>
        </is>
      </c>
      <c r="B70" s="809" t="inlineStr">
        <is>
          <t>BM1794</t>
        </is>
      </c>
      <c r="C70" s="809" t="inlineStr">
        <is>
          <t>BM1794AA</t>
        </is>
      </c>
      <c r="D70" s="641" t="inlineStr">
        <is>
          <t>Y09BM1794110</t>
        </is>
      </c>
      <c r="E70" s="810" t="inlineStr">
        <is>
          <t>BM1794</t>
        </is>
      </c>
      <c r="F70" s="804" t="inlineStr">
        <is>
          <t>Y09JY1794010</t>
        </is>
      </c>
      <c r="G70" s="808" t="inlineStr">
        <is>
          <t>TMKT19A-EAZM</t>
        </is>
      </c>
      <c r="H70" s="803" t="inlineStr">
        <is>
          <t>Fab16, 12nm, No PI, No Bumping</t>
        </is>
      </c>
      <c r="I70" s="808" t="inlineStr">
        <is>
          <t>FC-BGA，exposed die</t>
        </is>
      </c>
      <c r="J70" s="812" t="n"/>
      <c r="K70" s="806" t="n">
        <v>148</v>
      </c>
      <c r="L70" s="794">
        <f>E70&amp;$L$1</f>
        <v/>
      </c>
      <c r="N70" s="794">
        <f>C70&amp;$N$1</f>
        <v/>
      </c>
    </row>
    <row r="71" ht="15.75" customHeight="1" s="184">
      <c r="A71" s="808" t="inlineStr">
        <is>
          <t>TMKT91A-EAZT</t>
        </is>
      </c>
      <c r="B71" s="809" t="inlineStr">
        <is>
          <t>BM1880AA</t>
        </is>
      </c>
      <c r="C71" s="809" t="inlineStr">
        <is>
          <t>BM1880AA-0AC</t>
        </is>
      </c>
      <c r="D71" s="641" t="inlineStr">
        <is>
          <t>Y09BM1880110</t>
        </is>
      </c>
      <c r="E71" s="810" t="inlineStr">
        <is>
          <t>BM1880</t>
        </is>
      </c>
      <c r="F71" s="804" t="inlineStr">
        <is>
          <t>Y09JY1880010</t>
        </is>
      </c>
      <c r="G71" s="808" t="inlineStr">
        <is>
          <t>TMKT91A-EAZT</t>
        </is>
      </c>
      <c r="H71" s="803" t="inlineStr">
        <is>
          <t>Fab15, 28nm, No PI, No Bumping</t>
        </is>
      </c>
      <c r="I71" s="808" t="inlineStr">
        <is>
          <t>molding， single die</t>
        </is>
      </c>
      <c r="J71" s="812" t="n"/>
      <c r="K71" s="806" t="n">
        <v>2236</v>
      </c>
      <c r="L71" s="794">
        <f>E71&amp;$L$1</f>
        <v/>
      </c>
      <c r="N71" s="794">
        <f>C71&amp;$N$1</f>
        <v/>
      </c>
    </row>
    <row r="72" ht="15.75" customHeight="1" s="184">
      <c r="A72" s="808" t="inlineStr">
        <is>
          <t>TMKT91A-EAZT</t>
        </is>
      </c>
      <c r="B72" s="809" t="inlineStr">
        <is>
          <t>BM1880AB</t>
        </is>
      </c>
      <c r="C72" s="809" t="inlineStr">
        <is>
          <t>BM1880AB-2AC</t>
        </is>
      </c>
      <c r="D72" s="641" t="inlineStr">
        <is>
          <t>Y09BM1880220</t>
        </is>
      </c>
      <c r="E72" s="810" t="inlineStr">
        <is>
          <t>BM1880</t>
        </is>
      </c>
      <c r="F72" s="804" t="inlineStr">
        <is>
          <t>Y09JY1880010</t>
        </is>
      </c>
      <c r="G72" s="808" t="inlineStr">
        <is>
          <t>TMKT91A-EAZT</t>
        </is>
      </c>
      <c r="H72" s="803" t="inlineStr">
        <is>
          <t>Fab15, 28nm, No PI, No Bumping</t>
        </is>
      </c>
      <c r="I72" s="808" t="inlineStr">
        <is>
          <t>molding， SIP</t>
        </is>
      </c>
      <c r="J72" s="812" t="n"/>
      <c r="K72" s="806" t="n">
        <v>2236</v>
      </c>
      <c r="L72" s="794">
        <f>E72&amp;$L$1</f>
        <v/>
      </c>
      <c r="N72" s="794">
        <f>C72&amp;$N$1</f>
        <v/>
      </c>
    </row>
    <row r="73" ht="15.75" customHeight="1" s="184">
      <c r="A73" s="808" t="inlineStr">
        <is>
          <t>TMKC37D-T2EAZT</t>
        </is>
      </c>
      <c r="B73" s="809" t="inlineStr">
        <is>
          <t>BM1393CE_BGM</t>
        </is>
      </c>
      <c r="C73" s="809" t="inlineStr">
        <is>
          <t>BM1393CE_BGM</t>
        </is>
      </c>
      <c r="D73" s="641" t="inlineStr">
        <is>
          <t>Y09BM1393510</t>
        </is>
      </c>
      <c r="E73" s="810" t="inlineStr">
        <is>
          <t>BM1393C_BGM</t>
        </is>
      </c>
      <c r="F73" s="804" t="inlineStr">
        <is>
          <t>Y09JY1393350</t>
        </is>
      </c>
      <c r="G73" s="808" t="inlineStr">
        <is>
          <t>TMKC37D-T2EAZT</t>
        </is>
      </c>
      <c r="H73" s="803" t="inlineStr">
        <is>
          <t>10nm, No PI, No Bumping，wafer RTO for yield improvement</t>
        </is>
      </c>
      <c r="I73" s="808" t="inlineStr">
        <is>
          <t>molding, exposed die, without Caps</t>
        </is>
      </c>
      <c r="J73" s="812" t="n"/>
      <c r="K73" s="806" t="n">
        <v>4398</v>
      </c>
      <c r="L73" s="794">
        <f>E73&amp;$L$1</f>
        <v/>
      </c>
      <c r="N73" s="794">
        <f>C73&amp;$N$1</f>
        <v/>
      </c>
    </row>
    <row r="74" ht="15.75" customHeight="1" s="184">
      <c r="A74" s="808" t="inlineStr">
        <is>
          <t>TMKC37D-T2EAZT</t>
        </is>
      </c>
      <c r="B74" s="809" t="inlineStr">
        <is>
          <t>BM1393C_BGM</t>
        </is>
      </c>
      <c r="C74" s="809" t="inlineStr">
        <is>
          <t>BM1393C_BGM</t>
        </is>
      </c>
      <c r="D74" s="641" t="inlineStr">
        <is>
          <t>Y09BM1393C10</t>
        </is>
      </c>
      <c r="E74" s="810" t="inlineStr">
        <is>
          <t>BM1393C_BGM</t>
        </is>
      </c>
      <c r="F74" s="804" t="inlineStr">
        <is>
          <t>Y09JY1393350</t>
        </is>
      </c>
      <c r="G74" s="808" t="inlineStr">
        <is>
          <t>TMKC37D-T2EAZT</t>
        </is>
      </c>
      <c r="H74" s="803" t="inlineStr">
        <is>
          <t>10nm, No PI, No Bumping，wafer RTO for yield improvement</t>
        </is>
      </c>
      <c r="I74" s="808" t="inlineStr">
        <is>
          <t>molding, without Caps</t>
        </is>
      </c>
      <c r="J74" s="812" t="n"/>
      <c r="K74" s="806" t="n">
        <v>4398</v>
      </c>
      <c r="L74" s="794">
        <f>E74&amp;$L$1</f>
        <v/>
      </c>
      <c r="N74" s="794">
        <f>C74&amp;$N$1</f>
        <v/>
      </c>
    </row>
    <row r="75" ht="15.75" customHeight="1" s="184">
      <c r="A75" s="808" t="inlineStr">
        <is>
          <t>TMKT91A-EAZT</t>
        </is>
      </c>
      <c r="B75" s="809" t="inlineStr">
        <is>
          <t>BM1890AA</t>
        </is>
      </c>
      <c r="C75" s="809" t="inlineStr">
        <is>
          <t>BM1890AA-0AC</t>
        </is>
      </c>
      <c r="D75" s="641" t="inlineStr">
        <is>
          <t>Y09BM1890110</t>
        </is>
      </c>
      <c r="E75" s="810" t="inlineStr">
        <is>
          <t>BM1880</t>
        </is>
      </c>
      <c r="F75" s="804" t="inlineStr">
        <is>
          <t>Y09JY1880010</t>
        </is>
      </c>
      <c r="G75" s="808" t="inlineStr">
        <is>
          <t>TMKT91A-EAZT</t>
        </is>
      </c>
      <c r="H75" s="803" t="inlineStr">
        <is>
          <t>Fab15, 28nm, No PI, No Bumping</t>
        </is>
      </c>
      <c r="I75" s="808" t="inlineStr">
        <is>
          <t>molding， single die</t>
        </is>
      </c>
      <c r="J75" s="812" t="n"/>
      <c r="K75" s="806" t="n">
        <v>2236</v>
      </c>
      <c r="L75" s="794">
        <f>E75&amp;$L$1</f>
        <v/>
      </c>
      <c r="N75" s="794">
        <f>C75&amp;$N$1</f>
        <v/>
      </c>
    </row>
    <row r="76" ht="15.75" customHeight="1" s="184">
      <c r="A76" s="808" t="inlineStr">
        <is>
          <t>TMKT91A-EAZT</t>
        </is>
      </c>
      <c r="B76" s="809" t="inlineStr">
        <is>
          <t>BM1890AB</t>
        </is>
      </c>
      <c r="C76" s="809" t="inlineStr">
        <is>
          <t>BM1890AB-2AC</t>
        </is>
      </c>
      <c r="D76" s="641" t="inlineStr">
        <is>
          <t>Y09BM1890220</t>
        </is>
      </c>
      <c r="E76" s="810" t="inlineStr">
        <is>
          <t>BM1880</t>
        </is>
      </c>
      <c r="F76" s="804" t="inlineStr">
        <is>
          <t>Y09JY1880010</t>
        </is>
      </c>
      <c r="G76" s="808" t="inlineStr">
        <is>
          <t>TMKT91A-EAZT</t>
        </is>
      </c>
      <c r="H76" s="803" t="inlineStr">
        <is>
          <t>Fab15, 28nm, No PI, No Bumping</t>
        </is>
      </c>
      <c r="I76" s="808" t="inlineStr">
        <is>
          <t>molding， SIP</t>
        </is>
      </c>
      <c r="J76" s="812" t="n"/>
      <c r="K76" s="806" t="n">
        <v>2236</v>
      </c>
      <c r="L76" s="794">
        <f>E76&amp;$L$1</f>
        <v/>
      </c>
      <c r="M76" s="794">
        <f>L76&amp;O1&amp;G76</f>
        <v/>
      </c>
      <c r="N76" s="794">
        <f>C76&amp;$N$1</f>
        <v/>
      </c>
      <c r="O76" s="794">
        <f>N76&amp;O1&amp;I76</f>
        <v/>
      </c>
    </row>
    <row r="77" ht="15.75" customHeight="1" s="184">
      <c r="A77" s="808" t="inlineStr">
        <is>
          <t>TMHU59C-T8EAZM</t>
        </is>
      </c>
      <c r="B77" s="809" t="inlineStr">
        <is>
          <t>BM1387BF</t>
        </is>
      </c>
      <c r="C77" s="809" t="inlineStr">
        <is>
          <t>BM1387BF</t>
        </is>
      </c>
      <c r="D77" s="641" t="inlineStr">
        <is>
          <t>Y09BM138BF0E</t>
        </is>
      </c>
      <c r="E77" s="810" t="inlineStr">
        <is>
          <t>BM1387FFM</t>
        </is>
      </c>
      <c r="F77" s="804" t="inlineStr">
        <is>
          <t>Y09JY1387130</t>
        </is>
      </c>
      <c r="G77" s="808" t="inlineStr">
        <is>
          <t>TMHU59C-T8EAZM</t>
        </is>
      </c>
      <c r="H77" s="803" t="inlineStr">
        <is>
          <t>16nm, No PI, No Bumping，0.36V Low VT</t>
        </is>
      </c>
      <c r="I77" s="816" t="inlineStr">
        <is>
          <t>molding, exposed die</t>
        </is>
      </c>
      <c r="J77" s="817" t="n"/>
      <c r="K77" s="806" t="n">
        <v>5180</v>
      </c>
      <c r="L77" s="794">
        <f>E77&amp;$L$1</f>
        <v/>
      </c>
      <c r="N77" s="794">
        <f>C77&amp;$N$1</f>
        <v/>
      </c>
    </row>
    <row r="78" ht="15.75" customHeight="1" s="184">
      <c r="A78" s="808" t="inlineStr">
        <is>
          <t>TMJW99D-EAZP</t>
        </is>
      </c>
      <c r="B78" s="809" t="inlineStr">
        <is>
          <t>BM1700D</t>
        </is>
      </c>
      <c r="C78" s="809" t="inlineStr">
        <is>
          <t>BM1700D</t>
        </is>
      </c>
      <c r="D78" s="641" t="inlineStr">
        <is>
          <t>Y09BM1700D00</t>
        </is>
      </c>
      <c r="E78" s="810" t="inlineStr">
        <is>
          <t>BM1700D</t>
        </is>
      </c>
      <c r="F78" s="804" t="inlineStr">
        <is>
          <t>Y09JY1700D40</t>
        </is>
      </c>
      <c r="G78" s="808" t="inlineStr">
        <is>
          <t>TMJW99D-EAZP</t>
        </is>
      </c>
      <c r="H78" s="803" t="inlineStr">
        <is>
          <t>12nm, No PI, No Bumping,  Process Optimize</t>
        </is>
      </c>
      <c r="I78" s="816" t="inlineStr">
        <is>
          <t>molding</t>
        </is>
      </c>
      <c r="J78" s="817" t="n"/>
      <c r="K78" s="806" t="n">
        <v>2586</v>
      </c>
      <c r="L78" s="794">
        <f>E78&amp;$L$1</f>
        <v/>
      </c>
      <c r="N78" s="794">
        <f>C78&amp;$N$1</f>
        <v/>
      </c>
    </row>
    <row r="79" ht="15.75" customHeight="1" s="184">
      <c r="A79" s="808" t="inlineStr">
        <is>
          <t>TMJR23H-T4EAZP</t>
        </is>
      </c>
      <c r="B79" s="809" t="inlineStr">
        <is>
          <t>BM1390H</t>
        </is>
      </c>
      <c r="C79" s="809" t="inlineStr">
        <is>
          <t>BM1390H</t>
        </is>
      </c>
      <c r="D79" s="641" t="inlineStr">
        <is>
          <t>Y09BM1390H00</t>
        </is>
      </c>
      <c r="E79" s="810" t="inlineStr">
        <is>
          <t>BM1390H</t>
        </is>
      </c>
      <c r="F79" s="804" t="inlineStr">
        <is>
          <t>Y09JY1390H30</t>
        </is>
      </c>
      <c r="G79" s="808" t="inlineStr">
        <is>
          <t>TMJR23H-T4EAZP</t>
        </is>
      </c>
      <c r="H79" s="803" t="inlineStr">
        <is>
          <t>12nm, No PI, No Bumping,  Process Optimize</t>
        </is>
      </c>
      <c r="I79" s="816" t="inlineStr">
        <is>
          <t>molding</t>
        </is>
      </c>
      <c r="J79" s="817" t="n"/>
      <c r="K79" s="806" t="n">
        <v>6058</v>
      </c>
      <c r="L79" s="794">
        <f>E79&amp;$L$1</f>
        <v/>
      </c>
      <c r="N79" s="794">
        <f>C79&amp;$N$1</f>
        <v/>
      </c>
    </row>
    <row r="80" ht="15.75" customHeight="1" s="184">
      <c r="A80" s="808" t="inlineStr">
        <is>
          <t>TMKQ50B-EAZP</t>
        </is>
      </c>
      <c r="B80" s="809" t="inlineStr">
        <is>
          <t>BM1792</t>
        </is>
      </c>
      <c r="C80" s="809" t="inlineStr">
        <is>
          <t>BM1792BA</t>
        </is>
      </c>
      <c r="D80" s="641" t="inlineStr">
        <is>
          <t>Y09BM1792210</t>
        </is>
      </c>
      <c r="E80" s="810" t="inlineStr">
        <is>
          <t>BM1792_16</t>
        </is>
      </c>
      <c r="F80" s="804" t="inlineStr">
        <is>
          <t>Y09JY1792130</t>
        </is>
      </c>
      <c r="G80" s="808" t="inlineStr">
        <is>
          <t>TMKQ50B-EAZP</t>
        </is>
      </c>
      <c r="H80" s="803" t="inlineStr">
        <is>
          <t>Fab14, 12nm, No PI, No Bumping, B version wafer</t>
        </is>
      </c>
      <c r="I80" s="816" t="inlineStr">
        <is>
          <t>molding, exposed die</t>
        </is>
      </c>
      <c r="J80" s="817" t="n"/>
      <c r="K80" s="806" t="n">
        <v>1027</v>
      </c>
      <c r="L80" s="794">
        <f>E80&amp;$L$1</f>
        <v/>
      </c>
      <c r="N80" s="794">
        <f>C80&amp;$N$1</f>
        <v/>
      </c>
    </row>
    <row r="81" ht="15.75" customHeight="1" s="184">
      <c r="A81" s="808" t="inlineStr">
        <is>
          <t>TMKC37D-T2DNAEACT</t>
        </is>
      </c>
      <c r="B81" s="809" t="inlineStr">
        <is>
          <t>BM1393CE_BP</t>
        </is>
      </c>
      <c r="C81" s="809" t="inlineStr">
        <is>
          <t>BM1393CE_BP</t>
        </is>
      </c>
      <c r="D81" s="641" t="inlineStr">
        <is>
          <t>Y09BM1393710</t>
        </is>
      </c>
      <c r="E81" s="810" t="inlineStr">
        <is>
          <t>BM1393C_BP</t>
        </is>
      </c>
      <c r="F81" s="804" t="inlineStr">
        <is>
          <t>Y09JY1393461</t>
        </is>
      </c>
      <c r="G81" s="808" t="inlineStr">
        <is>
          <t>TMKC37D-T2DNAEACT</t>
        </is>
      </c>
      <c r="H81" s="803" t="inlineStr">
        <is>
          <t>10nm, No PI, With Bumping，wafer RTO for yield improvement</t>
        </is>
      </c>
      <c r="I81" s="816" t="inlineStr">
        <is>
          <t>molding, exposed die, without Caps</t>
        </is>
      </c>
      <c r="J81" s="817" t="n"/>
      <c r="K81" s="806" t="n">
        <v>4398</v>
      </c>
      <c r="L81" s="794">
        <f>E81&amp;$L$1</f>
        <v/>
      </c>
      <c r="N81" s="794">
        <f>C81&amp;$N$1</f>
        <v/>
      </c>
    </row>
    <row r="82" ht="15.75" customHeight="1" s="184">
      <c r="A82" s="808" t="inlineStr">
        <is>
          <t>TMKC37D-T2DNAEACT</t>
        </is>
      </c>
      <c r="B82" s="809" t="inlineStr">
        <is>
          <t>BM1393C_BP</t>
        </is>
      </c>
      <c r="C82" s="809" t="inlineStr">
        <is>
          <t>BM1393C_BP</t>
        </is>
      </c>
      <c r="D82" s="641" t="inlineStr">
        <is>
          <t>Y09BM1393720</t>
        </is>
      </c>
      <c r="E82" s="810" t="inlineStr">
        <is>
          <t>BM1393C_BP</t>
        </is>
      </c>
      <c r="F82" s="804" t="inlineStr">
        <is>
          <t>Y09JY1393461</t>
        </is>
      </c>
      <c r="G82" s="808" t="inlineStr">
        <is>
          <t>TMKC37D-T2DNAEACT</t>
        </is>
      </c>
      <c r="H82" s="803" t="inlineStr">
        <is>
          <t>10nm, No PI, With Bumping，wafer RTO for yield improvement</t>
        </is>
      </c>
      <c r="I82" s="816" t="inlineStr">
        <is>
          <t>molding, without Caps</t>
        </is>
      </c>
      <c r="J82" s="817" t="n"/>
      <c r="K82" s="806" t="n">
        <v>4398</v>
      </c>
      <c r="L82" s="794">
        <f>E82&amp;$L$1</f>
        <v/>
      </c>
      <c r="N82" s="794">
        <f>C82&amp;$N$1</f>
        <v/>
      </c>
    </row>
    <row r="83" ht="15.75" customHeight="1" s="184">
      <c r="A83" s="808" t="inlineStr">
        <is>
          <t>TMHU59C-T7EAZP</t>
        </is>
      </c>
      <c r="B83" s="809" t="inlineStr">
        <is>
          <t>BM1387BP</t>
        </is>
      </c>
      <c r="C83" s="809" t="inlineStr">
        <is>
          <t>BM1387BP</t>
        </is>
      </c>
      <c r="D83" s="641" t="inlineStr">
        <is>
          <t>Y09BM1387101</t>
        </is>
      </c>
      <c r="E83" s="810" t="inlineStr">
        <is>
          <t>BM1387BP</t>
        </is>
      </c>
      <c r="F83" s="804" t="inlineStr">
        <is>
          <t>Y09JY1387360</t>
        </is>
      </c>
      <c r="G83" s="808" t="inlineStr">
        <is>
          <t>TMHU59C-T7EAZP</t>
        </is>
      </c>
      <c r="H83" s="803" t="inlineStr">
        <is>
          <t>16nm, No PI, No Bumping</t>
        </is>
      </c>
      <c r="I83" s="816" t="inlineStr">
        <is>
          <t>Winstek BSM package</t>
        </is>
      </c>
      <c r="J83" s="817" t="n"/>
      <c r="K83" s="806" t="n">
        <v>5180</v>
      </c>
      <c r="L83" s="794">
        <f>E83&amp;$L$1</f>
        <v/>
      </c>
      <c r="N83" s="794">
        <f>C83&amp;$N$1</f>
        <v/>
      </c>
      <c r="O83" s="818" t="inlineStr">
        <is>
          <t>Dummy wafer</t>
        </is>
      </c>
    </row>
    <row r="84" ht="15.75" customHeight="1" s="184">
      <c r="A84" s="808" t="inlineStr">
        <is>
          <t>TMHU59C-TBEAZP</t>
        </is>
      </c>
      <c r="B84" s="809" t="inlineStr">
        <is>
          <t>BM1387BE</t>
        </is>
      </c>
      <c r="C84" s="809" t="inlineStr">
        <is>
          <t>BM1387BE</t>
        </is>
      </c>
      <c r="D84" s="641" t="inlineStr">
        <is>
          <t>Y09BM138BE0E</t>
        </is>
      </c>
      <c r="E84" s="810" t="inlineStr">
        <is>
          <t>BM1387B</t>
        </is>
      </c>
      <c r="F84" s="804" t="inlineStr">
        <is>
          <t>Y09JY1387B00</t>
        </is>
      </c>
      <c r="G84" s="808" t="inlineStr">
        <is>
          <t>TMHU59C-TBEAZP</t>
        </is>
      </c>
      <c r="H84" s="803" t="inlineStr">
        <is>
          <t>16nm, No PI, No Bumping, process tunning 95%/94%</t>
        </is>
      </c>
      <c r="I84" s="816" t="inlineStr">
        <is>
          <t>exposed die package</t>
        </is>
      </c>
      <c r="J84" s="817" t="n"/>
      <c r="K84" s="806" t="n">
        <v>5180</v>
      </c>
      <c r="L84" s="794">
        <f>E84&amp;$L$1</f>
        <v/>
      </c>
      <c r="N84" s="794">
        <f>C84&amp;$N$1</f>
        <v/>
      </c>
    </row>
    <row r="85" ht="15.75" customHeight="1" s="184">
      <c r="A85" s="808" t="inlineStr">
        <is>
          <t>TMKR70A-T2D1AEABM</t>
        </is>
      </c>
      <c r="B85" s="809" t="inlineStr">
        <is>
          <t>BM1762</t>
        </is>
      </c>
      <c r="C85" s="809" t="inlineStr">
        <is>
          <t>BM1762AE</t>
        </is>
      </c>
      <c r="D85" s="641" t="inlineStr">
        <is>
          <t>Y09BM1762510</t>
        </is>
      </c>
      <c r="E85" s="810" t="inlineStr">
        <is>
          <t>BM1762_2</t>
        </is>
      </c>
      <c r="F85" s="804" t="inlineStr">
        <is>
          <t>Y09JY1762131</t>
        </is>
      </c>
      <c r="G85" s="808" t="inlineStr">
        <is>
          <t>TMKR70A-T2D1AEABM</t>
        </is>
      </c>
      <c r="H85" s="803" t="inlineStr">
        <is>
          <t>16nm, 0.4V, with PI, with Bumping, BSM wafer</t>
        </is>
      </c>
      <c r="I85" s="814" t="inlineStr">
        <is>
          <t>molding, expose die, no backgrind</t>
        </is>
      </c>
      <c r="J85" s="817" t="n"/>
      <c r="K85" s="806" t="n">
        <v>2897</v>
      </c>
      <c r="L85" s="794">
        <f>E85&amp;$L$1</f>
        <v/>
      </c>
      <c r="M85" s="794">
        <f>L85&amp;$O$1&amp;G85&amp;$O$1&amp;H85</f>
        <v/>
      </c>
      <c r="N85" s="794">
        <f>C85&amp;$N$1</f>
        <v/>
      </c>
      <c r="O85" s="794">
        <f>N85&amp;$O$1&amp;I85</f>
        <v/>
      </c>
    </row>
    <row r="86" ht="15.75" customHeight="1" s="184">
      <c r="A86" s="808" t="inlineStr">
        <is>
          <t>TMKT19A-EAZM</t>
        </is>
      </c>
      <c r="B86" s="809" t="inlineStr">
        <is>
          <t>BM1794</t>
        </is>
      </c>
      <c r="C86" s="809" t="inlineStr">
        <is>
          <t>BM1794AB</t>
        </is>
      </c>
      <c r="D86" s="641" t="inlineStr">
        <is>
          <t>Y09BM1794201</t>
        </is>
      </c>
      <c r="E86" s="810" t="inlineStr">
        <is>
          <t>BM1794</t>
        </is>
      </c>
      <c r="F86" s="804" t="inlineStr">
        <is>
          <t>Y09JY1794010</t>
        </is>
      </c>
      <c r="G86" s="808" t="inlineStr">
        <is>
          <t>TMKT19A-EAZM</t>
        </is>
      </c>
      <c r="H86" s="803" t="inlineStr">
        <is>
          <t>Fab16, 12nm, No PI, No Bumping</t>
        </is>
      </c>
      <c r="I86" s="816" t="inlineStr">
        <is>
          <t>FC-BGA，exposed die, without capacitor</t>
        </is>
      </c>
      <c r="J86" s="817" t="n"/>
      <c r="K86" s="806" t="n">
        <v>148</v>
      </c>
      <c r="L86" s="794">
        <f>E86&amp;$L$1</f>
        <v/>
      </c>
      <c r="M86" s="794">
        <f>L86&amp;$O$1&amp;G86&amp;$O$1&amp;H86</f>
        <v/>
      </c>
      <c r="N86" s="794">
        <f>C86&amp;$N$1</f>
        <v/>
      </c>
      <c r="O86" s="794">
        <f>N86&amp;$O$1&amp;I86</f>
        <v/>
      </c>
    </row>
    <row r="87" ht="15.75" customHeight="1" s="184">
      <c r="A87" s="808" t="inlineStr">
        <is>
          <t>TMLB78A-EAZM</t>
        </is>
      </c>
      <c r="B87" s="809" t="inlineStr">
        <is>
          <t>BM1860</t>
        </is>
      </c>
      <c r="C87" s="809" t="inlineStr">
        <is>
          <t>BM1860AA</t>
        </is>
      </c>
      <c r="D87" s="641" t="inlineStr">
        <is>
          <t>Y09BM1860010</t>
        </is>
      </c>
      <c r="E87" s="810" t="inlineStr">
        <is>
          <t>BM1860</t>
        </is>
      </c>
      <c r="F87" s="804" t="inlineStr">
        <is>
          <t>Y09JY1860010</t>
        </is>
      </c>
      <c r="G87" s="808" t="inlineStr">
        <is>
          <t>TMLB78A-EAZM</t>
        </is>
      </c>
      <c r="H87" s="803" t="inlineStr">
        <is>
          <t>16nm, 0.4V, No PI, No Bumping</t>
        </is>
      </c>
      <c r="I87" s="816" t="inlineStr">
        <is>
          <t>molding, exposed die, custom IO</t>
        </is>
      </c>
      <c r="J87" s="817" t="n"/>
      <c r="K87" s="806" t="n">
        <v>2391</v>
      </c>
      <c r="L87" s="794">
        <f>E87&amp;$L$1</f>
        <v/>
      </c>
      <c r="M87" s="794">
        <f>L87&amp;$O$1&amp;G87&amp;$O$1&amp;H87</f>
        <v/>
      </c>
      <c r="N87" s="794">
        <f>C87&amp;$N$1</f>
        <v/>
      </c>
      <c r="O87" s="794">
        <f>N87&amp;$O$1&amp;I87</f>
        <v/>
      </c>
    </row>
    <row r="88" ht="15.75" customHeight="1" s="184">
      <c r="A88" s="808" t="inlineStr">
        <is>
          <t>TMLB78A-T1EAZM</t>
        </is>
      </c>
      <c r="B88" s="809" t="inlineStr">
        <is>
          <t>BM1860</t>
        </is>
      </c>
      <c r="C88" s="809" t="inlineStr">
        <is>
          <t>BM1860AB</t>
        </is>
      </c>
      <c r="D88" s="641" t="inlineStr">
        <is>
          <t>Y09BM1860110</t>
        </is>
      </c>
      <c r="E88" s="810" t="inlineStr">
        <is>
          <t>BM1860FFM</t>
        </is>
      </c>
      <c r="F88" s="804" t="inlineStr">
        <is>
          <t>Y09JY1860110</t>
        </is>
      </c>
      <c r="G88" s="808" t="inlineStr">
        <is>
          <t>TMLB78A-T1EAZM</t>
        </is>
      </c>
      <c r="H88" s="803" t="inlineStr">
        <is>
          <t>16nm, 0.36V, No PI, No Bumping</t>
        </is>
      </c>
      <c r="I88" s="816" t="inlineStr">
        <is>
          <t>molding, exposed die, custom IO</t>
        </is>
      </c>
      <c r="J88" s="817" t="n"/>
      <c r="K88" s="806" t="n">
        <v>2391</v>
      </c>
      <c r="L88" s="794">
        <f>E88&amp;$L$1</f>
        <v/>
      </c>
      <c r="M88" s="794">
        <f>L88&amp;$O$1&amp;G88&amp;$O$1&amp;H88</f>
        <v/>
      </c>
      <c r="N88" s="794">
        <f>C88&amp;$N$1</f>
        <v/>
      </c>
      <c r="O88" s="794">
        <f>N88&amp;$O$1&amp;I88</f>
        <v/>
      </c>
    </row>
    <row r="89" ht="15.75" customHeight="1" s="184">
      <c r="A89" s="808" t="inlineStr">
        <is>
          <t>TMLB78A-EAZM</t>
        </is>
      </c>
      <c r="B89" s="809" t="inlineStr">
        <is>
          <t>BM1860</t>
        </is>
      </c>
      <c r="C89" s="809" t="inlineStr">
        <is>
          <t>BM1860AC</t>
        </is>
      </c>
      <c r="D89" s="641" t="inlineStr">
        <is>
          <t>Y09BM1860220</t>
        </is>
      </c>
      <c r="E89" s="810" t="inlineStr">
        <is>
          <t>BM1860</t>
        </is>
      </c>
      <c r="F89" s="804" t="inlineStr">
        <is>
          <t>Y09JY1860010</t>
        </is>
      </c>
      <c r="G89" s="808" t="inlineStr">
        <is>
          <t>TMLB78A-EAZM</t>
        </is>
      </c>
      <c r="H89" s="803" t="inlineStr">
        <is>
          <t>16nm, 0.4V, No PI, No Bumping</t>
        </is>
      </c>
      <c r="I89" s="816" t="inlineStr">
        <is>
          <t>molding, exposed die, TSMC IO</t>
        </is>
      </c>
      <c r="J89" s="817" t="n"/>
      <c r="K89" s="806" t="n">
        <v>2391</v>
      </c>
      <c r="L89" s="794">
        <f>E89&amp;$L$1</f>
        <v/>
      </c>
      <c r="M89" s="794">
        <f>L89&amp;$O$1&amp;G89&amp;$O$1&amp;H89</f>
        <v/>
      </c>
      <c r="N89" s="794">
        <f>C89&amp;$N$1</f>
        <v/>
      </c>
      <c r="O89" s="794">
        <f>N89&amp;$O$1&amp;I89</f>
        <v/>
      </c>
    </row>
    <row r="90" ht="15.75" customHeight="1" s="184">
      <c r="A90" s="808" t="inlineStr">
        <is>
          <t>TMLB78A-T1EAZM</t>
        </is>
      </c>
      <c r="B90" s="809" t="inlineStr">
        <is>
          <t>BM1860</t>
        </is>
      </c>
      <c r="C90" s="809" t="inlineStr">
        <is>
          <t>BM1860AD</t>
        </is>
      </c>
      <c r="D90" s="641" t="inlineStr">
        <is>
          <t>Y09BM1860320</t>
        </is>
      </c>
      <c r="E90" s="810" t="inlineStr">
        <is>
          <t>BM1860FFM</t>
        </is>
      </c>
      <c r="F90" s="804" t="inlineStr">
        <is>
          <t>Y09JY1860110</t>
        </is>
      </c>
      <c r="G90" s="808" t="inlineStr">
        <is>
          <t>TMLB78A-T1EAZM</t>
        </is>
      </c>
      <c r="H90" s="803" t="inlineStr">
        <is>
          <t>16nm, 0.36V, No PI, No Bumping</t>
        </is>
      </c>
      <c r="I90" s="816" t="inlineStr">
        <is>
          <t>molding, exposed die, TSMC IO</t>
        </is>
      </c>
      <c r="J90" s="817" t="n"/>
      <c r="K90" s="806" t="n">
        <v>2391</v>
      </c>
      <c r="L90" s="794">
        <f>E90&amp;$L$1</f>
        <v/>
      </c>
      <c r="M90" s="794">
        <f>L90&amp;$O$1&amp;G90&amp;$O$1&amp;H90</f>
        <v/>
      </c>
      <c r="N90" s="794">
        <f>C90&amp;$N$1</f>
        <v/>
      </c>
      <c r="O90" s="794">
        <f>N90&amp;$O$1&amp;I90</f>
        <v/>
      </c>
    </row>
    <row r="91" ht="15.75" customHeight="1" s="184">
      <c r="A91" s="808" t="inlineStr">
        <is>
          <t>TMHU59C-TBEAZP</t>
        </is>
      </c>
      <c r="B91" s="809" t="inlineStr">
        <is>
          <t>BM1387BM</t>
        </is>
      </c>
      <c r="C91" s="809" t="inlineStr">
        <is>
          <t>BM1387BM</t>
        </is>
      </c>
      <c r="D91" s="641" t="inlineStr">
        <is>
          <t>Y09BM1387270</t>
        </is>
      </c>
      <c r="E91" s="810" t="inlineStr">
        <is>
          <t>BM1387B</t>
        </is>
      </c>
      <c r="F91" s="804" t="inlineStr">
        <is>
          <t>Y09JY1387B00</t>
        </is>
      </c>
      <c r="G91" s="808" t="inlineStr">
        <is>
          <t>TMHU59C-TBEAZP</t>
        </is>
      </c>
      <c r="H91" s="803" t="inlineStr">
        <is>
          <t>16nm, No PI, No Bumping</t>
        </is>
      </c>
      <c r="I91" s="816" t="inlineStr">
        <is>
          <t>molding, Exposed die assembly + EMI shielding layer</t>
        </is>
      </c>
      <c r="J91" s="817" t="n"/>
      <c r="K91" s="806" t="n">
        <v>5180</v>
      </c>
      <c r="L91" s="794">
        <f>E91&amp;$L$1</f>
        <v/>
      </c>
      <c r="M91" s="794">
        <f>L91&amp;$O$1&amp;G91&amp;$O$1&amp;H91</f>
        <v/>
      </c>
      <c r="N91" s="794">
        <f>C91&amp;$N$1</f>
        <v/>
      </c>
      <c r="O91" s="794">
        <f>N91&amp;$O$1&amp;I91</f>
        <v/>
      </c>
    </row>
    <row r="92" ht="15.75" customHeight="1" s="184">
      <c r="A92" s="808" t="inlineStr">
        <is>
          <t>TMHU59C-TBEAZP</t>
        </is>
      </c>
      <c r="B92" s="809" t="inlineStr">
        <is>
          <t>BM1387BS</t>
        </is>
      </c>
      <c r="C92" s="809" t="inlineStr">
        <is>
          <t>BM1387BS</t>
        </is>
      </c>
      <c r="D92" s="641" t="inlineStr">
        <is>
          <t>Y09BM1387380</t>
        </is>
      </c>
      <c r="E92" s="810" t="inlineStr">
        <is>
          <t>BM1387B</t>
        </is>
      </c>
      <c r="F92" s="804" t="inlineStr">
        <is>
          <t>Y09JY1387B00</t>
        </is>
      </c>
      <c r="G92" s="808" t="inlineStr">
        <is>
          <t>TMHU59C-TBEAZP</t>
        </is>
      </c>
      <c r="H92" s="803" t="inlineStr">
        <is>
          <t>16nm, No PI, No Bumping</t>
        </is>
      </c>
      <c r="I92" s="816" t="inlineStr">
        <is>
          <t>molding, Wafer BSM + exposed die assembly</t>
        </is>
      </c>
      <c r="J92" s="817" t="n"/>
      <c r="K92" s="806" t="n">
        <v>5180</v>
      </c>
      <c r="L92" s="794">
        <f>E92&amp;$L$1</f>
        <v/>
      </c>
      <c r="M92" s="794">
        <f>L92&amp;$O$1&amp;G92&amp;$O$1&amp;H92</f>
        <v/>
      </c>
      <c r="N92" s="794">
        <f>C92&amp;$N$1</f>
        <v/>
      </c>
      <c r="O92" s="794">
        <f>N92&amp;$O$1&amp;I92</f>
        <v/>
      </c>
    </row>
    <row r="93" ht="15.75" customHeight="1" s="184">
      <c r="A93" s="808" t="inlineStr">
        <is>
          <t>TMKM60A-T2D6AEABP</t>
        </is>
      </c>
      <c r="B93" s="809" t="inlineStr">
        <is>
          <t>BM1487</t>
        </is>
      </c>
      <c r="C93" s="809" t="inlineStr">
        <is>
          <t>BM1487AD</t>
        </is>
      </c>
      <c r="D93" s="641" t="inlineStr">
        <is>
          <t>Y09BM1487410</t>
        </is>
      </c>
      <c r="E93" s="810" t="inlineStr">
        <is>
          <t>BM1487_2</t>
        </is>
      </c>
      <c r="F93" s="804" t="inlineStr">
        <is>
          <t>Y09JY1487140</t>
        </is>
      </c>
      <c r="G93" s="808" t="inlineStr">
        <is>
          <t>TMKM60A-T2D6AEABP</t>
        </is>
      </c>
      <c r="H93" s="803" t="inlineStr">
        <is>
          <t>Fab16, 12nm, with PI, with Bumping, BSM wafer</t>
        </is>
      </c>
      <c r="I93" s="816" t="inlineStr">
        <is>
          <t>molding, exposed die, no backgrind</t>
        </is>
      </c>
      <c r="J93" s="817" t="n"/>
      <c r="K93" s="806" t="n">
        <v>2314</v>
      </c>
      <c r="L93" s="794">
        <f>E93&amp;$L$1</f>
        <v/>
      </c>
      <c r="M93" s="794">
        <f>L93&amp;$O$1&amp;G93&amp;$O$1&amp;H93</f>
        <v/>
      </c>
      <c r="N93" s="794">
        <f>C93&amp;$N$1</f>
        <v/>
      </c>
      <c r="O93" s="794">
        <f>N93&amp;$O$1&amp;I93</f>
        <v/>
      </c>
    </row>
    <row r="94" ht="15.75" customHeight="1" s="184">
      <c r="A94" s="808" t="inlineStr">
        <is>
          <t>TMHU59C-TBEAZP</t>
        </is>
      </c>
      <c r="B94" s="809" t="inlineStr">
        <is>
          <t>BM1387B</t>
        </is>
      </c>
      <c r="C94" s="809" t="inlineStr">
        <is>
          <t>BM1387BI</t>
        </is>
      </c>
      <c r="D94" s="641" t="inlineStr">
        <is>
          <t>Y09BM1387490</t>
        </is>
      </c>
      <c r="E94" s="810" t="inlineStr">
        <is>
          <t>BM1387B</t>
        </is>
      </c>
      <c r="F94" s="804" t="inlineStr">
        <is>
          <t>Y09JY1387B00</t>
        </is>
      </c>
      <c r="G94" s="808" t="inlineStr">
        <is>
          <t>TMHU59C-TBEAZP</t>
        </is>
      </c>
      <c r="H94" s="803" t="inlineStr">
        <is>
          <t>16nm, No PI, No Bumping</t>
        </is>
      </c>
      <c r="I94" s="816" t="inlineStr">
        <is>
          <t>Over molding assembly with JCET MIS substrate</t>
        </is>
      </c>
      <c r="J94" s="817" t="n"/>
      <c r="K94" s="806" t="n">
        <v>5180</v>
      </c>
      <c r="L94" s="794">
        <f>E94&amp;$L$1</f>
        <v/>
      </c>
      <c r="M94" s="794">
        <f>L94&amp;$O$1&amp;G94&amp;$O$1&amp;H94</f>
        <v/>
      </c>
      <c r="N94" s="794">
        <f>C94&amp;$N$1</f>
        <v/>
      </c>
      <c r="O94" s="794">
        <f>N94&amp;$O$1&amp;I94</f>
        <v/>
      </c>
    </row>
    <row r="95" ht="15.75" customHeight="1" s="184">
      <c r="A95" s="808" t="inlineStr">
        <is>
          <t>TMHU59C-T8EAZM</t>
        </is>
      </c>
      <c r="B95" s="809" t="inlineStr">
        <is>
          <t>BM1387BL</t>
        </is>
      </c>
      <c r="C95" s="809" t="inlineStr">
        <is>
          <t>BM1387BN</t>
        </is>
      </c>
      <c r="D95" s="641" t="inlineStr">
        <is>
          <t>Y09BM13875A0</t>
        </is>
      </c>
      <c r="E95" s="810" t="inlineStr">
        <is>
          <t>BM1387FFM</t>
        </is>
      </c>
      <c r="F95" s="804" t="inlineStr">
        <is>
          <t>Y09JY1387130</t>
        </is>
      </c>
      <c r="G95" s="808" t="inlineStr">
        <is>
          <t>TMHU59C-T8EAZM</t>
        </is>
      </c>
      <c r="H95" s="803" t="inlineStr">
        <is>
          <t>16nm, No PI, No Bumping，0.36V Low VT</t>
        </is>
      </c>
      <c r="I95" s="816" t="inlineStr">
        <is>
          <t>molding, Exposed die assembly + EMI shielding</t>
        </is>
      </c>
      <c r="J95" s="817" t="n"/>
      <c r="K95" s="806" t="n">
        <v>5180</v>
      </c>
      <c r="L95" s="794">
        <f>E95&amp;$L$1</f>
        <v/>
      </c>
      <c r="M95" s="794">
        <f>L95&amp;$O$1&amp;G95&amp;$O$1&amp;H95</f>
        <v/>
      </c>
      <c r="N95" s="794">
        <f>C95&amp;$N$1</f>
        <v/>
      </c>
      <c r="O95" s="794">
        <f>N95&amp;$O$1&amp;I95</f>
        <v/>
      </c>
    </row>
    <row r="96" ht="15.75" customHeight="1" s="184">
      <c r="A96" s="808" t="inlineStr">
        <is>
          <t>TMLD56A-EAZM</t>
        </is>
      </c>
      <c r="B96" s="809" t="inlineStr">
        <is>
          <t>BM1725</t>
        </is>
      </c>
      <c r="C96" s="809" t="inlineStr">
        <is>
          <t>BM1725AA</t>
        </is>
      </c>
      <c r="D96" s="641" t="inlineStr">
        <is>
          <t>Y09BM1725000</t>
        </is>
      </c>
      <c r="E96" s="810" t="inlineStr">
        <is>
          <t>BM1725</t>
        </is>
      </c>
      <c r="F96" s="804" t="inlineStr">
        <is>
          <t>Y09JY1725010</t>
        </is>
      </c>
      <c r="G96" s="808" t="inlineStr">
        <is>
          <t>TMLD56A-EAZM</t>
        </is>
      </c>
      <c r="H96" s="803" t="inlineStr">
        <is>
          <t>16nm, 0.36V, PI, No Bumping</t>
        </is>
      </c>
      <c r="I96" s="816" t="inlineStr">
        <is>
          <t>molding, exposed die</t>
        </is>
      </c>
      <c r="J96" s="817" t="n"/>
      <c r="K96" s="806" t="n">
        <v>2412</v>
      </c>
      <c r="L96" s="794">
        <f>E96&amp;$L$1</f>
        <v/>
      </c>
      <c r="M96" s="794">
        <f>L96&amp;$O$1&amp;G96&amp;$O$1&amp;H96</f>
        <v/>
      </c>
      <c r="N96" s="794">
        <f>C96&amp;$N$1</f>
        <v/>
      </c>
      <c r="O96" s="794">
        <f>N96&amp;$O$1&amp;I96</f>
        <v/>
      </c>
    </row>
    <row r="97" ht="15.75" customHeight="1" s="184">
      <c r="A97" s="808" t="inlineStr">
        <is>
          <t>TMLD87A-EAZT</t>
        </is>
      </c>
      <c r="B97" s="809" t="inlineStr">
        <is>
          <t>BM1840</t>
        </is>
      </c>
      <c r="C97" s="809" t="inlineStr">
        <is>
          <t>BM1840AA</t>
        </is>
      </c>
      <c r="D97" s="641" t="inlineStr">
        <is>
          <t>Y09BM1840010</t>
        </is>
      </c>
      <c r="E97" s="810" t="inlineStr">
        <is>
          <t>BM1840</t>
        </is>
      </c>
      <c r="F97" s="804" t="inlineStr">
        <is>
          <t>Y09JY1840010</t>
        </is>
      </c>
      <c r="G97" s="808" t="inlineStr">
        <is>
          <t>TMLD87A-EAZT</t>
        </is>
      </c>
      <c r="H97" s="803" t="inlineStr">
        <is>
          <t>28nm, Fab15, PI, No Bumping</t>
        </is>
      </c>
      <c r="I97" s="816" t="inlineStr">
        <is>
          <t>molding, exposed die</t>
        </is>
      </c>
      <c r="J97" s="817" t="n"/>
      <c r="K97" s="806" t="n">
        <v>677</v>
      </c>
      <c r="L97" s="794">
        <f>E97&amp;$L$1</f>
        <v/>
      </c>
      <c r="M97" s="794">
        <f>L97&amp;$O$1&amp;G97&amp;$O$1&amp;H97</f>
        <v/>
      </c>
      <c r="N97" s="794">
        <f>C97&amp;$N$1</f>
        <v/>
      </c>
      <c r="O97" s="794">
        <f>N97&amp;$O$1&amp;I97</f>
        <v/>
      </c>
    </row>
    <row r="98" ht="15.75" customHeight="1" s="184">
      <c r="A98" s="808" t="inlineStr">
        <is>
          <t>TMLF10A-EAZT</t>
        </is>
      </c>
      <c r="B98" s="809" t="inlineStr">
        <is>
          <t>BM1397AA</t>
        </is>
      </c>
      <c r="C98" s="809" t="inlineStr">
        <is>
          <t>BM1397AA</t>
        </is>
      </c>
      <c r="D98" s="641" t="inlineStr">
        <is>
          <t>Y09BM1397010</t>
        </is>
      </c>
      <c r="E98" s="810" t="inlineStr">
        <is>
          <t>BM1397</t>
        </is>
      </c>
      <c r="F98" s="804" t="inlineStr">
        <is>
          <t>Y09JY1397010</t>
        </is>
      </c>
      <c r="G98" s="808" t="inlineStr">
        <is>
          <t>TMLF10A-EAZT</t>
        </is>
      </c>
      <c r="H98" s="803" t="inlineStr">
        <is>
          <t>7nm, Fab15, No PI, No Bumping</t>
        </is>
      </c>
      <c r="I98" s="816" t="inlineStr">
        <is>
          <t>molding, exposed die, CTM IO</t>
        </is>
      </c>
      <c r="J98" s="817" t="n"/>
      <c r="K98" s="806" t="n">
        <v>2122</v>
      </c>
      <c r="L98" s="794">
        <f>E98&amp;$L$1</f>
        <v/>
      </c>
      <c r="M98" s="794">
        <f>L98&amp;$O$1&amp;G98&amp;$O$1&amp;H98</f>
        <v/>
      </c>
      <c r="N98" s="794">
        <f>C98&amp;$N$1</f>
        <v/>
      </c>
      <c r="O98" s="794">
        <f>N98&amp;$O$1&amp;I98</f>
        <v/>
      </c>
    </row>
    <row r="99" ht="15.75" customHeight="1" s="184">
      <c r="A99" s="808" t="inlineStr">
        <is>
          <t>TMLF10A-EAZT</t>
        </is>
      </c>
      <c r="B99" s="809" t="inlineStr">
        <is>
          <t>BM1397AB</t>
        </is>
      </c>
      <c r="C99" s="809" t="inlineStr">
        <is>
          <t>BM1397AB</t>
        </is>
      </c>
      <c r="D99" s="641" t="inlineStr">
        <is>
          <t>Y09BM1397120</t>
        </is>
      </c>
      <c r="E99" s="810" t="inlineStr">
        <is>
          <t>BM1397</t>
        </is>
      </c>
      <c r="F99" s="804" t="inlineStr">
        <is>
          <t>Y09JY1397010</t>
        </is>
      </c>
      <c r="G99" s="808" t="inlineStr">
        <is>
          <t>TMLF10A-EAZT</t>
        </is>
      </c>
      <c r="H99" s="803" t="inlineStr">
        <is>
          <t>7nm, Fab15, No PI, No Bumping</t>
        </is>
      </c>
      <c r="I99" s="816" t="inlineStr">
        <is>
          <t>molding, exposed die, TSMC IO</t>
        </is>
      </c>
      <c r="J99" s="817" t="n"/>
      <c r="K99" s="806" t="n">
        <v>2122</v>
      </c>
      <c r="L99" s="794">
        <f>E99&amp;$L$1</f>
        <v/>
      </c>
      <c r="M99" s="794">
        <f>L99&amp;$O$1&amp;G99&amp;$O$1&amp;H99</f>
        <v/>
      </c>
      <c r="N99" s="794">
        <f>C99&amp;$N$1</f>
        <v/>
      </c>
      <c r="O99" s="794">
        <f>N99&amp;$O$1&amp;I99</f>
        <v/>
      </c>
    </row>
    <row r="100" ht="15.75" customHeight="1" s="184">
      <c r="A100" s="808" t="inlineStr">
        <is>
          <t>TMKN68B-EAZT</t>
        </is>
      </c>
      <c r="B100" s="809" t="inlineStr">
        <is>
          <t>BM1391</t>
        </is>
      </c>
      <c r="C100" s="809" t="inlineStr">
        <is>
          <t>BM1391AM</t>
        </is>
      </c>
      <c r="D100" s="641" t="inlineStr">
        <is>
          <t>Y09BM1391510</t>
        </is>
      </c>
      <c r="E100" s="810" t="inlineStr">
        <is>
          <t>BM1391</t>
        </is>
      </c>
      <c r="F100" s="804" t="inlineStr">
        <is>
          <t>Y09JY1391010</t>
        </is>
      </c>
      <c r="G100" s="808" t="inlineStr">
        <is>
          <t>TMKN68B-EAZT</t>
        </is>
      </c>
      <c r="H100" s="803" t="inlineStr">
        <is>
          <t>7nm, Fab15, No PI, No Bumping</t>
        </is>
      </c>
      <c r="I100" s="816" t="inlineStr">
        <is>
          <t>molding, Exposed die assembly + EMI shielding</t>
        </is>
      </c>
      <c r="J100" s="817" t="n"/>
      <c r="K100" s="806" t="n">
        <v>5620</v>
      </c>
      <c r="L100" s="794">
        <f>E100&amp;$L$1</f>
        <v/>
      </c>
      <c r="M100" s="794">
        <f>L100&amp;$O$1&amp;G100&amp;$O$1&amp;H100</f>
        <v/>
      </c>
      <c r="N100" s="794">
        <f>C100&amp;$N$1</f>
        <v/>
      </c>
      <c r="O100" s="794">
        <f>N100&amp;$O$1&amp;I100</f>
        <v/>
      </c>
    </row>
    <row r="101" ht="15.75" customHeight="1" s="184">
      <c r="A101" s="808" t="inlineStr">
        <is>
          <t>TMJP15_C63</t>
        </is>
      </c>
      <c r="B101" s="809" t="inlineStr">
        <is>
          <t>BM18M0</t>
        </is>
      </c>
      <c r="C101" s="809" t="inlineStr">
        <is>
          <t>BM18M0AA</t>
        </is>
      </c>
      <c r="D101" s="641" t="inlineStr">
        <is>
          <t>Y09BM18M0010</t>
        </is>
      </c>
      <c r="E101" s="810" t="inlineStr">
        <is>
          <t>BM18M0</t>
        </is>
      </c>
      <c r="F101" s="804" t="inlineStr">
        <is>
          <t>Y09JY18M0011</t>
        </is>
      </c>
      <c r="G101" s="808" t="inlineStr">
        <is>
          <t>TMJP15_C63</t>
        </is>
      </c>
      <c r="H101" s="803" t="inlineStr">
        <is>
          <t>12nm, MPW, Fab14, with PI, with Bumping and back grinding</t>
        </is>
      </c>
      <c r="I101" s="816" t="inlineStr">
        <is>
          <t>Bare die, BGA 15x15</t>
        </is>
      </c>
      <c r="J101" s="817" t="n"/>
      <c r="K101" s="806" t="n">
        <v>677</v>
      </c>
      <c r="L101" s="794">
        <f>E101&amp;$L$1</f>
        <v/>
      </c>
      <c r="M101" s="794">
        <f>L101&amp;$O$1&amp;G101&amp;$O$1&amp;H101</f>
        <v/>
      </c>
      <c r="N101" s="794">
        <f>C101&amp;$N$1</f>
        <v/>
      </c>
      <c r="O101" s="794">
        <f>N101&amp;$O$1&amp;I101</f>
        <v/>
      </c>
    </row>
    <row r="102" ht="15.75" customHeight="1" s="184">
      <c r="A102" s="808" t="inlineStr">
        <is>
          <t>TMLD87B-EAZT</t>
        </is>
      </c>
      <c r="B102" s="809" t="inlineStr">
        <is>
          <t>BM1840</t>
        </is>
      </c>
      <c r="C102" s="809" t="inlineStr">
        <is>
          <t>BM1840BA</t>
        </is>
      </c>
      <c r="D102" s="641" t="inlineStr">
        <is>
          <t>Y09BM1840110</t>
        </is>
      </c>
      <c r="E102" s="810" t="inlineStr">
        <is>
          <t>BM1840B</t>
        </is>
      </c>
      <c r="F102" s="804" t="inlineStr">
        <is>
          <t>Y09JY1840110</t>
        </is>
      </c>
      <c r="G102" s="808" t="inlineStr">
        <is>
          <t>TMLD87B-EAZT</t>
        </is>
      </c>
      <c r="H102" s="803" t="inlineStr">
        <is>
          <t>28nm, Fab15, PI, No Bumping</t>
        </is>
      </c>
      <c r="I102" s="816" t="inlineStr">
        <is>
          <t>molding, exposed die</t>
        </is>
      </c>
      <c r="J102" s="817" t="n">
        <v>677</v>
      </c>
      <c r="K102" s="806" t="n">
        <v>677</v>
      </c>
      <c r="L102" s="794">
        <f>E102&amp;$L$1</f>
        <v/>
      </c>
      <c r="M102" s="794">
        <f>L102&amp;$O$1&amp;G102&amp;$O$1&amp;H102</f>
        <v/>
      </c>
      <c r="N102" s="794">
        <f>C102&amp;$N$1</f>
        <v/>
      </c>
      <c r="O102" s="794">
        <f>N102&amp;$O$1&amp;I102</f>
        <v/>
      </c>
    </row>
    <row r="103" ht="15.75" customHeight="1" s="184">
      <c r="A103" s="808" t="inlineStr">
        <is>
          <t>TMKC37C-T1EAZT</t>
        </is>
      </c>
      <c r="B103" s="809" t="inlineStr">
        <is>
          <t>BM1393</t>
        </is>
      </c>
      <c r="C103" s="809" t="inlineStr">
        <is>
          <t>BM1393BM</t>
        </is>
      </c>
      <c r="D103" s="641" t="inlineStr">
        <is>
          <t>Y09BM1393810</t>
        </is>
      </c>
      <c r="E103" s="810" t="inlineStr">
        <is>
          <t>BM1393B</t>
        </is>
      </c>
      <c r="F103" s="804" t="inlineStr">
        <is>
          <t>Y09JY1393B20</t>
        </is>
      </c>
      <c r="G103" s="808" t="inlineStr">
        <is>
          <t>TMKC37C-T1EAZT</t>
        </is>
      </c>
      <c r="H103" s="803" t="inlineStr">
        <is>
          <t>10nm, Fab15, No PI, No Bumping，mask change</t>
        </is>
      </c>
      <c r="I103" s="816" t="inlineStr">
        <is>
          <t>molding, exposed die, without Caps, BSM-OSAT EMI shielding</t>
        </is>
      </c>
      <c r="J103" s="817" t="n"/>
      <c r="K103" s="806" t="n">
        <v>4398</v>
      </c>
      <c r="L103" s="794">
        <f>E103&amp;$L$1</f>
        <v/>
      </c>
      <c r="M103" s="794">
        <f>L103&amp;$O$1&amp;G103&amp;$O$1&amp;H103</f>
        <v/>
      </c>
      <c r="N103" s="794">
        <f>C103&amp;$N$1</f>
        <v/>
      </c>
      <c r="O103" s="794">
        <f>N103&amp;$O$1&amp;I103</f>
        <v/>
      </c>
    </row>
    <row r="104" ht="15.75" customHeight="1" s="184">
      <c r="A104" s="808" t="inlineStr">
        <is>
          <t>TMKC37C-T2EAZT</t>
        </is>
      </c>
      <c r="B104" s="809" t="inlineStr">
        <is>
          <t>BM1393</t>
        </is>
      </c>
      <c r="C104" s="809" t="inlineStr">
        <is>
          <t>BM1393BM_BGM</t>
        </is>
      </c>
      <c r="D104" s="641" t="inlineStr">
        <is>
          <t>Y09BM1393910</t>
        </is>
      </c>
      <c r="E104" s="810" t="inlineStr">
        <is>
          <t>BM1393B_BGM</t>
        </is>
      </c>
      <c r="F104" s="804" t="inlineStr">
        <is>
          <t>Y09JY1393240</t>
        </is>
      </c>
      <c r="G104" s="808" t="inlineStr">
        <is>
          <t>TMKC37C-T2EAZT</t>
        </is>
      </c>
      <c r="H104" s="803" t="inlineStr">
        <is>
          <t>10nm, Fab15, No PI, No Bumping，mask change</t>
        </is>
      </c>
      <c r="I104" s="816" t="inlineStr">
        <is>
          <t>molding, exposed die, without Caps, BSM-OSAT EMI shielding</t>
        </is>
      </c>
      <c r="J104" s="817" t="n"/>
      <c r="K104" s="806" t="n">
        <v>4398</v>
      </c>
      <c r="L104" s="794">
        <f>E104&amp;$L$1</f>
        <v/>
      </c>
      <c r="M104" s="794">
        <f>L104&amp;$O$1&amp;G104&amp;$O$1&amp;H104</f>
        <v/>
      </c>
      <c r="N104" s="794">
        <f>C104&amp;$N$1</f>
        <v/>
      </c>
      <c r="O104" s="794">
        <f>N104&amp;$O$1&amp;I104</f>
        <v/>
      </c>
    </row>
    <row r="105" ht="15.75" customHeight="1" s="184">
      <c r="A105" s="808" t="inlineStr">
        <is>
          <t>TMKC37D-T2EAZT</t>
        </is>
      </c>
      <c r="B105" s="809" t="inlineStr">
        <is>
          <t>BM1393</t>
        </is>
      </c>
      <c r="C105" s="809" t="inlineStr">
        <is>
          <t>BM1393CM_BGM</t>
        </is>
      </c>
      <c r="D105" s="641" t="inlineStr">
        <is>
          <t>Y09BM1393A10</t>
        </is>
      </c>
      <c r="E105" s="810" t="inlineStr">
        <is>
          <t>BM1393C_BGM</t>
        </is>
      </c>
      <c r="F105" s="804" t="inlineStr">
        <is>
          <t>Y09JY1393350</t>
        </is>
      </c>
      <c r="G105" s="808" t="inlineStr">
        <is>
          <t>TMKC37D-T2EAZT</t>
        </is>
      </c>
      <c r="H105" s="803" t="inlineStr">
        <is>
          <t>10nm, Fab15, No PI, No Bumping，wafer RTO for yield improvement</t>
        </is>
      </c>
      <c r="I105" s="816" t="inlineStr">
        <is>
          <t>molding, exposed die, without Caps, BSM-OSAT EMI shielding</t>
        </is>
      </c>
      <c r="J105" s="817" t="n"/>
      <c r="K105" s="806" t="n">
        <v>4398</v>
      </c>
      <c r="L105" s="794">
        <f>E105&amp;$L$1</f>
        <v/>
      </c>
      <c r="M105" s="794">
        <f>L105&amp;$O$1&amp;G105&amp;$O$1&amp;H105</f>
        <v/>
      </c>
      <c r="N105" s="794">
        <f>C105&amp;$N$1</f>
        <v/>
      </c>
      <c r="O105" s="794">
        <f>N105&amp;$O$1&amp;I105</f>
        <v/>
      </c>
    </row>
    <row r="106" ht="15.75" customHeight="1" s="184">
      <c r="A106" s="808" t="inlineStr">
        <is>
          <t>TMLF40A-EAZM</t>
        </is>
      </c>
      <c r="B106" s="809" t="inlineStr">
        <is>
          <t>BM1744</t>
        </is>
      </c>
      <c r="C106" s="809" t="inlineStr">
        <is>
          <t>BM1744AA</t>
        </is>
      </c>
      <c r="D106" s="641" t="inlineStr">
        <is>
          <t>Y09BM1744010</t>
        </is>
      </c>
      <c r="E106" s="810" t="inlineStr">
        <is>
          <t>BM1744</t>
        </is>
      </c>
      <c r="F106" s="804" t="inlineStr">
        <is>
          <t>Y09JY1744010</t>
        </is>
      </c>
      <c r="G106" s="808" t="inlineStr">
        <is>
          <t>TMLF40A-EAZM</t>
        </is>
      </c>
      <c r="H106" s="803" t="inlineStr">
        <is>
          <t>12nm, Fab16, No PI, No Bumping</t>
        </is>
      </c>
      <c r="I106" s="816" t="inlineStr">
        <is>
          <t>Bare die, LGA 31x31</t>
        </is>
      </c>
      <c r="J106" s="817" t="n"/>
      <c r="K106" s="806" t="n">
        <v>145</v>
      </c>
      <c r="L106" s="794">
        <f>E106&amp;$L$1</f>
        <v/>
      </c>
      <c r="M106" s="794">
        <f>L106&amp;$O$1&amp;G106&amp;$O$1&amp;H106</f>
        <v/>
      </c>
      <c r="N106" s="794">
        <f>C106&amp;$N$1</f>
        <v/>
      </c>
      <c r="O106" s="794">
        <f>N106&amp;$O$1&amp;I106</f>
        <v/>
      </c>
    </row>
    <row r="107" ht="15.75" customHeight="1" s="184">
      <c r="A107" s="808" t="inlineStr">
        <is>
          <t>TMKN68F-EAZT</t>
        </is>
      </c>
      <c r="B107" s="809" t="inlineStr">
        <is>
          <t>BM1391A</t>
        </is>
      </c>
      <c r="C107" s="809" t="inlineStr">
        <is>
          <t>BM1391AE</t>
        </is>
      </c>
      <c r="D107" s="641" t="inlineStr">
        <is>
          <t>Y09BM1391110</t>
        </is>
      </c>
      <c r="E107" s="810" t="inlineStr">
        <is>
          <t>BM1391</t>
        </is>
      </c>
      <c r="F107" s="804" t="inlineStr">
        <is>
          <t>Y09JY1391050</t>
        </is>
      </c>
      <c r="G107" s="808" t="inlineStr">
        <is>
          <t>TMKN68F-EAZT</t>
        </is>
      </c>
      <c r="H107" s="803" t="inlineStr">
        <is>
          <t>Fab15, 7nm, No PI, No Bumping</t>
        </is>
      </c>
      <c r="I107" s="816" t="inlineStr">
        <is>
          <t xml:space="preserve">molding, Exposed die assembly </t>
        </is>
      </c>
      <c r="J107" s="817" t="n"/>
      <c r="K107" s="806" t="n">
        <v>5620</v>
      </c>
      <c r="L107" s="794">
        <f>E107&amp;$L$1</f>
        <v/>
      </c>
      <c r="M107" s="794">
        <f>L107&amp;$O$1&amp;G107&amp;$O$1&amp;H107</f>
        <v/>
      </c>
      <c r="N107" s="794">
        <f>C107&amp;$N$1</f>
        <v/>
      </c>
      <c r="O107" s="794">
        <f>N107&amp;$O$1&amp;I107</f>
        <v/>
      </c>
    </row>
    <row r="108" ht="15.75" customHeight="1" s="184">
      <c r="A108" s="808" t="inlineStr">
        <is>
          <t>TMKN68F-EAZT</t>
        </is>
      </c>
      <c r="B108" s="809" t="inlineStr">
        <is>
          <t>BM1391A</t>
        </is>
      </c>
      <c r="C108" s="809" t="inlineStr">
        <is>
          <t>BM1391AM</t>
        </is>
      </c>
      <c r="D108" s="641" t="inlineStr">
        <is>
          <t>Y09BM1391510</t>
        </is>
      </c>
      <c r="E108" s="810" t="inlineStr">
        <is>
          <t>BM1391</t>
        </is>
      </c>
      <c r="F108" s="804" t="inlineStr">
        <is>
          <t>Y09JY1391050</t>
        </is>
      </c>
      <c r="G108" s="808" t="inlineStr">
        <is>
          <t>TMKN68F-EAZT</t>
        </is>
      </c>
      <c r="H108" s="803" t="inlineStr">
        <is>
          <t>Fab15, 7nm, No PI, No Bumping</t>
        </is>
      </c>
      <c r="I108" s="816" t="inlineStr">
        <is>
          <t>molding, Exposed die assembly + EMI shielding layer</t>
        </is>
      </c>
      <c r="J108" s="817" t="n"/>
      <c r="K108" s="806" t="n">
        <v>5620</v>
      </c>
      <c r="L108" s="794">
        <f>E108&amp;$L$1</f>
        <v/>
      </c>
      <c r="M108" s="794">
        <f>L108&amp;$O$1&amp;G108&amp;$O$1&amp;H108</f>
        <v/>
      </c>
      <c r="N108" s="794">
        <f>C108&amp;$N$1</f>
        <v/>
      </c>
      <c r="O108" s="794">
        <f>N108&amp;$O$1&amp;I108</f>
        <v/>
      </c>
    </row>
    <row r="109" ht="15.75" customHeight="1" s="184">
      <c r="A109" s="808" t="inlineStr">
        <is>
          <t>TMKN68F-EAZT</t>
        </is>
      </c>
      <c r="B109" s="809" t="inlineStr">
        <is>
          <t>BM1391</t>
        </is>
      </c>
      <c r="C109" s="809" t="inlineStr">
        <is>
          <t>BM1391AE</t>
        </is>
      </c>
      <c r="D109" s="641" t="inlineStr">
        <is>
          <t>Y09BM1391110</t>
        </is>
      </c>
      <c r="E109" s="810" t="inlineStr">
        <is>
          <t>BM1391</t>
        </is>
      </c>
      <c r="F109" s="804" t="inlineStr">
        <is>
          <t>Y09JY1391050</t>
        </is>
      </c>
      <c r="G109" s="808" t="inlineStr">
        <is>
          <t>TMKN68F-EAZT</t>
        </is>
      </c>
      <c r="H109" s="803" t="inlineStr">
        <is>
          <t>7nm, Fab15, No PI, No Bumping, scribe line pattern</t>
        </is>
      </c>
      <c r="I109" s="816" t="inlineStr">
        <is>
          <t>molding, exposed die</t>
        </is>
      </c>
      <c r="J109" s="817" t="n"/>
      <c r="K109" s="806" t="n">
        <v>5620</v>
      </c>
      <c r="L109" s="794">
        <f>E109&amp;$L$1</f>
        <v/>
      </c>
      <c r="M109" s="794">
        <f>L109&amp;$O$1&amp;G109&amp;$O$1&amp;H109</f>
        <v/>
      </c>
      <c r="N109" s="794">
        <f>C109&amp;$N$1</f>
        <v/>
      </c>
      <c r="O109" s="794">
        <f>N109&amp;$O$1&amp;I109</f>
        <v/>
      </c>
    </row>
    <row r="110" ht="15.75" customHeight="1" s="184">
      <c r="A110" s="808" t="inlineStr">
        <is>
          <t>TMKN68F-EAZT</t>
        </is>
      </c>
      <c r="B110" s="809" t="inlineStr">
        <is>
          <t>BM1391</t>
        </is>
      </c>
      <c r="C110" s="809" t="inlineStr">
        <is>
          <t>BM1391AM</t>
        </is>
      </c>
      <c r="D110" s="641" t="inlineStr">
        <is>
          <t>Y09BM1391510</t>
        </is>
      </c>
      <c r="E110" s="810" t="inlineStr">
        <is>
          <t>BM1391</t>
        </is>
      </c>
      <c r="F110" s="804" t="inlineStr">
        <is>
          <t>Y09JY1391050</t>
        </is>
      </c>
      <c r="G110" s="808" t="inlineStr">
        <is>
          <t>TMKN68F-EAZT</t>
        </is>
      </c>
      <c r="H110" s="803" t="inlineStr">
        <is>
          <t>7nm, Fab15, No PI, No Bumping, scribe line pattern</t>
        </is>
      </c>
      <c r="I110" s="816" t="inlineStr">
        <is>
          <t>molding, Exposed die assembly + EMI shielding</t>
        </is>
      </c>
      <c r="J110" s="817" t="n"/>
      <c r="K110" s="806" t="n">
        <v>5620</v>
      </c>
      <c r="L110" s="794">
        <f>E110&amp;$L$1</f>
        <v/>
      </c>
      <c r="M110" s="794">
        <f>L110&amp;$O$1&amp;G110&amp;$O$1&amp;H110</f>
        <v/>
      </c>
      <c r="N110" s="794">
        <f>C110&amp;$N$1</f>
        <v/>
      </c>
      <c r="O110" s="794">
        <f>N110&amp;$O$1&amp;I110</f>
        <v/>
      </c>
    </row>
    <row r="111" ht="15.75" customHeight="1" s="184">
      <c r="A111" s="808" t="inlineStr">
        <is>
          <t>TMKN68F-T2EAZT</t>
        </is>
      </c>
      <c r="B111" s="809" t="inlineStr">
        <is>
          <t>BM1391</t>
        </is>
      </c>
      <c r="C111" s="809" t="inlineStr">
        <is>
          <t>BM1391AB</t>
        </is>
      </c>
      <c r="D111" s="641" t="inlineStr">
        <is>
          <t>Y09BM1391710</t>
        </is>
      </c>
      <c r="E111" s="810" t="inlineStr">
        <is>
          <t>BM1391_CIP</t>
        </is>
      </c>
      <c r="F111" s="804" t="inlineStr">
        <is>
          <t>Y09JY1391450</t>
        </is>
      </c>
      <c r="G111" s="808" t="inlineStr">
        <is>
          <t>TMKN68F-T2EAZT</t>
        </is>
      </c>
      <c r="H111" s="803" t="inlineStr">
        <is>
          <t>7nm, Fab15, No PI, No Bumping, process optimize</t>
        </is>
      </c>
      <c r="I111" s="816" t="inlineStr">
        <is>
          <t>molding, exposed die</t>
        </is>
      </c>
      <c r="J111" s="817" t="n"/>
      <c r="K111" s="806" t="n">
        <v>5620</v>
      </c>
      <c r="L111" s="794">
        <f>E111&amp;$L$1</f>
        <v/>
      </c>
      <c r="M111" s="794">
        <f>L111&amp;$O$1&amp;G111&amp;$O$1&amp;H111</f>
        <v/>
      </c>
      <c r="N111" s="794">
        <f>C111&amp;$N$1</f>
        <v/>
      </c>
      <c r="O111" s="794">
        <f>N111&amp;$O$1&amp;I111</f>
        <v/>
      </c>
    </row>
    <row r="112" ht="15.75" customHeight="1" s="184">
      <c r="A112" s="808" t="inlineStr">
        <is>
          <t>TMKN68F-T2EAZT</t>
        </is>
      </c>
      <c r="B112" s="809" t="inlineStr">
        <is>
          <t>BM1391</t>
        </is>
      </c>
      <c r="C112" s="809" t="inlineStr">
        <is>
          <t>BM1391AN</t>
        </is>
      </c>
      <c r="D112" s="641" t="inlineStr">
        <is>
          <t>Y09BM1391810</t>
        </is>
      </c>
      <c r="E112" s="810" t="inlineStr">
        <is>
          <t>BM1391_CIP</t>
        </is>
      </c>
      <c r="F112" s="804" t="inlineStr">
        <is>
          <t>Y09JY1391450</t>
        </is>
      </c>
      <c r="G112" s="808" t="inlineStr">
        <is>
          <t>TMKN68F-T2EAZT</t>
        </is>
      </c>
      <c r="H112" s="803" t="inlineStr">
        <is>
          <t>7nm, Fab15, No PI, No Bumping, process optimize</t>
        </is>
      </c>
      <c r="I112" s="816" t="inlineStr">
        <is>
          <t>molding, Exposed die assembly + EMI shielding</t>
        </is>
      </c>
      <c r="J112" s="817" t="n"/>
      <c r="K112" s="806" t="n">
        <v>5620</v>
      </c>
      <c r="L112" s="794">
        <f>E112&amp;$L$1</f>
        <v/>
      </c>
      <c r="M112" s="794">
        <f>L112&amp;$O$1&amp;G112&amp;$O$1&amp;H112</f>
        <v/>
      </c>
      <c r="N112" s="794">
        <f>C112&amp;$N$1</f>
        <v/>
      </c>
      <c r="O112" s="794">
        <f>N112&amp;$O$1&amp;I112</f>
        <v/>
      </c>
    </row>
    <row r="113" ht="15.75" customHeight="1" s="184">
      <c r="A113" s="808" t="inlineStr">
        <is>
          <t>TMKM60A-EAZM</t>
        </is>
      </c>
      <c r="B113" s="809" t="inlineStr">
        <is>
          <t>BM1487</t>
        </is>
      </c>
      <c r="C113" s="809" t="inlineStr">
        <is>
          <t>BM1487AM</t>
        </is>
      </c>
      <c r="D113" s="641" t="inlineStr">
        <is>
          <t>Y09BM1487520</t>
        </is>
      </c>
      <c r="E113" s="810" t="inlineStr">
        <is>
          <t>BM1487</t>
        </is>
      </c>
      <c r="F113" s="804" t="inlineStr">
        <is>
          <t>Y09JY1487020</t>
        </is>
      </c>
      <c r="G113" s="808" t="inlineStr">
        <is>
          <t>TMKM60A-EAZM</t>
        </is>
      </c>
      <c r="H113" s="803" t="inlineStr">
        <is>
          <t>12nm,Fab16, No PI, No Bumping</t>
        </is>
      </c>
      <c r="I113" s="816" t="inlineStr">
        <is>
          <t>molding, Exposed die assembly + EMI shielding</t>
        </is>
      </c>
      <c r="J113" s="817" t="n"/>
      <c r="K113" s="806" t="n">
        <v>2314</v>
      </c>
      <c r="L113" s="794">
        <f>E113&amp;$L$1</f>
        <v/>
      </c>
      <c r="M113" s="794">
        <f>L113&amp;$O$1&amp;G113&amp;$O$1&amp;H113</f>
        <v/>
      </c>
      <c r="N113" s="794">
        <f>C113&amp;$N$1</f>
        <v/>
      </c>
      <c r="O113" s="794">
        <f>N113&amp;$O$1&amp;I113</f>
        <v/>
      </c>
    </row>
    <row r="114" ht="15.75" customHeight="1" s="184">
      <c r="A114" s="808" t="inlineStr">
        <is>
          <t>TMKR70A-EAZM</t>
        </is>
      </c>
      <c r="B114" s="809" t="inlineStr">
        <is>
          <t>BM1762</t>
        </is>
      </c>
      <c r="C114" s="809" t="inlineStr">
        <is>
          <t>BM1762AM</t>
        </is>
      </c>
      <c r="D114" s="641" t="inlineStr">
        <is>
          <t>Y09BM1762500</t>
        </is>
      </c>
      <c r="E114" s="810" t="inlineStr">
        <is>
          <t>BM1762</t>
        </is>
      </c>
      <c r="F114" s="804" t="inlineStr">
        <is>
          <t>Y09JY1762020</t>
        </is>
      </c>
      <c r="G114" s="808" t="inlineStr">
        <is>
          <t>TMKR70A-EAZM</t>
        </is>
      </c>
      <c r="H114" s="803" t="inlineStr">
        <is>
          <t>16nm, 0.4V, No PI, No Bumping</t>
        </is>
      </c>
      <c r="I114" s="816" t="inlineStr">
        <is>
          <t>molding, Exposed die assembly + EMI shielding</t>
        </is>
      </c>
      <c r="J114" s="817" t="n"/>
      <c r="K114" s="806" t="n">
        <v>2897</v>
      </c>
      <c r="L114" s="794">
        <f>E114&amp;$L$1</f>
        <v/>
      </c>
      <c r="M114" s="794">
        <f>L114&amp;$O$1&amp;G114&amp;$O$1&amp;H114</f>
        <v/>
      </c>
      <c r="N114" s="794">
        <f>C114&amp;$N$1</f>
        <v/>
      </c>
      <c r="O114" s="794">
        <f>N114&amp;$O$1&amp;I114</f>
        <v/>
      </c>
    </row>
    <row r="115" ht="15.75" customHeight="1" s="184">
      <c r="A115" s="808" t="inlineStr">
        <is>
          <t>TMHU59C-T8EAZM</t>
        </is>
      </c>
      <c r="B115" s="809" t="inlineStr">
        <is>
          <t>BM1387BG</t>
        </is>
      </c>
      <c r="C115" s="809" t="inlineStr">
        <is>
          <t>BM1387BG</t>
        </is>
      </c>
      <c r="D115" s="641" t="inlineStr">
        <is>
          <t>Y09BM138760E</t>
        </is>
      </c>
      <c r="E115" s="810" t="inlineStr">
        <is>
          <t>BM1387FFM</t>
        </is>
      </c>
      <c r="F115" s="804" t="inlineStr">
        <is>
          <t>Y09JY1387130</t>
        </is>
      </c>
      <c r="G115" s="808" t="inlineStr">
        <is>
          <t>TMHU59C-T8EAZM</t>
        </is>
      </c>
      <c r="H115" s="803" t="inlineStr">
        <is>
          <t>16nm, No PI, No Bumping，0.36V Low VT</t>
        </is>
      </c>
      <c r="I115" s="816" t="inlineStr">
        <is>
          <t>molding, exposed die, BIN2</t>
        </is>
      </c>
      <c r="J115" s="817" t="n"/>
      <c r="K115" s="806" t="n">
        <v>5180</v>
      </c>
      <c r="L115" s="794">
        <f>E115&amp;$L$1</f>
        <v/>
      </c>
      <c r="M115" s="794">
        <f>L115&amp;$O$1&amp;G115&amp;$O$1&amp;H115</f>
        <v/>
      </c>
      <c r="N115" s="794">
        <f>C115&amp;$N$1</f>
        <v/>
      </c>
      <c r="O115" s="794">
        <f>N115&amp;$O$1&amp;I115</f>
        <v/>
      </c>
    </row>
    <row r="116" ht="15.75" customHeight="1" s="184">
      <c r="A116" s="808" t="inlineStr">
        <is>
          <t>TMLF10A-T1EAZT</t>
        </is>
      </c>
      <c r="B116" s="809" t="inlineStr">
        <is>
          <t>BM1397</t>
        </is>
      </c>
      <c r="C116" s="809" t="inlineStr">
        <is>
          <t>BM1397AC</t>
        </is>
      </c>
      <c r="D116" s="641" t="inlineStr">
        <is>
          <t>Y09BM1397210</t>
        </is>
      </c>
      <c r="E116" s="810" t="inlineStr">
        <is>
          <t>BM1397_FFM+</t>
        </is>
      </c>
      <c r="F116" s="804" t="inlineStr">
        <is>
          <t>Y09JY1397120</t>
        </is>
      </c>
      <c r="G116" s="808" t="inlineStr">
        <is>
          <t>TMLF10A-T1EAZT</t>
        </is>
      </c>
      <c r="H116" s="803" t="inlineStr">
        <is>
          <t>7nm, Fab15, No PI, No Bumping, process optimize</t>
        </is>
      </c>
      <c r="I116" s="816" t="inlineStr">
        <is>
          <t>molding, exposed die, CTM IO</t>
        </is>
      </c>
      <c r="J116" s="817" t="n"/>
      <c r="K116" s="806" t="n">
        <v>2122</v>
      </c>
      <c r="L116" s="794">
        <f>E116&amp;$L$1</f>
        <v/>
      </c>
      <c r="M116" s="794">
        <f>L116&amp;$O$1&amp;G116&amp;$O$1&amp;H116</f>
        <v/>
      </c>
      <c r="N116" s="794">
        <f>C116&amp;$N$1</f>
        <v/>
      </c>
      <c r="O116" s="794">
        <f>N116&amp;$O$1&amp;I116</f>
        <v/>
      </c>
    </row>
    <row r="117" ht="15.75" customHeight="1" s="184">
      <c r="A117" s="808" t="inlineStr">
        <is>
          <t>TMLF10A-EAZT</t>
        </is>
      </c>
      <c r="B117" s="809" t="inlineStr">
        <is>
          <t>BM1397AA</t>
        </is>
      </c>
      <c r="C117" s="809" t="inlineStr">
        <is>
          <t>BM1397AD</t>
        </is>
      </c>
      <c r="D117" s="641" t="inlineStr">
        <is>
          <t>Y09BM1397310</t>
        </is>
      </c>
      <c r="E117" s="810" t="inlineStr">
        <is>
          <t>BM1397</t>
        </is>
      </c>
      <c r="F117" s="804" t="inlineStr">
        <is>
          <t>Y09JY1397010</t>
        </is>
      </c>
      <c r="G117" s="808" t="inlineStr">
        <is>
          <t>TMLF10A-EAZT</t>
        </is>
      </c>
      <c r="H117" s="803" t="inlineStr">
        <is>
          <t>7nm, Fab15, No PI, No Bumping</t>
        </is>
      </c>
      <c r="I117" s="816" t="inlineStr">
        <is>
          <t>molding, exposed die, CTM IO，BSM-OSAT EMI shielding</t>
        </is>
      </c>
      <c r="J117" s="805" t="n"/>
      <c r="K117" s="806" t="n">
        <v>2122</v>
      </c>
      <c r="L117" s="794">
        <f>E117&amp;$L$1</f>
        <v/>
      </c>
      <c r="M117" s="794">
        <f>L117&amp;$O$1&amp;G117&amp;$O$1&amp;H117</f>
        <v/>
      </c>
      <c r="N117" s="794">
        <f>C117&amp;$N$1</f>
        <v/>
      </c>
      <c r="O117" s="794">
        <f>N117&amp;$O$1&amp;I117</f>
        <v/>
      </c>
    </row>
    <row r="118" ht="15.75" customHeight="1" s="184">
      <c r="A118" s="808" t="inlineStr">
        <is>
          <t>TMLF10A-EAZT</t>
        </is>
      </c>
      <c r="B118" s="809" t="inlineStr">
        <is>
          <t>BM1397AB</t>
        </is>
      </c>
      <c r="C118" s="809" t="inlineStr">
        <is>
          <t>BM1397AE</t>
        </is>
      </c>
      <c r="D118" s="641" t="inlineStr">
        <is>
          <t>Y09BM1397420</t>
        </is>
      </c>
      <c r="E118" s="810" t="inlineStr">
        <is>
          <t>BM1397</t>
        </is>
      </c>
      <c r="F118" s="804" t="inlineStr">
        <is>
          <t>Y09JY1397010</t>
        </is>
      </c>
      <c r="G118" s="808" t="inlineStr">
        <is>
          <t>TMLF10A-EAZT</t>
        </is>
      </c>
      <c r="H118" s="803" t="inlineStr">
        <is>
          <t>7nm, Fab15, No PI, No Bumping</t>
        </is>
      </c>
      <c r="I118" s="816" t="inlineStr">
        <is>
          <t>molding, exposed die, TSMC IO，BSM-OSAT EMI shielding</t>
        </is>
      </c>
      <c r="J118" s="805" t="n"/>
      <c r="K118" s="806" t="n">
        <v>2122</v>
      </c>
      <c r="L118" s="794">
        <f>E118&amp;$L$1</f>
        <v/>
      </c>
      <c r="M118" s="794">
        <f>L118&amp;$O$1&amp;G118&amp;$O$1&amp;H118</f>
        <v/>
      </c>
      <c r="N118" s="794">
        <f>C118&amp;$N$1</f>
        <v/>
      </c>
      <c r="O118" s="794">
        <f>N118&amp;$O$1&amp;I118</f>
        <v/>
      </c>
    </row>
    <row r="119" ht="15.75" customHeight="1" s="184">
      <c r="A119" s="808" t="inlineStr">
        <is>
          <t>TMLF10A-T1EAZT</t>
        </is>
      </c>
      <c r="B119" s="809" t="inlineStr">
        <is>
          <t>BM1397</t>
        </is>
      </c>
      <c r="C119" s="809" t="inlineStr">
        <is>
          <t>BM1397AF</t>
        </is>
      </c>
      <c r="D119" s="641" t="inlineStr">
        <is>
          <t>Y09BM1397510</t>
        </is>
      </c>
      <c r="E119" s="810" t="inlineStr">
        <is>
          <t>BM1397_FFM+</t>
        </is>
      </c>
      <c r="F119" s="804" t="inlineStr">
        <is>
          <t>Y09JY1397120</t>
        </is>
      </c>
      <c r="G119" s="808" t="inlineStr">
        <is>
          <t>TMLF10A-T1EAZT</t>
        </is>
      </c>
      <c r="H119" s="803" t="inlineStr">
        <is>
          <t>7nm, Fab15, No PI, No Bumping, process optimize</t>
        </is>
      </c>
      <c r="I119" s="816" t="inlineStr">
        <is>
          <t>molding, exposed die, CTM IO，BSM-OSAT EMI shielding</t>
        </is>
      </c>
      <c r="J119" s="805" t="n"/>
      <c r="K119" s="806" t="n">
        <v>2122</v>
      </c>
      <c r="L119" s="794">
        <f>E119&amp;$L$1</f>
        <v/>
      </c>
      <c r="M119" s="794">
        <f>L119&amp;$O$1&amp;G119&amp;$O$1&amp;H119</f>
        <v/>
      </c>
      <c r="N119" s="794">
        <f>C119&amp;$N$1</f>
        <v/>
      </c>
      <c r="O119" s="794">
        <f>N119&amp;$O$1&amp;I119</f>
        <v/>
      </c>
    </row>
    <row r="120" ht="15.75" customHeight="1" s="184">
      <c r="A120" s="808" t="inlineStr">
        <is>
          <t>TMLF40A-EAZM</t>
        </is>
      </c>
      <c r="B120" s="809" t="inlineStr">
        <is>
          <t>BM1744</t>
        </is>
      </c>
      <c r="C120" s="809" t="inlineStr">
        <is>
          <t>BM1744AB</t>
        </is>
      </c>
      <c r="D120" s="641" t="inlineStr">
        <is>
          <t>Y09BM1744111</t>
        </is>
      </c>
      <c r="E120" s="810" t="inlineStr">
        <is>
          <t>BM1744</t>
        </is>
      </c>
      <c r="F120" s="804" t="inlineStr">
        <is>
          <t>Y09JY1744010</t>
        </is>
      </c>
      <c r="G120" s="808" t="inlineStr">
        <is>
          <t>TMLF40A-EAZM</t>
        </is>
      </c>
      <c r="H120" s="803" t="inlineStr">
        <is>
          <t>12nm, Fab16, No PI, No Bumping</t>
        </is>
      </c>
      <c r="I120" s="816" t="inlineStr">
        <is>
          <t>Bare die, LGA 31x31, with capacitors</t>
        </is>
      </c>
      <c r="J120" s="805" t="n"/>
      <c r="K120" s="806" t="n">
        <v>145</v>
      </c>
      <c r="L120" s="794">
        <f>E120&amp;$L$1</f>
        <v/>
      </c>
      <c r="M120" s="794">
        <f>L120&amp;$O$1&amp;G120&amp;$O$1&amp;H120</f>
        <v/>
      </c>
      <c r="N120" s="794">
        <f>C120&amp;$N$1</f>
        <v/>
      </c>
      <c r="O120" s="794">
        <f>N120&amp;$O$1&amp;I120</f>
        <v/>
      </c>
    </row>
    <row r="121" ht="15.75" customHeight="1" s="184">
      <c r="A121" s="808" t="n"/>
      <c r="B121" s="809" t="inlineStr">
        <is>
          <t>BM1391</t>
        </is>
      </c>
      <c r="C121" s="809" t="inlineStr">
        <is>
          <t>BM1391AC</t>
        </is>
      </c>
      <c r="D121" s="641" t="inlineStr">
        <is>
          <t>Y09BM1391910</t>
        </is>
      </c>
      <c r="E121" s="810" t="inlineStr">
        <is>
          <t>BM1391</t>
        </is>
      </c>
      <c r="F121" s="804" t="inlineStr">
        <is>
          <t>Y09JY1391010</t>
        </is>
      </c>
      <c r="G121" s="808" t="inlineStr">
        <is>
          <t>TMKN68B-EAZT</t>
        </is>
      </c>
      <c r="H121" s="803" t="inlineStr">
        <is>
          <t>7nm, Fab15, No PI, No Bumping</t>
        </is>
      </c>
      <c r="I121" s="816" t="inlineStr">
        <is>
          <t>molding, exposed die assembly, substrate NSMD for ED MUF</t>
        </is>
      </c>
      <c r="J121" s="805" t="n"/>
      <c r="K121" s="806" t="n">
        <v>5620</v>
      </c>
      <c r="L121" s="794">
        <f>E121&amp;$L$1</f>
        <v/>
      </c>
      <c r="M121" s="794">
        <f>L121&amp;$O$1&amp;G121&amp;$O$1&amp;H121</f>
        <v/>
      </c>
      <c r="N121" s="794">
        <f>C121&amp;$N$1</f>
        <v/>
      </c>
      <c r="O121" s="794">
        <f>N121&amp;$O$1&amp;I121</f>
        <v/>
      </c>
    </row>
    <row r="122" ht="15.75" customHeight="1" s="184">
      <c r="A122" s="791">
        <f>G122</f>
        <v/>
      </c>
      <c r="B122" s="809" t="inlineStr">
        <is>
          <t>BM18M1</t>
        </is>
      </c>
      <c r="C122" s="809" t="inlineStr">
        <is>
          <t>BM18M1</t>
        </is>
      </c>
      <c r="D122" s="641" t="e">
        <v>#N/A</v>
      </c>
      <c r="E122" s="810" t="inlineStr">
        <is>
          <t>BM18M1</t>
        </is>
      </c>
      <c r="F122" s="804" t="e">
        <v>#N/A</v>
      </c>
      <c r="G122" s="808" t="inlineStr">
        <is>
          <t>TMJP16_C13</t>
        </is>
      </c>
      <c r="H122" s="803" t="inlineStr">
        <is>
          <t>12nm, MPW, Fab14, with PI, with Bumping and back grinding</t>
        </is>
      </c>
      <c r="I122" s="816" t="inlineStr">
        <is>
          <t>BGA 15x15 with heat sink</t>
        </is>
      </c>
      <c r="J122" s="805" t="n"/>
      <c r="K122" s="806" t="n"/>
      <c r="L122" s="794">
        <f>E122&amp;$L$1</f>
        <v/>
      </c>
      <c r="M122" s="794">
        <f>L122&amp;$O$1&amp;G122&amp;$O$1&amp;H122</f>
        <v/>
      </c>
      <c r="N122" s="794">
        <f>C122&amp;$N$1</f>
        <v/>
      </c>
      <c r="O122" s="794">
        <f>N122&amp;$O$1&amp;I122</f>
        <v/>
      </c>
    </row>
    <row r="123" ht="15.75" customHeight="1" s="184">
      <c r="A123" s="791">
        <f>G123</f>
        <v/>
      </c>
      <c r="B123" s="809" t="inlineStr">
        <is>
          <t>BM1397</t>
        </is>
      </c>
      <c r="C123" s="809" t="inlineStr">
        <is>
          <t>BM1397AG</t>
        </is>
      </c>
      <c r="D123" s="641" t="inlineStr">
        <is>
          <t>Y09BM1397610</t>
        </is>
      </c>
      <c r="E123" s="810" t="inlineStr">
        <is>
          <t>BM1397_BKM1</t>
        </is>
      </c>
      <c r="F123" s="804" t="inlineStr">
        <is>
          <t>Y09JY1397210</t>
        </is>
      </c>
      <c r="G123" s="808" t="inlineStr">
        <is>
          <t>TMLF10A-T3EAZT</t>
        </is>
      </c>
      <c r="H123" s="803" t="inlineStr">
        <is>
          <t>7nm, Fab15, No PI, No Bumping, process optimize (VD CD/P76 My Rc/NMOS IDU/New Vt position)</t>
        </is>
      </c>
      <c r="I123" s="816" t="inlineStr">
        <is>
          <t>molding, exposed die, CTM IO, BSM</t>
        </is>
      </c>
      <c r="J123" s="805" t="n"/>
      <c r="K123" s="806" t="n">
        <v>2122</v>
      </c>
      <c r="L123" s="794">
        <f>E123&amp;$L$1</f>
        <v/>
      </c>
      <c r="M123" s="794">
        <f>L123&amp;$O$1&amp;G123&amp;$O$1&amp;H123</f>
        <v/>
      </c>
      <c r="N123" s="794">
        <f>C123&amp;$N$1</f>
        <v/>
      </c>
      <c r="O123" s="794">
        <f>N123&amp;$O$1&amp;I123</f>
        <v/>
      </c>
    </row>
    <row r="124" ht="15.75" customHeight="1" s="184">
      <c r="A124" s="791">
        <f>G124</f>
        <v/>
      </c>
      <c r="B124" s="809" t="inlineStr">
        <is>
          <t>BM1397</t>
        </is>
      </c>
      <c r="C124" s="809" t="inlineStr">
        <is>
          <t>BM1397AH</t>
        </is>
      </c>
      <c r="D124" s="641" t="inlineStr">
        <is>
          <t>Y09BM1397710</t>
        </is>
      </c>
      <c r="E124" s="810" t="inlineStr">
        <is>
          <t>BM1397_BKM2</t>
        </is>
      </c>
      <c r="F124" s="804" t="inlineStr">
        <is>
          <t>Y09JY1397310</t>
        </is>
      </c>
      <c r="G124" s="808" t="inlineStr">
        <is>
          <t>TMLF10A-T4EAZT</t>
        </is>
      </c>
      <c r="H124" s="803" t="inlineStr">
        <is>
          <t>7nm, Fab15, No PI, No Bumping, process optimize (BKM1+ M2 Rs/Al Pad Rs)</t>
        </is>
      </c>
      <c r="I124" s="816" t="inlineStr">
        <is>
          <t>molding, exposed die, CTM IO, BSM</t>
        </is>
      </c>
      <c r="J124" s="805" t="n"/>
      <c r="K124" s="806" t="n">
        <v>2122</v>
      </c>
      <c r="L124" s="794">
        <f>E124&amp;$L$1</f>
        <v/>
      </c>
      <c r="M124" s="794">
        <f>L124&amp;$O$1&amp;G124&amp;$O$1&amp;H124</f>
        <v/>
      </c>
      <c r="N124" s="794">
        <f>C124&amp;$N$1</f>
        <v/>
      </c>
      <c r="O124" s="794">
        <f>N124&amp;$O$1&amp;I124</f>
        <v/>
      </c>
    </row>
    <row r="125" ht="15.75" customHeight="1" s="184">
      <c r="A125" s="791">
        <f>G125</f>
        <v/>
      </c>
      <c r="B125" s="809" t="inlineStr">
        <is>
          <t>BM1397</t>
        </is>
      </c>
      <c r="C125" s="809" t="inlineStr">
        <is>
          <t>BM1397AI</t>
        </is>
      </c>
      <c r="D125" s="641" t="inlineStr">
        <is>
          <t>Y09BM1397830</t>
        </is>
      </c>
      <c r="E125" s="810" t="inlineStr">
        <is>
          <t>BM1397_FFM+1</t>
        </is>
      </c>
      <c r="F125" s="804" t="inlineStr">
        <is>
          <t>Y09JY1397430</t>
        </is>
      </c>
      <c r="G125" s="808" t="inlineStr">
        <is>
          <t>TMLF10A-T5EAZT</t>
        </is>
      </c>
      <c r="H125" s="803" t="inlineStr">
        <is>
          <t>7nm, Fab15, No PI, No Bumping, process optimize FFM+1 (no Vt change)</t>
        </is>
      </c>
      <c r="I125" s="816" t="inlineStr">
        <is>
          <t>molding, exposed die+BSM, CTM IO</t>
        </is>
      </c>
      <c r="J125" s="805" t="n"/>
      <c r="K125" s="806" t="n">
        <v>2122</v>
      </c>
      <c r="L125" s="794">
        <f>E125&amp;$L$1</f>
        <v/>
      </c>
      <c r="M125" s="794">
        <f>L125&amp;$O$1&amp;G125&amp;$O$1&amp;H125</f>
        <v/>
      </c>
      <c r="N125" s="794">
        <f>C125&amp;$N$1</f>
        <v/>
      </c>
      <c r="O125" s="794">
        <f>N125&amp;$O$1&amp;I125</f>
        <v/>
      </c>
    </row>
    <row r="126" ht="15.75" customHeight="1" s="184">
      <c r="A126" s="791">
        <f>G126</f>
        <v/>
      </c>
      <c r="B126" s="809" t="inlineStr">
        <is>
          <t>BM1684</t>
        </is>
      </c>
      <c r="C126" s="809" t="inlineStr">
        <is>
          <t>BM1684AA</t>
        </is>
      </c>
      <c r="D126" s="641" t="inlineStr">
        <is>
          <t>Y09BM1684011</t>
        </is>
      </c>
      <c r="E126" s="810" t="inlineStr">
        <is>
          <t>BM1684</t>
        </is>
      </c>
      <c r="F126" s="804" t="inlineStr">
        <is>
          <t>Y09JY1684010</t>
        </is>
      </c>
      <c r="G126" s="808" t="inlineStr">
        <is>
          <t>TMLT73A-EAZM</t>
        </is>
      </c>
      <c r="H126" s="803" t="inlineStr">
        <is>
          <t>12nm,Fab16, No PI, No Bumping</t>
        </is>
      </c>
      <c r="I126" s="816" t="inlineStr">
        <is>
          <t>Bare die, BGA 25x25, with capacitors</t>
        </is>
      </c>
      <c r="J126" s="805" t="n"/>
      <c r="K126" s="806" t="n">
        <v>294</v>
      </c>
      <c r="L126" s="794">
        <f>E126&amp;$L$1</f>
        <v/>
      </c>
      <c r="M126" s="794">
        <f>L126&amp;$O$1&amp;G126&amp;$O$1&amp;H126</f>
        <v/>
      </c>
      <c r="N126" s="794">
        <f>C126&amp;$N$1</f>
        <v/>
      </c>
      <c r="O126" s="794">
        <f>N126&amp;$O$1&amp;I126</f>
        <v/>
      </c>
    </row>
    <row r="127" ht="15.75" customHeight="1" s="184">
      <c r="A127" s="791">
        <f>G127</f>
        <v/>
      </c>
      <c r="B127" s="809" t="inlineStr">
        <is>
          <t>BM1396AA</t>
        </is>
      </c>
      <c r="C127" s="809" t="inlineStr">
        <is>
          <t>BM1396AA</t>
        </is>
      </c>
      <c r="D127" s="641" t="inlineStr">
        <is>
          <t>Y09BM1396010</t>
        </is>
      </c>
      <c r="E127" s="810" t="inlineStr">
        <is>
          <t>BM1396</t>
        </is>
      </c>
      <c r="F127" s="804" t="inlineStr">
        <is>
          <t>Y09JY1396010</t>
        </is>
      </c>
      <c r="G127" s="808" t="inlineStr">
        <is>
          <t>TMLY02A-EAZM</t>
        </is>
      </c>
      <c r="H127" s="803" t="inlineStr">
        <is>
          <t>Fab16, 16FFM, No PI, No Bumping,</t>
        </is>
      </c>
      <c r="I127" s="816" t="inlineStr">
        <is>
          <t>molding, exposed die, BSM,2层基板, CTM IO</t>
        </is>
      </c>
      <c r="J127" s="805" t="n"/>
      <c r="K127" s="806" t="n">
        <v>2343</v>
      </c>
      <c r="L127" s="794">
        <f>E127&amp;$L$1</f>
        <v/>
      </c>
      <c r="M127" s="794">
        <f>L127&amp;$O$1&amp;G127&amp;$O$1&amp;H127</f>
        <v/>
      </c>
      <c r="N127" s="794">
        <f>C127&amp;$N$1</f>
        <v/>
      </c>
      <c r="O127" s="794">
        <f>N127&amp;$O$1&amp;I127</f>
        <v/>
      </c>
    </row>
    <row r="128" ht="15.75" customHeight="1" s="184">
      <c r="A128" s="791">
        <f>G128</f>
        <v/>
      </c>
      <c r="B128" s="809" t="inlineStr">
        <is>
          <t>BM1396AB</t>
        </is>
      </c>
      <c r="C128" s="809" t="inlineStr">
        <is>
          <t>BM1396AB</t>
        </is>
      </c>
      <c r="D128" s="641" t="inlineStr">
        <is>
          <t>Y09BM1396120</t>
        </is>
      </c>
      <c r="E128" s="810" t="inlineStr">
        <is>
          <t>BM1396</t>
        </is>
      </c>
      <c r="F128" s="804" t="inlineStr">
        <is>
          <t>Y09JY1396010</t>
        </is>
      </c>
      <c r="G128" s="808" t="inlineStr">
        <is>
          <t>TMLY02A-EAZM</t>
        </is>
      </c>
      <c r="H128" s="803" t="inlineStr">
        <is>
          <t>Fab16, 16FFM, No PI, No Bumping,</t>
        </is>
      </c>
      <c r="I128" s="816" t="inlineStr">
        <is>
          <t>molding, exposed die, BSM,3层基板, CTM IO</t>
        </is>
      </c>
      <c r="J128" s="805" t="n"/>
      <c r="K128" s="806" t="n">
        <v>2343</v>
      </c>
      <c r="L128" s="794">
        <f>E128&amp;$L$1</f>
        <v/>
      </c>
      <c r="M128" s="794">
        <f>L128&amp;$O$1&amp;G128&amp;$O$1&amp;H128</f>
        <v/>
      </c>
      <c r="N128" s="794">
        <f>C128&amp;$N$1</f>
        <v/>
      </c>
      <c r="O128" s="794">
        <f>N128&amp;$O$1&amp;I128</f>
        <v/>
      </c>
    </row>
    <row r="129" ht="15.75" customHeight="1" s="184">
      <c r="A129" s="791">
        <f>G129</f>
        <v/>
      </c>
      <c r="B129" s="809" t="inlineStr">
        <is>
          <t>BM1396AC</t>
        </is>
      </c>
      <c r="C129" s="809" t="inlineStr">
        <is>
          <t>BM1396AC</t>
        </is>
      </c>
      <c r="D129" s="641" t="inlineStr">
        <is>
          <t>Y09BM1396310</t>
        </is>
      </c>
      <c r="E129" s="810" t="inlineStr">
        <is>
          <t>BM1396_FFM+</t>
        </is>
      </c>
      <c r="F129" s="804" t="inlineStr">
        <is>
          <t>Y09JY1396120</t>
        </is>
      </c>
      <c r="G129" s="808" t="inlineStr">
        <is>
          <t>TMLY02A-T1EAZM</t>
        </is>
      </c>
      <c r="H129" s="803" t="inlineStr">
        <is>
          <t>Fab16, 16FFM+, No PI, No Bumping,</t>
        </is>
      </c>
      <c r="I129" s="816" t="inlineStr">
        <is>
          <t>molding, exposed die, BSM,2层基板 ,CTM IO</t>
        </is>
      </c>
      <c r="J129" s="805" t="n"/>
      <c r="K129" s="806" t="n">
        <v>2343</v>
      </c>
      <c r="L129" s="794">
        <f>E129&amp;$L$1</f>
        <v/>
      </c>
      <c r="M129" s="794">
        <f>L129&amp;$O$1&amp;G129&amp;$O$1&amp;H129</f>
        <v/>
      </c>
      <c r="N129" s="794">
        <f>C129&amp;$N$1</f>
        <v/>
      </c>
      <c r="O129" s="794">
        <f>N129&amp;$O$1&amp;I129</f>
        <v/>
      </c>
    </row>
    <row r="130" ht="15.75" customHeight="1" s="184">
      <c r="A130" s="791">
        <f>G130</f>
        <v/>
      </c>
      <c r="B130" s="809" t="inlineStr">
        <is>
          <t>BM1396AD</t>
        </is>
      </c>
      <c r="C130" s="809" t="inlineStr">
        <is>
          <t>BM1396AD</t>
        </is>
      </c>
      <c r="D130" s="641" t="inlineStr">
        <is>
          <t>Y09BM1396420</t>
        </is>
      </c>
      <c r="E130" s="810" t="inlineStr">
        <is>
          <t>BM1396_FFM+</t>
        </is>
      </c>
      <c r="F130" s="804" t="inlineStr">
        <is>
          <t>Y09JY1396120</t>
        </is>
      </c>
      <c r="G130" s="808" t="inlineStr">
        <is>
          <t>TMLY02A-T1EAZM</t>
        </is>
      </c>
      <c r="H130" s="803" t="inlineStr">
        <is>
          <t>Fab16, 16FFM+, No PI, No Bumping,</t>
        </is>
      </c>
      <c r="I130" s="816" t="inlineStr">
        <is>
          <t>molding, exposed die, BSM, 3层基板,CTM IO</t>
        </is>
      </c>
      <c r="J130" s="805" t="n"/>
      <c r="K130" s="806" t="n">
        <v>2343</v>
      </c>
      <c r="L130" s="794">
        <f>E130&amp;$L$1</f>
        <v/>
      </c>
      <c r="M130" s="794">
        <f>L130&amp;$O$1&amp;G130&amp;$O$1&amp;H130</f>
        <v/>
      </c>
      <c r="N130" s="794">
        <f>C130&amp;$N$1</f>
        <v/>
      </c>
      <c r="O130" s="794">
        <f>N130&amp;$O$1&amp;I130</f>
        <v/>
      </c>
    </row>
    <row r="131" ht="15.75" customHeight="1" s="184">
      <c r="A131" s="791">
        <f>G131</f>
        <v/>
      </c>
      <c r="B131" s="809" t="inlineStr">
        <is>
          <t>BM18M3L</t>
        </is>
      </c>
      <c r="C131" s="809" t="inlineStr">
        <is>
          <t>BM18M3L</t>
        </is>
      </c>
      <c r="D131" s="641" t="inlineStr">
        <is>
          <t>Y09BM18M3110</t>
        </is>
      </c>
      <c r="E131" s="810" t="inlineStr">
        <is>
          <t>BM18M3L</t>
        </is>
      </c>
      <c r="F131" s="804" t="inlineStr">
        <is>
          <t>Y09JY18M3111</t>
        </is>
      </c>
      <c r="G131" s="808" t="inlineStr">
        <is>
          <t>TMKV95_C61</t>
        </is>
      </c>
      <c r="H131" s="803" t="inlineStr">
        <is>
          <t>12nm, MPW, Fab14, with PI, with Bumping and back grinding</t>
        </is>
      </c>
      <c r="I131" s="816" t="inlineStr">
        <is>
          <t>Bare die, BGA 25x25, with capacitors</t>
        </is>
      </c>
      <c r="J131" s="805" t="n"/>
      <c r="K131" s="806" t="inlineStr">
        <is>
          <t>MPW</t>
        </is>
      </c>
      <c r="L131" s="794">
        <f>E131&amp;$L$1</f>
        <v/>
      </c>
      <c r="M131" s="794">
        <f>L131&amp;$O$1&amp;G131&amp;$O$1&amp;H131</f>
        <v/>
      </c>
      <c r="N131" s="794">
        <f>C131&amp;$N$1</f>
        <v/>
      </c>
      <c r="O131" s="794">
        <f>N131&amp;$O$1&amp;I131</f>
        <v/>
      </c>
    </row>
    <row r="132" ht="15.75" customHeight="1" s="184">
      <c r="A132" s="791">
        <f>G132</f>
        <v/>
      </c>
      <c r="B132" s="809" t="inlineStr">
        <is>
          <t>M19M4S</t>
        </is>
      </c>
      <c r="C132" s="809" t="inlineStr">
        <is>
          <t>BM19M4S</t>
        </is>
      </c>
      <c r="D132" s="641" t="inlineStr">
        <is>
          <t>Y09BM19M4110</t>
        </is>
      </c>
      <c r="E132" s="810" t="inlineStr">
        <is>
          <t>BM19M4S</t>
        </is>
      </c>
      <c r="F132" s="804" t="inlineStr">
        <is>
          <t>Y09JY19M4111</t>
        </is>
      </c>
      <c r="G132" s="808" t="inlineStr">
        <is>
          <t xml:space="preserve">TMKV95_C62  </t>
        </is>
      </c>
      <c r="H132" s="803" t="inlineStr">
        <is>
          <t>12nm, MPW, Fab14, with PI, with Bumping and back grinding</t>
        </is>
      </c>
      <c r="I132" s="816" t="inlineStr">
        <is>
          <t>BGA 15x15 with heat sink</t>
        </is>
      </c>
      <c r="J132" s="805" t="n"/>
      <c r="K132" s="806" t="inlineStr">
        <is>
          <t>MPW</t>
        </is>
      </c>
      <c r="L132" s="794">
        <f>E132&amp;$L$1</f>
        <v/>
      </c>
      <c r="M132" s="794">
        <f>L132&amp;$O$1&amp;G132&amp;$O$1&amp;H132</f>
        <v/>
      </c>
      <c r="N132" s="794">
        <f>C132&amp;$N$1</f>
        <v/>
      </c>
      <c r="O132" s="794">
        <f>N132&amp;$O$1&amp;I132</f>
        <v/>
      </c>
    </row>
    <row r="133" ht="15.75" customHeight="1" s="184">
      <c r="A133" s="791">
        <f>G133</f>
        <v/>
      </c>
      <c r="B133" s="809" t="inlineStr">
        <is>
          <t>BM1744</t>
        </is>
      </c>
      <c r="C133" s="809" t="inlineStr">
        <is>
          <t>BM1744BA</t>
        </is>
      </c>
      <c r="D133" s="641" t="inlineStr">
        <is>
          <t>Y09BM1744210</t>
        </is>
      </c>
      <c r="E133" s="810" t="inlineStr">
        <is>
          <t>BM1744B</t>
        </is>
      </c>
      <c r="F133" s="804" t="inlineStr">
        <is>
          <t>Y09JY1744120</t>
        </is>
      </c>
      <c r="G133" s="808" t="inlineStr">
        <is>
          <t>TMLF40B-EAZM</t>
        </is>
      </c>
      <c r="H133" s="803" t="inlineStr">
        <is>
          <t>12nm, Fab16, No PI, No Bumping, 156B mask change</t>
        </is>
      </c>
      <c r="I133" s="816" t="inlineStr">
        <is>
          <t>Bare die, LGA 31x31</t>
        </is>
      </c>
      <c r="J133" s="805" t="n"/>
      <c r="K133" s="806" t="n">
        <v>145</v>
      </c>
      <c r="L133" s="794">
        <f>E133&amp;$L$1</f>
        <v/>
      </c>
      <c r="M133" s="794">
        <f>L133&amp;$O$1&amp;G133&amp;$O$1&amp;H133</f>
        <v/>
      </c>
      <c r="N133" s="794">
        <f>C133&amp;$N$1</f>
        <v/>
      </c>
      <c r="O133" s="794">
        <f>N133&amp;$O$1&amp;I133</f>
        <v/>
      </c>
    </row>
    <row r="134" ht="15.75" customHeight="1" s="184">
      <c r="A134" s="791">
        <f>G134</f>
        <v/>
      </c>
      <c r="B134" s="809" t="inlineStr">
        <is>
          <t>BM1744</t>
        </is>
      </c>
      <c r="C134" s="809" t="inlineStr">
        <is>
          <t>BM1744BB</t>
        </is>
      </c>
      <c r="D134" s="641" t="inlineStr">
        <is>
          <t>Y09BM1744310</t>
        </is>
      </c>
      <c r="E134" s="810" t="inlineStr">
        <is>
          <t>BM1744B_FFC+</t>
        </is>
      </c>
      <c r="F134" s="804" t="inlineStr">
        <is>
          <t>Y09JY1744230</t>
        </is>
      </c>
      <c r="G134" s="808" t="inlineStr">
        <is>
          <t>TMLF40B-T1EAZM</t>
        </is>
      </c>
      <c r="H134" s="803" t="inlineStr">
        <is>
          <t>12nm, Fab16, No PI, No Bumping, 156B mask change, FFC+ process</t>
        </is>
      </c>
      <c r="I134" s="816" t="inlineStr">
        <is>
          <t>Bare die, LGA 31x31</t>
        </is>
      </c>
      <c r="J134" s="805" t="n"/>
      <c r="K134" s="806" t="n">
        <v>145</v>
      </c>
      <c r="L134" s="794">
        <f>E134&amp;$L$1</f>
        <v/>
      </c>
      <c r="M134" s="794">
        <f>L134&amp;$O$1&amp;G134&amp;$O$1&amp;H134</f>
        <v/>
      </c>
      <c r="N134" s="794">
        <f>C134&amp;$N$1</f>
        <v/>
      </c>
      <c r="O134" s="794">
        <f>N134&amp;$O$1&amp;I134</f>
        <v/>
      </c>
    </row>
    <row r="135" ht="15.75" customHeight="1" s="184">
      <c r="A135" s="791">
        <f>G135</f>
        <v/>
      </c>
      <c r="B135" s="809" t="inlineStr">
        <is>
          <t>BM1684</t>
        </is>
      </c>
      <c r="C135" s="809" t="inlineStr">
        <is>
          <t>BM1684AB</t>
        </is>
      </c>
      <c r="D135" s="641" t="inlineStr">
        <is>
          <t>Y09BM1684111</t>
        </is>
      </c>
      <c r="E135" s="810" t="inlineStr">
        <is>
          <t>BM1684_FFC+</t>
        </is>
      </c>
      <c r="F135" s="804" t="inlineStr">
        <is>
          <t>Y09JY1684120</t>
        </is>
      </c>
      <c r="G135" s="808" t="inlineStr">
        <is>
          <t>TMLT73A-T1EAZM</t>
        </is>
      </c>
      <c r="H135" s="803" t="inlineStr">
        <is>
          <t>12nm,Fab16, No PI, No Bumping, FFC+ process</t>
        </is>
      </c>
      <c r="I135" s="816" t="inlineStr">
        <is>
          <t>Bare die, BGA 25x25, with capacitors</t>
        </is>
      </c>
      <c r="J135" s="805" t="n"/>
      <c r="K135" s="806" t="n">
        <v>294</v>
      </c>
      <c r="L135" s="794">
        <f>E135&amp;$L$1</f>
        <v/>
      </c>
      <c r="M135" s="794">
        <f>L135&amp;$O$1&amp;G135&amp;$O$1&amp;H135</f>
        <v/>
      </c>
      <c r="N135" s="794">
        <f>C135&amp;$N$1</f>
        <v/>
      </c>
      <c r="O135" s="794">
        <f>N135&amp;$O$1&amp;I135</f>
        <v/>
      </c>
    </row>
    <row r="136" ht="15.75" customHeight="1" s="184">
      <c r="A136" s="791">
        <f>G136</f>
        <v/>
      </c>
      <c r="B136" s="809" t="inlineStr">
        <is>
          <t>BM1396AE</t>
        </is>
      </c>
      <c r="C136" s="809" t="inlineStr">
        <is>
          <t>BM1396AE</t>
        </is>
      </c>
      <c r="D136" s="641" t="inlineStr">
        <is>
          <t>Y09BM1396521</t>
        </is>
      </c>
      <c r="E136" s="810" t="inlineStr">
        <is>
          <t>BM1396</t>
        </is>
      </c>
      <c r="F136" s="804" t="inlineStr">
        <is>
          <t>Y09JY1396010</t>
        </is>
      </c>
      <c r="G136" s="808" t="inlineStr">
        <is>
          <t>TMLY02A-EAZM</t>
        </is>
      </c>
      <c r="H136" s="803" t="inlineStr">
        <is>
          <t>Fab16, 16FFM, No PI, No Bumping,</t>
        </is>
      </c>
      <c r="I136" s="816" t="inlineStr">
        <is>
          <t>molding, exposed die, BSM,3层基板, CTM IO, w.i LDO</t>
        </is>
      </c>
      <c r="J136" s="805" t="n"/>
      <c r="K136" s="806" t="n">
        <v>2343</v>
      </c>
      <c r="L136" s="794">
        <f>E136&amp;$L$1</f>
        <v/>
      </c>
      <c r="M136" s="794">
        <f>L136&amp;$O$1&amp;G136&amp;$O$1&amp;H136</f>
        <v/>
      </c>
      <c r="N136" s="794">
        <f>C136&amp;$N$1</f>
        <v/>
      </c>
      <c r="O136" s="794">
        <f>N136&amp;$O$1&amp;I136</f>
        <v/>
      </c>
    </row>
    <row r="137" ht="15.75" customHeight="1" s="184">
      <c r="A137" s="791">
        <f>G137</f>
        <v/>
      </c>
      <c r="B137" s="809" t="inlineStr">
        <is>
          <t>BM1396AF</t>
        </is>
      </c>
      <c r="C137" s="809" t="inlineStr">
        <is>
          <t>BM1396AF</t>
        </is>
      </c>
      <c r="D137" s="641" t="inlineStr">
        <is>
          <t>Y09BM1396421</t>
        </is>
      </c>
      <c r="E137" s="810" t="inlineStr">
        <is>
          <t>BM1396_FFM+</t>
        </is>
      </c>
      <c r="F137" s="804" t="inlineStr">
        <is>
          <t>Y09JY1396120</t>
        </is>
      </c>
      <c r="G137" s="808" t="inlineStr">
        <is>
          <t>TMLY02A-T1EAZM</t>
        </is>
      </c>
      <c r="H137" s="803" t="inlineStr">
        <is>
          <t>Fab16, 16FFM+, No PI, No Bumping,</t>
        </is>
      </c>
      <c r="I137" s="816" t="inlineStr">
        <is>
          <t>molding, exposed die, BSM,3层基板, CTM IO, w.i LDO</t>
        </is>
      </c>
      <c r="J137" s="805" t="n"/>
      <c r="K137" s="806" t="n">
        <v>2343</v>
      </c>
      <c r="L137" s="794">
        <f>E137&amp;$L$1</f>
        <v/>
      </c>
      <c r="M137" s="794">
        <f>L137&amp;$O$1&amp;G137&amp;$O$1&amp;H137</f>
        <v/>
      </c>
      <c r="N137" s="794">
        <f>C137&amp;$N$1</f>
        <v/>
      </c>
      <c r="O137" s="794">
        <f>N137&amp;$O$1&amp;I137</f>
        <v/>
      </c>
    </row>
    <row r="138" ht="15.75" customHeight="1" s="184">
      <c r="A138" s="791">
        <f>G138</f>
        <v/>
      </c>
      <c r="B138" s="809" t="inlineStr">
        <is>
          <t>BM1397AK</t>
        </is>
      </c>
      <c r="C138" s="809" t="inlineStr">
        <is>
          <t>BM1397AK</t>
        </is>
      </c>
      <c r="D138" s="641" t="inlineStr">
        <is>
          <t>Y09BM1397940</t>
        </is>
      </c>
      <c r="E138" s="810" t="inlineStr">
        <is>
          <t>BM1397_BKM1</t>
        </is>
      </c>
      <c r="F138" s="804" t="inlineStr">
        <is>
          <t>Y09JY1397210</t>
        </is>
      </c>
      <c r="G138" s="808" t="inlineStr">
        <is>
          <t>TMLF10A-T3EAZT</t>
        </is>
      </c>
      <c r="H138" s="803" t="inlineStr">
        <is>
          <t>7nm, Fab15, No PI, No Bumping, process optimize (VD CD/P76 My Rc/NMOS IDU/New Vt position)</t>
        </is>
      </c>
      <c r="I138" s="816" t="inlineStr">
        <is>
          <t>molding, exposed die+wafer BSM, CTM IO</t>
        </is>
      </c>
      <c r="J138" s="805" t="n"/>
      <c r="K138" s="806" t="n">
        <v>2122</v>
      </c>
      <c r="L138" s="794">
        <f>E138&amp;$L$1</f>
        <v/>
      </c>
      <c r="M138" s="794">
        <f>L138&amp;$O$1&amp;G138&amp;$O$1&amp;H138</f>
        <v/>
      </c>
      <c r="N138" s="794">
        <f>C138&amp;$N$1</f>
        <v/>
      </c>
      <c r="O138" s="794">
        <f>N138&amp;$O$1&amp;I138</f>
        <v/>
      </c>
    </row>
    <row r="139" ht="15.75" customHeight="1" s="184">
      <c r="A139" s="791">
        <f>G139</f>
        <v/>
      </c>
      <c r="B139" s="809" t="inlineStr">
        <is>
          <t>BM1397AL</t>
        </is>
      </c>
      <c r="C139" s="809" t="inlineStr">
        <is>
          <t>BM1397AL</t>
        </is>
      </c>
      <c r="D139" s="641" t="inlineStr">
        <is>
          <t>Y09BM1397A40</t>
        </is>
      </c>
      <c r="E139" s="810" t="inlineStr">
        <is>
          <t>BM1397_BKM2</t>
        </is>
      </c>
      <c r="F139" s="804" t="inlineStr">
        <is>
          <t>Y09JY1397310</t>
        </is>
      </c>
      <c r="G139" s="808" t="inlineStr">
        <is>
          <t>TMLF10A-T4EAZT</t>
        </is>
      </c>
      <c r="H139" s="803" t="inlineStr">
        <is>
          <t>7nm, Fab15, No PI, No Bumping, process optimize (BKM1+ M2 Rs/Al Pad Rs)</t>
        </is>
      </c>
      <c r="I139" s="816" t="inlineStr">
        <is>
          <t>molding, exposed die+wafer BSM, CTM IO</t>
        </is>
      </c>
      <c r="J139" s="805" t="n"/>
      <c r="K139" s="806" t="n">
        <v>2122</v>
      </c>
      <c r="L139" s="794">
        <f>E139&amp;$L$1</f>
        <v/>
      </c>
      <c r="M139" s="794">
        <f>L139&amp;$O$1&amp;G139&amp;$O$1&amp;H139</f>
        <v/>
      </c>
      <c r="N139" s="794">
        <f>C139&amp;$N$1</f>
        <v/>
      </c>
      <c r="O139" s="794">
        <f>N139&amp;$O$1&amp;I139</f>
        <v/>
      </c>
    </row>
    <row r="140" ht="15.75" customHeight="1" s="184">
      <c r="A140" s="791">
        <f>G140</f>
        <v/>
      </c>
      <c r="B140" s="809" t="inlineStr">
        <is>
          <t>BM1397AM</t>
        </is>
      </c>
      <c r="C140" s="809" t="inlineStr">
        <is>
          <t>BM1397AM</t>
        </is>
      </c>
      <c r="D140" s="641" t="inlineStr">
        <is>
          <t>Y09BM1397B40</t>
        </is>
      </c>
      <c r="E140" s="810" t="inlineStr">
        <is>
          <t>BM1397_FFM+1</t>
        </is>
      </c>
      <c r="F140" s="804" t="inlineStr">
        <is>
          <t>Y09JY1397430</t>
        </is>
      </c>
      <c r="G140" s="808" t="inlineStr">
        <is>
          <t>TMLF10A-T5EAZT</t>
        </is>
      </c>
      <c r="H140" s="803" t="inlineStr">
        <is>
          <t>7nm, Fab15, No PI, No Bumping, process optimize FFM+1 (no Vt change)</t>
        </is>
      </c>
      <c r="I140" s="816" t="inlineStr">
        <is>
          <t>molding, exposed die+wafer BSM, CTM IO</t>
        </is>
      </c>
      <c r="J140" s="805" t="n"/>
      <c r="K140" s="806" t="n">
        <v>2122</v>
      </c>
      <c r="L140" s="794">
        <f>E140&amp;$L$1</f>
        <v/>
      </c>
      <c r="M140" s="794">
        <f>L140&amp;$O$1&amp;G140&amp;$O$1&amp;H140</f>
        <v/>
      </c>
      <c r="N140" s="794">
        <f>C140&amp;$N$1</f>
        <v/>
      </c>
      <c r="O140" s="794">
        <f>N140&amp;$O$1&amp;I140</f>
        <v/>
      </c>
    </row>
    <row r="141" ht="15.75" customHeight="1" s="184">
      <c r="A141" s="791">
        <f>G141</f>
        <v/>
      </c>
      <c r="B141" s="809" t="inlineStr">
        <is>
          <t>BM1398</t>
        </is>
      </c>
      <c r="C141" s="809" t="inlineStr">
        <is>
          <t>BM1398AA</t>
        </is>
      </c>
      <c r="D141" s="641" t="inlineStr">
        <is>
          <t>Y09BM1388010</t>
        </is>
      </c>
      <c r="E141" s="810" t="inlineStr">
        <is>
          <t>BM1398</t>
        </is>
      </c>
      <c r="F141" s="804" t="inlineStr">
        <is>
          <t>Y09JY1398010</t>
        </is>
      </c>
      <c r="G141" s="808" t="inlineStr">
        <is>
          <t>TMLM68A-EAZT</t>
        </is>
      </c>
      <c r="H141" s="803" t="inlineStr">
        <is>
          <t>7nm, Fab15, No PI, No Bumping</t>
        </is>
      </c>
      <c r="I141" s="816" t="inlineStr">
        <is>
          <t>molding, exposed die, CTM IO, BSM, 2L substrate w/i test block</t>
        </is>
      </c>
      <c r="J141" s="805" t="n"/>
      <c r="K141" s="806" t="n">
        <v>3867</v>
      </c>
      <c r="L141" s="794">
        <f>E141&amp;$L$1</f>
        <v/>
      </c>
      <c r="M141" s="794">
        <f>L141&amp;$O$1&amp;G141&amp;$O$1&amp;H141</f>
        <v/>
      </c>
      <c r="N141" s="794">
        <f>C141&amp;$N$1</f>
        <v/>
      </c>
      <c r="O141" s="794">
        <f>N141&amp;$O$1&amp;I141</f>
        <v/>
      </c>
    </row>
    <row r="142" ht="15.75" customHeight="1" s="184">
      <c r="A142" s="791">
        <f>G142</f>
        <v/>
      </c>
      <c r="B142" s="809" t="inlineStr">
        <is>
          <t>BM1398</t>
        </is>
      </c>
      <c r="C142" s="809" t="inlineStr">
        <is>
          <t>BM1398AB</t>
        </is>
      </c>
      <c r="D142" s="641" t="inlineStr">
        <is>
          <t>Y09BM1388020</t>
        </is>
      </c>
      <c r="E142" s="810" t="inlineStr">
        <is>
          <t>BM1398</t>
        </is>
      </c>
      <c r="F142" s="804" t="inlineStr">
        <is>
          <t>Y09JY1398010</t>
        </is>
      </c>
      <c r="G142" s="808" t="inlineStr">
        <is>
          <t>TMLM68A-EAZT</t>
        </is>
      </c>
      <c r="H142" s="803" t="inlineStr">
        <is>
          <t>7nm, Fab15, No PI, No Bumping</t>
        </is>
      </c>
      <c r="I142" s="816" t="inlineStr">
        <is>
          <t>molding, exposed die, CTM IO, BSM, 3L substrate w/o test block</t>
        </is>
      </c>
      <c r="J142" s="805" t="n"/>
      <c r="K142" s="806" t="n">
        <v>3867</v>
      </c>
      <c r="L142" s="794">
        <f>E142&amp;$L$1</f>
        <v/>
      </c>
      <c r="M142" s="794">
        <f>L142&amp;$O$1&amp;G142&amp;$O$1&amp;H142</f>
        <v/>
      </c>
      <c r="N142" s="794">
        <f>C142&amp;$N$1</f>
        <v/>
      </c>
      <c r="O142" s="794">
        <f>N142&amp;$O$1&amp;I142</f>
        <v/>
      </c>
    </row>
    <row r="143" ht="15.75" customHeight="1" s="184">
      <c r="A143" s="791">
        <f>G143</f>
        <v/>
      </c>
      <c r="B143" s="809" t="inlineStr">
        <is>
          <t>BM1962</t>
        </is>
      </c>
      <c r="C143" s="809" t="inlineStr">
        <is>
          <t>BM1962AA</t>
        </is>
      </c>
      <c r="D143" s="641" t="inlineStr">
        <is>
          <t>Y09BM1962010</t>
        </is>
      </c>
      <c r="E143" s="810" t="inlineStr">
        <is>
          <t>BM1962</t>
        </is>
      </c>
      <c r="F143" s="804" t="inlineStr">
        <is>
          <t>Y09JY1962010</t>
        </is>
      </c>
      <c r="G143" s="808" t="inlineStr">
        <is>
          <t>TMMN83A-EAZT</t>
        </is>
      </c>
      <c r="H143" s="803" t="inlineStr">
        <is>
          <t>22nm, Fab15B, No PI, No Bumping</t>
        </is>
      </c>
      <c r="I143" s="816" t="inlineStr">
        <is>
          <t>molding, exposed die, TSMC IO, 3L substrate</t>
        </is>
      </c>
      <c r="J143" s="805" t="n"/>
      <c r="K143" s="806" t="n">
        <v>4326</v>
      </c>
      <c r="L143" s="794">
        <f>E143&amp;$L$1</f>
        <v/>
      </c>
      <c r="M143" s="794">
        <f>L143&amp;$O$1&amp;G143&amp;$O$1&amp;H143</f>
        <v/>
      </c>
      <c r="N143" s="794">
        <f>C143&amp;$N$1</f>
        <v/>
      </c>
      <c r="O143" s="794">
        <f>N143&amp;$O$1&amp;I143</f>
        <v/>
      </c>
    </row>
    <row r="144" ht="15.75" customHeight="1" s="184">
      <c r="A144" s="791">
        <f>G144</f>
        <v/>
      </c>
      <c r="B144" s="809" t="inlineStr">
        <is>
          <t>BM1398</t>
        </is>
      </c>
      <c r="C144" s="809" t="inlineStr">
        <is>
          <t>BM1398BA</t>
        </is>
      </c>
      <c r="D144" s="641" t="inlineStr">
        <is>
          <t>Y09BM1398130</t>
        </is>
      </c>
      <c r="E144" s="810" t="inlineStr">
        <is>
          <t>BM1398B</t>
        </is>
      </c>
      <c r="F144" s="804" t="inlineStr">
        <is>
          <t>Y09JY1398020</t>
        </is>
      </c>
      <c r="G144" s="808" t="inlineStr">
        <is>
          <t>TMLM68B-EAZT</t>
        </is>
      </c>
      <c r="H144" s="803" t="inlineStr">
        <is>
          <t>7nm, Fab15, parallel power supply,  No PI, No Bumping</t>
        </is>
      </c>
      <c r="I144" s="816" t="inlineStr">
        <is>
          <t>molding, exposed die, CTM IO, BSM, 2L substrate</t>
        </is>
      </c>
      <c r="J144" s="805" t="n"/>
      <c r="K144" s="806" t="n">
        <v>3867</v>
      </c>
      <c r="L144" s="794">
        <f>E144&amp;$L$1</f>
        <v/>
      </c>
      <c r="M144" s="794">
        <f>L144&amp;$O$1&amp;G144&amp;$O$1&amp;H144</f>
        <v/>
      </c>
      <c r="N144" s="794">
        <f>C144&amp;$N$1</f>
        <v/>
      </c>
      <c r="O144" s="794">
        <f>N144&amp;$O$1&amp;I144</f>
        <v/>
      </c>
    </row>
    <row r="145" ht="15.75" customHeight="1" s="184">
      <c r="A145" s="791">
        <f>G145</f>
        <v/>
      </c>
      <c r="B145" s="809" t="inlineStr">
        <is>
          <t>BM1398</t>
        </is>
      </c>
      <c r="C145" s="809" t="inlineStr">
        <is>
          <t>BM1398BB</t>
        </is>
      </c>
      <c r="D145" s="641" t="inlineStr">
        <is>
          <t>Y09BM1398240</t>
        </is>
      </c>
      <c r="E145" s="810" t="inlineStr">
        <is>
          <t>BM1398B</t>
        </is>
      </c>
      <c r="F145" s="804" t="inlineStr">
        <is>
          <t>Y09JY1398020</t>
        </is>
      </c>
      <c r="G145" s="808" t="inlineStr">
        <is>
          <t>TMLM68B-EAZT</t>
        </is>
      </c>
      <c r="H145" s="803" t="inlineStr">
        <is>
          <t>7nm, Fab15, parallel power supply,  No PI, No Bumping</t>
        </is>
      </c>
      <c r="I145" s="816" t="inlineStr">
        <is>
          <t>molding, exposed die, CTM IO, BSM, 3L substrate</t>
        </is>
      </c>
      <c r="J145" s="805" t="n"/>
      <c r="K145" s="806" t="n">
        <v>3867</v>
      </c>
      <c r="L145" s="794">
        <f>E145&amp;$L$1</f>
        <v/>
      </c>
      <c r="M145" s="794">
        <f>L145&amp;$O$1&amp;G145&amp;$O$1&amp;H145</f>
        <v/>
      </c>
      <c r="N145" s="794">
        <f>C145&amp;$N$1</f>
        <v/>
      </c>
      <c r="O145" s="794">
        <f>N145&amp;$O$1&amp;I145</f>
        <v/>
      </c>
    </row>
    <row r="146" ht="15.75" customHeight="1" s="184">
      <c r="A146" s="791">
        <f>G146</f>
        <v/>
      </c>
      <c r="B146" s="809" t="inlineStr">
        <is>
          <t>BM1684</t>
        </is>
      </c>
      <c r="C146" s="809" t="inlineStr">
        <is>
          <t>BM1684AC</t>
        </is>
      </c>
      <c r="D146" s="641" t="inlineStr">
        <is>
          <t>Y09BM1684222</t>
        </is>
      </c>
      <c r="E146" s="810" t="inlineStr">
        <is>
          <t>BM1684</t>
        </is>
      </c>
      <c r="F146" s="804" t="inlineStr">
        <is>
          <t>Y09JY1684010</t>
        </is>
      </c>
      <c r="G146" s="808" t="inlineStr">
        <is>
          <t>TMLT73A-EAZM</t>
        </is>
      </c>
      <c r="H146" s="803" t="inlineStr">
        <is>
          <t>12nm,Fab16, No PI, No Bumping</t>
        </is>
      </c>
      <c r="I146" s="816" t="inlineStr">
        <is>
          <t>Bare die, BGA 25x25, with capacitors, substrate core thick 800um</t>
        </is>
      </c>
      <c r="J146" s="805" t="n"/>
      <c r="K146" s="806" t="n">
        <v>294</v>
      </c>
      <c r="L146" s="794">
        <f>E146&amp;$L$1</f>
        <v/>
      </c>
      <c r="M146" s="794">
        <f>L146&amp;$O$1&amp;G146&amp;$O$1&amp;H146</f>
        <v/>
      </c>
      <c r="N146" s="794">
        <f>C146&amp;$N$1</f>
        <v/>
      </c>
      <c r="O146" s="794">
        <f>N146&amp;$O$1&amp;I146</f>
        <v/>
      </c>
    </row>
    <row r="147" ht="15.75" customHeight="1" s="184">
      <c r="A147" s="791">
        <f>G147</f>
        <v/>
      </c>
      <c r="B147" s="809" t="inlineStr">
        <is>
          <t>BM1396</t>
        </is>
      </c>
      <c r="C147" s="809" t="inlineStr">
        <is>
          <t>BM1396AG</t>
        </is>
      </c>
      <c r="D147" s="641" t="inlineStr">
        <is>
          <t>Y09BM1396650</t>
        </is>
      </c>
      <c r="E147" s="810" t="inlineStr">
        <is>
          <t>BM1396</t>
        </is>
      </c>
      <c r="F147" s="804" t="inlineStr">
        <is>
          <t>Y09JY1396010</t>
        </is>
      </c>
      <c r="G147" s="808" t="inlineStr">
        <is>
          <t>TMLY02A-EAZM</t>
        </is>
      </c>
      <c r="H147" s="803" t="inlineStr">
        <is>
          <t>16nm, Fab16, FFM, No PI, No Bumping,</t>
        </is>
      </c>
      <c r="I147" s="816" t="inlineStr">
        <is>
          <t>molding, exposed die,3L substrate, CTM IO, w.i LDO</t>
        </is>
      </c>
      <c r="J147" s="805" t="n"/>
      <c r="K147" s="806" t="n">
        <v>2343</v>
      </c>
      <c r="L147" s="794">
        <f>E147&amp;$L$1</f>
        <v/>
      </c>
      <c r="M147" s="794">
        <f>L147&amp;$O$1&amp;G147&amp;$O$1&amp;H147</f>
        <v/>
      </c>
      <c r="N147" s="794">
        <f>C147&amp;$N$1</f>
        <v/>
      </c>
      <c r="O147" s="794">
        <f>N147&amp;$O$1&amp;I147</f>
        <v/>
      </c>
    </row>
    <row r="148" ht="15.75" customHeight="1" s="184">
      <c r="A148" s="791">
        <f>G148</f>
        <v/>
      </c>
      <c r="B148" s="809" t="inlineStr">
        <is>
          <t>BM1396</t>
        </is>
      </c>
      <c r="C148" s="809" t="inlineStr">
        <is>
          <t>BM1396AH</t>
        </is>
      </c>
      <c r="D148" s="641" t="inlineStr">
        <is>
          <t>Y09BM1396750</t>
        </is>
      </c>
      <c r="E148" s="810" t="inlineStr">
        <is>
          <t>BM1396_FFM+</t>
        </is>
      </c>
      <c r="F148" s="804" t="inlineStr">
        <is>
          <t>Y09JY1396120</t>
        </is>
      </c>
      <c r="G148" s="808" t="inlineStr">
        <is>
          <t>TMLY02A-T1EAZM</t>
        </is>
      </c>
      <c r="H148" s="803" t="inlineStr">
        <is>
          <t>16nm, Fab16, FFM+, No PI, No Bumping,</t>
        </is>
      </c>
      <c r="I148" s="816" t="inlineStr">
        <is>
          <t>molding, exposed die,3L substrate, CTM IO, w.i LDO</t>
        </is>
      </c>
      <c r="J148" s="805" t="n"/>
      <c r="K148" s="806" t="n">
        <v>2343</v>
      </c>
      <c r="L148" s="794">
        <f>E148&amp;$L$1</f>
        <v/>
      </c>
      <c r="M148" s="794">
        <f>L148&amp;$O$1&amp;G148&amp;$O$1&amp;H148</f>
        <v/>
      </c>
      <c r="N148" s="794">
        <f>C148&amp;$N$1</f>
        <v/>
      </c>
      <c r="O148" s="794">
        <f>N148&amp;$O$1&amp;I148</f>
        <v/>
      </c>
    </row>
    <row r="149" ht="15.75" customHeight="1" s="184">
      <c r="A149" s="791">
        <f>G149</f>
        <v/>
      </c>
      <c r="B149" s="809" t="inlineStr">
        <is>
          <t>BM1360</t>
        </is>
      </c>
      <c r="C149" s="809" t="inlineStr">
        <is>
          <t>BM1360AA</t>
        </is>
      </c>
      <c r="D149" s="641" t="inlineStr">
        <is>
          <t>Y09BM1360030</t>
        </is>
      </c>
      <c r="E149" s="810" t="inlineStr">
        <is>
          <t>BM1360</t>
        </is>
      </c>
      <c r="F149" s="804" t="inlineStr">
        <is>
          <t>Y09JY1360030</t>
        </is>
      </c>
      <c r="G149" s="808" t="inlineStr">
        <is>
          <t>TMMP57A-T1EAZN</t>
        </is>
      </c>
      <c r="H149" s="803" t="inlineStr">
        <is>
          <t>5nm, Fab12,  No PI, No Bumping</t>
        </is>
      </c>
      <c r="I149" s="816" t="inlineStr">
        <is>
          <t>molding, exposed die, CTM IO, BSM, 2L substrate</t>
        </is>
      </c>
      <c r="J149" s="805" t="n"/>
      <c r="K149" s="806" t="n">
        <v>4092</v>
      </c>
      <c r="L149" s="794">
        <f>E149&amp;$L$1</f>
        <v/>
      </c>
      <c r="M149" s="794">
        <f>L149&amp;$O$1&amp;G149&amp;$O$1&amp;H149</f>
        <v/>
      </c>
      <c r="N149" s="794">
        <f>C149&amp;$N$1</f>
        <v/>
      </c>
      <c r="O149" s="794">
        <f>N149&amp;$O$1&amp;I149</f>
        <v/>
      </c>
    </row>
    <row r="150" ht="15.75" customHeight="1" s="184">
      <c r="A150" s="791">
        <f>G150</f>
        <v/>
      </c>
      <c r="B150" s="809" t="inlineStr">
        <is>
          <t>BM1360</t>
        </is>
      </c>
      <c r="C150" s="809" t="inlineStr">
        <is>
          <t>BM1360AB</t>
        </is>
      </c>
      <c r="D150" s="641" t="inlineStr">
        <is>
          <t>Y09BM1360040</t>
        </is>
      </c>
      <c r="E150" s="810" t="inlineStr">
        <is>
          <t>BM1360</t>
        </is>
      </c>
      <c r="F150" s="804" t="inlineStr">
        <is>
          <t>Y09JY1360030</t>
        </is>
      </c>
      <c r="G150" s="808" t="inlineStr">
        <is>
          <t>TMMP57A-T1EAZN</t>
        </is>
      </c>
      <c r="H150" s="803" t="inlineStr">
        <is>
          <t>5nm, Fab12,  No PI, No Bumping</t>
        </is>
      </c>
      <c r="I150" s="816" t="inlineStr">
        <is>
          <t>molding, exposed die, CTM IO, BSM, 3L substrate</t>
        </is>
      </c>
      <c r="J150" s="805" t="n"/>
      <c r="K150" s="806" t="n">
        <v>4092</v>
      </c>
      <c r="L150" s="794">
        <f>E150&amp;$L$1</f>
        <v/>
      </c>
      <c r="M150" s="794">
        <f>L150&amp;$O$1&amp;G150&amp;$O$1&amp;H150</f>
        <v/>
      </c>
      <c r="N150" s="794">
        <f>C150&amp;$N$1</f>
        <v/>
      </c>
      <c r="O150" s="794">
        <f>N150&amp;$O$1&amp;I150</f>
        <v/>
      </c>
    </row>
    <row r="151" ht="15.75" customHeight="1" s="184">
      <c r="A151" s="791">
        <f>G151</f>
        <v/>
      </c>
      <c r="B151" s="809" t="inlineStr">
        <is>
          <t>BM19M0</t>
        </is>
      </c>
      <c r="C151" s="809" t="inlineStr">
        <is>
          <t>BM19M0</t>
        </is>
      </c>
      <c r="D151" s="641" t="inlineStr">
        <is>
          <t>Y09BM19M0100</t>
        </is>
      </c>
      <c r="E151" s="810" t="inlineStr">
        <is>
          <t>BM19M0</t>
        </is>
      </c>
      <c r="F151" s="804" t="inlineStr">
        <is>
          <t>Y09JY19M0011</t>
        </is>
      </c>
      <c r="G151" s="808" t="inlineStr">
        <is>
          <t>TMKW98</t>
        </is>
      </c>
      <c r="H151" s="803" t="inlineStr">
        <is>
          <t>5nm, MPW, Fab12, with PI, with Bumping and back grinding</t>
        </is>
      </c>
      <c r="I151" s="816" t="inlineStr">
        <is>
          <t>molding, LGA 8x8</t>
        </is>
      </c>
      <c r="J151" s="805" t="n"/>
      <c r="K151" s="806" t="inlineStr">
        <is>
          <t>MPW</t>
        </is>
      </c>
      <c r="L151" s="794">
        <f>E151&amp;$L$1</f>
        <v/>
      </c>
      <c r="M151" s="794">
        <f>L151&amp;$O$1&amp;G151&amp;$O$1&amp;H151</f>
        <v/>
      </c>
      <c r="N151" s="794">
        <f>C151&amp;$N$1</f>
        <v/>
      </c>
      <c r="O151" s="794">
        <f>N151&amp;$O$1&amp;I151</f>
        <v/>
      </c>
    </row>
    <row r="152" ht="15.75" customHeight="1" s="184">
      <c r="A152" s="791">
        <f>G152</f>
        <v/>
      </c>
      <c r="B152" s="809" t="inlineStr">
        <is>
          <t>BM1684</t>
        </is>
      </c>
      <c r="C152" s="809" t="inlineStr">
        <is>
          <t>BM1684AD</t>
        </is>
      </c>
      <c r="D152" s="641" t="inlineStr">
        <is>
          <t>Y09BM1684332</t>
        </is>
      </c>
      <c r="E152" s="810" t="inlineStr">
        <is>
          <t>BM1684</t>
        </is>
      </c>
      <c r="F152" s="804" t="inlineStr">
        <is>
          <t>Y09JY1684010</t>
        </is>
      </c>
      <c r="G152" s="808" t="inlineStr">
        <is>
          <t>TMLT73A-EAZM</t>
        </is>
      </c>
      <c r="H152" s="803" t="inlineStr">
        <is>
          <t>12nm,Fab16, No PI, No Bumping</t>
        </is>
      </c>
      <c r="I152" s="816" t="inlineStr">
        <is>
          <t>Bare die, BGA 25x25, with capacitors, substrate core thick 800um，No Ring</t>
        </is>
      </c>
      <c r="J152" s="805" t="n"/>
      <c r="K152" s="806" t="n">
        <v>294</v>
      </c>
      <c r="L152" s="794">
        <f>E152&amp;$L$1</f>
        <v/>
      </c>
      <c r="M152" s="794">
        <f>L152&amp;$O$1&amp;G152&amp;$O$1&amp;H152</f>
        <v/>
      </c>
      <c r="N152" s="794">
        <f>C152&amp;$N$1</f>
        <v/>
      </c>
      <c r="O152" s="794">
        <f>N152&amp;$O$1&amp;I152</f>
        <v/>
      </c>
    </row>
    <row r="153" ht="15.75" customHeight="1" s="184">
      <c r="A153" s="791">
        <f>G153</f>
        <v/>
      </c>
      <c r="B153" s="809" t="inlineStr">
        <is>
          <t>BM2040</t>
        </is>
      </c>
      <c r="C153" s="809" t="inlineStr">
        <is>
          <t>BM2040AA</t>
        </is>
      </c>
      <c r="D153" s="641" t="inlineStr">
        <is>
          <t>Y09BM2040010</t>
        </is>
      </c>
      <c r="E153" s="810" t="inlineStr">
        <is>
          <t>BM2040</t>
        </is>
      </c>
      <c r="F153" s="804" t="inlineStr">
        <is>
          <t>Y09JY2040010</t>
        </is>
      </c>
      <c r="G153" s="808" t="inlineStr">
        <is>
          <t>TMMW96A-EAZP</t>
        </is>
      </c>
      <c r="H153" s="803" t="inlineStr">
        <is>
          <t>40nm,Fab14, No PI, No Bumping</t>
        </is>
      </c>
      <c r="I153" s="816" t="inlineStr">
        <is>
          <t>molding, exposed die, TSMC IO, 3L substrate</t>
        </is>
      </c>
      <c r="J153" s="805" t="n"/>
      <c r="K153" s="806" t="n">
        <v>3910</v>
      </c>
      <c r="L153" s="794">
        <f>E153&amp;$L$1</f>
        <v/>
      </c>
      <c r="M153" s="794">
        <f>L153&amp;$O$1&amp;G153&amp;$O$1&amp;H153</f>
        <v/>
      </c>
      <c r="N153" s="794">
        <f>C153&amp;$N$1</f>
        <v/>
      </c>
      <c r="O153" s="794">
        <f>N153&amp;$O$1&amp;I153</f>
        <v/>
      </c>
    </row>
    <row r="154" ht="15.75" customHeight="1" s="184">
      <c r="A154" s="791">
        <f>G154</f>
        <v/>
      </c>
      <c r="B154" s="809" t="inlineStr">
        <is>
          <t>BM1398</t>
        </is>
      </c>
      <c r="C154" s="809" t="inlineStr">
        <is>
          <t>BM1398AC</t>
        </is>
      </c>
      <c r="D154" s="641" t="inlineStr">
        <is>
          <t>Y09BM1398350</t>
        </is>
      </c>
      <c r="E154" s="810" t="inlineStr">
        <is>
          <t>BM1398</t>
        </is>
      </c>
      <c r="F154" s="804" t="inlineStr">
        <is>
          <t>Y09JY1398010</t>
        </is>
      </c>
      <c r="G154" s="808" t="inlineStr">
        <is>
          <t>TMLM68A-EAZT</t>
        </is>
      </c>
      <c r="H154" s="803" t="inlineStr">
        <is>
          <t>7nm, Fab15, No PI, No Bumping</t>
        </is>
      </c>
      <c r="I154" s="816" t="inlineStr">
        <is>
          <t>molding, exposed die, CTM IO, high thermal EMC, 3L substrate w/o test block</t>
        </is>
      </c>
      <c r="J154" s="805" t="n"/>
      <c r="K154" s="806" t="n">
        <v>3867</v>
      </c>
      <c r="L154" s="794">
        <f>E154&amp;$L$1</f>
        <v/>
      </c>
      <c r="M154" s="794">
        <f>L154&amp;$O$1&amp;G154&amp;$O$1&amp;H154</f>
        <v/>
      </c>
      <c r="N154" s="794">
        <f>C154&amp;$N$1</f>
        <v/>
      </c>
      <c r="O154" s="794">
        <f>N154&amp;$O$1&amp;I154</f>
        <v/>
      </c>
    </row>
    <row r="155" ht="15.75" customHeight="1" s="184">
      <c r="A155" s="791">
        <f>G155</f>
        <v/>
      </c>
      <c r="B155" s="809" t="inlineStr">
        <is>
          <t>BM1360</t>
        </is>
      </c>
      <c r="C155" s="809" t="inlineStr">
        <is>
          <t>BM1360AC</t>
        </is>
      </c>
      <c r="D155" s="641" t="inlineStr">
        <is>
          <t>Y09BM1360010</t>
        </is>
      </c>
      <c r="E155" s="810" t="inlineStr">
        <is>
          <t>BM1360</t>
        </is>
      </c>
      <c r="F155" s="804" t="inlineStr">
        <is>
          <t>Y09JY1360030</t>
        </is>
      </c>
      <c r="G155" s="808" t="inlineStr">
        <is>
          <t>TMMP57A-T1EAZN</t>
        </is>
      </c>
      <c r="H155" s="803" t="inlineStr">
        <is>
          <t>5nm, Fab12,  No PI, No Bumping</t>
        </is>
      </c>
      <c r="I155" s="816" t="inlineStr">
        <is>
          <t>molding, exposed die, CTM IO, No BSM, 3L substrate</t>
        </is>
      </c>
      <c r="J155" s="805" t="n"/>
      <c r="K155" s="806" t="n">
        <v>4092</v>
      </c>
      <c r="L155" s="794">
        <f>E155&amp;$L$1</f>
        <v/>
      </c>
      <c r="M155" s="794">
        <f>L155&amp;$O$1&amp;G155&amp;$O$1&amp;H155</f>
        <v/>
      </c>
      <c r="N155" s="794">
        <f>C155&amp;$N$1</f>
        <v/>
      </c>
      <c r="O155" s="794">
        <f>N155&amp;$O$1&amp;I155</f>
        <v/>
      </c>
    </row>
    <row r="156" ht="15.75" customHeight="1" s="184">
      <c r="A156" s="791">
        <f>G156</f>
        <v/>
      </c>
      <c r="B156" s="809" t="inlineStr">
        <is>
          <t>BM1360</t>
        </is>
      </c>
      <c r="C156" s="809" t="inlineStr">
        <is>
          <t>BM1360AD</t>
        </is>
      </c>
      <c r="D156" s="641" t="inlineStr">
        <is>
          <t>Y09BM1360110</t>
        </is>
      </c>
      <c r="E156" s="810" t="inlineStr">
        <is>
          <t>BM1360_BP</t>
        </is>
      </c>
      <c r="F156" s="804" t="inlineStr">
        <is>
          <t>Y09JY1360011</t>
        </is>
      </c>
      <c r="G156" s="808" t="inlineStr">
        <is>
          <t>TMMP57A-D1AEABN</t>
        </is>
      </c>
      <c r="H156" s="791" t="inlineStr">
        <is>
          <t>5nm, Fab12,  With PI, With Bumping</t>
        </is>
      </c>
      <c r="I156" s="816" t="inlineStr">
        <is>
          <t>molding, exposed die, CTM IO, No BSM, 3L substrate</t>
        </is>
      </c>
      <c r="J156" s="805" t="n"/>
      <c r="K156" s="806" t="n">
        <v>4092</v>
      </c>
      <c r="L156" s="794">
        <f>E156&amp;$L$1</f>
        <v/>
      </c>
      <c r="M156" s="794">
        <f>L156&amp;$O$1&amp;G156&amp;$O$1&amp;H156</f>
        <v/>
      </c>
      <c r="N156" s="794">
        <f>C156&amp;$N$1</f>
        <v/>
      </c>
      <c r="O156" s="794">
        <f>N156&amp;$O$1&amp;I156</f>
        <v/>
      </c>
    </row>
    <row r="157" ht="15.75" customHeight="1" s="184">
      <c r="A157" s="791">
        <f>G157</f>
        <v/>
      </c>
      <c r="B157" s="809" t="inlineStr">
        <is>
          <t>BM1396</t>
        </is>
      </c>
      <c r="C157" s="809" t="inlineStr">
        <is>
          <t>BM1396AI</t>
        </is>
      </c>
      <c r="D157" s="641" t="inlineStr">
        <is>
          <t>Y09BM1396840</t>
        </is>
      </c>
      <c r="E157" s="810" t="inlineStr">
        <is>
          <t>BM1396</t>
        </is>
      </c>
      <c r="F157" s="804" t="inlineStr">
        <is>
          <t>Y09JY1396010</t>
        </is>
      </c>
      <c r="G157" s="808" t="inlineStr">
        <is>
          <t>TMLY02A-EAZP</t>
        </is>
      </c>
      <c r="H157" s="803" t="inlineStr">
        <is>
          <t>16nm, Fab16, FFM, No PI, No Bumping,(Fab14)</t>
        </is>
      </c>
      <c r="I157" s="816" t="inlineStr">
        <is>
          <t>molding, exposed die, BSM, 3L substrate, CTM IO</t>
        </is>
      </c>
      <c r="J157" s="805" t="n"/>
      <c r="K157" s="806" t="n">
        <v>2343</v>
      </c>
      <c r="L157" s="794">
        <f>E157&amp;$L$1</f>
        <v/>
      </c>
      <c r="M157" s="794">
        <f>L157&amp;$O$1&amp;G157&amp;$O$1&amp;H157</f>
        <v/>
      </c>
      <c r="N157" s="794">
        <f>C157&amp;$N$1</f>
        <v/>
      </c>
      <c r="O157" s="794">
        <f>N157&amp;$O$1&amp;I157</f>
        <v/>
      </c>
    </row>
    <row r="158" ht="15.75" customHeight="1" s="184">
      <c r="A158" s="791">
        <f>G158</f>
        <v/>
      </c>
      <c r="B158" s="809" t="inlineStr">
        <is>
          <t>BM1396</t>
        </is>
      </c>
      <c r="C158" s="809" t="inlineStr">
        <is>
          <t>BM1396AJ</t>
        </is>
      </c>
      <c r="D158" s="641" t="inlineStr">
        <is>
          <t>Y09BM1396940</t>
        </is>
      </c>
      <c r="E158" s="810" t="inlineStr">
        <is>
          <t>BM1396_Bst</t>
        </is>
      </c>
      <c r="F158" s="804" t="inlineStr">
        <is>
          <t>Y09JY1396240</t>
        </is>
      </c>
      <c r="G158" s="808" t="inlineStr">
        <is>
          <t>TMLY02A-T3EAZP</t>
        </is>
      </c>
      <c r="H158" s="803" t="inlineStr">
        <is>
          <t>16nm, Fab14, FFM_boost, No PI, No Bumping,</t>
        </is>
      </c>
      <c r="I158" s="816" t="inlineStr">
        <is>
          <t>molding, exposed die, BSM, 3L substrate, CTM IO</t>
        </is>
      </c>
      <c r="J158" s="805" t="n"/>
      <c r="K158" s="806" t="n">
        <v>2343</v>
      </c>
      <c r="L158" s="794">
        <f>E158&amp;$L$1</f>
        <v/>
      </c>
      <c r="M158" s="794">
        <f>L158&amp;$O$1&amp;G158&amp;$O$1&amp;H158</f>
        <v/>
      </c>
      <c r="N158" s="794">
        <f>C158&amp;$N$1</f>
        <v/>
      </c>
      <c r="O158" s="794">
        <f>N158&amp;$O$1&amp;I158</f>
        <v/>
      </c>
    </row>
    <row r="159" ht="15.75" customHeight="1" s="184">
      <c r="A159" s="791">
        <f>G159</f>
        <v/>
      </c>
      <c r="B159" s="809" t="inlineStr">
        <is>
          <t>BM1396</t>
        </is>
      </c>
      <c r="C159" s="809" t="inlineStr">
        <is>
          <t>BM1396AK</t>
        </is>
      </c>
      <c r="D159" s="641" t="inlineStr">
        <is>
          <t>Y09BM1396A40</t>
        </is>
      </c>
      <c r="E159" s="810" t="inlineStr">
        <is>
          <t>BM1396_FFM+_Bst</t>
        </is>
      </c>
      <c r="F159" s="804" t="inlineStr">
        <is>
          <t>Y09JY1396350</t>
        </is>
      </c>
      <c r="G159" s="808" t="inlineStr">
        <is>
          <t>TMLY02A-T4EAZP</t>
        </is>
      </c>
      <c r="H159" s="803" t="inlineStr">
        <is>
          <t>16nm, Fab14, FFM+_boost, No PI, No Bumping,</t>
        </is>
      </c>
      <c r="I159" s="816" t="inlineStr">
        <is>
          <t>molding, exposed die, BSM, 3L substrate, CTM IO</t>
        </is>
      </c>
      <c r="J159" s="805" t="n"/>
      <c r="K159" s="806" t="n">
        <v>2343</v>
      </c>
      <c r="L159" s="794">
        <f>E159&amp;$L$1</f>
        <v/>
      </c>
      <c r="M159" s="794">
        <f>L159&amp;$O$1&amp;G159&amp;$O$1&amp;H159</f>
        <v/>
      </c>
      <c r="N159" s="794">
        <f>C159&amp;$N$1</f>
        <v/>
      </c>
      <c r="O159" s="794">
        <f>N159&amp;$O$1&amp;I159</f>
        <v/>
      </c>
    </row>
    <row r="160" ht="15.75" customHeight="1" s="184">
      <c r="A160" s="791">
        <f>G160</f>
        <v/>
      </c>
      <c r="B160" s="809" t="inlineStr">
        <is>
          <t>BM1360</t>
        </is>
      </c>
      <c r="C160" s="809" t="inlineStr">
        <is>
          <t>BM1360BA</t>
        </is>
      </c>
      <c r="D160" s="641" t="inlineStr">
        <is>
          <t>Y09BM1360220</t>
        </is>
      </c>
      <c r="E160" s="810" t="inlineStr">
        <is>
          <t>BM1360B</t>
        </is>
      </c>
      <c r="F160" s="804" t="inlineStr">
        <is>
          <t>Y09JY1360120</t>
        </is>
      </c>
      <c r="G160" s="808" t="inlineStr">
        <is>
          <t>TMMP57B-T1EAZN</t>
        </is>
      </c>
      <c r="H160" s="803" t="inlineStr">
        <is>
          <t>5nm, Fab12,  No PI, No Bumping, revision change to B</t>
        </is>
      </c>
      <c r="I160" s="816" t="inlineStr">
        <is>
          <t>molding, exposed die, TSMC IO, No BSM, 3L substrate</t>
        </is>
      </c>
      <c r="J160" s="805" t="n"/>
      <c r="K160" s="806" t="n">
        <v>4092</v>
      </c>
      <c r="L160" s="794">
        <f>E160&amp;$L$1</f>
        <v/>
      </c>
      <c r="M160" s="794">
        <f>L160&amp;$O$1&amp;G160&amp;$O$1&amp;H160</f>
        <v/>
      </c>
      <c r="N160" s="794">
        <f>C160&amp;$N$1</f>
        <v/>
      </c>
      <c r="O160" s="794">
        <f>N160&amp;$O$1&amp;I160</f>
        <v/>
      </c>
    </row>
    <row r="161" ht="15.75" customHeight="1" s="184">
      <c r="A161" s="791">
        <f>G161</f>
        <v/>
      </c>
      <c r="B161" s="809" t="inlineStr">
        <is>
          <t>BM1360</t>
        </is>
      </c>
      <c r="C161" s="809" t="inlineStr">
        <is>
          <t>BM1360BB</t>
        </is>
      </c>
      <c r="D161" s="641" t="inlineStr">
        <is>
          <t>Y09BM1360320</t>
        </is>
      </c>
      <c r="E161" s="810" t="inlineStr">
        <is>
          <t>BM1360B_BP</t>
        </is>
      </c>
      <c r="F161" s="804" t="inlineStr">
        <is>
          <t>Y09JY1360231</t>
        </is>
      </c>
      <c r="G161" s="808" t="inlineStr">
        <is>
          <t>TMMP57B-D1AEABN</t>
        </is>
      </c>
      <c r="H161" s="803" t="inlineStr">
        <is>
          <t>5nm, Fab12,  With PI, With Bumping，revision change to B</t>
        </is>
      </c>
      <c r="I161" s="816" t="inlineStr">
        <is>
          <t>molding, exposed die, TSMC IO, No BSM, 3L substrate</t>
        </is>
      </c>
      <c r="J161" s="805" t="n"/>
      <c r="K161" s="806" t="n">
        <v>4092</v>
      </c>
      <c r="L161" s="794">
        <f>E161&amp;$L$1</f>
        <v/>
      </c>
      <c r="M161" s="794">
        <f>L161&amp;$O$1&amp;G161&amp;$O$1&amp;H161</f>
        <v/>
      </c>
      <c r="N161" s="794">
        <f>C161&amp;$N$1</f>
        <v/>
      </c>
      <c r="O161" s="794">
        <f>N161&amp;$O$1&amp;I161</f>
        <v/>
      </c>
    </row>
    <row r="162" ht="15.75" customHeight="1" s="184">
      <c r="A162" s="791">
        <f>G162</f>
        <v/>
      </c>
      <c r="B162" s="809" t="inlineStr">
        <is>
          <t>BM1746</t>
        </is>
      </c>
      <c r="C162" s="809" t="inlineStr">
        <is>
          <t>BM1746AA</t>
        </is>
      </c>
      <c r="D162" s="641" t="inlineStr">
        <is>
          <t>Y09BM1746010</t>
        </is>
      </c>
      <c r="E162" s="810" t="inlineStr">
        <is>
          <t>BM1746</t>
        </is>
      </c>
      <c r="F162" s="804" t="inlineStr">
        <is>
          <t>Y09JY1746010</t>
        </is>
      </c>
      <c r="G162" s="808" t="inlineStr">
        <is>
          <t>TMMS51A-EAZP</t>
        </is>
      </c>
      <c r="H162" s="803" t="inlineStr">
        <is>
          <t>12nm, Fab14, No PI, No Bumping</t>
        </is>
      </c>
      <c r="I162" s="816" t="inlineStr">
        <is>
          <t>Bare die, LGA 31x31</t>
        </is>
      </c>
      <c r="J162" s="805" t="n"/>
      <c r="K162" s="806" t="n">
        <v>186</v>
      </c>
      <c r="L162" s="794">
        <f>E162&amp;$L$1</f>
        <v/>
      </c>
      <c r="M162" s="794">
        <f>L162&amp;$O$1&amp;G162&amp;$O$1&amp;H162</f>
        <v/>
      </c>
      <c r="N162" s="794">
        <f>C162&amp;$N$1</f>
        <v/>
      </c>
      <c r="O162" s="794">
        <f>N162&amp;$O$1&amp;I162</f>
        <v/>
      </c>
    </row>
    <row r="163" ht="15.75" customHeight="1" s="184">
      <c r="A163" s="791">
        <f>G163</f>
        <v/>
      </c>
      <c r="B163" s="809" t="inlineStr">
        <is>
          <t>BM1398</t>
        </is>
      </c>
      <c r="C163" s="809" t="inlineStr">
        <is>
          <t>BM1398BC</t>
        </is>
      </c>
      <c r="D163" s="641" t="inlineStr">
        <is>
          <t>Y09BM1398440</t>
        </is>
      </c>
      <c r="E163" s="810" t="inlineStr">
        <is>
          <t>BM1398B</t>
        </is>
      </c>
      <c r="F163" s="804" t="inlineStr">
        <is>
          <t>Y09JY1398020</t>
        </is>
      </c>
      <c r="G163" s="808" t="inlineStr">
        <is>
          <t>TMLM68B-EAZT</t>
        </is>
      </c>
      <c r="H163" s="803" t="inlineStr">
        <is>
          <t>7nm, Fab15, parallel power supply,  No PI, No Bumping</t>
        </is>
      </c>
      <c r="I163" s="816" t="inlineStr">
        <is>
          <t>molding, exposed die, CTM IO, high thermal EMC, 3L pin sawp</t>
        </is>
      </c>
      <c r="J163" s="805" t="n"/>
      <c r="K163" s="806" t="n">
        <v>3867</v>
      </c>
      <c r="L163" s="794">
        <f>E163&amp;$L$1</f>
        <v/>
      </c>
      <c r="M163" s="794">
        <f>L163&amp;$O$1&amp;G163&amp;$O$1&amp;H163</f>
        <v/>
      </c>
      <c r="N163" s="794">
        <f>C163&amp;$N$1</f>
        <v/>
      </c>
      <c r="O163" s="794">
        <f>N163&amp;$O$1&amp;I163</f>
        <v/>
      </c>
    </row>
    <row r="164" ht="15.75" customHeight="1" s="184">
      <c r="A164" s="791">
        <f>G164</f>
        <v/>
      </c>
      <c r="B164" s="809" t="inlineStr">
        <is>
          <t>BM1360</t>
        </is>
      </c>
      <c r="C164" s="809" t="inlineStr">
        <is>
          <t>BM1360BC</t>
        </is>
      </c>
      <c r="D164" s="641" t="inlineStr">
        <is>
          <t>Y09BM1360420</t>
        </is>
      </c>
      <c r="E164" s="810" t="inlineStr">
        <is>
          <t>BM1360B</t>
        </is>
      </c>
      <c r="F164" s="804" t="inlineStr">
        <is>
          <t>Y09JY1360120</t>
        </is>
      </c>
      <c r="G164" s="808" t="inlineStr">
        <is>
          <t>TMMP57B-T1EAZN</t>
        </is>
      </c>
      <c r="H164" s="803" t="inlineStr">
        <is>
          <t>5nm, Fab12,  No PI, No Bumping, revision change to B</t>
        </is>
      </c>
      <c r="I164" s="816" t="inlineStr">
        <is>
          <t>molding, exposed die, TSMC IO, No BSM, 3L substrate, Wshape EP</t>
        </is>
      </c>
      <c r="J164" s="805" t="n"/>
      <c r="K164" s="806" t="n">
        <v>4092</v>
      </c>
      <c r="L164" s="794">
        <f>E164&amp;$L$1</f>
        <v/>
      </c>
      <c r="M164" s="794">
        <f>L164&amp;$O$1&amp;G164&amp;$O$1&amp;H164</f>
        <v/>
      </c>
      <c r="N164" s="794">
        <f>C164&amp;$N$1</f>
        <v/>
      </c>
      <c r="O164" s="794">
        <f>N164&amp;$O$1&amp;I164</f>
        <v/>
      </c>
    </row>
    <row r="165" ht="15.75" customHeight="1" s="184">
      <c r="A165" s="791">
        <f>G165</f>
        <v/>
      </c>
      <c r="B165" s="809" t="inlineStr">
        <is>
          <t>BM1360</t>
        </is>
      </c>
      <c r="C165" s="809" t="inlineStr">
        <is>
          <t>BM1360BD</t>
        </is>
      </c>
      <c r="D165" s="641" t="inlineStr">
        <is>
          <t>Y09BM1360520</t>
        </is>
      </c>
      <c r="E165" s="810" t="inlineStr">
        <is>
          <t>BM1360B_BP</t>
        </is>
      </c>
      <c r="F165" s="804" t="inlineStr">
        <is>
          <t>Y09JY1360231</t>
        </is>
      </c>
      <c r="G165" s="808" t="inlineStr">
        <is>
          <t>TMMP57B-D1AEABN</t>
        </is>
      </c>
      <c r="H165" s="803" t="inlineStr">
        <is>
          <t>5nm, Fab12,  With PI, With Bumping，revision change to B</t>
        </is>
      </c>
      <c r="I165" s="816" t="inlineStr">
        <is>
          <t>molding, exposed die, TSMC IO, No BSM, 3L substrate, Wshape EP</t>
        </is>
      </c>
      <c r="J165" s="805" t="n"/>
      <c r="K165" s="806" t="n">
        <v>4092</v>
      </c>
      <c r="L165" s="794">
        <f>E165&amp;$L$1</f>
        <v/>
      </c>
      <c r="M165" s="794">
        <f>L165&amp;$O$1&amp;G165&amp;$O$1&amp;H165</f>
        <v/>
      </c>
      <c r="N165" s="794">
        <f>C165&amp;$N$1</f>
        <v/>
      </c>
      <c r="O165" s="794">
        <f>N165&amp;$O$1&amp;I165</f>
        <v/>
      </c>
    </row>
    <row r="166" ht="15.75" customHeight="1" s="184">
      <c r="A166" s="791">
        <f>G166</f>
        <v/>
      </c>
      <c r="B166" s="809" t="inlineStr">
        <is>
          <t>BM1399</t>
        </is>
      </c>
      <c r="C166" s="809" t="inlineStr">
        <is>
          <t>BM1399AA</t>
        </is>
      </c>
      <c r="D166" s="641" t="inlineStr">
        <is>
          <t>Y09BM1399000</t>
        </is>
      </c>
      <c r="E166" s="810" t="inlineStr">
        <is>
          <t>BM1399_nbst</t>
        </is>
      </c>
      <c r="F166" s="804" t="inlineStr">
        <is>
          <t>Y09JY1399010</t>
        </is>
      </c>
      <c r="G166" s="808" t="inlineStr">
        <is>
          <t xml:space="preserve">TMMX67A-T1EAZP </t>
        </is>
      </c>
      <c r="H166" s="803" t="inlineStr">
        <is>
          <t>16nm, Fab14, FFM+, No PI, No Bumping,</t>
        </is>
      </c>
      <c r="I166" s="816" t="inlineStr">
        <is>
          <t>molding, exposed die, 3层基板, 2 E-PAD</t>
        </is>
      </c>
      <c r="J166" s="805" t="n"/>
      <c r="K166" s="806" t="n">
        <v>2370</v>
      </c>
      <c r="L166" s="794">
        <f>E166&amp;$L$1</f>
        <v/>
      </c>
      <c r="M166" s="794">
        <f>L166&amp;$O$1&amp;G166&amp;$O$1&amp;H166</f>
        <v/>
      </c>
      <c r="N166" s="794">
        <f>C166&amp;$N$1</f>
        <v/>
      </c>
      <c r="O166" s="794">
        <f>N166&amp;$O$1&amp;I166</f>
        <v/>
      </c>
    </row>
    <row r="167" ht="15.75" customHeight="1" s="184">
      <c r="A167" s="791">
        <f>G167</f>
        <v/>
      </c>
      <c r="B167" s="809" t="inlineStr">
        <is>
          <t>BM1399</t>
        </is>
      </c>
      <c r="C167" s="809" t="inlineStr">
        <is>
          <t>BM1399AB</t>
        </is>
      </c>
      <c r="D167" s="641" t="inlineStr">
        <is>
          <t>Y09BM1399110</t>
        </is>
      </c>
      <c r="E167" s="810" t="inlineStr">
        <is>
          <t>BM1399_nbst</t>
        </is>
      </c>
      <c r="F167" s="804" t="inlineStr">
        <is>
          <t>Y09JY1399010</t>
        </is>
      </c>
      <c r="G167" s="808" t="inlineStr">
        <is>
          <t xml:space="preserve">TMMX67A-T1EAZP </t>
        </is>
      </c>
      <c r="H167" s="803" t="inlineStr">
        <is>
          <t>16nm, Fab14, FFM+, No PI, No Bumping,</t>
        </is>
      </c>
      <c r="I167" s="816" t="inlineStr">
        <is>
          <t>molding, exposed die, 3层基板, M-Shape</t>
        </is>
      </c>
      <c r="J167" s="805" t="n"/>
      <c r="K167" s="806" t="n">
        <v>2370</v>
      </c>
      <c r="L167" s="794">
        <f>E167&amp;$L$1</f>
        <v/>
      </c>
      <c r="M167" s="794">
        <f>L167&amp;$O$1&amp;G167&amp;$O$1&amp;H167</f>
        <v/>
      </c>
      <c r="N167" s="794">
        <f>C167&amp;$N$1</f>
        <v/>
      </c>
      <c r="O167" s="794">
        <f>N167&amp;$O$1&amp;I167</f>
        <v/>
      </c>
    </row>
    <row r="168" ht="15.75" customHeight="1" s="184">
      <c r="A168" s="791">
        <f>G168</f>
        <v/>
      </c>
      <c r="B168" s="809" t="inlineStr">
        <is>
          <t>BM1399</t>
        </is>
      </c>
      <c r="C168" s="809" t="inlineStr">
        <is>
          <t>BM1399AC</t>
        </is>
      </c>
      <c r="D168" s="641" t="inlineStr">
        <is>
          <t>Y09BM1399200</t>
        </is>
      </c>
      <c r="E168" s="810" t="inlineStr">
        <is>
          <t>BM1399</t>
        </is>
      </c>
      <c r="F168" s="804" t="inlineStr">
        <is>
          <t>Y09JY1399120</t>
        </is>
      </c>
      <c r="G168" s="808" t="inlineStr">
        <is>
          <t>TMMX67A-EAZP</t>
        </is>
      </c>
      <c r="H168" s="803" t="inlineStr">
        <is>
          <t>16nm, Fab14, FFM+,device boost, No PI, No Bumping,</t>
        </is>
      </c>
      <c r="I168" s="816" t="inlineStr">
        <is>
          <t>molding, exposed die, 3层基板, 2 E-PAD</t>
        </is>
      </c>
      <c r="J168" s="805" t="n"/>
      <c r="K168" s="806" t="n">
        <v>2370</v>
      </c>
      <c r="L168" s="794">
        <f>E168&amp;$L$1</f>
        <v/>
      </c>
      <c r="M168" s="794">
        <f>L168&amp;$O$1&amp;G168&amp;$O$1&amp;H168</f>
        <v/>
      </c>
      <c r="N168" s="794">
        <f>C168&amp;$N$1</f>
        <v/>
      </c>
      <c r="O168" s="794">
        <f>N168&amp;$O$1&amp;I168</f>
        <v/>
      </c>
    </row>
    <row r="169" ht="15.75" customHeight="1" s="184">
      <c r="A169" s="819">
        <f>G169</f>
        <v/>
      </c>
      <c r="B169" s="809" t="inlineStr">
        <is>
          <t>BM1360</t>
        </is>
      </c>
      <c r="C169" s="809" t="inlineStr">
        <is>
          <t>BM1360BE</t>
        </is>
      </c>
      <c r="D169" s="641" t="inlineStr">
        <is>
          <t>Y09BM1360620</t>
        </is>
      </c>
      <c r="E169" s="810" t="inlineStr">
        <is>
          <t>BM1360B_WF</t>
        </is>
      </c>
      <c r="F169" s="804" t="inlineStr">
        <is>
          <t>Y09JY1360340</t>
        </is>
      </c>
      <c r="G169" s="808" t="inlineStr">
        <is>
          <t>TMMP57B-T1EAZN</t>
        </is>
      </c>
      <c r="H169" s="803" t="inlineStr">
        <is>
          <t>5nm, Fab12,  No PI,No bumping</t>
        </is>
      </c>
      <c r="I169" s="816" t="inlineStr">
        <is>
          <t>molding, exposed die, TSMC IO, No BSM, 3L substrate</t>
        </is>
      </c>
      <c r="J169" s="805" t="n"/>
      <c r="K169" s="806" t="n">
        <v>4092</v>
      </c>
      <c r="L169" s="794">
        <f>E169&amp;$L$1</f>
        <v/>
      </c>
      <c r="M169" s="794">
        <f>L169&amp;$O$1&amp;G169&amp;$O$1&amp;H169</f>
        <v/>
      </c>
      <c r="N169" s="794">
        <f>C169&amp;$N$1</f>
        <v/>
      </c>
      <c r="O169" s="794">
        <f>N169&amp;$O$1&amp;I169</f>
        <v/>
      </c>
    </row>
    <row r="170" ht="15.75" customHeight="1" s="184">
      <c r="A170" s="791">
        <f>G170</f>
        <v/>
      </c>
      <c r="B170" s="820" t="inlineStr">
        <is>
          <t>BM19M1G</t>
        </is>
      </c>
      <c r="C170" s="820" t="inlineStr">
        <is>
          <t>BM19M1G</t>
        </is>
      </c>
      <c r="D170" s="641" t="inlineStr">
        <is>
          <t>Y09BM19M1G10</t>
        </is>
      </c>
      <c r="E170" s="821" t="inlineStr">
        <is>
          <t>BM19M1G</t>
        </is>
      </c>
      <c r="F170" s="804" t="inlineStr">
        <is>
          <t>Y09JY19M1G11</t>
        </is>
      </c>
      <c r="G170" s="822" t="inlineStr">
        <is>
          <t>TMMG75_C15</t>
        </is>
      </c>
      <c r="H170" s="823" t="inlineStr">
        <is>
          <t>12nm, MPW, Fab14, with PI, with Bumping and back grinding</t>
        </is>
      </c>
      <c r="I170" s="824" t="inlineStr">
        <is>
          <t>Bare die, BGA 31x31, with capacitors</t>
        </is>
      </c>
      <c r="J170" s="825" t="n"/>
      <c r="K170" s="826" t="inlineStr">
        <is>
          <t>MPW</t>
        </is>
      </c>
      <c r="L170" s="794">
        <f>E170&amp;$L$1</f>
        <v/>
      </c>
      <c r="M170" s="794">
        <f>L170&amp;$O$1&amp;G170&amp;$O$1&amp;H170</f>
        <v/>
      </c>
      <c r="N170" s="794">
        <f>C170&amp;$N$1</f>
        <v/>
      </c>
      <c r="O170" s="794">
        <f>N170&amp;$O$1&amp;I170</f>
        <v/>
      </c>
    </row>
    <row r="171" ht="15.75" customHeight="1" s="184">
      <c r="A171" s="791">
        <f>G171</f>
        <v/>
      </c>
      <c r="B171" s="820" t="inlineStr">
        <is>
          <t>BM1399</t>
        </is>
      </c>
      <c r="C171" s="820" t="inlineStr">
        <is>
          <t>BM1399AD</t>
        </is>
      </c>
      <c r="D171" s="641" t="inlineStr">
        <is>
          <t>Y09BM1399300</t>
        </is>
      </c>
      <c r="E171" s="821" t="inlineStr">
        <is>
          <t>BM1399_nbst_USSA_G4</t>
        </is>
      </c>
      <c r="F171" s="804" t="inlineStr">
        <is>
          <t>Y09JY1399230</t>
        </is>
      </c>
      <c r="G171" s="822" t="inlineStr">
        <is>
          <t>TMMX67A-T3EAZP</t>
        </is>
      </c>
      <c r="H171" s="823" t="inlineStr">
        <is>
          <t>16nm, Fab14, FFM+,USSA-3C, BEOL G4,No PI, No Bumping,</t>
        </is>
      </c>
      <c r="I171" s="824" t="inlineStr">
        <is>
          <t>molding, exposed die, 3层基板, 2 E-PAD</t>
        </is>
      </c>
      <c r="J171" s="825" t="n"/>
      <c r="K171" s="826" t="n">
        <v>2370</v>
      </c>
      <c r="L171" s="794">
        <f>E171&amp;$L$1</f>
        <v/>
      </c>
      <c r="M171" s="794">
        <f>L171&amp;$O$1&amp;G171&amp;$O$1&amp;H171</f>
        <v/>
      </c>
      <c r="N171" s="794">
        <f>C171&amp;$N$1</f>
        <v/>
      </c>
      <c r="O171" s="794">
        <f>N171&amp;$O$1&amp;I171</f>
        <v/>
      </c>
    </row>
    <row r="172" ht="15.75" customHeight="1" s="184">
      <c r="A172" s="791">
        <f>G172</f>
        <v/>
      </c>
      <c r="B172" s="820" t="inlineStr">
        <is>
          <t>BM1399</t>
        </is>
      </c>
      <c r="C172" s="820" t="inlineStr">
        <is>
          <t>BM1399AE</t>
        </is>
      </c>
      <c r="D172" s="641" t="inlineStr">
        <is>
          <t>Y09BM1399410</t>
        </is>
      </c>
      <c r="E172" s="821" t="inlineStr">
        <is>
          <t>BM1399_nbst_USSA_G4</t>
        </is>
      </c>
      <c r="F172" s="804" t="inlineStr">
        <is>
          <t>Y09JY1399230</t>
        </is>
      </c>
      <c r="G172" s="822" t="inlineStr">
        <is>
          <t>TMMX67A-T3EAZP</t>
        </is>
      </c>
      <c r="H172" s="823" t="inlineStr">
        <is>
          <t>16nm, Fab14, FFM+,USSA-3C, BEOL G4,No PI, No Bumping,</t>
        </is>
      </c>
      <c r="I172" s="824" t="inlineStr">
        <is>
          <t>molding, exposed die, 3层基板, M-Shape</t>
        </is>
      </c>
      <c r="J172" s="825" t="n"/>
      <c r="K172" s="826" t="n">
        <v>2370</v>
      </c>
      <c r="L172" s="794">
        <f>E172&amp;$L$1</f>
        <v/>
      </c>
      <c r="M172" s="794">
        <f>L172&amp;$O$1&amp;G172&amp;$O$1&amp;H172</f>
        <v/>
      </c>
      <c r="N172" s="794">
        <f>C172&amp;$N$1</f>
        <v/>
      </c>
      <c r="O172" s="794">
        <f>N172&amp;$O$1&amp;I172</f>
        <v/>
      </c>
    </row>
    <row r="173" ht="15.75" customHeight="1" s="184">
      <c r="A173" s="791">
        <f>G173</f>
        <v/>
      </c>
      <c r="B173" s="820" t="inlineStr">
        <is>
          <t>BM1399</t>
        </is>
      </c>
      <c r="C173" s="820" t="inlineStr">
        <is>
          <t>BM1399AF</t>
        </is>
      </c>
      <c r="D173" s="641" t="inlineStr">
        <is>
          <t>Y09BM1399500</t>
        </is>
      </c>
      <c r="E173" s="821" t="inlineStr">
        <is>
          <t>BM1399_BST_USSA</t>
        </is>
      </c>
      <c r="F173" s="804" t="inlineStr">
        <is>
          <t>Y09JY1399340</t>
        </is>
      </c>
      <c r="G173" s="822" t="inlineStr">
        <is>
          <t>TMMX67A-T2EAZP</t>
        </is>
      </c>
      <c r="H173" s="823" t="inlineStr">
        <is>
          <t>16nm, Fab14, FFM+,device boost,USSA-3C,BEOL G4 No PI, No Bumping,</t>
        </is>
      </c>
      <c r="I173" s="824" t="inlineStr">
        <is>
          <t>molding, exposed die, 3层基板, 2 E-PAD</t>
        </is>
      </c>
      <c r="J173" s="825" t="n"/>
      <c r="K173" s="826" t="n">
        <v>2370</v>
      </c>
      <c r="L173" s="794">
        <f>E173&amp;$L$1</f>
        <v/>
      </c>
      <c r="M173" s="794">
        <f>L173&amp;$O$1&amp;G173&amp;$O$1&amp;H173</f>
        <v/>
      </c>
      <c r="N173" s="794">
        <f>C173&amp;$N$1</f>
        <v/>
      </c>
      <c r="O173" s="794">
        <f>N173&amp;$O$1&amp;I173</f>
        <v/>
      </c>
    </row>
    <row r="174" ht="15.75" customHeight="1" s="184">
      <c r="A174" s="791">
        <f>G174</f>
        <v/>
      </c>
      <c r="B174" s="820" t="inlineStr">
        <is>
          <t>BM1684</t>
        </is>
      </c>
      <c r="C174" s="820" t="inlineStr">
        <is>
          <t>BM1684AE</t>
        </is>
      </c>
      <c r="D174" s="641" t="inlineStr">
        <is>
          <t>Y09BM1684440</t>
        </is>
      </c>
      <c r="E174" s="821" t="inlineStr">
        <is>
          <t>BM1684</t>
        </is>
      </c>
      <c r="F174" s="804" t="inlineStr">
        <is>
          <t>Y09JY1684010</t>
        </is>
      </c>
      <c r="G174" s="827" t="inlineStr">
        <is>
          <t>TMLT73A-EAZM</t>
        </is>
      </c>
      <c r="H174" s="828" t="inlineStr">
        <is>
          <t>12nm,Fab16, No PI, No Bumping</t>
        </is>
      </c>
      <c r="I174" s="829" t="inlineStr">
        <is>
          <t>Bare die, BGA 25x25, with capacitors (high temperature), substrate core thick 800um</t>
        </is>
      </c>
      <c r="J174" s="830" t="n"/>
      <c r="K174" s="831" t="n">
        <v>294</v>
      </c>
      <c r="L174" s="794">
        <f>E174&amp;$L$1</f>
        <v/>
      </c>
      <c r="M174" s="794">
        <f>L174&amp;$O$1&amp;G174&amp;$O$1&amp;H174</f>
        <v/>
      </c>
      <c r="N174" s="794">
        <f>C174&amp;$N$1</f>
        <v/>
      </c>
      <c r="O174" s="794">
        <f>N174&amp;$O$1&amp;I174</f>
        <v/>
      </c>
    </row>
    <row r="175" ht="15.75" customHeight="1" s="184">
      <c r="A175" s="791">
        <f>G175</f>
        <v/>
      </c>
      <c r="B175" s="820" t="inlineStr">
        <is>
          <t>BM20M1</t>
        </is>
      </c>
      <c r="C175" s="820" t="inlineStr">
        <is>
          <t>BM20M1AA</t>
        </is>
      </c>
      <c r="D175" s="641" t="inlineStr">
        <is>
          <t>Y09BM20M1010</t>
        </is>
      </c>
      <c r="E175" s="821" t="inlineStr">
        <is>
          <t>BM20M1</t>
        </is>
      </c>
      <c r="F175" s="804" t="inlineStr">
        <is>
          <t>Y09JY20M1011</t>
        </is>
      </c>
      <c r="G175" s="832" t="inlineStr">
        <is>
          <t>TMMF66_C06</t>
        </is>
      </c>
      <c r="H175" s="832" t="inlineStr">
        <is>
          <t>6nm MPW, Fab15, with PI, with bumping and back grinding</t>
        </is>
      </c>
      <c r="I175" s="832" t="inlineStr">
        <is>
          <t>Over molding, FCLGA8x8, with capacitors</t>
        </is>
      </c>
      <c r="J175" s="832" t="n"/>
      <c r="K175" s="806" t="inlineStr">
        <is>
          <t>MPW</t>
        </is>
      </c>
      <c r="L175" s="794">
        <f>E175&amp;$L$1</f>
        <v/>
      </c>
      <c r="M175" s="794">
        <f>L175&amp;$O$1&amp;G175&amp;$O$1&amp;H175</f>
        <v/>
      </c>
      <c r="N175" s="794">
        <f>C175&amp;$N$1</f>
        <v/>
      </c>
      <c r="O175" s="794">
        <f>N175&amp;$O$1&amp;I175</f>
        <v/>
      </c>
    </row>
    <row r="176" ht="15.75" customHeight="1" s="184">
      <c r="A176" s="791">
        <f>G176</f>
        <v/>
      </c>
      <c r="B176" s="820" t="inlineStr">
        <is>
          <t>BM20M3</t>
        </is>
      </c>
      <c r="C176" s="820" t="inlineStr">
        <is>
          <t>BM20M3AA</t>
        </is>
      </c>
      <c r="D176" s="641" t="inlineStr">
        <is>
          <t>Y09BM20M3000</t>
        </is>
      </c>
      <c r="E176" s="821" t="inlineStr">
        <is>
          <t>BM20M3</t>
        </is>
      </c>
      <c r="F176" s="804" t="inlineStr">
        <is>
          <t>Y09JY20M3011</t>
        </is>
      </c>
      <c r="G176" s="833" t="inlineStr">
        <is>
          <t>TMMG96_C15</t>
        </is>
      </c>
      <c r="H176" s="813" t="inlineStr">
        <is>
          <t>5nm, MPW, Fab12, with PI, with Bumping and back grinding</t>
        </is>
      </c>
      <c r="I176" s="834" t="inlineStr">
        <is>
          <t>molding, LGA 8x8</t>
        </is>
      </c>
      <c r="J176" s="805" t="n"/>
      <c r="K176" s="806" t="inlineStr">
        <is>
          <t>MPW</t>
        </is>
      </c>
      <c r="L176" s="794">
        <f>E176&amp;$L$1</f>
        <v/>
      </c>
      <c r="M176" s="794">
        <f>L176&amp;$O$1&amp;G176&amp;$O$1&amp;H176</f>
        <v/>
      </c>
      <c r="N176" s="794">
        <f>C176&amp;$N$1</f>
        <v/>
      </c>
      <c r="O176" s="794">
        <f>N176&amp;$O$1&amp;I176</f>
        <v/>
      </c>
    </row>
    <row r="177" ht="15.75" customHeight="1" s="184">
      <c r="A177" s="791">
        <f>G177</f>
        <v/>
      </c>
      <c r="B177" s="820" t="inlineStr">
        <is>
          <t>BM1398</t>
        </is>
      </c>
      <c r="C177" s="820" t="inlineStr">
        <is>
          <t>BM1398BD</t>
        </is>
      </c>
      <c r="D177" s="641" t="inlineStr">
        <is>
          <t>Y09BM1398450</t>
        </is>
      </c>
      <c r="E177" s="821" t="inlineStr">
        <is>
          <t>BM1398Z</t>
        </is>
      </c>
      <c r="F177" s="804" t="inlineStr">
        <is>
          <t>Y09JY1398Z00</t>
        </is>
      </c>
      <c r="G177" s="833" t="inlineStr">
        <is>
          <t>TMLM68Z-T2EAZT</t>
        </is>
      </c>
      <c r="H177" s="803" t="inlineStr">
        <is>
          <t>7nm, Fab15, parallel power supply,  No PI, No Bumping, Vc/M0/V0 EUV</t>
        </is>
      </c>
      <c r="I177" s="803" t="inlineStr">
        <is>
          <t>molding, exposed die, CTM IO, high thermal EMC, 3L substrate</t>
        </is>
      </c>
      <c r="J177" s="813" t="n"/>
      <c r="K177" s="806" t="n">
        <v>3867</v>
      </c>
      <c r="L177" s="794">
        <f>E177&amp;$L$1</f>
        <v/>
      </c>
      <c r="M177" s="794">
        <f>L177&amp;$O$1&amp;G177&amp;$O$1&amp;H177</f>
        <v/>
      </c>
      <c r="N177" s="794">
        <f>C177&amp;$N$1</f>
        <v/>
      </c>
      <c r="O177" s="794">
        <f>N177&amp;$O$1&amp;I177</f>
        <v/>
      </c>
    </row>
    <row r="178" ht="15.75" customHeight="1" s="184">
      <c r="A178" s="791">
        <f>G178</f>
        <v/>
      </c>
      <c r="B178" s="820" t="inlineStr">
        <is>
          <t>BM20M3</t>
        </is>
      </c>
      <c r="C178" s="820" t="inlineStr">
        <is>
          <t>BM20M3AB</t>
        </is>
      </c>
      <c r="D178" s="641" t="inlineStr">
        <is>
          <t>Y09BM20M3A60</t>
        </is>
      </c>
      <c r="E178" s="821" t="inlineStr">
        <is>
          <t>BM20M3</t>
        </is>
      </c>
      <c r="F178" s="804" t="inlineStr">
        <is>
          <t>Y09JY20M3011</t>
        </is>
      </c>
      <c r="G178" s="833" t="inlineStr">
        <is>
          <t>TMMG96_C15</t>
        </is>
      </c>
      <c r="H178" s="803" t="inlineStr">
        <is>
          <t>5nm, MPW, Fab12, with PI, with Bumping and back grinding</t>
        </is>
      </c>
      <c r="I178" s="803" t="inlineStr">
        <is>
          <t>molding, LGA 8x8, TSMC IO</t>
        </is>
      </c>
      <c r="J178" s="813" t="n"/>
      <c r="K178" s="806" t="inlineStr">
        <is>
          <t>MPW</t>
        </is>
      </c>
      <c r="L178" s="794">
        <f>E178&amp;$L$1</f>
        <v/>
      </c>
      <c r="M178" s="794">
        <f>L178&amp;$O$1&amp;G178&amp;$O$1&amp;H178</f>
        <v/>
      </c>
      <c r="N178" s="794">
        <f>C178&amp;$N$1</f>
        <v/>
      </c>
      <c r="O178" s="794">
        <f>N178&amp;$O$1&amp;I178</f>
        <v/>
      </c>
    </row>
    <row r="179" ht="15.75" customHeight="1" s="184">
      <c r="A179" s="791">
        <f>G179</f>
        <v/>
      </c>
      <c r="B179" s="820" t="inlineStr">
        <is>
          <t>BM1398</t>
        </is>
      </c>
      <c r="C179" s="820" t="inlineStr">
        <is>
          <t>BM1398BE</t>
        </is>
      </c>
      <c r="D179" s="641" t="inlineStr">
        <is>
          <t>Y09BM1398550</t>
        </is>
      </c>
      <c r="E179" s="821" t="inlineStr">
        <is>
          <t>BM1398C</t>
        </is>
      </c>
      <c r="F179" s="804" t="inlineStr">
        <is>
          <t>Y09JY1398C10</t>
        </is>
      </c>
      <c r="G179" s="833" t="inlineStr">
        <is>
          <t xml:space="preserve"> TMLM68C-C1T4EAZT</t>
        </is>
      </c>
      <c r="H179" s="803" t="inlineStr">
        <is>
          <t>7nm, Fab15, parallel power supply,  No PI, No Bumping, CIP1/2/3/4</t>
        </is>
      </c>
      <c r="I179" s="803" t="inlineStr">
        <is>
          <t>molding, exposed die, CTM IO, high thermal EMC, 3L substrate</t>
        </is>
      </c>
      <c r="J179" s="813" t="n"/>
      <c r="K179" s="806" t="n">
        <v>3867</v>
      </c>
      <c r="L179" s="794">
        <f>E179&amp;$L$1</f>
        <v/>
      </c>
      <c r="M179" s="794">
        <f>L179&amp;$O$1&amp;G179&amp;$O$1&amp;H179</f>
        <v/>
      </c>
      <c r="N179" s="794">
        <f>C179&amp;$N$1</f>
        <v/>
      </c>
      <c r="O179" s="794">
        <f>N179&amp;$O$1&amp;I179</f>
        <v/>
      </c>
    </row>
    <row r="180" ht="15.75" customHeight="1" s="184">
      <c r="A180" s="791">
        <f>G180</f>
        <v/>
      </c>
      <c r="B180" s="820" t="inlineStr">
        <is>
          <t>BM1362</t>
        </is>
      </c>
      <c r="C180" s="820" t="inlineStr">
        <is>
          <t>BM1362AA</t>
        </is>
      </c>
      <c r="D180" s="641" t="inlineStr">
        <is>
          <t>Y09BM1362A00</t>
        </is>
      </c>
      <c r="E180" s="821" t="inlineStr">
        <is>
          <t>BM1362_BP</t>
        </is>
      </c>
      <c r="F180" s="804" t="inlineStr">
        <is>
          <t>Y09JY1362561</t>
        </is>
      </c>
      <c r="G180" s="833" t="inlineStr">
        <is>
          <t>TMPH75A-D1AEABU</t>
        </is>
      </c>
      <c r="H180" s="803" t="inlineStr">
        <is>
          <t>5nm, Fab18,  with PI, with Bumping</t>
        </is>
      </c>
      <c r="I180" s="803" t="inlineStr">
        <is>
          <t>molding, exposed die, CTM IO,3L substrate</t>
        </is>
      </c>
      <c r="J180" s="813" t="n"/>
      <c r="K180" s="806" t="n">
        <v>6907</v>
      </c>
      <c r="L180" s="794">
        <f>E180&amp;$L$1</f>
        <v/>
      </c>
      <c r="M180" s="794">
        <f>L180&amp;$O$1&amp;G180&amp;$O$1&amp;H180</f>
        <v/>
      </c>
      <c r="N180" s="794">
        <f>C180&amp;$N$1</f>
        <v/>
      </c>
      <c r="O180" s="794">
        <f>N180&amp;$O$1&amp;I180</f>
        <v/>
      </c>
    </row>
    <row r="181" ht="15.75" customHeight="1" s="184">
      <c r="A181" s="791">
        <f>G181</f>
        <v/>
      </c>
      <c r="B181" s="820" t="inlineStr">
        <is>
          <t>BM1362</t>
        </is>
      </c>
      <c r="C181" s="820" t="inlineStr">
        <is>
          <t>BM1362AB</t>
        </is>
      </c>
      <c r="D181" s="641" t="inlineStr">
        <is>
          <t>Y09BM1362B00</t>
        </is>
      </c>
      <c r="E181" s="821" t="inlineStr">
        <is>
          <t>BM1362_WF</t>
        </is>
      </c>
      <c r="F181" s="804" t="inlineStr">
        <is>
          <t>Y09JY1362670</t>
        </is>
      </c>
      <c r="G181" s="833" t="inlineStr">
        <is>
          <t>TMPH75A-T1EAZU</t>
        </is>
      </c>
      <c r="H181" s="803" t="inlineStr">
        <is>
          <t>5nm, Fab18,  No PI, No Bumping</t>
        </is>
      </c>
      <c r="I181" s="803" t="inlineStr">
        <is>
          <t>molding, exposed die, CTM IO,3L substrate</t>
        </is>
      </c>
      <c r="J181" s="813" t="n"/>
      <c r="K181" s="806" t="n">
        <v>6907</v>
      </c>
      <c r="L181" s="794">
        <f>E181&amp;$L$1</f>
        <v/>
      </c>
      <c r="M181" s="794">
        <f>L181&amp;$O$1&amp;G181&amp;$O$1&amp;H181</f>
        <v/>
      </c>
      <c r="N181" s="794">
        <f>C181&amp;$N$1</f>
        <v/>
      </c>
      <c r="O181" s="794">
        <f>N181&amp;$O$1&amp;I181</f>
        <v/>
      </c>
    </row>
    <row r="182" ht="15.75" customFormat="1" customHeight="1" s="835">
      <c r="A182" s="836">
        <f>G182</f>
        <v/>
      </c>
      <c r="B182" s="837" t="inlineStr">
        <is>
          <t>BM1362</t>
        </is>
      </c>
      <c r="C182" s="837" t="inlineStr">
        <is>
          <t>BM1362AC</t>
        </is>
      </c>
      <c r="D182" s="837" t="inlineStr">
        <is>
          <t>Y09BM1362C00</t>
        </is>
      </c>
      <c r="E182" s="799" t="inlineStr">
        <is>
          <t>BM1362_BP2</t>
        </is>
      </c>
      <c r="F182" s="799" t="inlineStr">
        <is>
          <t>Y09JY1362B01</t>
        </is>
      </c>
      <c r="G182" s="816" t="inlineStr">
        <is>
          <t>TMPH75A-T2D1AEABU</t>
        </is>
      </c>
      <c r="H182" s="816" t="inlineStr">
        <is>
          <t>5nm, Fab18,  with SRAM 12N mask,with PI, with Bumping</t>
        </is>
      </c>
      <c r="I182" s="816" t="inlineStr">
        <is>
          <t>molding, exposed die, CTM IO,3L substrate</t>
        </is>
      </c>
      <c r="J182" s="834" t="n"/>
      <c r="K182" s="838" t="n">
        <v>6907</v>
      </c>
      <c r="L182" s="835">
        <f>E182&amp;$L$1</f>
        <v/>
      </c>
      <c r="M182" s="835">
        <f>L182&amp;$O$1&amp;G182&amp;$O$1&amp;H182</f>
        <v/>
      </c>
      <c r="N182" s="835">
        <f>C182&amp;$N$1</f>
        <v/>
      </c>
      <c r="O182" s="835">
        <f>N182&amp;$O$1&amp;I182</f>
        <v/>
      </c>
    </row>
    <row r="183" ht="15.75" customFormat="1" customHeight="1" s="835">
      <c r="A183" s="836">
        <f>G183</f>
        <v/>
      </c>
      <c r="B183" s="837" t="inlineStr">
        <is>
          <t>BM1362</t>
        </is>
      </c>
      <c r="C183" s="837" t="inlineStr">
        <is>
          <t>BM1362AD</t>
        </is>
      </c>
      <c r="D183" s="837" t="inlineStr">
        <is>
          <t>Y09BM1362D00</t>
        </is>
      </c>
      <c r="E183" s="799" t="inlineStr">
        <is>
          <t>BM1362_WF2</t>
        </is>
      </c>
      <c r="F183" s="799" t="inlineStr">
        <is>
          <t>Y09JY1362W00</t>
        </is>
      </c>
      <c r="G183" s="816" t="inlineStr">
        <is>
          <t>TMPH75A-T3EAZU</t>
        </is>
      </c>
      <c r="H183" s="816" t="inlineStr">
        <is>
          <t>5nm, Fab18,  with SRAM 12N mask,No PI, No Bumping</t>
        </is>
      </c>
      <c r="I183" s="816" t="inlineStr">
        <is>
          <t>molding, exposed die, CTM IO,3L substrate</t>
        </is>
      </c>
      <c r="J183" s="834" t="n"/>
      <c r="K183" s="838" t="n">
        <v>6907</v>
      </c>
      <c r="L183" s="835">
        <f>E183&amp;$L$1</f>
        <v/>
      </c>
      <c r="M183" s="835">
        <f>L183&amp;$O$1&amp;G183&amp;$O$1&amp;H183</f>
        <v/>
      </c>
      <c r="N183" s="835">
        <f>C183&amp;$N$1</f>
        <v/>
      </c>
      <c r="O183" s="835">
        <f>N183&amp;$O$1&amp;I183</f>
        <v/>
      </c>
    </row>
    <row r="184" ht="15.75" customHeight="1" s="184">
      <c r="A184" s="791">
        <f>G184</f>
        <v/>
      </c>
      <c r="B184" s="641" t="inlineStr">
        <is>
          <t>BM1362</t>
        </is>
      </c>
      <c r="C184" s="641" t="inlineStr">
        <is>
          <t>BM1362ZA</t>
        </is>
      </c>
      <c r="D184" s="837" t="inlineStr">
        <is>
          <t>Y09BM1362Z00</t>
        </is>
      </c>
      <c r="E184" s="804" t="inlineStr">
        <is>
          <t>BM1362Z_BP2</t>
        </is>
      </c>
      <c r="F184" s="799" t="inlineStr">
        <is>
          <t>Y09JY1362Z01</t>
        </is>
      </c>
      <c r="G184" s="803" t="inlineStr">
        <is>
          <t>TMPH75Z-T1D1AEABU</t>
        </is>
      </c>
      <c r="H184" s="803" t="inlineStr">
        <is>
          <t>5nm, Fab18,  BKM5.2P with SRAM 12N Mask, with PI, bumping</t>
        </is>
      </c>
      <c r="I184" s="803" t="inlineStr">
        <is>
          <t>molding, exposed die, CTM IO,3L substrate</t>
        </is>
      </c>
      <c r="J184" s="813" t="n"/>
      <c r="K184" s="806" t="n">
        <v>6907</v>
      </c>
      <c r="L184" s="794">
        <f>E184&amp;$L$1</f>
        <v/>
      </c>
      <c r="M184" s="794">
        <f>L184&amp;$O$1&amp;G184&amp;$O$1&amp;H184</f>
        <v/>
      </c>
      <c r="N184" s="794">
        <f>C184&amp;$N$1</f>
        <v/>
      </c>
      <c r="O184" s="794">
        <f>N184&amp;$O$1&amp;I184</f>
        <v/>
      </c>
    </row>
    <row r="185" ht="15.75" customHeight="1" s="184">
      <c r="A185" s="791">
        <f>G185</f>
        <v/>
      </c>
      <c r="B185" s="641" t="inlineStr">
        <is>
          <t>BM1362</t>
        </is>
      </c>
      <c r="C185" s="839" t="inlineStr">
        <is>
          <t>BM1362XA</t>
        </is>
      </c>
      <c r="D185" s="837" t="inlineStr">
        <is>
          <t>Y09BM1362X00</t>
        </is>
      </c>
      <c r="E185" s="804" t="inlineStr">
        <is>
          <t>BM1362X_BP</t>
        </is>
      </c>
      <c r="F185" s="840" t="inlineStr">
        <is>
          <t>Y09JY1362X01</t>
        </is>
      </c>
      <c r="G185" s="803" t="inlineStr">
        <is>
          <t>TMPH75X-T4D1AEABU</t>
        </is>
      </c>
      <c r="H185" s="803" t="inlineStr">
        <is>
          <t>BM1362:T4: BSL BKM5.0 boost with 12N, PI, bump</t>
        </is>
      </c>
      <c r="I185" s="803" t="inlineStr">
        <is>
          <t>molding, exposed die, CTM IO,3L substrate</t>
        </is>
      </c>
      <c r="J185" s="813" t="n"/>
      <c r="K185" s="806" t="n">
        <v>6907</v>
      </c>
      <c r="L185" s="794">
        <f>E185&amp;$L$1</f>
        <v/>
      </c>
      <c r="M185" s="794">
        <f>L185&amp;$O$1&amp;G185&amp;$O$1&amp;H185</f>
        <v/>
      </c>
      <c r="N185" s="794">
        <f>C185&amp;$N$1</f>
        <v/>
      </c>
      <c r="O185" s="794">
        <f>N185&amp;$O$1&amp;I185</f>
        <v/>
      </c>
    </row>
    <row r="186" ht="15.75" customHeight="1" s="184">
      <c r="A186" s="791" t="inlineStr">
        <is>
          <t>这问题</t>
        </is>
      </c>
      <c r="B186" s="641" t="inlineStr">
        <is>
          <t>BM1362</t>
        </is>
      </c>
      <c r="C186" s="839" t="inlineStr">
        <is>
          <t>BM1362YA</t>
        </is>
      </c>
      <c r="D186" s="837" t="inlineStr">
        <is>
          <t>Y09BM1362Y00</t>
        </is>
      </c>
      <c r="E186" s="804" t="inlineStr">
        <is>
          <t>BM1362Y_BP</t>
        </is>
      </c>
      <c r="F186" s="840" t="inlineStr">
        <is>
          <t>Y09JY1362Y01</t>
        </is>
      </c>
      <c r="G186" s="803" t="inlineStr">
        <is>
          <t>TMPH75Y-T5D1AEABU</t>
        </is>
      </c>
      <c r="H186" s="803" t="inlineStr">
        <is>
          <t>BM1362:T5: BKM5.2P boost with 12N, PI, bump</t>
        </is>
      </c>
      <c r="I186" s="803" t="inlineStr">
        <is>
          <t>molding, exposed die, CTM IO,3L substrate</t>
        </is>
      </c>
      <c r="J186" s="841" t="n"/>
      <c r="K186" s="842" t="n">
        <v>6907</v>
      </c>
      <c r="L186" s="794">
        <f>E186&amp;$L$1</f>
        <v/>
      </c>
      <c r="M186" s="794">
        <f>L186&amp;$O$1&amp;G186&amp;$O$1&amp;H186</f>
        <v/>
      </c>
      <c r="N186" s="794">
        <f>C186&amp;$N$1</f>
        <v/>
      </c>
      <c r="O186" s="794">
        <f>N186&amp;$O$1&amp;I186</f>
        <v/>
      </c>
    </row>
    <row r="187">
      <c r="A187" s="791">
        <f>G187</f>
        <v/>
      </c>
      <c r="B187" s="641" t="inlineStr">
        <is>
          <t>BM1362</t>
        </is>
      </c>
      <c r="C187" s="641" t="inlineStr">
        <is>
          <t xml:space="preserve">BM1362AE </t>
        </is>
      </c>
      <c r="D187" s="641" t="inlineStr">
        <is>
          <t>Y09BM1362E00</t>
        </is>
      </c>
      <c r="E187" s="804" t="inlineStr">
        <is>
          <t>BM1362_BP</t>
        </is>
      </c>
      <c r="F187" s="804" t="inlineStr">
        <is>
          <t>Y09JY1362561</t>
        </is>
      </c>
      <c r="G187" s="803" t="inlineStr">
        <is>
          <t>TMPH75A-D1AEABU</t>
        </is>
      </c>
      <c r="H187" s="803" t="inlineStr">
        <is>
          <t xml:space="preserve">5nm, Fab18,  with PI, with Bumping </t>
        </is>
      </c>
      <c r="I187" s="803" t="inlineStr">
        <is>
          <t>molding, exposed die, CTM IO,3L substrate,BSM</t>
        </is>
      </c>
      <c r="J187" s="813" t="n"/>
      <c r="K187" s="806" t="n">
        <v>6907</v>
      </c>
      <c r="L187" s="794">
        <f>E187&amp;$L$1</f>
        <v/>
      </c>
      <c r="M187" s="794">
        <f>L187&amp;$O$1&amp;G187&amp;$O$1&amp;H187</f>
        <v/>
      </c>
      <c r="N187" s="794">
        <f>C187&amp;$N$1</f>
        <v/>
      </c>
      <c r="O187" s="794">
        <f>N187&amp;$O$1&amp;I187</f>
        <v/>
      </c>
    </row>
    <row r="188">
      <c r="A188" s="791">
        <f>G188</f>
        <v/>
      </c>
      <c r="B188" s="641" t="inlineStr">
        <is>
          <t>BM1362</t>
        </is>
      </c>
      <c r="C188" s="641" t="inlineStr">
        <is>
          <t>BM1362AF</t>
        </is>
      </c>
      <c r="D188" s="641" t="inlineStr">
        <is>
          <t>Y09BM1362F00</t>
        </is>
      </c>
      <c r="E188" s="804" t="inlineStr">
        <is>
          <t>BM1362_WF</t>
        </is>
      </c>
      <c r="F188" s="804" t="inlineStr">
        <is>
          <t>Y09JY1362670</t>
        </is>
      </c>
      <c r="G188" s="803" t="inlineStr">
        <is>
          <t>TMPH75A-T1EAZU</t>
        </is>
      </c>
      <c r="H188" s="803" t="inlineStr">
        <is>
          <t>5nm, Fab18,  No PI, No Bumping</t>
        </is>
      </c>
      <c r="I188" s="803" t="inlineStr">
        <is>
          <t>molding, exposed die, CTM IO,3L substrate,BSM</t>
        </is>
      </c>
      <c r="J188" s="813" t="n"/>
      <c r="K188" s="806" t="n">
        <v>6907</v>
      </c>
      <c r="L188" s="794">
        <f>E188&amp;$L$1</f>
        <v/>
      </c>
      <c r="M188" s="794">
        <f>L188&amp;$O$1&amp;G188&amp;$O$1&amp;H188</f>
        <v/>
      </c>
      <c r="N188" s="794">
        <f>C188&amp;$N$1</f>
        <v/>
      </c>
      <c r="O188" s="794">
        <f>N188&amp;$O$1&amp;I188</f>
        <v/>
      </c>
    </row>
    <row r="189" ht="15.75" customHeight="1" s="184">
      <c r="A189" s="791">
        <f>G189</f>
        <v/>
      </c>
      <c r="B189" s="641" t="inlineStr">
        <is>
          <t>BM1362</t>
        </is>
      </c>
      <c r="C189" s="641" t="inlineStr">
        <is>
          <t>BM1362AG</t>
        </is>
      </c>
      <c r="D189" s="641" t="inlineStr">
        <is>
          <t>Y09BM1362G00</t>
        </is>
      </c>
      <c r="E189" s="804" t="inlineStr">
        <is>
          <t>BM1362_BP2</t>
        </is>
      </c>
      <c r="F189" s="799" t="inlineStr">
        <is>
          <t>Y09JY1362B01</t>
        </is>
      </c>
      <c r="G189" s="803" t="inlineStr">
        <is>
          <t>TMPH75A-T2D1AEABU</t>
        </is>
      </c>
      <c r="H189" s="803" t="inlineStr">
        <is>
          <t>5nm, Fab18,  with SRAM 12N mask,with PI, with Bumping</t>
        </is>
      </c>
      <c r="I189" s="803" t="inlineStr">
        <is>
          <t>molding, exposed die, CTM IO,3L substrate,BSM</t>
        </is>
      </c>
      <c r="J189" s="813" t="n"/>
      <c r="K189" s="806" t="n">
        <v>6907</v>
      </c>
      <c r="L189" s="794">
        <f>E189&amp;$L$1</f>
        <v/>
      </c>
      <c r="M189" s="794">
        <f>L189&amp;$O$1&amp;G189&amp;$O$1&amp;H189</f>
        <v/>
      </c>
      <c r="N189" s="794">
        <f>C189&amp;$N$1</f>
        <v/>
      </c>
      <c r="O189" s="794">
        <f>N189&amp;$O$1&amp;I189</f>
        <v/>
      </c>
    </row>
    <row r="190">
      <c r="A190" s="791">
        <f>G190</f>
        <v/>
      </c>
      <c r="B190" s="641" t="inlineStr">
        <is>
          <t>BM1362</t>
        </is>
      </c>
      <c r="C190" s="641" t="inlineStr">
        <is>
          <t>BM1362AH</t>
        </is>
      </c>
      <c r="D190" s="641" t="inlineStr">
        <is>
          <t>Y09BM1362H00</t>
        </is>
      </c>
      <c r="E190" s="804" t="inlineStr">
        <is>
          <t>BM1362_WF2</t>
        </is>
      </c>
      <c r="F190" s="804" t="inlineStr">
        <is>
          <t>Y09JY1362W00</t>
        </is>
      </c>
      <c r="G190" s="803" t="inlineStr">
        <is>
          <t>TMPH75A-T3EAZU</t>
        </is>
      </c>
      <c r="H190" s="803" t="inlineStr">
        <is>
          <t>5nm, Fab18,  with SRAM 12N mask,No PI, No Bumping</t>
        </is>
      </c>
      <c r="I190" s="803" t="inlineStr">
        <is>
          <t>molding, exposed die, CTM IO,3L substrate,BSM</t>
        </is>
      </c>
      <c r="J190" s="813" t="n"/>
      <c r="K190" s="806" t="n">
        <v>6907</v>
      </c>
      <c r="L190" s="794">
        <f>E190&amp;$L$1</f>
        <v/>
      </c>
      <c r="M190" s="794">
        <f>L190&amp;$O$1&amp;G190&amp;$O$1&amp;H190</f>
        <v/>
      </c>
      <c r="N190" s="794">
        <f>C190&amp;$N$1</f>
        <v/>
      </c>
      <c r="O190" s="794">
        <f>N190&amp;$O$1&amp;I190</f>
        <v/>
      </c>
    </row>
    <row r="191">
      <c r="A191" s="791">
        <f>G191</f>
        <v/>
      </c>
      <c r="B191" s="843" t="inlineStr">
        <is>
          <t>BM1362</t>
        </is>
      </c>
      <c r="C191" s="843" t="inlineStr">
        <is>
          <t>BM1362YB</t>
        </is>
      </c>
      <c r="D191" s="843" t="inlineStr">
        <is>
          <t>Y09BM1362Y10</t>
        </is>
      </c>
      <c r="E191" s="844" t="inlineStr">
        <is>
          <t>BM1362Y_BP2</t>
        </is>
      </c>
      <c r="F191" s="844" t="inlineStr">
        <is>
          <t>Y09JY1362Y11</t>
        </is>
      </c>
      <c r="G191" s="845" t="inlineStr">
        <is>
          <t>TMPH75Y-T6D1AEABU</t>
        </is>
      </c>
      <c r="H191" s="845" t="inlineStr">
        <is>
          <t>BM1362 T5: BKM5.2P Further boost with 12N, PI, bumping</t>
        </is>
      </c>
      <c r="I191" s="845" t="inlineStr">
        <is>
          <t>molding, exposed die, CTM IO,3L substrate</t>
        </is>
      </c>
      <c r="J191" s="841" t="n"/>
      <c r="K191" s="842" t="n">
        <v>6907</v>
      </c>
      <c r="L191" s="794">
        <f>E191&amp;$L$1</f>
        <v/>
      </c>
      <c r="M191" s="794">
        <f>L191&amp;$O$1&amp;G191&amp;$O$1&amp;H191</f>
        <v/>
      </c>
      <c r="N191" s="794">
        <f>C191&amp;$N$1</f>
        <v/>
      </c>
      <c r="O191" s="794">
        <f>N191&amp;$O$1&amp;I191</f>
        <v/>
      </c>
    </row>
    <row r="192">
      <c r="A192" s="791">
        <f>G192</f>
        <v/>
      </c>
      <c r="B192" s="641" t="inlineStr">
        <is>
          <t>BM1398</t>
        </is>
      </c>
      <c r="C192" s="641" t="inlineStr">
        <is>
          <t xml:space="preserve">BM1398AD	</t>
        </is>
      </c>
      <c r="D192" s="641" t="inlineStr">
        <is>
          <t>Y09BM1398D00</t>
        </is>
      </c>
      <c r="E192" s="804" t="inlineStr">
        <is>
          <t>BM1398_BKM</t>
        </is>
      </c>
      <c r="F192" s="804" t="inlineStr">
        <is>
          <t>Y09JY1398B40</t>
        </is>
      </c>
      <c r="G192" s="803" t="inlineStr">
        <is>
          <t>TMLM68A-T5EAZT</t>
        </is>
      </c>
      <c r="H192" s="803" t="inlineStr">
        <is>
          <t>7nm, Fab15, Series  power supply,  No PI, No Bumping</t>
        </is>
      </c>
      <c r="I192" s="803" t="inlineStr">
        <is>
          <t>molding, exposed die, CTM IO, high thermal EMC, 3L substrate w/o test block</t>
        </is>
      </c>
      <c r="J192" s="813" t="n"/>
      <c r="K192" s="806" t="n">
        <v>3867</v>
      </c>
      <c r="L192" s="813">
        <f>E192&amp;$L$1</f>
        <v/>
      </c>
      <c r="M192" s="813">
        <f>L192&amp;$O$1&amp;G192&amp;$O$1&amp;H192</f>
        <v/>
      </c>
      <c r="N192" s="813">
        <f>C192&amp;$N$1</f>
        <v/>
      </c>
      <c r="O192" s="813">
        <f>N192&amp;$O$1&amp;I192</f>
        <v/>
      </c>
    </row>
    <row r="193">
      <c r="A193" s="791">
        <f>G193</f>
        <v/>
      </c>
      <c r="B193" s="641" t="inlineStr">
        <is>
          <t>BM1764</t>
        </is>
      </c>
      <c r="C193" s="641" t="inlineStr">
        <is>
          <t>BM1764AA</t>
        </is>
      </c>
      <c r="D193" s="641" t="inlineStr">
        <is>
          <t>Y09BM1764A00</t>
        </is>
      </c>
      <c r="E193" s="804" t="inlineStr">
        <is>
          <t>BM1764</t>
        </is>
      </c>
      <c r="F193" s="804" t="inlineStr">
        <is>
          <t>Y09JY1764010</t>
        </is>
      </c>
      <c r="G193" s="803" t="inlineStr">
        <is>
          <t>TMPS51A-EAZP</t>
        </is>
      </c>
      <c r="H193" s="803" t="inlineStr">
        <is>
          <t>16nm, Fab14, No PI, No Bumping</t>
        </is>
      </c>
      <c r="I193" s="803" t="inlineStr">
        <is>
          <t>molding, exposed die, high thermal EMC, 3L substrate</t>
        </is>
      </c>
      <c r="J193" s="813" t="n"/>
      <c r="K193" s="806" t="n">
        <v>2022</v>
      </c>
      <c r="L193" s="813">
        <f>E193&amp;$L$1</f>
        <v/>
      </c>
      <c r="M193" s="813">
        <f>L193&amp;$O$1&amp;G193&amp;$O$1&amp;H193</f>
        <v/>
      </c>
      <c r="N193" s="813">
        <f>C193&amp;$N$1</f>
        <v/>
      </c>
      <c r="O193" s="813">
        <f>N193&amp;$O$1&amp;I193</f>
        <v/>
      </c>
    </row>
    <row r="194">
      <c r="A194" s="791">
        <f>G194</f>
        <v/>
      </c>
      <c r="B194" s="641" t="inlineStr">
        <is>
          <t>BM1798</t>
        </is>
      </c>
      <c r="C194" s="641" t="inlineStr">
        <is>
          <t>BM1798AA</t>
        </is>
      </c>
      <c r="D194" s="641" t="inlineStr">
        <is>
          <t>Y09BM1798010</t>
        </is>
      </c>
      <c r="E194" s="804" t="inlineStr">
        <is>
          <t>BM1798</t>
        </is>
      </c>
      <c r="F194" s="804" t="inlineStr">
        <is>
          <t>Y09JY1798010</t>
        </is>
      </c>
      <c r="G194" s="846" t="inlineStr">
        <is>
          <t>TMPS52A-EAZP</t>
        </is>
      </c>
      <c r="H194" s="803" t="inlineStr">
        <is>
          <t>12nm, Fab14, No PI, No Bumping</t>
        </is>
      </c>
      <c r="I194" s="846" t="inlineStr">
        <is>
          <t>Bare die, BGA 50x50, with capacitors</t>
        </is>
      </c>
      <c r="J194" s="813" t="n"/>
      <c r="K194" s="806" t="n">
        <v>66</v>
      </c>
      <c r="L194" s="813">
        <f>E194&amp;$L$1</f>
        <v/>
      </c>
      <c r="M194" s="813">
        <f>L194&amp;$O$1&amp;G194&amp;$O$1&amp;H194</f>
        <v/>
      </c>
      <c r="N194" s="813">
        <f>C194&amp;$N$1</f>
        <v/>
      </c>
      <c r="O194" s="813">
        <f>N194&amp;$O$1&amp;I194</f>
        <v/>
      </c>
    </row>
    <row r="195">
      <c r="B195" s="843" t="inlineStr">
        <is>
          <t>BM1362</t>
        </is>
      </c>
      <c r="C195" s="843" t="inlineStr">
        <is>
          <t>BM1362AI</t>
        </is>
      </c>
      <c r="D195" s="792" t="inlineStr">
        <is>
          <t>Y09BM1362110</t>
        </is>
      </c>
      <c r="E195" s="847" t="inlineStr">
        <is>
          <t>BM1362_WF3</t>
        </is>
      </c>
      <c r="F195" s="844" t="inlineStr">
        <is>
          <t>Y09JY1362011</t>
        </is>
      </c>
      <c r="G195" s="845" t="inlineStr">
        <is>
          <t>TMPH75A-T3D1AEABU</t>
        </is>
      </c>
      <c r="H195" s="845" t="inlineStr">
        <is>
          <t>5nm, Fab18,  with SRAM 12N mask,，New create for ASE and Winstek PI+ Bump</t>
        </is>
      </c>
      <c r="I195" s="845" t="inlineStr">
        <is>
          <t>molding, exposed die, CTM IO,3L substrate</t>
        </is>
      </c>
      <c r="J195" s="841" t="n"/>
      <c r="K195" s="842" t="n">
        <v>6907</v>
      </c>
      <c r="L195" s="841">
        <f>E195&amp;$L$1</f>
        <v/>
      </c>
      <c r="M195" s="841">
        <f>L195&amp;$O$1&amp;G195&amp;$O$1&amp;H195</f>
        <v/>
      </c>
      <c r="N195" s="841">
        <f>C195&amp;$N$1</f>
        <v/>
      </c>
      <c r="O195" s="841">
        <f>N195&amp;$O$1&amp;I195</f>
        <v/>
      </c>
    </row>
    <row r="196" ht="15.75" customHeight="1" s="184">
      <c r="B196" s="641" t="inlineStr">
        <is>
          <t>BM1362</t>
        </is>
      </c>
      <c r="C196" s="641" t="inlineStr">
        <is>
          <t>BM1362AJ</t>
        </is>
      </c>
      <c r="D196" s="641" t="inlineStr">
        <is>
          <t>Y09BM1362210</t>
        </is>
      </c>
      <c r="E196" s="804" t="inlineStr">
        <is>
          <t>BM1362_WF2</t>
        </is>
      </c>
      <c r="F196" s="804" t="inlineStr">
        <is>
          <t>Y09JY1362W00</t>
        </is>
      </c>
      <c r="G196" s="816" t="inlineStr">
        <is>
          <t>TMPH75A-T3EAZU</t>
        </is>
      </c>
      <c r="H196" s="816" t="inlineStr">
        <is>
          <t>5nm, Fab18,  with SRAM 12N mask,No PI, No Bumping</t>
        </is>
      </c>
      <c r="I196" s="816" t="inlineStr">
        <is>
          <t>Fan-Out, exposed die, 2L RDL</t>
        </is>
      </c>
      <c r="J196" s="813" t="n"/>
      <c r="K196" s="806" t="n">
        <v>6907</v>
      </c>
      <c r="L196" s="813">
        <f>E196&amp;$L$1</f>
        <v/>
      </c>
      <c r="M196" s="813">
        <f>L196&amp;$O$1&amp;G196&amp;$O$1&amp;H196</f>
        <v/>
      </c>
      <c r="N196" s="813">
        <f>C196&amp;$N$1</f>
        <v/>
      </c>
      <c r="O196" s="813">
        <f>N196&amp;$O$1&amp;I196</f>
        <v/>
      </c>
    </row>
    <row r="197">
      <c r="A197" s="791">
        <f>G197</f>
        <v/>
      </c>
      <c r="B197" s="641" t="inlineStr">
        <is>
          <t>BM1362</t>
        </is>
      </c>
      <c r="C197" s="641" t="inlineStr">
        <is>
          <t>BM1362AK</t>
        </is>
      </c>
      <c r="D197" s="641" t="inlineStr">
        <is>
          <t>Y09BM1362310</t>
        </is>
      </c>
      <c r="E197" s="804" t="inlineStr">
        <is>
          <t>BM1362_BP2</t>
        </is>
      </c>
      <c r="F197" s="804" t="inlineStr">
        <is>
          <t>Y09JY1362B01</t>
        </is>
      </c>
      <c r="G197" s="803" t="inlineStr">
        <is>
          <t>TMPH75A-T2D1AEABU</t>
        </is>
      </c>
      <c r="H197" s="803" t="inlineStr">
        <is>
          <t>5nm, Fab18,  with SRAM 12N mask,with PI, with Bumping</t>
        </is>
      </c>
      <c r="I197" s="803" t="inlineStr">
        <is>
          <t>6x6 package size, molding, exposed die, CTM IO,3L substrate</t>
        </is>
      </c>
      <c r="J197" s="813" t="n"/>
      <c r="K197" s="806" t="n">
        <v>6907</v>
      </c>
      <c r="L197" s="813">
        <f>E197&amp;$L$1</f>
        <v/>
      </c>
      <c r="M197" s="813">
        <f>L197&amp;$O$1&amp;G197&amp;$O$1&amp;H197</f>
        <v/>
      </c>
      <c r="N197" s="813">
        <f>C197&amp;$N$1</f>
        <v/>
      </c>
      <c r="O197" s="813">
        <f>N197&amp;$O$1&amp;I197</f>
        <v/>
      </c>
    </row>
    <row r="198">
      <c r="B198" s="641" t="inlineStr">
        <is>
          <t>BM1489</t>
        </is>
      </c>
      <c r="C198" s="641" t="inlineStr">
        <is>
          <t>BM1489</t>
        </is>
      </c>
      <c r="D198" s="641" t="inlineStr">
        <is>
          <t>Y09BM1489010</t>
        </is>
      </c>
      <c r="E198" s="804" t="inlineStr">
        <is>
          <t>BM1489</t>
        </is>
      </c>
      <c r="F198" s="804" t="inlineStr">
        <is>
          <t>Y09JY1489010</t>
        </is>
      </c>
      <c r="G198" s="803" t="inlineStr">
        <is>
          <t>TMNI84A-EAZT</t>
        </is>
      </c>
      <c r="H198" s="803" t="inlineStr">
        <is>
          <t>7nm, Fab15, No PI, No Bumping</t>
        </is>
      </c>
      <c r="I198" s="803" t="inlineStr">
        <is>
          <t>molding, exposed die, CTM IO</t>
        </is>
      </c>
      <c r="J198" s="813" t="n"/>
      <c r="K198" s="806" t="n">
        <v>2010</v>
      </c>
      <c r="L198" s="813">
        <f>E198&amp;$L$1</f>
        <v/>
      </c>
      <c r="M198" s="813">
        <f>L198&amp;$O$1&amp;G198&amp;$O$1&amp;H198</f>
        <v/>
      </c>
      <c r="N198" s="813">
        <f>C198&amp;$N$1</f>
        <v/>
      </c>
      <c r="O198" s="813">
        <f>N198&amp;$O$1&amp;I198</f>
        <v/>
      </c>
    </row>
    <row r="199" ht="15.75" customHeight="1" s="184">
      <c r="B199" s="843" t="inlineStr">
        <is>
          <t>BM1362</t>
        </is>
      </c>
      <c r="C199" s="843" t="inlineStr">
        <is>
          <t>BM1362AL</t>
        </is>
      </c>
      <c r="D199" s="843" t="inlineStr">
        <is>
          <t>Y09BM1362430</t>
        </is>
      </c>
      <c r="E199" s="844" t="inlineStr">
        <is>
          <t>BM1362U_BP</t>
        </is>
      </c>
      <c r="F199" s="844" t="inlineStr">
        <is>
          <t>Y09JY1362111</t>
        </is>
      </c>
      <c r="G199" s="791" t="inlineStr">
        <is>
          <t>TMPH75U-TBEAZU</t>
        </is>
      </c>
      <c r="H199" s="848" t="inlineStr">
        <is>
          <t>5nm, Fab18,  120Z mask,with PI, with Bumping</t>
        </is>
      </c>
      <c r="I199" s="845" t="inlineStr">
        <is>
          <t>molding, exposed die, CTM IO,3L substrate</t>
        </is>
      </c>
      <c r="J199" s="841" t="n"/>
      <c r="K199" s="842" t="n">
        <v>6907</v>
      </c>
      <c r="L199" s="841">
        <f>E199&amp;$L$1</f>
        <v/>
      </c>
      <c r="M199" s="841">
        <f>L199&amp;$O$1&amp;G199&amp;$O$1&amp;H199</f>
        <v/>
      </c>
      <c r="N199" s="813">
        <f>C199&amp;$N$1</f>
        <v/>
      </c>
      <c r="O199" s="813">
        <f>N199&amp;$O$1&amp;I199</f>
        <v/>
      </c>
    </row>
    <row r="200">
      <c r="B200" s="641" t="inlineStr">
        <is>
          <t>BM1366</t>
        </is>
      </c>
      <c r="C200" s="641" t="inlineStr">
        <is>
          <t>BM1366</t>
        </is>
      </c>
      <c r="D200" s="641" t="inlineStr">
        <is>
          <t>Y09BM1366010</t>
        </is>
      </c>
      <c r="E200" s="804" t="inlineStr">
        <is>
          <t>BM1366</t>
        </is>
      </c>
      <c r="F200" s="804" t="inlineStr">
        <is>
          <t>Y09JY1366011</t>
        </is>
      </c>
      <c r="G200" s="803" t="inlineStr">
        <is>
          <t>TMQE38B-EAZU</t>
        </is>
      </c>
      <c r="H200" s="803" t="inlineStr">
        <is>
          <t>5nm, Fab18,  with PI, with Bumping serial mode</t>
        </is>
      </c>
      <c r="I200" s="803" t="inlineStr">
        <is>
          <t>8mm x 8mm,molding, exposed die, CTM IO,3L substrate</t>
        </is>
      </c>
      <c r="J200" s="813" t="n"/>
      <c r="K200" s="806" t="n">
        <v>4255</v>
      </c>
      <c r="L200" s="813">
        <f>E200&amp;$L$1</f>
        <v/>
      </c>
      <c r="M200" s="813">
        <f>L200&amp;$O$1&amp;G200&amp;$O$1&amp;H200</f>
        <v/>
      </c>
      <c r="N200" s="813">
        <f>C200&amp;$N$1</f>
        <v/>
      </c>
      <c r="O200" s="813">
        <f>N200&amp;$O$1&amp;I200</f>
        <v/>
      </c>
    </row>
    <row r="201">
      <c r="B201" s="641" t="inlineStr">
        <is>
          <t>BM1366</t>
        </is>
      </c>
      <c r="C201" s="641" t="inlineStr">
        <is>
          <t>BM1366AB</t>
        </is>
      </c>
      <c r="D201" s="641" t="inlineStr">
        <is>
          <t>Y09BM1366120</t>
        </is>
      </c>
      <c r="E201" s="804" t="inlineStr">
        <is>
          <t>BM1366</t>
        </is>
      </c>
      <c r="F201" s="804" t="inlineStr">
        <is>
          <t>Y09JY1366011</t>
        </is>
      </c>
      <c r="G201" s="803" t="inlineStr">
        <is>
          <t>TMQE38B-EAZU</t>
        </is>
      </c>
      <c r="H201" s="803" t="inlineStr">
        <is>
          <t>5nm, Fab18,  with PI, with Bumping serial mode</t>
        </is>
      </c>
      <c r="I201" s="803" t="inlineStr">
        <is>
          <t>6mm x 7mm, molding, exposed die, CTM IO,30LD MP, serial power supply, 3L substrate</t>
        </is>
      </c>
      <c r="K201" s="806" t="n">
        <v>4255</v>
      </c>
      <c r="L201" s="813">
        <f>E201&amp;$L$1</f>
        <v/>
      </c>
      <c r="M201" s="813">
        <f>L201&amp;$O$1&amp;G201&amp;$O$1&amp;H201</f>
        <v/>
      </c>
      <c r="N201" s="813">
        <f>C201&amp;$N$1</f>
        <v/>
      </c>
      <c r="O201" s="813">
        <f>N201&amp;$O$1&amp;I201</f>
        <v/>
      </c>
    </row>
    <row r="202">
      <c r="B202" s="641" t="inlineStr">
        <is>
          <t>BM1366</t>
        </is>
      </c>
      <c r="C202" s="641" t="inlineStr">
        <is>
          <t>BM1366AC</t>
        </is>
      </c>
      <c r="D202" s="641" t="inlineStr">
        <is>
          <t>Y09BM1366230</t>
        </is>
      </c>
      <c r="E202" s="804" t="inlineStr">
        <is>
          <t>BM1366</t>
        </is>
      </c>
      <c r="F202" s="804" t="inlineStr">
        <is>
          <t>Y09JY1366011</t>
        </is>
      </c>
      <c r="G202" s="803" t="inlineStr">
        <is>
          <t>TMQE38B-EAZU</t>
        </is>
      </c>
      <c r="H202" s="803" t="inlineStr">
        <is>
          <t>5nm, Fab18,  with PI, with Bumping serial mode</t>
        </is>
      </c>
      <c r="I202" s="791" t="inlineStr">
        <is>
          <t>6mm x 7mm, molding, exposed die, CTM IO,30LD EVB, serial power supply, 3L substrate</t>
        </is>
      </c>
      <c r="K202" s="806" t="n">
        <v>4255</v>
      </c>
      <c r="L202" s="813">
        <f>E202&amp;$L$1</f>
        <v/>
      </c>
      <c r="M202" s="813">
        <f>L202&amp;$O$1&amp;G202&amp;$O$1&amp;H202</f>
        <v/>
      </c>
      <c r="N202" s="813">
        <f>C202&amp;$N$1</f>
        <v/>
      </c>
      <c r="O202" s="813">
        <f>N202&amp;$O$1&amp;I202</f>
        <v/>
      </c>
    </row>
    <row r="203">
      <c r="B203" s="641" t="inlineStr">
        <is>
          <t>BM1366</t>
        </is>
      </c>
      <c r="C203" s="641" t="inlineStr">
        <is>
          <t>BM1366BA</t>
        </is>
      </c>
      <c r="D203" s="641" t="inlineStr">
        <is>
          <t>Y09BM1366340</t>
        </is>
      </c>
      <c r="E203" s="804" t="inlineStr">
        <is>
          <t>BM1366P</t>
        </is>
      </c>
      <c r="F203" s="804" t="inlineStr">
        <is>
          <t>Y09JY1366111</t>
        </is>
      </c>
      <c r="G203" s="803" t="inlineStr">
        <is>
          <t>TMQE38C-EAZU</t>
        </is>
      </c>
      <c r="H203" s="803" t="inlineStr">
        <is>
          <t>5nm, Fab18,  with PI, with Bumping</t>
        </is>
      </c>
      <c r="I203" s="791" t="inlineStr">
        <is>
          <t>8mm x 8mm, molding, exposed die, CTM IO,26LD, parallel power supply, 3L substrate</t>
        </is>
      </c>
      <c r="K203" s="806" t="n">
        <v>4255</v>
      </c>
      <c r="L203" s="813">
        <f>E203&amp;$L$1</f>
        <v/>
      </c>
      <c r="M203" s="813">
        <f>L203&amp;$O$1&amp;G203&amp;$O$1&amp;H203</f>
        <v/>
      </c>
      <c r="N203" s="813">
        <f>C203&amp;$N$1</f>
        <v/>
      </c>
      <c r="O203" s="813">
        <f>N203&amp;$O$1&amp;I203</f>
        <v/>
      </c>
    </row>
    <row r="204" ht="15.75" customFormat="1" customHeight="1" s="780">
      <c r="A204" s="780" t="inlineStr">
        <is>
          <t>BM1362</t>
        </is>
      </c>
      <c r="B204" s="843" t="inlineStr">
        <is>
          <t>BM1362</t>
        </is>
      </c>
      <c r="C204" s="641" t="inlineStr">
        <is>
          <t>BM1362AM</t>
        </is>
      </c>
      <c r="D204" s="641" t="inlineStr">
        <is>
          <t>Y09BM1362540</t>
        </is>
      </c>
      <c r="E204" s="804" t="inlineStr">
        <is>
          <t>BM1362_WF2</t>
        </is>
      </c>
      <c r="F204" s="799" t="inlineStr">
        <is>
          <t>Y09JY1362W00</t>
        </is>
      </c>
      <c r="G204" s="803" t="inlineStr">
        <is>
          <t>TMPH75A-T3EAZU</t>
        </is>
      </c>
      <c r="H204" s="780" t="inlineStr">
        <is>
          <t>5nm, Fab18,  with SRAM 12N mask,No PI, No Bumping，Winstek pure Cu bump</t>
        </is>
      </c>
      <c r="I204" s="780" t="inlineStr">
        <is>
          <t>Fan-Out, exposed die, 2L RDL</t>
        </is>
      </c>
      <c r="K204" s="838" t="n">
        <v>6907</v>
      </c>
      <c r="L204" s="841">
        <f>E204&amp;$L$1</f>
        <v/>
      </c>
      <c r="M204" s="835">
        <f>L204&amp;$O$1&amp;G204&amp;$O$1&amp;H204</f>
        <v/>
      </c>
      <c r="N204" s="835" t="inlineStr">
        <is>
          <t>BM1362AM芯片</t>
        </is>
      </c>
      <c r="O204" s="813">
        <f>N204&amp;$O$1&amp;I204</f>
        <v/>
      </c>
    </row>
    <row r="205" ht="15.75" customFormat="1" customHeight="1" s="780">
      <c r="A205" s="780" t="inlineStr">
        <is>
          <t>BM1362</t>
        </is>
      </c>
      <c r="B205" s="843" t="inlineStr">
        <is>
          <t>BM1362</t>
        </is>
      </c>
      <c r="C205" s="641" t="inlineStr">
        <is>
          <t>BM1362AN</t>
        </is>
      </c>
      <c r="D205" s="641" t="inlineStr">
        <is>
          <t>Y09BM1362630</t>
        </is>
      </c>
      <c r="E205" s="804" t="inlineStr">
        <is>
          <t>BM1362_BP3</t>
        </is>
      </c>
      <c r="F205" s="804" t="inlineStr">
        <is>
          <t>Y09JY1362211</t>
        </is>
      </c>
      <c r="G205" s="803" t="inlineStr">
        <is>
          <t>TMPH75T-TCEAZU</t>
        </is>
      </c>
      <c r="H205" s="780" t="inlineStr">
        <is>
          <t>5nm, Fab18,  BM1362 BKM5.1 skip SRAM,with PI(009Z), 120Z</t>
        </is>
      </c>
      <c r="I205" s="780" t="inlineStr">
        <is>
          <t>molding, exposed die, CTM IO,3L substrate</t>
        </is>
      </c>
      <c r="K205" s="849" t="n">
        <v>6907</v>
      </c>
      <c r="L205" s="841">
        <f>E205&amp;$L$1</f>
        <v/>
      </c>
      <c r="M205" s="835">
        <f>L205&amp;$O$1&amp;G205&amp;$O$1&amp;H205</f>
        <v/>
      </c>
      <c r="N205" s="780" t="inlineStr">
        <is>
          <t>BM1362AN芯片</t>
        </is>
      </c>
      <c r="O205" s="813">
        <f>N205&amp;$O$1&amp;I205</f>
        <v/>
      </c>
    </row>
    <row r="206" ht="15.75" customFormat="1" customHeight="1" s="780">
      <c r="A206" s="780" t="inlineStr">
        <is>
          <t>BM1362</t>
        </is>
      </c>
      <c r="B206" s="843" t="inlineStr">
        <is>
          <t>BM1362</t>
        </is>
      </c>
      <c r="C206" s="641" t="inlineStr">
        <is>
          <t>BM1362AO</t>
        </is>
      </c>
      <c r="D206" s="641" t="inlineStr">
        <is>
          <t>Y09BM1362730</t>
        </is>
      </c>
      <c r="E206" s="804" t="inlineStr">
        <is>
          <t>BM1362_WF4</t>
        </is>
      </c>
      <c r="F206" s="804" t="inlineStr">
        <is>
          <t>Y09JY1362311</t>
        </is>
      </c>
      <c r="G206" s="803" t="inlineStr">
        <is>
          <t>TMPH75T-TDEAZU</t>
        </is>
      </c>
      <c r="H206" s="780" t="inlineStr">
        <is>
          <t>5nm, Fab18,  BM1362 BKM5.1 skip SRAM,without PI,120Z</t>
        </is>
      </c>
      <c r="I206" s="780" t="inlineStr">
        <is>
          <t>molding, exposed die, CTM IO,3L substrate</t>
        </is>
      </c>
      <c r="K206" s="849" t="n">
        <v>6907</v>
      </c>
      <c r="L206" s="841">
        <f>E206&amp;$L$1</f>
        <v/>
      </c>
      <c r="M206" s="835">
        <f>L206&amp;$O$1&amp;G206&amp;$O$1&amp;H206</f>
        <v/>
      </c>
      <c r="N206" s="780" t="inlineStr">
        <is>
          <t>BM1362AO芯片</t>
        </is>
      </c>
      <c r="O206" s="813">
        <f>N206&amp;$O$1&amp;I206</f>
        <v/>
      </c>
    </row>
    <row r="207" ht="15.75" customFormat="1" customHeight="1" s="780">
      <c r="A207" s="780" t="inlineStr">
        <is>
          <t>BM1362</t>
        </is>
      </c>
      <c r="B207" s="843" t="inlineStr">
        <is>
          <t>BM1362</t>
        </is>
      </c>
      <c r="C207" s="641" t="inlineStr">
        <is>
          <t>BM1362AP</t>
        </is>
      </c>
      <c r="D207" s="641" t="inlineStr">
        <is>
          <t>Y09BM1362830</t>
        </is>
      </c>
      <c r="E207" s="850" t="inlineStr">
        <is>
          <t>BM1362_BP5</t>
        </is>
      </c>
      <c r="F207" s="804" t="inlineStr">
        <is>
          <t>Y09JY1362411</t>
        </is>
      </c>
      <c r="G207" s="803" t="inlineStr">
        <is>
          <t>TMPH75S-TEEAZU</t>
        </is>
      </c>
      <c r="H207" s="780" t="inlineStr">
        <is>
          <t>5nm, Fab18,  BM1362 BKM6.3 skip 12N ,with PI(009Z), 120Z</t>
        </is>
      </c>
      <c r="I207" s="780" t="inlineStr">
        <is>
          <t>molding, exposed die, CTM IO,3L substrate</t>
        </is>
      </c>
      <c r="K207" s="849" t="n">
        <v>6907</v>
      </c>
      <c r="L207" s="841">
        <f>E207&amp;$L$1</f>
        <v/>
      </c>
      <c r="M207" s="835">
        <f>L207&amp;$O$1&amp;G207&amp;$O$1&amp;H207</f>
        <v/>
      </c>
      <c r="N207" s="780" t="inlineStr">
        <is>
          <t>BM1362AP芯片</t>
        </is>
      </c>
      <c r="O207" s="813">
        <f>N207&amp;$O$1&amp;I207</f>
        <v/>
      </c>
    </row>
    <row r="208" ht="15.75" customFormat="1" customHeight="1" s="780">
      <c r="A208" s="780" t="inlineStr">
        <is>
          <t>BM1362</t>
        </is>
      </c>
      <c r="B208" s="843" t="inlineStr">
        <is>
          <t>BM1362</t>
        </is>
      </c>
      <c r="C208" s="641" t="inlineStr">
        <is>
          <t>BM1362AQ</t>
        </is>
      </c>
      <c r="D208" s="641" t="inlineStr">
        <is>
          <t>Y09BM1362930</t>
        </is>
      </c>
      <c r="E208" s="804" t="inlineStr">
        <is>
          <t>BM1362_WF5</t>
        </is>
      </c>
      <c r="F208" s="804" t="inlineStr">
        <is>
          <t>Y09JY1362511</t>
        </is>
      </c>
      <c r="G208" s="803" t="inlineStr">
        <is>
          <t>TMPH75S-TFEAZU</t>
        </is>
      </c>
      <c r="H208" s="780" t="inlineStr">
        <is>
          <t>5nm, Fab18,  BM1362 BKM6.3 skip 12N ,without PI,120Z</t>
        </is>
      </c>
      <c r="I208" s="780" t="inlineStr">
        <is>
          <t>molding, exposed die, CTM IO,3L substrate</t>
        </is>
      </c>
      <c r="K208" s="849" t="n">
        <v>6907</v>
      </c>
      <c r="L208" s="841">
        <f>E208&amp;$L$1</f>
        <v/>
      </c>
      <c r="M208" s="835">
        <f>L208&amp;$O$1&amp;G208&amp;$O$1&amp;H208</f>
        <v/>
      </c>
      <c r="N208" s="780" t="inlineStr">
        <is>
          <t>BM1362AQ芯片</t>
        </is>
      </c>
      <c r="O208" s="813">
        <f>N208&amp;$O$1&amp;I208</f>
        <v/>
      </c>
    </row>
    <row r="209" ht="15.75" customFormat="1" customHeight="1" s="780">
      <c r="A209" s="780" t="inlineStr">
        <is>
          <t>BM1362</t>
        </is>
      </c>
      <c r="B209" s="843" t="inlineStr">
        <is>
          <t>BM1362</t>
        </is>
      </c>
      <c r="C209" s="843" t="inlineStr">
        <is>
          <t>BM1362AR</t>
        </is>
      </c>
      <c r="D209" s="843" t="inlineStr">
        <is>
          <t>Y09BM1362A30</t>
        </is>
      </c>
      <c r="E209" s="844" t="inlineStr">
        <is>
          <t>BM1362_WF6</t>
        </is>
      </c>
      <c r="F209" s="844" t="inlineStr">
        <is>
          <t>Y09JY1362611</t>
        </is>
      </c>
      <c r="G209" s="845" t="inlineStr">
        <is>
          <t>TMPH75T-TDD2AEABU</t>
        </is>
      </c>
      <c r="H209" s="780" t="inlineStr">
        <is>
          <t>5nm, Fab18,  BM1362 BKM5.1 skip SRAM,without PI,120Z ,PI + Bump for ASE or Winstek</t>
        </is>
      </c>
      <c r="I209" s="780" t="inlineStr">
        <is>
          <t>molding, exposed die, CTM IO,3L substrate</t>
        </is>
      </c>
      <c r="K209" s="849" t="n">
        <v>6907</v>
      </c>
      <c r="L209" s="841">
        <f>E209&amp;$L$1</f>
        <v/>
      </c>
      <c r="M209" s="835">
        <f>L209&amp;$O$1&amp;G209&amp;$O$1&amp;H209</f>
        <v/>
      </c>
      <c r="N209" s="780" t="inlineStr">
        <is>
          <t>BM1362AR芯片</t>
        </is>
      </c>
      <c r="O209" s="813">
        <f>N209&amp;$O$1&amp;I209</f>
        <v/>
      </c>
    </row>
    <row r="210" ht="15.75" customFormat="1" customHeight="1" s="780">
      <c r="A210" s="780" t="inlineStr">
        <is>
          <t>BM1362</t>
        </is>
      </c>
      <c r="B210" s="641" t="inlineStr">
        <is>
          <t>BM1362</t>
        </is>
      </c>
      <c r="C210" s="641" t="inlineStr">
        <is>
          <t>BM1362AS</t>
        </is>
      </c>
      <c r="D210" s="641" t="inlineStr">
        <is>
          <t>Y09BM1362B30</t>
        </is>
      </c>
      <c r="E210" s="804" t="inlineStr">
        <is>
          <t>BM1362_WF7</t>
        </is>
      </c>
      <c r="F210" s="804" t="inlineStr">
        <is>
          <t>Y09JY1362711</t>
        </is>
      </c>
      <c r="G210" s="803" t="inlineStr">
        <is>
          <t>TMPH75S-TFD2AEABU</t>
        </is>
      </c>
      <c r="H210" s="851" t="inlineStr">
        <is>
          <t>5nm, Fab18,  BM1362 BKM6.3 skip 12N ,without PI,120Z,PI + Bump for ASE or Winstek</t>
        </is>
      </c>
      <c r="I210" s="780" t="inlineStr">
        <is>
          <t>molding, exposed die, CTM IO,3L substrate</t>
        </is>
      </c>
      <c r="K210" s="849" t="n">
        <v>6907</v>
      </c>
      <c r="L210" s="841">
        <f>E210&amp;$L$1</f>
        <v/>
      </c>
      <c r="M210" s="835">
        <f>L210&amp;$O$1&amp;G210&amp;$O$1&amp;H210</f>
        <v/>
      </c>
      <c r="N210" s="780" t="inlineStr">
        <is>
          <t>BM1362AS芯片</t>
        </is>
      </c>
      <c r="O210" s="813">
        <f>N210&amp;$O$1&amp;I210</f>
        <v/>
      </c>
    </row>
    <row r="211" ht="15.75" customHeight="1" s="184">
      <c r="B211" s="843" t="inlineStr">
        <is>
          <t>BM1764</t>
        </is>
      </c>
      <c r="C211" s="843" t="inlineStr">
        <is>
          <t>BM1764AB</t>
        </is>
      </c>
      <c r="D211" s="792" t="inlineStr">
        <is>
          <t>Y09BM1764010</t>
        </is>
      </c>
      <c r="E211" s="844" t="inlineStr">
        <is>
          <t>BM1764</t>
        </is>
      </c>
      <c r="F211" s="804" t="inlineStr">
        <is>
          <t>Y09JY1764010</t>
        </is>
      </c>
      <c r="G211" s="803" t="inlineStr">
        <is>
          <t>TMPS51A-EAZP</t>
        </is>
      </c>
      <c r="H211" s="803" t="inlineStr">
        <is>
          <t>16nm, Fab14, No PI, No Bumping</t>
        </is>
      </c>
      <c r="I211" s="803" t="inlineStr">
        <is>
          <t>over mold, high thermal EMC, 3L substrate</t>
        </is>
      </c>
      <c r="K211" s="795" t="n">
        <v>2022</v>
      </c>
      <c r="L211" s="813">
        <f>E211&amp;$L$1</f>
        <v/>
      </c>
      <c r="M211" s="835">
        <f>L211&amp;$O$1&amp;G211&amp;$O$1&amp;H211</f>
        <v/>
      </c>
      <c r="N211" s="780" t="inlineStr">
        <is>
          <t>BM1764AB芯片</t>
        </is>
      </c>
      <c r="O211" s="852">
        <f>N211&amp;$O$1&amp;I211</f>
        <v/>
      </c>
    </row>
    <row r="212" ht="15.75" customHeight="1" s="184">
      <c r="B212" s="843" t="inlineStr">
        <is>
          <t>BM1366</t>
        </is>
      </c>
      <c r="C212" s="843" t="inlineStr">
        <is>
          <t>BM1366AD</t>
        </is>
      </c>
      <c r="D212" s="843" t="inlineStr">
        <is>
          <t>Y09BM1366450</t>
        </is>
      </c>
      <c r="E212" s="844" t="inlineStr">
        <is>
          <t>BM1366</t>
        </is>
      </c>
      <c r="F212" s="844" t="inlineStr">
        <is>
          <t>Y09JY1366011</t>
        </is>
      </c>
      <c r="G212" s="791" t="inlineStr">
        <is>
          <t>TMQE38B-EAZU</t>
        </is>
      </c>
      <c r="H212" s="791" t="inlineStr">
        <is>
          <t>5nm, Fab18,  with PI, with Bumping serial mode</t>
        </is>
      </c>
      <c r="I212" s="791" t="inlineStr">
        <is>
          <t xml:space="preserve">6mm x 6mm, molding, exposed die, CTM IO,26LD MP, serial power supply, 3L substrate	</t>
        </is>
      </c>
      <c r="K212" s="795" t="n">
        <v>4255</v>
      </c>
      <c r="L212" s="791" t="inlineStr">
        <is>
          <t>BM1366晶圆</t>
        </is>
      </c>
      <c r="M212" s="835">
        <f>L212&amp;$O$1&amp;G212&amp;$O$1&amp;H212</f>
        <v/>
      </c>
      <c r="N212" s="813">
        <f>C212&amp;$N$1</f>
        <v/>
      </c>
      <c r="O212" s="852">
        <f>N212&amp;$O$1&amp;I212</f>
        <v/>
      </c>
    </row>
    <row r="213">
      <c r="B213" s="641" t="inlineStr">
        <is>
          <t>BM1366</t>
        </is>
      </c>
      <c r="C213" s="641" t="inlineStr">
        <is>
          <t>BM1366AE</t>
        </is>
      </c>
      <c r="D213" s="641" t="inlineStr">
        <is>
          <t>Y09BM1366540</t>
        </is>
      </c>
      <c r="E213" s="804" t="inlineStr">
        <is>
          <t>BM1366A</t>
        </is>
      </c>
      <c r="F213" s="804" t="inlineStr">
        <is>
          <t>Y09JY1366211</t>
        </is>
      </c>
      <c r="G213" s="803" t="inlineStr">
        <is>
          <t>TMQE38A-D1AEABU</t>
        </is>
      </c>
      <c r="H213" s="803" t="inlineStr">
        <is>
          <t>5nm, Fab18,  with PI, with Bumping serial mode,origin version</t>
        </is>
      </c>
      <c r="I213" s="803" t="inlineStr">
        <is>
          <t>8mm x 8mm,molding, exposed die, CTM IO,3L substrate</t>
        </is>
      </c>
      <c r="J213" s="813" t="n"/>
      <c r="K213" s="806" t="n">
        <v>4255</v>
      </c>
      <c r="L213" s="813" t="inlineStr">
        <is>
          <t>BM1366A晶圆</t>
        </is>
      </c>
      <c r="M213" s="813" t="inlineStr">
        <is>
          <t>BM1366A晶圆-TMQE38A-D1AEABU-5nm, Fab18,  with PI, with Bumping serial mode,origin version</t>
        </is>
      </c>
      <c r="N213" s="813">
        <f>C213&amp;$N$1</f>
        <v/>
      </c>
      <c r="O213" s="813" t="inlineStr">
        <is>
          <t>BM1366AE芯片-8mm x 8mm,molding, exposed die, CTM IO,3L substrate</t>
        </is>
      </c>
    </row>
    <row r="214" ht="15.75" customHeight="1" s="184">
      <c r="B214" s="641" t="inlineStr">
        <is>
          <t>BM1366</t>
        </is>
      </c>
      <c r="C214" s="641" t="inlineStr">
        <is>
          <t>BM1366AF</t>
        </is>
      </c>
      <c r="D214" s="641" t="inlineStr">
        <is>
          <t>Y09BM1366650</t>
        </is>
      </c>
      <c r="E214" s="804" t="inlineStr">
        <is>
          <t>BM1366_WF</t>
        </is>
      </c>
      <c r="F214" s="804" t="inlineStr">
        <is>
          <t>Y09JY1366021</t>
        </is>
      </c>
      <c r="G214" s="803" t="inlineStr">
        <is>
          <t>TMQE38B-T3D2AEABU</t>
        </is>
      </c>
      <c r="H214" s="803" t="inlineStr">
        <is>
          <t>5nm, Fab18,  serial mode, PI and Bump at Winstek/ASEKH</t>
        </is>
      </c>
      <c r="I214" s="803" t="inlineStr">
        <is>
          <t xml:space="preserve">6mm x 6mm, molding, exposed die, CTM IO,26LD MP, serial power supply, 3L substrate	</t>
        </is>
      </c>
      <c r="J214" s="813" t="n"/>
      <c r="K214" s="806" t="n">
        <v>4255</v>
      </c>
      <c r="L214" s="813">
        <f>E214&amp;$L$1</f>
        <v/>
      </c>
      <c r="M214" s="834">
        <f>L214&amp;$O$1&amp;G214&amp;$O$1&amp;H214</f>
        <v/>
      </c>
      <c r="N214" s="813">
        <f>C214&amp;$N$1</f>
        <v/>
      </c>
      <c r="O214" s="813">
        <f>N214&amp;$O$1&amp;I214</f>
        <v/>
      </c>
    </row>
    <row r="215">
      <c r="B215" s="641" t="inlineStr">
        <is>
          <t>BM1362</t>
        </is>
      </c>
      <c r="C215" s="641" t="inlineStr">
        <is>
          <t>BM1362AT</t>
        </is>
      </c>
      <c r="D215" s="641" t="inlineStr">
        <is>
          <t>Y09BM1366750</t>
        </is>
      </c>
      <c r="E215" s="804" t="inlineStr">
        <is>
          <t>BM1362_WF3</t>
        </is>
      </c>
      <c r="F215" s="804" t="inlineStr">
        <is>
          <t>Y09JY1362011</t>
        </is>
      </c>
      <c r="G215" s="803" t="inlineStr">
        <is>
          <t>TMPH75A-T3D1AEABU</t>
        </is>
      </c>
      <c r="H215" s="803" t="inlineStr">
        <is>
          <t>5nm, Fab18,  with SRAM 12N mask,，New create for ASE and Winstek PI+ Bump</t>
        </is>
      </c>
      <c r="I215" s="803" t="inlineStr">
        <is>
          <t>6*6 package design，molding, exposed die, CTM IO,3L substrate</t>
        </is>
      </c>
      <c r="J215" s="813" t="n"/>
      <c r="K215" s="806" t="n">
        <v>6907</v>
      </c>
      <c r="L215" s="841">
        <f>E215&amp;$L$1</f>
        <v/>
      </c>
      <c r="M215" s="813">
        <f>L215&amp;$O$1&amp;G215&amp;$O$1&amp;H215</f>
        <v/>
      </c>
      <c r="N215" s="813">
        <f>C215&amp;$N$1</f>
        <v/>
      </c>
      <c r="O215" s="813">
        <f>N215&amp;$O$1&amp;I215</f>
        <v/>
      </c>
    </row>
    <row r="216" customFormat="1" s="853">
      <c r="A216" s="791" t="n"/>
      <c r="B216" s="854" t="inlineStr">
        <is>
          <t>BM1798</t>
        </is>
      </c>
      <c r="C216" s="855" t="inlineStr">
        <is>
          <t>BM1798AB</t>
        </is>
      </c>
      <c r="D216" s="855" t="inlineStr">
        <is>
          <t>Y09BM1798110</t>
        </is>
      </c>
      <c r="E216" s="855" t="inlineStr">
        <is>
          <t>BM1798</t>
        </is>
      </c>
      <c r="F216" s="855" t="inlineStr">
        <is>
          <t>Y09JY1798010</t>
        </is>
      </c>
      <c r="G216" s="856" t="inlineStr">
        <is>
          <t>TMPS52A-EAZP</t>
        </is>
      </c>
      <c r="H216" s="855" t="inlineStr">
        <is>
          <t>12nm, Fab14, No PI, No Bumping</t>
        </is>
      </c>
      <c r="I216" s="857" t="inlineStr">
        <is>
          <t>Bare die, BGA 50x50, with capacitors，Add 4 pair refclk ball</t>
        </is>
      </c>
      <c r="J216" s="858" t="n"/>
      <c r="K216" s="859" t="n">
        <v>66</v>
      </c>
      <c r="L216" s="858">
        <f>E216&amp;$L$1</f>
        <v/>
      </c>
      <c r="M216" s="858">
        <f>L216&amp;$O$1&amp;G216&amp;$O$1&amp;H216</f>
        <v/>
      </c>
      <c r="N216" s="858">
        <f>C216&amp;$N$1</f>
        <v/>
      </c>
      <c r="O216" s="858">
        <f>N216&amp;$O$1&amp;I216</f>
        <v/>
      </c>
    </row>
    <row r="217">
      <c r="B217" s="860" t="inlineStr">
        <is>
          <t>BM1366</t>
        </is>
      </c>
      <c r="C217" s="641" t="inlineStr">
        <is>
          <t>BM1366AG</t>
        </is>
      </c>
      <c r="D217" s="641" t="inlineStr">
        <is>
          <t>Y09BM1366820</t>
        </is>
      </c>
      <c r="E217" s="804" t="inlineStr">
        <is>
          <t>BM1366T</t>
        </is>
      </c>
      <c r="F217" s="804" t="inlineStr">
        <is>
          <t>Y09JY1366311</t>
        </is>
      </c>
      <c r="G217" s="803" t="inlineStr">
        <is>
          <t>TMQE38D-EAZU</t>
        </is>
      </c>
      <c r="H217" s="813" t="inlineStr">
        <is>
          <t>5nm, Fab18,  with PI, with Bumping serial mode, switch all custio to tsmcio，eco mask AP+RV</t>
        </is>
      </c>
      <c r="I217" s="803" t="inlineStr">
        <is>
          <t>6mm x 7mm, molding, exposed die, CTM IO,30LD MP, serial power supply, 3L substrate</t>
        </is>
      </c>
      <c r="J217" s="813" t="n"/>
      <c r="K217" s="806" t="n">
        <v>4255</v>
      </c>
      <c r="L217" s="813">
        <f>E217&amp;$L$1</f>
        <v/>
      </c>
      <c r="M217" s="813">
        <f>L217&amp;$O$1&amp;G217&amp;$O$1&amp;H217</f>
        <v/>
      </c>
      <c r="N217" s="813">
        <f>C217&amp;$N$1</f>
        <v/>
      </c>
      <c r="O217" s="813">
        <f>N217&amp;$O$1&amp;I217</f>
        <v/>
      </c>
    </row>
    <row r="218">
      <c r="B218" s="860" t="inlineStr">
        <is>
          <t>BM1366</t>
        </is>
      </c>
      <c r="C218" s="641" t="inlineStr">
        <is>
          <t>BM1366AH</t>
        </is>
      </c>
      <c r="D218" s="641" t="inlineStr">
        <is>
          <t>Y09BM1366930</t>
        </is>
      </c>
      <c r="E218" s="804" t="inlineStr">
        <is>
          <t>BM1366T</t>
        </is>
      </c>
      <c r="F218" s="804" t="inlineStr">
        <is>
          <t>Y09JY1366311</t>
        </is>
      </c>
      <c r="G218" s="803" t="inlineStr">
        <is>
          <t>TMQE38D-EAZU</t>
        </is>
      </c>
      <c r="H218" s="813" t="inlineStr">
        <is>
          <t>5nm, Fab18,  with PI, with Bumping serial mode, switch all custio to tsmcio，eco mask AP+RV</t>
        </is>
      </c>
      <c r="I218" s="803" t="inlineStr">
        <is>
          <t>6mm x 7mm, molding, exposed die, CTM IO,30LD EVB, serial power supply, 3L substrate</t>
        </is>
      </c>
      <c r="J218" s="813" t="n"/>
      <c r="K218" s="806" t="n">
        <v>4255</v>
      </c>
      <c r="L218" s="813">
        <f>E218&amp;$L$1</f>
        <v/>
      </c>
      <c r="M218" s="813">
        <f>L218&amp;$O$1&amp;G218&amp;$O$1&amp;H218</f>
        <v/>
      </c>
      <c r="N218" s="813">
        <f>C218&amp;$N$1</f>
        <v/>
      </c>
      <c r="O218" s="813">
        <f>N218&amp;$O$1&amp;I218</f>
        <v/>
      </c>
    </row>
    <row r="219" ht="15.75" customHeight="1" s="184">
      <c r="B219" s="641" t="inlineStr">
        <is>
          <t>BM1362</t>
        </is>
      </c>
      <c r="C219" s="641" t="inlineStr">
        <is>
          <t>BM1362AU</t>
        </is>
      </c>
      <c r="D219" s="641" t="inlineStr">
        <is>
          <t>Y09BM1362C40</t>
        </is>
      </c>
      <c r="E219" s="804" t="inlineStr">
        <is>
          <t>BM1362_WF4</t>
        </is>
      </c>
      <c r="F219" s="804" t="inlineStr">
        <is>
          <t>Y09JY1362311</t>
        </is>
      </c>
      <c r="G219" s="803" t="inlineStr">
        <is>
          <t>TMPH75T-TDEAZU</t>
        </is>
      </c>
      <c r="H219" s="851" t="inlineStr">
        <is>
          <t>5nm, Fab18,  BM1362 BKM5.1 skip SRAM,without PI,120Z</t>
        </is>
      </c>
      <c r="I219" s="816" t="inlineStr">
        <is>
          <t>Fan-Out, exposed die, 2L RDL</t>
        </is>
      </c>
      <c r="J219" s="813" t="n"/>
      <c r="K219" s="861" t="n">
        <v>6907</v>
      </c>
      <c r="L219" s="841">
        <f>E219&amp;$L$1</f>
        <v/>
      </c>
      <c r="M219" s="834">
        <f>L219&amp;$O$1&amp;G219&amp;$O$1&amp;H219</f>
        <v/>
      </c>
      <c r="N219" s="813">
        <f>C219&amp;$N$1</f>
        <v/>
      </c>
      <c r="O219" s="813">
        <f>N219&amp;$O$1&amp;I219</f>
        <v/>
      </c>
    </row>
    <row r="220">
      <c r="B220" s="641" t="inlineStr">
        <is>
          <t>BM1366</t>
        </is>
      </c>
      <c r="C220" s="641" t="inlineStr">
        <is>
          <t>BM1366AJ</t>
        </is>
      </c>
      <c r="D220" s="641" t="inlineStr">
        <is>
          <t>Y09BM1366A20</t>
        </is>
      </c>
      <c r="E220" s="804" t="inlineStr">
        <is>
          <t>BM1366K</t>
        </is>
      </c>
      <c r="F220" s="804" t="inlineStr">
        <is>
          <t>Y09JY1366411</t>
        </is>
      </c>
      <c r="G220" s="851" t="inlineStr">
        <is>
          <t>TMQE38E-EAZU</t>
        </is>
      </c>
      <c r="H220" s="851" t="inlineStr">
        <is>
          <t>5nm, Fab18,  with PI, with Bumping serial mode, eco clki custio to no-cross-domain mode，eco mask M5</t>
        </is>
      </c>
      <c r="I220" s="803" t="inlineStr">
        <is>
          <t>6mm x 7mm, molding, exposed die, CTM IO,30LD MP, serial power supply, 3L substrate</t>
        </is>
      </c>
      <c r="J220" s="813" t="n"/>
      <c r="K220" s="806" t="n">
        <v>4255</v>
      </c>
      <c r="L220" s="813">
        <f>E220&amp;$L$1</f>
        <v/>
      </c>
      <c r="M220" s="813">
        <f>L220&amp;$O$1&amp;G220&amp;$O$1&amp;H220</f>
        <v/>
      </c>
      <c r="N220" s="813">
        <f>C220&amp;$N$1</f>
        <v/>
      </c>
      <c r="O220" s="813">
        <f>N220&amp;$O$1&amp;I220</f>
        <v/>
      </c>
    </row>
    <row r="221">
      <c r="B221" s="641" t="inlineStr">
        <is>
          <t>BM1366</t>
        </is>
      </c>
      <c r="C221" s="641" t="inlineStr">
        <is>
          <t>BM1366AK</t>
        </is>
      </c>
      <c r="D221" s="641" t="inlineStr">
        <is>
          <t>Y09BM1366B30</t>
        </is>
      </c>
      <c r="E221" s="804" t="inlineStr">
        <is>
          <t>BM1366K</t>
        </is>
      </c>
      <c r="F221" s="804" t="inlineStr">
        <is>
          <t>Y09JY1366411</t>
        </is>
      </c>
      <c r="G221" s="851" t="inlineStr">
        <is>
          <t>TMQE38E-EAZU</t>
        </is>
      </c>
      <c r="H221" s="851" t="inlineStr">
        <is>
          <t>5nm, Fab18,  with PI, with Bumping serial mode, eco clki custio to no-cross-domain mode，eco mask M5</t>
        </is>
      </c>
      <c r="I221" s="803" t="inlineStr">
        <is>
          <t>6mm x 7mm, molding, exposed die, CTM IO,30LD EVB, serial power supply, 3L substrate</t>
        </is>
      </c>
      <c r="J221" s="813" t="n"/>
      <c r="K221" s="806" t="n">
        <v>4255</v>
      </c>
      <c r="L221" s="813">
        <f>E221&amp;$L$1</f>
        <v/>
      </c>
      <c r="M221" s="813">
        <f>L221&amp;$O$1&amp;G221&amp;$O$1&amp;H221</f>
        <v/>
      </c>
      <c r="N221" s="813">
        <f>C221&amp;$N$1</f>
        <v/>
      </c>
      <c r="O221" s="813">
        <f>N221&amp;$O$1&amp;I221</f>
        <v/>
      </c>
    </row>
    <row r="222">
      <c r="B222" s="641" t="inlineStr">
        <is>
          <t>BM1366</t>
        </is>
      </c>
      <c r="C222" s="641" t="inlineStr">
        <is>
          <t>BM1366AL</t>
        </is>
      </c>
      <c r="D222" s="641" t="inlineStr">
        <is>
          <t>Y09BM1366D10</t>
        </is>
      </c>
      <c r="E222" s="804" t="inlineStr">
        <is>
          <t>BM1366_WF2</t>
        </is>
      </c>
      <c r="F222" s="804" t="inlineStr">
        <is>
          <t>Y09JY1366531</t>
        </is>
      </c>
      <c r="G222" s="851" t="inlineStr">
        <is>
          <t>TMQE38D-T3D2AEABU</t>
        </is>
      </c>
      <c r="H222" s="851" t="inlineStr">
        <is>
          <t>5nm, Fab18,  with PI, with Bumping serial mode, switch all custio to tsmcio，eco mask AP+RV，PI and Bump at Winstek/ASEKH</t>
        </is>
      </c>
      <c r="I222" s="803" t="inlineStr">
        <is>
          <t>6mm x 7mm, molding, exposed die, CTM IO,30LD MP, serial power supply, 3L substrate</t>
        </is>
      </c>
      <c r="J222" s="813" t="n"/>
      <c r="K222" s="806" t="n">
        <v>4255</v>
      </c>
      <c r="L222" s="813">
        <f>E222&amp;$L$1</f>
        <v/>
      </c>
      <c r="M222" s="813">
        <f>L222&amp;$O$1&amp;G222&amp;$O$1&amp;H222</f>
        <v/>
      </c>
      <c r="N222" s="813">
        <f>C222&amp;$N$1</f>
        <v/>
      </c>
      <c r="O222" s="813">
        <f>N222&amp;$O$1&amp;I222</f>
        <v/>
      </c>
    </row>
    <row r="223">
      <c r="B223" s="641" t="inlineStr">
        <is>
          <t>BM1366</t>
        </is>
      </c>
      <c r="C223" s="641" t="inlineStr">
        <is>
          <t>BM1366AM</t>
        </is>
      </c>
      <c r="D223" s="641" t="inlineStr">
        <is>
          <t>Y09BM1366E10</t>
        </is>
      </c>
      <c r="E223" s="804" t="inlineStr">
        <is>
          <t>BM1366_WF2</t>
        </is>
      </c>
      <c r="F223" s="804" t="inlineStr">
        <is>
          <t>Y09JY1366531</t>
        </is>
      </c>
      <c r="G223" s="851" t="inlineStr">
        <is>
          <t>TMQE38D-T3D2AEABU</t>
        </is>
      </c>
      <c r="H223" s="851" t="inlineStr">
        <is>
          <t>5nm, Fab18,  with PI, with Bumping serial mode, switch all custio to tsmcio，eco mask AP+RV，PI and Bump at Winstek/ASEKH</t>
        </is>
      </c>
      <c r="I223" s="803" t="inlineStr">
        <is>
          <t>6mm x 7mm, molding, exposed die, CTM IO,30LD EVB, serial power supply, 3L substrate</t>
        </is>
      </c>
      <c r="J223" s="813" t="n"/>
      <c r="K223" s="806" t="n">
        <v>4255</v>
      </c>
      <c r="L223" s="813">
        <f>E223&amp;$L$1</f>
        <v/>
      </c>
      <c r="M223" s="813">
        <f>L223&amp;$O$1&amp;G223&amp;$O$1&amp;H223</f>
        <v/>
      </c>
      <c r="N223" s="813">
        <f>C223&amp;$N$1</f>
        <v/>
      </c>
      <c r="O223" s="813">
        <f>N223&amp;$O$1&amp;I223</f>
        <v/>
      </c>
    </row>
    <row r="224">
      <c r="B224" s="641" t="inlineStr">
        <is>
          <t>BM1366</t>
        </is>
      </c>
      <c r="C224" s="641" t="inlineStr">
        <is>
          <t>BM1366AN</t>
        </is>
      </c>
      <c r="D224" s="641" t="inlineStr">
        <is>
          <t>Y09BM1366F10</t>
        </is>
      </c>
      <c r="E224" s="804" t="inlineStr">
        <is>
          <t>BM1366B</t>
        </is>
      </c>
      <c r="F224" s="804" t="inlineStr">
        <is>
          <t>Y09JY1366631</t>
        </is>
      </c>
      <c r="G224" s="851" t="inlineStr">
        <is>
          <t>TMQE38B-D3AEABU</t>
        </is>
      </c>
      <c r="H224" s="851" t="inlineStr">
        <is>
          <t>5nm, Fab18,  with PI, with Bumping serial mode,change bump reflow to Sikama</t>
        </is>
      </c>
      <c r="I224" s="803" t="inlineStr">
        <is>
          <t>6mm x 7mm, molding, exposed die, CTM IO,30LD MP, serial power supply, 3L substrate</t>
        </is>
      </c>
      <c r="J224" s="813" t="n"/>
      <c r="K224" s="806" t="n">
        <v>4255</v>
      </c>
      <c r="L224" s="813">
        <f>E224&amp;$L$1</f>
        <v/>
      </c>
      <c r="M224" s="813">
        <f>L224&amp;$O$1&amp;G224&amp;$O$1&amp;H224</f>
        <v/>
      </c>
      <c r="N224" s="813">
        <f>C224&amp;$N$1</f>
        <v/>
      </c>
      <c r="O224" s="813">
        <f>N224&amp;$O$1&amp;I224</f>
        <v/>
      </c>
    </row>
    <row r="225">
      <c r="B225" s="641" t="inlineStr">
        <is>
          <t>BM1366</t>
        </is>
      </c>
      <c r="C225" s="641" t="inlineStr">
        <is>
          <t>BM1366AP</t>
        </is>
      </c>
      <c r="D225" s="641" t="inlineStr">
        <is>
          <t>Y09BM1366G10</t>
        </is>
      </c>
      <c r="E225" s="804" t="inlineStr">
        <is>
          <t>BM1366B</t>
        </is>
      </c>
      <c r="F225" s="804" t="inlineStr">
        <is>
          <t>Y09JY1366631</t>
        </is>
      </c>
      <c r="G225" s="851" t="inlineStr">
        <is>
          <t>TMQE38B-D3AEABU</t>
        </is>
      </c>
      <c r="H225" s="851" t="inlineStr">
        <is>
          <t>5nm, Fab18,  with PI, with Bumping serial mode,change bump reflow to Sikama</t>
        </is>
      </c>
      <c r="I225" s="803" t="inlineStr">
        <is>
          <t>6mm x 7mm, molding, exposed die, CTM IO,30LD EVB, serial power supply, 3L substrate</t>
        </is>
      </c>
      <c r="J225" s="813" t="n"/>
      <c r="K225" s="806" t="n">
        <v>4255</v>
      </c>
      <c r="L225" s="813">
        <f>E225&amp;$L$1</f>
        <v/>
      </c>
      <c r="M225" s="813">
        <f>L225&amp;$O$1&amp;G225&amp;$O$1&amp;H225</f>
        <v/>
      </c>
      <c r="N225" s="813">
        <f>C225&amp;$N$1</f>
        <v/>
      </c>
      <c r="O225" s="813">
        <f>N225&amp;$O$1&amp;I225</f>
        <v/>
      </c>
    </row>
    <row r="226" customFormat="1" s="853">
      <c r="A226" s="862" t="n"/>
      <c r="B226" s="855" t="inlineStr">
        <is>
          <t>BM1766</t>
        </is>
      </c>
      <c r="C226" s="855" t="inlineStr">
        <is>
          <t>BM1766AA</t>
        </is>
      </c>
      <c r="D226" s="855" t="inlineStr">
        <is>
          <t>Y09BM1766010</t>
        </is>
      </c>
      <c r="E226" s="855" t="inlineStr">
        <is>
          <t>BM1766</t>
        </is>
      </c>
      <c r="F226" s="855" t="inlineStr">
        <is>
          <t>Y09JY1766011</t>
        </is>
      </c>
      <c r="G226" s="854" t="n"/>
      <c r="H226" s="854" t="inlineStr">
        <is>
          <t xml:space="preserve">5nm, Fab18,  with PI, with Bumping </t>
        </is>
      </c>
      <c r="I226" s="855" t="inlineStr">
        <is>
          <t>6mm x 6mm，molding, exposed die, CTM IO,3L substrate</t>
        </is>
      </c>
      <c r="J226" s="858" t="n"/>
      <c r="K226" s="859" t="n">
        <v>5886</v>
      </c>
      <c r="L226" s="858">
        <f>E226&amp;$L$1</f>
        <v/>
      </c>
      <c r="M226" s="858">
        <f>L226&amp;$O$1&amp;G226&amp;$O$1&amp;H226</f>
        <v/>
      </c>
      <c r="N226" s="858">
        <f>C226&amp;$N$1</f>
        <v/>
      </c>
      <c r="O226" s="858">
        <f>N226&amp;$O$1&amp;I226</f>
        <v/>
      </c>
    </row>
    <row r="227" customFormat="1" s="853">
      <c r="A227" s="862" t="n"/>
      <c r="B227" s="855" t="inlineStr">
        <is>
          <t>BM2042</t>
        </is>
      </c>
      <c r="C227" s="855" t="inlineStr">
        <is>
          <t>BM2042AA</t>
        </is>
      </c>
      <c r="D227" s="855" t="inlineStr">
        <is>
          <t>Y09BM2042010</t>
        </is>
      </c>
      <c r="E227" s="855" t="inlineStr">
        <is>
          <t>BM2042</t>
        </is>
      </c>
      <c r="F227" s="855" t="inlineStr">
        <is>
          <t>Y09JY2042011</t>
        </is>
      </c>
      <c r="G227" s="854" t="n"/>
      <c r="H227" s="854" t="inlineStr">
        <is>
          <t xml:space="preserve">5nm, Fab18,  with PI, with Bumping </t>
        </is>
      </c>
      <c r="I227" s="855" t="inlineStr">
        <is>
          <t>6mm x 6mm，molding, exposed die, CTM IO,3L substrate</t>
        </is>
      </c>
      <c r="J227" s="858" t="n"/>
      <c r="K227" s="859" t="n">
        <v>5886</v>
      </c>
      <c r="L227" s="858">
        <f>E227&amp;$L$1</f>
        <v/>
      </c>
      <c r="M227" s="858">
        <f>L227&amp;$O$1&amp;G227&amp;$O$1&amp;H227</f>
        <v/>
      </c>
      <c r="N227" s="858">
        <f>C227&amp;$N$1</f>
        <v/>
      </c>
      <c r="O227" s="858">
        <f>N227&amp;$O$1&amp;I227</f>
        <v/>
      </c>
    </row>
    <row r="228" customFormat="1" s="853">
      <c r="A228" s="862" t="n"/>
      <c r="B228" s="855" t="inlineStr">
        <is>
          <t>BM1727</t>
        </is>
      </c>
      <c r="C228" s="855" t="inlineStr">
        <is>
          <t>BM1727AA</t>
        </is>
      </c>
      <c r="D228" s="855" t="inlineStr">
        <is>
          <t>Y09BM1727010</t>
        </is>
      </c>
      <c r="E228" s="855" t="inlineStr">
        <is>
          <t>BM1727</t>
        </is>
      </c>
      <c r="F228" s="855" t="inlineStr">
        <is>
          <t>Y09JY1727011</t>
        </is>
      </c>
      <c r="G228" s="854" t="n"/>
      <c r="H228" s="854" t="inlineStr">
        <is>
          <t xml:space="preserve">5nm, Fab18,  with PI, with Bumping </t>
        </is>
      </c>
      <c r="I228" s="855" t="inlineStr">
        <is>
          <t>6mm x 6mm，molding, exposed die, CTM IO,3L substrate</t>
        </is>
      </c>
      <c r="J228" s="858" t="n"/>
      <c r="K228" s="859" t="n">
        <v>5886</v>
      </c>
      <c r="L228" s="858">
        <f>E228&amp;$L$1</f>
        <v/>
      </c>
      <c r="M228" s="858">
        <f>L228&amp;$O$1&amp;G228&amp;$O$1&amp;H228</f>
        <v/>
      </c>
      <c r="N228" s="858">
        <f>C228&amp;$N$1</f>
        <v/>
      </c>
      <c r="O228" s="858">
        <f>N228&amp;$O$1&amp;I228</f>
        <v/>
      </c>
    </row>
    <row r="229" customFormat="1" s="853">
      <c r="A229" s="862" t="n"/>
      <c r="B229" s="855" t="inlineStr">
        <is>
          <t>BM2110</t>
        </is>
      </c>
      <c r="C229" s="855" t="inlineStr">
        <is>
          <t>BM2110AA</t>
        </is>
      </c>
      <c r="D229" s="855" t="inlineStr">
        <is>
          <t>Y09BM2110010</t>
        </is>
      </c>
      <c r="E229" s="855" t="inlineStr">
        <is>
          <t>BM2110</t>
        </is>
      </c>
      <c r="F229" s="855" t="inlineStr">
        <is>
          <t>Y09JY2110011</t>
        </is>
      </c>
      <c r="G229" s="854" t="n"/>
      <c r="H229" s="854" t="inlineStr">
        <is>
          <t xml:space="preserve">5nm, Fab18,  with PI, with Bumping </t>
        </is>
      </c>
      <c r="I229" s="855" t="inlineStr">
        <is>
          <t>6mm x 6mm，molding, exposed die, CTM IO,3L substrate</t>
        </is>
      </c>
      <c r="J229" s="858" t="n"/>
      <c r="K229" s="859" t="n">
        <v>5886</v>
      </c>
      <c r="L229" s="858">
        <f>E229&amp;$L$1</f>
        <v/>
      </c>
      <c r="M229" s="858">
        <f>L229&amp;$O$1&amp;G229&amp;$O$1&amp;H229</f>
        <v/>
      </c>
      <c r="N229" s="858">
        <f>C229&amp;$N$1</f>
        <v/>
      </c>
      <c r="O229" s="858">
        <f>N229&amp;$O$1&amp;I229</f>
        <v/>
      </c>
    </row>
    <row r="230" customFormat="1" s="853">
      <c r="A230" s="862" t="n"/>
      <c r="B230" s="855" t="inlineStr">
        <is>
          <t>BM2130</t>
        </is>
      </c>
      <c r="C230" s="855" t="inlineStr">
        <is>
          <t>BM2130AA</t>
        </is>
      </c>
      <c r="D230" s="855" t="inlineStr">
        <is>
          <t>Y09BM2130010</t>
        </is>
      </c>
      <c r="E230" s="855" t="inlineStr">
        <is>
          <t>BM2130</t>
        </is>
      </c>
      <c r="F230" s="855" t="inlineStr">
        <is>
          <t>Y09JY2130011</t>
        </is>
      </c>
      <c r="G230" s="854" t="n"/>
      <c r="H230" s="854" t="inlineStr">
        <is>
          <t xml:space="preserve">5nm, Fab18,  with PI, with Bumping </t>
        </is>
      </c>
      <c r="I230" s="855" t="inlineStr">
        <is>
          <t>6mm x 6mm，molding, exposed die, CTM IO,3L substrate</t>
        </is>
      </c>
      <c r="J230" s="858" t="n"/>
      <c r="K230" s="859" t="n">
        <v>5886</v>
      </c>
      <c r="L230" s="858">
        <f>E230&amp;$L$1</f>
        <v/>
      </c>
      <c r="M230" s="858">
        <f>L230&amp;$O$1&amp;G230&amp;$O$1&amp;H230</f>
        <v/>
      </c>
      <c r="N230" s="858">
        <f>C230&amp;$N$1</f>
        <v/>
      </c>
      <c r="O230" s="858">
        <f>N230&amp;$O$1&amp;I230</f>
        <v/>
      </c>
    </row>
    <row r="231" ht="15.75" customHeight="1" s="184">
      <c r="B231" s="843" t="inlineStr">
        <is>
          <t>BM1362</t>
        </is>
      </c>
      <c r="C231" s="843" t="inlineStr">
        <is>
          <t>BM1362BA</t>
        </is>
      </c>
      <c r="D231" s="641" t="inlineStr">
        <is>
          <t>Y09BM1362D10</t>
        </is>
      </c>
      <c r="E231" s="844" t="inlineStr">
        <is>
          <t>BM1362U_BP</t>
        </is>
      </c>
      <c r="F231" s="844" t="inlineStr">
        <is>
          <t>Y09JY1362111</t>
        </is>
      </c>
      <c r="G231" s="791" t="inlineStr">
        <is>
          <t>TMPH75U-TBEAZU</t>
        </is>
      </c>
      <c r="H231" s="848" t="inlineStr">
        <is>
          <t>5nm, Fab18,  120Z mask,with PI, with Bumping</t>
        </is>
      </c>
      <c r="I231" s="845" t="inlineStr">
        <is>
          <t>6*6 PKG size molding, exposed die, CTM IO,3L substrate,BSM</t>
        </is>
      </c>
      <c r="J231" s="841" t="n"/>
      <c r="K231" s="842" t="n">
        <v>6907</v>
      </c>
      <c r="L231" s="841">
        <f>E231&amp;$L$1</f>
        <v/>
      </c>
      <c r="M231" s="841">
        <f>L231&amp;$O$1&amp;G231&amp;$O$1&amp;H231</f>
        <v/>
      </c>
      <c r="N231" s="813">
        <f>C231&amp;$N$1</f>
        <v/>
      </c>
      <c r="O231" s="813">
        <f>N231&amp;$O$1&amp;I231</f>
        <v/>
      </c>
    </row>
    <row r="232" ht="15.75" customFormat="1" customHeight="1" s="780">
      <c r="A232" s="791" t="n"/>
      <c r="B232" s="843" t="inlineStr">
        <is>
          <t>BM1362</t>
        </is>
      </c>
      <c r="C232" s="641" t="inlineStr">
        <is>
          <t>BM1362BB</t>
        </is>
      </c>
      <c r="D232" s="641" t="inlineStr">
        <is>
          <t>Y09BM1362D20</t>
        </is>
      </c>
      <c r="E232" s="850" t="inlineStr">
        <is>
          <t>BM1362_BP5</t>
        </is>
      </c>
      <c r="F232" s="804" t="inlineStr">
        <is>
          <t>Y09JY1362411</t>
        </is>
      </c>
      <c r="G232" s="803" t="inlineStr">
        <is>
          <t>TMPH75S-TEEAZU</t>
        </is>
      </c>
      <c r="H232" s="780" t="inlineStr">
        <is>
          <t>5nm, Fab18,  BM1362 BKM6.3 skip 12N ,with PI(009Z), 120Z</t>
        </is>
      </c>
      <c r="I232" s="845" t="inlineStr">
        <is>
          <t>6*6 PKG size molding, exposed die, CTM IO,3L substrate,BSM</t>
        </is>
      </c>
      <c r="K232" s="849" t="n">
        <v>6907</v>
      </c>
      <c r="L232" s="841">
        <f>E232&amp;$L$1</f>
        <v/>
      </c>
      <c r="M232" s="835">
        <f>L232&amp;$O$1&amp;G232&amp;$O$1&amp;H232</f>
        <v/>
      </c>
      <c r="N232" s="813">
        <f>C232&amp;$N$1</f>
        <v/>
      </c>
      <c r="O232" s="813">
        <f>N232&amp;$O$1&amp;I232</f>
        <v/>
      </c>
    </row>
    <row r="233" ht="15.75" customFormat="1" customHeight="1" s="851">
      <c r="A233" s="803" t="n"/>
      <c r="B233" s="641" t="inlineStr">
        <is>
          <t>BM1362</t>
        </is>
      </c>
      <c r="C233" s="641" t="inlineStr">
        <is>
          <t>BM1362BC</t>
        </is>
      </c>
      <c r="D233" s="641" t="inlineStr">
        <is>
          <t>Y09BM1362D30</t>
        </is>
      </c>
      <c r="E233" s="804" t="inlineStr">
        <is>
          <t>BM1362_WF5</t>
        </is>
      </c>
      <c r="F233" s="804" t="inlineStr">
        <is>
          <t>Y09JY1362511</t>
        </is>
      </c>
      <c r="G233" s="803" t="inlineStr">
        <is>
          <t>TMPH75S-TFEAZU</t>
        </is>
      </c>
      <c r="H233" s="851" t="inlineStr">
        <is>
          <t>5nm, Fab18,  BM1362 BKM6.3 skip 12N ,without PI,120Z</t>
        </is>
      </c>
      <c r="I233" s="803" t="inlineStr">
        <is>
          <t>6*6 PKG size molding, exposed die, CTM IO,3L substrate,BSM</t>
        </is>
      </c>
      <c r="K233" s="861" t="n">
        <v>6907</v>
      </c>
      <c r="L233" s="813">
        <f>E233&amp;$L$1</f>
        <v/>
      </c>
      <c r="M233" s="834">
        <f>L233&amp;$O$1&amp;G233&amp;$O$1&amp;H233</f>
        <v/>
      </c>
      <c r="N233" s="813">
        <f>C233&amp;$N$1</f>
        <v/>
      </c>
      <c r="O233" s="813">
        <f>N233&amp;$O$1&amp;I233</f>
        <v/>
      </c>
    </row>
    <row r="234" ht="15.75" customFormat="1" customHeight="1" s="851">
      <c r="A234" s="803" t="n"/>
      <c r="B234" s="641" t="inlineStr">
        <is>
          <t>BM1362</t>
        </is>
      </c>
      <c r="C234" s="641" t="inlineStr">
        <is>
          <t>BM1362BD</t>
        </is>
      </c>
      <c r="D234" s="641" t="inlineStr">
        <is>
          <t>Y09BM1362D40</t>
        </is>
      </c>
      <c r="E234" s="804" t="inlineStr">
        <is>
          <t>BM1362_WF7</t>
        </is>
      </c>
      <c r="F234" s="804" t="inlineStr">
        <is>
          <t>Y09JY1362711</t>
        </is>
      </c>
      <c r="G234" s="803" t="inlineStr">
        <is>
          <t>TMPH75S-TFD2AEABU</t>
        </is>
      </c>
      <c r="H234" s="851" t="inlineStr">
        <is>
          <t>5nm, Fab18,  BM1362 BKM6.3 skip 12N ,without PI,120Z,PI + Bump for ASE or Winstek</t>
        </is>
      </c>
      <c r="I234" s="803" t="inlineStr">
        <is>
          <t>6*6 PKG size molding, exposed die, CTM IO,3L substrate,BSM</t>
        </is>
      </c>
      <c r="K234" s="861" t="n">
        <v>6907</v>
      </c>
      <c r="L234" s="813">
        <f>E234&amp;$L$1</f>
        <v/>
      </c>
      <c r="M234" s="834">
        <f>L234&amp;$O$1&amp;G234&amp;$O$1&amp;H234</f>
        <v/>
      </c>
      <c r="N234" s="813">
        <f>C234&amp;$N$1</f>
        <v/>
      </c>
      <c r="O234" s="813">
        <f>N234&amp;$O$1&amp;I234</f>
        <v/>
      </c>
    </row>
    <row r="235" ht="15.75" customFormat="1" customHeight="1" s="851">
      <c r="A235" s="803" t="n"/>
      <c r="B235" s="641" t="inlineStr">
        <is>
          <t>BM1798</t>
        </is>
      </c>
      <c r="C235" s="641" t="inlineStr">
        <is>
          <t>BM1798AB</t>
        </is>
      </c>
      <c r="D235" s="641" t="inlineStr">
        <is>
          <t>Y09BM1798120</t>
        </is>
      </c>
      <c r="E235" s="804" t="inlineStr">
        <is>
          <t>BM1798</t>
        </is>
      </c>
      <c r="F235" s="804" t="inlineStr">
        <is>
          <t>Y09JY1798010</t>
        </is>
      </c>
      <c r="G235" s="803" t="inlineStr">
        <is>
          <t>TMPS52A-EAZP</t>
        </is>
      </c>
      <c r="H235" s="851" t="inlineStr">
        <is>
          <t>12nm, Fab14, No PI, No Bumping</t>
        </is>
      </c>
      <c r="I235" s="803" t="inlineStr">
        <is>
          <t>Bare die, BGA 50x50, with capacitors，Differential Clock Optimization</t>
        </is>
      </c>
      <c r="K235" s="861" t="n">
        <v>66</v>
      </c>
      <c r="L235" s="813" t="inlineStr">
        <is>
          <t>BM1798晶圆</t>
        </is>
      </c>
      <c r="M235" s="834" t="inlineStr">
        <is>
          <t>BM1798晶圆-TMPS52A-EAZP-12nm, Fab14, No PI, No Bumping</t>
        </is>
      </c>
      <c r="N235" s="813" t="inlineStr">
        <is>
          <t>BM1798AB芯片</t>
        </is>
      </c>
      <c r="O235" s="813" t="inlineStr">
        <is>
          <t>BM1798AB芯片-Bare die, BGA 50x50, with capacitors，Differential Clock Optimization</t>
        </is>
      </c>
    </row>
    <row r="236" ht="15.75" customFormat="1" customHeight="1" s="851">
      <c r="A236" s="803" t="n"/>
      <c r="B236" s="641" t="inlineStr">
        <is>
          <t>BM1366</t>
        </is>
      </c>
      <c r="C236" s="641" t="inlineStr">
        <is>
          <t>BM1366AQ</t>
        </is>
      </c>
      <c r="D236" s="641" t="inlineStr">
        <is>
          <t>Y09BM1366H10</t>
        </is>
      </c>
      <c r="E236" s="804" t="inlineStr">
        <is>
          <t>BM1366T</t>
        </is>
      </c>
      <c r="F236" s="804" t="inlineStr">
        <is>
          <t>Y09JY1366311</t>
        </is>
      </c>
      <c r="G236" s="803" t="inlineStr">
        <is>
          <t>TMQE38D-EAZU</t>
        </is>
      </c>
      <c r="H236" s="851" t="inlineStr">
        <is>
          <t>5nm, Fab18,  with PI, with Bumping serial mode, switch all custio to tsmcio，eco mask AP+RV</t>
        </is>
      </c>
      <c r="I236" s="803" t="inlineStr">
        <is>
          <t>6mm x 7mm, fanout ,exposed die, CTM IO,30LD MP, serial power supply</t>
        </is>
      </c>
      <c r="K236" s="861" t="n">
        <v>4255</v>
      </c>
      <c r="L236" s="813">
        <f>E236&amp;$L$1</f>
        <v/>
      </c>
      <c r="M236" s="834">
        <f>L236&amp;$O$1&amp;G236&amp;$O$1&amp;H236</f>
        <v/>
      </c>
      <c r="N236" s="813">
        <f>C236&amp;$N$1</f>
        <v/>
      </c>
      <c r="O236" s="813">
        <f>N236&amp;$O$1&amp;I236</f>
        <v/>
      </c>
    </row>
    <row r="237" ht="15.75" customFormat="1" customHeight="1" s="851">
      <c r="A237" s="803" t="n"/>
      <c r="B237" s="641" t="inlineStr">
        <is>
          <t>BM1366</t>
        </is>
      </c>
      <c r="C237" s="641" t="inlineStr">
        <is>
          <t>BM1366BA</t>
        </is>
      </c>
      <c r="D237" s="641" t="inlineStr">
        <is>
          <t>Y09BM1366K10</t>
        </is>
      </c>
      <c r="E237" s="804" t="inlineStr">
        <is>
          <t>BM1366T</t>
        </is>
      </c>
      <c r="F237" s="804" t="inlineStr">
        <is>
          <t>Y09JY1366311</t>
        </is>
      </c>
      <c r="G237" s="803" t="inlineStr">
        <is>
          <t>TMQE38D-EAZU</t>
        </is>
      </c>
      <c r="H237" s="851" t="inlineStr">
        <is>
          <t>5nm, Fab18,  with PI, with Bumping serial mode, switch all custio to tsmcio，eco mask AP+RV</t>
        </is>
      </c>
      <c r="I237" s="803" t="inlineStr">
        <is>
          <t>6mm x 7mm, molding, exposed die, CTM IO,30LD MP, serial power supply, 3L substrate，BSM</t>
        </is>
      </c>
      <c r="K237" s="861" t="n">
        <v>4255</v>
      </c>
      <c r="L237" s="813">
        <f>E237&amp;$L$1</f>
        <v/>
      </c>
      <c r="M237" s="834">
        <f>L237&amp;$O$1&amp;G237&amp;$O$1&amp;H237</f>
        <v/>
      </c>
      <c r="N237" s="813">
        <f>C237&amp;$N$1</f>
        <v/>
      </c>
      <c r="O237" s="813">
        <f>N237&amp;$O$1&amp;I237</f>
        <v/>
      </c>
    </row>
    <row r="238" ht="15.75" customFormat="1" customHeight="1" s="851">
      <c r="A238" s="803" t="n"/>
      <c r="B238" s="641" t="inlineStr">
        <is>
          <t>BM22M0</t>
        </is>
      </c>
      <c r="C238" s="641" t="inlineStr">
        <is>
          <t>BM22M0</t>
        </is>
      </c>
      <c r="D238" s="641" t="inlineStr">
        <is>
          <t>Y09BM22M0010</t>
        </is>
      </c>
      <c r="E238" s="804" t="inlineStr">
        <is>
          <t>BM22M0</t>
        </is>
      </c>
      <c r="F238" s="804" t="inlineStr">
        <is>
          <t>Y09JY22M0011</t>
        </is>
      </c>
      <c r="G238" s="803" t="n"/>
      <c r="H238" s="851" t="inlineStr">
        <is>
          <t>5nm,Fab 18,MPW, with PI, with Bumping and back grinding</t>
        </is>
      </c>
      <c r="I238" s="803" t="inlineStr">
        <is>
          <t>6mm x 7mm, molding, exposed die,3L substrate</t>
        </is>
      </c>
      <c r="K238" s="861" t="inlineStr">
        <is>
          <t>MPW</t>
        </is>
      </c>
      <c r="L238" s="813">
        <f>E238&amp;$L$1</f>
        <v/>
      </c>
      <c r="M238" s="834">
        <f>L238&amp;$O$1&amp;G238&amp;$O$1&amp;H238</f>
        <v/>
      </c>
      <c r="N238" s="813">
        <f>C238&amp;$N$1</f>
        <v/>
      </c>
      <c r="O238" s="813">
        <f>N238&amp;$O$1&amp;I238</f>
        <v/>
      </c>
    </row>
    <row r="239" ht="15.75" customFormat="1" customHeight="1" s="851">
      <c r="A239" s="803" t="n"/>
      <c r="B239" s="641" t="inlineStr">
        <is>
          <t>BM2280</t>
        </is>
      </c>
      <c r="C239" s="641" t="inlineStr">
        <is>
          <t>BM2280AA</t>
        </is>
      </c>
      <c r="D239" s="641" t="inlineStr">
        <is>
          <t>Y09BM2280010</t>
        </is>
      </c>
      <c r="E239" s="804" t="inlineStr">
        <is>
          <t>BM2280</t>
        </is>
      </c>
      <c r="F239" s="804" t="inlineStr">
        <is>
          <t>Y09JY2280010</t>
        </is>
      </c>
      <c r="G239" s="803" t="inlineStr">
        <is>
          <t>TMRI03B-T1EAZT</t>
        </is>
      </c>
      <c r="H239" s="851" t="inlineStr">
        <is>
          <t>7nm,Fab15, No PI, No Bumping</t>
        </is>
      </c>
      <c r="I239" s="803" t="inlineStr">
        <is>
          <t>Bare die, BGA 50x50, with capacitors</t>
        </is>
      </c>
      <c r="K239" s="861" t="n">
        <v>101</v>
      </c>
      <c r="L239" s="813">
        <f>E239&amp;$L$1</f>
        <v/>
      </c>
      <c r="M239" s="834">
        <f>L239&amp;$O$1&amp;G239&amp;$O$1&amp;H239</f>
        <v/>
      </c>
      <c r="N239" s="813">
        <f>C239&amp;$N$1</f>
        <v/>
      </c>
      <c r="O239" s="813">
        <f>N239&amp;$O$1&amp;I239</f>
        <v/>
      </c>
    </row>
    <row r="240" ht="15.75" customFormat="1" customHeight="1" s="851">
      <c r="A240" s="803" t="n"/>
      <c r="B240" s="641" t="inlineStr">
        <is>
          <t>BM1766</t>
        </is>
      </c>
      <c r="C240" s="641" t="inlineStr">
        <is>
          <t>BM1766AA</t>
        </is>
      </c>
      <c r="D240" s="641" t="inlineStr">
        <is>
          <t>Y09BM1766010</t>
        </is>
      </c>
      <c r="E240" s="804" t="inlineStr">
        <is>
          <t>BM2100</t>
        </is>
      </c>
      <c r="F240" s="804" t="inlineStr">
        <is>
          <t>Y09JY2100011</t>
        </is>
      </c>
      <c r="G240" s="803" t="inlineStr">
        <is>
          <t>TMQ06A-EAZU</t>
        </is>
      </c>
      <c r="H240" s="851" t="inlineStr">
        <is>
          <t xml:space="preserve">5nm, Fab18,  with PI, with Bumping </t>
        </is>
      </c>
      <c r="I240" s="803" t="inlineStr">
        <is>
          <t>6mm x 6mm，molding, exposed die, CTM IO,3L substrate</t>
        </is>
      </c>
      <c r="K240" s="861" t="n">
        <v>5985</v>
      </c>
      <c r="L240" s="813">
        <f>E240&amp;$L$1</f>
        <v/>
      </c>
      <c r="M240" s="834">
        <f>L240&amp;$O$1&amp;G240&amp;$O$1&amp;H240</f>
        <v/>
      </c>
      <c r="N240" s="813">
        <f>C240&amp;$N$1</f>
        <v/>
      </c>
      <c r="O240" s="813">
        <f>N240&amp;$O$1&amp;I240</f>
        <v/>
      </c>
    </row>
    <row r="241" ht="15.75" customFormat="1" customHeight="1" s="851">
      <c r="A241" s="803" t="n"/>
      <c r="B241" s="641" t="inlineStr">
        <is>
          <t>BM2042</t>
        </is>
      </c>
      <c r="C241" s="641" t="inlineStr">
        <is>
          <t>BM2042AA</t>
        </is>
      </c>
      <c r="D241" s="641" t="inlineStr">
        <is>
          <t>Y09BM2042010</t>
        </is>
      </c>
      <c r="E241" s="804" t="inlineStr">
        <is>
          <t>BM2100</t>
        </is>
      </c>
      <c r="F241" s="804" t="inlineStr">
        <is>
          <t>Y09JY2100011</t>
        </is>
      </c>
      <c r="G241" s="803" t="inlineStr">
        <is>
          <t>TMQ06A-EAZU</t>
        </is>
      </c>
      <c r="H241" s="851" t="inlineStr">
        <is>
          <t xml:space="preserve">5nm, Fab18,  with PI, with Bumping </t>
        </is>
      </c>
      <c r="I241" s="803" t="inlineStr">
        <is>
          <t>6mm x 6mm，molding, exposed die, CTM IO,3L substrate</t>
        </is>
      </c>
      <c r="K241" s="861" t="n">
        <v>5985</v>
      </c>
      <c r="L241" s="813">
        <f>E241&amp;$L$1</f>
        <v/>
      </c>
      <c r="M241" s="834">
        <f>L241&amp;$O$1&amp;G241&amp;$O$1&amp;H241</f>
        <v/>
      </c>
      <c r="N241" s="813">
        <f>C241&amp;$N$1</f>
        <v/>
      </c>
      <c r="O241" s="813">
        <f>N241&amp;$O$1&amp;I241</f>
        <v/>
      </c>
    </row>
    <row r="242" ht="15.75" customFormat="1" customHeight="1" s="851">
      <c r="A242" s="803" t="n"/>
      <c r="B242" s="641" t="inlineStr">
        <is>
          <t>BM1727</t>
        </is>
      </c>
      <c r="C242" s="641" t="inlineStr">
        <is>
          <t>BM1727AA</t>
        </is>
      </c>
      <c r="D242" s="641" t="inlineStr">
        <is>
          <t>Y09BM1727010</t>
        </is>
      </c>
      <c r="E242" s="804" t="inlineStr">
        <is>
          <t>BM2100</t>
        </is>
      </c>
      <c r="F242" s="804" t="inlineStr">
        <is>
          <t>Y09JY2100011</t>
        </is>
      </c>
      <c r="G242" s="803" t="inlineStr">
        <is>
          <t>TMQ06A-EAZU</t>
        </is>
      </c>
      <c r="H242" s="851" t="inlineStr">
        <is>
          <t xml:space="preserve">5nm, Fab18,  with PI, with Bumping </t>
        </is>
      </c>
      <c r="I242" s="803" t="inlineStr">
        <is>
          <t>6mm x 6mm，molding, exposed die, CTM IO,3L substrate</t>
        </is>
      </c>
      <c r="K242" s="861" t="n">
        <v>5985</v>
      </c>
      <c r="L242" s="813">
        <f>E242&amp;$L$1</f>
        <v/>
      </c>
      <c r="M242" s="834">
        <f>L242&amp;$O$1&amp;G242&amp;$O$1&amp;H242</f>
        <v/>
      </c>
      <c r="N242" s="813">
        <f>C242&amp;$N$1</f>
        <v/>
      </c>
      <c r="O242" s="813">
        <f>N242&amp;$O$1&amp;I242</f>
        <v/>
      </c>
    </row>
    <row r="243" ht="15.75" customFormat="1" customHeight="1" s="851">
      <c r="A243" s="803" t="n"/>
      <c r="B243" s="641" t="inlineStr">
        <is>
          <t>BM2110</t>
        </is>
      </c>
      <c r="C243" s="641" t="inlineStr">
        <is>
          <t>BM2110AA</t>
        </is>
      </c>
      <c r="D243" s="641" t="inlineStr">
        <is>
          <t>Y09BM2110010</t>
        </is>
      </c>
      <c r="E243" s="804" t="inlineStr">
        <is>
          <t>BM2100</t>
        </is>
      </c>
      <c r="F243" s="804" t="inlineStr">
        <is>
          <t>Y09JY2100011</t>
        </is>
      </c>
      <c r="G243" s="803" t="inlineStr">
        <is>
          <t>TMQ06A-EAZU</t>
        </is>
      </c>
      <c r="H243" s="851" t="inlineStr">
        <is>
          <t xml:space="preserve">5nm, Fab18,  with PI, with Bumping </t>
        </is>
      </c>
      <c r="I243" s="803" t="inlineStr">
        <is>
          <t>6mm x 6mm，molding, exposed die, CTM IO,3L substrate</t>
        </is>
      </c>
      <c r="K243" s="861" t="n">
        <v>5985</v>
      </c>
      <c r="L243" s="813">
        <f>E243&amp;$L$1</f>
        <v/>
      </c>
      <c r="M243" s="834">
        <f>L243&amp;$O$1&amp;G243&amp;$O$1&amp;H243</f>
        <v/>
      </c>
      <c r="N243" s="813">
        <f>C243&amp;$N$1</f>
        <v/>
      </c>
      <c r="O243" s="813">
        <f>N243&amp;$O$1&amp;I243</f>
        <v/>
      </c>
    </row>
    <row r="244" ht="15.75" customFormat="1" customHeight="1" s="851">
      <c r="A244" s="803" t="n"/>
      <c r="B244" s="641" t="inlineStr">
        <is>
          <t>BM2130</t>
        </is>
      </c>
      <c r="C244" s="641" t="inlineStr">
        <is>
          <t>BM2130AA</t>
        </is>
      </c>
      <c r="D244" s="641" t="inlineStr">
        <is>
          <t>Y09BM2130010</t>
        </is>
      </c>
      <c r="E244" s="804" t="inlineStr">
        <is>
          <t>BM2100</t>
        </is>
      </c>
      <c r="F244" s="804" t="inlineStr">
        <is>
          <t>Y09JY2100011</t>
        </is>
      </c>
      <c r="G244" s="803" t="inlineStr">
        <is>
          <t>TMQ06A-EAZU</t>
        </is>
      </c>
      <c r="H244" s="851" t="inlineStr">
        <is>
          <t xml:space="preserve">5nm, Fab18,  with PI, with Bumping </t>
        </is>
      </c>
      <c r="I244" s="803" t="inlineStr">
        <is>
          <t>6mm x 6mm，molding, exposed die, CTM IO,3L substrate</t>
        </is>
      </c>
      <c r="K244" s="861" t="n">
        <v>5985</v>
      </c>
      <c r="L244" s="813">
        <f>E244&amp;$L$1</f>
        <v/>
      </c>
      <c r="M244" s="834">
        <f>L244&amp;$O$1&amp;G244&amp;$O$1&amp;H244</f>
        <v/>
      </c>
      <c r="N244" s="813">
        <f>C244&amp;$N$1</f>
        <v/>
      </c>
      <c r="O244" s="813">
        <f>N244&amp;$O$1&amp;I244</f>
        <v/>
      </c>
    </row>
    <row r="245" ht="15.75" customFormat="1" customHeight="1" s="851">
      <c r="A245" s="803" t="n"/>
      <c r="B245" s="641" t="inlineStr">
        <is>
          <t>BM1362</t>
        </is>
      </c>
      <c r="C245" s="641" t="inlineStr">
        <is>
          <t>BM1362AK</t>
        </is>
      </c>
      <c r="D245" s="641" t="inlineStr">
        <is>
          <t>Y09BM1362310</t>
        </is>
      </c>
      <c r="E245" s="804" t="inlineStr">
        <is>
          <t>BM1362_BP3</t>
        </is>
      </c>
      <c r="F245" s="804" t="inlineStr">
        <is>
          <t>Y09JY1362211</t>
        </is>
      </c>
      <c r="G245" s="803" t="inlineStr">
        <is>
          <t>TMPH75T-TCEAZU</t>
        </is>
      </c>
      <c r="H245" s="851" t="inlineStr">
        <is>
          <t>5nm, Fab18,  BM1362 BKM5.1 skip SRAM,with PI(009Z), 120Z</t>
        </is>
      </c>
      <c r="I245" s="803" t="inlineStr">
        <is>
          <t>6x6 package size, molding, exposed die, CTM IO,3L substrate</t>
        </is>
      </c>
      <c r="K245" s="861" t="n">
        <v>6907</v>
      </c>
      <c r="L245" s="813">
        <f>E245&amp;$L$1</f>
        <v/>
      </c>
      <c r="M245" s="834">
        <f>L245&amp;$O$1&amp;G245&amp;$O$1&amp;H245</f>
        <v/>
      </c>
      <c r="N245" s="813">
        <f>C245&amp;$N$1</f>
        <v/>
      </c>
      <c r="O245" s="813">
        <f>N245&amp;$O$1&amp;I245</f>
        <v/>
      </c>
    </row>
    <row r="246" ht="15.75" customFormat="1" customHeight="1" s="851">
      <c r="A246" s="803" t="n"/>
      <c r="B246" s="641" t="inlineStr">
        <is>
          <t>BM1362</t>
        </is>
      </c>
      <c r="C246" s="641" t="inlineStr">
        <is>
          <t>BM1362AK</t>
        </is>
      </c>
      <c r="D246" s="641" t="inlineStr">
        <is>
          <t>Y09BM1362310</t>
        </is>
      </c>
      <c r="E246" s="804" t="inlineStr">
        <is>
          <t>BM1362_WF4</t>
        </is>
      </c>
      <c r="F246" s="804" t="inlineStr">
        <is>
          <t>Y09JY1362311</t>
        </is>
      </c>
      <c r="G246" s="803" t="inlineStr">
        <is>
          <t>TMPH75T-TDEAZU</t>
        </is>
      </c>
      <c r="H246" s="851" t="inlineStr">
        <is>
          <t>5nm, Fab18,  BM1362 BKM5.1 skip SRAM,without PI,120Z</t>
        </is>
      </c>
      <c r="I246" s="803" t="inlineStr">
        <is>
          <t>6x6 package size, molding, exposed die, CTM IO,3L substrate</t>
        </is>
      </c>
      <c r="K246" s="861" t="n">
        <v>6907</v>
      </c>
      <c r="L246" s="813">
        <f>E246&amp;$L$1</f>
        <v/>
      </c>
      <c r="M246" s="834">
        <f>L246&amp;$O$1&amp;G246&amp;$O$1&amp;H246</f>
        <v/>
      </c>
      <c r="N246" s="813">
        <f>C246&amp;$N$1</f>
        <v/>
      </c>
      <c r="O246" s="813">
        <f>N246&amp;$O$1&amp;I246</f>
        <v/>
      </c>
    </row>
    <row r="247" ht="15.75" customFormat="1" customHeight="1" s="851">
      <c r="A247" s="803" t="n"/>
      <c r="B247" s="641" t="inlineStr">
        <is>
          <t>BM1362</t>
        </is>
      </c>
      <c r="C247" s="641" t="inlineStr">
        <is>
          <t>BM1362AK</t>
        </is>
      </c>
      <c r="D247" s="641" t="inlineStr">
        <is>
          <t>Y09BM1362310</t>
        </is>
      </c>
      <c r="E247" s="804" t="inlineStr">
        <is>
          <t>BM1362_WF6</t>
        </is>
      </c>
      <c r="F247" s="804" t="inlineStr">
        <is>
          <t>Y09JY1362611</t>
        </is>
      </c>
      <c r="G247" s="803" t="inlineStr">
        <is>
          <t>TMPH75T-TDD2AEABU</t>
        </is>
      </c>
      <c r="H247" s="851" t="inlineStr">
        <is>
          <t>5nm, Fab18,  BM1362 BKM5.1 skip SRAM,without PI,120Z ,PI + Bump for ASE or Winstek</t>
        </is>
      </c>
      <c r="I247" s="803" t="inlineStr">
        <is>
          <t>6x6 package size, molding, exposed die, CTM IO,3L substrate</t>
        </is>
      </c>
      <c r="K247" s="861" t="n">
        <v>6907</v>
      </c>
      <c r="L247" s="813">
        <f>E247&amp;$L$1</f>
        <v/>
      </c>
      <c r="M247" s="834">
        <f>L247&amp;$O$1&amp;G247&amp;$O$1&amp;H247</f>
        <v/>
      </c>
      <c r="N247" s="813">
        <f>C247&amp;$N$1</f>
        <v/>
      </c>
      <c r="O247" s="813">
        <f>N247&amp;$O$1&amp;I247</f>
        <v/>
      </c>
    </row>
    <row r="248" customFormat="1" s="813">
      <c r="A248" s="803" t="n"/>
      <c r="B248" s="641" t="inlineStr">
        <is>
          <t>BM1362</t>
        </is>
      </c>
      <c r="C248" s="641" t="inlineStr">
        <is>
          <t>BM1362AK</t>
        </is>
      </c>
      <c r="D248" s="641" t="inlineStr">
        <is>
          <t>Y09BM1362310</t>
        </is>
      </c>
      <c r="E248" s="850" t="inlineStr">
        <is>
          <t>BM1362_WF3</t>
        </is>
      </c>
      <c r="F248" s="804" t="inlineStr">
        <is>
          <t>Y09JY1362011</t>
        </is>
      </c>
      <c r="G248" s="803" t="inlineStr">
        <is>
          <t>TMPH75A-T3D1AEABU</t>
        </is>
      </c>
      <c r="H248" s="803" t="inlineStr">
        <is>
          <t>5nm, Fab18,  with SRAM 12N mask,，New create for ASE and Winstek PI+ Bump</t>
        </is>
      </c>
      <c r="I248" s="803" t="inlineStr">
        <is>
          <t>6x6 package size, molding, exposed die, CTM IO,3L substrate</t>
        </is>
      </c>
      <c r="K248" s="806" t="n">
        <v>6907</v>
      </c>
      <c r="L248" s="813">
        <f>E248&amp;$L$1</f>
        <v/>
      </c>
      <c r="M248" s="813">
        <f>L248&amp;$O$1&amp;G248&amp;$O$1&amp;H248</f>
        <v/>
      </c>
      <c r="N248" s="813">
        <f>C248&amp;$N$1</f>
        <v/>
      </c>
      <c r="O248" s="813">
        <f>N248&amp;$O$1&amp;I248</f>
        <v/>
      </c>
    </row>
    <row r="249" ht="15.75" customFormat="1" customHeight="1" s="813">
      <c r="A249" s="803" t="n"/>
      <c r="B249" s="641" t="inlineStr">
        <is>
          <t>BM1362</t>
        </is>
      </c>
      <c r="C249" s="641" t="inlineStr">
        <is>
          <t>BM1362BD</t>
        </is>
      </c>
      <c r="D249" s="641" t="inlineStr">
        <is>
          <t>Y09BM1362D40</t>
        </is>
      </c>
      <c r="E249" s="804" t="inlineStr">
        <is>
          <t>BM1362U_BP</t>
        </is>
      </c>
      <c r="F249" s="804" t="inlineStr">
        <is>
          <t>Y09JY1362111</t>
        </is>
      </c>
      <c r="G249" s="803" t="inlineStr">
        <is>
          <t>TMPH75U-TBEAZU</t>
        </is>
      </c>
      <c r="H249" s="816" t="inlineStr">
        <is>
          <t>5nm, Fab18,  120Z mask,with PI, with Bumping</t>
        </is>
      </c>
      <c r="I249" s="803" t="inlineStr">
        <is>
          <t>6*6 PKG size molding, exposed die, CTM IO,3L substrate,BSM</t>
        </is>
      </c>
      <c r="K249" s="806" t="n">
        <v>6907</v>
      </c>
      <c r="L249" s="813">
        <f>E249&amp;$L$1</f>
        <v/>
      </c>
      <c r="M249" s="813">
        <f>L249&amp;$O$1&amp;G249&amp;$O$1&amp;H249</f>
        <v/>
      </c>
      <c r="N249" s="813">
        <f>C249&amp;$N$1</f>
        <v/>
      </c>
      <c r="O249" s="813">
        <f>N249&amp;$O$1&amp;I249</f>
        <v/>
      </c>
    </row>
    <row r="250" ht="15.75" customFormat="1" customHeight="1" s="851">
      <c r="A250" s="803" t="n"/>
      <c r="B250" s="641" t="inlineStr">
        <is>
          <t>BM1362</t>
        </is>
      </c>
      <c r="C250" s="641" t="inlineStr">
        <is>
          <t>BM1362BD</t>
        </is>
      </c>
      <c r="D250" s="641" t="inlineStr">
        <is>
          <t>Y09BM1362D40</t>
        </is>
      </c>
      <c r="E250" s="850" t="inlineStr">
        <is>
          <t>BM1362_BP5</t>
        </is>
      </c>
      <c r="F250" s="804" t="inlineStr">
        <is>
          <t>Y09JY1362411</t>
        </is>
      </c>
      <c r="G250" s="803" t="inlineStr">
        <is>
          <t>TMPH75S-TEEAZU</t>
        </is>
      </c>
      <c r="H250" s="851" t="inlineStr">
        <is>
          <t>5nm, Fab18,  BM1362 BKM6.3 skip 12N ,with PI(009Z), 120Z</t>
        </is>
      </c>
      <c r="I250" s="803" t="inlineStr">
        <is>
          <t>6*6 PKG size molding, exposed die, CTM IO,3L substrate,BSM</t>
        </is>
      </c>
      <c r="K250" s="861" t="n">
        <v>6907</v>
      </c>
      <c r="L250" s="813">
        <f>E250&amp;$L$1</f>
        <v/>
      </c>
      <c r="M250" s="834">
        <f>L250&amp;$O$1&amp;G250&amp;$O$1&amp;H250</f>
        <v/>
      </c>
      <c r="N250" s="813">
        <f>C250&amp;$N$1</f>
        <v/>
      </c>
      <c r="O250" s="813">
        <f>N250&amp;$O$1&amp;I250</f>
        <v/>
      </c>
    </row>
    <row r="251" ht="15.75" customFormat="1" customHeight="1" s="851">
      <c r="A251" s="803" t="n"/>
      <c r="B251" s="641" t="inlineStr">
        <is>
          <t>BM1362</t>
        </is>
      </c>
      <c r="C251" s="641" t="inlineStr">
        <is>
          <t>BM1362BD</t>
        </is>
      </c>
      <c r="D251" s="641" t="inlineStr">
        <is>
          <t>Y09BM1362D40</t>
        </is>
      </c>
      <c r="E251" s="804" t="inlineStr">
        <is>
          <t>BM1362_WF5</t>
        </is>
      </c>
      <c r="F251" s="804" t="inlineStr">
        <is>
          <t>Y09JY1362511</t>
        </is>
      </c>
      <c r="G251" s="803" t="inlineStr">
        <is>
          <t>TMPH75S-TFEAZU</t>
        </is>
      </c>
      <c r="H251" s="851" t="inlineStr">
        <is>
          <t>5nm, Fab18,  BM1362 BKM6.3 skip 12N ,without PI,120Z</t>
        </is>
      </c>
      <c r="I251" s="803" t="inlineStr">
        <is>
          <t>6*6 PKG size molding, exposed die, CTM IO,3L substrate,BSM</t>
        </is>
      </c>
      <c r="K251" s="861" t="n">
        <v>6907</v>
      </c>
      <c r="L251" s="813">
        <f>E251&amp;$L$1</f>
        <v/>
      </c>
      <c r="M251" s="834">
        <f>L251&amp;$O$1&amp;G251&amp;$O$1&amp;H251</f>
        <v/>
      </c>
      <c r="N251" s="813">
        <f>C251&amp;$N$1</f>
        <v/>
      </c>
      <c r="O251" s="813">
        <f>N251&amp;$O$1&amp;I251</f>
        <v/>
      </c>
    </row>
    <row r="252" ht="15.75" customHeight="1" s="184">
      <c r="B252" s="641" t="inlineStr">
        <is>
          <t>BM1366</t>
        </is>
      </c>
      <c r="C252" s="641" t="inlineStr">
        <is>
          <t>BM1366AG</t>
        </is>
      </c>
      <c r="D252" s="641" t="inlineStr">
        <is>
          <t>Y09BM1366820</t>
        </is>
      </c>
      <c r="E252" s="804" t="inlineStr">
        <is>
          <t>BM1366_WF</t>
        </is>
      </c>
      <c r="F252" s="804" t="inlineStr">
        <is>
          <t>Y09JY1366021</t>
        </is>
      </c>
      <c r="G252" s="803" t="inlineStr">
        <is>
          <t>TMQE38B-T3D2AEABU</t>
        </is>
      </c>
      <c r="H252" s="803" t="inlineStr">
        <is>
          <t>5nm, Fab18,  serial mode, PI and Bump at Winstek/ASEKH</t>
        </is>
      </c>
      <c r="I252" s="803" t="inlineStr">
        <is>
          <t>6mm x 7mm, molding, exposed die, CTM IO,30LD MP, serial power supply, 3L substrate</t>
        </is>
      </c>
      <c r="J252" s="813" t="n"/>
      <c r="K252" s="806" t="n">
        <v>4255</v>
      </c>
      <c r="L252" s="813">
        <f>E252&amp;$L$1</f>
        <v/>
      </c>
      <c r="M252" s="834">
        <f>L252&amp;$O$1&amp;G252&amp;$O$1&amp;H252</f>
        <v/>
      </c>
      <c r="N252" s="813">
        <f>C252&amp;$N$1</f>
        <v/>
      </c>
      <c r="O252" s="813">
        <f>N252&amp;$O$1&amp;I252</f>
        <v/>
      </c>
    </row>
    <row r="253">
      <c r="B253" s="641" t="inlineStr">
        <is>
          <t>BM1366</t>
        </is>
      </c>
      <c r="C253" s="641" t="inlineStr">
        <is>
          <t>BM1366AL</t>
        </is>
      </c>
      <c r="D253" s="641" t="inlineStr">
        <is>
          <t>Y09BM1366D10</t>
        </is>
      </c>
      <c r="E253" s="804" t="inlineStr">
        <is>
          <t>BM1366_WF2</t>
        </is>
      </c>
      <c r="F253" s="804" t="inlineStr">
        <is>
          <t>Y09JY1366510</t>
        </is>
      </c>
      <c r="G253" s="803" t="inlineStr">
        <is>
          <t>TMQ38D-T3EAZU</t>
        </is>
      </c>
      <c r="H253" s="851" t="inlineStr">
        <is>
          <t xml:space="preserve">5nm, Fab18,   serial mode, switch all custio to tsmcio，eco mask AP+RV，without PI and Bump </t>
        </is>
      </c>
      <c r="I253" s="803" t="inlineStr">
        <is>
          <t>6mm x 7mm, molding, exposed die, CTM IO,30LD MP, serial power supply, 3L substrate</t>
        </is>
      </c>
      <c r="J253" s="813" t="n"/>
      <c r="K253" s="806" t="n">
        <v>4255</v>
      </c>
      <c r="L253" s="813">
        <f>E253&amp;$L$1</f>
        <v/>
      </c>
      <c r="M253" s="813">
        <f>L253&amp;$O$1&amp;G253&amp;$O$1&amp;H253</f>
        <v/>
      </c>
      <c r="N253" s="813">
        <f>C253&amp;$N$1</f>
        <v/>
      </c>
      <c r="O253" s="813">
        <f>N253&amp;$O$1&amp;I253</f>
        <v/>
      </c>
    </row>
    <row r="254">
      <c r="B254" s="641" t="inlineStr">
        <is>
          <t>BM1798</t>
        </is>
      </c>
      <c r="C254" s="641" t="inlineStr">
        <is>
          <t>BM1798AC</t>
        </is>
      </c>
      <c r="D254" s="641" t="inlineStr">
        <is>
          <t>Y09BM1798130</t>
        </is>
      </c>
      <c r="E254" s="804" t="inlineStr">
        <is>
          <t>BM1798</t>
        </is>
      </c>
      <c r="F254" s="804" t="inlineStr">
        <is>
          <t>Y09JY1798010</t>
        </is>
      </c>
      <c r="G254" s="803" t="inlineStr">
        <is>
          <t>TMPS52A-EAZP</t>
        </is>
      </c>
      <c r="H254" s="803" t="inlineStr">
        <is>
          <t>12nm, Fab14, No PI, No Bumping</t>
        </is>
      </c>
      <c r="I254" s="846" t="inlineStr">
        <is>
          <t>Bare die, BGA 50x50, with capacitors，BSM+hat spreader</t>
        </is>
      </c>
      <c r="J254" s="813" t="n"/>
      <c r="K254" s="806" t="n">
        <v>66</v>
      </c>
      <c r="L254" s="813" t="inlineStr">
        <is>
          <t>BM1798晶圆</t>
        </is>
      </c>
      <c r="M254" s="813" t="inlineStr">
        <is>
          <t>BM1798晶圆-TMPS52A-EAZP-12nm, Fab14, No PI, No Bumping</t>
        </is>
      </c>
      <c r="N254" s="813">
        <f>C254&amp;$N$1</f>
        <v/>
      </c>
      <c r="O254" s="813">
        <f>N254&amp;$O$1&amp;I254</f>
        <v/>
      </c>
    </row>
    <row r="255">
      <c r="B255" s="641" t="inlineStr">
        <is>
          <t>BM1798</t>
        </is>
      </c>
      <c r="C255" s="641" t="inlineStr">
        <is>
          <t>BM1798AD</t>
        </is>
      </c>
      <c r="D255" s="641" t="inlineStr">
        <is>
          <t>Y09BM1798140</t>
        </is>
      </c>
      <c r="E255" s="804" t="inlineStr">
        <is>
          <t>BM1798</t>
        </is>
      </c>
      <c r="F255" s="804" t="inlineStr">
        <is>
          <t>Y09JY1798010</t>
        </is>
      </c>
      <c r="G255" s="803" t="inlineStr">
        <is>
          <t>TMPS52A-EAZP</t>
        </is>
      </c>
      <c r="H255" s="803" t="inlineStr">
        <is>
          <t>12nm, Fab14, No PI, No Bumping</t>
        </is>
      </c>
      <c r="I255" s="846" t="inlineStr">
        <is>
          <t>Bare die, BGA 50x50 PP SBS , with capacitors，Differential Clock Optimization</t>
        </is>
      </c>
      <c r="J255" s="813" t="n"/>
      <c r="K255" s="806" t="n">
        <v>66</v>
      </c>
      <c r="L255" s="813" t="inlineStr">
        <is>
          <t>BM1798晶圆</t>
        </is>
      </c>
      <c r="M255" s="813" t="inlineStr">
        <is>
          <t>BM1798晶圆-TMPS52A-EAZP-12nm, Fab14, No PI, No Bumping</t>
        </is>
      </c>
      <c r="N255" s="813">
        <f>C255&amp;$N$1</f>
        <v/>
      </c>
      <c r="O255" s="813">
        <f>N255&amp;$O$1&amp;I255</f>
        <v/>
      </c>
    </row>
    <row r="256">
      <c r="B256" s="641" t="inlineStr">
        <is>
          <t>BM1798</t>
        </is>
      </c>
      <c r="C256" s="641" t="inlineStr">
        <is>
          <t>BM1798AE</t>
        </is>
      </c>
      <c r="D256" s="641" t="inlineStr">
        <is>
          <t>Y09BM1798141</t>
        </is>
      </c>
      <c r="E256" s="804" t="inlineStr">
        <is>
          <t>BM1798</t>
        </is>
      </c>
      <c r="F256" s="804" t="inlineStr">
        <is>
          <t>Y09JY1798010</t>
        </is>
      </c>
      <c r="G256" s="803" t="inlineStr">
        <is>
          <t>TMPS52A-EAZP</t>
        </is>
      </c>
      <c r="H256" s="803" t="inlineStr">
        <is>
          <t>12nm, Fab14, No PI, No Bumping</t>
        </is>
      </c>
      <c r="I256" s="846" t="inlineStr">
        <is>
          <t>Bare die, BGA 50x50 PP SBS , with capacitors</t>
        </is>
      </c>
      <c r="J256" s="813" t="n"/>
      <c r="K256" s="806" t="n">
        <v>66</v>
      </c>
      <c r="L256" s="813" t="inlineStr">
        <is>
          <t>BM1798晶圆</t>
        </is>
      </c>
      <c r="M256" s="813" t="inlineStr">
        <is>
          <t>BM1798晶圆-TMPS52A-EAZP-12nm, Fab14, No PI, No Bumping</t>
        </is>
      </c>
      <c r="N256" s="813">
        <f>C256&amp;$N$1</f>
        <v/>
      </c>
      <c r="O256" s="813">
        <f>N256&amp;$O$1&amp;I256</f>
        <v/>
      </c>
    </row>
    <row r="257">
      <c r="B257" s="641" t="inlineStr">
        <is>
          <t>BM2280</t>
        </is>
      </c>
      <c r="C257" s="641" t="inlineStr">
        <is>
          <t>BM2280AB</t>
        </is>
      </c>
      <c r="D257" s="641" t="inlineStr">
        <is>
          <t>Y09BM2280020</t>
        </is>
      </c>
      <c r="E257" s="804" t="inlineStr">
        <is>
          <t>BM2280</t>
        </is>
      </c>
      <c r="F257" s="804" t="inlineStr">
        <is>
          <t>Y09JY2280010</t>
        </is>
      </c>
      <c r="G257" s="803" t="inlineStr">
        <is>
          <t>TMRI03B-T1EAZT</t>
        </is>
      </c>
      <c r="H257" s="803" t="inlineStr">
        <is>
          <t>7nm,Fab15, No PI, No Bumping</t>
        </is>
      </c>
      <c r="I257" s="846" t="inlineStr">
        <is>
          <t>Bare die, BGA 50x50 PP SBS, with capacitors</t>
        </is>
      </c>
      <c r="J257" s="813" t="n"/>
      <c r="K257" s="806" t="n">
        <v>101</v>
      </c>
      <c r="L257" s="813">
        <f>E257&amp;$L$1</f>
        <v/>
      </c>
      <c r="M257" s="813">
        <f>L257&amp;$O$1&amp;G257&amp;$O$1&amp;H257</f>
        <v/>
      </c>
      <c r="N257" s="813">
        <f>C257&amp;$N$1</f>
        <v/>
      </c>
      <c r="O257" s="813">
        <f>N257&amp;$O$1&amp;I257</f>
        <v/>
      </c>
    </row>
    <row r="258">
      <c r="B258" s="860" t="inlineStr">
        <is>
          <t>BM1366</t>
        </is>
      </c>
      <c r="C258" s="641" t="inlineStr">
        <is>
          <t>BM1366FE</t>
        </is>
      </c>
      <c r="D258" s="641" t="inlineStr">
        <is>
          <t>Y09BM1366F20</t>
        </is>
      </c>
      <c r="E258" s="804" t="inlineStr">
        <is>
          <t>BM1366T</t>
        </is>
      </c>
      <c r="F258" s="804" t="inlineStr">
        <is>
          <t>Y09JY1366311</t>
        </is>
      </c>
      <c r="G258" s="803" t="inlineStr">
        <is>
          <t>TMQE38D-EAZU</t>
        </is>
      </c>
      <c r="H258" s="813" t="inlineStr">
        <is>
          <t>5nm, Fab18,  with PI, with Bumping serial mode, switch all custio to tsmcio，eco mask AP+RV</t>
        </is>
      </c>
      <c r="I258" s="803" t="inlineStr">
        <is>
          <t>6mm x 7mm, molding, exposed die, CTM IO,30LD MP, serial power supply, 3L substrate, ENG build</t>
        </is>
      </c>
      <c r="J258" s="813" t="n"/>
      <c r="K258" s="806" t="n">
        <v>4255</v>
      </c>
      <c r="L258" s="813">
        <f>E258&amp;$L$1</f>
        <v/>
      </c>
      <c r="M258" s="813">
        <f>L258&amp;$O$1&amp;G258&amp;$O$1&amp;H258</f>
        <v/>
      </c>
      <c r="N258" s="813">
        <f>C258&amp;$N$1</f>
        <v/>
      </c>
      <c r="O258" s="813">
        <f>N258&amp;$O$1&amp;I258</f>
        <v/>
      </c>
    </row>
    <row r="259" ht="15.75" customHeight="1" s="184">
      <c r="B259" s="641" t="inlineStr">
        <is>
          <t>BM1362</t>
        </is>
      </c>
      <c r="C259" s="641" t="inlineStr">
        <is>
          <t>BM1362AC</t>
        </is>
      </c>
      <c r="D259" s="641" t="inlineStr">
        <is>
          <t>Y09BM1362C00</t>
        </is>
      </c>
      <c r="E259" s="804" t="inlineStr">
        <is>
          <t>BM1362_WF2</t>
        </is>
      </c>
      <c r="F259" s="804" t="inlineStr">
        <is>
          <t>Y09JY1362W00</t>
        </is>
      </c>
      <c r="G259" s="803" t="inlineStr">
        <is>
          <t>TMPH75A-T3EAZU</t>
        </is>
      </c>
      <c r="H259" s="816" t="inlineStr">
        <is>
          <t>5nm, Fab18,  with SRAM 12N mask,No PI, No Bumping</t>
        </is>
      </c>
      <c r="I259" s="816" t="inlineStr">
        <is>
          <t>molding, exposed die, CTM IO,3L substrate</t>
        </is>
      </c>
      <c r="J259" s="813" t="n"/>
      <c r="K259" s="806" t="n">
        <v>6907</v>
      </c>
      <c r="L259" s="813">
        <f>E259&amp;$L$1</f>
        <v/>
      </c>
      <c r="M259" s="813">
        <f>L259&amp;$O$1&amp;G259&amp;$O$1&amp;H259</f>
        <v/>
      </c>
      <c r="N259" s="813">
        <f>C259&amp;$N$1</f>
        <v/>
      </c>
      <c r="O259" s="813">
        <f>N259&amp;$O$1&amp;I259</f>
        <v/>
      </c>
    </row>
    <row r="260">
      <c r="B260" s="860" t="inlineStr">
        <is>
          <t>BM1366</t>
        </is>
      </c>
      <c r="C260" s="641" t="inlineStr">
        <is>
          <t>BM1366FO</t>
        </is>
      </c>
      <c r="D260" s="641" t="inlineStr">
        <is>
          <t>Y09BM1366F30</t>
        </is>
      </c>
      <c r="E260" s="804" t="inlineStr">
        <is>
          <t>BM1366_WF2</t>
        </is>
      </c>
      <c r="F260" s="804" t="inlineStr">
        <is>
          <t>Y09JY1366510</t>
        </is>
      </c>
      <c r="G260" s="803" t="inlineStr">
        <is>
          <t>TMQ38D-T3EAZU</t>
        </is>
      </c>
      <c r="H260" s="851" t="inlineStr">
        <is>
          <t xml:space="preserve">5nm, Fab18,   serial mode, switch all custio to tsmcio，eco mask AP+RV，without PI and Bump </t>
        </is>
      </c>
      <c r="I260" s="803" t="inlineStr">
        <is>
          <t>6mm x 7mm, fanout ,exposed die, CTM IO,30LD MP, serial power supply</t>
        </is>
      </c>
      <c r="K260" s="806" t="n">
        <v>4255</v>
      </c>
      <c r="L260" s="813">
        <f>E260&amp;$L$1</f>
        <v/>
      </c>
      <c r="M260" s="813">
        <f>L260&amp;$O$1&amp;G260&amp;$O$1&amp;H260</f>
        <v/>
      </c>
      <c r="N260" s="813">
        <f>C260&amp;$N$1</f>
        <v/>
      </c>
      <c r="O260" s="813">
        <f>N260&amp;$O$1&amp;I260</f>
        <v/>
      </c>
    </row>
    <row r="261">
      <c r="B261" s="641" t="inlineStr">
        <is>
          <t>BM2280</t>
        </is>
      </c>
      <c r="C261" s="641" t="inlineStr">
        <is>
          <t>BM2280AE</t>
        </is>
      </c>
      <c r="D261" s="641" t="inlineStr">
        <is>
          <t>Y09BM2280030</t>
        </is>
      </c>
      <c r="E261" s="804" t="inlineStr">
        <is>
          <t>BM2280</t>
        </is>
      </c>
      <c r="F261" s="804" t="inlineStr">
        <is>
          <t>Y09JY2280010</t>
        </is>
      </c>
      <c r="G261" s="803" t="inlineStr">
        <is>
          <t>TMRI03B-T1EAZT</t>
        </is>
      </c>
      <c r="H261" s="803" t="inlineStr">
        <is>
          <t>7nm,Fab15, No PI, No Bumping</t>
        </is>
      </c>
      <c r="I261" s="846" t="inlineStr">
        <is>
          <t xml:space="preserve">Bare die, BGA 50x50 SEMITECH ABF SBS,with 250THK core，with capacitors </t>
        </is>
      </c>
      <c r="J261" s="813" t="n"/>
      <c r="K261" s="806" t="n">
        <v>101</v>
      </c>
      <c r="L261" s="813">
        <f>E261&amp;$L$1</f>
        <v/>
      </c>
      <c r="M261" s="813">
        <f>L261&amp;$O$1&amp;G261&amp;$O$1&amp;H261</f>
        <v/>
      </c>
      <c r="N261" s="813">
        <f>C261&amp;$N$1</f>
        <v/>
      </c>
      <c r="O261" s="813">
        <f>N261&amp;$O$1&amp;I261</f>
        <v/>
      </c>
    </row>
    <row r="262">
      <c r="B262" s="641" t="inlineStr">
        <is>
          <t>BM2280</t>
        </is>
      </c>
      <c r="C262" s="641" t="inlineStr">
        <is>
          <t>BM2280AI</t>
        </is>
      </c>
      <c r="D262" s="641" t="inlineStr">
        <is>
          <t>Y09BM2280040</t>
        </is>
      </c>
      <c r="E262" s="804" t="inlineStr">
        <is>
          <t>BM2280</t>
        </is>
      </c>
      <c r="F262" s="804" t="inlineStr">
        <is>
          <t>Y09JY2280010</t>
        </is>
      </c>
      <c r="G262" s="803" t="inlineStr">
        <is>
          <t>TMRI03B-T1EAZT</t>
        </is>
      </c>
      <c r="H262" s="803" t="inlineStr">
        <is>
          <t>7nm,Fab15, No PI, No Bumping</t>
        </is>
      </c>
      <c r="I262" s="846" t="inlineStr">
        <is>
          <t xml:space="preserve">Bare die, BGA 50x50 UMTC PP SBS,with 800THK core，with capacitors </t>
        </is>
      </c>
      <c r="J262" s="813" t="n"/>
      <c r="K262" s="806" t="n">
        <v>101</v>
      </c>
      <c r="L262" s="813">
        <f>E262&amp;$L$1</f>
        <v/>
      </c>
      <c r="M262" s="813">
        <f>L262&amp;$O$1&amp;G262&amp;$O$1&amp;H262</f>
        <v/>
      </c>
      <c r="N262" s="813">
        <f>C262&amp;$N$1</f>
        <v/>
      </c>
      <c r="O262" s="813">
        <f>N262&amp;$O$1&amp;I262</f>
        <v/>
      </c>
    </row>
    <row r="263">
      <c r="B263" s="641" t="inlineStr">
        <is>
          <t>BM2280</t>
        </is>
      </c>
      <c r="C263" s="641" t="inlineStr">
        <is>
          <t>BM2280AD</t>
        </is>
      </c>
      <c r="D263" s="641" t="inlineStr">
        <is>
          <t>Y09BM2280050</t>
        </is>
      </c>
      <c r="E263" s="804" t="inlineStr">
        <is>
          <t>BM2280</t>
        </is>
      </c>
      <c r="F263" s="804" t="inlineStr">
        <is>
          <t>Y09JY2280010</t>
        </is>
      </c>
      <c r="G263" s="803" t="inlineStr">
        <is>
          <t>TMRI03B-T1EAZT</t>
        </is>
      </c>
      <c r="H263" s="803" t="inlineStr">
        <is>
          <t>7nm,Fab15, No PI, No Bumping</t>
        </is>
      </c>
      <c r="I263" s="846" t="inlineStr">
        <is>
          <t xml:space="preserve">Bare die, BGA 50x50 LG PP SBS,with 400THK core，with capacitors </t>
        </is>
      </c>
      <c r="J263" s="813" t="n"/>
      <c r="K263" s="806" t="n">
        <v>101</v>
      </c>
      <c r="L263" s="813">
        <f>E263&amp;$L$1</f>
        <v/>
      </c>
      <c r="M263" s="813">
        <f>L263&amp;$O$1&amp;G263&amp;$O$1&amp;H263</f>
        <v/>
      </c>
      <c r="N263" s="813">
        <f>C263&amp;$N$1</f>
        <v/>
      </c>
      <c r="O263" s="813">
        <f>N263&amp;$O$1&amp;I263</f>
        <v/>
      </c>
    </row>
    <row r="264">
      <c r="B264" s="641" t="inlineStr">
        <is>
          <t>BM2280</t>
        </is>
      </c>
      <c r="C264" s="641" t="inlineStr">
        <is>
          <t>BM2280FE</t>
        </is>
      </c>
      <c r="D264" s="641" t="inlineStr">
        <is>
          <t>Y09BM2280110</t>
        </is>
      </c>
      <c r="E264" s="804" t="inlineStr">
        <is>
          <t>BM2280</t>
        </is>
      </c>
      <c r="F264" s="804" t="inlineStr">
        <is>
          <t>Y09JY2280010</t>
        </is>
      </c>
      <c r="G264" s="846" t="inlineStr">
        <is>
          <t>TMRI03B-T1EAZT</t>
        </is>
      </c>
      <c r="H264" s="803" t="inlineStr">
        <is>
          <t>7nm,Fab15, No PI, No Bumping</t>
        </is>
      </c>
      <c r="I264" s="803" t="inlineStr">
        <is>
          <t>Bare die, BGA 50x50, with capacitors,ENG wafer PKG</t>
        </is>
      </c>
      <c r="J264" s="813" t="n"/>
      <c r="K264" s="806" t="n">
        <v>101</v>
      </c>
      <c r="L264" s="813">
        <f>E264&amp;$L$1</f>
        <v/>
      </c>
      <c r="M264" s="813">
        <f>L264&amp;$O$1&amp;G264&amp;$O$1&amp;H264</f>
        <v/>
      </c>
      <c r="N264" s="813">
        <f>C264&amp;$N$1</f>
        <v/>
      </c>
      <c r="O264" s="813">
        <f>N264&amp;$O$1&amp;I264</f>
        <v/>
      </c>
    </row>
    <row r="265">
      <c r="B265" s="860" t="inlineStr">
        <is>
          <t>BM1366</t>
        </is>
      </c>
      <c r="C265" s="641" t="inlineStr">
        <is>
          <t>BM1366FO</t>
        </is>
      </c>
      <c r="D265" s="641" t="inlineStr">
        <is>
          <t>Y09BM1366F30</t>
        </is>
      </c>
      <c r="E265" s="804" t="inlineStr">
        <is>
          <t>BM1366T</t>
        </is>
      </c>
      <c r="F265" s="804" t="inlineStr">
        <is>
          <t>Y09JY1366311</t>
        </is>
      </c>
      <c r="G265" s="803" t="inlineStr">
        <is>
          <t>TMQE38D-EAZU</t>
        </is>
      </c>
      <c r="H265" s="813" t="inlineStr">
        <is>
          <t>5nm, Fab18,  with PI, with Bumping serial mode, switch all custio to tsmcio，eco mask AP+RV</t>
        </is>
      </c>
      <c r="I265" s="803" t="inlineStr">
        <is>
          <t>6mm x 7mm, fanout ,exposed die, CTM IO,30LD MP, serial power supply</t>
        </is>
      </c>
      <c r="J265" s="813" t="n"/>
      <c r="K265" s="806" t="n">
        <v>4255</v>
      </c>
      <c r="L265" s="813">
        <f>E265&amp;$L$1</f>
        <v/>
      </c>
      <c r="M265" s="813">
        <f>L265&amp;$O$1&amp;G265&amp;$O$1&amp;H265</f>
        <v/>
      </c>
      <c r="N265" s="813">
        <f>C265&amp;$N$1</f>
        <v/>
      </c>
      <c r="O265" s="813">
        <f>N265&amp;$O$1&amp;I265</f>
        <v/>
      </c>
    </row>
    <row r="266">
      <c r="B266" s="860" t="inlineStr">
        <is>
          <t>BM1368</t>
        </is>
      </c>
      <c r="C266" s="641" t="inlineStr">
        <is>
          <t>BM1368AA</t>
        </is>
      </c>
      <c r="D266" s="641" t="inlineStr">
        <is>
          <t>Y31010506</t>
        </is>
      </c>
      <c r="E266" s="804" t="inlineStr">
        <is>
          <t>BM1368</t>
        </is>
      </c>
      <c r="F266" s="804" t="inlineStr">
        <is>
          <t>Y30010502</t>
        </is>
      </c>
      <c r="G266" s="803" t="inlineStr">
        <is>
          <t>TMSA17A-EAZU</t>
        </is>
      </c>
      <c r="H266" s="813" t="inlineStr">
        <is>
          <t>N4P,Fab18，with PI,with Bumping，serial mode，</t>
        </is>
      </c>
      <c r="I266" s="803" t="inlineStr">
        <is>
          <t xml:space="preserve">6mm x 8mm PKG size, 3L LGA ,exposed die，NSMD pad </t>
        </is>
      </c>
      <c r="J266" s="813" t="n"/>
      <c r="K266" s="806" t="n">
        <v>3186</v>
      </c>
      <c r="L266" s="813">
        <f>E266&amp;$L$1</f>
        <v/>
      </c>
      <c r="M266" s="813">
        <f>L266&amp;$O$1&amp;G266&amp;$O$1&amp;H266</f>
        <v/>
      </c>
      <c r="N266" s="813">
        <f>C266&amp;$N$1</f>
        <v/>
      </c>
      <c r="O266" s="813">
        <f>N266&amp;$O$1&amp;I266</f>
        <v/>
      </c>
    </row>
    <row r="267" ht="13.5" customHeight="1" s="184">
      <c r="B267" s="860" t="inlineStr">
        <is>
          <t>BM1366</t>
        </is>
      </c>
      <c r="C267" s="641" t="inlineStr">
        <is>
          <t>BM1366FB</t>
        </is>
      </c>
      <c r="D267" s="641" t="inlineStr">
        <is>
          <t>Y31010507</t>
        </is>
      </c>
      <c r="E267" s="804" t="inlineStr">
        <is>
          <t>BM1366T</t>
        </is>
      </c>
      <c r="F267" s="804" t="inlineStr">
        <is>
          <t>Y09JY1366311</t>
        </is>
      </c>
      <c r="G267" s="803" t="inlineStr">
        <is>
          <t>TMQE38D-EAZU</t>
        </is>
      </c>
      <c r="H267" s="813" t="inlineStr">
        <is>
          <t>5nm, Fab18,  with PI, with Bumping serial mode, switch all custio to tsmcio，eco mask AP+RV</t>
        </is>
      </c>
      <c r="I267" s="803" t="inlineStr">
        <is>
          <t>6mm x 7mm, molding, exposed die, CTM IO,30LD MP, serial power supply, 3L substrate, ENG build with BSM</t>
        </is>
      </c>
      <c r="J267" s="813" t="n"/>
      <c r="K267" s="806" t="n">
        <v>4255</v>
      </c>
      <c r="L267" s="813">
        <f>E267&amp;$L$1</f>
        <v/>
      </c>
      <c r="M267" s="813">
        <f>L267&amp;$O$1&amp;G267&amp;$O$1&amp;H267</f>
        <v/>
      </c>
      <c r="N267" s="813">
        <f>C267&amp;$N$1</f>
        <v/>
      </c>
      <c r="O267" s="813">
        <f>N267&amp;$O$1&amp;I267</f>
        <v/>
      </c>
    </row>
    <row r="268">
      <c r="B268" s="860" t="inlineStr">
        <is>
          <t>BM1366</t>
        </is>
      </c>
      <c r="C268" s="641" t="inlineStr">
        <is>
          <t>BM1366AR</t>
        </is>
      </c>
      <c r="D268" s="641" t="inlineStr">
        <is>
          <t>Y31010508</t>
        </is>
      </c>
      <c r="E268" s="804" t="inlineStr">
        <is>
          <t>BM1366T</t>
        </is>
      </c>
      <c r="F268" s="804" t="inlineStr">
        <is>
          <t>Y09JY1366311</t>
        </is>
      </c>
      <c r="G268" s="803" t="inlineStr">
        <is>
          <t>TMQE38D-EAZU</t>
        </is>
      </c>
      <c r="H268" s="813" t="inlineStr">
        <is>
          <t>5nm, Fab18,  with PI, with Bumping serial mode, switch all custio to tsmcio，eco mask AP+RV</t>
        </is>
      </c>
      <c r="I268" s="803" t="inlineStr">
        <is>
          <t>6mm x 7mm, molding, exposed die, CTM IO,30LD EVB, serial power supply, 3L substrate，with BSM</t>
        </is>
      </c>
      <c r="J268" s="813" t="n"/>
      <c r="K268" s="806" t="n">
        <v>4255</v>
      </c>
      <c r="L268" s="813">
        <f>E268&amp;$L$1</f>
        <v/>
      </c>
      <c r="M268" s="813">
        <f>L268&amp;$O$1&amp;G268&amp;$O$1&amp;H268</f>
        <v/>
      </c>
      <c r="N268" s="813">
        <f>C268&amp;$N$1</f>
        <v/>
      </c>
      <c r="O268" s="813">
        <f>N268&amp;$O$1&amp;I268</f>
        <v/>
      </c>
    </row>
    <row r="269">
      <c r="B269" s="843" t="inlineStr">
        <is>
          <t>BM1362</t>
        </is>
      </c>
      <c r="C269" s="843" t="inlineStr">
        <is>
          <t>BM1362YF</t>
        </is>
      </c>
      <c r="D269" s="641" t="inlineStr">
        <is>
          <t>Y31010509</t>
        </is>
      </c>
      <c r="E269" s="844" t="inlineStr">
        <is>
          <t>BM1362Y_BP2</t>
        </is>
      </c>
      <c r="F269" s="844" t="inlineStr">
        <is>
          <t>Y09JY1362Y11</t>
        </is>
      </c>
      <c r="G269" s="845" t="inlineStr">
        <is>
          <t>TMPH75Y-T6D1AEABU</t>
        </is>
      </c>
      <c r="H269" s="845" t="inlineStr">
        <is>
          <t>BM1362 T5: BKM5.2P Further boost with 12N, PI, bumping</t>
        </is>
      </c>
      <c r="I269" s="803" t="inlineStr">
        <is>
          <t>6x6 package size, molding, exposed die, CTM IO,3L substrate</t>
        </is>
      </c>
      <c r="J269" s="841" t="n"/>
      <c r="K269" s="842" t="n">
        <v>6907</v>
      </c>
      <c r="L269" s="794">
        <f>E269&amp;$L$1</f>
        <v/>
      </c>
      <c r="M269" s="794">
        <f>L269&amp;$O$1&amp;G269&amp;$O$1&amp;H269</f>
        <v/>
      </c>
      <c r="N269" s="794">
        <f>C269&amp;$N$1</f>
        <v/>
      </c>
      <c r="O269" s="794">
        <f>N269&amp;$O$1&amp;I269</f>
        <v/>
      </c>
    </row>
    <row r="270">
      <c r="B270" s="843" t="inlineStr">
        <is>
          <t>BM22M1</t>
        </is>
      </c>
      <c r="C270" s="843" t="inlineStr">
        <is>
          <t>BM22M1</t>
        </is>
      </c>
      <c r="D270" s="843" t="inlineStr">
        <is>
          <t>Y31010510</t>
        </is>
      </c>
      <c r="E270" s="844" t="inlineStr">
        <is>
          <t>BM22M1</t>
        </is>
      </c>
      <c r="F270" s="844" t="inlineStr">
        <is>
          <t>Y30010503</t>
        </is>
      </c>
      <c r="G270" s="845" t="inlineStr">
        <is>
          <t>TMQL96_C18</t>
        </is>
      </c>
      <c r="H270" s="845" t="inlineStr">
        <is>
          <t>N4P,Fab 18,MPW, with PI, with Bumping and back grinding</t>
        </is>
      </c>
      <c r="I270" s="803" t="inlineStr">
        <is>
          <t>MPW wafer for study，no assembly demand</t>
        </is>
      </c>
      <c r="J270" s="841" t="n"/>
      <c r="K270" s="842" t="inlineStr">
        <is>
          <t>MPW</t>
        </is>
      </c>
      <c r="L270" s="794">
        <f>E270&amp;$L$1</f>
        <v/>
      </c>
      <c r="M270" s="794">
        <f>L270&amp;$O$1&amp;G270&amp;$O$1&amp;H270</f>
        <v/>
      </c>
      <c r="N270" s="794">
        <f>C270&amp;$N$1</f>
        <v/>
      </c>
      <c r="O270" s="794">
        <f>N270&amp;$O$1&amp;I270</f>
        <v/>
      </c>
    </row>
    <row r="271" ht="19" customFormat="1" customHeight="1" s="851">
      <c r="A271" s="791" t="n"/>
      <c r="B271" s="641" t="inlineStr">
        <is>
          <t>BM1366</t>
        </is>
      </c>
      <c r="C271" s="641" t="inlineStr">
        <is>
          <t>BM1366BS</t>
        </is>
      </c>
      <c r="D271" s="641" t="inlineStr">
        <is>
          <t>Y31010511</t>
        </is>
      </c>
      <c r="E271" s="804" t="inlineStr">
        <is>
          <t>BM1366T</t>
        </is>
      </c>
      <c r="F271" s="804" t="inlineStr">
        <is>
          <t>Y09JY1366311</t>
        </is>
      </c>
      <c r="G271" s="803" t="inlineStr">
        <is>
          <t>TMQE38D-EAZU</t>
        </is>
      </c>
      <c r="H271" s="851" t="inlineStr">
        <is>
          <t>5nm, Fab18,  with PI, with Bumping serial mode, switch all custio to tsmcio，eco mask AP+RV</t>
        </is>
      </c>
      <c r="I271" s="803" t="inlineStr">
        <is>
          <t>6mm x 7mm, molding, exposed die, CTM IO,30LD MP, serial power supply, 3L substrate，BSM</t>
        </is>
      </c>
      <c r="K271" s="861" t="n">
        <v>4255</v>
      </c>
      <c r="L271" s="813">
        <f>E271&amp;$L$1</f>
        <v/>
      </c>
      <c r="M271" s="834">
        <f>L271&amp;$O$1&amp;G271&amp;$O$1&amp;H271</f>
        <v/>
      </c>
      <c r="N271" s="813">
        <f>C271&amp;$N$1</f>
        <v/>
      </c>
      <c r="O271" s="813">
        <f>N271&amp;$O$1&amp;I271</f>
        <v/>
      </c>
    </row>
    <row r="272" ht="15.75" customHeight="1" s="184">
      <c r="B272" s="641" t="inlineStr">
        <is>
          <t>BM1366</t>
        </is>
      </c>
      <c r="C272" s="641" t="inlineStr">
        <is>
          <t>BM1366AB</t>
        </is>
      </c>
      <c r="D272" s="641" t="inlineStr">
        <is>
          <t>Y09BM1366120</t>
        </is>
      </c>
      <c r="E272" s="804" t="inlineStr">
        <is>
          <t>BM1366_WF</t>
        </is>
      </c>
      <c r="F272" s="804" t="inlineStr">
        <is>
          <t>Y09JY1366021</t>
        </is>
      </c>
      <c r="G272" s="803" t="inlineStr">
        <is>
          <t>TMQE38B-T3D2AEABU</t>
        </is>
      </c>
      <c r="H272" s="803" t="inlineStr">
        <is>
          <t>5nm, Fab18,  serial mode, PI and Bump at Winstek/ASEKH</t>
        </is>
      </c>
      <c r="I272" s="803" t="inlineStr">
        <is>
          <t>6mm x 7mm, molding, exposed die, CTM IO,30LD MP, serial power supply, 3L substrate</t>
        </is>
      </c>
      <c r="J272" s="813" t="n"/>
      <c r="K272" s="806" t="n">
        <v>4255</v>
      </c>
      <c r="L272" s="813">
        <f>E272&amp;$L$1</f>
        <v/>
      </c>
      <c r="M272" s="834">
        <f>L272&amp;$O$1&amp;G272&amp;$O$1&amp;H272</f>
        <v/>
      </c>
      <c r="N272" s="813">
        <f>C272&amp;$N$1</f>
        <v/>
      </c>
      <c r="O272" s="813">
        <f>N272&amp;$O$1&amp;I272</f>
        <v/>
      </c>
    </row>
    <row r="273">
      <c r="B273" s="641" t="inlineStr">
        <is>
          <t>BM1366</t>
        </is>
      </c>
      <c r="C273" s="641" t="inlineStr">
        <is>
          <t>BM1366BS</t>
        </is>
      </c>
      <c r="D273" s="641" t="inlineStr">
        <is>
          <t>Y31010511</t>
        </is>
      </c>
      <c r="E273" s="804" t="inlineStr">
        <is>
          <t>BM1366_WF2</t>
        </is>
      </c>
      <c r="F273" s="804" t="inlineStr">
        <is>
          <t>Y09JY1366510</t>
        </is>
      </c>
      <c r="G273" s="803" t="inlineStr">
        <is>
          <t>TMQ38D-T3EAZU</t>
        </is>
      </c>
      <c r="H273" s="851" t="inlineStr">
        <is>
          <t xml:space="preserve">5nm, Fab18,   serial mode, switch all custio to tsmcio，eco mask AP+RV，without PI and Bump </t>
        </is>
      </c>
      <c r="I273" s="803" t="inlineStr">
        <is>
          <t>6mm x 7mm, molding, exposed die, CTM IO,30LD MP, serial power supply, 3L substrate，BSM</t>
        </is>
      </c>
      <c r="J273" s="851" t="n"/>
      <c r="K273" s="861" t="n">
        <v>4255</v>
      </c>
      <c r="L273" s="813">
        <f>E273&amp;$L$1</f>
        <v/>
      </c>
    </row>
    <row r="274">
      <c r="B274" s="860" t="inlineStr">
        <is>
          <t>BM1368</t>
        </is>
      </c>
      <c r="C274" s="641" t="inlineStr">
        <is>
          <t>BM1368FE</t>
        </is>
      </c>
      <c r="D274" s="863" t="inlineStr">
        <is>
          <t>Y31010512</t>
        </is>
      </c>
      <c r="E274" s="804" t="inlineStr">
        <is>
          <t>BM1368</t>
        </is>
      </c>
      <c r="F274" s="804" t="inlineStr">
        <is>
          <t>Y30010502</t>
        </is>
      </c>
      <c r="G274" s="803" t="inlineStr">
        <is>
          <t>TMSA17A-EAZU</t>
        </is>
      </c>
      <c r="H274" s="813" t="inlineStr">
        <is>
          <t>N4P,Fab18，with PI,with Bumping，serial mode，</t>
        </is>
      </c>
      <c r="I274" s="803" t="inlineStr">
        <is>
          <t>6mm x 8mm PKG size, 3L LGA ,exposed die，NSMD pad ,TSMC ENG use</t>
        </is>
      </c>
      <c r="J274" s="813" t="n"/>
      <c r="K274" s="806" t="n">
        <v>3186</v>
      </c>
      <c r="L274" s="813">
        <f>E274&amp;$L$1</f>
        <v/>
      </c>
    </row>
    <row r="275">
      <c r="B275" s="641" t="n"/>
      <c r="C275" s="641" t="n"/>
      <c r="D275" s="641" t="n"/>
      <c r="E275" s="804" t="inlineStr">
        <is>
          <t>BM1366U_WF</t>
        </is>
      </c>
      <c r="F275" s="804" t="inlineStr">
        <is>
          <t>Y30010504</t>
        </is>
      </c>
      <c r="G275" s="803" t="inlineStr">
        <is>
          <t>TMQE38F-T6EAZU</t>
        </is>
      </c>
      <c r="H275" s="851" t="inlineStr">
        <is>
          <t xml:space="preserve">5nm, Fab18,   serial mode, switch all custio to tsmcio,BM1366 plus，without PI and Bump </t>
        </is>
      </c>
      <c r="K275" s="861" t="n">
        <v>4255</v>
      </c>
      <c r="L275" s="852">
        <f>E275&amp;$L$1</f>
        <v/>
      </c>
    </row>
    <row r="276">
      <c r="B276" s="860" t="inlineStr">
        <is>
          <t>BM1368</t>
        </is>
      </c>
      <c r="C276" s="641" t="inlineStr">
        <is>
          <t>BM1368PA</t>
        </is>
      </c>
      <c r="D276" s="641" t="inlineStr">
        <is>
          <t>Y31010513</t>
        </is>
      </c>
      <c r="E276" s="804" t="n"/>
      <c r="F276" s="804" t="n"/>
      <c r="G276" s="803" t="n"/>
      <c r="H276" s="803" t="n"/>
    </row>
    <row r="277">
      <c r="B277" s="860" t="inlineStr">
        <is>
          <t>BM1368</t>
        </is>
      </c>
      <c r="C277" s="641" t="inlineStr">
        <is>
          <t>BM1368PB</t>
        </is>
      </c>
      <c r="D277" s="641" t="inlineStr">
        <is>
          <t>Y31010515</t>
        </is>
      </c>
      <c r="E277" s="804" t="n"/>
      <c r="F277" s="804" t="n"/>
      <c r="G277" s="803" t="n"/>
      <c r="H277" s="803" t="n"/>
    </row>
    <row r="278">
      <c r="B278" s="860" t="inlineStr">
        <is>
          <t>BM1368</t>
        </is>
      </c>
      <c r="C278" s="641" t="inlineStr">
        <is>
          <t>BM1368AB</t>
        </is>
      </c>
      <c r="D278" s="641" t="inlineStr">
        <is>
          <t>Y31010514</t>
        </is>
      </c>
      <c r="E278" s="804" t="n"/>
      <c r="F278" s="804" t="n"/>
      <c r="G278" s="803" t="n"/>
      <c r="H278" s="803" t="n"/>
    </row>
    <row r="279">
      <c r="B279" s="860" t="inlineStr">
        <is>
          <t>BM1368</t>
        </is>
      </c>
      <c r="C279" s="792" t="inlineStr">
        <is>
          <t>BM1368BS</t>
        </is>
      </c>
      <c r="D279" s="792" t="inlineStr">
        <is>
          <t>Y31010516</t>
        </is>
      </c>
    </row>
    <row r="280">
      <c r="B280" s="792" t="inlineStr">
        <is>
          <t>BM2380</t>
        </is>
      </c>
      <c r="C280" s="792" t="inlineStr">
        <is>
          <t>BM2380AA</t>
        </is>
      </c>
      <c r="D280" s="792" t="inlineStr">
        <is>
          <t>Y31090501</t>
        </is>
      </c>
    </row>
    <row r="281">
      <c r="B281" s="792" t="inlineStr">
        <is>
          <t>BM22808A</t>
        </is>
      </c>
      <c r="C281" s="792" t="inlineStr">
        <is>
          <t>BM22808A</t>
        </is>
      </c>
      <c r="D281" s="792" t="inlineStr">
        <is>
          <t>Y31020502</t>
        </is>
      </c>
    </row>
    <row r="282">
      <c r="B282" s="792" t="inlineStr">
        <is>
          <t>BM1370</t>
        </is>
      </c>
      <c r="C282" s="792" t="inlineStr">
        <is>
          <t>BM1370AA</t>
        </is>
      </c>
      <c r="D282" s="792" t="inlineStr">
        <is>
          <t>Y31010519</t>
        </is>
      </c>
    </row>
    <row r="283">
      <c r="B283" s="792" t="inlineStr">
        <is>
          <t>BM1366</t>
        </is>
      </c>
      <c r="C283" s="792" t="inlineStr">
        <is>
          <t>BM1366BP</t>
        </is>
      </c>
      <c r="D283" s="792" t="inlineStr">
        <is>
          <t>Y31010518</t>
        </is>
      </c>
    </row>
    <row r="284">
      <c r="B284" s="792" t="inlineStr">
        <is>
          <t>BM1368</t>
        </is>
      </c>
      <c r="C284" s="792" t="inlineStr">
        <is>
          <t>BM1368PV</t>
        </is>
      </c>
      <c r="D284" s="792" t="inlineStr">
        <is>
          <t>Y31010520</t>
        </is>
      </c>
    </row>
    <row r="285">
      <c r="B285" s="792" t="inlineStr">
        <is>
          <t>BM1370</t>
        </is>
      </c>
      <c r="C285" s="792" t="inlineStr">
        <is>
          <t>BM1370PP</t>
        </is>
      </c>
      <c r="D285" s="792" t="inlineStr">
        <is>
          <t>Y31010523</t>
        </is>
      </c>
    </row>
    <row r="286">
      <c r="C286" s="792" t="inlineStr">
        <is>
          <t>BM2382AA</t>
        </is>
      </c>
      <c r="D286" s="792" t="inlineStr">
        <is>
          <t>Y31090502</t>
        </is>
      </c>
    </row>
    <row r="287">
      <c r="C287" s="792" t="inlineStr">
        <is>
          <t>BM1366BP</t>
        </is>
      </c>
      <c r="D287" s="792" t="inlineStr">
        <is>
          <t>Y31010518</t>
        </is>
      </c>
    </row>
    <row r="288">
      <c r="C288" s="792" t="inlineStr">
        <is>
          <t>BM1368PM</t>
        </is>
      </c>
      <c r="D288" s="792" t="inlineStr">
        <is>
          <t>Y31010521</t>
        </is>
      </c>
    </row>
    <row r="289">
      <c r="C289" s="792" t="inlineStr">
        <is>
          <t>BM1368PV</t>
        </is>
      </c>
      <c r="D289" s="792" t="inlineStr">
        <is>
          <t>Y31010520</t>
        </is>
      </c>
    </row>
    <row r="290">
      <c r="C290" s="792" t="inlineStr">
        <is>
          <t>BM1370PP</t>
        </is>
      </c>
      <c r="D290" s="792" t="inlineStr">
        <is>
          <t>Y31010523</t>
        </is>
      </c>
    </row>
    <row r="291">
      <c r="C291" s="792" t="inlineStr">
        <is>
          <t>BM2382AA</t>
        </is>
      </c>
      <c r="D291" s="792" t="inlineStr">
        <is>
          <t>Y31090502</t>
        </is>
      </c>
    </row>
    <row r="292">
      <c r="C292" s="792" t="inlineStr">
        <is>
          <t>BM1370PB</t>
        </is>
      </c>
      <c r="D292" s="792" t="inlineStr">
        <is>
          <t>Y31010524</t>
        </is>
      </c>
    </row>
    <row r="293">
      <c r="C293" s="792" t="inlineStr">
        <is>
          <t>BM1370BB</t>
        </is>
      </c>
      <c r="D293" s="792" t="inlineStr">
        <is>
          <t>Y31010525</t>
        </is>
      </c>
    </row>
    <row r="294">
      <c r="C294" s="792" t="inlineStr">
        <is>
          <t>BM1370BC</t>
        </is>
      </c>
      <c r="D294" s="792" t="inlineStr">
        <is>
          <t>Y31010527</t>
        </is>
      </c>
    </row>
    <row r="295">
      <c r="C295" s="792" t="inlineStr">
        <is>
          <t>BM1370AH</t>
        </is>
      </c>
      <c r="D295" s="792" t="inlineStr">
        <is>
          <t>Y31010529</t>
        </is>
      </c>
    </row>
    <row r="296">
      <c r="C296" s="792" t="inlineStr">
        <is>
          <t>BM1491AA</t>
        </is>
      </c>
      <c r="D296" s="792" t="inlineStr">
        <is>
          <t>Y31030502</t>
        </is>
      </c>
    </row>
    <row r="297">
      <c r="C297" s="792" t="inlineStr">
        <is>
          <t>BM1370PA</t>
        </is>
      </c>
      <c r="D297" s="792" t="inlineStr">
        <is>
          <t>Y31010530</t>
        </is>
      </c>
    </row>
    <row r="298">
      <c r="C298" s="792" t="inlineStr">
        <is>
          <t>BM1372AA</t>
        </is>
      </c>
      <c r="D298" s="792" t="inlineStr">
        <is>
          <t>Y31010528</t>
        </is>
      </c>
    </row>
    <row r="299">
      <c r="C299" s="792" t="inlineStr">
        <is>
          <t>BM2460AA</t>
        </is>
      </c>
      <c r="D299" s="792" t="inlineStr">
        <is>
          <t>Y31090503</t>
        </is>
      </c>
    </row>
    <row r="300">
      <c r="C300" s="792" t="inlineStr">
        <is>
          <t>BM1368PC</t>
        </is>
      </c>
      <c r="D300" s="792" t="inlineStr">
        <is>
          <t>Y31010531</t>
        </is>
      </c>
    </row>
    <row r="301">
      <c r="C301" s="792" t="inlineStr">
        <is>
          <t>BM1368MD</t>
        </is>
      </c>
      <c r="D301" s="792" t="inlineStr">
        <is>
          <t>Y31010522</t>
        </is>
      </c>
    </row>
    <row r="302">
      <c r="C302" s="792" t="inlineStr">
        <is>
          <t>BM1370PM</t>
        </is>
      </c>
      <c r="D302" s="792" t="inlineStr">
        <is>
          <t>Y31010533</t>
        </is>
      </c>
    </row>
    <row r="303">
      <c r="C303" s="792" t="inlineStr">
        <is>
          <t>BM1370PF</t>
        </is>
      </c>
      <c r="D303" s="792" t="inlineStr">
        <is>
          <t>Y31010536</t>
        </is>
      </c>
    </row>
    <row r="304">
      <c r="C304" s="792" t="inlineStr">
        <is>
          <t>BM1370PZ</t>
        </is>
      </c>
      <c r="D304" s="792" t="inlineStr">
        <is>
          <t>Y31010535</t>
        </is>
      </c>
    </row>
    <row r="305" ht="15.75" customHeight="1" s="184">
      <c r="C305" s="316" t="inlineStr">
        <is>
          <t>BM1373AA</t>
        </is>
      </c>
      <c r="D305" s="792" t="inlineStr">
        <is>
          <t>Y31010540</t>
        </is>
      </c>
    </row>
    <row r="306">
      <c r="C306" s="317" t="inlineStr">
        <is>
          <t>BM1373CC</t>
        </is>
      </c>
      <c r="D306" s="864" t="inlineStr">
        <is>
          <t>Y31010549</t>
        </is>
      </c>
    </row>
    <row r="307">
      <c r="C307" s="52" t="inlineStr">
        <is>
          <t>BM2384BA</t>
        </is>
      </c>
      <c r="D307" s="864" t="inlineStr">
        <is>
          <t>Y31010539</t>
        </is>
      </c>
    </row>
    <row r="308">
      <c r="B308" s="780" t="inlineStr">
        <is>
          <t>BM1374CC</t>
        </is>
      </c>
      <c r="C308" s="780" t="inlineStr">
        <is>
          <t>BM1374CC</t>
        </is>
      </c>
      <c r="D308" s="780" t="inlineStr">
        <is>
          <t>Y31010551</t>
        </is>
      </c>
    </row>
    <row r="309">
      <c r="B309" t="inlineStr">
        <is>
          <t>BM1374PA</t>
        </is>
      </c>
      <c r="D309" t="inlineStr">
        <is>
          <t>Y31010552</t>
        </is>
      </c>
    </row>
  </sheetData>
  <autoFilter ref="A1:XFD307"/>
  <conditionalFormatting sqref="D271">
    <cfRule type="duplicateValues" priority="2" dxfId="0"/>
  </conditionalFormatting>
  <conditionalFormatting sqref="D273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77"/>
  <sheetViews>
    <sheetView tabSelected="1" zoomScale="145" zoomScaleNormal="145" workbookViewId="0">
      <pane ySplit="1" topLeftCell="A355" activePane="bottomLeft" state="frozen"/>
      <selection activeCell="A1" sqref="A1"/>
      <selection pane="bottomLeft" activeCell="L375" sqref="L375:L376"/>
    </sheetView>
  </sheetViews>
  <sheetFormatPr baseColWidth="8" defaultColWidth="8.66666666666667" defaultRowHeight="14.25"/>
  <cols>
    <col width="8.66666666666667" customWidth="1" style="865" min="1" max="1"/>
    <col width="11.3583333333333" customWidth="1" style="866" min="2" max="2"/>
    <col width="11.6666666666667" customWidth="1" style="866" min="3" max="3"/>
    <col width="13.175" customWidth="1" style="866" min="4" max="4"/>
    <col width="8.66666666666667" customWidth="1" style="866" min="5" max="5"/>
    <col width="22.55" customWidth="1" style="866" min="6" max="6"/>
    <col width="10.0916666666667" customWidth="1" style="866" min="7" max="7"/>
    <col width="14.1583333333333" customWidth="1" style="866" min="8" max="8"/>
    <col width="12.625" customWidth="1" style="157" min="9" max="9"/>
    <col width="24.2833333333333" customWidth="1" style="866" min="10" max="10"/>
    <col width="26.75" customWidth="1" style="237" min="11" max="11"/>
    <col width="9.66666666666667" customWidth="1" style="866" min="12" max="12"/>
    <col width="8.66666666666667" customWidth="1" style="866" min="13" max="16384"/>
  </cols>
  <sheetData>
    <row r="1" ht="31" customFormat="1" customHeight="1" s="86">
      <c r="A1" s="96" t="inlineStr">
        <is>
          <t>序号</t>
        </is>
      </c>
      <c r="B1" s="97" t="inlineStr">
        <is>
          <t>抬头</t>
        </is>
      </c>
      <c r="C1" s="97" t="inlineStr">
        <is>
          <t>出货日期</t>
        </is>
      </c>
      <c r="D1" s="97" t="inlineStr">
        <is>
          <t>主体</t>
        </is>
      </c>
      <c r="E1" s="867" t="inlineStr">
        <is>
          <t>测试厂</t>
        </is>
      </c>
      <c r="F1" s="867" t="inlineStr">
        <is>
          <t>收货地址</t>
        </is>
      </c>
      <c r="G1" s="867" t="inlineStr">
        <is>
          <t>型号</t>
        </is>
      </c>
      <c r="H1" s="867" t="inlineStr">
        <is>
          <t>物料编码</t>
        </is>
      </c>
      <c r="I1" s="100" t="inlineStr">
        <is>
          <t>数量</t>
        </is>
      </c>
      <c r="J1" s="101" t="inlineStr">
        <is>
          <t>新PO</t>
        </is>
      </c>
      <c r="K1" s="102" t="inlineStr">
        <is>
          <t>SO</t>
        </is>
      </c>
      <c r="L1" s="867" t="inlineStr">
        <is>
          <t>单价</t>
        </is>
      </c>
      <c r="M1" s="103" t="inlineStr">
        <is>
          <t>是否已出</t>
        </is>
      </c>
      <c r="N1" s="102" t="inlineStr">
        <is>
          <t>对比</t>
        </is>
      </c>
      <c r="O1" s="102" t="inlineStr">
        <is>
          <t>标记</t>
        </is>
      </c>
      <c r="P1" s="104" t="n"/>
      <c r="Q1" s="104" t="n"/>
      <c r="R1" s="104" t="n"/>
      <c r="S1" s="104" t="n"/>
      <c r="T1" s="105" t="n"/>
      <c r="U1" s="105" t="n"/>
      <c r="V1" s="105" t="n"/>
      <c r="W1" s="105" t="n"/>
      <c r="X1" s="105" t="n"/>
      <c r="Y1" s="105" t="n"/>
    </row>
    <row r="2" ht="18" customFormat="1" customHeight="1" s="868">
      <c r="A2" s="106" t="n">
        <v>1</v>
      </c>
      <c r="B2" s="869" t="inlineStr">
        <is>
          <t>chanhua</t>
        </is>
      </c>
      <c r="C2" s="869" t="n">
        <v>45873</v>
      </c>
      <c r="D2" s="870" t="inlineStr">
        <is>
          <t>美国比特</t>
        </is>
      </c>
      <c r="E2" s="871" t="inlineStr">
        <is>
          <t>ASECL</t>
        </is>
      </c>
      <c r="F2" s="872" t="inlineStr">
        <is>
          <t>美国Keytronic</t>
        </is>
      </c>
      <c r="G2" s="871" t="inlineStr">
        <is>
          <t>BM1370PF</t>
        </is>
      </c>
      <c r="H2" s="870">
        <f>VLOOKUP(G2,编码对账表!C:D,2,0)</f>
        <v/>
      </c>
      <c r="I2" s="111" t="n">
        <v>159600</v>
      </c>
      <c r="J2" s="112" t="inlineStr">
        <is>
          <t>BTD202508050011</t>
        </is>
      </c>
      <c r="K2" s="113" t="inlineStr">
        <is>
          <t>1155250805104924</t>
        </is>
      </c>
      <c r="L2" s="873" t="n">
        <v>18.64</v>
      </c>
      <c r="M2" s="874" t="inlineStr">
        <is>
          <t>是</t>
        </is>
      </c>
      <c r="N2" s="116" t="n"/>
      <c r="O2" s="104" t="n"/>
      <c r="P2" s="105">
        <f>COUNTIF([4]Sheet1!$A:$A,K:K)</f>
        <v/>
      </c>
      <c r="Q2" s="875" t="inlineStr">
        <is>
          <t>=SUMIFS([工作簿1]Sheet1!$A:$A,K:K,[工作簿1]Sheet1!$A:$A)</t>
        </is>
      </c>
      <c r="R2" s="104" t="n"/>
      <c r="S2" s="876" t="n"/>
      <c r="T2" s="876" t="n"/>
      <c r="U2" s="876" t="n"/>
      <c r="V2" s="876" t="n"/>
      <c r="W2" s="876" t="n"/>
      <c r="X2" s="876" t="n"/>
    </row>
    <row r="3" ht="18" customFormat="1" customHeight="1" s="868">
      <c r="A3" s="106" t="n">
        <v>2</v>
      </c>
      <c r="B3" s="869" t="inlineStr">
        <is>
          <t>chanhua</t>
        </is>
      </c>
      <c r="C3" s="869" t="n">
        <v>45877</v>
      </c>
      <c r="D3" s="870" t="inlineStr">
        <is>
          <t>美国比特</t>
        </is>
      </c>
      <c r="E3" s="871" t="inlineStr">
        <is>
          <t>NJ-VT</t>
        </is>
      </c>
      <c r="F3" s="872" t="inlineStr">
        <is>
          <t>美国Keytronic</t>
        </is>
      </c>
      <c r="G3" s="871" t="inlineStr">
        <is>
          <t>BM1370PA</t>
        </is>
      </c>
      <c r="H3" s="870">
        <f>VLOOKUP(G3,编码对账表!C:D,2,0)</f>
        <v/>
      </c>
      <c r="I3" s="111" t="n">
        <v>116750</v>
      </c>
      <c r="J3" s="112" t="inlineStr">
        <is>
          <t>BTD202508080010</t>
        </is>
      </c>
      <c r="K3" s="113" t="inlineStr">
        <is>
          <t>1155250809101126</t>
        </is>
      </c>
      <c r="L3" s="873" t="n">
        <v>15.96</v>
      </c>
      <c r="M3" s="874" t="inlineStr">
        <is>
          <t>是</t>
        </is>
      </c>
      <c r="N3" s="116" t="n"/>
      <c r="O3" s="104" t="n"/>
      <c r="P3" s="105">
        <f>COUNTIF([4]Sheet1!$A:$A,K:K)</f>
        <v/>
      </c>
      <c r="Q3" s="104" t="n"/>
      <c r="R3" s="104" t="n"/>
      <c r="S3" s="876" t="n"/>
      <c r="T3" s="876" t="n"/>
      <c r="U3" s="876" t="n"/>
      <c r="V3" s="876" t="n"/>
      <c r="W3" s="876" t="n"/>
      <c r="X3" s="876" t="n"/>
    </row>
    <row r="4" ht="18" customFormat="1" customHeight="1" s="868">
      <c r="A4" s="106" t="n">
        <v>3</v>
      </c>
      <c r="B4" s="869" t="inlineStr">
        <is>
          <t>chanhua</t>
        </is>
      </c>
      <c r="C4" s="869" t="n">
        <v>45877</v>
      </c>
      <c r="D4" s="870" t="inlineStr">
        <is>
          <t>美国比特</t>
        </is>
      </c>
      <c r="E4" s="871" t="inlineStr">
        <is>
          <t>ASEKH</t>
        </is>
      </c>
      <c r="F4" s="872" t="inlineStr">
        <is>
          <t>美国Keytronic</t>
        </is>
      </c>
      <c r="G4" s="871" t="inlineStr">
        <is>
          <t>BM1370BB</t>
        </is>
      </c>
      <c r="H4" s="870">
        <f>VLOOKUP(G4,编码对账表!C:D,2,0)</f>
        <v/>
      </c>
      <c r="I4" s="111" t="n">
        <v>481880</v>
      </c>
      <c r="J4" s="112" t="inlineStr">
        <is>
          <t>BTD202508080011</t>
        </is>
      </c>
      <c r="K4" s="113" t="inlineStr">
        <is>
          <t>1155250809101132</t>
        </is>
      </c>
      <c r="L4" s="873" t="n">
        <v>15.96</v>
      </c>
      <c r="M4" s="874" t="n"/>
      <c r="N4" s="116" t="n"/>
      <c r="O4" s="104" t="n"/>
      <c r="P4" s="105">
        <f>COUNTIF([4]Sheet1!$A:$A,K:K)</f>
        <v/>
      </c>
      <c r="Q4" s="104" t="n"/>
      <c r="R4" s="104" t="n"/>
      <c r="S4" s="876" t="n"/>
      <c r="T4" s="876" t="n"/>
      <c r="U4" s="876" t="n"/>
      <c r="V4" s="876" t="n"/>
      <c r="W4" s="876" t="n"/>
      <c r="X4" s="876" t="n"/>
    </row>
    <row r="5" ht="18" customFormat="1" customHeight="1" s="868">
      <c r="A5" s="106" t="n">
        <v>4</v>
      </c>
      <c r="B5" s="869" t="inlineStr">
        <is>
          <t>chanhua</t>
        </is>
      </c>
      <c r="C5" s="869" t="n">
        <v>45876</v>
      </c>
      <c r="D5" s="870" t="inlineStr">
        <is>
          <t>新加坡比特</t>
        </is>
      </c>
      <c r="E5" s="871" t="inlineStr">
        <is>
          <t>SPILSZ</t>
        </is>
      </c>
      <c r="F5" s="872" t="inlineStr">
        <is>
          <t>Nationgate</t>
        </is>
      </c>
      <c r="G5" s="871" t="inlineStr">
        <is>
          <t>BM1370PF</t>
        </is>
      </c>
      <c r="H5" s="870">
        <f>VLOOKUP(G5,编码对账表!C:D,2,0)</f>
        <v/>
      </c>
      <c r="I5" s="111" t="n">
        <v>410400</v>
      </c>
      <c r="J5" s="112" t="inlineStr">
        <is>
          <t>DPT202508090010</t>
        </is>
      </c>
      <c r="K5" s="113" t="inlineStr">
        <is>
          <t>1403250809125617</t>
        </is>
      </c>
      <c r="L5" s="873" t="n">
        <v>8.558</v>
      </c>
      <c r="M5" s="874" t="n"/>
      <c r="N5" s="116" t="n"/>
      <c r="O5" s="104" t="n"/>
      <c r="P5" s="105">
        <f>COUNTIF([4]Sheet1!$A:$A,K:K)</f>
        <v/>
      </c>
      <c r="Q5" s="104" t="n"/>
      <c r="R5" s="104" t="n"/>
      <c r="S5" s="876" t="n"/>
      <c r="T5" s="876" t="n"/>
      <c r="U5" s="876" t="n"/>
      <c r="V5" s="876" t="n"/>
      <c r="W5" s="876" t="n"/>
      <c r="X5" s="876" t="n"/>
    </row>
    <row r="6" ht="18" customFormat="1" customHeight="1" s="868">
      <c r="A6" s="106" t="n">
        <v>5</v>
      </c>
      <c r="B6" s="869" t="inlineStr">
        <is>
          <t>chanhua</t>
        </is>
      </c>
      <c r="C6" s="869" t="n">
        <v>45876</v>
      </c>
      <c r="D6" s="870" t="inlineStr">
        <is>
          <t>新加坡比特</t>
        </is>
      </c>
      <c r="E6" s="871" t="inlineStr">
        <is>
          <t>NJ-VT</t>
        </is>
      </c>
      <c r="F6" s="872" t="inlineStr">
        <is>
          <t>Nationgate</t>
        </is>
      </c>
      <c r="G6" s="871" t="inlineStr">
        <is>
          <t>BM1370PF</t>
        </is>
      </c>
      <c r="H6" s="870">
        <f>VLOOKUP(G6,编码对账表!C:D,2,0)</f>
        <v/>
      </c>
      <c r="I6" s="111" t="n">
        <v>5927</v>
      </c>
      <c r="J6" s="112" t="inlineStr">
        <is>
          <t>DPT202508090011</t>
        </is>
      </c>
      <c r="K6" s="113" t="inlineStr">
        <is>
          <t>1403250809125623</t>
        </is>
      </c>
      <c r="L6" s="873" t="n">
        <v>8.558</v>
      </c>
      <c r="M6" s="874" t="inlineStr">
        <is>
          <t>是</t>
        </is>
      </c>
      <c r="N6" s="116" t="n"/>
      <c r="O6" s="104" t="n"/>
      <c r="P6" s="105">
        <f>COUNTIF([4]Sheet1!$A:$A,K:K)</f>
        <v/>
      </c>
      <c r="Q6" s="104" t="n"/>
      <c r="R6" s="104" t="n"/>
      <c r="S6" s="876" t="n"/>
      <c r="T6" s="876" t="n"/>
      <c r="U6" s="876" t="n"/>
      <c r="V6" s="876" t="n"/>
      <c r="W6" s="876" t="n"/>
      <c r="X6" s="876" t="n"/>
    </row>
    <row r="7" ht="18" customFormat="1" customHeight="1" s="868">
      <c r="A7" s="106" t="n">
        <v>6</v>
      </c>
      <c r="B7" s="869" t="inlineStr">
        <is>
          <t>chanhua</t>
        </is>
      </c>
      <c r="C7" s="869" t="n">
        <v>45876</v>
      </c>
      <c r="D7" s="870" t="inlineStr">
        <is>
          <t>新加坡比特</t>
        </is>
      </c>
      <c r="E7" s="871" t="inlineStr">
        <is>
          <t>JSCC</t>
        </is>
      </c>
      <c r="F7" s="872" t="inlineStr">
        <is>
          <t>Nationgate</t>
        </is>
      </c>
      <c r="G7" s="871" t="inlineStr">
        <is>
          <t>BM1370PF</t>
        </is>
      </c>
      <c r="H7" s="870">
        <f>VLOOKUP(G7,编码对账表!C:D,2,0)</f>
        <v/>
      </c>
      <c r="I7" s="111" t="n">
        <v>1012</v>
      </c>
      <c r="J7" s="112" t="inlineStr">
        <is>
          <t>DPT202508090012</t>
        </is>
      </c>
      <c r="K7" s="113" t="inlineStr">
        <is>
          <t>1403250809125629</t>
        </is>
      </c>
      <c r="L7" s="873" t="n">
        <v>8.558</v>
      </c>
      <c r="M7" s="874" t="n"/>
      <c r="N7" s="116" t="n"/>
      <c r="O7" s="104" t="n"/>
      <c r="P7" s="105">
        <f>COUNTIF([4]Sheet1!$A:$A,K:K)</f>
        <v/>
      </c>
      <c r="Q7" s="104" t="n"/>
      <c r="R7" s="104" t="n"/>
      <c r="S7" s="876" t="n"/>
      <c r="T7" s="876" t="n"/>
      <c r="U7" s="876" t="n"/>
      <c r="V7" s="876" t="n"/>
      <c r="W7" s="876" t="n"/>
      <c r="X7" s="876" t="n"/>
    </row>
    <row r="8" ht="18" customFormat="1" customHeight="1" s="868">
      <c r="A8" s="106" t="n">
        <v>7</v>
      </c>
      <c r="B8" s="869" t="inlineStr">
        <is>
          <t>chanhua</t>
        </is>
      </c>
      <c r="C8" s="869" t="n">
        <v>45877</v>
      </c>
      <c r="D8" s="870" t="inlineStr">
        <is>
          <t>新加坡比特</t>
        </is>
      </c>
      <c r="E8" s="871" t="inlineStr">
        <is>
          <t>ASEKH</t>
        </is>
      </c>
      <c r="F8" s="872" t="inlineStr">
        <is>
          <t>PIE</t>
        </is>
      </c>
      <c r="G8" s="871" t="inlineStr">
        <is>
          <t>BM1370BB</t>
        </is>
      </c>
      <c r="H8" s="870">
        <f>VLOOKUP(G8,编码对账表!C:D,2,0)</f>
        <v/>
      </c>
      <c r="I8" s="111" t="n">
        <v>95307</v>
      </c>
      <c r="J8" s="112" t="inlineStr">
        <is>
          <t>DPT202508090013</t>
        </is>
      </c>
      <c r="K8" s="113" t="inlineStr">
        <is>
          <t>1403250809125635</t>
        </is>
      </c>
      <c r="L8" s="873" t="n">
        <v>8.558</v>
      </c>
      <c r="M8" s="874" t="n"/>
      <c r="N8" s="116" t="n"/>
      <c r="O8" s="104" t="n"/>
      <c r="P8" s="105">
        <f>COUNTIF([4]Sheet1!$A:$A,K:K)</f>
        <v/>
      </c>
      <c r="Q8" s="104" t="n"/>
      <c r="R8" s="104" t="n"/>
      <c r="S8" s="876" t="n"/>
      <c r="T8" s="876" t="n"/>
      <c r="U8" s="876" t="n"/>
      <c r="V8" s="876" t="n"/>
      <c r="W8" s="876" t="n"/>
      <c r="X8" s="876" t="n"/>
    </row>
    <row r="9" ht="18" customFormat="1" customHeight="1" s="868">
      <c r="A9" s="106" t="n">
        <v>8</v>
      </c>
      <c r="B9" s="869" t="inlineStr">
        <is>
          <t>chanhua</t>
        </is>
      </c>
      <c r="C9" s="869" t="n">
        <v>45876</v>
      </c>
      <c r="D9" s="870" t="inlineStr">
        <is>
          <t>新加坡比特</t>
        </is>
      </c>
      <c r="E9" s="871" t="inlineStr">
        <is>
          <t>NJ-VT</t>
        </is>
      </c>
      <c r="F9" s="872" t="inlineStr">
        <is>
          <t>PIE</t>
        </is>
      </c>
      <c r="G9" s="871" t="inlineStr">
        <is>
          <t>BM1370PA</t>
        </is>
      </c>
      <c r="H9" s="870">
        <f>VLOOKUP(G9,编码对账表!C:D,2,0)</f>
        <v/>
      </c>
      <c r="I9" s="111" t="n">
        <v>51976</v>
      </c>
      <c r="J9" s="112" t="inlineStr">
        <is>
          <t>DPT202508090014</t>
        </is>
      </c>
      <c r="K9" s="113" t="inlineStr">
        <is>
          <t>1403250809125642</t>
        </is>
      </c>
      <c r="L9" s="873" t="n">
        <v>8.558</v>
      </c>
      <c r="M9" s="874" t="inlineStr">
        <is>
          <t>是</t>
        </is>
      </c>
      <c r="N9" s="116" t="n"/>
      <c r="O9" s="104" t="n"/>
      <c r="P9" s="105">
        <f>COUNTIF([4]Sheet1!$A:$A,K:K)</f>
        <v/>
      </c>
      <c r="Q9" s="104" t="n"/>
      <c r="R9" s="104" t="n"/>
      <c r="S9" s="876" t="n"/>
      <c r="T9" s="876" t="n"/>
      <c r="U9" s="876" t="n"/>
      <c r="V9" s="876" t="n"/>
      <c r="W9" s="876" t="n"/>
      <c r="X9" s="876" t="n"/>
    </row>
    <row r="10" ht="18" customFormat="1" customHeight="1" s="868">
      <c r="A10" s="106" t="n">
        <v>9</v>
      </c>
      <c r="B10" s="869" t="inlineStr">
        <is>
          <t>chanhua</t>
        </is>
      </c>
      <c r="C10" s="869" t="n">
        <v>45873</v>
      </c>
      <c r="D10" s="870" t="inlineStr">
        <is>
          <t>新加坡比特</t>
        </is>
      </c>
      <c r="E10" s="871" t="inlineStr">
        <is>
          <t>XJ</t>
        </is>
      </c>
      <c r="F10" s="872" t="inlineStr">
        <is>
          <t>PIE</t>
        </is>
      </c>
      <c r="G10" s="871" t="inlineStr">
        <is>
          <t>BM1370PA</t>
        </is>
      </c>
      <c r="H10" s="870">
        <f>VLOOKUP(G10,编码对账表!C:D,2,0)</f>
        <v/>
      </c>
      <c r="I10" s="111" t="n">
        <v>46890</v>
      </c>
      <c r="J10" s="112" t="inlineStr">
        <is>
          <t>DPT202508090015</t>
        </is>
      </c>
      <c r="K10" s="113" t="inlineStr">
        <is>
          <t>1403250809125648</t>
        </is>
      </c>
      <c r="L10" s="873" t="n">
        <v>8.558</v>
      </c>
      <c r="M10" s="874" t="inlineStr">
        <is>
          <t>是</t>
        </is>
      </c>
      <c r="N10" s="116" t="n"/>
      <c r="O10" s="104" t="n"/>
      <c r="P10" s="105">
        <f>COUNTIF([4]Sheet1!$A:$A,K:K)</f>
        <v/>
      </c>
      <c r="Q10" s="104" t="n"/>
      <c r="R10" s="104" t="n"/>
      <c r="S10" s="876" t="n"/>
      <c r="T10" s="876" t="n"/>
      <c r="U10" s="876" t="n"/>
      <c r="V10" s="876" t="n"/>
      <c r="W10" s="876" t="n"/>
      <c r="X10" s="876" t="n"/>
    </row>
    <row r="11" ht="18" customFormat="1" customHeight="1" s="868">
      <c r="A11" s="106" t="n">
        <v>10</v>
      </c>
      <c r="B11" s="869" t="inlineStr">
        <is>
          <t>chanhua</t>
        </is>
      </c>
      <c r="C11" s="869" t="n">
        <v>45876</v>
      </c>
      <c r="D11" s="870" t="inlineStr">
        <is>
          <t>新加坡比特</t>
        </is>
      </c>
      <c r="E11" s="871" t="inlineStr">
        <is>
          <t>NJ-VT</t>
        </is>
      </c>
      <c r="F11" s="872" t="inlineStr">
        <is>
          <t>墨西哥欧陆通</t>
        </is>
      </c>
      <c r="G11" s="871" t="inlineStr">
        <is>
          <t>BM1370PF</t>
        </is>
      </c>
      <c r="H11" s="870">
        <f>VLOOKUP(G11,编码对账表!C:D,2,0)</f>
        <v/>
      </c>
      <c r="I11" s="111" t="n">
        <v>7916</v>
      </c>
      <c r="J11" s="112" t="inlineStr">
        <is>
          <t>DPT202508090016</t>
        </is>
      </c>
      <c r="K11" s="113" t="inlineStr">
        <is>
          <t>1403250809125654</t>
        </is>
      </c>
      <c r="L11" s="873" t="n">
        <v>8.558</v>
      </c>
      <c r="M11" s="874" t="inlineStr">
        <is>
          <t>是</t>
        </is>
      </c>
      <c r="N11" s="116" t="n"/>
      <c r="O11" s="104" t="n"/>
      <c r="P11" s="105">
        <f>COUNTIF([4]Sheet1!$A:$A,K:K)</f>
        <v/>
      </c>
      <c r="Q11" s="104" t="n"/>
      <c r="R11" s="104" t="n"/>
      <c r="S11" s="876" t="n"/>
      <c r="T11" s="876" t="n"/>
      <c r="U11" s="876" t="n"/>
      <c r="V11" s="876" t="n"/>
      <c r="W11" s="876" t="n"/>
      <c r="X11" s="876" t="n"/>
    </row>
    <row r="12" ht="18" customFormat="1" customHeight="1" s="868">
      <c r="A12" s="106" t="n">
        <v>11</v>
      </c>
      <c r="B12" s="869" t="inlineStr">
        <is>
          <t>chanhua</t>
        </is>
      </c>
      <c r="C12" s="869" t="n">
        <v>45873</v>
      </c>
      <c r="D12" s="870" t="inlineStr">
        <is>
          <t>新加坡比特</t>
        </is>
      </c>
      <c r="E12" s="871" t="inlineStr">
        <is>
          <t>XJ</t>
        </is>
      </c>
      <c r="F12" s="872" t="inlineStr">
        <is>
          <t>印尼奥海</t>
        </is>
      </c>
      <c r="G12" s="871" t="inlineStr">
        <is>
          <t>BM1489</t>
        </is>
      </c>
      <c r="H12" s="870">
        <f>VLOOKUP(G12,编码对账表!C:D,2,0)</f>
        <v/>
      </c>
      <c r="I12" s="111" t="n">
        <v>175851</v>
      </c>
      <c r="J12" s="112" t="inlineStr">
        <is>
          <t>DPT202508090017</t>
        </is>
      </c>
      <c r="K12" s="113" t="inlineStr">
        <is>
          <t>1403250809125704</t>
        </is>
      </c>
      <c r="L12" s="873" t="n">
        <v>5.7281</v>
      </c>
      <c r="M12" s="874" t="inlineStr">
        <is>
          <t>是</t>
        </is>
      </c>
      <c r="N12" s="116" t="n"/>
      <c r="O12" s="104" t="n"/>
      <c r="P12" s="105">
        <f>COUNTIF([4]Sheet1!$A:$A,K:K)</f>
        <v/>
      </c>
      <c r="Q12" s="104" t="n"/>
      <c r="R12" s="104" t="n"/>
      <c r="S12" s="876" t="n"/>
      <c r="T12" s="876" t="n"/>
      <c r="U12" s="876" t="n"/>
      <c r="V12" s="876" t="n"/>
      <c r="W12" s="876" t="n"/>
      <c r="X12" s="876" t="n"/>
    </row>
    <row r="13" ht="18" customFormat="1" customHeight="1" s="868">
      <c r="A13" s="106" t="n">
        <v>12</v>
      </c>
      <c r="B13" s="869" t="inlineStr">
        <is>
          <t>chanhua</t>
        </is>
      </c>
      <c r="C13" s="869" t="n">
        <v>45876</v>
      </c>
      <c r="D13" s="870" t="inlineStr">
        <is>
          <t>新加坡比特</t>
        </is>
      </c>
      <c r="E13" s="871" t="inlineStr">
        <is>
          <t>XJ</t>
        </is>
      </c>
      <c r="F13" s="872" t="inlineStr">
        <is>
          <t>印尼奥海</t>
        </is>
      </c>
      <c r="G13" s="871" t="inlineStr">
        <is>
          <t>BM1491AA</t>
        </is>
      </c>
      <c r="H13" s="870">
        <f>VLOOKUP(G13,编码对账表!C:D,2,0)</f>
        <v/>
      </c>
      <c r="I13" s="111" t="n">
        <v>84454</v>
      </c>
      <c r="J13" s="112" t="inlineStr">
        <is>
          <t>DPT202508090018</t>
        </is>
      </c>
      <c r="K13" s="113" t="inlineStr">
        <is>
          <t>1403250809125710</t>
        </is>
      </c>
      <c r="L13" s="873" t="n">
        <v>12.9574</v>
      </c>
      <c r="M13" s="874" t="inlineStr">
        <is>
          <t>是</t>
        </is>
      </c>
      <c r="N13" s="116" t="n"/>
      <c r="O13" s="104" t="n"/>
      <c r="P13" s="105">
        <f>COUNTIF([4]Sheet1!$A:$A,K:K)</f>
        <v/>
      </c>
      <c r="Q13" s="104" t="n"/>
      <c r="R13" s="104" t="n"/>
      <c r="S13" s="876" t="n"/>
      <c r="T13" s="876" t="n"/>
      <c r="U13" s="876" t="n"/>
      <c r="V13" s="876" t="n"/>
      <c r="W13" s="876" t="n"/>
      <c r="X13" s="876" t="n"/>
    </row>
    <row r="14" ht="18" customFormat="1" customHeight="1" s="868">
      <c r="A14" s="106" t="n">
        <v>13</v>
      </c>
      <c r="B14" s="869" t="inlineStr">
        <is>
          <t>chanhua</t>
        </is>
      </c>
      <c r="C14" s="869" t="n">
        <v>45876</v>
      </c>
      <c r="D14" s="870" t="inlineStr">
        <is>
          <t>新加坡比特</t>
        </is>
      </c>
      <c r="E14" s="871" t="inlineStr">
        <is>
          <t>NJ-VT</t>
        </is>
      </c>
      <c r="F14" s="872" t="inlineStr">
        <is>
          <t>印尼奥海</t>
        </is>
      </c>
      <c r="G14" s="871" t="inlineStr">
        <is>
          <t>BM1370PF</t>
        </is>
      </c>
      <c r="H14" s="870">
        <f>VLOOKUP(G14,编码对账表!C:D,2,0)</f>
        <v/>
      </c>
      <c r="I14" s="111" t="n">
        <v>41147</v>
      </c>
      <c r="J14" s="112" t="inlineStr">
        <is>
          <t>DPT202508090019</t>
        </is>
      </c>
      <c r="K14" s="113" t="inlineStr">
        <is>
          <t>1403250809125718</t>
        </is>
      </c>
      <c r="L14" s="873" t="n">
        <v>8.558</v>
      </c>
      <c r="M14" s="874" t="inlineStr">
        <is>
          <t>是</t>
        </is>
      </c>
      <c r="N14" s="116" t="n"/>
      <c r="O14" s="104" t="n"/>
      <c r="P14" s="105">
        <f>COUNTIF([4]Sheet1!$A:$A,K:K)</f>
        <v/>
      </c>
      <c r="Q14" s="104" t="n"/>
      <c r="R14" s="104" t="n"/>
      <c r="S14" s="876" t="n"/>
      <c r="T14" s="876" t="n"/>
      <c r="U14" s="876" t="n"/>
      <c r="V14" s="876" t="n"/>
      <c r="W14" s="876" t="n"/>
      <c r="X14" s="876" t="n"/>
    </row>
    <row r="15" ht="18" customFormat="1" customHeight="1" s="868">
      <c r="A15" s="106" t="n">
        <v>14</v>
      </c>
      <c r="B15" s="869" t="inlineStr">
        <is>
          <t>chanhua</t>
        </is>
      </c>
      <c r="C15" s="869" t="n">
        <v>45876</v>
      </c>
      <c r="D15" s="870" t="inlineStr">
        <is>
          <t>新加坡比特</t>
        </is>
      </c>
      <c r="E15" s="871" t="inlineStr">
        <is>
          <t>JSCC</t>
        </is>
      </c>
      <c r="F15" s="872" t="inlineStr">
        <is>
          <t>印尼奥海</t>
        </is>
      </c>
      <c r="G15" s="871" t="inlineStr">
        <is>
          <t>BM1370PF</t>
        </is>
      </c>
      <c r="H15" s="870">
        <f>VLOOKUP(G15,编码对账表!C:D,2,0)</f>
        <v/>
      </c>
      <c r="I15" s="111" t="n">
        <v>239236</v>
      </c>
      <c r="J15" s="112" t="inlineStr">
        <is>
          <t>DPT202508090020</t>
        </is>
      </c>
      <c r="K15" s="113" t="inlineStr">
        <is>
          <t>1403250809125724</t>
        </is>
      </c>
      <c r="L15" s="873" t="n">
        <v>8.558</v>
      </c>
      <c r="M15" s="874" t="n"/>
      <c r="N15" s="116" t="n"/>
      <c r="O15" s="104" t="n"/>
      <c r="P15" s="105">
        <f>COUNTIF([4]Sheet1!$A:$A,K:K)</f>
        <v/>
      </c>
      <c r="Q15" s="104" t="n"/>
      <c r="R15" s="104" t="n"/>
      <c r="S15" s="876" t="n"/>
      <c r="T15" s="876" t="n"/>
      <c r="U15" s="876" t="n"/>
      <c r="V15" s="876" t="n"/>
      <c r="W15" s="876" t="n"/>
      <c r="X15" s="876" t="n"/>
    </row>
    <row r="16" ht="18" customFormat="1" customHeight="1" s="868">
      <c r="A16" s="106" t="n">
        <v>15</v>
      </c>
      <c r="B16" s="869" t="inlineStr">
        <is>
          <t>chanhua</t>
        </is>
      </c>
      <c r="C16" s="869" t="n">
        <v>45876</v>
      </c>
      <c r="D16" s="870" t="inlineStr">
        <is>
          <t>新加坡比特</t>
        </is>
      </c>
      <c r="E16" s="871" t="inlineStr">
        <is>
          <t>NJ-VT</t>
        </is>
      </c>
      <c r="F16" s="872" t="inlineStr">
        <is>
          <t>泰国群光</t>
        </is>
      </c>
      <c r="G16" s="871" t="inlineStr">
        <is>
          <t>BM1370PA</t>
        </is>
      </c>
      <c r="H16" s="870">
        <f>VLOOKUP(G16,编码对账表!C:D,2,0)</f>
        <v/>
      </c>
      <c r="I16" s="111" t="n">
        <v>69123</v>
      </c>
      <c r="J16" s="112" t="inlineStr">
        <is>
          <t>DPT202508090021</t>
        </is>
      </c>
      <c r="K16" s="113" t="inlineStr">
        <is>
          <t>1403250809125729</t>
        </is>
      </c>
      <c r="L16" s="873" t="n">
        <v>8.558</v>
      </c>
      <c r="M16" s="874" t="n"/>
      <c r="N16" s="116" t="n"/>
      <c r="O16" s="104" t="n"/>
      <c r="P16" s="105">
        <f>COUNTIF([4]Sheet1!$A:$A,K:K)</f>
        <v/>
      </c>
      <c r="Q16" s="104" t="n"/>
      <c r="R16" s="104" t="n"/>
      <c r="S16" s="876" t="n"/>
      <c r="T16" s="876" t="n"/>
      <c r="U16" s="876" t="n"/>
      <c r="V16" s="876" t="n"/>
      <c r="W16" s="876" t="n"/>
      <c r="X16" s="876" t="n"/>
    </row>
    <row r="17" ht="18" customFormat="1" customHeight="1" s="868">
      <c r="A17" s="106" t="n">
        <v>16</v>
      </c>
      <c r="B17" s="869" t="inlineStr">
        <is>
          <t>chanhua</t>
        </is>
      </c>
      <c r="C17" s="869" t="n">
        <v>45876</v>
      </c>
      <c r="D17" s="870" t="inlineStr">
        <is>
          <t>新加坡比特</t>
        </is>
      </c>
      <c r="E17" s="871" t="inlineStr">
        <is>
          <t>JSCC</t>
        </is>
      </c>
      <c r="F17" s="872" t="inlineStr">
        <is>
          <t>泰国群光</t>
        </is>
      </c>
      <c r="G17" s="871" t="inlineStr">
        <is>
          <t>BM1370BC</t>
        </is>
      </c>
      <c r="H17" s="870">
        <f>VLOOKUP(G17,编码对账表!C:D,2,0)</f>
        <v/>
      </c>
      <c r="I17" s="111" t="n">
        <v>361853</v>
      </c>
      <c r="J17" s="112" t="inlineStr">
        <is>
          <t>DPT202508090022</t>
        </is>
      </c>
      <c r="K17" s="113" t="inlineStr">
        <is>
          <t>1403250809125735</t>
        </is>
      </c>
      <c r="L17" s="873" t="n">
        <v>8.558</v>
      </c>
      <c r="M17" s="874" t="n"/>
      <c r="N17" s="116" t="n"/>
      <c r="O17" s="104" t="n"/>
      <c r="P17" s="105">
        <f>COUNTIF([4]Sheet1!$A:$A,K:K)</f>
        <v/>
      </c>
      <c r="Q17" s="104" t="n"/>
      <c r="R17" s="104" t="n"/>
      <c r="S17" s="876" t="n"/>
      <c r="T17" s="876" t="n"/>
      <c r="U17" s="876" t="n"/>
      <c r="V17" s="876" t="n"/>
      <c r="W17" s="876" t="n"/>
      <c r="X17" s="876" t="n"/>
    </row>
    <row r="18" ht="18" customFormat="1" customHeight="1" s="868">
      <c r="A18" s="106" t="n">
        <v>17</v>
      </c>
      <c r="B18" s="869" t="inlineStr">
        <is>
          <t>chanhua</t>
        </is>
      </c>
      <c r="C18" s="869" t="n">
        <v>45877</v>
      </c>
      <c r="D18" s="870" t="inlineStr">
        <is>
          <t>新加坡比特</t>
        </is>
      </c>
      <c r="E18" s="871" t="inlineStr">
        <is>
          <t>XJ</t>
        </is>
      </c>
      <c r="F18" s="872" t="inlineStr">
        <is>
          <t>墨西哥欧陆通</t>
        </is>
      </c>
      <c r="G18" s="871" t="inlineStr">
        <is>
          <t>BM1370PF</t>
        </is>
      </c>
      <c r="H18" s="870">
        <f>VLOOKUP(G18,编码对账表!C:D,2,0)</f>
        <v/>
      </c>
      <c r="I18" s="111" t="n">
        <v>647262</v>
      </c>
      <c r="J18" s="112" t="inlineStr">
        <is>
          <t>DPT202508150010</t>
        </is>
      </c>
      <c r="K18" s="113" t="inlineStr">
        <is>
          <t>1403250815160147</t>
        </is>
      </c>
      <c r="L18" s="873" t="n">
        <v>8.558</v>
      </c>
      <c r="M18" s="874" t="inlineStr">
        <is>
          <t>是</t>
        </is>
      </c>
      <c r="N18" s="116" t="n"/>
      <c r="O18" s="104" t="n"/>
      <c r="P18" s="105">
        <f>COUNTIF([4]Sheet1!$A:$A,K:K)</f>
        <v/>
      </c>
      <c r="Q18" s="104" t="n"/>
      <c r="R18" s="104" t="n"/>
      <c r="S18" s="876" t="n"/>
      <c r="T18" s="876" t="n"/>
      <c r="U18" s="876" t="n"/>
      <c r="V18" s="876" t="n"/>
      <c r="W18" s="876" t="n"/>
      <c r="X18" s="876" t="n"/>
    </row>
    <row r="19" ht="18" customFormat="1" customHeight="1" s="868">
      <c r="A19" s="106" t="n">
        <v>18</v>
      </c>
      <c r="B19" s="869" t="inlineStr">
        <is>
          <t>chanhua</t>
        </is>
      </c>
      <c r="C19" s="869" t="n">
        <v>45883</v>
      </c>
      <c r="D19" s="870" t="inlineStr">
        <is>
          <t>新加坡比特</t>
        </is>
      </c>
      <c r="E19" s="871" t="inlineStr">
        <is>
          <t>SPILSZ</t>
        </is>
      </c>
      <c r="F19" s="872" t="inlineStr">
        <is>
          <t>墨西哥欧陆通</t>
        </is>
      </c>
      <c r="G19" s="871" t="inlineStr">
        <is>
          <t>BM1370PF</t>
        </is>
      </c>
      <c r="H19" s="870">
        <f>VLOOKUP(G19,编码对账表!C:D,2,0)</f>
        <v/>
      </c>
      <c r="I19" s="111" t="n">
        <v>83600</v>
      </c>
      <c r="J19" s="112" t="inlineStr">
        <is>
          <t>DPT202508150011</t>
        </is>
      </c>
      <c r="K19" s="113" t="inlineStr">
        <is>
          <t>1403250815160153</t>
        </is>
      </c>
      <c r="L19" s="873" t="n">
        <v>8.558</v>
      </c>
      <c r="M19" s="874" t="n"/>
      <c r="N19" s="116" t="n"/>
      <c r="O19" s="104" t="n"/>
      <c r="P19" s="105">
        <f>COUNTIF([4]Sheet1!$A:$A,K:K)</f>
        <v/>
      </c>
      <c r="Q19" s="104" t="n"/>
      <c r="R19" s="104" t="n"/>
      <c r="S19" s="876" t="n"/>
      <c r="T19" s="876" t="n"/>
      <c r="U19" s="876" t="n"/>
      <c r="V19" s="876" t="n"/>
      <c r="W19" s="876" t="n"/>
      <c r="X19" s="876" t="n"/>
    </row>
    <row r="20" ht="18" customFormat="1" customHeight="1" s="868">
      <c r="A20" s="106" t="n">
        <v>19</v>
      </c>
      <c r="B20" s="869" t="inlineStr">
        <is>
          <t>chanhua</t>
        </is>
      </c>
      <c r="C20" s="869" t="n">
        <v>45883</v>
      </c>
      <c r="D20" s="870" t="inlineStr">
        <is>
          <t>新加坡比特</t>
        </is>
      </c>
      <c r="E20" s="871" t="inlineStr">
        <is>
          <t>JSCC</t>
        </is>
      </c>
      <c r="F20" s="872" t="inlineStr">
        <is>
          <t>墨西哥欧陆通</t>
        </is>
      </c>
      <c r="G20" s="871" t="inlineStr">
        <is>
          <t>BM1370PF</t>
        </is>
      </c>
      <c r="H20" s="870">
        <f>VLOOKUP(G20,编码对账表!C:D,2,0)</f>
        <v/>
      </c>
      <c r="I20" s="111" t="n">
        <v>180370</v>
      </c>
      <c r="J20" s="112" t="inlineStr">
        <is>
          <t>DPT202508150012</t>
        </is>
      </c>
      <c r="K20" s="113" t="inlineStr">
        <is>
          <t>1403250815160159</t>
        </is>
      </c>
      <c r="L20" s="873" t="n">
        <v>8.558</v>
      </c>
      <c r="M20" s="874" t="n"/>
      <c r="N20" s="116" t="n"/>
      <c r="O20" s="104" t="n"/>
      <c r="P20" s="105">
        <f>COUNTIF([4]Sheet1!$A:$A,K:K)</f>
        <v/>
      </c>
      <c r="Q20" s="104" t="n"/>
      <c r="R20" s="104" t="n"/>
      <c r="S20" s="876" t="n"/>
      <c r="T20" s="876" t="n"/>
      <c r="U20" s="876" t="n"/>
      <c r="V20" s="876" t="n"/>
      <c r="W20" s="876" t="n"/>
      <c r="X20" s="876" t="n"/>
    </row>
    <row r="21" ht="18" customFormat="1" customHeight="1" s="868">
      <c r="A21" s="106" t="n">
        <v>20</v>
      </c>
      <c r="B21" s="869" t="inlineStr">
        <is>
          <t>chanhua</t>
        </is>
      </c>
      <c r="C21" s="869" t="n">
        <v>45876</v>
      </c>
      <c r="D21" s="870" t="inlineStr">
        <is>
          <t>新加坡比特</t>
        </is>
      </c>
      <c r="E21" s="871" t="inlineStr">
        <is>
          <t>JSCC</t>
        </is>
      </c>
      <c r="F21" s="872" t="inlineStr">
        <is>
          <t>墨西哥欧陆通</t>
        </is>
      </c>
      <c r="G21" s="871" t="inlineStr">
        <is>
          <t>BM1370PF</t>
        </is>
      </c>
      <c r="H21" s="870">
        <f>VLOOKUP(G21,编码对账表!C:D,2,0)</f>
        <v/>
      </c>
      <c r="I21" s="111" t="n">
        <v>7489</v>
      </c>
      <c r="J21" s="112" t="inlineStr">
        <is>
          <t>DPT202508150013</t>
        </is>
      </c>
      <c r="K21" s="113" t="inlineStr">
        <is>
          <t>1403250815160215</t>
        </is>
      </c>
      <c r="L21" s="873" t="n">
        <v>8.558</v>
      </c>
      <c r="M21" s="874" t="n"/>
      <c r="N21" s="116" t="n"/>
      <c r="O21" s="104" t="n"/>
      <c r="P21" s="105">
        <f>COUNTIF([4]Sheet1!$A:$A,K:K)</f>
        <v/>
      </c>
      <c r="Q21" s="104" t="n"/>
      <c r="R21" s="104" t="n"/>
      <c r="S21" s="876" t="n"/>
      <c r="T21" s="876" t="n"/>
      <c r="U21" s="876" t="n"/>
      <c r="V21" s="876" t="n"/>
      <c r="W21" s="876" t="n"/>
      <c r="X21" s="876" t="n"/>
    </row>
    <row r="22" ht="18" customFormat="1" customHeight="1" s="868">
      <c r="A22" s="106" t="n">
        <v>21</v>
      </c>
      <c r="B22" s="869" t="inlineStr">
        <is>
          <t>chanhua</t>
        </is>
      </c>
      <c r="C22" s="869" t="n">
        <v>45883</v>
      </c>
      <c r="D22" s="870" t="inlineStr">
        <is>
          <t>新加坡比特</t>
        </is>
      </c>
      <c r="E22" s="871" t="inlineStr">
        <is>
          <t>SPILSZ</t>
        </is>
      </c>
      <c r="F22" s="872" t="inlineStr">
        <is>
          <t>Nationgate</t>
        </is>
      </c>
      <c r="G22" s="871" t="inlineStr">
        <is>
          <t>BM1370PF</t>
        </is>
      </c>
      <c r="H22" s="870">
        <f>VLOOKUP(G22,编码对账表!C:D,2,0)</f>
        <v/>
      </c>
      <c r="I22" s="111" t="n">
        <v>144400</v>
      </c>
      <c r="J22" s="112" t="inlineStr">
        <is>
          <t>DPT202508150014</t>
        </is>
      </c>
      <c r="K22" s="113" t="inlineStr">
        <is>
          <t>1403250815160218</t>
        </is>
      </c>
      <c r="L22" s="873" t="n">
        <v>8.558</v>
      </c>
      <c r="M22" s="874" t="n"/>
      <c r="N22" s="116" t="n"/>
      <c r="O22" s="104" t="n"/>
      <c r="P22" s="105">
        <f>COUNTIF([4]Sheet1!$A:$A,K:K)</f>
        <v/>
      </c>
      <c r="Q22" s="104" t="n"/>
      <c r="R22" s="104" t="n"/>
      <c r="S22" s="876" t="n"/>
      <c r="T22" s="876" t="n"/>
      <c r="U22" s="876" t="n"/>
      <c r="V22" s="876" t="n"/>
      <c r="W22" s="876" t="n"/>
      <c r="X22" s="876" t="n"/>
    </row>
    <row r="23" ht="18" customFormat="1" customHeight="1" s="868">
      <c r="A23" s="106" t="n">
        <v>22</v>
      </c>
      <c r="B23" s="869" t="inlineStr">
        <is>
          <t>chanhua</t>
        </is>
      </c>
      <c r="C23" s="869" t="n">
        <v>45877</v>
      </c>
      <c r="D23" s="870" t="inlineStr">
        <is>
          <t>新加坡比特</t>
        </is>
      </c>
      <c r="E23" s="871" t="inlineStr">
        <is>
          <t>XJ</t>
        </is>
      </c>
      <c r="F23" s="872" t="inlineStr">
        <is>
          <t>Nationgate</t>
        </is>
      </c>
      <c r="G23" s="871" t="inlineStr">
        <is>
          <t>BM1370PF</t>
        </is>
      </c>
      <c r="H23" s="870">
        <f>VLOOKUP(G23,编码对账表!C:D,2,0)</f>
        <v/>
      </c>
      <c r="I23" s="111" t="n">
        <v>171272</v>
      </c>
      <c r="J23" s="112" t="inlineStr">
        <is>
          <t>DPT202508150015</t>
        </is>
      </c>
      <c r="K23" s="113" t="inlineStr">
        <is>
          <t>1403250815160225</t>
        </is>
      </c>
      <c r="L23" s="873" t="n">
        <v>8.558</v>
      </c>
      <c r="M23" s="874" t="inlineStr">
        <is>
          <t>是</t>
        </is>
      </c>
      <c r="N23" s="116" t="n"/>
      <c r="O23" s="104" t="n"/>
      <c r="P23" s="105">
        <f>COUNTIF([4]Sheet1!$A:$A,K:K)</f>
        <v/>
      </c>
      <c r="Q23" s="104" t="n"/>
      <c r="R23" s="104" t="n"/>
      <c r="S23" s="876" t="n"/>
      <c r="T23" s="876" t="n"/>
      <c r="U23" s="876" t="n"/>
      <c r="V23" s="876" t="n"/>
      <c r="W23" s="876" t="n"/>
      <c r="X23" s="876" t="n"/>
    </row>
    <row r="24" ht="18" customFormat="1" customHeight="1" s="868">
      <c r="A24" s="106" t="n">
        <v>23</v>
      </c>
      <c r="B24" s="869" t="inlineStr">
        <is>
          <t>chanhua</t>
        </is>
      </c>
      <c r="C24" s="869" t="n">
        <v>45883</v>
      </c>
      <c r="D24" s="870" t="inlineStr">
        <is>
          <t>新加坡比特</t>
        </is>
      </c>
      <c r="E24" s="871" t="inlineStr">
        <is>
          <t>JSCC</t>
        </is>
      </c>
      <c r="F24" s="872" t="inlineStr">
        <is>
          <t>Nationgate</t>
        </is>
      </c>
      <c r="G24" s="871" t="inlineStr">
        <is>
          <t>BM1370PM</t>
        </is>
      </c>
      <c r="H24" s="870">
        <f>VLOOKUP(G24,编码对账表!C:D,2,0)</f>
        <v/>
      </c>
      <c r="I24" s="111" t="n">
        <v>437574</v>
      </c>
      <c r="J24" s="112" t="inlineStr">
        <is>
          <t>DPT202508190011</t>
        </is>
      </c>
      <c r="K24" s="113" t="inlineStr">
        <is>
          <t>1403250819152208</t>
        </is>
      </c>
      <c r="L24" s="873" t="n">
        <v>8.558</v>
      </c>
      <c r="M24" s="874" t="n"/>
      <c r="N24" s="116" t="n"/>
      <c r="O24" s="104" t="n"/>
      <c r="P24" s="105">
        <f>COUNTIF([4]Sheet1!$A:$A,K:K)</f>
        <v/>
      </c>
      <c r="Q24" s="104" t="n"/>
      <c r="R24" s="104" t="n"/>
      <c r="S24" s="876" t="n"/>
      <c r="T24" s="876" t="n"/>
      <c r="U24" s="876" t="n"/>
      <c r="V24" s="876" t="n"/>
      <c r="W24" s="876" t="n"/>
      <c r="X24" s="876" t="n"/>
    </row>
    <row r="25" ht="18" customFormat="1" customHeight="1" s="868">
      <c r="A25" s="106" t="n">
        <v>24</v>
      </c>
      <c r="B25" s="869" t="inlineStr">
        <is>
          <t>chanhua</t>
        </is>
      </c>
      <c r="C25" s="869" t="n">
        <v>45877</v>
      </c>
      <c r="D25" s="870" t="inlineStr">
        <is>
          <t>新加坡比特</t>
        </is>
      </c>
      <c r="E25" s="871" t="inlineStr">
        <is>
          <t>XJ</t>
        </is>
      </c>
      <c r="F25" s="872" t="inlineStr">
        <is>
          <t>泰国群光</t>
        </is>
      </c>
      <c r="G25" s="871" t="inlineStr">
        <is>
          <t>BM1370PA</t>
        </is>
      </c>
      <c r="H25" s="870">
        <f>VLOOKUP(G25,编码对账表!C:D,2,0)</f>
        <v/>
      </c>
      <c r="I25" s="111" t="n">
        <v>252557</v>
      </c>
      <c r="J25" s="112" t="inlineStr">
        <is>
          <t>DPT202508150017</t>
        </is>
      </c>
      <c r="K25" s="113" t="inlineStr">
        <is>
          <t>1403250815160240</t>
        </is>
      </c>
      <c r="L25" s="873" t="n">
        <v>8.558</v>
      </c>
      <c r="M25" s="874" t="inlineStr">
        <is>
          <t>是</t>
        </is>
      </c>
      <c r="N25" s="116" t="n"/>
      <c r="O25" s="104" t="n"/>
      <c r="P25" s="105">
        <f>COUNTIF([4]Sheet1!$A:$A,K:K)</f>
        <v/>
      </c>
      <c r="Q25" s="104" t="n"/>
      <c r="R25" s="104" t="n"/>
      <c r="S25" s="876" t="n"/>
      <c r="T25" s="876" t="n"/>
      <c r="U25" s="876" t="n"/>
      <c r="V25" s="876" t="n"/>
      <c r="W25" s="876" t="n"/>
      <c r="X25" s="876" t="n"/>
    </row>
    <row r="26" ht="18" customFormat="1" customHeight="1" s="868">
      <c r="A26" s="106" t="n">
        <v>25</v>
      </c>
      <c r="B26" s="869" t="inlineStr">
        <is>
          <t>chanhua</t>
        </is>
      </c>
      <c r="C26" s="869" t="n">
        <v>45877</v>
      </c>
      <c r="D26" s="870" t="inlineStr">
        <is>
          <t>新加坡比特</t>
        </is>
      </c>
      <c r="E26" s="871" t="inlineStr">
        <is>
          <t>XJ</t>
        </is>
      </c>
      <c r="F26" s="872" t="inlineStr">
        <is>
          <t>PIE</t>
        </is>
      </c>
      <c r="G26" s="871" t="inlineStr">
        <is>
          <t>BM1370PF</t>
        </is>
      </c>
      <c r="H26" s="870">
        <f>VLOOKUP(G26,编码对账表!C:D,2,0)</f>
        <v/>
      </c>
      <c r="I26" s="111" t="n">
        <v>139627</v>
      </c>
      <c r="J26" s="112" t="inlineStr">
        <is>
          <t>DPT202508150018</t>
        </is>
      </c>
      <c r="K26" s="113" t="inlineStr">
        <is>
          <t>1403250815160247</t>
        </is>
      </c>
      <c r="L26" s="873" t="n">
        <v>8.558</v>
      </c>
      <c r="M26" s="874" t="inlineStr">
        <is>
          <t>是</t>
        </is>
      </c>
      <c r="N26" s="116" t="n"/>
      <c r="O26" s="104" t="n"/>
      <c r="P26" s="105">
        <f>COUNTIF([4]Sheet1!$A:$A,K:K)</f>
        <v/>
      </c>
      <c r="Q26" s="104" t="n"/>
      <c r="R26" s="104" t="n"/>
      <c r="S26" s="876" t="n"/>
      <c r="T26" s="876" t="n"/>
      <c r="U26" s="876" t="n"/>
      <c r="V26" s="876" t="n"/>
      <c r="W26" s="876" t="n"/>
      <c r="X26" s="876" t="n"/>
    </row>
    <row r="27" ht="18" customFormat="1" customHeight="1" s="868">
      <c r="A27" s="106" t="n">
        <v>26</v>
      </c>
      <c r="B27" s="869" t="inlineStr">
        <is>
          <t>chanhua</t>
        </is>
      </c>
      <c r="C27" s="869" t="n">
        <v>45883</v>
      </c>
      <c r="D27" s="870" t="inlineStr">
        <is>
          <t>新加坡比特</t>
        </is>
      </c>
      <c r="E27" s="871" t="inlineStr">
        <is>
          <t>XJ</t>
        </is>
      </c>
      <c r="F27" s="872" t="inlineStr">
        <is>
          <t>PIE</t>
        </is>
      </c>
      <c r="G27" s="871" t="inlineStr">
        <is>
          <t>BM1370PA</t>
        </is>
      </c>
      <c r="H27" s="870">
        <f>VLOOKUP(G27,编码对账表!C:D,2,0)</f>
        <v/>
      </c>
      <c r="I27" s="111" t="n">
        <v>64582</v>
      </c>
      <c r="J27" s="112" t="inlineStr">
        <is>
          <t>DPT202508150019</t>
        </is>
      </c>
      <c r="K27" s="113" t="inlineStr">
        <is>
          <t>1403250815160255</t>
        </is>
      </c>
      <c r="L27" s="873" t="n">
        <v>8.558</v>
      </c>
      <c r="M27" s="874" t="inlineStr">
        <is>
          <t>是</t>
        </is>
      </c>
      <c r="N27" s="116" t="n"/>
      <c r="O27" s="104" t="n"/>
      <c r="P27" s="105">
        <f>COUNTIF([4]Sheet1!$A:$A,K:K)</f>
        <v/>
      </c>
      <c r="Q27" s="104" t="n"/>
      <c r="R27" s="104" t="n"/>
      <c r="S27" s="876" t="n"/>
      <c r="T27" s="876" t="n"/>
      <c r="U27" s="876" t="n"/>
      <c r="V27" s="876" t="n"/>
      <c r="W27" s="876" t="n"/>
      <c r="X27" s="876" t="n"/>
    </row>
    <row r="28" ht="18" customFormat="1" customHeight="1" s="868">
      <c r="A28" s="106" t="n">
        <v>27</v>
      </c>
      <c r="B28" s="869" t="inlineStr">
        <is>
          <t>chanhua</t>
        </is>
      </c>
      <c r="C28" s="869" t="n">
        <v>45883</v>
      </c>
      <c r="D28" s="870" t="inlineStr">
        <is>
          <t>新加坡比特</t>
        </is>
      </c>
      <c r="E28" s="871" t="inlineStr">
        <is>
          <t>JSCC</t>
        </is>
      </c>
      <c r="F28" s="872" t="inlineStr">
        <is>
          <t>PIE</t>
        </is>
      </c>
      <c r="G28" s="871" t="inlineStr">
        <is>
          <t>BM1370PA</t>
        </is>
      </c>
      <c r="H28" s="870">
        <f>VLOOKUP(G28,编码对账表!C:D,2,0)</f>
        <v/>
      </c>
      <c r="I28" s="111" t="n">
        <v>8839</v>
      </c>
      <c r="J28" s="112" t="inlineStr">
        <is>
          <t>DPT202508150020</t>
        </is>
      </c>
      <c r="K28" s="113" t="inlineStr">
        <is>
          <t>1403250815160305</t>
        </is>
      </c>
      <c r="L28" s="873" t="n">
        <v>8.558</v>
      </c>
      <c r="M28" s="874" t="inlineStr">
        <is>
          <t>是</t>
        </is>
      </c>
      <c r="N28" s="116" t="n"/>
      <c r="O28" s="104" t="n"/>
      <c r="P28" s="105">
        <f>COUNTIF([4]Sheet1!$A:$A,K:K)</f>
        <v/>
      </c>
      <c r="Q28" s="104" t="n"/>
      <c r="R28" s="104" t="n"/>
      <c r="S28" s="876" t="n"/>
      <c r="T28" s="876" t="n"/>
      <c r="U28" s="876" t="n"/>
      <c r="V28" s="876" t="n"/>
      <c r="W28" s="876" t="n"/>
      <c r="X28" s="876" t="n"/>
    </row>
    <row r="29" ht="18" customFormat="1" customHeight="1" s="868">
      <c r="A29" s="106" t="n">
        <v>28</v>
      </c>
      <c r="B29" s="869" t="inlineStr">
        <is>
          <t>chanhua</t>
        </is>
      </c>
      <c r="C29" s="869" t="n">
        <v>45883</v>
      </c>
      <c r="D29" s="870" t="inlineStr">
        <is>
          <t>新加坡比特</t>
        </is>
      </c>
      <c r="E29" s="871" t="inlineStr">
        <is>
          <t>JSCC</t>
        </is>
      </c>
      <c r="F29" s="872" t="inlineStr">
        <is>
          <t>PIE</t>
        </is>
      </c>
      <c r="G29" s="871" t="inlineStr">
        <is>
          <t>BM1370AA</t>
        </is>
      </c>
      <c r="H29" s="870">
        <f>VLOOKUP(G29,编码对账表!C:D,2,0)</f>
        <v/>
      </c>
      <c r="I29" s="111" t="n">
        <v>416</v>
      </c>
      <c r="J29" s="112" t="inlineStr">
        <is>
          <t>DPT202508150021</t>
        </is>
      </c>
      <c r="K29" s="113" t="inlineStr">
        <is>
          <t>1403250815160311</t>
        </is>
      </c>
      <c r="L29" s="873" t="n">
        <v>8.558</v>
      </c>
      <c r="M29" s="874" t="inlineStr">
        <is>
          <t>是</t>
        </is>
      </c>
      <c r="N29" s="116" t="n"/>
      <c r="O29" s="104" t="n"/>
      <c r="P29" s="105">
        <f>COUNTIF([4]Sheet1!$A:$A,K:K)</f>
        <v/>
      </c>
      <c r="Q29" s="104" t="n"/>
      <c r="R29" s="104" t="n"/>
      <c r="S29" s="876" t="n"/>
      <c r="T29" s="876" t="n"/>
      <c r="U29" s="876" t="n"/>
      <c r="V29" s="876" t="n"/>
      <c r="W29" s="876" t="n"/>
      <c r="X29" s="876" t="n"/>
    </row>
    <row r="30" ht="18" customFormat="1" customHeight="1" s="868">
      <c r="A30" s="106" t="n">
        <v>29</v>
      </c>
      <c r="B30" s="869" t="inlineStr">
        <is>
          <t>chanhua</t>
        </is>
      </c>
      <c r="C30" s="869" t="n">
        <v>45882</v>
      </c>
      <c r="D30" s="870" t="inlineStr">
        <is>
          <t>新加坡比特</t>
        </is>
      </c>
      <c r="E30" s="871" t="inlineStr">
        <is>
          <t>XJ</t>
        </is>
      </c>
      <c r="F30" s="872" t="inlineStr">
        <is>
          <t>印尼奥海</t>
        </is>
      </c>
      <c r="G30" s="871" t="inlineStr">
        <is>
          <t>BM1489</t>
        </is>
      </c>
      <c r="H30" s="870">
        <f>VLOOKUP(G30,编码对账表!C:D,2,0)</f>
        <v/>
      </c>
      <c r="I30" s="111" t="n">
        <v>39622</v>
      </c>
      <c r="J30" s="112" t="inlineStr">
        <is>
          <t>DPT202508150022</t>
        </is>
      </c>
      <c r="K30" s="113" t="inlineStr">
        <is>
          <t>1403250815160319</t>
        </is>
      </c>
      <c r="L30" s="873" t="n">
        <v>5.7281</v>
      </c>
      <c r="M30" s="874" t="inlineStr">
        <is>
          <t>是</t>
        </is>
      </c>
      <c r="N30" s="116" t="n"/>
      <c r="O30" s="104" t="n"/>
      <c r="P30" s="105">
        <f>COUNTIF([4]Sheet1!$A:$A,K:K)</f>
        <v/>
      </c>
      <c r="Q30" s="104" t="n"/>
      <c r="R30" s="104" t="n"/>
      <c r="S30" s="876" t="n"/>
      <c r="T30" s="876" t="n"/>
      <c r="U30" s="876" t="n"/>
      <c r="V30" s="876" t="n"/>
      <c r="W30" s="876" t="n"/>
      <c r="X30" s="876" t="n"/>
    </row>
    <row r="31" ht="18" customFormat="1" customHeight="1" s="868">
      <c r="A31" s="106" t="n">
        <v>30</v>
      </c>
      <c r="B31" s="869" t="inlineStr">
        <is>
          <t>chanhua</t>
        </is>
      </c>
      <c r="C31" s="869" t="n">
        <v>45884</v>
      </c>
      <c r="D31" s="870" t="inlineStr">
        <is>
          <t>新加坡比特</t>
        </is>
      </c>
      <c r="E31" s="871" t="inlineStr">
        <is>
          <t>XJ</t>
        </is>
      </c>
      <c r="F31" s="872" t="inlineStr">
        <is>
          <t>墨西哥欧陆通</t>
        </is>
      </c>
      <c r="G31" s="871" t="inlineStr">
        <is>
          <t>BM1370PF</t>
        </is>
      </c>
      <c r="H31" s="870">
        <f>VLOOKUP(G31,编码对账表!C:D,2,0)</f>
        <v/>
      </c>
      <c r="I31" s="111" t="n">
        <v>5882</v>
      </c>
      <c r="J31" s="112" t="inlineStr">
        <is>
          <t>DPT202508170010</t>
        </is>
      </c>
      <c r="K31" s="113" t="inlineStr">
        <is>
          <t>1403250817145905</t>
        </is>
      </c>
      <c r="L31" s="873" t="n">
        <v>8.558</v>
      </c>
      <c r="M31" s="874" t="inlineStr">
        <is>
          <t>是</t>
        </is>
      </c>
      <c r="N31" s="116" t="n"/>
      <c r="O31" s="104" t="n"/>
      <c r="P31" s="105">
        <f>COUNTIF([4]Sheet1!$A:$A,K:K)</f>
        <v/>
      </c>
      <c r="Q31" s="104" t="n"/>
      <c r="R31" s="104" t="n"/>
      <c r="S31" s="876" t="n"/>
      <c r="T31" s="876" t="n"/>
      <c r="U31" s="876" t="n"/>
      <c r="V31" s="876" t="n"/>
      <c r="W31" s="876" t="n"/>
      <c r="X31" s="876" t="n"/>
    </row>
    <row r="32" ht="18" customFormat="1" customHeight="1" s="868">
      <c r="A32" s="106" t="n">
        <v>31</v>
      </c>
      <c r="B32" s="869" t="inlineStr">
        <is>
          <t>chanhua</t>
        </is>
      </c>
      <c r="C32" s="869" t="n">
        <v>45884</v>
      </c>
      <c r="D32" s="870" t="inlineStr">
        <is>
          <t>新加坡比特</t>
        </is>
      </c>
      <c r="E32" s="871" t="inlineStr">
        <is>
          <t>XJ</t>
        </is>
      </c>
      <c r="F32" s="872" t="inlineStr">
        <is>
          <t>PIE</t>
        </is>
      </c>
      <c r="G32" s="871" t="inlineStr">
        <is>
          <t>BM1370PA</t>
        </is>
      </c>
      <c r="H32" s="870">
        <f>VLOOKUP(G32,编码对账表!C:D,2,0)</f>
        <v/>
      </c>
      <c r="I32" s="111" t="n">
        <v>55491</v>
      </c>
      <c r="J32" s="112" t="inlineStr">
        <is>
          <t>DPT202508170011</t>
        </is>
      </c>
      <c r="K32" s="113" t="inlineStr">
        <is>
          <t>1403250817145912</t>
        </is>
      </c>
      <c r="L32" s="873" t="n">
        <v>8.558</v>
      </c>
      <c r="M32" s="874" t="inlineStr">
        <is>
          <t>是</t>
        </is>
      </c>
      <c r="N32" s="116" t="n"/>
      <c r="O32" s="104" t="n"/>
      <c r="P32" s="105">
        <f>COUNTIF([4]Sheet1!$A:$A,K:K)</f>
        <v/>
      </c>
      <c r="Q32" s="104" t="n"/>
      <c r="R32" s="104" t="n"/>
      <c r="S32" s="876" t="n"/>
      <c r="T32" s="876" t="n"/>
      <c r="U32" s="876" t="n"/>
      <c r="V32" s="876" t="n"/>
      <c r="W32" s="876" t="n"/>
      <c r="X32" s="876" t="n"/>
    </row>
    <row r="33" ht="18" customFormat="1" customHeight="1" s="868">
      <c r="A33" s="106" t="n">
        <v>32</v>
      </c>
      <c r="B33" s="869" t="inlineStr">
        <is>
          <t>chanhua</t>
        </is>
      </c>
      <c r="C33" s="869" t="n">
        <v>45884</v>
      </c>
      <c r="D33" s="870" t="inlineStr">
        <is>
          <t>新加坡比特</t>
        </is>
      </c>
      <c r="E33" s="871" t="inlineStr">
        <is>
          <t>XJ</t>
        </is>
      </c>
      <c r="F33" s="872" t="inlineStr">
        <is>
          <t>Nationgate</t>
        </is>
      </c>
      <c r="G33" s="871" t="inlineStr">
        <is>
          <t>BM1370PF</t>
        </is>
      </c>
      <c r="H33" s="870">
        <f>VLOOKUP(G33,编码对账表!C:D,2,0)</f>
        <v/>
      </c>
      <c r="I33" s="111" t="n">
        <v>305283</v>
      </c>
      <c r="J33" s="112" t="inlineStr">
        <is>
          <t>DPT202508170012</t>
        </is>
      </c>
      <c r="K33" s="113" t="inlineStr">
        <is>
          <t>1403250817145917</t>
        </is>
      </c>
      <c r="L33" s="873" t="n">
        <v>8.558</v>
      </c>
      <c r="M33" s="874" t="inlineStr">
        <is>
          <t>是</t>
        </is>
      </c>
      <c r="N33" s="116" t="n"/>
      <c r="O33" s="104" t="n"/>
      <c r="P33" s="105">
        <f>COUNTIF([4]Sheet1!$A:$A,K:K)</f>
        <v/>
      </c>
      <c r="Q33" s="104" t="n"/>
      <c r="R33" s="104" t="n"/>
      <c r="S33" s="876" t="n"/>
      <c r="T33" s="876" t="n"/>
      <c r="U33" s="876" t="n"/>
      <c r="V33" s="876" t="n"/>
      <c r="W33" s="876" t="n"/>
      <c r="X33" s="876" t="n"/>
    </row>
    <row r="34" ht="18" customFormat="1" customHeight="1" s="868">
      <c r="A34" s="106" t="n">
        <v>33</v>
      </c>
      <c r="B34" s="869" t="inlineStr">
        <is>
          <t>chanhua</t>
        </is>
      </c>
      <c r="C34" s="869" t="n">
        <v>45883</v>
      </c>
      <c r="D34" s="870" t="inlineStr">
        <is>
          <t>新加坡比特</t>
        </is>
      </c>
      <c r="E34" s="871" t="inlineStr">
        <is>
          <t>ASECL</t>
        </is>
      </c>
      <c r="F34" s="872" t="inlineStr">
        <is>
          <t>PIE</t>
        </is>
      </c>
      <c r="G34" s="871" t="inlineStr">
        <is>
          <t>BM1370BC</t>
        </is>
      </c>
      <c r="H34" s="870">
        <f>VLOOKUP(G34,编码对账表!C:D,2,0)</f>
        <v/>
      </c>
      <c r="I34" s="111" t="n">
        <v>34004</v>
      </c>
      <c r="J34" s="112" t="inlineStr">
        <is>
          <t>DPT202508180010</t>
        </is>
      </c>
      <c r="K34" s="113" t="inlineStr">
        <is>
          <t>1403250818163145</t>
        </is>
      </c>
      <c r="L34" s="873" t="n">
        <v>8.558</v>
      </c>
      <c r="M34" s="874" t="n"/>
      <c r="N34" s="116" t="n"/>
      <c r="O34" s="104" t="n"/>
      <c r="P34" s="105">
        <f>COUNTIF([4]Sheet1!$A:$A,K:K)</f>
        <v/>
      </c>
      <c r="Q34" s="104" t="n"/>
      <c r="R34" s="104" t="n"/>
      <c r="S34" s="876" t="n"/>
      <c r="T34" s="876" t="n"/>
      <c r="U34" s="876" t="n"/>
      <c r="V34" s="876" t="n"/>
      <c r="W34" s="876" t="n"/>
      <c r="X34" s="876" t="n"/>
    </row>
    <row r="35" ht="18" customFormat="1" customHeight="1" s="868">
      <c r="A35" s="106" t="n">
        <v>34</v>
      </c>
      <c r="B35" s="869" t="inlineStr">
        <is>
          <t>chanhua</t>
        </is>
      </c>
      <c r="C35" s="869" t="n">
        <v>45883</v>
      </c>
      <c r="D35" s="870" t="inlineStr">
        <is>
          <t>新加坡比特</t>
        </is>
      </c>
      <c r="E35" s="871" t="inlineStr">
        <is>
          <t>ASECL</t>
        </is>
      </c>
      <c r="F35" s="872" t="inlineStr">
        <is>
          <t>PIE</t>
        </is>
      </c>
      <c r="G35" s="871" t="inlineStr">
        <is>
          <t>BM1370PF</t>
        </is>
      </c>
      <c r="H35" s="870">
        <f>VLOOKUP(G35,编码对账表!C:D,2,0)</f>
        <v/>
      </c>
      <c r="I35" s="111" t="n">
        <v>1368000</v>
      </c>
      <c r="J35" s="112" t="inlineStr">
        <is>
          <t>DPT202508180011</t>
        </is>
      </c>
      <c r="K35" s="113" t="inlineStr">
        <is>
          <t>1403250818163158</t>
        </is>
      </c>
      <c r="L35" s="873" t="n">
        <v>8.558</v>
      </c>
      <c r="M35" s="874" t="n"/>
      <c r="N35" s="116" t="n"/>
      <c r="O35" s="104" t="n"/>
      <c r="P35" s="105">
        <f>COUNTIF([4]Sheet1!$A:$A,K:K)</f>
        <v/>
      </c>
      <c r="Q35" s="104" t="n"/>
      <c r="R35" s="104" t="n"/>
      <c r="S35" s="876" t="n"/>
      <c r="T35" s="876" t="n"/>
      <c r="U35" s="876" t="n"/>
      <c r="V35" s="876" t="n"/>
      <c r="W35" s="876" t="n"/>
      <c r="X35" s="876" t="n"/>
    </row>
    <row r="36" ht="18" customFormat="1" customHeight="1" s="868">
      <c r="A36" s="106" t="n">
        <v>35</v>
      </c>
      <c r="B36" s="869" t="inlineStr">
        <is>
          <t>chanhua</t>
        </is>
      </c>
      <c r="C36" s="869" t="n">
        <v>45877</v>
      </c>
      <c r="D36" s="870" t="inlineStr">
        <is>
          <t>新加坡比特</t>
        </is>
      </c>
      <c r="E36" s="871" t="inlineStr">
        <is>
          <t>ASECL</t>
        </is>
      </c>
      <c r="F36" s="872" t="inlineStr">
        <is>
          <t>PIE</t>
        </is>
      </c>
      <c r="G36" s="871" t="inlineStr">
        <is>
          <t>BM1370PA</t>
        </is>
      </c>
      <c r="H36" s="870">
        <f>VLOOKUP(G36,编码对账表!C:D,2,0)</f>
        <v/>
      </c>
      <c r="I36" s="111" t="n">
        <v>626</v>
      </c>
      <c r="J36" s="112" t="inlineStr">
        <is>
          <t>DPT202508180012</t>
        </is>
      </c>
      <c r="K36" s="113" t="inlineStr">
        <is>
          <t>1403250818163204</t>
        </is>
      </c>
      <c r="L36" s="873" t="n">
        <v>8.558</v>
      </c>
      <c r="M36" s="874" t="n"/>
      <c r="N36" s="116" t="n"/>
      <c r="O36" s="104" t="n"/>
      <c r="P36" s="105">
        <f>COUNTIF([4]Sheet1!$A:$A,K:K)</f>
        <v/>
      </c>
      <c r="Q36" s="104" t="n"/>
      <c r="R36" s="104" t="n"/>
      <c r="S36" s="876" t="n"/>
      <c r="T36" s="876" t="n"/>
      <c r="U36" s="876" t="n"/>
      <c r="V36" s="876" t="n"/>
      <c r="W36" s="876" t="n"/>
      <c r="X36" s="876" t="n"/>
    </row>
    <row r="37" ht="18" customFormat="1" customHeight="1" s="868">
      <c r="A37" s="106" t="n">
        <v>36</v>
      </c>
      <c r="B37" s="869" t="inlineStr">
        <is>
          <t>chanhua</t>
        </is>
      </c>
      <c r="C37" s="869" t="n">
        <v>45877</v>
      </c>
      <c r="D37" s="870" t="inlineStr">
        <is>
          <t>新加坡比特</t>
        </is>
      </c>
      <c r="E37" s="871" t="inlineStr">
        <is>
          <t>ASECL</t>
        </is>
      </c>
      <c r="F37" s="872" t="inlineStr">
        <is>
          <t>墨西哥欧陆通</t>
        </is>
      </c>
      <c r="G37" s="871" t="inlineStr">
        <is>
          <t>BM1370PF</t>
        </is>
      </c>
      <c r="H37" s="870">
        <f>VLOOKUP(G37,编码对账表!C:D,2,0)</f>
        <v/>
      </c>
      <c r="I37" s="111" t="n">
        <v>406600</v>
      </c>
      <c r="J37" s="112" t="inlineStr">
        <is>
          <t>DPT202508180013</t>
        </is>
      </c>
      <c r="K37" s="113" t="inlineStr">
        <is>
          <t>1403250818163212</t>
        </is>
      </c>
      <c r="L37" s="873" t="n">
        <v>8.558</v>
      </c>
      <c r="M37" s="874" t="n"/>
      <c r="N37" s="116" t="n"/>
      <c r="O37" s="104" t="n"/>
      <c r="P37" s="105">
        <f>COUNTIF([4]Sheet1!$A:$A,K:K)</f>
        <v/>
      </c>
      <c r="Q37" s="104" t="n"/>
      <c r="R37" s="104" t="n"/>
      <c r="S37" s="876" t="n"/>
      <c r="T37" s="876" t="n"/>
      <c r="U37" s="876" t="n"/>
      <c r="V37" s="876" t="n"/>
      <c r="W37" s="876" t="n"/>
      <c r="X37" s="876" t="n"/>
    </row>
    <row r="38" ht="18" customFormat="1" customHeight="1" s="868">
      <c r="A38" s="106" t="n">
        <v>37</v>
      </c>
      <c r="B38" s="869" t="inlineStr">
        <is>
          <t>chanhua</t>
        </is>
      </c>
      <c r="C38" s="869" t="n">
        <v>45877</v>
      </c>
      <c r="D38" s="870" t="inlineStr">
        <is>
          <t>新加坡比特</t>
        </is>
      </c>
      <c r="E38" s="871" t="inlineStr">
        <is>
          <t>ASECL</t>
        </is>
      </c>
      <c r="F38" s="872" t="inlineStr">
        <is>
          <t>Nationgate</t>
        </is>
      </c>
      <c r="G38" s="871" t="inlineStr">
        <is>
          <t>BM1370PF</t>
        </is>
      </c>
      <c r="H38" s="870">
        <f>VLOOKUP(G38,编码对账表!C:D,2,0)</f>
        <v/>
      </c>
      <c r="I38" s="111" t="n">
        <v>11400</v>
      </c>
      <c r="J38" s="112" t="inlineStr">
        <is>
          <t>DPT202508180014</t>
        </is>
      </c>
      <c r="K38" s="113" t="inlineStr">
        <is>
          <t>1403250818163217</t>
        </is>
      </c>
      <c r="L38" s="873" t="n">
        <v>8.558</v>
      </c>
      <c r="M38" s="874" t="n"/>
      <c r="N38" s="116" t="n"/>
      <c r="O38" s="104" t="n"/>
      <c r="P38" s="105">
        <f>COUNTIF([4]Sheet1!$A:$A,K:K)</f>
        <v/>
      </c>
      <c r="Q38" s="104" t="n"/>
      <c r="R38" s="104" t="n"/>
      <c r="S38" s="876" t="n"/>
      <c r="T38" s="876" t="n"/>
      <c r="U38" s="876" t="n"/>
      <c r="V38" s="876" t="n"/>
      <c r="W38" s="876" t="n"/>
      <c r="X38" s="876" t="n"/>
    </row>
    <row r="39" ht="18" customFormat="1" customHeight="1" s="868">
      <c r="A39" s="106" t="n">
        <v>38</v>
      </c>
      <c r="B39" s="869" t="inlineStr">
        <is>
          <t>chanhua</t>
        </is>
      </c>
      <c r="C39" s="869" t="n">
        <v>45885</v>
      </c>
      <c r="D39" s="870" t="inlineStr">
        <is>
          <t>新加坡比特</t>
        </is>
      </c>
      <c r="E39" s="871" t="inlineStr">
        <is>
          <t>NJ-VT</t>
        </is>
      </c>
      <c r="F39" s="872" t="inlineStr">
        <is>
          <t>墨西哥欧陆通</t>
        </is>
      </c>
      <c r="G39" s="871" t="inlineStr">
        <is>
          <t>BM1370PF</t>
        </is>
      </c>
      <c r="H39" s="870">
        <f>VLOOKUP(G39,编码对账表!C:D,2,0)</f>
        <v/>
      </c>
      <c r="I39" s="111" t="n">
        <v>31861</v>
      </c>
      <c r="J39" s="112" t="inlineStr">
        <is>
          <t>DPT202508190012</t>
        </is>
      </c>
      <c r="K39" s="113" t="inlineStr">
        <is>
          <t>1403250821101609</t>
        </is>
      </c>
      <c r="L39" s="873" t="n">
        <v>8.558</v>
      </c>
      <c r="M39" s="874" t="inlineStr">
        <is>
          <t>是</t>
        </is>
      </c>
      <c r="N39" s="116" t="n"/>
      <c r="O39" s="104" t="n"/>
      <c r="P39" s="105">
        <f>COUNTIF([4]Sheet1!$A:$A,K:K)</f>
        <v/>
      </c>
      <c r="Q39" s="104" t="n"/>
      <c r="R39" s="104" t="n"/>
      <c r="S39" s="876" t="n"/>
      <c r="T39" s="876" t="n"/>
      <c r="U39" s="876" t="n"/>
      <c r="V39" s="876" t="n"/>
      <c r="W39" s="876" t="n"/>
      <c r="X39" s="876" t="n"/>
    </row>
    <row r="40" ht="18" customFormat="1" customHeight="1" s="868">
      <c r="A40" s="106" t="n">
        <v>39</v>
      </c>
      <c r="B40" s="869" t="inlineStr">
        <is>
          <t>chanhua</t>
        </is>
      </c>
      <c r="C40" s="869" t="n">
        <v>45884</v>
      </c>
      <c r="D40" s="870" t="inlineStr">
        <is>
          <t>新加坡比特</t>
        </is>
      </c>
      <c r="E40" s="871" t="inlineStr">
        <is>
          <t>NJ-VT</t>
        </is>
      </c>
      <c r="F40" s="872" t="inlineStr">
        <is>
          <t>PIE</t>
        </is>
      </c>
      <c r="G40" s="871" t="inlineStr">
        <is>
          <t>BM1370BC</t>
        </is>
      </c>
      <c r="H40" s="870">
        <f>VLOOKUP(G40,编码对账表!C:D,2,0)</f>
        <v/>
      </c>
      <c r="I40" s="111" t="n">
        <v>21701</v>
      </c>
      <c r="J40" s="112" t="inlineStr">
        <is>
          <t>DPT202508190013</t>
        </is>
      </c>
      <c r="K40" s="113" t="inlineStr">
        <is>
          <t>1403250821101614</t>
        </is>
      </c>
      <c r="L40" s="873" t="n">
        <v>8.558</v>
      </c>
      <c r="M40" s="874" t="inlineStr">
        <is>
          <t>是</t>
        </is>
      </c>
      <c r="N40" s="116" t="n"/>
      <c r="O40" s="104" t="n"/>
      <c r="P40" s="105">
        <f>COUNTIF([4]Sheet1!$A:$A,K:K)</f>
        <v/>
      </c>
      <c r="Q40" s="104" t="n"/>
      <c r="R40" s="104" t="n"/>
      <c r="S40" s="876" t="n"/>
      <c r="T40" s="876" t="n"/>
      <c r="U40" s="876" t="n"/>
      <c r="V40" s="876" t="n"/>
      <c r="W40" s="876" t="n"/>
      <c r="X40" s="876" t="n"/>
    </row>
    <row r="41" ht="18" customFormat="1" customHeight="1" s="868">
      <c r="A41" s="106" t="n">
        <v>40</v>
      </c>
      <c r="B41" s="869" t="inlineStr">
        <is>
          <t>chanhua</t>
        </is>
      </c>
      <c r="C41" s="869" t="n">
        <v>45884</v>
      </c>
      <c r="D41" s="870" t="inlineStr">
        <is>
          <t>新加坡比特</t>
        </is>
      </c>
      <c r="E41" s="871" t="inlineStr">
        <is>
          <t>NJ-VT</t>
        </is>
      </c>
      <c r="F41" s="872" t="inlineStr">
        <is>
          <t>PIE</t>
        </is>
      </c>
      <c r="G41" s="871" t="inlineStr">
        <is>
          <t>BM1370PA</t>
        </is>
      </c>
      <c r="H41" s="870">
        <f>VLOOKUP(G41,编码对账表!C:D,2,0)</f>
        <v/>
      </c>
      <c r="I41" s="111" t="n">
        <v>15494</v>
      </c>
      <c r="J41" s="112" t="inlineStr">
        <is>
          <t>DPT202508190014</t>
        </is>
      </c>
      <c r="K41" s="113" t="inlineStr">
        <is>
          <t>1403250821101620</t>
        </is>
      </c>
      <c r="L41" s="873" t="n">
        <v>8.558</v>
      </c>
      <c r="M41" s="874" t="n"/>
      <c r="N41" s="116" t="n"/>
      <c r="O41" s="104" t="n"/>
      <c r="P41" s="105">
        <f>COUNTIF([4]Sheet1!$A:$A,K:K)</f>
        <v/>
      </c>
      <c r="Q41" s="104" t="n"/>
      <c r="R41" s="104" t="n"/>
      <c r="S41" s="876" t="n"/>
      <c r="T41" s="876" t="n"/>
      <c r="U41" s="876" t="n"/>
      <c r="V41" s="876" t="n"/>
      <c r="W41" s="876" t="n"/>
      <c r="X41" s="876" t="n"/>
    </row>
    <row r="42" ht="18" customFormat="1" customHeight="1" s="868">
      <c r="A42" s="106" t="n">
        <v>41</v>
      </c>
      <c r="B42" s="869" t="inlineStr">
        <is>
          <t>chanhua</t>
        </is>
      </c>
      <c r="C42" s="869" t="n">
        <v>45890</v>
      </c>
      <c r="D42" s="870" t="inlineStr">
        <is>
          <t>新加坡比特</t>
        </is>
      </c>
      <c r="E42" s="871" t="inlineStr">
        <is>
          <t>SPILSZ</t>
        </is>
      </c>
      <c r="F42" s="872" t="inlineStr">
        <is>
          <t>墨西哥欧陆通</t>
        </is>
      </c>
      <c r="G42" s="871" t="inlineStr">
        <is>
          <t>BM1370PF</t>
        </is>
      </c>
      <c r="H42" s="870">
        <f>VLOOKUP(G42,编码对账表!C:D,2,0)</f>
        <v/>
      </c>
      <c r="I42" s="111" t="n">
        <v>125400</v>
      </c>
      <c r="J42" s="112" t="inlineStr">
        <is>
          <t>DPT202508230010</t>
        </is>
      </c>
      <c r="K42" s="113" t="inlineStr">
        <is>
          <t>1403250823115622</t>
        </is>
      </c>
      <c r="L42" s="873" t="n">
        <v>8.558</v>
      </c>
      <c r="M42" s="874" t="n"/>
      <c r="N42" s="116" t="n"/>
      <c r="O42" s="104" t="n"/>
      <c r="P42" s="105">
        <f>COUNTIF([4]Sheet1!$A:$A,K:K)</f>
        <v/>
      </c>
      <c r="Q42" s="104" t="n"/>
      <c r="R42" s="104" t="n"/>
      <c r="S42" s="876" t="n"/>
      <c r="T42" s="876" t="n"/>
      <c r="U42" s="876" t="n"/>
      <c r="V42" s="876" t="n"/>
      <c r="W42" s="876" t="n"/>
      <c r="X42" s="876" t="n"/>
    </row>
    <row r="43" ht="18" customFormat="1" customHeight="1" s="868">
      <c r="A43" s="106" t="n">
        <v>42</v>
      </c>
      <c r="B43" s="869" t="inlineStr">
        <is>
          <t>chanhua</t>
        </is>
      </c>
      <c r="C43" s="869" t="n">
        <v>45890</v>
      </c>
      <c r="D43" s="870" t="inlineStr">
        <is>
          <t>新加坡比特</t>
        </is>
      </c>
      <c r="E43" s="871" t="inlineStr">
        <is>
          <t>SPILSZ</t>
        </is>
      </c>
      <c r="F43" s="872" t="inlineStr">
        <is>
          <t>PIE</t>
        </is>
      </c>
      <c r="G43" s="871" t="inlineStr">
        <is>
          <t>BM1370PF</t>
        </is>
      </c>
      <c r="H43" s="870">
        <f>VLOOKUP(G43,编码对账表!C:D,2,0)</f>
        <v/>
      </c>
      <c r="I43" s="111" t="n">
        <v>243200</v>
      </c>
      <c r="J43" s="112" t="inlineStr">
        <is>
          <t>DPT202508230011</t>
        </is>
      </c>
      <c r="K43" s="113" t="inlineStr">
        <is>
          <t>1403250823115628</t>
        </is>
      </c>
      <c r="L43" s="873" t="n">
        <v>8.558</v>
      </c>
      <c r="M43" s="874" t="n"/>
      <c r="N43" s="116" t="n"/>
      <c r="O43" s="104" t="n"/>
      <c r="P43" s="105">
        <f>COUNTIF([4]Sheet1!$A:$A,K:K)</f>
        <v/>
      </c>
      <c r="Q43" s="104" t="n"/>
      <c r="R43" s="104" t="n"/>
      <c r="S43" s="876" t="n"/>
      <c r="T43" s="876" t="n"/>
      <c r="U43" s="876" t="n"/>
      <c r="V43" s="876" t="n"/>
      <c r="W43" s="876" t="n"/>
      <c r="X43" s="876" t="n"/>
    </row>
    <row r="44" ht="18" customFormat="1" customHeight="1" s="868">
      <c r="A44" s="106" t="n">
        <v>43</v>
      </c>
      <c r="B44" s="869" t="inlineStr">
        <is>
          <t>chanhua</t>
        </is>
      </c>
      <c r="C44" s="869" t="n">
        <v>45891</v>
      </c>
      <c r="D44" s="870" t="inlineStr">
        <is>
          <t>新加坡比特</t>
        </is>
      </c>
      <c r="E44" s="871" t="inlineStr">
        <is>
          <t>WX-HN</t>
        </is>
      </c>
      <c r="F44" s="872" t="inlineStr">
        <is>
          <t>PIE</t>
        </is>
      </c>
      <c r="G44" s="871" t="inlineStr">
        <is>
          <t>BM1370BC</t>
        </is>
      </c>
      <c r="H44" s="870">
        <f>VLOOKUP(G44,编码对账表!C:D,2,0)</f>
        <v/>
      </c>
      <c r="I44" s="111" t="n">
        <v>284755</v>
      </c>
      <c r="J44" s="112" t="inlineStr">
        <is>
          <t>DPT202508230012</t>
        </is>
      </c>
      <c r="K44" s="113" t="inlineStr">
        <is>
          <t>1403250823115638</t>
        </is>
      </c>
      <c r="L44" s="873" t="n">
        <v>8.558</v>
      </c>
      <c r="M44" s="874" t="inlineStr">
        <is>
          <t>是</t>
        </is>
      </c>
      <c r="N44" s="116" t="n"/>
      <c r="O44" s="104" t="n"/>
      <c r="P44" s="105">
        <f>COUNTIF([4]Sheet1!$A:$A,K:K)</f>
        <v/>
      </c>
      <c r="Q44" s="104" t="n"/>
      <c r="R44" s="104" t="n"/>
      <c r="S44" s="876" t="n"/>
      <c r="T44" s="876" t="n"/>
      <c r="U44" s="876" t="n"/>
      <c r="V44" s="876" t="n"/>
      <c r="W44" s="876" t="n"/>
      <c r="X44" s="876" t="n"/>
    </row>
    <row r="45" ht="18" customFormat="1" customHeight="1" s="868">
      <c r="A45" s="106" t="n">
        <v>44</v>
      </c>
      <c r="B45" s="869" t="inlineStr">
        <is>
          <t>chanhua</t>
        </is>
      </c>
      <c r="C45" s="869" t="n">
        <v>45890</v>
      </c>
      <c r="D45" s="870" t="inlineStr">
        <is>
          <t>新加坡比特</t>
        </is>
      </c>
      <c r="E45" s="871" t="inlineStr">
        <is>
          <t>SPILSZ</t>
        </is>
      </c>
      <c r="F45" s="872" t="inlineStr">
        <is>
          <t>泰国ONET</t>
        </is>
      </c>
      <c r="G45" s="871" t="inlineStr">
        <is>
          <t>BM1370PF</t>
        </is>
      </c>
      <c r="H45" s="870">
        <f>VLOOKUP(G45,编码对账表!C:D,2,0)</f>
        <v/>
      </c>
      <c r="I45" s="111" t="n">
        <v>72200</v>
      </c>
      <c r="J45" s="112" t="inlineStr">
        <is>
          <t>DPT202508230013</t>
        </is>
      </c>
      <c r="K45" s="113" t="inlineStr">
        <is>
          <t>1403250823115642</t>
        </is>
      </c>
      <c r="L45" s="873" t="n">
        <v>8.558</v>
      </c>
      <c r="M45" s="874" t="n"/>
      <c r="N45" s="116" t="n"/>
      <c r="O45" s="104" t="n"/>
      <c r="P45" s="105">
        <f>COUNTIF([4]Sheet1!$A:$A,K:K)</f>
        <v/>
      </c>
      <c r="Q45" s="104" t="n"/>
      <c r="R45" s="104" t="n"/>
      <c r="S45" s="876" t="n"/>
      <c r="T45" s="876" t="n"/>
      <c r="U45" s="876" t="n"/>
      <c r="V45" s="876" t="n"/>
      <c r="W45" s="876" t="n"/>
      <c r="X45" s="876" t="n"/>
    </row>
    <row r="46" ht="18" customFormat="1" customHeight="1" s="868">
      <c r="A46" s="106" t="n">
        <v>45</v>
      </c>
      <c r="B46" s="869" t="inlineStr">
        <is>
          <t>chanhua</t>
        </is>
      </c>
      <c r="C46" s="869" t="n">
        <v>45884</v>
      </c>
      <c r="D46" s="870" t="inlineStr">
        <is>
          <t>新加坡比特</t>
        </is>
      </c>
      <c r="E46" s="871" t="inlineStr">
        <is>
          <t>JSCC</t>
        </is>
      </c>
      <c r="F46" s="872" t="inlineStr">
        <is>
          <t>墨西哥欧陆通</t>
        </is>
      </c>
      <c r="G46" s="871" t="inlineStr">
        <is>
          <t>BM1370PF</t>
        </is>
      </c>
      <c r="H46" s="870">
        <f>VLOOKUP(G46,编码对账表!C:D,2,0)</f>
        <v/>
      </c>
      <c r="I46" s="111" t="n">
        <v>36197</v>
      </c>
      <c r="J46" s="112" t="inlineStr">
        <is>
          <t>DPT202508230014</t>
        </is>
      </c>
      <c r="K46" s="113" t="inlineStr">
        <is>
          <t>1403250823201712</t>
        </is>
      </c>
      <c r="L46" s="873" t="n">
        <v>8.558</v>
      </c>
      <c r="M46" s="874" t="n"/>
      <c r="N46" s="116" t="n"/>
      <c r="O46" s="104" t="n"/>
      <c r="P46" s="105">
        <f>COUNTIF([4]Sheet1!$A:$A,K:K)</f>
        <v/>
      </c>
      <c r="Q46" s="104" t="n"/>
      <c r="R46" s="104" t="n"/>
      <c r="S46" s="876" t="n"/>
      <c r="T46" s="876" t="n"/>
      <c r="U46" s="876" t="n"/>
      <c r="V46" s="876" t="n"/>
      <c r="W46" s="876" t="n"/>
      <c r="X46" s="876" t="n"/>
    </row>
    <row r="47" ht="18" customFormat="1" customHeight="1" s="868">
      <c r="A47" s="106" t="n">
        <v>46</v>
      </c>
      <c r="B47" s="869" t="inlineStr">
        <is>
          <t>chanhua</t>
        </is>
      </c>
      <c r="C47" s="869" t="n">
        <v>45891</v>
      </c>
      <c r="D47" s="870" t="inlineStr">
        <is>
          <t>新加坡比特</t>
        </is>
      </c>
      <c r="E47" s="871" t="inlineStr">
        <is>
          <t>XJ</t>
        </is>
      </c>
      <c r="F47" s="872" t="inlineStr">
        <is>
          <t>印尼奥海</t>
        </is>
      </c>
      <c r="G47" s="871" t="inlineStr">
        <is>
          <t>BM1370PA</t>
        </is>
      </c>
      <c r="H47" s="870">
        <f>VLOOKUP(G47,编码对账表!C:D,2,0)</f>
        <v/>
      </c>
      <c r="I47" s="111" t="n">
        <v>24875</v>
      </c>
      <c r="J47" s="112" t="inlineStr">
        <is>
          <t>DPT202508260010</t>
        </is>
      </c>
      <c r="K47" s="113" t="inlineStr">
        <is>
          <t>1403250826221453</t>
        </is>
      </c>
      <c r="L47" s="873" t="n">
        <v>8.558</v>
      </c>
      <c r="M47" s="874" t="inlineStr">
        <is>
          <t>是</t>
        </is>
      </c>
      <c r="N47" s="116" t="n"/>
      <c r="O47" s="104" t="n"/>
      <c r="P47" s="105">
        <f>COUNTIF([4]Sheet1!$A:$A,K:K)</f>
        <v/>
      </c>
      <c r="Q47" s="104" t="n"/>
      <c r="R47" s="104" t="n"/>
      <c r="S47" s="876" t="n"/>
      <c r="T47" s="876" t="n"/>
      <c r="U47" s="876" t="n"/>
      <c r="V47" s="876" t="n"/>
      <c r="W47" s="876" t="n"/>
      <c r="X47" s="876" t="n"/>
    </row>
    <row r="48" ht="18" customFormat="1" customHeight="1" s="868">
      <c r="A48" s="106" t="n">
        <v>47</v>
      </c>
      <c r="B48" s="869" t="inlineStr">
        <is>
          <t>chanhua</t>
        </is>
      </c>
      <c r="C48" s="869" t="n">
        <v>45891</v>
      </c>
      <c r="D48" s="870" t="inlineStr">
        <is>
          <t>新加坡比特</t>
        </is>
      </c>
      <c r="E48" s="871" t="inlineStr">
        <is>
          <t>XJ</t>
        </is>
      </c>
      <c r="F48" s="872" t="inlineStr">
        <is>
          <t>PIE</t>
        </is>
      </c>
      <c r="G48" s="871" t="inlineStr">
        <is>
          <t>BM1370PF</t>
        </is>
      </c>
      <c r="H48" s="870">
        <f>VLOOKUP(G48,编码对账表!C:D,2,0)</f>
        <v/>
      </c>
      <c r="I48" s="111" t="n">
        <v>6295</v>
      </c>
      <c r="J48" s="112" t="inlineStr">
        <is>
          <t>DPT202508260011</t>
        </is>
      </c>
      <c r="K48" s="113" t="inlineStr">
        <is>
          <t>1403250826221459</t>
        </is>
      </c>
      <c r="L48" s="873" t="n">
        <v>8.558</v>
      </c>
      <c r="M48" s="874" t="n"/>
      <c r="N48" s="116" t="n"/>
      <c r="O48" s="104" t="n"/>
      <c r="P48" s="105">
        <f>COUNTIF([4]Sheet1!$A:$A,K:K)</f>
        <v/>
      </c>
      <c r="Q48" s="104" t="n"/>
      <c r="R48" s="104" t="n"/>
      <c r="S48" s="876" t="n"/>
      <c r="T48" s="876" t="n"/>
      <c r="U48" s="876" t="n"/>
      <c r="V48" s="876" t="n"/>
      <c r="W48" s="876" t="n"/>
      <c r="X48" s="876" t="n"/>
    </row>
    <row r="49" ht="18" customFormat="1" customHeight="1" s="868">
      <c r="A49" s="106" t="n">
        <v>48</v>
      </c>
      <c r="B49" s="869" t="inlineStr">
        <is>
          <t>chanhua</t>
        </is>
      </c>
      <c r="C49" s="869" t="n">
        <v>45897</v>
      </c>
      <c r="D49" s="870" t="inlineStr">
        <is>
          <t>新加坡比特</t>
        </is>
      </c>
      <c r="E49" s="871" t="inlineStr">
        <is>
          <t>ASECL</t>
        </is>
      </c>
      <c r="F49" s="872" t="inlineStr">
        <is>
          <t>泰国群光</t>
        </is>
      </c>
      <c r="G49" s="871" t="inlineStr">
        <is>
          <t>BM1370PF</t>
        </is>
      </c>
      <c r="H49" s="870">
        <f>VLOOKUP(G49,编码对账表!C:D,2,0)</f>
        <v/>
      </c>
      <c r="I49" s="111" t="n">
        <v>140600</v>
      </c>
      <c r="J49" s="112" t="inlineStr">
        <is>
          <t>DPT202508290010</t>
        </is>
      </c>
      <c r="K49" s="113" t="inlineStr">
        <is>
          <t>1403250829183912</t>
        </is>
      </c>
      <c r="L49" s="873" t="n">
        <v>8.558</v>
      </c>
      <c r="M49" s="874" t="n"/>
      <c r="N49" s="116" t="n"/>
      <c r="O49" s="104" t="n"/>
      <c r="P49" s="105">
        <f>COUNTIF([4]Sheet1!$A:$A,K:K)</f>
        <v/>
      </c>
      <c r="Q49" s="104" t="n"/>
      <c r="R49" s="104" t="n"/>
      <c r="S49" s="876" t="n"/>
      <c r="T49" s="876" t="n"/>
      <c r="U49" s="876" t="n"/>
      <c r="V49" s="876" t="n"/>
      <c r="W49" s="876" t="n"/>
      <c r="X49" s="876" t="n"/>
    </row>
    <row r="50" ht="18" customFormat="1" customHeight="1" s="868">
      <c r="A50" s="106" t="n">
        <v>49</v>
      </c>
      <c r="B50" s="869" t="inlineStr">
        <is>
          <t>chanhua</t>
        </is>
      </c>
      <c r="C50" s="869" t="n">
        <v>45897</v>
      </c>
      <c r="D50" s="870" t="inlineStr">
        <is>
          <t>新加坡比特</t>
        </is>
      </c>
      <c r="E50" s="871" t="inlineStr">
        <is>
          <t>SPILSZ</t>
        </is>
      </c>
      <c r="F50" s="872" t="inlineStr">
        <is>
          <t>泰国群光</t>
        </is>
      </c>
      <c r="G50" s="871" t="inlineStr">
        <is>
          <t>BM1370PF</t>
        </is>
      </c>
      <c r="H50" s="870">
        <f>VLOOKUP(G50,编码对账表!C:D,2,0)</f>
        <v/>
      </c>
      <c r="I50" s="111" t="n">
        <v>26600</v>
      </c>
      <c r="J50" s="112" t="inlineStr">
        <is>
          <t>DPT202508290011</t>
        </is>
      </c>
      <c r="K50" s="113" t="inlineStr">
        <is>
          <t>1403250829183924</t>
        </is>
      </c>
      <c r="L50" s="873" t="n">
        <v>8.558</v>
      </c>
      <c r="M50" s="874" t="n"/>
      <c r="N50" s="116" t="n"/>
      <c r="O50" s="104" t="n"/>
      <c r="P50" s="105">
        <f>COUNTIF([4]Sheet1!$A:$A,K:K)</f>
        <v/>
      </c>
      <c r="Q50" s="104" t="n"/>
      <c r="R50" s="104" t="n"/>
      <c r="S50" s="876" t="n"/>
      <c r="T50" s="876" t="n"/>
      <c r="U50" s="876" t="n"/>
      <c r="V50" s="876" t="n"/>
      <c r="W50" s="876" t="n"/>
      <c r="X50" s="876" t="n"/>
    </row>
    <row r="51" ht="18" customFormat="1" customHeight="1" s="868">
      <c r="A51" s="106" t="n">
        <v>50</v>
      </c>
      <c r="B51" s="869" t="inlineStr">
        <is>
          <t>chanhua</t>
        </is>
      </c>
      <c r="C51" s="869" t="n">
        <v>45897</v>
      </c>
      <c r="D51" s="870" t="inlineStr">
        <is>
          <t>新加坡比特</t>
        </is>
      </c>
      <c r="E51" s="871" t="inlineStr">
        <is>
          <t>SPILSZ</t>
        </is>
      </c>
      <c r="F51" s="872" t="inlineStr">
        <is>
          <t>墨西哥欧陆通</t>
        </is>
      </c>
      <c r="G51" s="871" t="inlineStr">
        <is>
          <t>BM1370PF</t>
        </is>
      </c>
      <c r="H51" s="870">
        <f>VLOOKUP(G51,编码对账表!C:D,2,0)</f>
        <v/>
      </c>
      <c r="I51" s="111" t="n">
        <v>220100</v>
      </c>
      <c r="J51" s="112" t="inlineStr">
        <is>
          <t>DPT202508290012</t>
        </is>
      </c>
      <c r="K51" s="113" t="inlineStr">
        <is>
          <t>1403250829183930</t>
        </is>
      </c>
      <c r="L51" s="873" t="n">
        <v>8.558</v>
      </c>
      <c r="M51" s="874" t="n"/>
      <c r="N51" s="116" t="n"/>
      <c r="O51" s="104" t="n"/>
      <c r="P51" s="105">
        <f>COUNTIF([4]Sheet1!$A:$A,K:K)</f>
        <v/>
      </c>
      <c r="Q51" s="104" t="n"/>
      <c r="R51" s="104" t="n"/>
      <c r="S51" s="876" t="n"/>
      <c r="T51" s="876" t="n"/>
      <c r="U51" s="876" t="n"/>
      <c r="V51" s="876" t="n"/>
      <c r="W51" s="876" t="n"/>
      <c r="X51" s="876" t="n"/>
    </row>
    <row r="52" ht="18" customFormat="1" customHeight="1" s="868">
      <c r="A52" s="106" t="n">
        <v>51</v>
      </c>
      <c r="B52" s="869" t="inlineStr">
        <is>
          <t>chanhua</t>
        </is>
      </c>
      <c r="C52" s="869" t="n">
        <v>45897</v>
      </c>
      <c r="D52" s="870" t="inlineStr">
        <is>
          <t>新加坡比特</t>
        </is>
      </c>
      <c r="E52" s="871" t="inlineStr">
        <is>
          <t>JSCC</t>
        </is>
      </c>
      <c r="F52" s="872" t="inlineStr">
        <is>
          <t>墨西哥欧陆通</t>
        </is>
      </c>
      <c r="G52" s="871" t="inlineStr">
        <is>
          <t>BM1370PF</t>
        </is>
      </c>
      <c r="H52" s="870">
        <f>VLOOKUP(G52,编码对账表!C:D,2,0)</f>
        <v/>
      </c>
      <c r="I52" s="111" t="n">
        <v>21025</v>
      </c>
      <c r="J52" s="112" t="inlineStr">
        <is>
          <t>DPT202508290013</t>
        </is>
      </c>
      <c r="K52" s="113" t="inlineStr">
        <is>
          <t>1403250829183937</t>
        </is>
      </c>
      <c r="L52" s="873" t="n">
        <v>8.558</v>
      </c>
      <c r="M52" s="874" t="n"/>
      <c r="N52" s="116" t="n"/>
      <c r="O52" s="104" t="n"/>
      <c r="P52" s="105">
        <f>COUNTIF([4]Sheet1!$A:$A,K:K)</f>
        <v/>
      </c>
      <c r="Q52" s="104" t="n"/>
      <c r="R52" s="104" t="n"/>
      <c r="S52" s="876" t="n"/>
      <c r="T52" s="876" t="n"/>
      <c r="U52" s="876" t="n"/>
      <c r="V52" s="876" t="n"/>
      <c r="W52" s="876" t="n"/>
      <c r="X52" s="876" t="n"/>
    </row>
    <row r="53" ht="18" customFormat="1" customHeight="1" s="868">
      <c r="A53" s="106" t="n">
        <v>52</v>
      </c>
      <c r="B53" s="869" t="inlineStr">
        <is>
          <t>chanhua</t>
        </is>
      </c>
      <c r="C53" s="869" t="n">
        <v>45897</v>
      </c>
      <c r="D53" s="870" t="inlineStr">
        <is>
          <t>新加坡比特</t>
        </is>
      </c>
      <c r="E53" s="871" t="inlineStr">
        <is>
          <t>WX-HN</t>
        </is>
      </c>
      <c r="F53" s="872" t="inlineStr">
        <is>
          <t>墨西哥欧陆通</t>
        </is>
      </c>
      <c r="G53" s="871" t="inlineStr">
        <is>
          <t>BM1370PF</t>
        </is>
      </c>
      <c r="H53" s="870">
        <f>VLOOKUP(G53,编码对账表!C:D,2,0)</f>
        <v/>
      </c>
      <c r="I53" s="111" t="n">
        <v>61697</v>
      </c>
      <c r="J53" s="112" t="inlineStr">
        <is>
          <t>DPT202508290014</t>
        </is>
      </c>
      <c r="K53" s="113" t="inlineStr">
        <is>
          <t>1403250829183942</t>
        </is>
      </c>
      <c r="L53" s="873" t="n">
        <v>8.558</v>
      </c>
      <c r="M53" s="874" t="n"/>
      <c r="N53" s="116" t="n"/>
      <c r="O53" s="104" t="n"/>
      <c r="P53" s="105">
        <f>COUNTIF([4]Sheet1!$A:$A,K:K)</f>
        <v/>
      </c>
      <c r="Q53" s="104" t="n"/>
      <c r="R53" s="104" t="n"/>
      <c r="S53" s="876" t="n"/>
      <c r="T53" s="876" t="n"/>
      <c r="U53" s="876" t="n"/>
      <c r="V53" s="876" t="n"/>
      <c r="W53" s="876" t="n"/>
      <c r="X53" s="876" t="n"/>
    </row>
    <row r="54" ht="18" customFormat="1" customHeight="1" s="868">
      <c r="A54" s="106" t="n">
        <v>53</v>
      </c>
      <c r="B54" s="869" t="inlineStr">
        <is>
          <t>chanhua</t>
        </is>
      </c>
      <c r="C54" s="869" t="n">
        <v>45897</v>
      </c>
      <c r="D54" s="870" t="inlineStr">
        <is>
          <t>新加坡比特</t>
        </is>
      </c>
      <c r="E54" s="871" t="inlineStr">
        <is>
          <t>JSCC</t>
        </is>
      </c>
      <c r="F54" s="872" t="inlineStr">
        <is>
          <t>印尼奥海</t>
        </is>
      </c>
      <c r="G54" s="871" t="inlineStr">
        <is>
          <t>BM1370BC</t>
        </is>
      </c>
      <c r="H54" s="870">
        <f>VLOOKUP(G54,编码对账表!C:D,2,0)</f>
        <v/>
      </c>
      <c r="I54" s="111" t="n">
        <v>2844</v>
      </c>
      <c r="J54" s="112" t="inlineStr">
        <is>
          <t>DPT202508290015</t>
        </is>
      </c>
      <c r="K54" s="113" t="inlineStr">
        <is>
          <t>1403250829183947</t>
        </is>
      </c>
      <c r="L54" s="873" t="n">
        <v>8.558</v>
      </c>
      <c r="M54" s="874" t="n"/>
      <c r="N54" s="116" t="n"/>
      <c r="O54" s="104" t="n"/>
      <c r="P54" s="105">
        <f>COUNTIF([4]Sheet1!$A:$A,K:K)</f>
        <v/>
      </c>
      <c r="Q54" s="104" t="n"/>
      <c r="R54" s="104" t="n"/>
      <c r="S54" s="876" t="n"/>
      <c r="T54" s="876" t="n"/>
      <c r="U54" s="876" t="n"/>
      <c r="V54" s="876" t="n"/>
      <c r="W54" s="876" t="n"/>
      <c r="X54" s="876" t="n"/>
    </row>
    <row r="55" ht="18" customFormat="1" customHeight="1" s="868">
      <c r="A55" s="106" t="n">
        <v>54</v>
      </c>
      <c r="B55" s="869" t="inlineStr">
        <is>
          <t>chanhua</t>
        </is>
      </c>
      <c r="C55" s="869" t="n">
        <v>45896</v>
      </c>
      <c r="D55" s="870" t="inlineStr">
        <is>
          <t>新加坡比特</t>
        </is>
      </c>
      <c r="E55" s="871" t="inlineStr">
        <is>
          <t>ASECL</t>
        </is>
      </c>
      <c r="F55" s="872" t="inlineStr">
        <is>
          <t>墨西哥欧陆通</t>
        </is>
      </c>
      <c r="G55" s="871" t="inlineStr">
        <is>
          <t>BM1370PF</t>
        </is>
      </c>
      <c r="H55" s="870">
        <f>VLOOKUP(G55,编码对账表!C:D,2,0)</f>
        <v/>
      </c>
      <c r="I55" s="111" t="n">
        <v>353400</v>
      </c>
      <c r="J55" s="112" t="inlineStr">
        <is>
          <t>DPT202508290016</t>
        </is>
      </c>
      <c r="K55" s="113" t="inlineStr">
        <is>
          <t>1403250829183954</t>
        </is>
      </c>
      <c r="L55" s="873" t="n">
        <v>8.558</v>
      </c>
      <c r="M55" s="874" t="n"/>
      <c r="N55" s="116" t="n"/>
      <c r="O55" s="104" t="n"/>
      <c r="P55" s="105">
        <f>COUNTIF([4]Sheet1!$A:$A,K:K)</f>
        <v/>
      </c>
      <c r="Q55" s="104" t="n"/>
      <c r="R55" s="104" t="n"/>
      <c r="S55" s="876" t="n"/>
      <c r="T55" s="876" t="n"/>
      <c r="U55" s="876" t="n"/>
      <c r="V55" s="876" t="n"/>
      <c r="W55" s="876" t="n"/>
      <c r="X55" s="876" t="n"/>
    </row>
    <row r="56" ht="18" customFormat="1" customHeight="1" s="868">
      <c r="A56" s="106" t="n">
        <v>55</v>
      </c>
      <c r="B56" s="869" t="inlineStr">
        <is>
          <t>chanhua</t>
        </is>
      </c>
      <c r="C56" s="869" t="n">
        <v>45890</v>
      </c>
      <c r="D56" s="870" t="inlineStr">
        <is>
          <t>新加坡比特</t>
        </is>
      </c>
      <c r="E56" s="871" t="inlineStr">
        <is>
          <t>ASECL</t>
        </is>
      </c>
      <c r="F56" s="872" t="inlineStr">
        <is>
          <t>PIE</t>
        </is>
      </c>
      <c r="G56" s="871" t="inlineStr">
        <is>
          <t>BM1370PF</t>
        </is>
      </c>
      <c r="H56" s="870">
        <f>VLOOKUP(G56,编码对账表!C:D,2,0)</f>
        <v/>
      </c>
      <c r="I56" s="111" t="n">
        <v>326800</v>
      </c>
      <c r="J56" s="112" t="inlineStr">
        <is>
          <t>DPT202508290017</t>
        </is>
      </c>
      <c r="K56" s="113" t="inlineStr">
        <is>
          <t>1403250829183959</t>
        </is>
      </c>
      <c r="L56" s="873" t="n">
        <v>8.558</v>
      </c>
      <c r="M56" s="874" t="n"/>
      <c r="N56" s="116" t="n"/>
      <c r="O56" s="104" t="n"/>
      <c r="P56" s="105">
        <f>COUNTIF([4]Sheet1!$A:$A,K:K)</f>
        <v/>
      </c>
      <c r="Q56" s="104" t="n"/>
      <c r="R56" s="104" t="n"/>
      <c r="S56" s="876" t="n"/>
      <c r="T56" s="876" t="n"/>
      <c r="U56" s="876" t="n"/>
      <c r="V56" s="876" t="n"/>
      <c r="W56" s="876" t="n"/>
      <c r="X56" s="876" t="n"/>
    </row>
    <row r="57" ht="18" customFormat="1" customHeight="1" s="868">
      <c r="A57" s="106" t="n">
        <v>56</v>
      </c>
      <c r="B57" s="869" t="inlineStr">
        <is>
          <t>chanhua</t>
        </is>
      </c>
      <c r="C57" s="869" t="n">
        <v>45890</v>
      </c>
      <c r="D57" s="870" t="inlineStr">
        <is>
          <t>新加坡比特</t>
        </is>
      </c>
      <c r="E57" s="871" t="inlineStr">
        <is>
          <t>ASECL</t>
        </is>
      </c>
      <c r="F57" s="872" t="inlineStr">
        <is>
          <t>泰国ONET</t>
        </is>
      </c>
      <c r="G57" s="871" t="inlineStr">
        <is>
          <t>BM1370PF</t>
        </is>
      </c>
      <c r="H57" s="870">
        <f>VLOOKUP(G57,编码对账表!C:D,2,0)</f>
        <v/>
      </c>
      <c r="I57" s="111" t="n">
        <v>49400</v>
      </c>
      <c r="J57" s="112" t="inlineStr">
        <is>
          <t>DPT202508290018</t>
        </is>
      </c>
      <c r="K57" s="113" t="inlineStr">
        <is>
          <t>1403250829184004</t>
        </is>
      </c>
      <c r="L57" s="873" t="n">
        <v>8.558</v>
      </c>
      <c r="M57" s="874" t="n"/>
      <c r="N57" s="116" t="n"/>
      <c r="O57" s="104" t="n"/>
      <c r="P57" s="105">
        <f>COUNTIF([4]Sheet1!$A:$A,K:K)</f>
        <v/>
      </c>
      <c r="Q57" s="104" t="n"/>
      <c r="R57" s="104" t="n"/>
      <c r="S57" s="876" t="n"/>
      <c r="T57" s="876" t="n"/>
      <c r="U57" s="876" t="n"/>
      <c r="V57" s="876" t="n"/>
      <c r="W57" s="876" t="n"/>
      <c r="X57" s="876" t="n"/>
    </row>
    <row r="58" ht="18" customFormat="1" customHeight="1" s="868">
      <c r="A58" s="106" t="n">
        <v>57</v>
      </c>
      <c r="B58" s="869" t="inlineStr">
        <is>
          <t>chanhua</t>
        </is>
      </c>
      <c r="C58" s="869" t="n">
        <v>45897</v>
      </c>
      <c r="D58" s="870" t="inlineStr">
        <is>
          <t>新加坡比特</t>
        </is>
      </c>
      <c r="E58" s="871" t="inlineStr">
        <is>
          <t>NJ-VT</t>
        </is>
      </c>
      <c r="F58" s="872" t="inlineStr">
        <is>
          <t>印尼奥海</t>
        </is>
      </c>
      <c r="G58" s="871" t="inlineStr">
        <is>
          <t>BM1370BC</t>
        </is>
      </c>
      <c r="H58" s="870">
        <f>VLOOKUP(G58,编码对账表!C:D,2,0)</f>
        <v/>
      </c>
      <c r="I58" s="111" t="n">
        <v>88348</v>
      </c>
      <c r="J58" s="112" t="inlineStr">
        <is>
          <t>DPT202508290019</t>
        </is>
      </c>
      <c r="K58" s="113" t="inlineStr">
        <is>
          <t>1403250829184010</t>
        </is>
      </c>
      <c r="L58" s="873" t="n">
        <v>8.558</v>
      </c>
      <c r="M58" s="874" t="inlineStr">
        <is>
          <t>是</t>
        </is>
      </c>
      <c r="N58" s="116" t="n"/>
      <c r="O58" s="104" t="n"/>
      <c r="P58" s="105">
        <f>COUNTIF([4]Sheet1!$A:$A,K:K)</f>
        <v/>
      </c>
      <c r="Q58" s="104" t="n"/>
      <c r="R58" s="104" t="n"/>
      <c r="S58" s="876" t="n"/>
      <c r="T58" s="876" t="n"/>
      <c r="U58" s="876" t="n"/>
      <c r="V58" s="876" t="n"/>
      <c r="W58" s="876" t="n"/>
      <c r="X58" s="876" t="n"/>
    </row>
    <row r="59" ht="18" customFormat="1" customHeight="1" s="868">
      <c r="A59" s="106" t="n">
        <v>58</v>
      </c>
      <c r="B59" s="870" t="inlineStr">
        <is>
          <t>chanhua</t>
        </is>
      </c>
      <c r="C59" s="869" t="n">
        <v>45898</v>
      </c>
      <c r="D59" s="870" t="inlineStr">
        <is>
          <t>DPT</t>
        </is>
      </c>
      <c r="E59" s="871" t="n"/>
      <c r="F59" s="871" t="inlineStr">
        <is>
          <t>PIE</t>
        </is>
      </c>
      <c r="G59" s="871" t="inlineStr">
        <is>
          <t>BM2460</t>
        </is>
      </c>
      <c r="H59" s="870" t="inlineStr">
        <is>
          <t>Y30090506</t>
        </is>
      </c>
      <c r="I59" s="111" t="n">
        <v>1</v>
      </c>
      <c r="J59" s="158" t="inlineStr">
        <is>
          <t>CHH202508300011</t>
        </is>
      </c>
      <c r="K59" s="113" t="n"/>
      <c r="L59" s="873" t="n">
        <v>18746</v>
      </c>
      <c r="M59" s="874" t="n"/>
      <c r="N59" s="116" t="n"/>
      <c r="O59" s="104" t="n"/>
      <c r="P59" s="105">
        <f>COUNTIF([4]Sheet1!$A:$A,K:K)</f>
        <v/>
      </c>
      <c r="Q59" s="104" t="n"/>
      <c r="R59" s="104" t="n"/>
      <c r="S59" s="876" t="n"/>
      <c r="T59" s="876" t="n"/>
      <c r="U59" s="876" t="n"/>
      <c r="V59" s="876" t="n"/>
      <c r="W59" s="876" t="n"/>
      <c r="X59" s="876" t="n"/>
    </row>
    <row r="60" customFormat="1" s="877">
      <c r="A60" s="2" t="n">
        <v>1</v>
      </c>
      <c r="B60" s="878" t="inlineStr">
        <is>
          <t>chanhua</t>
        </is>
      </c>
      <c r="C60" s="878" t="n">
        <v>45903</v>
      </c>
      <c r="D60" s="879" t="inlineStr">
        <is>
          <t>新加坡比特</t>
        </is>
      </c>
      <c r="E60" s="880" t="inlineStr">
        <is>
          <t>JSCC</t>
        </is>
      </c>
      <c r="F60" s="881" t="inlineStr">
        <is>
          <t>Nationgate</t>
        </is>
      </c>
      <c r="G60" s="880" t="inlineStr">
        <is>
          <t>BM1370PF</t>
        </is>
      </c>
      <c r="H60" s="879">
        <f>VLOOKUP(G60,编码对账表!C:D,2,0)</f>
        <v/>
      </c>
      <c r="I60" s="124" t="n">
        <v>2885</v>
      </c>
      <c r="J60" s="125" t="inlineStr">
        <is>
          <t>DPT202509040010</t>
        </is>
      </c>
      <c r="K60" s="125" t="inlineStr">
        <is>
          <t>1403250904203332</t>
        </is>
      </c>
      <c r="L60" s="881" t="n">
        <v>8.558</v>
      </c>
      <c r="M60" s="879" t="n"/>
      <c r="N60" s="126" t="n"/>
      <c r="O60" s="125" t="n"/>
      <c r="P60" s="105">
        <f>COUNTIF([4]Sheet1!$A:$A,K:K)</f>
        <v/>
      </c>
      <c r="R60" s="125" t="n"/>
      <c r="S60" s="125" t="n"/>
      <c r="T60" s="882" t="n"/>
      <c r="U60" s="882" t="n"/>
      <c r="V60" s="882" t="n"/>
      <c r="W60" s="882" t="n"/>
      <c r="X60" s="882" t="n"/>
    </row>
    <row r="61" customFormat="1" s="877">
      <c r="A61" s="2" t="n">
        <v>2</v>
      </c>
      <c r="B61" s="878" t="inlineStr">
        <is>
          <t>chanhua</t>
        </is>
      </c>
      <c r="C61" s="878" t="n">
        <v>45903</v>
      </c>
      <c r="D61" s="879" t="inlineStr">
        <is>
          <t>新加坡比特</t>
        </is>
      </c>
      <c r="E61" s="880" t="inlineStr">
        <is>
          <t>XJ</t>
        </is>
      </c>
      <c r="F61" s="881" t="inlineStr">
        <is>
          <t>墨西哥欧陆通</t>
        </is>
      </c>
      <c r="G61" s="880" t="inlineStr">
        <is>
          <t>BM1370PF</t>
        </is>
      </c>
      <c r="H61" s="879">
        <f>VLOOKUP(G61,编码对账表!C:D,2,0)</f>
        <v/>
      </c>
      <c r="I61" s="124" t="n">
        <v>315425</v>
      </c>
      <c r="J61" s="125" t="inlineStr">
        <is>
          <t>DPT202509040011</t>
        </is>
      </c>
      <c r="K61" s="125" t="inlineStr">
        <is>
          <t>1403250904203340</t>
        </is>
      </c>
      <c r="L61" s="881" t="n">
        <v>8.558</v>
      </c>
      <c r="M61" s="879" t="n"/>
      <c r="N61" s="126" t="n"/>
      <c r="O61" s="125" t="n"/>
      <c r="P61" s="105">
        <f>COUNTIF([4]Sheet1!$A:$A,K:K)</f>
        <v/>
      </c>
      <c r="R61" s="125" t="n"/>
      <c r="S61" s="125" t="n"/>
      <c r="T61" s="882" t="n"/>
      <c r="U61" s="882" t="n"/>
      <c r="V61" s="882" t="n"/>
      <c r="W61" s="882" t="n"/>
      <c r="X61" s="882" t="n"/>
    </row>
    <row r="62" customFormat="1" s="877">
      <c r="A62" s="2" t="n">
        <v>3</v>
      </c>
      <c r="B62" s="878" t="inlineStr">
        <is>
          <t>chanhua</t>
        </is>
      </c>
      <c r="C62" s="878" t="n">
        <v>45904</v>
      </c>
      <c r="D62" s="879" t="inlineStr">
        <is>
          <t>新加坡比特</t>
        </is>
      </c>
      <c r="E62" s="880" t="inlineStr">
        <is>
          <t>SPILSZ</t>
        </is>
      </c>
      <c r="F62" s="881" t="inlineStr">
        <is>
          <t>墨西哥欧陆通</t>
        </is>
      </c>
      <c r="G62" s="880" t="inlineStr">
        <is>
          <t>BM1370PF</t>
        </is>
      </c>
      <c r="H62" s="879">
        <f>VLOOKUP(G62,编码对账表!C:D,2,0)</f>
        <v/>
      </c>
      <c r="I62" s="124" t="n">
        <v>475000</v>
      </c>
      <c r="J62" s="125" t="inlineStr">
        <is>
          <t>DPT202509040012</t>
        </is>
      </c>
      <c r="K62" s="125" t="inlineStr">
        <is>
          <t>1403250904203346</t>
        </is>
      </c>
      <c r="L62" s="881" t="n">
        <v>8.558</v>
      </c>
      <c r="M62" s="879" t="n"/>
      <c r="N62" s="126" t="n"/>
      <c r="O62" s="125" t="n"/>
      <c r="P62" s="105">
        <f>COUNTIF([4]Sheet1!$A:$A,K:K)</f>
        <v/>
      </c>
      <c r="R62" s="125" t="n"/>
      <c r="S62" s="125" t="n"/>
      <c r="T62" s="882" t="n"/>
      <c r="U62" s="882" t="n"/>
      <c r="V62" s="882" t="n"/>
      <c r="W62" s="882" t="n"/>
      <c r="X62" s="882" t="n"/>
    </row>
    <row r="63" customFormat="1" s="877">
      <c r="A63" s="2" t="n">
        <v>4</v>
      </c>
      <c r="B63" s="878" t="inlineStr">
        <is>
          <t>chanhua</t>
        </is>
      </c>
      <c r="C63" s="878" t="n">
        <v>45903</v>
      </c>
      <c r="D63" s="879" t="inlineStr">
        <is>
          <t>新加坡比特</t>
        </is>
      </c>
      <c r="E63" s="880" t="inlineStr">
        <is>
          <t>JSCC</t>
        </is>
      </c>
      <c r="F63" s="881" t="inlineStr">
        <is>
          <t>泰国ONETEC</t>
        </is>
      </c>
      <c r="G63" s="880" t="inlineStr">
        <is>
          <t>BM1370PM</t>
        </is>
      </c>
      <c r="H63" s="879">
        <f>VLOOKUP(G63,编码对账表!C:D,2,0)</f>
        <v/>
      </c>
      <c r="I63" s="124" t="n">
        <v>123215</v>
      </c>
      <c r="J63" s="125" t="inlineStr">
        <is>
          <t>DPT202509040013</t>
        </is>
      </c>
      <c r="K63" s="125" t="inlineStr">
        <is>
          <t>1403250904203401</t>
        </is>
      </c>
      <c r="L63" s="881" t="n">
        <v>8.558</v>
      </c>
      <c r="M63" s="879" t="n"/>
      <c r="N63" s="126" t="n"/>
      <c r="O63" s="125" t="n"/>
      <c r="P63" s="105">
        <f>COUNTIF([4]Sheet1!$A:$A,K:K)</f>
        <v/>
      </c>
      <c r="R63" s="125" t="n"/>
      <c r="S63" s="125" t="n"/>
      <c r="T63" s="882" t="n"/>
      <c r="U63" s="882" t="n"/>
      <c r="V63" s="882" t="n"/>
      <c r="W63" s="882" t="n"/>
      <c r="X63" s="882" t="n"/>
    </row>
    <row r="64" customFormat="1" s="877">
      <c r="A64" s="2" t="n">
        <v>5</v>
      </c>
      <c r="B64" s="878" t="inlineStr">
        <is>
          <t>chanhua</t>
        </is>
      </c>
      <c r="C64" s="878" t="n">
        <v>45904</v>
      </c>
      <c r="D64" s="879" t="inlineStr">
        <is>
          <t>新加坡比特</t>
        </is>
      </c>
      <c r="E64" s="880" t="inlineStr">
        <is>
          <t>SPILSZ</t>
        </is>
      </c>
      <c r="F64" s="881" t="inlineStr">
        <is>
          <t>泰国群光</t>
        </is>
      </c>
      <c r="G64" s="880" t="inlineStr">
        <is>
          <t>BM1370PF</t>
        </is>
      </c>
      <c r="H64" s="879">
        <f>VLOOKUP(G64,编码对账表!C:D,2,0)</f>
        <v/>
      </c>
      <c r="I64" s="124" t="n">
        <v>463600</v>
      </c>
      <c r="J64" s="125" t="inlineStr">
        <is>
          <t>DPT202509040014</t>
        </is>
      </c>
      <c r="K64" s="125" t="inlineStr">
        <is>
          <t>1403250904203408</t>
        </is>
      </c>
      <c r="L64" s="881" t="n">
        <v>8.558</v>
      </c>
      <c r="M64" s="879" t="n"/>
      <c r="N64" s="126" t="n"/>
      <c r="O64" s="125" t="n"/>
      <c r="P64" s="105">
        <f>COUNTIF([4]Sheet1!$A:$A,K:K)</f>
        <v/>
      </c>
      <c r="R64" s="125" t="n"/>
      <c r="S64" s="125" t="n"/>
      <c r="T64" s="882" t="n"/>
      <c r="U64" s="882" t="n"/>
      <c r="V64" s="882" t="n"/>
      <c r="W64" s="882" t="n"/>
      <c r="X64" s="882" t="n"/>
    </row>
    <row r="65" customFormat="1" s="877">
      <c r="A65" s="2" t="n">
        <v>6</v>
      </c>
      <c r="B65" s="878" t="inlineStr">
        <is>
          <t>chanhua</t>
        </is>
      </c>
      <c r="C65" s="878" t="n">
        <v>45897</v>
      </c>
      <c r="D65" s="879" t="inlineStr">
        <is>
          <t>新加坡比特</t>
        </is>
      </c>
      <c r="E65" s="880" t="inlineStr">
        <is>
          <t>ASE-KH</t>
        </is>
      </c>
      <c r="F65" s="881" t="inlineStr">
        <is>
          <t>印尼奥海</t>
        </is>
      </c>
      <c r="G65" s="880" t="inlineStr">
        <is>
          <t>BM1370BC</t>
        </is>
      </c>
      <c r="H65" s="879">
        <f>VLOOKUP(G65,编码对账表!C:D,2,0)</f>
        <v/>
      </c>
      <c r="I65" s="124" t="n">
        <v>22664</v>
      </c>
      <c r="J65" s="125" t="inlineStr">
        <is>
          <t>DPT202509040015</t>
        </is>
      </c>
      <c r="K65" s="125" t="inlineStr">
        <is>
          <t>1403250904203417</t>
        </is>
      </c>
      <c r="L65" s="881" t="n">
        <v>8.558</v>
      </c>
      <c r="M65" s="879" t="n"/>
      <c r="N65" s="126" t="n"/>
      <c r="O65" s="125" t="n"/>
      <c r="P65" s="105">
        <f>COUNTIF([4]Sheet1!$A:$A,K:K)</f>
        <v/>
      </c>
      <c r="R65" s="125" t="n"/>
      <c r="S65" s="125" t="n"/>
      <c r="T65" s="882" t="n"/>
      <c r="U65" s="882" t="n"/>
      <c r="V65" s="882" t="n"/>
      <c r="W65" s="882" t="n"/>
      <c r="X65" s="882" t="n"/>
    </row>
    <row r="66" customFormat="1" s="877">
      <c r="A66" s="2" t="n">
        <v>7</v>
      </c>
      <c r="B66" s="878" t="inlineStr">
        <is>
          <t>chanhua</t>
        </is>
      </c>
      <c r="C66" s="878" t="n">
        <v>45900</v>
      </c>
      <c r="D66" s="879" t="inlineStr">
        <is>
          <t>新加坡比特</t>
        </is>
      </c>
      <c r="E66" s="880" t="inlineStr">
        <is>
          <t>XJ</t>
        </is>
      </c>
      <c r="F66" s="881" t="inlineStr">
        <is>
          <t>印尼奥海</t>
        </is>
      </c>
      <c r="G66" s="880" t="inlineStr">
        <is>
          <t>BM1370PA</t>
        </is>
      </c>
      <c r="H66" s="879">
        <f>VLOOKUP(G66,编码对账表!C:D,2,0)</f>
        <v/>
      </c>
      <c r="I66" s="124" t="n">
        <v>9613</v>
      </c>
      <c r="J66" s="125" t="inlineStr">
        <is>
          <t>DPT202509040016</t>
        </is>
      </c>
      <c r="K66" s="125" t="inlineStr">
        <is>
          <t>1403250904203419</t>
        </is>
      </c>
      <c r="L66" s="881" t="n">
        <v>8.558</v>
      </c>
      <c r="M66" s="879" t="inlineStr">
        <is>
          <t>是</t>
        </is>
      </c>
      <c r="N66" s="126" t="n"/>
      <c r="O66" s="125" t="n"/>
      <c r="P66" s="105">
        <f>COUNTIF([4]Sheet1!$A:$A,K:K)</f>
        <v/>
      </c>
      <c r="R66" s="125" t="n"/>
      <c r="S66" s="125" t="n"/>
      <c r="T66" s="882" t="n"/>
      <c r="U66" s="882" t="n"/>
      <c r="V66" s="882" t="n"/>
      <c r="W66" s="882" t="n"/>
      <c r="X66" s="882" t="n"/>
    </row>
    <row r="67" customFormat="1" s="877">
      <c r="A67" s="2" t="n">
        <v>8</v>
      </c>
      <c r="B67" s="878" t="inlineStr">
        <is>
          <t>新加坡比特</t>
        </is>
      </c>
      <c r="C67" s="878" t="n">
        <v>45911</v>
      </c>
      <c r="D67" s="879" t="inlineStr">
        <is>
          <t>chanhua</t>
        </is>
      </c>
      <c r="E67" s="880" t="n"/>
      <c r="F67" s="881" t="inlineStr">
        <is>
          <t>SPILSZ</t>
        </is>
      </c>
      <c r="G67" s="880" t="inlineStr">
        <is>
          <t>BM1493</t>
        </is>
      </c>
      <c r="H67" s="879" t="inlineStr">
        <is>
          <t>Y31030503</t>
        </is>
      </c>
      <c r="I67" s="124" t="n">
        <v>480</v>
      </c>
      <c r="J67" s="125" t="inlineStr">
        <is>
          <t>CHH202509110010</t>
        </is>
      </c>
      <c r="K67" s="125" t="inlineStr">
        <is>
          <t>1155202509110001</t>
        </is>
      </c>
      <c r="L67" s="881" t="n">
        <v>25.3022</v>
      </c>
      <c r="M67" s="879" t="n"/>
      <c r="N67" s="126" t="n"/>
      <c r="O67" s="125" t="n"/>
      <c r="P67" s="105">
        <f>COUNTIF([4]Sheet1!$A:$A,K:K)</f>
        <v/>
      </c>
      <c r="R67" s="125" t="n"/>
      <c r="S67" s="125" t="n"/>
      <c r="T67" s="882" t="n"/>
      <c r="U67" s="882" t="n"/>
      <c r="V67" s="882" t="n"/>
      <c r="W67" s="882" t="n"/>
      <c r="X67" s="882" t="n"/>
    </row>
    <row r="68" customFormat="1" s="877">
      <c r="A68" s="2" t="n">
        <v>9</v>
      </c>
      <c r="B68" s="878" t="inlineStr">
        <is>
          <t>chanhua</t>
        </is>
      </c>
      <c r="C68" s="878" t="n">
        <v>45904</v>
      </c>
      <c r="D68" s="879" t="inlineStr">
        <is>
          <t>新加坡比特</t>
        </is>
      </c>
      <c r="E68" s="880" t="inlineStr">
        <is>
          <t>ASECL</t>
        </is>
      </c>
      <c r="F68" s="881" t="inlineStr">
        <is>
          <t>Nationgate</t>
        </is>
      </c>
      <c r="G68" s="880" t="inlineStr">
        <is>
          <t>BM1370PF</t>
        </is>
      </c>
      <c r="H68" s="879">
        <f>VLOOKUP(G68,编码对账表!C:D,2,0)</f>
        <v/>
      </c>
      <c r="I68" s="124" t="n">
        <v>300200</v>
      </c>
      <c r="J68" s="125" t="inlineStr">
        <is>
          <t>BTD202509090020</t>
        </is>
      </c>
      <c r="K68" s="125" t="inlineStr">
        <is>
          <t xml:space="preserve"> 1155250909182839</t>
        </is>
      </c>
      <c r="L68" s="881" t="n">
        <v>13.69</v>
      </c>
      <c r="M68" s="879" t="n"/>
      <c r="N68" s="126" t="n"/>
      <c r="O68" s="125" t="n"/>
      <c r="P68" s="105">
        <f>COUNTIF([4]Sheet1!$A:$A,K:K)</f>
        <v/>
      </c>
      <c r="R68" s="125" t="n"/>
      <c r="S68" s="125" t="n"/>
      <c r="T68" s="882" t="n"/>
      <c r="U68" s="882" t="n"/>
      <c r="V68" s="882" t="n"/>
      <c r="W68" s="882" t="n"/>
      <c r="X68" s="882" t="n"/>
    </row>
    <row r="69" customFormat="1" s="877">
      <c r="A69" s="2" t="n">
        <v>10</v>
      </c>
      <c r="B69" s="878" t="inlineStr">
        <is>
          <t>chanhua</t>
        </is>
      </c>
      <c r="C69" s="878" t="n">
        <v>45904</v>
      </c>
      <c r="D69" s="879" t="inlineStr">
        <is>
          <t>新加坡比特</t>
        </is>
      </c>
      <c r="E69" s="880" t="inlineStr">
        <is>
          <t>ASECL</t>
        </is>
      </c>
      <c r="F69" s="881" t="inlineStr">
        <is>
          <t>PIE</t>
        </is>
      </c>
      <c r="G69" s="880" t="inlineStr">
        <is>
          <t>BM1370PF</t>
        </is>
      </c>
      <c r="H69" s="879">
        <f>VLOOKUP(G69,编码对账表!C:D,2,0)</f>
        <v/>
      </c>
      <c r="I69" s="124" t="n">
        <v>805600</v>
      </c>
      <c r="J69" s="125" t="inlineStr">
        <is>
          <t>DPT202509040021</t>
        </is>
      </c>
      <c r="K69" s="125" t="inlineStr">
        <is>
          <t>1403250913164357</t>
        </is>
      </c>
      <c r="L69" s="881" t="n">
        <v>10.0037</v>
      </c>
      <c r="M69" s="879" t="n"/>
      <c r="N69" s="126" t="n"/>
      <c r="O69" s="125" t="n"/>
      <c r="P69" s="105">
        <f>COUNTIF([4]Sheet1!$A:$A,K:K)</f>
        <v/>
      </c>
      <c r="R69" s="125" t="n"/>
      <c r="S69" s="125" t="n"/>
      <c r="T69" s="882" t="n"/>
      <c r="U69" s="882" t="n"/>
      <c r="V69" s="882" t="n"/>
      <c r="W69" s="882" t="n"/>
      <c r="X69" s="882" t="n"/>
    </row>
    <row r="70" customFormat="1" s="877">
      <c r="A70" s="2" t="n">
        <v>11</v>
      </c>
      <c r="B70" s="878" t="inlineStr">
        <is>
          <t>chanhua</t>
        </is>
      </c>
      <c r="C70" s="878" t="n">
        <v>45905</v>
      </c>
      <c r="D70" s="879" t="inlineStr">
        <is>
          <t>新加坡比特</t>
        </is>
      </c>
      <c r="E70" s="880" t="inlineStr">
        <is>
          <t>JSCC</t>
        </is>
      </c>
      <c r="F70" s="881" t="inlineStr">
        <is>
          <t>泰国ONETEC</t>
        </is>
      </c>
      <c r="G70" s="880" t="inlineStr">
        <is>
          <t>BM1370PF</t>
        </is>
      </c>
      <c r="H70" s="879">
        <f>VLOOKUP(G70,编码对账表!C:D,2,0)</f>
        <v/>
      </c>
      <c r="I70" s="124" t="n">
        <v>62069</v>
      </c>
      <c r="J70" s="125" t="inlineStr">
        <is>
          <t>DPT202509050010</t>
        </is>
      </c>
      <c r="K70" s="125" t="inlineStr">
        <is>
          <t>1403250913164404</t>
        </is>
      </c>
      <c r="L70" s="881" t="n">
        <v>10.0037</v>
      </c>
      <c r="M70" s="879" t="n"/>
      <c r="N70" s="126" t="n"/>
      <c r="O70" s="125" t="n"/>
      <c r="P70" s="105">
        <f>COUNTIF([4]Sheet1!$A:$A,K:K)</f>
        <v/>
      </c>
      <c r="R70" s="125" t="n"/>
      <c r="S70" s="125" t="n"/>
      <c r="T70" s="882" t="n"/>
      <c r="U70" s="882" t="n"/>
      <c r="V70" s="882" t="n"/>
      <c r="W70" s="882" t="n"/>
      <c r="X70" s="882" t="n"/>
    </row>
    <row r="71" customFormat="1" s="877">
      <c r="A71" s="2" t="n">
        <v>12</v>
      </c>
      <c r="B71" s="878" t="inlineStr">
        <is>
          <t>chanhua</t>
        </is>
      </c>
      <c r="C71" s="878" t="n">
        <v>45906</v>
      </c>
      <c r="D71" s="879" t="inlineStr">
        <is>
          <t>新加坡比特</t>
        </is>
      </c>
      <c r="E71" s="880" t="inlineStr">
        <is>
          <t>NJ-VT</t>
        </is>
      </c>
      <c r="F71" s="881" t="inlineStr">
        <is>
          <t>泰国群光</t>
        </is>
      </c>
      <c r="G71" s="880" t="inlineStr">
        <is>
          <t>BM1370PF</t>
        </is>
      </c>
      <c r="H71" s="879">
        <f>VLOOKUP(G71,编码对账表!C:D,2,0)</f>
        <v/>
      </c>
      <c r="I71" s="124" t="n">
        <v>98396</v>
      </c>
      <c r="J71" s="125" t="inlineStr">
        <is>
          <t>DPT202509060010</t>
        </is>
      </c>
      <c r="K71" s="125" t="inlineStr">
        <is>
          <t>1403250913164412</t>
        </is>
      </c>
      <c r="L71" s="881" t="n">
        <v>10.0037</v>
      </c>
      <c r="M71" s="879" t="n"/>
      <c r="N71" s="126" t="n"/>
      <c r="O71" s="125" t="n"/>
      <c r="P71" s="105">
        <f>COUNTIF([4]Sheet1!$A:$A,K:K)</f>
        <v/>
      </c>
      <c r="R71" s="125" t="n"/>
      <c r="S71" s="125" t="n"/>
      <c r="T71" s="882" t="n"/>
      <c r="U71" s="882" t="n"/>
      <c r="V71" s="882" t="n"/>
      <c r="W71" s="882" t="n"/>
      <c r="X71" s="882" t="n"/>
    </row>
    <row r="72" customFormat="1" s="877">
      <c r="A72" s="2" t="n">
        <v>13</v>
      </c>
      <c r="B72" s="878" t="inlineStr">
        <is>
          <t>chanhua</t>
        </is>
      </c>
      <c r="C72" s="878" t="n">
        <v>45908</v>
      </c>
      <c r="D72" s="879" t="inlineStr">
        <is>
          <t>新加坡比特</t>
        </is>
      </c>
      <c r="E72" s="880" t="inlineStr">
        <is>
          <t>JSCC</t>
        </is>
      </c>
      <c r="F72" s="881" t="inlineStr">
        <is>
          <t>泰国ONETEC</t>
        </is>
      </c>
      <c r="G72" s="880" t="inlineStr">
        <is>
          <t>BM1370PF</t>
        </is>
      </c>
      <c r="H72" s="879">
        <f>VLOOKUP(G72,编码对账表!C:D,2,0)</f>
        <v/>
      </c>
      <c r="I72" s="124" t="n">
        <v>145474</v>
      </c>
      <c r="J72" s="125" t="inlineStr">
        <is>
          <t>DPT202509080010</t>
        </is>
      </c>
      <c r="K72" s="125" t="inlineStr">
        <is>
          <t>1403250913164421</t>
        </is>
      </c>
      <c r="L72" s="881" t="n">
        <v>10.0037</v>
      </c>
      <c r="M72" s="879" t="n"/>
      <c r="N72" s="126" t="n"/>
      <c r="O72" s="125" t="n"/>
      <c r="P72" s="105">
        <f>COUNTIF([4]Sheet1!$A:$A,K:K)</f>
        <v/>
      </c>
      <c r="R72" s="125" t="n"/>
      <c r="S72" s="125" t="n"/>
      <c r="T72" s="882" t="n"/>
      <c r="U72" s="882" t="n"/>
      <c r="V72" s="882" t="n"/>
      <c r="W72" s="882" t="n"/>
      <c r="X72" s="882" t="n"/>
    </row>
    <row r="73" customFormat="1" s="877">
      <c r="A73" s="2" t="n">
        <v>14</v>
      </c>
      <c r="B73" s="878" t="inlineStr">
        <is>
          <t>chanhua</t>
        </is>
      </c>
      <c r="C73" s="878" t="n">
        <v>45909</v>
      </c>
      <c r="D73" s="879" t="inlineStr">
        <is>
          <t>新加坡比特</t>
        </is>
      </c>
      <c r="E73" s="880" t="inlineStr">
        <is>
          <t>SPILSZ</t>
        </is>
      </c>
      <c r="F73" s="881" t="inlineStr">
        <is>
          <t>Nationgate</t>
        </is>
      </c>
      <c r="G73" s="880" t="inlineStr">
        <is>
          <t>BM1370PF</t>
        </is>
      </c>
      <c r="H73" s="879">
        <f>VLOOKUP(G73,编码对账表!C:D,2,0)</f>
        <v/>
      </c>
      <c r="I73" s="124" t="n">
        <v>619400</v>
      </c>
      <c r="J73" s="125" t="inlineStr">
        <is>
          <t>DPT202509090010</t>
        </is>
      </c>
      <c r="K73" s="125" t="inlineStr">
        <is>
          <t>1403250913164430</t>
        </is>
      </c>
      <c r="L73" s="881" t="n">
        <v>10.0037</v>
      </c>
      <c r="M73" s="879" t="n"/>
      <c r="N73" s="126" t="n"/>
      <c r="O73" s="125" t="n"/>
      <c r="P73" s="105">
        <f>COUNTIF([4]Sheet1!$A:$A,K:K)</f>
        <v/>
      </c>
      <c r="R73" s="125" t="n"/>
      <c r="S73" s="125" t="n"/>
      <c r="T73" s="882" t="n"/>
      <c r="U73" s="882" t="n"/>
      <c r="V73" s="882" t="n"/>
      <c r="W73" s="882" t="n"/>
      <c r="X73" s="882" t="n"/>
    </row>
    <row r="74" customFormat="1" s="877">
      <c r="A74" s="2" t="n">
        <v>15</v>
      </c>
      <c r="B74" s="878" t="inlineStr">
        <is>
          <t>chanhua</t>
        </is>
      </c>
      <c r="C74" s="878" t="n">
        <v>45909</v>
      </c>
      <c r="D74" s="879" t="inlineStr">
        <is>
          <t>新加坡比特</t>
        </is>
      </c>
      <c r="E74" s="880" t="inlineStr">
        <is>
          <t>SPILSZ</t>
        </is>
      </c>
      <c r="F74" s="881" t="inlineStr">
        <is>
          <t>泰国群光</t>
        </is>
      </c>
      <c r="G74" s="880" t="inlineStr">
        <is>
          <t>BM1370PF</t>
        </is>
      </c>
      <c r="H74" s="879">
        <f>VLOOKUP(G74,编码对账表!C:D,2,0)</f>
        <v/>
      </c>
      <c r="I74" s="124" t="n">
        <v>269800</v>
      </c>
      <c r="J74" s="125" t="inlineStr">
        <is>
          <t>DPT202509090011</t>
        </is>
      </c>
      <c r="K74" s="125" t="inlineStr">
        <is>
          <t>1403250913164439</t>
        </is>
      </c>
      <c r="L74" s="881" t="n">
        <v>10.0037</v>
      </c>
      <c r="M74" s="879" t="n"/>
      <c r="N74" s="126" t="n"/>
      <c r="O74" s="125" t="n"/>
      <c r="P74" s="105">
        <f>COUNTIF([4]Sheet1!$A:$A,K:K)</f>
        <v/>
      </c>
      <c r="R74" s="125" t="n"/>
      <c r="S74" s="125" t="n"/>
      <c r="T74" s="882" t="n"/>
      <c r="U74" s="882" t="n"/>
      <c r="V74" s="882" t="n"/>
      <c r="W74" s="882" t="n"/>
      <c r="X74" s="882" t="n"/>
    </row>
    <row r="75" customFormat="1" s="877">
      <c r="A75" s="2" t="n">
        <v>16</v>
      </c>
      <c r="B75" s="878" t="inlineStr">
        <is>
          <t>chanhua</t>
        </is>
      </c>
      <c r="C75" s="878" t="n">
        <v>45909</v>
      </c>
      <c r="D75" s="879" t="inlineStr">
        <is>
          <t>新加坡比特</t>
        </is>
      </c>
      <c r="E75" s="880" t="inlineStr">
        <is>
          <t>XJ</t>
        </is>
      </c>
      <c r="F75" s="881" t="inlineStr">
        <is>
          <t>Nationgate</t>
        </is>
      </c>
      <c r="G75" s="880" t="inlineStr">
        <is>
          <t>BM1370PF</t>
        </is>
      </c>
      <c r="H75" s="879">
        <f>VLOOKUP(G75,编码对账表!C:D,2,0)</f>
        <v/>
      </c>
      <c r="I75" s="124" t="n">
        <v>14434</v>
      </c>
      <c r="J75" s="125" t="inlineStr">
        <is>
          <t>DPT202509090012</t>
        </is>
      </c>
      <c r="K75" s="125" t="inlineStr">
        <is>
          <t>1403250913164447</t>
        </is>
      </c>
      <c r="L75" s="881" t="n">
        <v>10.0037</v>
      </c>
      <c r="M75" s="879" t="n"/>
      <c r="N75" s="126" t="n"/>
      <c r="O75" s="125" t="n"/>
      <c r="P75" s="105">
        <f>COUNTIF([4]Sheet1!$A:$A,K:K)</f>
        <v/>
      </c>
      <c r="R75" s="125" t="n"/>
      <c r="S75" s="125" t="n"/>
      <c r="T75" s="882" t="n"/>
      <c r="U75" s="882" t="n"/>
      <c r="V75" s="882" t="n"/>
      <c r="W75" s="882" t="n"/>
      <c r="X75" s="882" t="n"/>
    </row>
    <row r="76" customFormat="1" s="877">
      <c r="A76" s="2" t="n">
        <v>17</v>
      </c>
      <c r="B76" s="878" t="inlineStr">
        <is>
          <t>chanhua</t>
        </is>
      </c>
      <c r="C76" s="878" t="n">
        <v>45909</v>
      </c>
      <c r="D76" s="879" t="inlineStr">
        <is>
          <t>新加坡比特</t>
        </is>
      </c>
      <c r="E76" s="880" t="inlineStr">
        <is>
          <t>XJ</t>
        </is>
      </c>
      <c r="F76" s="881" t="inlineStr">
        <is>
          <t>PIE</t>
        </is>
      </c>
      <c r="G76" s="880" t="inlineStr">
        <is>
          <t>BM1370PF</t>
        </is>
      </c>
      <c r="H76" s="879">
        <f>VLOOKUP(G76,编码对账表!C:D,2,0)</f>
        <v/>
      </c>
      <c r="I76" s="124" t="n">
        <v>202659</v>
      </c>
      <c r="J76" s="125" t="inlineStr">
        <is>
          <t>DPT202509090013</t>
        </is>
      </c>
      <c r="K76" s="125" t="inlineStr">
        <is>
          <t>1403250913164454</t>
        </is>
      </c>
      <c r="L76" s="881" t="n">
        <v>10.0037</v>
      </c>
      <c r="M76" s="879" t="n"/>
      <c r="N76" s="126" t="n"/>
      <c r="O76" s="125" t="n"/>
      <c r="P76" s="105">
        <f>COUNTIF([4]Sheet1!$A:$A,K:K)</f>
        <v/>
      </c>
      <c r="R76" s="125" t="n"/>
      <c r="S76" s="125" t="n"/>
      <c r="T76" s="882" t="n"/>
      <c r="U76" s="882" t="n"/>
      <c r="V76" s="882" t="n"/>
      <c r="W76" s="882" t="n"/>
      <c r="X76" s="882" t="n"/>
    </row>
    <row r="77" customFormat="1" s="877">
      <c r="A77" s="2" t="n">
        <v>18</v>
      </c>
      <c r="B77" s="878" t="inlineStr">
        <is>
          <t>chanhua</t>
        </is>
      </c>
      <c r="C77" s="878" t="n">
        <v>45909</v>
      </c>
      <c r="D77" s="879" t="inlineStr">
        <is>
          <t>新加坡比特</t>
        </is>
      </c>
      <c r="E77" s="880" t="inlineStr">
        <is>
          <t>XJ</t>
        </is>
      </c>
      <c r="F77" s="881" t="inlineStr">
        <is>
          <t>泰国ONETEC</t>
        </is>
      </c>
      <c r="G77" s="880" t="inlineStr">
        <is>
          <t>BM1370PF</t>
        </is>
      </c>
      <c r="H77" s="879">
        <f>VLOOKUP(G77,编码对账表!C:D,2,0)</f>
        <v/>
      </c>
      <c r="I77" s="124" t="n">
        <v>531462</v>
      </c>
      <c r="J77" s="125" t="inlineStr">
        <is>
          <t>DPT202509090014</t>
        </is>
      </c>
      <c r="K77" s="125" t="inlineStr">
        <is>
          <t>1403250913164502</t>
        </is>
      </c>
      <c r="L77" s="881" t="n">
        <v>10.0037</v>
      </c>
      <c r="M77" s="879" t="n"/>
      <c r="N77" s="126" t="n"/>
      <c r="O77" s="125" t="n"/>
      <c r="P77" s="105">
        <f>COUNTIF([4]Sheet1!$A:$A,K:K)</f>
        <v/>
      </c>
      <c r="R77" s="125" t="n"/>
      <c r="S77" s="125" t="n"/>
      <c r="T77" s="882" t="n"/>
      <c r="U77" s="882" t="n"/>
      <c r="V77" s="882" t="n"/>
      <c r="W77" s="882" t="n"/>
      <c r="X77" s="882" t="n"/>
    </row>
    <row r="78" customFormat="1" s="877">
      <c r="A78" s="2" t="n">
        <v>19</v>
      </c>
      <c r="B78" s="878" t="inlineStr">
        <is>
          <t>chanhua</t>
        </is>
      </c>
      <c r="C78" s="878" t="n">
        <v>45909</v>
      </c>
      <c r="D78" s="879" t="inlineStr">
        <is>
          <t>新加坡比特</t>
        </is>
      </c>
      <c r="E78" s="880" t="inlineStr">
        <is>
          <t>XJ</t>
        </is>
      </c>
      <c r="F78" s="881" t="inlineStr">
        <is>
          <t>泰国群光</t>
        </is>
      </c>
      <c r="G78" s="880" t="inlineStr">
        <is>
          <t>BM1370PF</t>
        </is>
      </c>
      <c r="H78" s="879">
        <f>VLOOKUP(G78,编码对账表!C:D,2,0)</f>
        <v/>
      </c>
      <c r="I78" s="124" t="n">
        <v>240000</v>
      </c>
      <c r="J78" s="125" t="inlineStr">
        <is>
          <t>DPT202509090015</t>
        </is>
      </c>
      <c r="K78" s="125" t="inlineStr">
        <is>
          <t>1403250913164509</t>
        </is>
      </c>
      <c r="L78" s="881" t="n">
        <v>10.0037</v>
      </c>
      <c r="M78" s="879" t="n"/>
      <c r="N78" s="126" t="n"/>
      <c r="O78" s="125" t="n"/>
      <c r="P78" s="105">
        <f>COUNTIF([4]Sheet1!$A:$A,K:K)</f>
        <v/>
      </c>
      <c r="R78" s="125" t="n"/>
      <c r="S78" s="125" t="n"/>
      <c r="T78" s="882" t="n"/>
      <c r="U78" s="882" t="n"/>
      <c r="V78" s="882" t="n"/>
      <c r="W78" s="882" t="n"/>
      <c r="X78" s="882" t="n"/>
    </row>
    <row r="79" customFormat="1" s="877">
      <c r="A79" s="2" t="n">
        <v>20</v>
      </c>
      <c r="B79" s="878" t="inlineStr">
        <is>
          <t>chanhua</t>
        </is>
      </c>
      <c r="C79" s="878" t="n">
        <v>45911</v>
      </c>
      <c r="D79" s="879" t="inlineStr">
        <is>
          <t>新加坡比特</t>
        </is>
      </c>
      <c r="E79" s="880" t="inlineStr">
        <is>
          <t>SPILSZ</t>
        </is>
      </c>
      <c r="F79" s="881" t="inlineStr">
        <is>
          <t>PIE</t>
        </is>
      </c>
      <c r="G79" s="880" t="inlineStr">
        <is>
          <t>BM1370PF</t>
        </is>
      </c>
      <c r="H79" s="879">
        <f>VLOOKUP(G79,编码对账表!C:D,2,0)</f>
        <v/>
      </c>
      <c r="I79" s="124" t="n">
        <v>22800</v>
      </c>
      <c r="J79" s="125" t="inlineStr">
        <is>
          <t>DPT202509110010</t>
        </is>
      </c>
      <c r="K79" s="125" t="inlineStr">
        <is>
          <t>1403250913164517</t>
        </is>
      </c>
      <c r="L79" s="881" t="n">
        <v>10.0037</v>
      </c>
      <c r="M79" s="879" t="n"/>
      <c r="N79" s="126" t="n"/>
      <c r="O79" s="125" t="n"/>
      <c r="P79" s="105">
        <f>COUNTIF([4]Sheet1!$A:$A,K:K)</f>
        <v/>
      </c>
      <c r="R79" s="125" t="n"/>
      <c r="S79" s="125" t="n"/>
      <c r="T79" s="882" t="n"/>
      <c r="U79" s="882" t="n"/>
      <c r="V79" s="882" t="n"/>
      <c r="W79" s="882" t="n"/>
      <c r="X79" s="882" t="n"/>
    </row>
    <row r="80" customFormat="1" s="877">
      <c r="A80" s="2" t="n">
        <v>21</v>
      </c>
      <c r="B80" s="878" t="inlineStr">
        <is>
          <t>chanhua</t>
        </is>
      </c>
      <c r="C80" s="878" t="n">
        <v>45911</v>
      </c>
      <c r="D80" s="879" t="inlineStr">
        <is>
          <t>新加坡比特</t>
        </is>
      </c>
      <c r="E80" s="880" t="inlineStr">
        <is>
          <t>SPILSZ</t>
        </is>
      </c>
      <c r="F80" s="881" t="inlineStr">
        <is>
          <t>墨西哥欧陆通</t>
        </is>
      </c>
      <c r="G80" s="880" t="inlineStr">
        <is>
          <t>BM1370PF</t>
        </is>
      </c>
      <c r="H80" s="879">
        <f>VLOOKUP(G80,编码对账表!C:D,2,0)</f>
        <v/>
      </c>
      <c r="I80" s="124" t="n">
        <v>247000</v>
      </c>
      <c r="J80" s="125" t="inlineStr">
        <is>
          <t>DPT202509110011</t>
        </is>
      </c>
      <c r="K80" s="125" t="inlineStr">
        <is>
          <t>1403250913164525</t>
        </is>
      </c>
      <c r="L80" s="881" t="n">
        <v>10.0037</v>
      </c>
      <c r="M80" s="879" t="n"/>
      <c r="N80" s="126" t="n"/>
      <c r="O80" s="125" t="n"/>
      <c r="P80" s="105">
        <f>COUNTIF([4]Sheet1!$A:$A,K:K)</f>
        <v/>
      </c>
      <c r="R80" s="125" t="n"/>
      <c r="S80" s="125" t="n"/>
      <c r="T80" s="882" t="n"/>
      <c r="U80" s="882" t="n"/>
      <c r="V80" s="882" t="n"/>
      <c r="W80" s="882" t="n"/>
      <c r="X80" s="882" t="n"/>
    </row>
    <row r="81" ht="28.5" customFormat="1" customHeight="1" s="877">
      <c r="A81" s="2" t="n">
        <v>22</v>
      </c>
      <c r="B81" s="878" t="inlineStr">
        <is>
          <t>chanhua</t>
        </is>
      </c>
      <c r="C81" s="878" t="n">
        <v>45912</v>
      </c>
      <c r="D81" s="879" t="inlineStr">
        <is>
          <t>新加坡比特</t>
        </is>
      </c>
      <c r="E81" s="880" t="inlineStr">
        <is>
          <t>WX-HN</t>
        </is>
      </c>
      <c r="F81" s="881" t="inlineStr">
        <is>
          <t>PIE</t>
        </is>
      </c>
      <c r="G81" s="880" t="inlineStr">
        <is>
          <t>BM1370PF</t>
        </is>
      </c>
      <c r="H81" s="879">
        <f>VLOOKUP(G81,编码对账表!C:D,2,0)</f>
        <v/>
      </c>
      <c r="I81" s="124" t="n">
        <v>55798</v>
      </c>
      <c r="J81" s="125" t="inlineStr">
        <is>
          <t>DPT202509120010</t>
        </is>
      </c>
      <c r="K81" s="128" t="inlineStr">
        <is>
          <t>DPT202509120010
'202509261500432144</t>
        </is>
      </c>
      <c r="L81" s="881" t="n">
        <v>10.0037</v>
      </c>
      <c r="M81" s="879" t="n"/>
      <c r="N81" s="126" t="n"/>
      <c r="O81" s="125" t="n"/>
      <c r="P81" s="105">
        <f>COUNTIF([4]Sheet1!$A:$A,K:K)</f>
        <v/>
      </c>
      <c r="R81" s="125" t="n"/>
      <c r="S81" s="125" t="n"/>
      <c r="T81" s="882" t="n"/>
      <c r="U81" s="882" t="n"/>
      <c r="V81" s="882" t="n"/>
      <c r="W81" s="882" t="n"/>
      <c r="X81" s="882" t="n"/>
    </row>
    <row r="82" customFormat="1" s="877">
      <c r="A82" s="2" t="n">
        <v>23</v>
      </c>
      <c r="B82" s="878" t="inlineStr">
        <is>
          <t>chanhua</t>
        </is>
      </c>
      <c r="C82" s="878" t="n">
        <v>45912</v>
      </c>
      <c r="D82" s="879" t="inlineStr">
        <is>
          <t>新加坡比特</t>
        </is>
      </c>
      <c r="E82" s="880" t="inlineStr">
        <is>
          <t>WX-HN</t>
        </is>
      </c>
      <c r="F82" s="881" t="inlineStr">
        <is>
          <t>墨西哥欧陆通</t>
        </is>
      </c>
      <c r="G82" s="880" t="inlineStr">
        <is>
          <t>BM1370PF</t>
        </is>
      </c>
      <c r="H82" s="879">
        <f>VLOOKUP(G82,编码对账表!C:D,2,0)</f>
        <v/>
      </c>
      <c r="I82" s="124" t="n">
        <v>82281</v>
      </c>
      <c r="J82" s="125" t="inlineStr">
        <is>
          <t>DPT202509120011</t>
        </is>
      </c>
      <c r="K82" s="125" t="inlineStr">
        <is>
          <t>1403250913164532</t>
        </is>
      </c>
      <c r="L82" s="881" t="n">
        <v>10.0037</v>
      </c>
      <c r="M82" s="879" t="n"/>
      <c r="N82" s="126" t="n"/>
      <c r="O82" s="125" t="n"/>
      <c r="P82" s="105">
        <f>COUNTIF([4]Sheet1!$A:$A,K:K)</f>
        <v/>
      </c>
      <c r="R82" s="125" t="n"/>
      <c r="S82" s="125" t="n"/>
      <c r="T82" s="882" t="n"/>
      <c r="U82" s="882" t="n"/>
      <c r="V82" s="882" t="n"/>
      <c r="W82" s="882" t="n"/>
      <c r="X82" s="882" t="n"/>
    </row>
    <row r="83" customFormat="1" s="877">
      <c r="A83" s="2" t="n">
        <v>24</v>
      </c>
      <c r="B83" s="878" t="inlineStr">
        <is>
          <t>chanhua</t>
        </is>
      </c>
      <c r="C83" s="878" t="n">
        <v>45913</v>
      </c>
      <c r="D83" s="879" t="inlineStr">
        <is>
          <t>新加坡比特</t>
        </is>
      </c>
      <c r="E83" s="883" t="inlineStr">
        <is>
          <t>ASECL</t>
        </is>
      </c>
      <c r="F83" s="883" t="inlineStr">
        <is>
          <t>印尼奥海</t>
        </is>
      </c>
      <c r="G83" s="883" t="inlineStr">
        <is>
          <t>BM1370PF</t>
        </is>
      </c>
      <c r="H83" s="879">
        <f>VLOOKUP(G83,编码对账表!C:D,2,0)</f>
        <v/>
      </c>
      <c r="I83" s="126" t="n">
        <v>1683400</v>
      </c>
      <c r="J83" s="125" t="inlineStr">
        <is>
          <t>DPT202509160010</t>
        </is>
      </c>
      <c r="K83" s="884" t="inlineStr">
        <is>
          <t>1403251028101547</t>
        </is>
      </c>
      <c r="L83" s="885" t="n">
        <v>10.0037</v>
      </c>
      <c r="P83" s="105">
        <f>COUNTIF([4]Sheet1!$A:$A,K:K)</f>
        <v/>
      </c>
    </row>
    <row r="84" customFormat="1" s="877">
      <c r="A84" s="2" t="n">
        <v>25</v>
      </c>
      <c r="B84" s="878" t="inlineStr">
        <is>
          <t>chanhua</t>
        </is>
      </c>
      <c r="C84" s="878" t="n">
        <v>45920</v>
      </c>
      <c r="D84" s="879" t="inlineStr">
        <is>
          <t>美国比特</t>
        </is>
      </c>
      <c r="E84" s="880" t="inlineStr">
        <is>
          <t>ASECL</t>
        </is>
      </c>
      <c r="F84" s="872" t="inlineStr">
        <is>
          <t>美国Keytronic</t>
        </is>
      </c>
      <c r="G84" s="886" t="inlineStr">
        <is>
          <t>BM1370PF</t>
        </is>
      </c>
      <c r="H84" s="879">
        <f>VLOOKUP(G84,编码对账表!C:D,2,0)</f>
        <v/>
      </c>
      <c r="I84" s="132" t="n">
        <v>418000</v>
      </c>
      <c r="J84" s="125" t="inlineStr">
        <is>
          <t>BTD202509200011</t>
        </is>
      </c>
      <c r="K84" s="133" t="inlineStr">
        <is>
          <t>1155250922195444</t>
        </is>
      </c>
      <c r="L84" s="887" t="n">
        <v>13.69</v>
      </c>
      <c r="P84" s="105">
        <f>COUNTIF([4]Sheet1!$A:$A,K:K)</f>
        <v/>
      </c>
      <c r="Q84" s="866" t="n"/>
    </row>
    <row r="85" customFormat="1" s="877">
      <c r="A85" s="2" t="n">
        <v>26</v>
      </c>
      <c r="B85" s="878" t="inlineStr">
        <is>
          <t>chanhua</t>
        </is>
      </c>
      <c r="C85" s="878" t="n">
        <v>45920</v>
      </c>
      <c r="D85" s="879" t="inlineStr">
        <is>
          <t>美国比特</t>
        </is>
      </c>
      <c r="E85" s="880" t="inlineStr">
        <is>
          <t>WX-HN</t>
        </is>
      </c>
      <c r="F85" s="872" t="inlineStr">
        <is>
          <t>美国Keytronic</t>
        </is>
      </c>
      <c r="G85" s="886" t="inlineStr">
        <is>
          <t>BM1370PF</t>
        </is>
      </c>
      <c r="H85" s="879">
        <f>VLOOKUP(G85,编码对账表!C:D,2,0)</f>
        <v/>
      </c>
      <c r="I85" s="132" t="n">
        <v>277077</v>
      </c>
      <c r="J85" s="125" t="inlineStr">
        <is>
          <t>BTD202509200010</t>
        </is>
      </c>
      <c r="K85" s="135" t="inlineStr">
        <is>
          <t>1155250922195435</t>
        </is>
      </c>
      <c r="L85" s="887" t="n">
        <v>13.69</v>
      </c>
      <c r="M85" s="877" t="inlineStr">
        <is>
          <t>是</t>
        </is>
      </c>
      <c r="P85" s="105">
        <f>COUNTIF([4]Sheet1!$A:$A,K:K)</f>
        <v/>
      </c>
      <c r="Q85" s="866" t="n"/>
    </row>
    <row r="86" customFormat="1" s="877">
      <c r="A86" s="2" t="n">
        <v>27</v>
      </c>
      <c r="B86" s="878" t="inlineStr">
        <is>
          <t>chanhua</t>
        </is>
      </c>
      <c r="C86" s="878" t="n">
        <v>45924</v>
      </c>
      <c r="D86" s="879" t="inlineStr">
        <is>
          <t>美国比特</t>
        </is>
      </c>
      <c r="E86" s="880" t="inlineStr">
        <is>
          <t>XJ</t>
        </is>
      </c>
      <c r="F86" s="872" t="inlineStr">
        <is>
          <t>美国Keytronic</t>
        </is>
      </c>
      <c r="G86" s="886" t="inlineStr">
        <is>
          <t>BM1370PF</t>
        </is>
      </c>
      <c r="H86" s="879">
        <f>VLOOKUP(G86,编码对账表!C:D,2,0)</f>
        <v/>
      </c>
      <c r="I86" s="132" t="n">
        <v>167126</v>
      </c>
      <c r="J86" s="125" t="inlineStr">
        <is>
          <t>BTD202509240010</t>
        </is>
      </c>
      <c r="K86" s="135" t="inlineStr">
        <is>
          <t>1155250924113926</t>
        </is>
      </c>
      <c r="L86" s="887" t="n">
        <v>13.69</v>
      </c>
      <c r="P86" s="105">
        <f>COUNTIF([4]Sheet1!$A:$A,K:K)</f>
        <v/>
      </c>
      <c r="Q86" s="866" t="n"/>
    </row>
    <row r="87" customFormat="1" s="877">
      <c r="A87" s="2" t="n">
        <v>28</v>
      </c>
      <c r="B87" s="878" t="inlineStr">
        <is>
          <t>chanhua</t>
        </is>
      </c>
      <c r="C87" s="878" t="n">
        <v>45912</v>
      </c>
      <c r="D87" s="879" t="inlineStr">
        <is>
          <t>新加坡比特</t>
        </is>
      </c>
      <c r="E87" s="880" t="inlineStr">
        <is>
          <t>ASECL</t>
        </is>
      </c>
      <c r="F87" s="881" t="inlineStr">
        <is>
          <t>墨西哥欧陆通</t>
        </is>
      </c>
      <c r="G87" s="880" t="inlineStr">
        <is>
          <t>BM1370PF</t>
        </is>
      </c>
      <c r="H87" s="879">
        <f>VLOOKUP(G87,编码对账表!C:D,2,0)</f>
        <v/>
      </c>
      <c r="I87" s="124" t="n">
        <v>676400</v>
      </c>
      <c r="J87" s="125" t="inlineStr">
        <is>
          <t>DPT202509240010</t>
        </is>
      </c>
      <c r="K87" s="125" t="inlineStr">
        <is>
          <t>1403250924203337</t>
        </is>
      </c>
      <c r="L87" s="881" t="n">
        <v>10.0037</v>
      </c>
      <c r="M87" s="879" t="n"/>
      <c r="N87" s="126" t="n"/>
      <c r="O87" s="125" t="n"/>
      <c r="P87" s="105">
        <f>COUNTIF([4]Sheet1!$A:$A,K:K)</f>
        <v/>
      </c>
      <c r="R87" s="125" t="n"/>
      <c r="S87" s="125" t="n"/>
      <c r="T87" s="882" t="n"/>
      <c r="U87" s="882" t="n"/>
      <c r="V87" s="882" t="n"/>
      <c r="W87" s="882" t="n"/>
      <c r="X87" s="882" t="n"/>
    </row>
    <row r="88" customFormat="1" s="877">
      <c r="A88" s="2" t="n">
        <v>29</v>
      </c>
      <c r="B88" s="878" t="inlineStr">
        <is>
          <t>chanhua</t>
        </is>
      </c>
      <c r="C88" s="878" t="n">
        <v>45921</v>
      </c>
      <c r="D88" s="879" t="inlineStr">
        <is>
          <t>新加坡比特</t>
        </is>
      </c>
      <c r="E88" s="880" t="inlineStr">
        <is>
          <t>SPILSZ</t>
        </is>
      </c>
      <c r="F88" s="881" t="inlineStr">
        <is>
          <t>PIE</t>
        </is>
      </c>
      <c r="G88" s="880" t="inlineStr">
        <is>
          <t>BM1370PF</t>
        </is>
      </c>
      <c r="H88" s="879">
        <f>VLOOKUP(G88,编码对账表!C:D,2,0)</f>
        <v/>
      </c>
      <c r="I88" s="124" t="n">
        <v>181861</v>
      </c>
      <c r="J88" s="125" t="inlineStr">
        <is>
          <t>DPT202509260010</t>
        </is>
      </c>
      <c r="K88" s="888" t="inlineStr">
        <is>
          <t>1403250926160145</t>
        </is>
      </c>
      <c r="L88" s="881" t="n">
        <v>10.0037</v>
      </c>
      <c r="M88" s="879" t="n"/>
      <c r="N88" s="126" t="n"/>
      <c r="O88" s="125" t="n"/>
      <c r="P88" s="105">
        <f>COUNTIF([4]Sheet1!$A:$A,K:K)</f>
        <v/>
      </c>
      <c r="R88" s="125" t="n"/>
      <c r="S88" s="125" t="n"/>
      <c r="T88" s="882" t="n"/>
      <c r="U88" s="882" t="n"/>
      <c r="V88" s="882" t="n"/>
      <c r="W88" s="882" t="n"/>
      <c r="X88" s="882" t="n"/>
    </row>
    <row r="89" customFormat="1" s="877">
      <c r="A89" s="2" t="n">
        <v>30</v>
      </c>
      <c r="B89" s="878" t="inlineStr">
        <is>
          <t>chanhua</t>
        </is>
      </c>
      <c r="C89" s="878" t="n">
        <v>45914</v>
      </c>
      <c r="D89" s="879" t="inlineStr">
        <is>
          <t>新加坡比特</t>
        </is>
      </c>
      <c r="E89" s="880" t="inlineStr">
        <is>
          <t>XJ</t>
        </is>
      </c>
      <c r="F89" s="881" t="inlineStr">
        <is>
          <t>泰国ONETEC</t>
        </is>
      </c>
      <c r="G89" s="880" t="inlineStr">
        <is>
          <t>BM1370PF</t>
        </is>
      </c>
      <c r="H89" s="879">
        <f>VLOOKUP(G89,编码对账表!C:D,2,0)</f>
        <v/>
      </c>
      <c r="I89" s="124" t="n">
        <v>931177</v>
      </c>
      <c r="J89" s="125" t="inlineStr">
        <is>
          <t>DPT202509260011</t>
        </is>
      </c>
      <c r="K89" s="889" t="inlineStr">
        <is>
          <t>’1403250926160155</t>
        </is>
      </c>
      <c r="L89" s="881" t="n">
        <v>10.0037</v>
      </c>
      <c r="M89" s="879" t="n"/>
      <c r="N89" s="126" t="n"/>
      <c r="O89" s="125" t="n"/>
      <c r="P89" s="105">
        <f>COUNTIF([4]Sheet1!$A:$A,K:K)</f>
        <v/>
      </c>
      <c r="R89" s="125" t="n"/>
      <c r="S89" s="125" t="n"/>
      <c r="T89" s="882" t="n"/>
      <c r="U89" s="882" t="n"/>
      <c r="V89" s="882" t="n"/>
      <c r="W89" s="882" t="n"/>
      <c r="X89" s="882" t="n"/>
    </row>
    <row r="90" customFormat="1" s="877">
      <c r="A90" s="2" t="n">
        <v>31</v>
      </c>
      <c r="B90" s="878" t="inlineStr">
        <is>
          <t>chanhua</t>
        </is>
      </c>
      <c r="C90" s="878" t="n">
        <v>45909</v>
      </c>
      <c r="D90" s="879" t="inlineStr">
        <is>
          <t>新加坡比特</t>
        </is>
      </c>
      <c r="E90" s="880" t="inlineStr">
        <is>
          <t>ASECL</t>
        </is>
      </c>
      <c r="F90" s="881" t="inlineStr">
        <is>
          <t>泰国群光</t>
        </is>
      </c>
      <c r="G90" s="880" t="inlineStr">
        <is>
          <t>BM1370PF</t>
        </is>
      </c>
      <c r="H90" s="879">
        <f>VLOOKUP(G90,编码对账表!C:D,2,0)</f>
        <v/>
      </c>
      <c r="I90" s="124" t="n">
        <v>220400</v>
      </c>
      <c r="J90" s="125" t="inlineStr">
        <is>
          <t>DPT202509260012</t>
        </is>
      </c>
      <c r="K90" s="888" t="inlineStr">
        <is>
          <t>1403250926160203</t>
        </is>
      </c>
      <c r="L90" s="881" t="n">
        <v>10.0037</v>
      </c>
      <c r="M90" s="879" t="n"/>
      <c r="N90" s="126" t="n"/>
      <c r="O90" s="125" t="n"/>
      <c r="P90" s="105">
        <f>COUNTIF([4]Sheet1!$A:$A,K:K)</f>
        <v/>
      </c>
      <c r="R90" s="125" t="n"/>
      <c r="S90" s="125" t="n"/>
      <c r="T90" s="882" t="n"/>
      <c r="U90" s="882" t="n"/>
      <c r="V90" s="882" t="n"/>
      <c r="W90" s="882" t="n"/>
      <c r="X90" s="882" t="n"/>
    </row>
    <row r="91" customFormat="1" s="877">
      <c r="A91" s="2" t="n">
        <v>32</v>
      </c>
      <c r="B91" s="878" t="inlineStr">
        <is>
          <t>chanhua</t>
        </is>
      </c>
      <c r="C91" s="878" t="n">
        <v>45912</v>
      </c>
      <c r="D91" s="879" t="inlineStr">
        <is>
          <t>新加坡比特</t>
        </is>
      </c>
      <c r="E91" s="880" t="inlineStr">
        <is>
          <t>JSCC</t>
        </is>
      </c>
      <c r="F91" s="881" t="inlineStr">
        <is>
          <t>泰国群光</t>
        </is>
      </c>
      <c r="G91" s="880" t="inlineStr">
        <is>
          <t>BM1370PF</t>
        </is>
      </c>
      <c r="H91" s="879">
        <f>VLOOKUP(G91,编码对账表!C:D,2,0)</f>
        <v/>
      </c>
      <c r="I91" s="124" t="n">
        <v>181955</v>
      </c>
      <c r="J91" s="125" t="inlineStr">
        <is>
          <t>DPT202509260013</t>
        </is>
      </c>
      <c r="K91" s="889" t="inlineStr">
        <is>
          <t>’1403250926160208</t>
        </is>
      </c>
      <c r="L91" s="881" t="n">
        <v>10.0037</v>
      </c>
      <c r="M91" s="879" t="n"/>
      <c r="N91" s="126" t="n"/>
      <c r="O91" s="125" t="n"/>
      <c r="P91" s="105">
        <f>COUNTIF([4]Sheet1!$A:$A,K:K)</f>
        <v/>
      </c>
      <c r="R91" s="125" t="n"/>
      <c r="S91" s="125" t="n"/>
      <c r="T91" s="882" t="n"/>
      <c r="U91" s="882" t="n"/>
      <c r="V91" s="882" t="n"/>
      <c r="W91" s="882" t="n"/>
      <c r="X91" s="882" t="n"/>
    </row>
    <row r="92" customFormat="1" s="877">
      <c r="A92" s="2" t="n">
        <v>33</v>
      </c>
      <c r="B92" s="878" t="inlineStr">
        <is>
          <t>chanhua</t>
        </is>
      </c>
      <c r="C92" s="878" t="n">
        <v>45914</v>
      </c>
      <c r="D92" s="879" t="inlineStr">
        <is>
          <t>新加坡比特</t>
        </is>
      </c>
      <c r="E92" s="880" t="inlineStr">
        <is>
          <t>SPILSZ</t>
        </is>
      </c>
      <c r="F92" s="881" t="inlineStr">
        <is>
          <t>泰国群光</t>
        </is>
      </c>
      <c r="G92" s="880" t="inlineStr">
        <is>
          <t>BM1370PF</t>
        </is>
      </c>
      <c r="H92" s="879">
        <f>VLOOKUP(G92,编码对账表!C:D,2,0)</f>
        <v/>
      </c>
      <c r="I92" s="124" t="n">
        <v>808330</v>
      </c>
      <c r="J92" s="125" t="inlineStr">
        <is>
          <t>DPT202509260014</t>
        </is>
      </c>
      <c r="K92" s="888" t="inlineStr">
        <is>
          <t>1403250926160213</t>
        </is>
      </c>
      <c r="L92" s="881" t="n">
        <v>10.0037</v>
      </c>
      <c r="M92" s="879" t="n"/>
      <c r="N92" s="126" t="n"/>
      <c r="O92" s="125" t="n"/>
      <c r="P92" s="105">
        <f>COUNTIF([4]Sheet1!$A:$A,K:K)</f>
        <v/>
      </c>
      <c r="R92" s="125" t="n"/>
      <c r="S92" s="125" t="n"/>
      <c r="T92" s="882" t="n"/>
      <c r="U92" s="882" t="n"/>
      <c r="V92" s="882" t="n"/>
      <c r="W92" s="882" t="n"/>
      <c r="X92" s="882" t="n"/>
    </row>
    <row r="93" customFormat="1" s="877">
      <c r="A93" s="2" t="n">
        <v>34</v>
      </c>
      <c r="B93" s="878" t="inlineStr">
        <is>
          <t>chanhua</t>
        </is>
      </c>
      <c r="C93" s="878" t="n">
        <v>45914</v>
      </c>
      <c r="D93" s="879" t="inlineStr">
        <is>
          <t>新加坡比特</t>
        </is>
      </c>
      <c r="E93" s="880" t="inlineStr">
        <is>
          <t>NJ-VT</t>
        </is>
      </c>
      <c r="F93" s="881" t="inlineStr">
        <is>
          <t>泰国群光</t>
        </is>
      </c>
      <c r="G93" s="880" t="inlineStr">
        <is>
          <t>BM1370PF</t>
        </is>
      </c>
      <c r="H93" s="879">
        <f>VLOOKUP(G93,编码对账表!C:D,2,0)</f>
        <v/>
      </c>
      <c r="I93" s="124" t="n">
        <v>118110</v>
      </c>
      <c r="J93" s="125" t="inlineStr">
        <is>
          <t>DPT202509260015</t>
        </is>
      </c>
      <c r="K93" s="889" t="inlineStr">
        <is>
          <t>’1403250926160220</t>
        </is>
      </c>
      <c r="L93" s="881" t="n">
        <v>10.0037</v>
      </c>
      <c r="M93" s="879" t="n"/>
      <c r="N93" s="126" t="n"/>
      <c r="O93" s="125" t="n"/>
      <c r="P93" s="105">
        <f>COUNTIF([4]Sheet1!$A:$A,K:K)</f>
        <v/>
      </c>
      <c r="R93" s="125" t="n"/>
      <c r="S93" s="125" t="n"/>
      <c r="T93" s="882" t="n"/>
      <c r="U93" s="882" t="n"/>
      <c r="V93" s="882" t="n"/>
      <c r="W93" s="882" t="n"/>
      <c r="X93" s="882" t="n"/>
    </row>
    <row r="94" customFormat="1" s="877">
      <c r="A94" s="2" t="n">
        <v>35</v>
      </c>
      <c r="B94" s="878" t="inlineStr">
        <is>
          <t>chanhua</t>
        </is>
      </c>
      <c r="C94" s="878" t="n">
        <v>45914</v>
      </c>
      <c r="D94" s="879" t="inlineStr">
        <is>
          <t>新加坡比特</t>
        </is>
      </c>
      <c r="E94" s="880" t="inlineStr">
        <is>
          <t>WX-HN</t>
        </is>
      </c>
      <c r="F94" s="881" t="inlineStr">
        <is>
          <t>泰国群光</t>
        </is>
      </c>
      <c r="G94" s="880" t="inlineStr">
        <is>
          <t>BM1370PF</t>
        </is>
      </c>
      <c r="H94" s="879">
        <f>VLOOKUP(G94,编码对账表!C:D,2,0)</f>
        <v/>
      </c>
      <c r="I94" s="124" t="n">
        <v>32126</v>
      </c>
      <c r="J94" s="603" t="inlineStr">
        <is>
          <t>202509221035552748</t>
        </is>
      </c>
      <c r="K94" s="603" t="inlineStr">
        <is>
          <t>202509221035552748</t>
        </is>
      </c>
      <c r="L94" s="881" t="n">
        <v>10.0037</v>
      </c>
      <c r="M94" s="879" t="n"/>
      <c r="N94" s="126" t="n"/>
      <c r="O94" s="125" t="n"/>
      <c r="P94" s="105">
        <f>COUNTIF([4]Sheet1!$A:$A,K:K)</f>
        <v/>
      </c>
      <c r="R94" s="125" t="n"/>
      <c r="S94" s="125" t="n"/>
      <c r="T94" s="882" t="n"/>
      <c r="U94" s="882" t="n"/>
      <c r="V94" s="882" t="n"/>
      <c r="W94" s="882" t="n"/>
      <c r="X94" s="882" t="n"/>
    </row>
    <row r="95" customFormat="1" s="877">
      <c r="A95" s="2" t="n">
        <v>36</v>
      </c>
      <c r="B95" s="878" t="inlineStr">
        <is>
          <t>chanhua</t>
        </is>
      </c>
      <c r="C95" s="878" t="n">
        <v>45926</v>
      </c>
      <c r="D95" s="879" t="inlineStr">
        <is>
          <t>新加坡比特</t>
        </is>
      </c>
      <c r="E95" s="880" t="inlineStr">
        <is>
          <t>ASECL</t>
        </is>
      </c>
      <c r="F95" s="881" t="inlineStr">
        <is>
          <t>PIE</t>
        </is>
      </c>
      <c r="G95" s="880" t="inlineStr">
        <is>
          <t>BM1370BC</t>
        </is>
      </c>
      <c r="H95" s="879" t="inlineStr">
        <is>
          <t>Y31010527</t>
        </is>
      </c>
      <c r="I95" s="124" t="n">
        <v>36723</v>
      </c>
      <c r="J95" s="125" t="inlineStr">
        <is>
          <t>DPT202509260021</t>
        </is>
      </c>
      <c r="K95" s="125" t="inlineStr">
        <is>
          <t>1403251003133416</t>
        </is>
      </c>
      <c r="L95" s="881" t="n">
        <v>10.0037</v>
      </c>
      <c r="M95" s="879" t="n"/>
      <c r="N95" s="126" t="n"/>
      <c r="O95" s="125" t="n"/>
      <c r="P95" s="105">
        <f>COUNTIF([4]Sheet1!$A:$A,K:K)</f>
        <v/>
      </c>
      <c r="R95" s="125" t="n"/>
      <c r="S95" s="125" t="n"/>
      <c r="T95" s="882" t="n"/>
      <c r="U95" s="882" t="n"/>
      <c r="V95" s="882" t="n"/>
      <c r="W95" s="125" t="n"/>
      <c r="X95" s="882" t="n"/>
    </row>
    <row r="96" customFormat="1" s="877">
      <c r="A96" s="2" t="n">
        <v>37</v>
      </c>
      <c r="B96" s="878" t="inlineStr">
        <is>
          <t>chanhua</t>
        </is>
      </c>
      <c r="C96" s="878" t="n">
        <v>45926</v>
      </c>
      <c r="D96" s="879" t="inlineStr">
        <is>
          <t>新加坡比特</t>
        </is>
      </c>
      <c r="E96" s="880" t="inlineStr">
        <is>
          <t>ASECL</t>
        </is>
      </c>
      <c r="F96" s="881" t="inlineStr">
        <is>
          <t>PIE</t>
        </is>
      </c>
      <c r="G96" s="880" t="inlineStr">
        <is>
          <t>BM1370PA</t>
        </is>
      </c>
      <c r="H96" s="879" t="inlineStr">
        <is>
          <t>Y31010530</t>
        </is>
      </c>
      <c r="I96" s="124" t="n">
        <v>183308</v>
      </c>
      <c r="J96" s="125" t="inlineStr">
        <is>
          <t>DPT202509260022</t>
        </is>
      </c>
      <c r="K96" s="889" t="inlineStr">
        <is>
          <t>1403251003133424</t>
        </is>
      </c>
      <c r="L96" s="881" t="n">
        <v>10.0037</v>
      </c>
      <c r="M96" s="879" t="n"/>
      <c r="N96" s="126" t="n"/>
      <c r="O96" s="125" t="n"/>
      <c r="P96" s="105">
        <f>COUNTIF([4]Sheet1!$A:$A,K:K)</f>
        <v/>
      </c>
      <c r="R96" s="125" t="n"/>
      <c r="S96" s="125" t="n"/>
      <c r="T96" s="882" t="n"/>
      <c r="U96" s="882" t="n"/>
      <c r="V96" s="882" t="n"/>
      <c r="W96" s="125" t="n"/>
      <c r="X96" s="882" t="n"/>
    </row>
    <row r="97" customFormat="1" s="877">
      <c r="A97" s="2" t="n">
        <v>38</v>
      </c>
      <c r="B97" s="878" t="inlineStr">
        <is>
          <t>chanhua</t>
        </is>
      </c>
      <c r="C97" s="878" t="n">
        <v>45926</v>
      </c>
      <c r="D97" s="879" t="inlineStr">
        <is>
          <t>新加坡比特</t>
        </is>
      </c>
      <c r="E97" s="880" t="inlineStr">
        <is>
          <t>ASECL</t>
        </is>
      </c>
      <c r="F97" s="881" t="inlineStr">
        <is>
          <t>PIE</t>
        </is>
      </c>
      <c r="G97" s="880" t="inlineStr">
        <is>
          <t>BM1370PF</t>
        </is>
      </c>
      <c r="H97" s="879" t="inlineStr">
        <is>
          <t>Y31010536</t>
        </is>
      </c>
      <c r="I97" s="124" t="n">
        <v>64600</v>
      </c>
      <c r="J97" s="137" t="inlineStr">
        <is>
          <t>DPT202509260023</t>
        </is>
      </c>
      <c r="K97" s="890" t="inlineStr">
        <is>
          <t>1403251003133427</t>
        </is>
      </c>
      <c r="L97" s="881" t="n">
        <v>10.0037</v>
      </c>
      <c r="M97" s="879" t="n"/>
      <c r="N97" s="126" t="n"/>
      <c r="O97" s="125" t="n"/>
      <c r="P97" s="105">
        <f>COUNTIF([4]Sheet1!$A:$A,K:K)</f>
        <v/>
      </c>
      <c r="R97" s="125" t="n"/>
      <c r="S97" s="125" t="n"/>
      <c r="T97" s="882" t="n"/>
      <c r="U97" s="882" t="n"/>
      <c r="V97" s="882" t="n"/>
      <c r="W97" s="137" t="n"/>
      <c r="X97" s="882" t="n"/>
    </row>
    <row r="98" customFormat="1" s="877">
      <c r="A98" s="2" t="n">
        <v>39</v>
      </c>
      <c r="B98" s="878" t="inlineStr">
        <is>
          <t>chanhua</t>
        </is>
      </c>
      <c r="C98" s="878" t="n">
        <v>45926</v>
      </c>
      <c r="D98" s="879" t="inlineStr">
        <is>
          <t>新加坡比特</t>
        </is>
      </c>
      <c r="E98" s="880" t="inlineStr">
        <is>
          <t>ASECL</t>
        </is>
      </c>
      <c r="F98" s="881" t="inlineStr">
        <is>
          <t>印尼奥海</t>
        </is>
      </c>
      <c r="G98" s="880" t="inlineStr">
        <is>
          <t>BM1370PA</t>
        </is>
      </c>
      <c r="H98" s="879" t="inlineStr">
        <is>
          <t>Y31010530</t>
        </is>
      </c>
      <c r="I98" s="124" t="n">
        <v>38000</v>
      </c>
      <c r="J98" s="125" t="inlineStr">
        <is>
          <t>DPT202509260024</t>
        </is>
      </c>
      <c r="K98" s="890" t="inlineStr">
        <is>
          <t>1403251003133434</t>
        </is>
      </c>
      <c r="L98" s="881" t="n">
        <v>10.0037</v>
      </c>
      <c r="M98" s="879" t="n"/>
      <c r="N98" s="126" t="n"/>
      <c r="O98" s="125" t="n"/>
      <c r="P98" s="105">
        <f>COUNTIF([4]Sheet1!$A:$A,K:K)</f>
        <v/>
      </c>
      <c r="R98" s="125" t="n"/>
      <c r="S98" s="125" t="n"/>
      <c r="T98" s="882" t="n"/>
      <c r="U98" s="882" t="n"/>
      <c r="V98" s="882" t="n"/>
      <c r="W98" s="125" t="n"/>
      <c r="X98" s="882" t="n"/>
    </row>
    <row r="99" customFormat="1" s="877">
      <c r="A99" s="2" t="n">
        <v>40</v>
      </c>
      <c r="B99" s="878" t="inlineStr">
        <is>
          <t>chanhua</t>
        </is>
      </c>
      <c r="C99" s="878" t="n">
        <v>45926</v>
      </c>
      <c r="D99" s="879" t="inlineStr">
        <is>
          <t>新加坡比特</t>
        </is>
      </c>
      <c r="E99" s="880" t="inlineStr">
        <is>
          <t>JSCC</t>
        </is>
      </c>
      <c r="F99" s="881" t="inlineStr">
        <is>
          <t>PIE</t>
        </is>
      </c>
      <c r="G99" s="880" t="inlineStr">
        <is>
          <t>BM1370BC</t>
        </is>
      </c>
      <c r="H99" s="879" t="inlineStr">
        <is>
          <t>Y31010527</t>
        </is>
      </c>
      <c r="I99" s="124" t="n">
        <v>110703</v>
      </c>
      <c r="J99" s="125" t="inlineStr">
        <is>
          <t>DPT202509260025</t>
        </is>
      </c>
      <c r="K99" s="890" t="inlineStr">
        <is>
          <t>1403251003133440</t>
        </is>
      </c>
      <c r="L99" s="881" t="n">
        <v>10.0037</v>
      </c>
      <c r="M99" s="879" t="n"/>
      <c r="N99" s="126" t="n"/>
      <c r="O99" s="125" t="n"/>
      <c r="P99" s="105">
        <f>COUNTIF([4]Sheet1!$A:$A,K:K)</f>
        <v/>
      </c>
      <c r="R99" s="125" t="n"/>
      <c r="S99" s="125" t="n"/>
      <c r="T99" s="882" t="n"/>
      <c r="U99" s="882" t="n"/>
      <c r="V99" s="882" t="n"/>
      <c r="W99" s="125" t="n"/>
      <c r="X99" s="882" t="n"/>
    </row>
    <row r="100" customFormat="1" s="877">
      <c r="A100" s="2" t="n">
        <v>41</v>
      </c>
      <c r="B100" s="878" t="inlineStr">
        <is>
          <t>chanhua</t>
        </is>
      </c>
      <c r="C100" s="878" t="n">
        <v>45926</v>
      </c>
      <c r="D100" s="879" t="inlineStr">
        <is>
          <t>新加坡比特</t>
        </is>
      </c>
      <c r="E100" s="880" t="inlineStr">
        <is>
          <t>JSCC</t>
        </is>
      </c>
      <c r="F100" s="881" t="inlineStr">
        <is>
          <t>PIE</t>
        </is>
      </c>
      <c r="G100" s="880" t="inlineStr">
        <is>
          <t>BM1370PF</t>
        </is>
      </c>
      <c r="H100" s="879" t="inlineStr">
        <is>
          <t>Y31010536</t>
        </is>
      </c>
      <c r="I100" s="124" t="n">
        <v>47801</v>
      </c>
      <c r="J100" s="125" t="inlineStr">
        <is>
          <t>DPT202509260026</t>
        </is>
      </c>
      <c r="K100" s="890" t="inlineStr">
        <is>
          <t>1403251003133451</t>
        </is>
      </c>
      <c r="L100" s="881" t="n">
        <v>10.0037</v>
      </c>
      <c r="M100" s="879" t="n"/>
      <c r="N100" s="126" t="n"/>
      <c r="O100" s="125" t="n"/>
      <c r="P100" s="105">
        <f>COUNTIF([4]Sheet1!$A:$A,K:K)</f>
        <v/>
      </c>
      <c r="R100" s="125" t="n"/>
      <c r="S100" s="125" t="n"/>
      <c r="T100" s="882" t="n"/>
      <c r="U100" s="882" t="n"/>
      <c r="V100" s="882" t="n"/>
      <c r="W100" s="125" t="n"/>
      <c r="X100" s="882" t="n"/>
    </row>
    <row r="101" customFormat="1" s="877">
      <c r="A101" s="2" t="n">
        <v>42</v>
      </c>
      <c r="B101" s="878" t="inlineStr">
        <is>
          <t>chanhua</t>
        </is>
      </c>
      <c r="C101" s="878" t="n">
        <v>45926</v>
      </c>
      <c r="D101" s="879" t="inlineStr">
        <is>
          <t>新加坡比特</t>
        </is>
      </c>
      <c r="E101" s="880" t="inlineStr">
        <is>
          <t>JSCC</t>
        </is>
      </c>
      <c r="F101" s="881" t="inlineStr">
        <is>
          <t>泰国ONETEC</t>
        </is>
      </c>
      <c r="G101" s="880" t="inlineStr">
        <is>
          <t>BM1370PM</t>
        </is>
      </c>
      <c r="H101" s="879" t="inlineStr">
        <is>
          <t>Y31010533</t>
        </is>
      </c>
      <c r="I101" s="124" t="n">
        <v>251467</v>
      </c>
      <c r="J101" s="125" t="inlineStr">
        <is>
          <t>DPT202509260027</t>
        </is>
      </c>
      <c r="K101" s="890" t="inlineStr">
        <is>
          <t>1403251003133458</t>
        </is>
      </c>
      <c r="L101" s="881" t="n">
        <v>8.558</v>
      </c>
      <c r="M101" s="879" t="n"/>
      <c r="N101" s="126" t="n"/>
      <c r="O101" s="125" t="n"/>
      <c r="P101" s="105">
        <f>COUNTIF([4]Sheet1!$A:$A,K:K)</f>
        <v/>
      </c>
      <c r="R101" s="125" t="n"/>
      <c r="S101" s="125" t="n"/>
      <c r="T101" s="882" t="n"/>
      <c r="U101" s="882" t="n"/>
      <c r="V101" s="882" t="n"/>
      <c r="W101" s="125" t="n"/>
      <c r="X101" s="882" t="n"/>
    </row>
    <row r="102" customFormat="1" s="877">
      <c r="A102" s="2" t="n">
        <v>43</v>
      </c>
      <c r="B102" s="878" t="inlineStr">
        <is>
          <t>chanhua</t>
        </is>
      </c>
      <c r="C102" s="878" t="n">
        <v>45926</v>
      </c>
      <c r="D102" s="879" t="inlineStr">
        <is>
          <t>新加坡比特</t>
        </is>
      </c>
      <c r="E102" s="880" t="inlineStr">
        <is>
          <t>JSCC</t>
        </is>
      </c>
      <c r="F102" s="881" t="inlineStr">
        <is>
          <t>印尼奥海</t>
        </is>
      </c>
      <c r="G102" s="880" t="inlineStr">
        <is>
          <t>BM1370PA</t>
        </is>
      </c>
      <c r="H102" s="879" t="inlineStr">
        <is>
          <t>Y31010530</t>
        </is>
      </c>
      <c r="I102" s="124" t="n">
        <v>60561</v>
      </c>
      <c r="J102" s="125" t="inlineStr">
        <is>
          <t>DPT202509260028</t>
        </is>
      </c>
      <c r="K102" s="890" t="inlineStr">
        <is>
          <t>1403251003133504</t>
        </is>
      </c>
      <c r="L102" s="881" t="n">
        <v>10.0037</v>
      </c>
      <c r="M102" s="879" t="n"/>
      <c r="N102" s="126" t="n"/>
      <c r="O102" s="125" t="n"/>
      <c r="P102" s="105">
        <f>COUNTIF([4]Sheet1!$A:$A,K:K)</f>
        <v/>
      </c>
      <c r="R102" s="125" t="n"/>
      <c r="S102" s="125" t="n"/>
      <c r="T102" s="882" t="n"/>
      <c r="U102" s="882" t="n"/>
      <c r="V102" s="882" t="n"/>
      <c r="W102" s="125" t="n"/>
      <c r="X102" s="882" t="n"/>
    </row>
    <row r="103" customFormat="1" s="877">
      <c r="A103" s="2" t="n">
        <v>44</v>
      </c>
      <c r="B103" s="878" t="inlineStr">
        <is>
          <t>chanhua</t>
        </is>
      </c>
      <c r="C103" s="878" t="n">
        <v>45926</v>
      </c>
      <c r="D103" s="879" t="inlineStr">
        <is>
          <t>新加坡比特</t>
        </is>
      </c>
      <c r="E103" s="880" t="inlineStr">
        <is>
          <t>SPILSZ</t>
        </is>
      </c>
      <c r="F103" s="881" t="inlineStr">
        <is>
          <t>MOLT</t>
        </is>
      </c>
      <c r="G103" s="880" t="inlineStr">
        <is>
          <t>BM1370PF</t>
        </is>
      </c>
      <c r="H103" s="879" t="inlineStr">
        <is>
          <t>Y31010536</t>
        </is>
      </c>
      <c r="I103" s="124" t="n">
        <v>858800</v>
      </c>
      <c r="J103" s="125" t="inlineStr">
        <is>
          <t>DPT202509260029</t>
        </is>
      </c>
      <c r="K103" s="890" t="inlineStr">
        <is>
          <t>1403251003133511</t>
        </is>
      </c>
      <c r="L103" s="881" t="n">
        <v>10.0037</v>
      </c>
      <c r="M103" s="879" t="n"/>
      <c r="N103" s="126" t="n"/>
      <c r="O103" s="125" t="n"/>
      <c r="P103" s="105">
        <f>COUNTIF([4]Sheet1!$A:$A,K:K)</f>
        <v/>
      </c>
      <c r="R103" s="125" t="n"/>
      <c r="S103" s="125" t="n"/>
      <c r="T103" s="882" t="n"/>
      <c r="U103" s="882" t="n"/>
      <c r="V103" s="882" t="n"/>
      <c r="W103" s="125" t="n"/>
      <c r="X103" s="882" t="n"/>
    </row>
    <row r="104" customFormat="1" s="877">
      <c r="A104" s="2" t="n">
        <v>45</v>
      </c>
      <c r="B104" s="878" t="inlineStr">
        <is>
          <t>chanhua</t>
        </is>
      </c>
      <c r="C104" s="878" t="n">
        <v>45926</v>
      </c>
      <c r="D104" s="879" t="inlineStr">
        <is>
          <t>新加坡比特</t>
        </is>
      </c>
      <c r="E104" s="880" t="inlineStr">
        <is>
          <t>SPILSZ</t>
        </is>
      </c>
      <c r="F104" s="881" t="inlineStr">
        <is>
          <t>PIE</t>
        </is>
      </c>
      <c r="G104" s="880" t="inlineStr">
        <is>
          <t>BM1370PF</t>
        </is>
      </c>
      <c r="H104" s="879" t="inlineStr">
        <is>
          <t>Y31010536</t>
        </is>
      </c>
      <c r="I104" s="124" t="n">
        <v>106400</v>
      </c>
      <c r="J104" s="125" t="inlineStr">
        <is>
          <t>DPT202509260031</t>
        </is>
      </c>
      <c r="K104" s="890" t="inlineStr">
        <is>
          <t>1403251003133517</t>
        </is>
      </c>
      <c r="L104" s="881" t="n">
        <v>10.0037</v>
      </c>
      <c r="M104" s="879" t="n"/>
      <c r="N104" s="126" t="n"/>
      <c r="O104" s="125" t="n"/>
      <c r="P104" s="105">
        <f>COUNTIF([4]Sheet1!$A:$A,K:K)</f>
        <v/>
      </c>
      <c r="R104" s="125" t="n"/>
      <c r="S104" s="125" t="n"/>
      <c r="T104" s="882" t="n"/>
      <c r="U104" s="882" t="n"/>
      <c r="V104" s="882" t="n"/>
      <c r="W104" s="125" t="n"/>
      <c r="X104" s="882" t="n"/>
    </row>
    <row r="105" customFormat="1" s="877">
      <c r="A105" s="2" t="n">
        <v>46</v>
      </c>
      <c r="B105" s="878" t="inlineStr">
        <is>
          <t>chanhua</t>
        </is>
      </c>
      <c r="C105" s="878" t="n">
        <v>45926</v>
      </c>
      <c r="D105" s="879" t="inlineStr">
        <is>
          <t>新加坡比特</t>
        </is>
      </c>
      <c r="E105" s="880" t="inlineStr">
        <is>
          <t>SPILSZ</t>
        </is>
      </c>
      <c r="F105" s="881" t="inlineStr">
        <is>
          <t>THQG</t>
        </is>
      </c>
      <c r="G105" s="880" t="inlineStr">
        <is>
          <t>BM1370PA</t>
        </is>
      </c>
      <c r="H105" s="879" t="inlineStr">
        <is>
          <t>Y31010530</t>
        </is>
      </c>
      <c r="I105" s="124" t="n">
        <v>202052</v>
      </c>
      <c r="J105" s="125" t="inlineStr">
        <is>
          <t>DPT202509260032</t>
        </is>
      </c>
      <c r="K105" s="890" t="inlineStr">
        <is>
          <t>1403251003133525</t>
        </is>
      </c>
      <c r="L105" s="881" t="n">
        <v>10.0037</v>
      </c>
      <c r="M105" s="879" t="n"/>
      <c r="N105" s="126" t="n"/>
      <c r="O105" s="125" t="n"/>
      <c r="P105" s="105">
        <f>COUNTIF([4]Sheet1!$A:$A,K:K)</f>
        <v/>
      </c>
      <c r="R105" s="125" t="n"/>
      <c r="S105" s="125" t="n"/>
      <c r="T105" s="882" t="n"/>
      <c r="U105" s="882" t="n"/>
      <c r="V105" s="882" t="n"/>
      <c r="W105" s="125" t="n"/>
      <c r="X105" s="882" t="n"/>
    </row>
    <row r="106" customFormat="1" s="877">
      <c r="A106" s="2" t="n">
        <v>47</v>
      </c>
      <c r="B106" s="878" t="inlineStr">
        <is>
          <t>chanhua</t>
        </is>
      </c>
      <c r="C106" s="878" t="n">
        <v>45926</v>
      </c>
      <c r="D106" s="879" t="inlineStr">
        <is>
          <t>新加坡比特</t>
        </is>
      </c>
      <c r="E106" s="880" t="inlineStr">
        <is>
          <t>SPILSZ</t>
        </is>
      </c>
      <c r="F106" s="881" t="inlineStr">
        <is>
          <t>THQG</t>
        </is>
      </c>
      <c r="G106" s="880" t="inlineStr">
        <is>
          <t>BM1370PF</t>
        </is>
      </c>
      <c r="H106" s="879" t="inlineStr">
        <is>
          <t>Y31010536</t>
        </is>
      </c>
      <c r="I106" s="124" t="n">
        <v>706768</v>
      </c>
      <c r="J106" s="125" t="inlineStr">
        <is>
          <t>DPT202509260033</t>
        </is>
      </c>
      <c r="K106" s="890" t="inlineStr">
        <is>
          <t>1403251003133532</t>
        </is>
      </c>
      <c r="L106" s="881" t="n">
        <v>10.0037</v>
      </c>
      <c r="M106" s="879" t="n"/>
      <c r="N106" s="126" t="n"/>
      <c r="O106" s="125" t="n"/>
      <c r="P106" s="105">
        <f>COUNTIF([4]Sheet1!$A:$A,K:K)</f>
        <v/>
      </c>
      <c r="R106" s="125" t="n"/>
      <c r="S106" s="125" t="n"/>
      <c r="T106" s="882" t="n"/>
      <c r="U106" s="882" t="n"/>
      <c r="V106" s="882" t="n"/>
      <c r="W106" s="125" t="n"/>
      <c r="X106" s="882" t="n"/>
    </row>
    <row r="107" customFormat="1" s="877">
      <c r="A107" s="2" t="n">
        <v>48</v>
      </c>
      <c r="B107" s="878" t="inlineStr">
        <is>
          <t>chanhua</t>
        </is>
      </c>
      <c r="C107" s="878" t="n">
        <v>45927</v>
      </c>
      <c r="D107" s="879" t="inlineStr">
        <is>
          <t>新加坡比特</t>
        </is>
      </c>
      <c r="E107" s="880" t="inlineStr">
        <is>
          <t>XJ</t>
        </is>
      </c>
      <c r="F107" s="881" t="inlineStr">
        <is>
          <t>Nationgate</t>
        </is>
      </c>
      <c r="G107" s="880" t="inlineStr">
        <is>
          <t>BM1370PF</t>
        </is>
      </c>
      <c r="H107" s="879" t="inlineStr">
        <is>
          <t>Y31010536</t>
        </is>
      </c>
      <c r="I107" s="124" t="n">
        <v>329069</v>
      </c>
      <c r="J107" s="125" t="inlineStr">
        <is>
          <t>DPT202509270011</t>
        </is>
      </c>
      <c r="K107" s="889" t="inlineStr">
        <is>
          <t>1403251003133539</t>
        </is>
      </c>
      <c r="L107" s="881" t="n">
        <v>10.0037</v>
      </c>
      <c r="M107" s="879" t="n"/>
      <c r="N107" s="126" t="n"/>
      <c r="O107" s="125" t="n"/>
      <c r="P107" s="105">
        <f>COUNTIF([4]Sheet1!$A:$A,K:K)</f>
        <v/>
      </c>
      <c r="R107" s="125" t="n"/>
      <c r="S107" s="125" t="n"/>
      <c r="T107" s="882" t="n"/>
      <c r="U107" s="882" t="n"/>
      <c r="V107" s="882" t="n"/>
      <c r="W107" s="125" t="n"/>
      <c r="X107" s="882" t="n"/>
    </row>
    <row r="108" customFormat="1" s="877">
      <c r="A108" s="2" t="n">
        <v>49</v>
      </c>
      <c r="B108" s="878" t="inlineStr">
        <is>
          <t>chanhua</t>
        </is>
      </c>
      <c r="C108" s="878" t="n">
        <v>45927</v>
      </c>
      <c r="D108" s="879" t="inlineStr">
        <is>
          <t>新加坡比特</t>
        </is>
      </c>
      <c r="E108" s="880" t="inlineStr">
        <is>
          <t>XJ</t>
        </is>
      </c>
      <c r="F108" s="881" t="inlineStr">
        <is>
          <t>PIE</t>
        </is>
      </c>
      <c r="G108" s="880" t="inlineStr">
        <is>
          <t>BM1370PF</t>
        </is>
      </c>
      <c r="H108" s="879" t="inlineStr">
        <is>
          <t>Y31010536</t>
        </is>
      </c>
      <c r="I108" s="124" t="n">
        <v>71059</v>
      </c>
      <c r="J108" s="125" t="inlineStr">
        <is>
          <t>DPT202509270012</t>
        </is>
      </c>
      <c r="K108" s="889" t="inlineStr">
        <is>
          <t>1403251003133547</t>
        </is>
      </c>
      <c r="L108" s="881" t="n">
        <v>10.0037</v>
      </c>
      <c r="M108" s="879" t="n"/>
      <c r="N108" s="126" t="n"/>
      <c r="O108" s="125" t="n"/>
      <c r="P108" s="105">
        <f>COUNTIF([4]Sheet1!$A:$A,K:K)</f>
        <v/>
      </c>
      <c r="R108" s="125" t="n"/>
      <c r="S108" s="125" t="n"/>
      <c r="T108" s="882" t="n"/>
      <c r="U108" s="882" t="n"/>
      <c r="V108" s="882" t="n"/>
      <c r="W108" s="125" t="n"/>
      <c r="X108" s="882" t="n"/>
    </row>
    <row r="109" customFormat="1" s="877">
      <c r="A109" s="2" t="n">
        <v>50</v>
      </c>
      <c r="B109" s="878" t="inlineStr">
        <is>
          <t>chanhua</t>
        </is>
      </c>
      <c r="C109" s="878" t="n">
        <v>45927</v>
      </c>
      <c r="D109" s="879" t="inlineStr">
        <is>
          <t>新加坡比特</t>
        </is>
      </c>
      <c r="E109" s="880" t="inlineStr">
        <is>
          <t>XJ</t>
        </is>
      </c>
      <c r="F109" s="881" t="inlineStr">
        <is>
          <t>泰国群光</t>
        </is>
      </c>
      <c r="G109" s="880" t="inlineStr">
        <is>
          <t>BM1370PF</t>
        </is>
      </c>
      <c r="H109" s="879" t="inlineStr">
        <is>
          <t>Y31010536</t>
        </is>
      </c>
      <c r="I109" s="124" t="n">
        <v>101833</v>
      </c>
      <c r="J109" s="125" t="inlineStr">
        <is>
          <t>DPT202509270013</t>
        </is>
      </c>
      <c r="K109" s="889" t="inlineStr">
        <is>
          <t>1403251003133553</t>
        </is>
      </c>
      <c r="L109" s="881" t="n">
        <v>10.0037</v>
      </c>
      <c r="M109" s="879" t="n"/>
      <c r="N109" s="126" t="n"/>
      <c r="O109" s="125" t="n"/>
      <c r="P109" s="105">
        <f>COUNTIF([4]Sheet1!$A:$A,K:K)</f>
        <v/>
      </c>
      <c r="R109" s="125" t="n"/>
      <c r="S109" s="125" t="n"/>
      <c r="T109" s="882" t="n"/>
      <c r="U109" s="882" t="n"/>
      <c r="V109" s="882" t="n"/>
      <c r="W109" s="125" t="n"/>
      <c r="X109" s="882" t="n"/>
    </row>
    <row r="110" customFormat="1" s="877">
      <c r="A110" s="2" t="n">
        <v>51</v>
      </c>
      <c r="B110" s="878" t="inlineStr">
        <is>
          <t>chanhua</t>
        </is>
      </c>
      <c r="C110" s="878" t="n">
        <v>45929</v>
      </c>
      <c r="D110" s="879" t="inlineStr">
        <is>
          <t>新加坡比特</t>
        </is>
      </c>
      <c r="E110" s="880" t="inlineStr">
        <is>
          <t>XJ</t>
        </is>
      </c>
      <c r="F110" s="881" t="inlineStr">
        <is>
          <t>印尼奥海</t>
        </is>
      </c>
      <c r="G110" s="880" t="inlineStr">
        <is>
          <t>BM1370PF</t>
        </is>
      </c>
      <c r="H110" s="879" t="inlineStr">
        <is>
          <t>Y31010536</t>
        </is>
      </c>
      <c r="I110" s="124" t="n">
        <v>1169301</v>
      </c>
      <c r="J110" s="125" t="inlineStr">
        <is>
          <t>DPT202509290011</t>
        </is>
      </c>
      <c r="K110" s="889" t="inlineStr">
        <is>
          <t>1403251003133600</t>
        </is>
      </c>
      <c r="L110" s="881" t="n">
        <v>10.0037</v>
      </c>
      <c r="M110" s="879" t="n"/>
      <c r="N110" s="126" t="n"/>
      <c r="O110" s="125" t="n"/>
      <c r="P110" s="105">
        <f>COUNTIF([4]Sheet1!$A:$A,K:K)</f>
        <v/>
      </c>
      <c r="R110" s="125" t="n"/>
      <c r="S110" s="125" t="n"/>
      <c r="T110" s="882" t="n"/>
      <c r="U110" s="882" t="n"/>
      <c r="V110" s="882" t="n"/>
      <c r="W110" s="125" t="n"/>
      <c r="X110" s="882" t="n"/>
    </row>
    <row r="111" customFormat="1" s="877">
      <c r="A111" s="2" t="n">
        <v>52</v>
      </c>
      <c r="B111" s="878" t="inlineStr">
        <is>
          <t>chanhua</t>
        </is>
      </c>
      <c r="C111" s="878" t="n">
        <v>45930</v>
      </c>
      <c r="D111" s="879" t="inlineStr">
        <is>
          <t>新加坡比特</t>
        </is>
      </c>
      <c r="E111" s="880" t="inlineStr">
        <is>
          <t>XJ</t>
        </is>
      </c>
      <c r="F111" s="881" t="inlineStr">
        <is>
          <t>Nationgate</t>
        </is>
      </c>
      <c r="G111" s="880" t="inlineStr">
        <is>
          <t>BM1370PA</t>
        </is>
      </c>
      <c r="H111" s="879" t="inlineStr">
        <is>
          <t>Y31010530</t>
        </is>
      </c>
      <c r="I111" s="124" t="n">
        <v>772888</v>
      </c>
      <c r="J111" s="125" t="inlineStr">
        <is>
          <t>DPT202509300011</t>
        </is>
      </c>
      <c r="K111" s="889" t="inlineStr">
        <is>
          <t>1403251003133608</t>
        </is>
      </c>
      <c r="L111" s="881" t="n">
        <v>10.0037</v>
      </c>
      <c r="M111" s="879" t="inlineStr">
        <is>
          <t>是</t>
        </is>
      </c>
      <c r="N111" s="126" t="n"/>
      <c r="O111" s="125" t="n"/>
      <c r="P111" s="105">
        <f>COUNTIF([4]Sheet1!$A:$A,K:K)</f>
        <v/>
      </c>
      <c r="R111" s="125" t="n"/>
      <c r="S111" s="125" t="n"/>
      <c r="T111" s="882" t="n"/>
      <c r="U111" s="882" t="n"/>
      <c r="V111" s="882" t="n"/>
      <c r="W111" s="125" t="n"/>
      <c r="X111" s="882" t="n"/>
    </row>
    <row r="112" customFormat="1" s="877">
      <c r="A112" s="2" t="n">
        <v>55</v>
      </c>
      <c r="B112" s="878" t="inlineStr">
        <is>
          <t>chanhua</t>
        </is>
      </c>
      <c r="C112" s="878" t="n">
        <v>45931</v>
      </c>
      <c r="D112" s="879" t="inlineStr">
        <is>
          <t>新加坡比特</t>
        </is>
      </c>
      <c r="E112" s="880" t="inlineStr">
        <is>
          <t>SPILSZ</t>
        </is>
      </c>
      <c r="F112" s="881" t="inlineStr">
        <is>
          <t>MOLT</t>
        </is>
      </c>
      <c r="G112" s="880" t="inlineStr">
        <is>
          <t>BM1370PF</t>
        </is>
      </c>
      <c r="H112" s="879" t="inlineStr">
        <is>
          <t>Y31010536</t>
        </is>
      </c>
      <c r="I112" s="124" t="n">
        <v>254600</v>
      </c>
      <c r="J112" s="125" t="inlineStr">
        <is>
          <t>DPT202510010013</t>
        </is>
      </c>
      <c r="K112" s="889" t="inlineStr">
        <is>
          <t>1403251003133624</t>
        </is>
      </c>
      <c r="L112" s="881" t="n">
        <v>10.0037</v>
      </c>
      <c r="M112" s="879" t="n"/>
      <c r="N112" s="126" t="n"/>
      <c r="O112" s="125" t="n"/>
      <c r="P112" s="105">
        <f>COUNTIF([4]Sheet1!$A:$A,K:K)</f>
        <v/>
      </c>
      <c r="R112" s="125" t="n"/>
      <c r="S112" s="125" t="n"/>
      <c r="T112" s="882" t="n"/>
      <c r="U112" s="882" t="n"/>
      <c r="V112" s="882" t="n"/>
      <c r="W112" s="125" t="n"/>
      <c r="X112" s="882" t="n"/>
    </row>
    <row r="113" customFormat="1" s="877">
      <c r="A113" s="2" t="n">
        <v>56</v>
      </c>
      <c r="B113" s="878" t="inlineStr">
        <is>
          <t>chanhua</t>
        </is>
      </c>
      <c r="C113" s="878" t="n">
        <v>45931</v>
      </c>
      <c r="D113" s="879" t="inlineStr">
        <is>
          <t>新加坡比特</t>
        </is>
      </c>
      <c r="E113" s="880" t="inlineStr">
        <is>
          <t>SPILSZ</t>
        </is>
      </c>
      <c r="F113" s="881" t="inlineStr">
        <is>
          <t>Nationgate</t>
        </is>
      </c>
      <c r="G113" s="880" t="inlineStr">
        <is>
          <t>BM1370PF</t>
        </is>
      </c>
      <c r="H113" s="879" t="inlineStr">
        <is>
          <t>Y31010536</t>
        </is>
      </c>
      <c r="I113" s="124" t="n">
        <v>57000</v>
      </c>
      <c r="J113" s="125" t="inlineStr">
        <is>
          <t>DPT202510010014</t>
        </is>
      </c>
      <c r="K113" s="889" t="inlineStr">
        <is>
          <t>1403251003133629</t>
        </is>
      </c>
      <c r="L113" s="881" t="n">
        <v>10.0037</v>
      </c>
      <c r="M113" s="879" t="n"/>
      <c r="N113" s="126" t="n"/>
      <c r="O113" s="125" t="n"/>
      <c r="P113" s="105">
        <f>COUNTIF([4]Sheet1!$A:$A,K:K)</f>
        <v/>
      </c>
      <c r="R113" s="125" t="n"/>
      <c r="S113" s="125" t="n"/>
      <c r="T113" s="882" t="n"/>
      <c r="U113" s="882" t="n"/>
      <c r="V113" s="882" t="n"/>
      <c r="W113" s="125" t="n"/>
      <c r="X113" s="882" t="n"/>
    </row>
    <row r="114" customFormat="1" s="877">
      <c r="A114" s="2" t="n">
        <v>57</v>
      </c>
      <c r="B114" s="878" t="inlineStr">
        <is>
          <t>chanhua</t>
        </is>
      </c>
      <c r="C114" s="878" t="n">
        <v>45931</v>
      </c>
      <c r="D114" s="879" t="inlineStr">
        <is>
          <t>新加坡比特</t>
        </is>
      </c>
      <c r="E114" s="880" t="inlineStr">
        <is>
          <t>SPILSZ</t>
        </is>
      </c>
      <c r="F114" s="881" t="inlineStr">
        <is>
          <t>PIE</t>
        </is>
      </c>
      <c r="G114" s="880" t="inlineStr">
        <is>
          <t>BM1370PF</t>
        </is>
      </c>
      <c r="H114" s="879" t="inlineStr">
        <is>
          <t>Y31010536</t>
        </is>
      </c>
      <c r="I114" s="124" t="n">
        <v>516800</v>
      </c>
      <c r="J114" s="125" t="inlineStr">
        <is>
          <t>DPT202510010015</t>
        </is>
      </c>
      <c r="K114" s="889" t="inlineStr">
        <is>
          <t>1403251003133637</t>
        </is>
      </c>
      <c r="L114" s="881" t="n">
        <v>10.0037</v>
      </c>
      <c r="M114" s="879" t="n"/>
      <c r="N114" s="126" t="n"/>
      <c r="O114" s="125" t="n"/>
      <c r="P114" s="105">
        <f>COUNTIF([4]Sheet1!$A:$A,K:K)</f>
        <v/>
      </c>
      <c r="R114" s="125" t="n"/>
      <c r="S114" s="125" t="n"/>
      <c r="T114" s="882" t="n"/>
      <c r="U114" s="882" t="n"/>
      <c r="V114" s="882" t="n"/>
      <c r="W114" s="125" t="n"/>
      <c r="X114" s="882" t="n"/>
    </row>
    <row r="115">
      <c r="A115" s="2" t="n">
        <v>58</v>
      </c>
      <c r="B115" s="878" t="inlineStr">
        <is>
          <t>chanhua</t>
        </is>
      </c>
      <c r="C115" s="139" t="n">
        <v>45926</v>
      </c>
      <c r="D115" s="879" t="inlineStr">
        <is>
          <t>新加坡比特</t>
        </is>
      </c>
      <c r="E115" s="880" t="inlineStr">
        <is>
          <t>NJ-VT</t>
        </is>
      </c>
      <c r="F115" s="140" t="inlineStr">
        <is>
          <t>泰国群光</t>
        </is>
      </c>
      <c r="G115" s="140" t="inlineStr">
        <is>
          <t>BM1370BC</t>
        </is>
      </c>
      <c r="H115" s="140" t="inlineStr">
        <is>
          <t>Y31010527</t>
        </is>
      </c>
      <c r="I115" s="140" t="n">
        <v>1725</v>
      </c>
      <c r="J115" s="141" t="inlineStr">
        <is>
          <t>DPT202509260034</t>
        </is>
      </c>
      <c r="K115" s="606" t="inlineStr">
        <is>
          <t>1403251010180746</t>
        </is>
      </c>
      <c r="L115" s="881" t="n">
        <v>10.0037</v>
      </c>
      <c r="P115" s="105">
        <f>COUNTIF([4]Sheet1!$A:$A,K:K)</f>
        <v/>
      </c>
    </row>
    <row r="116">
      <c r="A116" s="2" t="n">
        <v>59</v>
      </c>
      <c r="B116" s="878" t="inlineStr">
        <is>
          <t>chanhua</t>
        </is>
      </c>
      <c r="C116" s="139" t="n">
        <v>45927</v>
      </c>
      <c r="D116" s="879" t="inlineStr">
        <is>
          <t>新加坡比特</t>
        </is>
      </c>
      <c r="E116" s="880" t="inlineStr">
        <is>
          <t>NJ-VT</t>
        </is>
      </c>
      <c r="F116" s="140" t="inlineStr">
        <is>
          <t>泰国群光</t>
        </is>
      </c>
      <c r="G116" s="140" t="inlineStr">
        <is>
          <t>BM1370PA</t>
        </is>
      </c>
      <c r="H116" s="140" t="inlineStr">
        <is>
          <t>Y31010530</t>
        </is>
      </c>
      <c r="I116" s="140" t="n">
        <v>227424</v>
      </c>
      <c r="J116" s="141" t="inlineStr">
        <is>
          <t>DPT202509270014</t>
        </is>
      </c>
      <c r="K116" s="606" t="inlineStr">
        <is>
          <t>1403251010180751</t>
        </is>
      </c>
      <c r="L116" s="881" t="n">
        <v>10.0037</v>
      </c>
      <c r="P116" s="105">
        <f>COUNTIF([4]Sheet1!$A:$A,K:K)</f>
        <v/>
      </c>
    </row>
    <row r="117">
      <c r="A117" s="2" t="n">
        <v>60</v>
      </c>
      <c r="B117" s="878" t="inlineStr">
        <is>
          <t>chanhua</t>
        </is>
      </c>
      <c r="C117" s="139" t="n">
        <v>45928</v>
      </c>
      <c r="D117" s="879" t="inlineStr">
        <is>
          <t>新加坡比特</t>
        </is>
      </c>
      <c r="E117" s="880" t="inlineStr">
        <is>
          <t>NJ-VT</t>
        </is>
      </c>
      <c r="F117" s="140" t="inlineStr">
        <is>
          <t>泰国群光</t>
        </is>
      </c>
      <c r="G117" s="140" t="inlineStr">
        <is>
          <t>BM1370PA</t>
        </is>
      </c>
      <c r="H117" s="140" t="inlineStr">
        <is>
          <t>Y31010530</t>
        </is>
      </c>
      <c r="I117" s="140" t="n">
        <v>329869</v>
      </c>
      <c r="J117" s="141" t="inlineStr">
        <is>
          <t>DPT202509280001</t>
        </is>
      </c>
      <c r="K117" s="606" t="inlineStr">
        <is>
          <t>1403251010180804</t>
        </is>
      </c>
      <c r="L117" s="881" t="n">
        <v>10.0037</v>
      </c>
      <c r="P117" s="105">
        <f>COUNTIF([4]Sheet1!$A:$A,K:K)</f>
        <v/>
      </c>
    </row>
    <row r="118">
      <c r="A118" s="2" t="n">
        <v>61</v>
      </c>
      <c r="B118" s="878" t="inlineStr">
        <is>
          <t>chanhua</t>
        </is>
      </c>
      <c r="C118" s="139" t="n">
        <v>45930</v>
      </c>
      <c r="D118" s="879" t="inlineStr">
        <is>
          <t>新加坡比特</t>
        </is>
      </c>
      <c r="E118" s="880" t="inlineStr">
        <is>
          <t>ASECL</t>
        </is>
      </c>
      <c r="F118" s="140" t="inlineStr">
        <is>
          <t>PIE</t>
        </is>
      </c>
      <c r="G118" s="140" t="inlineStr">
        <is>
          <t>BM1370PF</t>
        </is>
      </c>
      <c r="H118" s="140" t="inlineStr">
        <is>
          <t>Y31010536</t>
        </is>
      </c>
      <c r="I118" s="140" t="n">
        <v>87400</v>
      </c>
      <c r="J118" s="141" t="inlineStr">
        <is>
          <t>DPT202509300012</t>
        </is>
      </c>
      <c r="K118" s="606" t="inlineStr">
        <is>
          <t>1403251010180810</t>
        </is>
      </c>
      <c r="L118" s="881" t="n">
        <v>10.0037</v>
      </c>
      <c r="P118" s="105">
        <f>COUNTIF([4]Sheet1!$A:$A,K:K)</f>
        <v/>
      </c>
    </row>
    <row r="119">
      <c r="A119" s="2" t="n">
        <v>62</v>
      </c>
      <c r="B119" s="878" t="inlineStr">
        <is>
          <t>chanhua</t>
        </is>
      </c>
      <c r="C119" s="139" t="n">
        <v>45933</v>
      </c>
      <c r="D119" s="879" t="inlineStr">
        <is>
          <t>新加坡比特</t>
        </is>
      </c>
      <c r="E119" s="880" t="inlineStr">
        <is>
          <t>ASECL</t>
        </is>
      </c>
      <c r="F119" s="140" t="inlineStr">
        <is>
          <t>PIE</t>
        </is>
      </c>
      <c r="G119" s="140" t="inlineStr">
        <is>
          <t>BM1370PF</t>
        </is>
      </c>
      <c r="H119" s="140" t="inlineStr">
        <is>
          <t>Y31010536</t>
        </is>
      </c>
      <c r="I119" s="140" t="n">
        <v>452200</v>
      </c>
      <c r="J119" s="141" t="inlineStr">
        <is>
          <t>DPT202510030001</t>
        </is>
      </c>
      <c r="K119" s="606" t="inlineStr">
        <is>
          <t>1403251010180817</t>
        </is>
      </c>
      <c r="L119" s="881" t="n">
        <v>10.002</v>
      </c>
      <c r="P119" s="105">
        <f>COUNTIF([4]Sheet1!$A:$A,K:K)</f>
        <v/>
      </c>
    </row>
    <row r="120">
      <c r="A120" s="2" t="n">
        <v>63</v>
      </c>
      <c r="B120" s="878" t="inlineStr">
        <is>
          <t>chanhua</t>
        </is>
      </c>
      <c r="C120" s="139" t="n">
        <v>45933</v>
      </c>
      <c r="D120" s="879" t="inlineStr">
        <is>
          <t>新加坡比特</t>
        </is>
      </c>
      <c r="E120" s="880" t="inlineStr">
        <is>
          <t>XJ</t>
        </is>
      </c>
      <c r="F120" s="140" t="inlineStr">
        <is>
          <t>Nationgate</t>
        </is>
      </c>
      <c r="G120" s="140" t="inlineStr">
        <is>
          <t>BM1370PF</t>
        </is>
      </c>
      <c r="H120" s="140" t="inlineStr">
        <is>
          <t>Y31010536</t>
        </is>
      </c>
      <c r="I120" s="140" t="n">
        <v>270097</v>
      </c>
      <c r="J120" s="141" t="inlineStr">
        <is>
          <t>DPT202510030002</t>
        </is>
      </c>
      <c r="K120" s="606" t="inlineStr">
        <is>
          <t>1403251010180822</t>
        </is>
      </c>
      <c r="L120" s="881" t="n">
        <v>10.002</v>
      </c>
      <c r="P120" s="105">
        <f>COUNTIF([4]Sheet1!$A:$A,K:K)</f>
        <v/>
      </c>
    </row>
    <row r="121">
      <c r="A121" s="2" t="n">
        <v>64</v>
      </c>
      <c r="B121" s="878" t="inlineStr">
        <is>
          <t>chanhua</t>
        </is>
      </c>
      <c r="C121" s="139" t="n">
        <v>45933</v>
      </c>
      <c r="D121" s="879" t="inlineStr">
        <is>
          <t>新加坡比特</t>
        </is>
      </c>
      <c r="E121" s="880" t="inlineStr">
        <is>
          <t>XJ</t>
        </is>
      </c>
      <c r="F121" s="140" t="inlineStr">
        <is>
          <t>泰国ONETEC</t>
        </is>
      </c>
      <c r="G121" s="140" t="inlineStr">
        <is>
          <t>BM1370PF</t>
        </is>
      </c>
      <c r="H121" s="140" t="inlineStr">
        <is>
          <t>Y31010536</t>
        </is>
      </c>
      <c r="I121" s="140" t="n">
        <v>151699</v>
      </c>
      <c r="J121" s="141" t="inlineStr">
        <is>
          <t>DPT202510030003</t>
        </is>
      </c>
      <c r="K121" s="606" t="inlineStr">
        <is>
          <t>1403251010180828</t>
        </is>
      </c>
      <c r="L121" s="881" t="n">
        <v>10.002</v>
      </c>
      <c r="P121" s="105">
        <f>COUNTIF([4]Sheet1!$A:$A,K:K)</f>
        <v/>
      </c>
    </row>
    <row r="122">
      <c r="A122" s="2" t="n">
        <v>65</v>
      </c>
      <c r="B122" s="878" t="inlineStr">
        <is>
          <t>chanhua</t>
        </is>
      </c>
      <c r="C122" s="139" t="n">
        <v>45933</v>
      </c>
      <c r="D122" s="879" t="inlineStr">
        <is>
          <t>新加坡比特</t>
        </is>
      </c>
      <c r="E122" s="880" t="inlineStr">
        <is>
          <t>XJ</t>
        </is>
      </c>
      <c r="F122" s="140" t="inlineStr">
        <is>
          <t>泰国群光</t>
        </is>
      </c>
      <c r="G122" s="140" t="inlineStr">
        <is>
          <t>BM1370PF</t>
        </is>
      </c>
      <c r="H122" s="140" t="inlineStr">
        <is>
          <t>Y31010536</t>
        </is>
      </c>
      <c r="I122" s="140" t="n">
        <v>132912</v>
      </c>
      <c r="J122" s="141" t="inlineStr">
        <is>
          <t>DPT202510030004</t>
        </is>
      </c>
      <c r="K122" s="606" t="inlineStr">
        <is>
          <t>1403251010180834</t>
        </is>
      </c>
      <c r="L122" s="881" t="n">
        <v>10.002</v>
      </c>
      <c r="P122" s="105">
        <f>COUNTIF([4]Sheet1!$A:$A,K:K)</f>
        <v/>
      </c>
    </row>
    <row r="123">
      <c r="A123" s="2" t="n">
        <v>66</v>
      </c>
      <c r="B123" s="878" t="inlineStr">
        <is>
          <t>chanhua</t>
        </is>
      </c>
      <c r="C123" s="139" t="n">
        <v>45934</v>
      </c>
      <c r="D123" s="879" t="inlineStr">
        <is>
          <t>新加坡比特</t>
        </is>
      </c>
      <c r="E123" s="880" t="inlineStr">
        <is>
          <t>JSCC</t>
        </is>
      </c>
      <c r="F123" s="140" t="inlineStr">
        <is>
          <t>Nationgate</t>
        </is>
      </c>
      <c r="G123" s="140" t="inlineStr">
        <is>
          <t>BM1370PF</t>
        </is>
      </c>
      <c r="H123" s="140" t="inlineStr">
        <is>
          <t>Y31010536</t>
        </is>
      </c>
      <c r="I123" s="140" t="n">
        <v>58159</v>
      </c>
      <c r="J123" s="141" t="inlineStr">
        <is>
          <t>DPT202510040001</t>
        </is>
      </c>
      <c r="K123" s="606" t="inlineStr">
        <is>
          <t>1403251010180840</t>
        </is>
      </c>
      <c r="L123" s="881" t="n">
        <v>10.002</v>
      </c>
      <c r="P123" s="105">
        <f>COUNTIF([4]Sheet1!$A:$A,K:K)</f>
        <v/>
      </c>
    </row>
    <row r="124">
      <c r="A124" s="2" t="n">
        <v>67</v>
      </c>
      <c r="B124" s="878" t="inlineStr">
        <is>
          <t>chanhua</t>
        </is>
      </c>
      <c r="C124" s="139" t="n">
        <v>45934</v>
      </c>
      <c r="D124" s="879" t="inlineStr">
        <is>
          <t>新加坡比特</t>
        </is>
      </c>
      <c r="E124" s="880" t="inlineStr">
        <is>
          <t>JSCC</t>
        </is>
      </c>
      <c r="F124" s="140" t="inlineStr">
        <is>
          <t>泰国ONETEC</t>
        </is>
      </c>
      <c r="G124" s="140" t="inlineStr">
        <is>
          <t>BM1370PF</t>
        </is>
      </c>
      <c r="H124" s="140" t="inlineStr">
        <is>
          <t>Y31010536</t>
        </is>
      </c>
      <c r="I124" s="140" t="n">
        <v>265678</v>
      </c>
      <c r="J124" s="141" t="inlineStr">
        <is>
          <t>DPT202510040002</t>
        </is>
      </c>
      <c r="K124" s="606" t="inlineStr">
        <is>
          <t>1403251010180846</t>
        </is>
      </c>
      <c r="L124" s="881" t="n">
        <v>10.002</v>
      </c>
      <c r="P124" s="105">
        <f>COUNTIF([4]Sheet1!$A:$A,K:K)</f>
        <v/>
      </c>
    </row>
    <row r="125">
      <c r="A125" s="2" t="n">
        <v>68</v>
      </c>
      <c r="B125" s="878" t="inlineStr">
        <is>
          <t>chanhua</t>
        </is>
      </c>
      <c r="C125" s="139" t="n">
        <v>45935</v>
      </c>
      <c r="D125" s="879" t="inlineStr">
        <is>
          <t>新加坡比特</t>
        </is>
      </c>
      <c r="E125" s="880" t="inlineStr">
        <is>
          <t>WX-HN</t>
        </is>
      </c>
      <c r="F125" s="140" t="inlineStr">
        <is>
          <t>泰国ONETEC</t>
        </is>
      </c>
      <c r="G125" s="140" t="inlineStr">
        <is>
          <t>BM1370PF</t>
        </is>
      </c>
      <c r="H125" s="140" t="inlineStr">
        <is>
          <t>Y31010536</t>
        </is>
      </c>
      <c r="I125" s="140" t="n">
        <v>101125</v>
      </c>
      <c r="J125" s="141" t="inlineStr">
        <is>
          <t>DPT202510050001</t>
        </is>
      </c>
      <c r="K125" s="606" t="inlineStr">
        <is>
          <t>1403251010180851</t>
        </is>
      </c>
      <c r="L125" s="881" t="n">
        <v>10.002</v>
      </c>
      <c r="P125" s="105">
        <f>COUNTIF([4]Sheet1!$A:$A,K:K)</f>
        <v/>
      </c>
    </row>
    <row r="126" ht="16.5" customHeight="1" s="184">
      <c r="A126" s="2" t="n">
        <v>69</v>
      </c>
      <c r="B126" s="878" t="inlineStr">
        <is>
          <t>chanhua</t>
        </is>
      </c>
      <c r="C126" s="869" t="n">
        <v>45922</v>
      </c>
      <c r="D126" s="879" t="inlineStr">
        <is>
          <t>新加坡比特</t>
        </is>
      </c>
      <c r="E126" s="880" t="inlineStr">
        <is>
          <t>XJ</t>
        </is>
      </c>
      <c r="F126" s="140" t="inlineStr">
        <is>
          <t>PIE</t>
        </is>
      </c>
      <c r="G126" s="880" t="inlineStr">
        <is>
          <t>BM1370PF</t>
        </is>
      </c>
      <c r="H126" s="879" t="inlineStr">
        <is>
          <t>Y31010536</t>
        </is>
      </c>
      <c r="I126" s="157" t="n">
        <v>204035</v>
      </c>
      <c r="J126" s="112" t="inlineStr">
        <is>
          <t>DPT2025092200001</t>
        </is>
      </c>
      <c r="K126" s="237" t="inlineStr">
        <is>
          <t>1403251011191705</t>
        </is>
      </c>
      <c r="L126" s="881" t="n">
        <v>10.0037</v>
      </c>
      <c r="P126" s="105">
        <f>COUNTIF([4]Sheet1!$A:$A,K:K)</f>
        <v/>
      </c>
    </row>
    <row r="127">
      <c r="A127" s="2" t="n">
        <v>70</v>
      </c>
      <c r="B127" s="878" t="inlineStr">
        <is>
          <t>chanhua</t>
        </is>
      </c>
      <c r="C127" s="878" t="n">
        <v>45945</v>
      </c>
      <c r="D127" s="879" t="inlineStr">
        <is>
          <t>美国比特</t>
        </is>
      </c>
      <c r="E127" s="866" t="inlineStr">
        <is>
          <t>SPILSZ</t>
        </is>
      </c>
      <c r="F127" s="872" t="inlineStr">
        <is>
          <t>美国Keytronic</t>
        </is>
      </c>
      <c r="G127" s="886" t="inlineStr">
        <is>
          <t>BM1370PF</t>
        </is>
      </c>
      <c r="H127" s="879">
        <f>VLOOKUP(G127,编码对账表!C:D,2,0)</f>
        <v/>
      </c>
      <c r="I127" s="132" t="n">
        <v>228000</v>
      </c>
      <c r="J127" s="125" t="inlineStr">
        <is>
          <t>BTD2025101500001</t>
        </is>
      </c>
      <c r="K127" s="605" t="inlineStr">
        <is>
          <t>1155251015093519</t>
        </is>
      </c>
      <c r="L127" s="887" t="n">
        <v>13.69</v>
      </c>
      <c r="P127" s="105">
        <f>COUNTIF([4]Sheet1!$A:$A,K:K)</f>
        <v/>
      </c>
    </row>
    <row r="128">
      <c r="A128" s="2" t="n">
        <v>71</v>
      </c>
      <c r="B128" s="878" t="inlineStr">
        <is>
          <t>chanhua</t>
        </is>
      </c>
      <c r="C128" s="139" t="n">
        <v>45943</v>
      </c>
      <c r="D128" s="879" t="inlineStr">
        <is>
          <t>新加坡比特</t>
        </is>
      </c>
      <c r="E128" s="52" t="inlineStr">
        <is>
          <t>ASECL</t>
        </is>
      </c>
      <c r="F128" s="140" t="inlineStr">
        <is>
          <t>泰国群光</t>
        </is>
      </c>
      <c r="G128" s="52" t="inlineStr">
        <is>
          <t>BM1370PF</t>
        </is>
      </c>
      <c r="H128" s="879">
        <f>VLOOKUP(G128,编码对账表!C:D,2,0)</f>
        <v/>
      </c>
      <c r="I128" s="157" t="n">
        <v>174800</v>
      </c>
      <c r="J128" s="141" t="inlineStr">
        <is>
          <t>DPT202510140005</t>
        </is>
      </c>
      <c r="K128" s="237" t="inlineStr">
        <is>
          <t>1403251023101305</t>
        </is>
      </c>
      <c r="L128" s="881" t="n">
        <v>10.002</v>
      </c>
      <c r="P128" s="105">
        <f>COUNTIF([4]Sheet1!$A:$A,K:K)</f>
        <v/>
      </c>
    </row>
    <row r="129">
      <c r="A129" s="2" t="n">
        <v>72</v>
      </c>
      <c r="B129" s="878" t="inlineStr">
        <is>
          <t>chanhua</t>
        </is>
      </c>
      <c r="C129" s="139" t="n">
        <v>45944</v>
      </c>
      <c r="D129" s="879" t="inlineStr">
        <is>
          <t>新加坡比特</t>
        </is>
      </c>
      <c r="E129" s="866" t="inlineStr">
        <is>
          <t>XJ</t>
        </is>
      </c>
      <c r="F129" s="140" t="inlineStr">
        <is>
          <t>泰国群光</t>
        </is>
      </c>
      <c r="G129" s="52" t="inlineStr">
        <is>
          <t>BM1370PF</t>
        </is>
      </c>
      <c r="H129" s="879">
        <f>VLOOKUP(G129,编码对账表!C:D,2,0)</f>
        <v/>
      </c>
      <c r="I129" s="157" t="n">
        <v>32722</v>
      </c>
      <c r="J129" s="141" t="inlineStr">
        <is>
          <t>DPT202510140002</t>
        </is>
      </c>
      <c r="K129" s="237" t="inlineStr">
        <is>
          <t>1403251019230327</t>
        </is>
      </c>
      <c r="L129" s="881" t="n">
        <v>10.002</v>
      </c>
      <c r="P129" s="105">
        <f>COUNTIF([4]Sheet1!$A:$A,K:K)</f>
        <v/>
      </c>
    </row>
    <row r="130">
      <c r="A130" s="2" t="n">
        <v>73</v>
      </c>
      <c r="B130" s="878" t="inlineStr">
        <is>
          <t>chanhua</t>
        </is>
      </c>
      <c r="C130" s="139" t="n">
        <v>45944</v>
      </c>
      <c r="D130" s="879" t="inlineStr">
        <is>
          <t>新加坡比特</t>
        </is>
      </c>
      <c r="E130" s="52" t="inlineStr">
        <is>
          <t>ASECL</t>
        </is>
      </c>
      <c r="F130" s="140" t="inlineStr">
        <is>
          <t>墨西哥欧陆通</t>
        </is>
      </c>
      <c r="G130" s="52" t="inlineStr">
        <is>
          <t>BM1370PF</t>
        </is>
      </c>
      <c r="H130" s="879">
        <f>VLOOKUP(G130,编码对账表!C:D,2,0)</f>
        <v/>
      </c>
      <c r="I130" s="157" t="n">
        <v>414200</v>
      </c>
      <c r="J130" s="141" t="inlineStr">
        <is>
          <t>DPT202510140003</t>
        </is>
      </c>
      <c r="K130" s="237" t="inlineStr">
        <is>
          <t>1403251019230328</t>
        </is>
      </c>
      <c r="L130" s="881" t="n">
        <v>10.002</v>
      </c>
      <c r="P130" s="105">
        <f>COUNTIF([4]Sheet1!$A:$A,K:K)</f>
        <v/>
      </c>
    </row>
    <row r="131">
      <c r="A131" s="2" t="n">
        <v>74</v>
      </c>
      <c r="B131" s="878" t="inlineStr">
        <is>
          <t>chanhua</t>
        </is>
      </c>
      <c r="C131" s="139" t="n">
        <v>45946</v>
      </c>
      <c r="D131" s="879" t="inlineStr">
        <is>
          <t>新加坡比特</t>
        </is>
      </c>
      <c r="E131" s="142" t="inlineStr">
        <is>
          <t>ASECL</t>
        </is>
      </c>
      <c r="F131" s="140" t="inlineStr">
        <is>
          <t>泰国ONETEC</t>
        </is>
      </c>
      <c r="G131" s="142" t="inlineStr">
        <is>
          <t>BM1370PF</t>
        </is>
      </c>
      <c r="H131" s="879">
        <f>VLOOKUP(G131,编码对账表!C:D,2,0)</f>
        <v/>
      </c>
      <c r="I131" s="157" t="n">
        <v>243200</v>
      </c>
      <c r="J131" s="141" t="inlineStr">
        <is>
          <t>DPT202510160001</t>
        </is>
      </c>
      <c r="K131" s="237" t="inlineStr">
        <is>
          <t>1403251019234333</t>
        </is>
      </c>
      <c r="L131" s="881" t="n">
        <v>10.002</v>
      </c>
      <c r="P131" s="105">
        <f>COUNTIF([4]Sheet1!$A:$A,K:K)</f>
        <v/>
      </c>
    </row>
    <row r="132">
      <c r="A132" s="2" t="n">
        <v>75</v>
      </c>
      <c r="B132" s="878" t="inlineStr">
        <is>
          <t>chanhua</t>
        </is>
      </c>
      <c r="C132" s="139" t="n">
        <v>45946</v>
      </c>
      <c r="D132" s="879" t="inlineStr">
        <is>
          <t>新加坡比特</t>
        </is>
      </c>
      <c r="E132" s="52" t="inlineStr">
        <is>
          <t>SPILSZ</t>
        </is>
      </c>
      <c r="F132" s="140" t="inlineStr">
        <is>
          <t>PIE</t>
        </is>
      </c>
      <c r="G132" s="52" t="inlineStr">
        <is>
          <t>BM1370PF</t>
        </is>
      </c>
      <c r="H132" s="879">
        <f>VLOOKUP(G132,编码对账表!C:D,2,0)</f>
        <v/>
      </c>
      <c r="I132" s="157" t="n">
        <v>141401</v>
      </c>
      <c r="J132" s="141" t="inlineStr">
        <is>
          <t>DPT202510160002</t>
        </is>
      </c>
      <c r="K132" s="237" t="inlineStr">
        <is>
          <t>1403251019234339</t>
        </is>
      </c>
      <c r="L132" s="881" t="n">
        <v>10.002</v>
      </c>
      <c r="P132" s="105">
        <f>COUNTIF([4]Sheet1!$A:$A,K:K)</f>
        <v/>
      </c>
    </row>
    <row r="133" ht="15.75" customHeight="1" s="184">
      <c r="A133" s="2" t="n">
        <v>76</v>
      </c>
      <c r="B133" s="878" t="inlineStr">
        <is>
          <t>chanhua</t>
        </is>
      </c>
      <c r="C133" s="139" t="n">
        <v>45946</v>
      </c>
      <c r="D133" s="879" t="inlineStr">
        <is>
          <t>新加坡比特</t>
        </is>
      </c>
      <c r="E133" s="57" t="inlineStr">
        <is>
          <t>SPILSZ</t>
        </is>
      </c>
      <c r="F133" s="140" t="inlineStr">
        <is>
          <t>泰国ONETEC</t>
        </is>
      </c>
      <c r="G133" s="52" t="inlineStr">
        <is>
          <t>BM1370PF</t>
        </is>
      </c>
      <c r="H133" s="879">
        <f>VLOOKUP(G133,编码对账表!C:D,2,0)</f>
        <v/>
      </c>
      <c r="I133" s="157" t="n">
        <v>172070</v>
      </c>
      <c r="J133" s="141" t="inlineStr">
        <is>
          <t>DPT202510160003</t>
        </is>
      </c>
      <c r="K133" s="237" t="inlineStr">
        <is>
          <t>1403251019234349</t>
        </is>
      </c>
      <c r="L133" s="881" t="n">
        <v>10.002</v>
      </c>
      <c r="P133" s="105">
        <f>COUNTIF([4]Sheet1!$A:$A,K:K)</f>
        <v/>
      </c>
    </row>
    <row r="134">
      <c r="A134" s="2" t="n">
        <v>78</v>
      </c>
      <c r="B134" s="878" t="inlineStr">
        <is>
          <t>chanhua</t>
        </is>
      </c>
      <c r="C134" s="139" t="n">
        <v>45950</v>
      </c>
      <c r="D134" s="879" t="inlineStr">
        <is>
          <t>新加坡比特</t>
        </is>
      </c>
      <c r="E134" s="52" t="inlineStr">
        <is>
          <t>NJ-VT</t>
        </is>
      </c>
      <c r="F134" s="140" t="inlineStr">
        <is>
          <t>PIE</t>
        </is>
      </c>
      <c r="G134" s="52" t="inlineStr">
        <is>
          <t>BM1370PF</t>
        </is>
      </c>
      <c r="H134" s="879">
        <f>VLOOKUP(G134,编码对账表!C:D,2,0)</f>
        <v/>
      </c>
      <c r="I134" s="157" t="n">
        <v>169845</v>
      </c>
      <c r="J134" s="141" t="inlineStr">
        <is>
          <t>DPT2025102000001</t>
        </is>
      </c>
      <c r="K134" s="237" t="inlineStr">
        <is>
          <t>1403251028111221</t>
        </is>
      </c>
      <c r="L134" s="881" t="n">
        <v>10.002</v>
      </c>
      <c r="P134" s="105">
        <f>COUNTIF([4]Sheet1!$A:$A,K:K)</f>
        <v/>
      </c>
    </row>
    <row r="135">
      <c r="A135" s="2" t="n">
        <v>79</v>
      </c>
      <c r="B135" s="878" t="inlineStr">
        <is>
          <t>chanhua</t>
        </is>
      </c>
      <c r="C135" s="139" t="n">
        <v>45953</v>
      </c>
      <c r="D135" s="879" t="inlineStr">
        <is>
          <t>新加坡比特</t>
        </is>
      </c>
      <c r="E135" s="52" t="inlineStr">
        <is>
          <t>ASECL</t>
        </is>
      </c>
      <c r="F135" s="140" t="inlineStr">
        <is>
          <t>Nationgate</t>
        </is>
      </c>
      <c r="G135" s="52" t="inlineStr">
        <is>
          <t>BM1370BC</t>
        </is>
      </c>
      <c r="H135" s="879">
        <f>VLOOKUP(G135,编码对账表!C:D,2,0)</f>
        <v/>
      </c>
      <c r="I135" s="157" t="n">
        <v>176915</v>
      </c>
      <c r="J135" s="141" t="inlineStr">
        <is>
          <t>DPT2025102300002</t>
        </is>
      </c>
      <c r="K135" s="237" t="inlineStr">
        <is>
          <t>1403251028150742</t>
        </is>
      </c>
      <c r="L135" s="881" t="n">
        <v>10.002</v>
      </c>
      <c r="P135" s="105">
        <f>COUNTIF([4]Sheet1!$A:$A,K:K)</f>
        <v/>
      </c>
    </row>
    <row r="136">
      <c r="A136" s="2" t="n">
        <v>80</v>
      </c>
      <c r="B136" s="878" t="inlineStr">
        <is>
          <t>chanhua</t>
        </is>
      </c>
      <c r="C136" s="139" t="n">
        <v>45953</v>
      </c>
      <c r="D136" s="879" t="inlineStr">
        <is>
          <t>新加坡比特</t>
        </is>
      </c>
      <c r="E136" s="52" t="inlineStr">
        <is>
          <t>ASECL</t>
        </is>
      </c>
      <c r="F136" s="140" t="inlineStr">
        <is>
          <t>Nationgate</t>
        </is>
      </c>
      <c r="G136" s="52" t="inlineStr">
        <is>
          <t>BM1370PA</t>
        </is>
      </c>
      <c r="H136" s="879">
        <f>VLOOKUP(G136,编码对账表!C:D,2,0)</f>
        <v/>
      </c>
      <c r="I136" s="157" t="n">
        <v>104291</v>
      </c>
      <c r="J136" s="141" t="inlineStr">
        <is>
          <t>DPT2025102300003</t>
        </is>
      </c>
      <c r="K136" s="237" t="inlineStr">
        <is>
          <t>1403251028150748</t>
        </is>
      </c>
      <c r="L136" s="881" t="n">
        <v>10.002</v>
      </c>
      <c r="P136" s="105">
        <f>COUNTIF([4]Sheet1!$A:$A,K:K)</f>
        <v/>
      </c>
    </row>
    <row r="137">
      <c r="A137" s="2" t="n">
        <v>81</v>
      </c>
      <c r="B137" s="878" t="inlineStr">
        <is>
          <t>chanhua</t>
        </is>
      </c>
      <c r="C137" s="139" t="n">
        <v>45953</v>
      </c>
      <c r="D137" s="879" t="inlineStr">
        <is>
          <t>新加坡比特</t>
        </is>
      </c>
      <c r="E137" s="52" t="inlineStr">
        <is>
          <t>JSCC</t>
        </is>
      </c>
      <c r="F137" s="140" t="inlineStr">
        <is>
          <t>PIE</t>
        </is>
      </c>
      <c r="G137" s="52" t="inlineStr">
        <is>
          <t>BM1370PA</t>
        </is>
      </c>
      <c r="H137" s="879">
        <f>VLOOKUP(G137,编码对账表!C:D,2,0)</f>
        <v/>
      </c>
      <c r="I137" s="157" t="n">
        <v>34602</v>
      </c>
      <c r="J137" s="141" t="inlineStr">
        <is>
          <t>DPT2025102300004</t>
        </is>
      </c>
      <c r="K137" s="237" t="inlineStr">
        <is>
          <t>1403251028150753</t>
        </is>
      </c>
      <c r="L137" s="881" t="n">
        <v>10.002</v>
      </c>
      <c r="P137" s="105">
        <f>COUNTIF([4]Sheet1!$A:$A,K:K)</f>
        <v/>
      </c>
    </row>
    <row r="138">
      <c r="A138" s="2" t="n">
        <v>82</v>
      </c>
      <c r="B138" s="878" t="inlineStr">
        <is>
          <t>chanhua</t>
        </is>
      </c>
      <c r="C138" s="139" t="n">
        <v>45953</v>
      </c>
      <c r="D138" s="879" t="inlineStr">
        <is>
          <t>新加坡比特</t>
        </is>
      </c>
      <c r="E138" s="52" t="inlineStr">
        <is>
          <t>ASECL</t>
        </is>
      </c>
      <c r="F138" s="140" t="inlineStr">
        <is>
          <t>PIE</t>
        </is>
      </c>
      <c r="G138" s="52" t="inlineStr">
        <is>
          <t>BM1370PF</t>
        </is>
      </c>
      <c r="H138" s="879">
        <f>VLOOKUP(G138,编码对账表!C:D,2,0)</f>
        <v/>
      </c>
      <c r="I138" s="157" t="n">
        <v>383800</v>
      </c>
      <c r="J138" s="141" t="inlineStr">
        <is>
          <t>DPT2025102300005</t>
        </is>
      </c>
      <c r="K138" s="237" t="inlineStr">
        <is>
          <t>1403251028150759</t>
        </is>
      </c>
      <c r="L138" s="881" t="n">
        <v>10.002</v>
      </c>
      <c r="P138" s="105">
        <f>COUNTIF([4]Sheet1!$A:$A,K:K)</f>
        <v/>
      </c>
    </row>
    <row r="139">
      <c r="A139" s="2" t="n">
        <v>83</v>
      </c>
      <c r="B139" s="878" t="inlineStr">
        <is>
          <t>chanhua</t>
        </is>
      </c>
      <c r="C139" s="139" t="n">
        <v>45953</v>
      </c>
      <c r="D139" s="879" t="inlineStr">
        <is>
          <t>新加坡比特</t>
        </is>
      </c>
      <c r="E139" s="52" t="inlineStr">
        <is>
          <t>ASECL</t>
        </is>
      </c>
      <c r="F139" s="140" t="inlineStr">
        <is>
          <t>墨西哥欧陆通</t>
        </is>
      </c>
      <c r="G139" s="52" t="inlineStr">
        <is>
          <t>BM1370PF</t>
        </is>
      </c>
      <c r="H139" s="879">
        <f>VLOOKUP(G139,编码对账表!C:D,2,0)</f>
        <v/>
      </c>
      <c r="I139" s="157" t="n">
        <v>665000</v>
      </c>
      <c r="J139" s="141" t="inlineStr">
        <is>
          <t>DPT2025102300008</t>
        </is>
      </c>
      <c r="K139" s="237" t="inlineStr">
        <is>
          <t>1403251028150805</t>
        </is>
      </c>
      <c r="L139" s="881" t="n">
        <v>10.002</v>
      </c>
      <c r="P139" s="105">
        <f>COUNTIF([4]Sheet1!$A:$A,K:K)</f>
        <v/>
      </c>
    </row>
    <row r="140">
      <c r="A140" s="2" t="n">
        <v>84</v>
      </c>
      <c r="B140" s="878" t="inlineStr">
        <is>
          <t>chanhua</t>
        </is>
      </c>
      <c r="C140" s="139" t="n">
        <v>45953</v>
      </c>
      <c r="D140" s="879" t="inlineStr">
        <is>
          <t>新加坡比特</t>
        </is>
      </c>
      <c r="E140" s="52" t="inlineStr">
        <is>
          <t>ASECL</t>
        </is>
      </c>
      <c r="F140" s="140" t="inlineStr">
        <is>
          <t>泰国Onetec</t>
        </is>
      </c>
      <c r="G140" s="52" t="inlineStr">
        <is>
          <t>BM1370PF</t>
        </is>
      </c>
      <c r="H140" s="879">
        <f>VLOOKUP(G140,编码对账表!C:D,2,0)</f>
        <v/>
      </c>
      <c r="I140" s="157" t="n">
        <v>30400</v>
      </c>
      <c r="J140" s="141" t="inlineStr">
        <is>
          <t>DPT2025102300006</t>
        </is>
      </c>
      <c r="K140" s="237" t="inlineStr">
        <is>
          <t>1403251028150812</t>
        </is>
      </c>
      <c r="L140" s="881" t="n">
        <v>10.002</v>
      </c>
      <c r="P140" s="105">
        <f>COUNTIF([4]Sheet1!$A:$A,K:K)</f>
        <v/>
      </c>
    </row>
    <row r="141">
      <c r="A141" s="2" t="n">
        <v>85</v>
      </c>
      <c r="B141" s="878" t="inlineStr">
        <is>
          <t>chanhua</t>
        </is>
      </c>
      <c r="C141" s="139" t="n">
        <v>45953</v>
      </c>
      <c r="D141" s="879" t="inlineStr">
        <is>
          <t>新加坡比特</t>
        </is>
      </c>
      <c r="E141" s="52" t="inlineStr">
        <is>
          <t>JSCC</t>
        </is>
      </c>
      <c r="F141" s="140" t="inlineStr">
        <is>
          <t>泰国Onetec</t>
        </is>
      </c>
      <c r="G141" s="52" t="inlineStr">
        <is>
          <t>BM1370PF</t>
        </is>
      </c>
      <c r="H141" s="879">
        <f>VLOOKUP(G141,编码对账表!C:D,2,0)</f>
        <v/>
      </c>
      <c r="I141" s="157" t="n">
        <v>180051</v>
      </c>
      <c r="J141" s="141" t="inlineStr">
        <is>
          <t>DPT2025102300007</t>
        </is>
      </c>
      <c r="K141" s="237" t="inlineStr">
        <is>
          <t>1403251028150817</t>
        </is>
      </c>
      <c r="L141" s="881" t="n">
        <v>10.002</v>
      </c>
      <c r="P141" s="105">
        <f>COUNTIF([4]Sheet1!$A:$A,K:K)</f>
        <v/>
      </c>
    </row>
    <row r="142" customFormat="1" s="866">
      <c r="A142" s="2" t="n">
        <v>77</v>
      </c>
      <c r="B142" s="878" t="inlineStr">
        <is>
          <t>chanhua</t>
        </is>
      </c>
      <c r="C142" s="139" t="n">
        <v>45953</v>
      </c>
      <c r="D142" s="879" t="inlineStr">
        <is>
          <t>新加坡比特</t>
        </is>
      </c>
      <c r="E142" s="52" t="inlineStr">
        <is>
          <t>XJ</t>
        </is>
      </c>
      <c r="F142" s="140" t="inlineStr">
        <is>
          <t>Nationgate改到墨西哥欧陆通</t>
        </is>
      </c>
      <c r="G142" s="52" t="inlineStr">
        <is>
          <t>BM1370PF</t>
        </is>
      </c>
      <c r="H142" s="879">
        <f>VLOOKUP(G142,编码对账表!C:D,2,0)</f>
        <v/>
      </c>
      <c r="I142" s="157" t="n">
        <v>238919</v>
      </c>
      <c r="J142" s="141" t="inlineStr">
        <is>
          <t>DPT2025102300001</t>
        </is>
      </c>
      <c r="K142" s="606" t="inlineStr">
        <is>
          <t>1403251028150552</t>
        </is>
      </c>
      <c r="L142" s="881" t="n">
        <v>10.002</v>
      </c>
      <c r="P142" s="105">
        <f>COUNTIF([4]Sheet1!$A:$A,K:K)</f>
        <v/>
      </c>
    </row>
    <row r="143" customFormat="1" s="866">
      <c r="A143" s="2" t="n">
        <v>86</v>
      </c>
      <c r="B143" s="878" t="inlineStr">
        <is>
          <t>chanhua</t>
        </is>
      </c>
      <c r="C143" s="139" t="n">
        <v>45953</v>
      </c>
      <c r="D143" s="879" t="inlineStr">
        <is>
          <t>新加坡比特</t>
        </is>
      </c>
      <c r="E143" s="52" t="inlineStr">
        <is>
          <t>XJ</t>
        </is>
      </c>
      <c r="F143" s="140" t="inlineStr">
        <is>
          <t>墨西哥欧陆通改到Nationgate</t>
        </is>
      </c>
      <c r="G143" s="52" t="inlineStr">
        <is>
          <t>BM1370PF</t>
        </is>
      </c>
      <c r="H143" s="879">
        <f>VLOOKUP(G143,编码对账表!C:D,2,0)</f>
        <v/>
      </c>
      <c r="I143" s="157" t="n">
        <v>241323</v>
      </c>
      <c r="J143" s="141" t="inlineStr">
        <is>
          <t>DPT2025102500001</t>
        </is>
      </c>
      <c r="K143" s="606" t="inlineStr">
        <is>
          <t>1403251028150823</t>
        </is>
      </c>
      <c r="L143" s="881" t="n">
        <v>10.002</v>
      </c>
      <c r="P143" s="105">
        <f>COUNTIF([4]Sheet1!$A:$A,K:K)</f>
        <v/>
      </c>
    </row>
    <row r="144">
      <c r="A144" s="2" t="n">
        <v>87</v>
      </c>
      <c r="B144" s="878" t="inlineStr">
        <is>
          <t>chanhua</t>
        </is>
      </c>
      <c r="C144" s="139" t="n">
        <v>45955</v>
      </c>
      <c r="D144" s="879" t="inlineStr">
        <is>
          <t>新加坡比特</t>
        </is>
      </c>
      <c r="E144" s="52" t="inlineStr">
        <is>
          <t>XJ</t>
        </is>
      </c>
      <c r="F144" s="140" t="inlineStr">
        <is>
          <t>Nationgate</t>
        </is>
      </c>
      <c r="G144" s="52" t="inlineStr">
        <is>
          <t>BM1370PA</t>
        </is>
      </c>
      <c r="H144" s="879">
        <f>VLOOKUP(G144,编码对账表!C:D,2,0)</f>
        <v/>
      </c>
      <c r="I144" s="157" t="n">
        <v>412248</v>
      </c>
      <c r="J144" s="141" t="inlineStr">
        <is>
          <t>DPT2025102500002</t>
        </is>
      </c>
      <c r="K144" s="237" t="inlineStr">
        <is>
          <t>1403251028150829</t>
        </is>
      </c>
      <c r="L144" s="881" t="n">
        <v>10.002</v>
      </c>
      <c r="P144" s="105">
        <f>COUNTIF([4]Sheet1!$A:$A,K:K)</f>
        <v/>
      </c>
    </row>
    <row r="145">
      <c r="A145" s="2" t="n">
        <v>88</v>
      </c>
      <c r="B145" s="878" t="inlineStr">
        <is>
          <t>chanhua</t>
        </is>
      </c>
      <c r="C145" s="139" t="n">
        <v>45955</v>
      </c>
      <c r="D145" s="879" t="inlineStr">
        <is>
          <t>新加坡比特</t>
        </is>
      </c>
      <c r="E145" s="52" t="inlineStr">
        <is>
          <t>XJ</t>
        </is>
      </c>
      <c r="F145" s="140" t="inlineStr">
        <is>
          <t>PIE</t>
        </is>
      </c>
      <c r="G145" s="52" t="inlineStr">
        <is>
          <t>BM1370PF</t>
        </is>
      </c>
      <c r="H145" s="879">
        <f>VLOOKUP(G145,编码对账表!C:D,2,0)</f>
        <v/>
      </c>
      <c r="I145" s="157" t="n">
        <v>201263</v>
      </c>
      <c r="J145" s="141" t="inlineStr">
        <is>
          <t>DPT2025102500003</t>
        </is>
      </c>
      <c r="K145" s="237" t="inlineStr">
        <is>
          <t>1403251028150834</t>
        </is>
      </c>
      <c r="L145" s="881" t="n">
        <v>10.002</v>
      </c>
      <c r="P145" s="105">
        <f>COUNTIF([4]Sheet1!$A:$A,K:K)</f>
        <v/>
      </c>
    </row>
    <row r="146">
      <c r="A146" s="2" t="n">
        <v>89</v>
      </c>
      <c r="B146" s="878" t="inlineStr">
        <is>
          <t>chanhua</t>
        </is>
      </c>
      <c r="C146" s="139" t="n">
        <v>45955</v>
      </c>
      <c r="D146" s="879" t="inlineStr">
        <is>
          <t>新加坡比特</t>
        </is>
      </c>
      <c r="E146" s="52" t="inlineStr">
        <is>
          <t>XJ</t>
        </is>
      </c>
      <c r="F146" s="140" t="inlineStr">
        <is>
          <t>泰国Onetec</t>
        </is>
      </c>
      <c r="G146" s="52" t="inlineStr">
        <is>
          <t>BM1370PF</t>
        </is>
      </c>
      <c r="H146" s="879">
        <f>VLOOKUP(G146,编码对账表!C:D,2,0)</f>
        <v/>
      </c>
      <c r="I146" s="157" t="n">
        <v>83116</v>
      </c>
      <c r="J146" s="141" t="inlineStr">
        <is>
          <t>DPT2025102500004</t>
        </is>
      </c>
      <c r="K146" s="237" t="inlineStr">
        <is>
          <t>1403251028150841</t>
        </is>
      </c>
      <c r="L146" s="881" t="n">
        <v>10.002</v>
      </c>
      <c r="P146" s="105">
        <f>COUNTIF([4]Sheet1!$A:$A,K:K)</f>
        <v/>
      </c>
    </row>
    <row r="147">
      <c r="A147" s="2" t="n">
        <v>90</v>
      </c>
      <c r="B147" s="878" t="inlineStr">
        <is>
          <t>chanhua</t>
        </is>
      </c>
      <c r="C147" s="139" t="n">
        <v>45955</v>
      </c>
      <c r="D147" s="879" t="inlineStr">
        <is>
          <t>新加坡比特</t>
        </is>
      </c>
      <c r="E147" s="52" t="inlineStr">
        <is>
          <t>XJ</t>
        </is>
      </c>
      <c r="F147" s="140" t="inlineStr">
        <is>
          <t>泰国Onetec</t>
        </is>
      </c>
      <c r="G147" s="52" t="inlineStr">
        <is>
          <t>BM1370PM</t>
        </is>
      </c>
      <c r="H147" s="879">
        <f>VLOOKUP(G147,编码对账表!C:D,2,0)</f>
        <v/>
      </c>
      <c r="I147" s="157" t="n">
        <v>140580</v>
      </c>
      <c r="J147" s="141" t="inlineStr">
        <is>
          <t>DPT2025102500005</t>
        </is>
      </c>
      <c r="K147" s="237" t="inlineStr">
        <is>
          <t>1403251028150847</t>
        </is>
      </c>
      <c r="L147" s="881" t="n">
        <v>10.002</v>
      </c>
      <c r="P147" s="105">
        <f>COUNTIF([4]Sheet1!$A:$A,K:K)</f>
        <v/>
      </c>
    </row>
    <row r="148">
      <c r="A148" s="2" t="n">
        <v>91</v>
      </c>
      <c r="B148" s="878" t="inlineStr">
        <is>
          <t>chanhua</t>
        </is>
      </c>
      <c r="C148" s="139" t="n">
        <v>45958</v>
      </c>
      <c r="D148" s="879" t="inlineStr">
        <is>
          <t>新加坡比特</t>
        </is>
      </c>
      <c r="E148" s="52" t="inlineStr">
        <is>
          <t>SPILSZ</t>
        </is>
      </c>
      <c r="F148" s="140" t="inlineStr">
        <is>
          <t>PIE</t>
        </is>
      </c>
      <c r="G148" s="52" t="inlineStr">
        <is>
          <t>BM1370PF</t>
        </is>
      </c>
      <c r="H148" s="879">
        <f>VLOOKUP(G148,编码对账表!C:D,2,0)</f>
        <v/>
      </c>
      <c r="I148" s="157" t="n">
        <v>227241</v>
      </c>
      <c r="J148" s="237" t="inlineStr">
        <is>
          <t>DPT202510281000</t>
        </is>
      </c>
      <c r="K148" s="891" t="n">
        <v>1403251105114850</v>
      </c>
      <c r="L148" s="881" t="n">
        <v>10.002</v>
      </c>
      <c r="P148" s="105">
        <f>COUNTIF([4]Sheet1!$A:$A,K:K)</f>
        <v/>
      </c>
    </row>
    <row r="149">
      <c r="A149" s="2" t="n">
        <v>92</v>
      </c>
      <c r="B149" s="878" t="inlineStr">
        <is>
          <t>chanhua</t>
        </is>
      </c>
      <c r="C149" s="139" t="n">
        <v>45959</v>
      </c>
      <c r="D149" s="879" t="inlineStr">
        <is>
          <t>美国比特</t>
        </is>
      </c>
      <c r="E149" s="52" t="inlineStr">
        <is>
          <t>SPILSZ</t>
        </is>
      </c>
      <c r="F149" s="872" t="inlineStr">
        <is>
          <t>美国Keytronic</t>
        </is>
      </c>
      <c r="G149" s="52" t="inlineStr">
        <is>
          <t>BM1370PF</t>
        </is>
      </c>
      <c r="H149" s="879" t="inlineStr">
        <is>
          <t>Y31010536</t>
        </is>
      </c>
      <c r="I149" s="157" t="n">
        <v>349257</v>
      </c>
      <c r="J149" s="237" t="inlineStr">
        <is>
          <t>BTD2025102900001</t>
        </is>
      </c>
      <c r="K149" s="891" t="n">
        <v>1155251029154330</v>
      </c>
      <c r="L149" s="887" t="n">
        <v>13.69</v>
      </c>
      <c r="P149" s="105">
        <f>COUNTIF([4]Sheet1!$A:$A,K:K)</f>
        <v/>
      </c>
    </row>
    <row r="150">
      <c r="A150" s="2" t="n">
        <v>93</v>
      </c>
      <c r="B150" s="878" t="inlineStr">
        <is>
          <t>chanhua</t>
        </is>
      </c>
      <c r="C150" s="139" t="n">
        <v>45961</v>
      </c>
      <c r="D150" s="879" t="inlineStr">
        <is>
          <t>美国比特</t>
        </is>
      </c>
      <c r="E150" s="52" t="inlineStr">
        <is>
          <t>SPILSZ</t>
        </is>
      </c>
      <c r="F150" s="872" t="inlineStr">
        <is>
          <t>美国Keytronic</t>
        </is>
      </c>
      <c r="G150" s="52" t="inlineStr">
        <is>
          <t>BM1370PF</t>
        </is>
      </c>
      <c r="H150" s="879" t="inlineStr">
        <is>
          <t>Y31010536</t>
        </is>
      </c>
      <c r="I150" s="157" t="n">
        <v>391400</v>
      </c>
      <c r="J150" s="237" t="inlineStr">
        <is>
          <t>BTD2025103100001</t>
        </is>
      </c>
      <c r="K150" s="237" t="inlineStr">
        <is>
          <t>1155251103161226</t>
        </is>
      </c>
      <c r="L150" s="144" t="n">
        <v>13.61</v>
      </c>
      <c r="P150" s="105">
        <f>COUNTIF([4]Sheet1!$A:$A,K:K)</f>
        <v/>
      </c>
    </row>
    <row r="151">
      <c r="A151" s="2" t="n">
        <v>94</v>
      </c>
      <c r="B151" s="878" t="inlineStr">
        <is>
          <t>chanhua</t>
        </is>
      </c>
      <c r="C151" s="139" t="n">
        <v>45961</v>
      </c>
      <c r="D151" s="879" t="inlineStr">
        <is>
          <t>新加坡比特</t>
        </is>
      </c>
      <c r="E151" s="52" t="inlineStr">
        <is>
          <t>XJ</t>
        </is>
      </c>
      <c r="F151" s="140" t="inlineStr">
        <is>
          <t>PIE</t>
        </is>
      </c>
      <c r="G151" s="52" t="inlineStr">
        <is>
          <t>BM1370PF</t>
        </is>
      </c>
      <c r="H151" s="879">
        <f>VLOOKUP(G151,编码对账表!C:D,2,0)</f>
        <v/>
      </c>
      <c r="I151" s="157" t="n">
        <v>64596</v>
      </c>
      <c r="J151" s="237" t="inlineStr">
        <is>
          <t>DPT202510310001</t>
        </is>
      </c>
      <c r="K151" s="237" t="inlineStr">
        <is>
          <t>1403251105111120</t>
        </is>
      </c>
      <c r="L151" s="881" t="n">
        <v>10.002</v>
      </c>
      <c r="P151" s="105">
        <f>COUNTIF([4]Sheet1!$A:$A,K:K)</f>
        <v/>
      </c>
    </row>
    <row r="152">
      <c r="A152" s="2" t="n">
        <v>95</v>
      </c>
      <c r="B152" s="878" t="inlineStr">
        <is>
          <t>chanhua</t>
        </is>
      </c>
      <c r="C152" s="139" t="n">
        <v>45967</v>
      </c>
      <c r="D152" s="879" t="inlineStr">
        <is>
          <t>新加坡比特</t>
        </is>
      </c>
      <c r="E152" s="52" t="inlineStr">
        <is>
          <t>XJ</t>
        </is>
      </c>
      <c r="F152" s="140" t="inlineStr">
        <is>
          <t>PIE</t>
        </is>
      </c>
      <c r="G152" s="52" t="inlineStr">
        <is>
          <t>BM1370PF</t>
        </is>
      </c>
      <c r="H152" s="879">
        <f>VLOOKUP(G152,编码对账表!C:D,2,0)</f>
        <v/>
      </c>
      <c r="I152" s="157" t="n">
        <v>117234</v>
      </c>
      <c r="J152" s="237" t="inlineStr">
        <is>
          <t>DPT202511060001</t>
        </is>
      </c>
      <c r="K152" s="237" t="inlineStr">
        <is>
          <t>1403251112153325</t>
        </is>
      </c>
      <c r="L152" s="881" t="n">
        <v>10.002</v>
      </c>
      <c r="P152" s="105">
        <f>COUNTIF([4]Sheet1!$A:$A,K:K)</f>
        <v/>
      </c>
    </row>
    <row r="153">
      <c r="A153" s="2" t="n">
        <v>96</v>
      </c>
      <c r="B153" s="878" t="inlineStr">
        <is>
          <t>chanhua</t>
        </is>
      </c>
      <c r="C153" s="139" t="n">
        <v>45967</v>
      </c>
      <c r="D153" s="892" t="inlineStr">
        <is>
          <t>美国比特</t>
        </is>
      </c>
      <c r="E153" s="52" t="inlineStr">
        <is>
          <t>XJ</t>
        </is>
      </c>
      <c r="F153" s="140" t="inlineStr">
        <is>
          <t>美国Meritronics</t>
        </is>
      </c>
      <c r="G153" s="52" t="inlineStr">
        <is>
          <t>BM1370BC</t>
        </is>
      </c>
      <c r="H153" s="879" t="inlineStr">
        <is>
          <t>Y31010527</t>
        </is>
      </c>
      <c r="I153" s="157" t="n">
        <v>325821</v>
      </c>
      <c r="J153" s="237" t="inlineStr">
        <is>
          <t>BTD202511060006</t>
        </is>
      </c>
      <c r="K153" s="237" t="inlineStr">
        <is>
          <t>1155251111162534</t>
        </is>
      </c>
      <c r="L153" s="881" t="n">
        <v>10.002</v>
      </c>
      <c r="P153" s="105">
        <f>COUNTIF([4]Sheet1!$A:$A,K:K)</f>
        <v/>
      </c>
    </row>
    <row r="154">
      <c r="A154" s="2" t="n">
        <v>97</v>
      </c>
      <c r="B154" s="878" t="inlineStr">
        <is>
          <t>chanhua</t>
        </is>
      </c>
      <c r="C154" s="139" t="n">
        <v>45967</v>
      </c>
      <c r="D154" s="879" t="inlineStr">
        <is>
          <t>新加坡比特</t>
        </is>
      </c>
      <c r="E154" s="52" t="inlineStr">
        <is>
          <t>SPILSZ</t>
        </is>
      </c>
      <c r="F154" s="140" t="inlineStr">
        <is>
          <t>PIE</t>
        </is>
      </c>
      <c r="G154" s="52" t="inlineStr">
        <is>
          <t>BM1370PF</t>
        </is>
      </c>
      <c r="H154" s="879">
        <f>VLOOKUP(G154,编码对账表!C:D,2,0)</f>
        <v/>
      </c>
      <c r="I154" s="157" t="n">
        <v>83600</v>
      </c>
      <c r="J154" s="146" t="inlineStr">
        <is>
          <t>DPT202511061000</t>
        </is>
      </c>
      <c r="K154" s="607" t="inlineStr">
        <is>
          <t>1403251114111634</t>
        </is>
      </c>
      <c r="L154" s="881" t="n">
        <v>10.002</v>
      </c>
      <c r="P154" s="105">
        <f>COUNTIF([4]Sheet1!$A:$A,K:K)</f>
        <v/>
      </c>
    </row>
    <row r="155">
      <c r="A155" s="2" t="n">
        <v>98</v>
      </c>
      <c r="B155" s="878" t="inlineStr">
        <is>
          <t>chanhua</t>
        </is>
      </c>
      <c r="C155" s="139" t="n">
        <v>45967</v>
      </c>
      <c r="D155" s="879" t="inlineStr">
        <is>
          <t>新加坡比特</t>
        </is>
      </c>
      <c r="E155" s="52" t="inlineStr">
        <is>
          <t>SPILSZ</t>
        </is>
      </c>
      <c r="F155" s="140" t="inlineStr">
        <is>
          <t>泰国Onetec</t>
        </is>
      </c>
      <c r="G155" s="52" t="inlineStr">
        <is>
          <t>BM1370PF</t>
        </is>
      </c>
      <c r="H155" s="879">
        <f>VLOOKUP(G155,编码对账表!C:D,2,0)</f>
        <v/>
      </c>
      <c r="I155" s="147" t="n">
        <v>3800</v>
      </c>
      <c r="J155" s="866" t="inlineStr">
        <is>
          <t>DPT202511062000</t>
        </is>
      </c>
      <c r="K155" s="237" t="inlineStr">
        <is>
          <t>1403251119151101</t>
        </is>
      </c>
      <c r="L155" s="881" t="n">
        <v>10.002</v>
      </c>
      <c r="P155" s="105">
        <f>COUNTIF([4]Sheet1!$A:$A,K:K)</f>
        <v/>
      </c>
    </row>
    <row r="156" customFormat="1" s="893">
      <c r="A156" s="148" t="n">
        <v>99</v>
      </c>
      <c r="B156" s="894" t="inlineStr">
        <is>
          <t>chanhua</t>
        </is>
      </c>
      <c r="C156" s="150" t="n">
        <v>45968</v>
      </c>
      <c r="D156" s="895" t="inlineStr">
        <is>
          <t>新加坡比特</t>
        </is>
      </c>
      <c r="E156" s="152" t="inlineStr">
        <is>
          <t>XJ</t>
        </is>
      </c>
      <c r="F156" s="153" t="inlineStr">
        <is>
          <t>PIE</t>
        </is>
      </c>
      <c r="G156" s="152" t="inlineStr">
        <is>
          <t>BM1370PF</t>
        </is>
      </c>
      <c r="H156" s="895">
        <f>VLOOKUP(G156,编码对账表!C:D,2,0)</f>
        <v/>
      </c>
      <c r="I156" s="154" t="n">
        <v>9892</v>
      </c>
      <c r="J156" s="155" t="inlineStr">
        <is>
          <t>DPT202511070001</t>
        </is>
      </c>
      <c r="K156" s="155" t="inlineStr">
        <is>
          <t>1403251112153337</t>
        </is>
      </c>
      <c r="L156" s="896" t="n">
        <v>10.002</v>
      </c>
      <c r="P156" s="105">
        <f>COUNTIF([4]Sheet1!$A:$A,K:K)</f>
        <v/>
      </c>
    </row>
    <row r="157">
      <c r="A157" s="2" t="n">
        <v>100</v>
      </c>
      <c r="B157" s="878" t="inlineStr">
        <is>
          <t>chanhua</t>
        </is>
      </c>
      <c r="C157" s="139" t="n">
        <v>45970</v>
      </c>
      <c r="D157" s="879" t="inlineStr">
        <is>
          <t>新加坡比特</t>
        </is>
      </c>
      <c r="E157" s="52" t="inlineStr">
        <is>
          <t>SPILSZ</t>
        </is>
      </c>
      <c r="F157" s="140" t="inlineStr">
        <is>
          <t>墨西哥欧陆通</t>
        </is>
      </c>
      <c r="G157" s="52" t="inlineStr">
        <is>
          <t>BM1370PF</t>
        </is>
      </c>
      <c r="H157" s="879">
        <f>VLOOKUP(G157,编码对账表!C:D,2,0)</f>
        <v/>
      </c>
      <c r="I157" s="157" t="n">
        <v>41800</v>
      </c>
      <c r="J157" s="146" t="inlineStr">
        <is>
          <t>DPT202511091000</t>
        </is>
      </c>
      <c r="K157" s="607" t="inlineStr">
        <is>
          <t>1403251119142830</t>
        </is>
      </c>
      <c r="L157" s="881" t="n">
        <v>10.002</v>
      </c>
      <c r="P157" s="105">
        <f>COUNTIF([4]Sheet1!$A:$A,K:K)</f>
        <v/>
      </c>
    </row>
    <row r="158">
      <c r="A158" s="2" t="n">
        <v>101</v>
      </c>
      <c r="B158" s="878" t="inlineStr">
        <is>
          <t>chanhua</t>
        </is>
      </c>
      <c r="C158" s="139" t="n">
        <v>45970</v>
      </c>
      <c r="D158" s="879" t="inlineStr">
        <is>
          <t>新加坡比特</t>
        </is>
      </c>
      <c r="E158" s="52" t="inlineStr">
        <is>
          <t>SPILSZ</t>
        </is>
      </c>
      <c r="F158" s="140" t="inlineStr">
        <is>
          <t>泰国Onetec</t>
        </is>
      </c>
      <c r="G158" s="52" t="inlineStr">
        <is>
          <t>BM1370PF</t>
        </is>
      </c>
      <c r="H158" s="879">
        <f>VLOOKUP(G158,编码对账表!C:D,2,0)</f>
        <v/>
      </c>
      <c r="I158" s="147" t="n">
        <v>95000</v>
      </c>
      <c r="J158" s="866" t="inlineStr">
        <is>
          <t>DPT202511092000</t>
        </is>
      </c>
      <c r="K158" s="237" t="inlineStr">
        <is>
          <t>1403251119151110</t>
        </is>
      </c>
      <c r="L158" s="881" t="n">
        <v>10.002</v>
      </c>
      <c r="P158" s="105">
        <f>COUNTIF([4]Sheet1!$A:$A,K:K)</f>
        <v/>
      </c>
    </row>
    <row r="159">
      <c r="A159" s="2" t="n">
        <v>102</v>
      </c>
      <c r="B159" s="878" t="inlineStr">
        <is>
          <t>chanhua</t>
        </is>
      </c>
      <c r="C159" s="139" t="n">
        <v>45970</v>
      </c>
      <c r="D159" s="879" t="inlineStr">
        <is>
          <t>新加坡比特</t>
        </is>
      </c>
      <c r="E159" s="52" t="inlineStr">
        <is>
          <t>ASECL</t>
        </is>
      </c>
      <c r="F159" s="140" t="inlineStr">
        <is>
          <t>泰国Onetec</t>
        </is>
      </c>
      <c r="G159" s="52" t="inlineStr">
        <is>
          <t>BM1370PF</t>
        </is>
      </c>
      <c r="H159" s="879">
        <f>VLOOKUP(G159,编码对账表!C:D,2,0)</f>
        <v/>
      </c>
      <c r="I159" s="147" t="n">
        <v>38000</v>
      </c>
      <c r="J159" s="866" t="inlineStr">
        <is>
          <t>DPT202511093000</t>
        </is>
      </c>
      <c r="K159" s="237" t="inlineStr">
        <is>
          <t>1403251119151117</t>
        </is>
      </c>
      <c r="L159" s="881" t="n">
        <v>10.002</v>
      </c>
      <c r="P159" s="105">
        <f>COUNTIF([4]Sheet1!$A:$A,K:K)</f>
        <v/>
      </c>
    </row>
    <row r="160" ht="16.5" customHeight="1" s="184">
      <c r="A160" s="2" t="n">
        <v>103</v>
      </c>
      <c r="B160" s="878" t="inlineStr">
        <is>
          <t>chanhua</t>
        </is>
      </c>
      <c r="C160" s="139" t="n">
        <v>45973</v>
      </c>
      <c r="D160" s="879" t="inlineStr">
        <is>
          <t>新加坡比特</t>
        </is>
      </c>
      <c r="E160" s="52" t="inlineStr">
        <is>
          <t>JSCC</t>
        </is>
      </c>
      <c r="F160" s="140" t="inlineStr">
        <is>
          <t>墨西哥欧陆通</t>
        </is>
      </c>
      <c r="G160" s="52" t="inlineStr">
        <is>
          <t>BM1370PF</t>
        </is>
      </c>
      <c r="H160" s="879">
        <f>VLOOKUP(G160,编码对账表!C:D,2,0)</f>
        <v/>
      </c>
      <c r="I160" s="147" t="n">
        <v>80441</v>
      </c>
      <c r="J160" s="158" t="inlineStr">
        <is>
          <t>DPT202511121000</t>
        </is>
      </c>
      <c r="K160" s="237" t="inlineStr">
        <is>
          <t>1403251119182251</t>
        </is>
      </c>
      <c r="L160" s="881" t="n">
        <v>10.002</v>
      </c>
      <c r="P160" s="105">
        <f>COUNTIF([4]Sheet1!$A:$A,K:K)</f>
        <v/>
      </c>
    </row>
    <row r="161" ht="16.5" customHeight="1" s="184">
      <c r="A161" s="2" t="n"/>
      <c r="B161" s="878" t="inlineStr">
        <is>
          <t>chanhua</t>
        </is>
      </c>
      <c r="C161" s="139" t="n">
        <v>45973</v>
      </c>
      <c r="D161" s="879" t="inlineStr">
        <is>
          <t>新加坡比特</t>
        </is>
      </c>
      <c r="E161" s="52" t="inlineStr">
        <is>
          <t>JSCC</t>
        </is>
      </c>
      <c r="F161" s="872" t="inlineStr">
        <is>
          <t>泰国群光</t>
        </is>
      </c>
      <c r="G161" s="52" t="inlineStr">
        <is>
          <t>BM1370PF</t>
        </is>
      </c>
      <c r="H161" s="879">
        <f>VLOOKUP(G161,编码对账表!C:D,2,0)</f>
        <v/>
      </c>
      <c r="I161" s="157" t="n">
        <v>45458</v>
      </c>
      <c r="J161" s="158" t="inlineStr">
        <is>
          <t>DPT202511122000</t>
        </is>
      </c>
      <c r="K161" s="607" t="inlineStr">
        <is>
          <t>1403260212183316</t>
        </is>
      </c>
      <c r="L161" s="881" t="n">
        <v>10.002</v>
      </c>
      <c r="P161" s="105">
        <f>COUNTIF([4]Sheet1!$A:$A,K:K)</f>
        <v/>
      </c>
    </row>
    <row r="162">
      <c r="A162" s="2" t="n">
        <v>104</v>
      </c>
      <c r="B162" s="878" t="inlineStr">
        <is>
          <t>chanhua</t>
        </is>
      </c>
      <c r="C162" s="139" t="n">
        <v>45974</v>
      </c>
      <c r="D162" s="879" t="inlineStr">
        <is>
          <t>新加坡比特</t>
        </is>
      </c>
      <c r="E162" s="52" t="inlineStr">
        <is>
          <t>ASECL</t>
        </is>
      </c>
      <c r="F162" s="140" t="inlineStr">
        <is>
          <t>PIE</t>
        </is>
      </c>
      <c r="G162" s="52" t="inlineStr">
        <is>
          <t>BM1370PF</t>
        </is>
      </c>
      <c r="H162" s="879">
        <f>VLOOKUP(G162,编码对账表!C:D,2,0)</f>
        <v/>
      </c>
      <c r="I162" s="157" t="n">
        <v>72200</v>
      </c>
      <c r="J162" s="146" t="inlineStr">
        <is>
          <t>DPT202511130001</t>
        </is>
      </c>
      <c r="K162" s="607" t="inlineStr">
        <is>
          <t>1403251114150819</t>
        </is>
      </c>
      <c r="L162" s="881" t="n">
        <v>10.002</v>
      </c>
      <c r="P162" s="105">
        <f>COUNTIF([4]Sheet1!$A:$A,K:K)</f>
        <v/>
      </c>
    </row>
    <row r="163">
      <c r="A163" s="2" t="n">
        <v>105</v>
      </c>
      <c r="B163" s="878" t="inlineStr">
        <is>
          <t>chanhua</t>
        </is>
      </c>
      <c r="C163" s="139" t="n">
        <v>45974</v>
      </c>
      <c r="D163" s="879" t="inlineStr">
        <is>
          <t>新加坡比特</t>
        </is>
      </c>
      <c r="E163" s="52" t="inlineStr">
        <is>
          <t>ASECL</t>
        </is>
      </c>
      <c r="F163" s="866" t="inlineStr">
        <is>
          <t>SZQH</t>
        </is>
      </c>
      <c r="G163" s="52" t="inlineStr">
        <is>
          <t>BM1370PF</t>
        </is>
      </c>
      <c r="H163" s="879">
        <f>VLOOKUP(G163,编码对账表!C:D,2,0)</f>
        <v/>
      </c>
      <c r="I163" s="157" t="n">
        <v>114000</v>
      </c>
      <c r="J163" s="866" t="inlineStr">
        <is>
          <t>DPT202511131000</t>
        </is>
      </c>
      <c r="K163" s="237" t="inlineStr">
        <is>
          <t>1403251117180743</t>
        </is>
      </c>
      <c r="L163" s="881" t="n">
        <v>10.002</v>
      </c>
      <c r="P163" s="105">
        <f>COUNTIF([4]Sheet1!$A:$A,K:K)</f>
        <v/>
      </c>
    </row>
    <row r="164">
      <c r="A164" s="2" t="n">
        <v>106</v>
      </c>
      <c r="B164" s="878" t="inlineStr">
        <is>
          <t>chanhua</t>
        </is>
      </c>
      <c r="C164" s="139" t="n">
        <v>45974</v>
      </c>
      <c r="D164" s="879" t="inlineStr">
        <is>
          <t>新加坡比特</t>
        </is>
      </c>
      <c r="E164" s="52" t="inlineStr">
        <is>
          <t>SPILSZ</t>
        </is>
      </c>
      <c r="F164" s="866" t="inlineStr">
        <is>
          <t>SZQH</t>
        </is>
      </c>
      <c r="G164" s="52" t="inlineStr">
        <is>
          <t>BM1370PF</t>
        </is>
      </c>
      <c r="H164" s="879">
        <f>VLOOKUP(G164,编码对账表!C:D,2,0)</f>
        <v/>
      </c>
      <c r="I164" s="157" t="n">
        <v>32501</v>
      </c>
      <c r="J164" s="866" t="inlineStr">
        <is>
          <t>DPT202511132000</t>
        </is>
      </c>
      <c r="K164" s="237" t="inlineStr">
        <is>
          <t>1403251117180801</t>
        </is>
      </c>
      <c r="L164" s="881" t="n">
        <v>10.002</v>
      </c>
      <c r="P164" s="105">
        <f>COUNTIF([4]Sheet1!$A:$A,K:K)</f>
        <v/>
      </c>
    </row>
    <row r="165">
      <c r="A165" s="2" t="n">
        <v>107</v>
      </c>
      <c r="B165" s="878" t="inlineStr">
        <is>
          <t>chanhua</t>
        </is>
      </c>
      <c r="C165" s="139" t="n">
        <v>45974</v>
      </c>
      <c r="D165" s="879" t="inlineStr">
        <is>
          <t>新加坡比特</t>
        </is>
      </c>
      <c r="E165" s="52" t="inlineStr">
        <is>
          <t>XJ</t>
        </is>
      </c>
      <c r="F165" s="866" t="inlineStr">
        <is>
          <t>SZQH</t>
        </is>
      </c>
      <c r="G165" s="52" t="inlineStr">
        <is>
          <t>BM1370PF</t>
        </is>
      </c>
      <c r="H165" s="879">
        <f>VLOOKUP(G165,编码对账表!C:D,2,0)</f>
        <v/>
      </c>
      <c r="I165" s="157" t="n">
        <v>2388</v>
      </c>
      <c r="J165" s="866" t="inlineStr">
        <is>
          <t>DPT202511133000</t>
        </is>
      </c>
      <c r="K165" s="237" t="inlineStr">
        <is>
          <t>1403251119110046</t>
        </is>
      </c>
      <c r="L165" s="881" t="n">
        <v>10.002</v>
      </c>
      <c r="P165" s="105">
        <f>COUNTIF([4]Sheet1!$A:$A,K:K)</f>
        <v/>
      </c>
    </row>
    <row r="166">
      <c r="A166" s="2" t="n">
        <v>108</v>
      </c>
      <c r="B166" s="878" t="inlineStr">
        <is>
          <t>chanhua</t>
        </is>
      </c>
      <c r="C166" s="139" t="n">
        <v>45974</v>
      </c>
      <c r="D166" s="879" t="inlineStr">
        <is>
          <t>新加坡比特</t>
        </is>
      </c>
      <c r="E166" s="52" t="inlineStr">
        <is>
          <t>SPILSZ</t>
        </is>
      </c>
      <c r="F166" s="140" t="inlineStr">
        <is>
          <t>Nationgate</t>
        </is>
      </c>
      <c r="G166" s="52" t="inlineStr">
        <is>
          <t>BM1370PF</t>
        </is>
      </c>
      <c r="H166" s="879">
        <f>VLOOKUP(G166,编码对账表!C:D,2,0)</f>
        <v/>
      </c>
      <c r="I166" s="157" t="n">
        <v>333562</v>
      </c>
      <c r="J166" s="866" t="inlineStr">
        <is>
          <t>DPT202511134000</t>
        </is>
      </c>
      <c r="K166" s="237" t="inlineStr">
        <is>
          <t>1403251119112821</t>
        </is>
      </c>
      <c r="L166" s="881" t="n">
        <v>10.002</v>
      </c>
      <c r="P166" s="105">
        <f>COUNTIF([4]Sheet1!$A:$A,K:K)</f>
        <v/>
      </c>
    </row>
    <row r="167" ht="15.75" customHeight="1" s="184">
      <c r="A167" s="2" t="n">
        <v>104</v>
      </c>
      <c r="B167" s="878" t="inlineStr">
        <is>
          <t>chanhua</t>
        </is>
      </c>
      <c r="C167" s="139" t="n">
        <v>45958</v>
      </c>
      <c r="D167" s="879" t="inlineStr">
        <is>
          <t>新加坡比特</t>
        </is>
      </c>
      <c r="E167" s="57" t="inlineStr">
        <is>
          <t>SPILSZ</t>
        </is>
      </c>
      <c r="F167" s="140" t="inlineStr">
        <is>
          <t>泰国群光</t>
        </is>
      </c>
      <c r="G167" s="52" t="inlineStr">
        <is>
          <t>BM1370PF</t>
        </is>
      </c>
      <c r="H167" s="879">
        <f>VLOOKUP(G167,编码对账表!C:D,2,0)</f>
        <v/>
      </c>
      <c r="I167" s="157" t="n">
        <v>59426</v>
      </c>
      <c r="J167" s="866" t="inlineStr">
        <is>
          <t>DPT202510283000</t>
        </is>
      </c>
      <c r="K167" s="237" t="inlineStr">
        <is>
          <t>1403251119182142</t>
        </is>
      </c>
      <c r="L167" s="881" t="n">
        <v>10.002</v>
      </c>
      <c r="P167" s="105">
        <f>COUNTIF([4]Sheet1!$A:$A,K:K)</f>
        <v/>
      </c>
    </row>
    <row r="168" ht="15.75" customHeight="1" s="184">
      <c r="A168" s="2" t="n">
        <v>105</v>
      </c>
      <c r="B168" s="878" t="inlineStr">
        <is>
          <t>chanhua</t>
        </is>
      </c>
      <c r="C168" s="139" t="n">
        <v>45958</v>
      </c>
      <c r="D168" s="879" t="inlineStr">
        <is>
          <t>新加坡比特</t>
        </is>
      </c>
      <c r="E168" s="57" t="inlineStr">
        <is>
          <t>SPILSZ</t>
        </is>
      </c>
      <c r="F168" s="140" t="inlineStr">
        <is>
          <t>泰国群光</t>
        </is>
      </c>
      <c r="G168" s="57" t="inlineStr">
        <is>
          <t>BM1370PA</t>
        </is>
      </c>
      <c r="H168" s="879">
        <f>VLOOKUP(G168,编码对账表!C:D,2,0)</f>
        <v/>
      </c>
      <c r="I168" s="157" t="n">
        <v>135857</v>
      </c>
      <c r="J168" s="866" t="inlineStr">
        <is>
          <t>DPT202510282000</t>
        </is>
      </c>
      <c r="K168" s="237" t="inlineStr">
        <is>
          <t>1403251119182210</t>
        </is>
      </c>
      <c r="L168" s="881" t="n">
        <v>10.002</v>
      </c>
      <c r="P168" s="105">
        <f>COUNTIF([4]Sheet1!$A:$A,K:K)</f>
        <v/>
      </c>
    </row>
    <row r="169">
      <c r="A169" s="2" t="n">
        <v>109</v>
      </c>
      <c r="B169" s="878" t="inlineStr">
        <is>
          <t>chanhua</t>
        </is>
      </c>
      <c r="C169" s="139" t="n">
        <v>45974</v>
      </c>
      <c r="D169" s="879" t="inlineStr">
        <is>
          <t>新加坡比特</t>
        </is>
      </c>
      <c r="E169" s="52" t="inlineStr">
        <is>
          <t>XJ</t>
        </is>
      </c>
      <c r="F169" s="140" t="inlineStr">
        <is>
          <t>Nationgate</t>
        </is>
      </c>
      <c r="G169" s="52" t="inlineStr">
        <is>
          <t>BM1370PF</t>
        </is>
      </c>
      <c r="H169" s="879">
        <f>VLOOKUP(G169,编码对账表!C:D,2,0)</f>
        <v/>
      </c>
      <c r="I169" s="157" t="n">
        <v>188516</v>
      </c>
      <c r="J169" s="866" t="inlineStr">
        <is>
          <t>DPT202511135000</t>
        </is>
      </c>
      <c r="K169" s="237" t="inlineStr">
        <is>
          <t>1403251119112829</t>
        </is>
      </c>
      <c r="L169" s="881" t="n">
        <v>10.002</v>
      </c>
      <c r="P169" s="105">
        <f>COUNTIF([4]Sheet1!$A:$A,K:K)</f>
        <v/>
      </c>
    </row>
    <row r="170">
      <c r="A170" s="2" t="n">
        <v>110</v>
      </c>
      <c r="B170" s="878" t="inlineStr">
        <is>
          <t>chanhua</t>
        </is>
      </c>
      <c r="C170" s="139" t="n">
        <v>45974</v>
      </c>
      <c r="D170" s="879" t="inlineStr">
        <is>
          <t>新加坡比特</t>
        </is>
      </c>
      <c r="E170" s="52" t="inlineStr">
        <is>
          <t>ASECL</t>
        </is>
      </c>
      <c r="F170" s="140" t="inlineStr">
        <is>
          <t>泰国群光</t>
        </is>
      </c>
      <c r="G170" s="52" t="inlineStr">
        <is>
          <t>BM1370PF</t>
        </is>
      </c>
      <c r="H170" s="879">
        <f>VLOOKUP(G170,编码对账表!C:D,2,0)</f>
        <v/>
      </c>
      <c r="I170" s="157" t="n">
        <v>83600</v>
      </c>
      <c r="J170" s="866" t="inlineStr">
        <is>
          <t>DPT202511136000</t>
        </is>
      </c>
      <c r="K170" s="237" t="inlineStr">
        <is>
          <t>1403251119182224</t>
        </is>
      </c>
      <c r="L170" s="881" t="n">
        <v>10.002</v>
      </c>
      <c r="P170" s="105">
        <f>COUNTIF([4]Sheet1!$A:$A,K:K)</f>
        <v/>
      </c>
    </row>
    <row r="171">
      <c r="A171" s="2" t="n">
        <v>111</v>
      </c>
      <c r="B171" s="878" t="inlineStr">
        <is>
          <t>chanhua</t>
        </is>
      </c>
      <c r="C171" s="139" t="n">
        <v>45974</v>
      </c>
      <c r="D171" s="879" t="inlineStr">
        <is>
          <t>新加坡比特</t>
        </is>
      </c>
      <c r="E171" s="52" t="inlineStr">
        <is>
          <t>XJ</t>
        </is>
      </c>
      <c r="F171" s="140" t="inlineStr">
        <is>
          <t>泰国群光</t>
        </is>
      </c>
      <c r="G171" s="52" t="inlineStr">
        <is>
          <t>BM1370PF</t>
        </is>
      </c>
      <c r="H171" s="879">
        <f>VLOOKUP(G171,编码对账表!C:D,2,0)</f>
        <v/>
      </c>
      <c r="I171" s="159" t="n">
        <v>250824</v>
      </c>
      <c r="J171" s="866" t="inlineStr">
        <is>
          <t>DPT202511138000</t>
        </is>
      </c>
      <c r="K171" s="237" t="inlineStr">
        <is>
          <t>1403251119195205</t>
        </is>
      </c>
      <c r="L171" s="881" t="n">
        <v>10.002</v>
      </c>
      <c r="P171" s="105">
        <f>COUNTIF([4]Sheet1!$A:$A,K:K)</f>
        <v/>
      </c>
    </row>
    <row r="172" customFormat="1" s="866">
      <c r="A172" s="2" t="n">
        <v>112</v>
      </c>
      <c r="B172" s="878" t="inlineStr">
        <is>
          <t>chanhua</t>
        </is>
      </c>
      <c r="C172" s="139" t="n">
        <v>45976</v>
      </c>
      <c r="D172" s="879" t="inlineStr">
        <is>
          <t>新加坡比特</t>
        </is>
      </c>
      <c r="E172" s="866" t="inlineStr">
        <is>
          <t>NJVT</t>
        </is>
      </c>
      <c r="F172" s="140" t="inlineStr">
        <is>
          <t>墨西哥欧陆通</t>
        </is>
      </c>
      <c r="G172" s="52" t="inlineStr">
        <is>
          <t>BM1370PF</t>
        </is>
      </c>
      <c r="H172" s="879">
        <f>VLOOKUP(G172,编码对账表!C:D,2,0)</f>
        <v/>
      </c>
      <c r="I172" s="157" t="n">
        <v>599191</v>
      </c>
      <c r="J172" s="866" t="inlineStr">
        <is>
          <t>DPT202511151000</t>
        </is>
      </c>
      <c r="K172" s="237" t="inlineStr">
        <is>
          <t>1403251121183555</t>
        </is>
      </c>
      <c r="L172" s="881" t="n">
        <v>10.002</v>
      </c>
      <c r="P172" s="105">
        <f>COUNTIF([4]Sheet1!$A:$A,K:K)</f>
        <v/>
      </c>
    </row>
    <row r="173" ht="15.75" customHeight="1" s="184">
      <c r="A173" s="2" t="n">
        <v>113</v>
      </c>
      <c r="B173" s="878" t="inlineStr">
        <is>
          <t>chanhua</t>
        </is>
      </c>
      <c r="C173" s="139" t="n">
        <v>45981</v>
      </c>
      <c r="D173" s="879" t="inlineStr">
        <is>
          <t>新加坡比特</t>
        </is>
      </c>
      <c r="E173" s="57" t="inlineStr">
        <is>
          <t>SPILSZ</t>
        </is>
      </c>
      <c r="F173" s="140" t="inlineStr">
        <is>
          <t>PIE</t>
        </is>
      </c>
      <c r="G173" s="52" t="inlineStr">
        <is>
          <t>BM1370PF</t>
        </is>
      </c>
      <c r="H173" s="879">
        <f>VLOOKUP(G173,编码对账表!C:D,2,0)</f>
        <v/>
      </c>
      <c r="I173" s="147" t="n">
        <v>8434</v>
      </c>
      <c r="J173" s="866" t="inlineStr">
        <is>
          <t>DPT202511200001</t>
        </is>
      </c>
      <c r="K173" s="237" t="inlineStr">
        <is>
          <t>1403251121183617</t>
        </is>
      </c>
      <c r="L173" s="897" t="n">
        <v>8.83</v>
      </c>
      <c r="P173" s="105">
        <f>COUNTIF([4]Sheet1!$A:$A,K:K)</f>
        <v/>
      </c>
    </row>
    <row r="174">
      <c r="A174" s="2" t="n">
        <v>114</v>
      </c>
      <c r="B174" s="878" t="inlineStr">
        <is>
          <t>chanhua</t>
        </is>
      </c>
      <c r="C174" s="139" t="n">
        <v>45981</v>
      </c>
      <c r="D174" s="879" t="inlineStr">
        <is>
          <t>新加坡比特</t>
        </is>
      </c>
      <c r="E174" s="52" t="inlineStr">
        <is>
          <t>ASECL</t>
        </is>
      </c>
      <c r="F174" s="140" t="inlineStr">
        <is>
          <t>PIE</t>
        </is>
      </c>
      <c r="G174" s="52" t="inlineStr">
        <is>
          <t>BM1370PF</t>
        </is>
      </c>
      <c r="H174" s="879">
        <f>VLOOKUP(G174,编码对账表!C:D,2,0)</f>
        <v/>
      </c>
      <c r="I174" s="147" t="n">
        <v>178600</v>
      </c>
      <c r="J174" s="866" t="inlineStr">
        <is>
          <t>DPT202511200002</t>
        </is>
      </c>
      <c r="K174" s="237" t="inlineStr">
        <is>
          <t>1403251121183907</t>
        </is>
      </c>
      <c r="L174" s="897" t="n">
        <v>8.83</v>
      </c>
      <c r="P174" s="105">
        <f>COUNTIF([4]Sheet1!$A:$A,K:K)</f>
        <v/>
      </c>
    </row>
    <row r="175">
      <c r="A175" s="2" t="n">
        <v>115</v>
      </c>
      <c r="B175" s="878" t="inlineStr">
        <is>
          <t>chanhua</t>
        </is>
      </c>
      <c r="C175" s="139" t="n">
        <v>45974</v>
      </c>
      <c r="D175" s="879" t="inlineStr">
        <is>
          <t>新加坡比特</t>
        </is>
      </c>
      <c r="E175" s="52" t="inlineStr">
        <is>
          <t>ASECL</t>
        </is>
      </c>
      <c r="F175" s="140" t="inlineStr">
        <is>
          <t>Aohai</t>
        </is>
      </c>
      <c r="G175" s="52" t="inlineStr">
        <is>
          <t>BM1370PF</t>
        </is>
      </c>
      <c r="H175" s="879">
        <f>VLOOKUP(G175,编码对账表!C:D,2,0)</f>
        <v/>
      </c>
      <c r="I175" s="161" t="n">
        <v>364800</v>
      </c>
      <c r="J175" s="866" t="inlineStr">
        <is>
          <t>DPT202511139000</t>
        </is>
      </c>
      <c r="K175" s="237" t="inlineStr">
        <is>
          <t>1403251121183926</t>
        </is>
      </c>
      <c r="L175" s="897" t="n">
        <v>8.83</v>
      </c>
      <c r="P175" s="105">
        <f>COUNTIF([4]Sheet1!$A:$A,K:K)</f>
        <v/>
      </c>
    </row>
    <row r="176" ht="15.75" customHeight="1" s="184">
      <c r="A176" s="2" t="n">
        <v>116</v>
      </c>
      <c r="B176" s="878" t="inlineStr">
        <is>
          <t>chanhua</t>
        </is>
      </c>
      <c r="C176" s="139" t="n">
        <v>45981</v>
      </c>
      <c r="D176" s="879" t="inlineStr">
        <is>
          <t>新加坡比特</t>
        </is>
      </c>
      <c r="E176" s="57" t="inlineStr">
        <is>
          <t>SPILSZ</t>
        </is>
      </c>
      <c r="F176" s="140" t="inlineStr">
        <is>
          <t>Aohai</t>
        </is>
      </c>
      <c r="G176" s="52" t="inlineStr">
        <is>
          <t>BM1370PF</t>
        </is>
      </c>
      <c r="H176" s="879">
        <f>VLOOKUP(G176,编码对账表!C:D,2,0)</f>
        <v/>
      </c>
      <c r="I176" s="162" t="n">
        <v>106400</v>
      </c>
      <c r="J176" s="866" t="inlineStr">
        <is>
          <t>DPT202511200003</t>
        </is>
      </c>
      <c r="K176" s="237" t="inlineStr">
        <is>
          <t>1403251121183913</t>
        </is>
      </c>
      <c r="L176" s="897" t="n">
        <v>8.83</v>
      </c>
      <c r="P176" s="105">
        <f>COUNTIF([4]Sheet1!$A:$A,K:K)</f>
        <v/>
      </c>
    </row>
    <row r="177" ht="15.75" customHeight="1" s="184">
      <c r="A177" s="2" t="n">
        <v>117</v>
      </c>
      <c r="B177" s="878" t="inlineStr">
        <is>
          <t>chanhua</t>
        </is>
      </c>
      <c r="C177" s="139" t="n">
        <v>45981</v>
      </c>
      <c r="D177" s="879" t="inlineStr">
        <is>
          <t>新加坡比特</t>
        </is>
      </c>
      <c r="E177" s="57" t="inlineStr">
        <is>
          <t>SPILSZ</t>
        </is>
      </c>
      <c r="F177" s="140" t="inlineStr">
        <is>
          <t>墨西哥欧陆通</t>
        </is>
      </c>
      <c r="G177" s="52" t="inlineStr">
        <is>
          <t>BM1370PF</t>
        </is>
      </c>
      <c r="H177" s="879">
        <f>VLOOKUP(G177,编码对账表!C:D,2,0)</f>
        <v/>
      </c>
      <c r="I177" s="157" t="n">
        <v>21285</v>
      </c>
      <c r="J177" s="866" t="inlineStr">
        <is>
          <t>DPT202511200004</t>
        </is>
      </c>
      <c r="K177" s="237" t="inlineStr">
        <is>
          <t>1403251122140131</t>
        </is>
      </c>
      <c r="L177" s="897" t="n">
        <v>8.83</v>
      </c>
      <c r="P177" s="105">
        <f>COUNTIF([4]Sheet1!$A:$A,K:K)</f>
        <v/>
      </c>
    </row>
    <row r="178" ht="15.75" customHeight="1" s="184">
      <c r="A178" s="2" t="n">
        <v>118</v>
      </c>
      <c r="B178" s="878" t="inlineStr">
        <is>
          <t>chanhua</t>
        </is>
      </c>
      <c r="C178" s="139" t="n">
        <v>45981</v>
      </c>
      <c r="D178" s="879" t="inlineStr">
        <is>
          <t>新加坡比特</t>
        </is>
      </c>
      <c r="E178" s="57" t="inlineStr">
        <is>
          <t>SPILSZ</t>
        </is>
      </c>
      <c r="F178" s="140" t="inlineStr">
        <is>
          <t>Nationgate</t>
        </is>
      </c>
      <c r="G178" s="52" t="inlineStr">
        <is>
          <t>BM1370PF</t>
        </is>
      </c>
      <c r="H178" s="879">
        <f>VLOOKUP(G178,编码对账表!C:D,2,0)</f>
        <v/>
      </c>
      <c r="I178" s="157" t="n">
        <v>7610</v>
      </c>
      <c r="J178" s="866" t="inlineStr">
        <is>
          <t>DPT202511200005</t>
        </is>
      </c>
      <c r="K178" s="237" t="inlineStr">
        <is>
          <t>1403251122154925</t>
        </is>
      </c>
      <c r="L178" s="897" t="n">
        <v>8.83</v>
      </c>
      <c r="P178" s="105">
        <f>COUNTIF([4]Sheet1!$A:$A,K:K)</f>
        <v/>
      </c>
    </row>
    <row r="179">
      <c r="A179" s="2" t="n">
        <v>119</v>
      </c>
      <c r="B179" s="878" t="inlineStr">
        <is>
          <t>chanhua</t>
        </is>
      </c>
      <c r="C179" s="139" t="n">
        <v>45981</v>
      </c>
      <c r="D179" s="879" t="inlineStr">
        <is>
          <t>新加坡比特</t>
        </is>
      </c>
      <c r="E179" s="52" t="inlineStr">
        <is>
          <t>ASECL</t>
        </is>
      </c>
      <c r="F179" s="140" t="inlineStr">
        <is>
          <t>泰国Onetec（THOT）</t>
        </is>
      </c>
      <c r="G179" s="52" t="inlineStr">
        <is>
          <t>BM1370PF</t>
        </is>
      </c>
      <c r="H179" s="879">
        <f>VLOOKUP(G179,编码对账表!C:D,2,0)</f>
        <v/>
      </c>
      <c r="I179" s="157" t="n">
        <v>26600</v>
      </c>
      <c r="J179" s="866" t="inlineStr">
        <is>
          <t>DPT202511200006</t>
        </is>
      </c>
      <c r="K179" s="237" t="inlineStr">
        <is>
          <t>1403251122154932</t>
        </is>
      </c>
      <c r="L179" s="897" t="n">
        <v>8.83</v>
      </c>
      <c r="P179" s="105">
        <f>COUNTIF([4]Sheet1!$A:$A,K:K)</f>
        <v/>
      </c>
    </row>
    <row r="180">
      <c r="A180" s="2" t="n">
        <v>120</v>
      </c>
      <c r="B180" s="878" t="inlineStr">
        <is>
          <t>chanhua</t>
        </is>
      </c>
      <c r="C180" s="139" t="n">
        <v>45985</v>
      </c>
      <c r="D180" s="892" t="inlineStr">
        <is>
          <t>美国比特</t>
        </is>
      </c>
      <c r="E180" s="52" t="inlineStr">
        <is>
          <t>ASECL</t>
        </is>
      </c>
      <c r="F180" s="140" t="inlineStr">
        <is>
          <t>BTDLAZZYCL</t>
        </is>
      </c>
      <c r="G180" s="52" t="inlineStr">
        <is>
          <t>BM1370PF</t>
        </is>
      </c>
      <c r="H180" s="879">
        <f>VLOOKUP(G180,编码对账表!C:D,2,0)</f>
        <v/>
      </c>
      <c r="I180" s="161" t="n">
        <v>482600</v>
      </c>
      <c r="J180" s="866" t="inlineStr">
        <is>
          <t>BTD202511240001</t>
        </is>
      </c>
      <c r="K180" s="237" t="inlineStr">
        <is>
          <t>1155251124141102</t>
        </is>
      </c>
      <c r="L180" s="898" t="n">
        <v>13.61</v>
      </c>
      <c r="P180" s="105">
        <f>COUNTIF([4]Sheet1!$A:$A,K:K)</f>
        <v/>
      </c>
    </row>
    <row r="181">
      <c r="A181" s="2" t="n">
        <v>121</v>
      </c>
      <c r="B181" s="878" t="inlineStr">
        <is>
          <t>chanhua</t>
        </is>
      </c>
      <c r="C181" s="139" t="n">
        <v>45988</v>
      </c>
      <c r="D181" s="879" t="inlineStr">
        <is>
          <t>新加坡比特</t>
        </is>
      </c>
      <c r="E181" s="52" t="inlineStr">
        <is>
          <t>ASECL</t>
        </is>
      </c>
      <c r="F181" s="866" t="inlineStr">
        <is>
          <t>SZQH转PIE</t>
        </is>
      </c>
      <c r="G181" s="52" t="inlineStr">
        <is>
          <t>BM1370PF</t>
        </is>
      </c>
      <c r="H181" s="879">
        <f>VLOOKUP(G181,编码对账表!C:D,2,0)</f>
        <v/>
      </c>
      <c r="I181" s="147" t="n">
        <v>106400</v>
      </c>
      <c r="J181" s="866" t="inlineStr">
        <is>
          <t>DPT202511271000</t>
        </is>
      </c>
      <c r="K181" s="237" t="inlineStr">
        <is>
          <t>1403251127114008</t>
        </is>
      </c>
      <c r="L181" s="899" t="n">
        <v>8.8315</v>
      </c>
      <c r="P181" s="105">
        <f>COUNTIF([4]Sheet1!$A:$A,K:K)</f>
        <v/>
      </c>
    </row>
    <row r="182">
      <c r="A182" s="2" t="n">
        <v>122</v>
      </c>
      <c r="B182" s="878" t="inlineStr">
        <is>
          <t>chanhua</t>
        </is>
      </c>
      <c r="C182" s="139" t="n">
        <v>45989</v>
      </c>
      <c r="D182" s="879" t="inlineStr">
        <is>
          <t>新加坡比特</t>
        </is>
      </c>
      <c r="E182" s="866" t="inlineStr">
        <is>
          <t>NJVT</t>
        </is>
      </c>
      <c r="F182" s="140" t="inlineStr">
        <is>
          <t>墨西哥欧陆通</t>
        </is>
      </c>
      <c r="G182" s="52" t="inlineStr">
        <is>
          <t>BM1370PF</t>
        </is>
      </c>
      <c r="H182" s="879">
        <f>VLOOKUP(G182,编码对账表!C:D,2,0)</f>
        <v/>
      </c>
      <c r="I182" s="147" t="n">
        <v>266996</v>
      </c>
      <c r="J182" s="866" t="inlineStr">
        <is>
          <t>DPT202511281000</t>
        </is>
      </c>
      <c r="K182" s="237" t="inlineStr">
        <is>
          <t>1403251128144409</t>
        </is>
      </c>
      <c r="L182" s="899" t="n">
        <v>8.8315</v>
      </c>
      <c r="P182" s="105">
        <f>COUNTIF([4]Sheet1!$A:$A,K:K)</f>
        <v/>
      </c>
    </row>
    <row r="183">
      <c r="A183" s="2" t="n">
        <v>123</v>
      </c>
      <c r="B183" s="878" t="inlineStr">
        <is>
          <t>chanhua</t>
        </is>
      </c>
      <c r="C183" s="139" t="n">
        <v>45989</v>
      </c>
      <c r="D183" s="879" t="inlineStr">
        <is>
          <t>新加坡比特</t>
        </is>
      </c>
      <c r="E183" s="52" t="inlineStr">
        <is>
          <t>ASECL</t>
        </is>
      </c>
      <c r="F183" s="140" t="inlineStr">
        <is>
          <t>墨西哥欧陆通</t>
        </is>
      </c>
      <c r="G183" s="52" t="inlineStr">
        <is>
          <t>BM1370PF</t>
        </is>
      </c>
      <c r="H183" s="879">
        <f>VLOOKUP(G183,编码对账表!C:D,2,0)</f>
        <v/>
      </c>
      <c r="I183" s="157" t="n">
        <v>205200</v>
      </c>
      <c r="J183" s="866" t="inlineStr">
        <is>
          <t>DPT202511282000</t>
        </is>
      </c>
      <c r="K183" s="237" t="inlineStr">
        <is>
          <t>1403251128144416</t>
        </is>
      </c>
      <c r="L183" s="899" t="n">
        <v>8.8315</v>
      </c>
      <c r="P183" s="105">
        <f>COUNTIF([4]Sheet1!$A:$A,K:K)</f>
        <v/>
      </c>
    </row>
    <row r="184">
      <c r="A184" s="2" t="n">
        <v>124</v>
      </c>
      <c r="B184" s="878" t="inlineStr">
        <is>
          <t>chanhua</t>
        </is>
      </c>
      <c r="C184" s="139" t="n">
        <v>45987</v>
      </c>
      <c r="D184" s="879" t="inlineStr">
        <is>
          <t>新加坡比特</t>
        </is>
      </c>
      <c r="E184" s="52" t="inlineStr">
        <is>
          <t>ASECL</t>
        </is>
      </c>
      <c r="F184" s="140" t="inlineStr">
        <is>
          <t>Aohai</t>
        </is>
      </c>
      <c r="G184" s="52" t="inlineStr">
        <is>
          <t>BM1370PF</t>
        </is>
      </c>
      <c r="H184" s="879">
        <f>VLOOKUP(G184,编码对账表!C:D,2,0)</f>
        <v/>
      </c>
      <c r="I184" s="157" t="n">
        <v>53200</v>
      </c>
      <c r="J184" s="866" t="inlineStr">
        <is>
          <t>DPT202511261000</t>
        </is>
      </c>
      <c r="K184" s="237" t="inlineStr">
        <is>
          <t>1403251202174836</t>
        </is>
      </c>
      <c r="L184" s="899" t="n">
        <v>8.8315</v>
      </c>
      <c r="P184" s="105">
        <f>COUNTIF([4]Sheet1!$A:$A,K:K)</f>
        <v/>
      </c>
    </row>
    <row r="185" ht="15.75" customHeight="1" s="184">
      <c r="A185" s="2" t="n">
        <v>125</v>
      </c>
      <c r="B185" s="878" t="inlineStr">
        <is>
          <t>chanhua</t>
        </is>
      </c>
      <c r="C185" s="139" t="n">
        <v>45987</v>
      </c>
      <c r="D185" s="879" t="inlineStr">
        <is>
          <t>新加坡比特</t>
        </is>
      </c>
      <c r="E185" s="57" t="inlineStr">
        <is>
          <t>SPILSZ</t>
        </is>
      </c>
      <c r="F185" s="140" t="inlineStr">
        <is>
          <t>Aohai</t>
        </is>
      </c>
      <c r="G185" s="52" t="inlineStr">
        <is>
          <t>BM1370PF</t>
        </is>
      </c>
      <c r="H185" s="879">
        <f>VLOOKUP(G185,编码对账表!C:D,2,0)</f>
        <v/>
      </c>
      <c r="I185" s="157" t="n">
        <v>61226</v>
      </c>
      <c r="J185" s="866" t="inlineStr">
        <is>
          <t>DPT202511260002</t>
        </is>
      </c>
      <c r="K185" s="237" t="inlineStr">
        <is>
          <t>1403251202174844</t>
        </is>
      </c>
      <c r="L185" s="899" t="n">
        <v>8.8315</v>
      </c>
      <c r="P185" s="105">
        <f>COUNTIF([4]Sheet1!$A:$A,K:K)</f>
        <v/>
      </c>
    </row>
    <row r="186">
      <c r="A186" s="2" t="n">
        <v>126</v>
      </c>
      <c r="B186" s="878" t="inlineStr">
        <is>
          <t>chanhua</t>
        </is>
      </c>
      <c r="C186" s="139" t="n">
        <v>45987</v>
      </c>
      <c r="D186" s="879" t="inlineStr">
        <is>
          <t>新加坡比特</t>
        </is>
      </c>
      <c r="E186" s="52" t="inlineStr">
        <is>
          <t>JSCC</t>
        </is>
      </c>
      <c r="F186" s="140" t="inlineStr">
        <is>
          <t>Aohai</t>
        </is>
      </c>
      <c r="G186" s="52" t="inlineStr">
        <is>
          <t>BM1370PF</t>
        </is>
      </c>
      <c r="H186" s="879">
        <f>VLOOKUP(G186,编码对账表!C:D,2,0)</f>
        <v/>
      </c>
      <c r="I186" s="157" t="n">
        <v>61933</v>
      </c>
      <c r="J186" s="866" t="inlineStr">
        <is>
          <t>DPT202511260011</t>
        </is>
      </c>
      <c r="K186" s="237" t="inlineStr">
        <is>
          <t>1403260122153211</t>
        </is>
      </c>
      <c r="L186" s="899" t="n">
        <v>8.8315</v>
      </c>
      <c r="P186" s="105">
        <f>COUNTIF([4]Sheet1!$A:$A,K:K)</f>
        <v/>
      </c>
    </row>
    <row r="187">
      <c r="A187" s="2" t="n">
        <v>127</v>
      </c>
      <c r="B187" s="878" t="inlineStr">
        <is>
          <t>chanhua</t>
        </is>
      </c>
      <c r="C187" s="139" t="n">
        <v>45987</v>
      </c>
      <c r="D187" s="879" t="inlineStr">
        <is>
          <t>新加坡比特</t>
        </is>
      </c>
      <c r="E187" s="52" t="inlineStr">
        <is>
          <t>ASECL</t>
        </is>
      </c>
      <c r="F187" s="140" t="inlineStr">
        <is>
          <t>泰国群光</t>
        </is>
      </c>
      <c r="G187" s="52" t="inlineStr">
        <is>
          <t>BM1370PF</t>
        </is>
      </c>
      <c r="H187" s="879">
        <f>VLOOKUP(G187,编码对账表!C:D,2,0)</f>
        <v/>
      </c>
      <c r="I187" s="157" t="n">
        <v>7600</v>
      </c>
      <c r="J187" s="866" t="inlineStr">
        <is>
          <t>DPT202511260003</t>
        </is>
      </c>
      <c r="K187" s="237" t="inlineStr">
        <is>
          <t>1403251202174850</t>
        </is>
      </c>
      <c r="L187" s="899" t="n">
        <v>8.8315</v>
      </c>
      <c r="P187" s="105">
        <f>COUNTIF([4]Sheet1!$A:$A,K:K)</f>
        <v/>
      </c>
    </row>
    <row r="188" ht="14" customHeight="1" s="184">
      <c r="A188" s="2" t="n">
        <v>128</v>
      </c>
      <c r="B188" s="878" t="inlineStr">
        <is>
          <t>chanhua</t>
        </is>
      </c>
      <c r="C188" s="139" t="n">
        <v>45988</v>
      </c>
      <c r="D188" s="879" t="inlineStr">
        <is>
          <t>新加坡比特</t>
        </is>
      </c>
      <c r="E188" s="52" t="inlineStr">
        <is>
          <t>XJ</t>
        </is>
      </c>
      <c r="F188" s="140" t="inlineStr">
        <is>
          <t>Aohai</t>
        </is>
      </c>
      <c r="G188" s="52" t="inlineStr">
        <is>
          <t>BM1370PF</t>
        </is>
      </c>
      <c r="H188" s="879">
        <f>VLOOKUP(G188,编码对账表!C:D,2,0)</f>
        <v/>
      </c>
      <c r="I188" s="157" t="n">
        <v>95246</v>
      </c>
      <c r="J188" s="866" t="inlineStr">
        <is>
          <t>DPT202511270010</t>
        </is>
      </c>
      <c r="K188" s="237" t="inlineStr">
        <is>
          <t>1403251203102426</t>
        </is>
      </c>
      <c r="L188" s="899" t="n">
        <v>8.8315</v>
      </c>
      <c r="P188" s="105">
        <f>COUNTIF([4]Sheet1!$A:$A,K:K)</f>
        <v/>
      </c>
    </row>
    <row r="189">
      <c r="A189" s="2" t="n">
        <v>129</v>
      </c>
      <c r="B189" s="878" t="inlineStr">
        <is>
          <t>chanhua</t>
        </is>
      </c>
      <c r="C189" s="139" t="n">
        <v>45988</v>
      </c>
      <c r="D189" s="879" t="inlineStr">
        <is>
          <t>新加坡比特</t>
        </is>
      </c>
      <c r="E189" s="866" t="inlineStr">
        <is>
          <t>NJ-VT</t>
        </is>
      </c>
      <c r="F189" s="140" t="inlineStr">
        <is>
          <t>Aohai</t>
        </is>
      </c>
      <c r="G189" s="52" t="inlineStr">
        <is>
          <t>BM1370PF</t>
        </is>
      </c>
      <c r="H189" s="879">
        <f>VLOOKUP(G189,编码对账表!C:D,2,0)</f>
        <v/>
      </c>
      <c r="I189" s="157" t="n">
        <v>95148</v>
      </c>
      <c r="J189" s="866" t="inlineStr">
        <is>
          <t>DPT202511270011</t>
        </is>
      </c>
      <c r="K189" s="237" t="inlineStr">
        <is>
          <t>1403251203102431</t>
        </is>
      </c>
      <c r="L189" s="899" t="n">
        <v>8.8315</v>
      </c>
      <c r="P189" s="105">
        <f>COUNTIF([4]Sheet1!$A:$A,K:K)</f>
        <v/>
      </c>
    </row>
    <row r="190">
      <c r="A190" s="2" t="n">
        <v>130</v>
      </c>
      <c r="B190" s="878" t="inlineStr">
        <is>
          <t>chanhua</t>
        </is>
      </c>
      <c r="C190" s="139" t="n">
        <v>45989</v>
      </c>
      <c r="D190" s="879" t="inlineStr">
        <is>
          <t>新加坡比特</t>
        </is>
      </c>
      <c r="E190" s="52" t="inlineStr">
        <is>
          <t>XJ</t>
        </is>
      </c>
      <c r="F190" s="140" t="inlineStr">
        <is>
          <t>PIE</t>
        </is>
      </c>
      <c r="G190" s="52" t="inlineStr">
        <is>
          <t>BM1370PF</t>
        </is>
      </c>
      <c r="H190" s="879">
        <f>VLOOKUP(G190,编码对账表!C:D,2,0)</f>
        <v/>
      </c>
      <c r="I190" s="157" t="n">
        <v>151748</v>
      </c>
      <c r="J190" s="866" t="inlineStr">
        <is>
          <t>DPT202511283000</t>
        </is>
      </c>
      <c r="K190" s="237" t="inlineStr">
        <is>
          <t>1403251203102441</t>
        </is>
      </c>
      <c r="L190" s="899" t="n">
        <v>8.8315</v>
      </c>
      <c r="P190" s="105">
        <f>COUNTIF([4]Sheet1!$A:$A,K:K)</f>
        <v/>
      </c>
    </row>
    <row r="191">
      <c r="A191" s="2" t="n">
        <v>131</v>
      </c>
      <c r="B191" s="878" t="inlineStr">
        <is>
          <t>chanhua</t>
        </is>
      </c>
      <c r="C191" s="139" t="n">
        <v>45995</v>
      </c>
      <c r="D191" s="892" t="inlineStr">
        <is>
          <t>美国比特</t>
        </is>
      </c>
      <c r="E191" s="52" t="inlineStr">
        <is>
          <t>ASECL</t>
        </is>
      </c>
      <c r="F191" s="140" t="inlineStr">
        <is>
          <t>BTDLAZZYCL</t>
        </is>
      </c>
      <c r="G191" s="52" t="inlineStr">
        <is>
          <t>BM1370PF</t>
        </is>
      </c>
      <c r="H191" s="879">
        <f>VLOOKUP(G191,编码对账表!C:D,2,0)</f>
        <v/>
      </c>
      <c r="I191" s="157" t="n">
        <v>486400</v>
      </c>
      <c r="J191" s="866" t="inlineStr">
        <is>
          <t>BTD202512040001</t>
        </is>
      </c>
      <c r="K191" s="237" t="inlineStr">
        <is>
          <t>1155251205105033</t>
        </is>
      </c>
      <c r="L191" s="900" t="n">
        <v>13.69</v>
      </c>
      <c r="P191" s="105">
        <f>COUNTIF([4]Sheet1!$A:$A,K:K)</f>
        <v/>
      </c>
    </row>
    <row r="192">
      <c r="A192" s="2" t="n">
        <v>132</v>
      </c>
      <c r="B192" s="878" t="inlineStr">
        <is>
          <t>chanhua</t>
        </is>
      </c>
      <c r="C192" s="139" t="n">
        <v>45996</v>
      </c>
      <c r="D192" s="879" t="inlineStr">
        <is>
          <t>新加坡比特</t>
        </is>
      </c>
      <c r="E192" s="52" t="inlineStr">
        <is>
          <t>ASECL</t>
        </is>
      </c>
      <c r="F192" s="140" t="inlineStr">
        <is>
          <t>MOLT</t>
        </is>
      </c>
      <c r="G192" s="52" t="inlineStr">
        <is>
          <t>BM1370PF</t>
        </is>
      </c>
      <c r="H192" s="879">
        <f>VLOOKUP(G192,编码对账表!C:D,2,0)</f>
        <v/>
      </c>
      <c r="I192" s="157" t="n">
        <v>1314800</v>
      </c>
      <c r="J192" s="866" t="inlineStr">
        <is>
          <t>DPT202512100001</t>
        </is>
      </c>
      <c r="K192" s="237" t="inlineStr">
        <is>
          <t>1403251210110514</t>
        </is>
      </c>
      <c r="L192" s="899" t="n">
        <v>8.8315</v>
      </c>
      <c r="P192" s="105">
        <f>COUNTIF([4]Sheet1!$A:$A,K:K)</f>
        <v/>
      </c>
    </row>
    <row r="193">
      <c r="A193" s="2" t="n">
        <v>133</v>
      </c>
      <c r="B193" s="878" t="inlineStr">
        <is>
          <t>chanhua</t>
        </is>
      </c>
      <c r="C193" s="139" t="n">
        <v>45995</v>
      </c>
      <c r="D193" s="879" t="inlineStr">
        <is>
          <t>新加坡比特</t>
        </is>
      </c>
      <c r="E193" s="52" t="inlineStr">
        <is>
          <t>ASECL</t>
        </is>
      </c>
      <c r="F193" s="140" t="inlineStr">
        <is>
          <t>泰国群光</t>
        </is>
      </c>
      <c r="G193" s="52" t="inlineStr">
        <is>
          <t>BM1370PF</t>
        </is>
      </c>
      <c r="H193" s="879">
        <f>VLOOKUP(G193,编码对账表!C:D,2,0)</f>
        <v/>
      </c>
      <c r="I193" s="157" t="n">
        <v>7600</v>
      </c>
      <c r="J193" s="866" t="inlineStr">
        <is>
          <t>DPT202512100002</t>
        </is>
      </c>
      <c r="K193" s="237" t="inlineStr">
        <is>
          <t>1403251210110519</t>
        </is>
      </c>
      <c r="L193" s="899" t="n">
        <v>8.8315</v>
      </c>
      <c r="P193" s="105">
        <f>COUNTIF([4]Sheet1!$A:$A,K:K)</f>
        <v/>
      </c>
    </row>
    <row r="194" ht="15.75" customHeight="1" s="184">
      <c r="A194" s="2" t="n">
        <v>134</v>
      </c>
      <c r="B194" s="878" t="inlineStr">
        <is>
          <t>chanhua</t>
        </is>
      </c>
      <c r="C194" s="139" t="n">
        <v>45995</v>
      </c>
      <c r="D194" s="879" t="inlineStr">
        <is>
          <t>新加坡比特</t>
        </is>
      </c>
      <c r="E194" s="57" t="inlineStr">
        <is>
          <t>SPILSZ</t>
        </is>
      </c>
      <c r="F194" s="140" t="inlineStr">
        <is>
          <t>Nationgate</t>
        </is>
      </c>
      <c r="G194" s="52" t="inlineStr">
        <is>
          <t>BM1370PF</t>
        </is>
      </c>
      <c r="H194" s="879">
        <f>VLOOKUP(G194,编码对账表!C:D,2,0)</f>
        <v/>
      </c>
      <c r="I194" s="157" t="n">
        <v>87400</v>
      </c>
      <c r="J194" s="866" t="inlineStr">
        <is>
          <t>DPT202512100003</t>
        </is>
      </c>
      <c r="K194" s="237" t="inlineStr">
        <is>
          <t>1403251210110533</t>
        </is>
      </c>
      <c r="L194" s="899" t="n">
        <v>8.8315</v>
      </c>
      <c r="P194" s="105">
        <f>COUNTIF([4]Sheet1!$A:$A,K:K)</f>
        <v/>
      </c>
    </row>
    <row r="195">
      <c r="A195" s="2" t="n">
        <v>135</v>
      </c>
      <c r="B195" s="878" t="inlineStr">
        <is>
          <t>chanhua</t>
        </is>
      </c>
      <c r="C195" s="139" t="n">
        <v>45994</v>
      </c>
      <c r="D195" s="879" t="inlineStr">
        <is>
          <t>新加坡比特</t>
        </is>
      </c>
      <c r="E195" s="52" t="inlineStr">
        <is>
          <t>XJ</t>
        </is>
      </c>
      <c r="F195" s="140" t="inlineStr">
        <is>
          <t>Nationgate</t>
        </is>
      </c>
      <c r="G195" s="52" t="inlineStr">
        <is>
          <t>BM1370PF</t>
        </is>
      </c>
      <c r="H195" s="879">
        <f>VLOOKUP(G195,编码对账表!C:D,2,0)</f>
        <v/>
      </c>
      <c r="I195" s="157" t="n">
        <v>91032</v>
      </c>
      <c r="J195" s="866" t="inlineStr">
        <is>
          <t>DPT202512100004</t>
        </is>
      </c>
      <c r="K195" s="237" t="inlineStr">
        <is>
          <t>1403251210110543</t>
        </is>
      </c>
      <c r="L195" s="899" t="n">
        <v>8.8315</v>
      </c>
      <c r="P195" s="105">
        <f>COUNTIF([4]Sheet1!$A:$A,K:K)</f>
        <v/>
      </c>
    </row>
    <row r="196">
      <c r="A196" s="2" t="n">
        <v>136</v>
      </c>
      <c r="B196" s="878" t="inlineStr">
        <is>
          <t>chanhua</t>
        </is>
      </c>
      <c r="C196" s="139" t="n">
        <v>45988</v>
      </c>
      <c r="D196" s="879" t="inlineStr">
        <is>
          <t>新加坡比特</t>
        </is>
      </c>
      <c r="E196" s="866" t="inlineStr">
        <is>
          <t>NJVT</t>
        </is>
      </c>
      <c r="F196" s="140" t="inlineStr">
        <is>
          <t>PIE</t>
        </is>
      </c>
      <c r="G196" s="52" t="inlineStr">
        <is>
          <t>BM1370PF</t>
        </is>
      </c>
      <c r="H196" s="879">
        <f>VLOOKUP(G196,编码对账表!C:D,2,0)</f>
        <v/>
      </c>
      <c r="I196" s="157" t="n">
        <v>95149</v>
      </c>
      <c r="J196" s="866" t="inlineStr">
        <is>
          <t>DPT202511270012</t>
        </is>
      </c>
      <c r="K196" s="237" t="inlineStr">
        <is>
          <t>1403251211110255</t>
        </is>
      </c>
      <c r="L196" s="899" t="n">
        <v>8.8315</v>
      </c>
      <c r="P196" s="105">
        <f>COUNTIF([4]Sheet1!$A:$A,K:K)</f>
        <v/>
      </c>
    </row>
    <row r="197">
      <c r="A197" s="2" t="n">
        <v>137</v>
      </c>
      <c r="B197" s="878" t="inlineStr">
        <is>
          <t>chanhua</t>
        </is>
      </c>
      <c r="C197" s="139" t="n">
        <v>46001</v>
      </c>
      <c r="D197" s="879" t="inlineStr">
        <is>
          <t>新加坡比特</t>
        </is>
      </c>
      <c r="E197" s="52" t="inlineStr">
        <is>
          <t>XJ</t>
        </is>
      </c>
      <c r="F197" s="140" t="inlineStr">
        <is>
          <t>MOLT</t>
        </is>
      </c>
      <c r="G197" s="52" t="inlineStr">
        <is>
          <t>BM1370PF</t>
        </is>
      </c>
      <c r="H197" s="879">
        <f>VLOOKUP(G197,编码对账表!C:D,2,0)</f>
        <v/>
      </c>
      <c r="I197" s="157" t="n">
        <v>122476</v>
      </c>
      <c r="J197" s="866" t="inlineStr">
        <is>
          <t>DPT202512100005</t>
        </is>
      </c>
      <c r="K197" s="237" t="inlineStr">
        <is>
          <t>1403251212152901</t>
        </is>
      </c>
      <c r="L197" s="899" t="n">
        <v>8.8315</v>
      </c>
      <c r="P197" s="105">
        <f>COUNTIF([4]Sheet1!$A:$A,K:K)</f>
        <v/>
      </c>
    </row>
    <row r="198">
      <c r="A198" s="2" t="n">
        <v>138</v>
      </c>
      <c r="B198" s="878" t="inlineStr">
        <is>
          <t>chanhua</t>
        </is>
      </c>
      <c r="C198" s="139" t="n">
        <v>46002</v>
      </c>
      <c r="D198" s="879" t="inlineStr">
        <is>
          <t>新加坡比特</t>
        </is>
      </c>
      <c r="E198" s="52" t="inlineStr">
        <is>
          <t>ASECL</t>
        </is>
      </c>
      <c r="F198" s="140" t="inlineStr">
        <is>
          <t>MOLT</t>
        </is>
      </c>
      <c r="G198" s="52" t="inlineStr">
        <is>
          <t>BM1370PF</t>
        </is>
      </c>
      <c r="H198" s="879">
        <f>VLOOKUP(G198,编码对账表!C:D,2,0)</f>
        <v/>
      </c>
      <c r="I198" s="157" t="n">
        <v>250800</v>
      </c>
      <c r="J198" s="866" t="inlineStr">
        <is>
          <t>DPT202512111000</t>
        </is>
      </c>
      <c r="K198" s="237" t="inlineStr">
        <is>
          <t>1403251212162843</t>
        </is>
      </c>
      <c r="L198" s="899" t="n">
        <v>8.8315</v>
      </c>
      <c r="P198" s="105">
        <f>COUNTIF([4]Sheet1!$A:$A,K:K)</f>
        <v/>
      </c>
    </row>
    <row r="199">
      <c r="A199" s="2" t="n">
        <v>139</v>
      </c>
      <c r="B199" s="878" t="inlineStr">
        <is>
          <t>chanhua</t>
        </is>
      </c>
      <c r="C199" s="139" t="n">
        <v>46002</v>
      </c>
      <c r="D199" s="879" t="inlineStr">
        <is>
          <t>新加坡比特</t>
        </is>
      </c>
      <c r="E199" s="52" t="inlineStr">
        <is>
          <t>ASECL</t>
        </is>
      </c>
      <c r="F199" s="140" t="inlineStr">
        <is>
          <t>Aohai</t>
        </is>
      </c>
      <c r="G199" s="52" t="inlineStr">
        <is>
          <t>BM1370PF</t>
        </is>
      </c>
      <c r="H199" s="879">
        <f>VLOOKUP(G199,编码对账表!C:D,2,0)</f>
        <v/>
      </c>
      <c r="I199" s="157" t="n">
        <v>72200</v>
      </c>
      <c r="J199" s="866" t="inlineStr">
        <is>
          <t>DPT202512113000</t>
        </is>
      </c>
      <c r="K199" s="237" t="inlineStr">
        <is>
          <t>1403251212164610</t>
        </is>
      </c>
      <c r="L199" s="899" t="n">
        <v>8.8315</v>
      </c>
      <c r="P199" s="105">
        <f>COUNTIF([4]Sheet1!$A:$A,K:K)</f>
        <v/>
      </c>
    </row>
    <row r="200">
      <c r="A200" s="2" t="n">
        <v>140</v>
      </c>
      <c r="B200" s="878" t="inlineStr">
        <is>
          <t>chanhua</t>
        </is>
      </c>
      <c r="C200" s="139" t="n">
        <v>46002</v>
      </c>
      <c r="D200" s="879" t="inlineStr">
        <is>
          <t>新加坡比特</t>
        </is>
      </c>
      <c r="E200" s="52" t="inlineStr">
        <is>
          <t>ASECL</t>
        </is>
      </c>
      <c r="F200" s="140" t="inlineStr">
        <is>
          <t>BTDLAZZYCL</t>
        </is>
      </c>
      <c r="G200" s="52" t="inlineStr">
        <is>
          <t>BM1370PF</t>
        </is>
      </c>
      <c r="H200" s="879">
        <f>VLOOKUP(G200,编码对账表!C:D,2,0)</f>
        <v/>
      </c>
      <c r="I200" s="157" t="n">
        <v>155800</v>
      </c>
      <c r="J200" s="866" t="inlineStr">
        <is>
          <t>BTD202512110010</t>
        </is>
      </c>
      <c r="K200" s="237" t="inlineStr">
        <is>
          <t>1155251212162909</t>
        </is>
      </c>
      <c r="L200" s="901" t="inlineStr">
        <is>
          <t xml:space="preserve"> 13.67 </t>
        </is>
      </c>
      <c r="P200" s="105">
        <f>COUNTIF([4]Sheet1!$A:$A,K:K)</f>
        <v/>
      </c>
    </row>
    <row r="201">
      <c r="A201" s="2" t="n">
        <v>141</v>
      </c>
      <c r="B201" s="878" t="inlineStr">
        <is>
          <t>chanhua</t>
        </is>
      </c>
      <c r="C201" s="139" t="n">
        <v>46002</v>
      </c>
      <c r="D201" s="879" t="inlineStr">
        <is>
          <t>新加坡比特</t>
        </is>
      </c>
      <c r="E201" s="52" t="inlineStr">
        <is>
          <t>ASECL</t>
        </is>
      </c>
      <c r="F201" s="140" t="inlineStr">
        <is>
          <t>Aohai</t>
        </is>
      </c>
      <c r="G201" s="52" t="inlineStr">
        <is>
          <t>BM1370PA</t>
        </is>
      </c>
      <c r="H201" s="879">
        <f>VLOOKUP(G201,编码对账表!C:D,2,0)</f>
        <v/>
      </c>
      <c r="I201" s="157" t="n">
        <v>57000</v>
      </c>
      <c r="J201" s="866" t="inlineStr">
        <is>
          <t>DPT202512114000</t>
        </is>
      </c>
      <c r="K201" s="237" t="inlineStr">
        <is>
          <t>1403251212164619</t>
        </is>
      </c>
      <c r="L201" s="902" t="n">
        <v>8.8315</v>
      </c>
      <c r="P201" s="105">
        <f>COUNTIF([4]Sheet1!$A:$A,K:K)</f>
        <v/>
      </c>
    </row>
    <row r="202">
      <c r="A202" s="2" t="n">
        <v>142</v>
      </c>
      <c r="B202" s="878" t="inlineStr">
        <is>
          <t>chanhua</t>
        </is>
      </c>
      <c r="C202" s="139" t="n">
        <v>46001</v>
      </c>
      <c r="D202" s="879" t="inlineStr">
        <is>
          <t>新加坡比特</t>
        </is>
      </c>
      <c r="E202" s="52" t="inlineStr">
        <is>
          <t>JSCC</t>
        </is>
      </c>
      <c r="F202" s="140" t="inlineStr">
        <is>
          <t>MOLT</t>
        </is>
      </c>
      <c r="G202" s="52" t="inlineStr">
        <is>
          <t>BM1370PF</t>
        </is>
      </c>
      <c r="H202" s="879">
        <f>VLOOKUP(G202,编码对账表!C:D,2,0)</f>
        <v/>
      </c>
      <c r="I202" s="157" t="n">
        <v>28975</v>
      </c>
      <c r="J202" s="866" t="inlineStr">
        <is>
          <t>DPT202512100055</t>
        </is>
      </c>
      <c r="K202" s="237" t="inlineStr">
        <is>
          <t>1403251215192858</t>
        </is>
      </c>
      <c r="L202" s="902" t="n">
        <v>8.8315</v>
      </c>
      <c r="P202" s="105">
        <f>COUNTIF([4]Sheet1!$A:$A,K:K)</f>
        <v/>
      </c>
    </row>
    <row r="203">
      <c r="A203" s="2" t="n">
        <v>143</v>
      </c>
      <c r="B203" s="878" t="inlineStr">
        <is>
          <t>chanhua</t>
        </is>
      </c>
      <c r="C203" s="139" t="n">
        <v>46003</v>
      </c>
      <c r="D203" s="879" t="inlineStr">
        <is>
          <t>新加坡比特</t>
        </is>
      </c>
      <c r="E203" s="52" t="inlineStr">
        <is>
          <t>WX-HN</t>
        </is>
      </c>
      <c r="F203" s="140" t="inlineStr">
        <is>
          <t>MOLT</t>
        </is>
      </c>
      <c r="G203" s="52" t="inlineStr">
        <is>
          <t>BM1370PF</t>
        </is>
      </c>
      <c r="H203" s="879">
        <f>VLOOKUP(G203,编码对账表!C:D,2,0)</f>
        <v/>
      </c>
      <c r="I203" s="157" t="n">
        <v>11433</v>
      </c>
      <c r="J203" s="866" t="inlineStr">
        <is>
          <t>DPT202512120056</t>
        </is>
      </c>
      <c r="K203" s="237" t="inlineStr">
        <is>
          <t>1403251215192913</t>
        </is>
      </c>
      <c r="L203" s="902" t="n">
        <v>8.8315</v>
      </c>
      <c r="P203" s="105">
        <f>COUNTIF([4]Sheet1!$A:$A,K:K)</f>
        <v/>
      </c>
    </row>
    <row r="204">
      <c r="A204" s="2" t="n">
        <v>144</v>
      </c>
      <c r="B204" s="878" t="inlineStr">
        <is>
          <t>chanhua</t>
        </is>
      </c>
      <c r="C204" s="139" t="n">
        <v>46001</v>
      </c>
      <c r="D204" s="879" t="inlineStr">
        <is>
          <t>新加坡比特</t>
        </is>
      </c>
      <c r="E204" s="52" t="inlineStr">
        <is>
          <t>NJVT</t>
        </is>
      </c>
      <c r="F204" s="866" t="inlineStr">
        <is>
          <t>MOLT</t>
        </is>
      </c>
      <c r="G204" s="52" t="inlineStr">
        <is>
          <t>BM1370PF</t>
        </is>
      </c>
      <c r="H204" s="879">
        <f>VLOOKUP(G204,编码对账表!C:D,2,0)</f>
        <v/>
      </c>
      <c r="I204" s="157" t="n">
        <v>16771</v>
      </c>
      <c r="J204" s="866" t="inlineStr">
        <is>
          <t>DPT202512100057</t>
        </is>
      </c>
      <c r="K204" s="237" t="inlineStr">
        <is>
          <t>1403251215192925</t>
        </is>
      </c>
      <c r="L204" s="902" t="n">
        <v>8.8315</v>
      </c>
      <c r="P204" s="105">
        <f>COUNTIF([4]Sheet1!$A:$A,K:K)</f>
        <v/>
      </c>
    </row>
    <row r="205">
      <c r="A205" s="2" t="n">
        <v>145</v>
      </c>
      <c r="B205" s="878" t="inlineStr">
        <is>
          <t>chanhua</t>
        </is>
      </c>
      <c r="C205" s="139" t="n">
        <v>45968</v>
      </c>
      <c r="D205" s="879" t="inlineStr">
        <is>
          <t>新加坡比特</t>
        </is>
      </c>
      <c r="E205" s="52" t="inlineStr">
        <is>
          <t>XJ</t>
        </is>
      </c>
      <c r="F205" s="140" t="inlineStr">
        <is>
          <t>PIE</t>
        </is>
      </c>
      <c r="G205" s="52" t="inlineStr">
        <is>
          <t>BM1370PA</t>
        </is>
      </c>
      <c r="H205" s="879">
        <f>VLOOKUP(G205,编码对账表!C:D,2,0)</f>
        <v/>
      </c>
      <c r="I205" s="157" t="n">
        <v>1459</v>
      </c>
      <c r="J205" s="237" t="inlineStr">
        <is>
          <t>DPT202511070011</t>
        </is>
      </c>
      <c r="K205" s="237" t="inlineStr">
        <is>
          <t>1403251216161850</t>
        </is>
      </c>
      <c r="L205" s="881" t="n">
        <v>10.002</v>
      </c>
      <c r="P205" s="105">
        <f>COUNTIF([4]Sheet1!$A:$A,K:K)</f>
        <v/>
      </c>
    </row>
    <row r="206">
      <c r="A206" s="2" t="n">
        <v>146</v>
      </c>
      <c r="B206" s="878" t="inlineStr">
        <is>
          <t>chanhua</t>
        </is>
      </c>
      <c r="C206" s="139" t="n">
        <v>45968</v>
      </c>
      <c r="D206" s="879" t="inlineStr">
        <is>
          <t>新加坡比特</t>
        </is>
      </c>
      <c r="E206" s="52" t="inlineStr">
        <is>
          <t>XJ</t>
        </is>
      </c>
      <c r="F206" s="140" t="inlineStr">
        <is>
          <t>PIE</t>
        </is>
      </c>
      <c r="G206" s="52" t="inlineStr">
        <is>
          <t>BM1370PF</t>
        </is>
      </c>
      <c r="H206" s="879">
        <f>VLOOKUP(G206,编码对账表!C:D,2,0)</f>
        <v/>
      </c>
      <c r="I206" s="157" t="n">
        <v>7893</v>
      </c>
      <c r="J206" s="237" t="inlineStr">
        <is>
          <t>DPT202511070012</t>
        </is>
      </c>
      <c r="K206" s="237" t="inlineStr">
        <is>
          <t>1403251216161855</t>
        </is>
      </c>
      <c r="L206" s="881" t="n">
        <v>10.002</v>
      </c>
      <c r="P206" s="105">
        <f>COUNTIF([4]Sheet1!$A:$A,K:K)</f>
        <v/>
      </c>
    </row>
    <row r="207">
      <c r="A207" s="2" t="n">
        <v>147</v>
      </c>
      <c r="B207" s="878" t="inlineStr">
        <is>
          <t>chanhua</t>
        </is>
      </c>
      <c r="C207" s="139" t="n">
        <v>45968</v>
      </c>
      <c r="D207" s="879" t="inlineStr">
        <is>
          <t>新加坡比特</t>
        </is>
      </c>
      <c r="E207" s="52" t="inlineStr">
        <is>
          <t>XJ</t>
        </is>
      </c>
      <c r="F207" s="140" t="inlineStr">
        <is>
          <t>PIE</t>
        </is>
      </c>
      <c r="G207" s="52" t="inlineStr">
        <is>
          <t>BM1370BC</t>
        </is>
      </c>
      <c r="H207" s="879">
        <f>VLOOKUP(G207,编码对账表!C:D,2,0)</f>
        <v/>
      </c>
      <c r="I207" s="157" t="n">
        <v>540</v>
      </c>
      <c r="J207" s="237" t="inlineStr">
        <is>
          <t>DPT202511070013</t>
        </is>
      </c>
      <c r="K207" s="237" t="inlineStr">
        <is>
          <t>1403251216161901</t>
        </is>
      </c>
      <c r="L207" s="881" t="n">
        <v>10.002</v>
      </c>
      <c r="P207" s="105">
        <f>COUNTIF([4]Sheet1!$A:$A,K:K)</f>
        <v/>
      </c>
    </row>
    <row r="208">
      <c r="A208" s="2" t="n">
        <v>148</v>
      </c>
      <c r="B208" s="878" t="inlineStr">
        <is>
          <t>chanhua</t>
        </is>
      </c>
      <c r="C208" s="139" t="n">
        <v>46015</v>
      </c>
      <c r="D208" s="879" t="inlineStr">
        <is>
          <t>新加坡比特</t>
        </is>
      </c>
      <c r="E208" s="52" t="inlineStr">
        <is>
          <t>ASECL</t>
        </is>
      </c>
      <c r="F208" s="140" t="inlineStr">
        <is>
          <t>Aohai</t>
        </is>
      </c>
      <c r="G208" s="52" t="inlineStr">
        <is>
          <t>BM1370PA</t>
        </is>
      </c>
      <c r="H208" s="879">
        <f>VLOOKUP(G208,编码对账表!C:D,2,0)</f>
        <v/>
      </c>
      <c r="I208" s="157" t="n">
        <v>3800</v>
      </c>
      <c r="J208" s="237" t="inlineStr">
        <is>
          <t>DPT202512240010</t>
        </is>
      </c>
      <c r="K208" s="237" t="inlineStr">
        <is>
          <t>1403251225151230</t>
        </is>
      </c>
      <c r="L208" s="902" t="n">
        <v>8.8315</v>
      </c>
      <c r="P208" s="105">
        <f>COUNTIF([4]Sheet1!$A:$A,K:K)</f>
        <v/>
      </c>
    </row>
    <row r="209">
      <c r="A209" s="2" t="n">
        <v>149</v>
      </c>
      <c r="B209" s="878" t="inlineStr">
        <is>
          <t>chanhua</t>
        </is>
      </c>
      <c r="C209" s="139" t="n">
        <v>46015</v>
      </c>
      <c r="D209" s="879" t="inlineStr">
        <is>
          <t>新加坡比特</t>
        </is>
      </c>
      <c r="E209" s="52" t="inlineStr">
        <is>
          <t>ASECL</t>
        </is>
      </c>
      <c r="F209" s="140" t="inlineStr">
        <is>
          <t>Aohai</t>
        </is>
      </c>
      <c r="G209" s="52" t="inlineStr">
        <is>
          <t>BM1370PF</t>
        </is>
      </c>
      <c r="H209" s="879">
        <f>VLOOKUP(G209,编码对账表!C:D,2,0)</f>
        <v/>
      </c>
      <c r="I209" s="157" t="n">
        <v>11400</v>
      </c>
      <c r="J209" s="237" t="inlineStr">
        <is>
          <t>DPT202512240011</t>
        </is>
      </c>
      <c r="K209" s="237" t="inlineStr">
        <is>
          <t>1403251225151237</t>
        </is>
      </c>
      <c r="L209" s="902" t="n">
        <v>8.8315</v>
      </c>
      <c r="P209" s="105">
        <f>COUNTIF([4]Sheet1!$A:$A,K:K)</f>
        <v/>
      </c>
    </row>
    <row r="210" ht="16.5" customHeight="1" s="184">
      <c r="A210" s="2" t="n">
        <v>150</v>
      </c>
      <c r="B210" s="878" t="inlineStr">
        <is>
          <t>chanhua</t>
        </is>
      </c>
      <c r="C210" s="139" t="n">
        <v>46015</v>
      </c>
      <c r="D210" s="879" t="inlineStr">
        <is>
          <t>新加坡比特</t>
        </is>
      </c>
      <c r="E210" s="52" t="inlineStr">
        <is>
          <t>ASECL</t>
        </is>
      </c>
      <c r="F210" s="140" t="inlineStr">
        <is>
          <t>BTDLAZZYCL</t>
        </is>
      </c>
      <c r="G210" s="52" t="inlineStr">
        <is>
          <t>BM1370PF</t>
        </is>
      </c>
      <c r="H210" s="879">
        <f>VLOOKUP(G210,编码对账表!C:D,2,0)</f>
        <v/>
      </c>
      <c r="I210" s="157" t="n">
        <v>144400</v>
      </c>
      <c r="J210" s="158" t="inlineStr">
        <is>
          <t>BTD202512240002</t>
        </is>
      </c>
      <c r="K210" s="237" t="inlineStr">
        <is>
          <t>1155251229171926</t>
        </is>
      </c>
      <c r="L210" s="901" t="inlineStr">
        <is>
          <t xml:space="preserve">13.67 </t>
        </is>
      </c>
      <c r="P210" s="105">
        <f>COUNTIF([4]Sheet1!$A:$A,K:K)</f>
        <v/>
      </c>
    </row>
    <row r="211" ht="16.5" customHeight="1" s="184">
      <c r="A211" s="2" t="n">
        <v>151</v>
      </c>
      <c r="B211" s="878" t="inlineStr">
        <is>
          <t>chanhua</t>
        </is>
      </c>
      <c r="C211" s="139" t="n">
        <v>46015</v>
      </c>
      <c r="D211" s="879" t="inlineStr">
        <is>
          <t>新加坡比特</t>
        </is>
      </c>
      <c r="E211" s="52" t="inlineStr">
        <is>
          <t>XJ</t>
        </is>
      </c>
      <c r="F211" s="140" t="inlineStr">
        <is>
          <t>BTDLAZZYCL</t>
        </is>
      </c>
      <c r="G211" s="52" t="inlineStr">
        <is>
          <t>BM1370PF</t>
        </is>
      </c>
      <c r="H211" s="879">
        <f>VLOOKUP(G211,编码对账表!C:D,2,0)</f>
        <v/>
      </c>
      <c r="I211" s="157" t="n">
        <v>84804</v>
      </c>
      <c r="J211" s="158" t="inlineStr">
        <is>
          <t>BTD202512240003</t>
        </is>
      </c>
      <c r="K211" s="237" t="inlineStr">
        <is>
          <t>1155251229171932</t>
        </is>
      </c>
      <c r="L211" s="901" t="inlineStr">
        <is>
          <t xml:space="preserve">13.66 </t>
        </is>
      </c>
      <c r="P211" s="105">
        <f>COUNTIF([4]Sheet1!$A:$A,K:K)</f>
        <v/>
      </c>
    </row>
    <row r="212">
      <c r="A212" s="2" t="n">
        <v>152</v>
      </c>
      <c r="B212" s="878" t="inlineStr">
        <is>
          <t>chanhua</t>
        </is>
      </c>
      <c r="C212" s="139" t="n">
        <v>46015</v>
      </c>
      <c r="D212" s="879" t="inlineStr">
        <is>
          <t>新加坡比特</t>
        </is>
      </c>
      <c r="E212" s="52" t="inlineStr">
        <is>
          <t>XJ</t>
        </is>
      </c>
      <c r="F212" s="140" t="inlineStr">
        <is>
          <t>Aohai</t>
        </is>
      </c>
      <c r="G212" s="52" t="inlineStr">
        <is>
          <t>BM1370PF</t>
        </is>
      </c>
      <c r="H212" s="879">
        <f>VLOOKUP(G212,编码对账表!C:D,2,0)</f>
        <v/>
      </c>
      <c r="I212" s="157" t="n">
        <v>30562</v>
      </c>
      <c r="J212" s="168" t="inlineStr">
        <is>
          <t>DPT202512240020</t>
        </is>
      </c>
      <c r="K212" s="168" t="inlineStr">
        <is>
          <t>1403260122153222</t>
        </is>
      </c>
      <c r="L212" s="902" t="n">
        <v>8.8315</v>
      </c>
      <c r="P212" s="105">
        <f>COUNTIF([4]Sheet1!$A:$A,K:K)</f>
        <v/>
      </c>
    </row>
    <row r="213">
      <c r="A213" s="2" t="n">
        <v>153</v>
      </c>
      <c r="B213" s="878" t="inlineStr">
        <is>
          <t>chanhua</t>
        </is>
      </c>
      <c r="C213" s="139" t="n">
        <v>46021</v>
      </c>
      <c r="D213" s="879" t="inlineStr">
        <is>
          <t>新加坡比特</t>
        </is>
      </c>
      <c r="E213" s="52" t="inlineStr">
        <is>
          <t>ASECL</t>
        </is>
      </c>
      <c r="F213" s="140" t="inlineStr">
        <is>
          <t>MOLT</t>
        </is>
      </c>
      <c r="G213" s="52" t="inlineStr">
        <is>
          <t>BM1370PF</t>
        </is>
      </c>
      <c r="H213" s="879">
        <f>VLOOKUP(G213,编码对账表!C:D,2,0)</f>
        <v/>
      </c>
      <c r="I213" s="157" t="n">
        <v>136800</v>
      </c>
      <c r="J213" s="169" t="inlineStr">
        <is>
          <t>DPT202512300001</t>
        </is>
      </c>
      <c r="K213" s="237" t="inlineStr">
        <is>
          <t>1403260104160443</t>
        </is>
      </c>
      <c r="L213" s="902" t="n">
        <v>8.8315</v>
      </c>
      <c r="P213" s="105">
        <f>COUNTIF([4]Sheet1!$A:$A,K:K)</f>
        <v/>
      </c>
    </row>
    <row r="214" ht="15.75" customHeight="1" s="184">
      <c r="A214" s="2" t="n">
        <v>154</v>
      </c>
      <c r="B214" s="878" t="inlineStr">
        <is>
          <t>chanhua</t>
        </is>
      </c>
      <c r="C214" s="139" t="n">
        <v>46021</v>
      </c>
      <c r="D214" s="879" t="inlineStr">
        <is>
          <t>新加坡比特</t>
        </is>
      </c>
      <c r="E214" s="57" t="inlineStr">
        <is>
          <t>SPILSZ</t>
        </is>
      </c>
      <c r="F214" s="140" t="inlineStr">
        <is>
          <t>MOLT</t>
        </is>
      </c>
      <c r="G214" s="52" t="inlineStr">
        <is>
          <t>BM1370PF</t>
        </is>
      </c>
      <c r="H214" s="879">
        <f>VLOOKUP(G214,编码对账表!C:D,2,0)</f>
        <v/>
      </c>
      <c r="I214" s="157" t="n">
        <v>175705</v>
      </c>
      <c r="J214" s="169" t="inlineStr">
        <is>
          <t>DPT202512300010</t>
        </is>
      </c>
      <c r="K214" s="237" t="inlineStr">
        <is>
          <t>1403260104160452</t>
        </is>
      </c>
      <c r="L214" s="902" t="n">
        <v>8.8315</v>
      </c>
      <c r="P214" s="105">
        <f>COUNTIF([4]Sheet1!$A:$A,K:K)</f>
        <v/>
      </c>
    </row>
    <row r="215">
      <c r="A215" s="2" t="n">
        <v>155</v>
      </c>
      <c r="B215" s="878" t="inlineStr">
        <is>
          <t>chanhua</t>
        </is>
      </c>
      <c r="C215" s="139" t="n">
        <v>46021</v>
      </c>
      <c r="D215" s="879" t="inlineStr">
        <is>
          <t>新加坡比特</t>
        </is>
      </c>
      <c r="E215" s="52" t="inlineStr">
        <is>
          <t>XJ</t>
        </is>
      </c>
      <c r="F215" s="140" t="inlineStr">
        <is>
          <t>MOLT</t>
        </is>
      </c>
      <c r="G215" s="52" t="inlineStr">
        <is>
          <t>BM1370PF</t>
        </is>
      </c>
      <c r="H215" s="879">
        <f>VLOOKUP(G215,编码对账表!C:D,2,0)</f>
        <v/>
      </c>
      <c r="I215" s="157" t="n">
        <v>171904</v>
      </c>
      <c r="J215" s="169" t="inlineStr">
        <is>
          <t>DPT202512300011</t>
        </is>
      </c>
      <c r="K215" s="237" t="inlineStr">
        <is>
          <t>1403260104160459</t>
        </is>
      </c>
      <c r="L215" s="902" t="n">
        <v>8.8315</v>
      </c>
      <c r="P215" s="105">
        <f>COUNTIF([4]Sheet1!$A:$A,K:K)</f>
        <v/>
      </c>
    </row>
    <row r="216">
      <c r="A216" s="2" t="n">
        <v>156</v>
      </c>
      <c r="B216" s="878" t="inlineStr">
        <is>
          <t>chanhua</t>
        </is>
      </c>
      <c r="C216" s="139" t="n">
        <v>46024</v>
      </c>
      <c r="D216" s="879" t="inlineStr">
        <is>
          <t>新加坡比特</t>
        </is>
      </c>
      <c r="E216" s="52" t="inlineStr">
        <is>
          <t>ASECL</t>
        </is>
      </c>
      <c r="F216" s="140" t="inlineStr">
        <is>
          <t>MOLT</t>
        </is>
      </c>
      <c r="G216" s="52" t="inlineStr">
        <is>
          <t>BM1370PF</t>
        </is>
      </c>
      <c r="H216" s="879">
        <f>VLOOKUP(G216,编码对账表!C:D,2,0)</f>
        <v/>
      </c>
      <c r="I216" s="157" t="n">
        <v>158211</v>
      </c>
      <c r="J216" s="169" t="inlineStr">
        <is>
          <t>DPT202601020001</t>
        </is>
      </c>
      <c r="K216" s="237" t="inlineStr">
        <is>
          <t>1403260104160507</t>
        </is>
      </c>
      <c r="L216" s="902" t="n">
        <v>8.8315</v>
      </c>
      <c r="P216" s="105">
        <f>COUNTIF([4]Sheet1!$A:$A,K:K)</f>
        <v/>
      </c>
    </row>
    <row r="217" ht="16.5" customHeight="1" s="184">
      <c r="A217" s="2" t="n">
        <v>157</v>
      </c>
      <c r="B217" s="878" t="inlineStr">
        <is>
          <t>chanhua</t>
        </is>
      </c>
      <c r="C217" s="139" t="n">
        <v>46035</v>
      </c>
      <c r="D217" s="879" t="inlineStr">
        <is>
          <t>新加坡比特</t>
        </is>
      </c>
      <c r="E217" s="52" t="inlineStr">
        <is>
          <t>ASECL</t>
        </is>
      </c>
      <c r="F217" s="140" t="inlineStr">
        <is>
          <t>BTDLAZZYCL</t>
        </is>
      </c>
      <c r="G217" s="52" t="inlineStr">
        <is>
          <t>BM1370PF</t>
        </is>
      </c>
      <c r="H217" s="879">
        <f>VLOOKUP(G217,编码对账表!C:D,2,0)</f>
        <v/>
      </c>
      <c r="I217" s="157" t="n">
        <v>51518</v>
      </c>
      <c r="J217" s="158" t="inlineStr">
        <is>
          <t>BTD202601120010</t>
        </is>
      </c>
      <c r="K217" s="237" t="inlineStr">
        <is>
          <t>1155260113142728</t>
        </is>
      </c>
      <c r="L217" s="901" t="inlineStr">
        <is>
          <t xml:space="preserve">13.64 </t>
        </is>
      </c>
      <c r="P217" s="105">
        <f>COUNTIF([4]Sheet1!$A:$A,K:K)</f>
        <v/>
      </c>
    </row>
    <row r="218" ht="15.75" customHeight="1" s="184">
      <c r="A218" s="2" t="n">
        <v>158</v>
      </c>
      <c r="B218" s="878" t="inlineStr">
        <is>
          <t>chanhua</t>
        </is>
      </c>
      <c r="C218" s="139" t="n">
        <v>46035</v>
      </c>
      <c r="D218" s="879" t="inlineStr">
        <is>
          <t>新加坡比特</t>
        </is>
      </c>
      <c r="E218" s="57" t="inlineStr">
        <is>
          <t>SPILSZ</t>
        </is>
      </c>
      <c r="F218" s="140" t="inlineStr">
        <is>
          <t>MOLT</t>
        </is>
      </c>
      <c r="G218" s="52" t="inlineStr">
        <is>
          <t>BM1370PF</t>
        </is>
      </c>
      <c r="H218" s="879">
        <f>VLOOKUP(G218,编码对账表!C:D,2,0)</f>
        <v/>
      </c>
      <c r="I218" s="157" t="n">
        <v>5074</v>
      </c>
      <c r="J218" s="169" t="inlineStr">
        <is>
          <t>DPT202601140011</t>
        </is>
      </c>
      <c r="K218" s="237" t="inlineStr">
        <is>
          <t>1403260115161047</t>
        </is>
      </c>
      <c r="L218" s="902" t="n">
        <v>8.8315</v>
      </c>
      <c r="P218" s="105">
        <f>COUNTIF([4]Sheet1!$A:$A,K:K)</f>
        <v/>
      </c>
    </row>
    <row r="219">
      <c r="A219" s="2" t="n">
        <v>159</v>
      </c>
      <c r="B219" s="878" t="inlineStr">
        <is>
          <t>chanhua</t>
        </is>
      </c>
      <c r="C219" s="139" t="n">
        <v>46036</v>
      </c>
      <c r="D219" s="879" t="inlineStr">
        <is>
          <t>新加坡比特</t>
        </is>
      </c>
      <c r="E219" s="52" t="inlineStr">
        <is>
          <t>ASECL</t>
        </is>
      </c>
      <c r="F219" s="140" t="inlineStr">
        <is>
          <t>泰国群光</t>
        </is>
      </c>
      <c r="G219" s="52" t="inlineStr">
        <is>
          <t>BM1370PF</t>
        </is>
      </c>
      <c r="H219" s="879">
        <f>VLOOKUP(G219,编码对账表!C:D,2,0)</f>
        <v/>
      </c>
      <c r="I219" s="157" t="n">
        <v>96228</v>
      </c>
      <c r="J219" s="169" t="inlineStr">
        <is>
          <t>DPT202601140012</t>
        </is>
      </c>
      <c r="K219" s="237" t="inlineStr">
        <is>
          <t>1403260115161055</t>
        </is>
      </c>
      <c r="L219" s="902" t="n">
        <v>8.8315</v>
      </c>
      <c r="P219" s="105">
        <f>COUNTIF([4]Sheet1!$A:$A,K:K)</f>
        <v/>
      </c>
    </row>
    <row r="220">
      <c r="A220" s="2" t="n">
        <v>160</v>
      </c>
      <c r="B220" s="878" t="inlineStr">
        <is>
          <t>chanhua</t>
        </is>
      </c>
      <c r="C220" s="139" t="n">
        <v>46036</v>
      </c>
      <c r="D220" s="879" t="inlineStr">
        <is>
          <t>新加坡比特</t>
        </is>
      </c>
      <c r="E220" s="52" t="inlineStr">
        <is>
          <t>ASECL</t>
        </is>
      </c>
      <c r="F220" s="140" t="inlineStr">
        <is>
          <t>泰国群光</t>
        </is>
      </c>
      <c r="G220" s="52" t="inlineStr">
        <is>
          <t>BM1370PA</t>
        </is>
      </c>
      <c r="H220" s="879">
        <f>VLOOKUP(G220,编码对账表!C:D,2,0)</f>
        <v/>
      </c>
      <c r="I220" s="157" t="n">
        <v>6312</v>
      </c>
      <c r="J220" s="169" t="inlineStr">
        <is>
          <t>DPT202601140013</t>
        </is>
      </c>
      <c r="K220" s="237" t="inlineStr">
        <is>
          <t>1403260115161103</t>
        </is>
      </c>
      <c r="L220" s="902" t="n">
        <v>8.8315</v>
      </c>
      <c r="P220" s="105">
        <f>COUNTIF([4]Sheet1!$A:$A,K:K)</f>
        <v/>
      </c>
    </row>
    <row r="221">
      <c r="A221" s="2" t="n">
        <v>161</v>
      </c>
      <c r="B221" s="878" t="inlineStr">
        <is>
          <t>chanhua</t>
        </is>
      </c>
      <c r="C221" s="139" t="n">
        <v>46036</v>
      </c>
      <c r="D221" s="879" t="inlineStr">
        <is>
          <t>新加坡比特</t>
        </is>
      </c>
      <c r="E221" s="52" t="inlineStr">
        <is>
          <t>ASECL</t>
        </is>
      </c>
      <c r="F221" s="140" t="inlineStr">
        <is>
          <t>MOLT</t>
        </is>
      </c>
      <c r="G221" s="52" t="inlineStr">
        <is>
          <t>BM1370PF</t>
        </is>
      </c>
      <c r="H221" s="879">
        <f>VLOOKUP(G221,编码对账表!C:D,2,0)</f>
        <v/>
      </c>
      <c r="I221" s="157" t="n">
        <v>40264</v>
      </c>
      <c r="J221" s="169" t="inlineStr">
        <is>
          <t>DPT202601140014</t>
        </is>
      </c>
      <c r="K221" s="237" t="inlineStr">
        <is>
          <t>1403260115161109</t>
        </is>
      </c>
      <c r="L221" s="902" t="n">
        <v>8.8315</v>
      </c>
      <c r="P221" s="105">
        <f>COUNTIF([4]Sheet1!$A:$A,K:K)</f>
        <v/>
      </c>
    </row>
    <row r="222">
      <c r="A222" s="2" t="n">
        <v>162</v>
      </c>
      <c r="B222" s="878" t="inlineStr">
        <is>
          <t>chanhua</t>
        </is>
      </c>
      <c r="C222" s="139" t="n">
        <v>46038</v>
      </c>
      <c r="D222" s="879" t="inlineStr">
        <is>
          <t>新加坡比特</t>
        </is>
      </c>
      <c r="E222" s="52" t="inlineStr">
        <is>
          <t>XJ</t>
        </is>
      </c>
      <c r="F222" s="140" t="inlineStr">
        <is>
          <t>MOLT</t>
        </is>
      </c>
      <c r="G222" s="52" t="inlineStr">
        <is>
          <t>BM1370PF</t>
        </is>
      </c>
      <c r="H222" s="879">
        <f>VLOOKUP(G222,编码对账表!C:D,2,0)</f>
        <v/>
      </c>
      <c r="I222" s="157" t="n">
        <v>135221</v>
      </c>
      <c r="J222" s="169" t="inlineStr">
        <is>
          <t>DPT202601160011</t>
        </is>
      </c>
      <c r="K222" s="237" t="inlineStr">
        <is>
          <t>1403260120215058</t>
        </is>
      </c>
      <c r="L222" s="902" t="n">
        <v>8.8315</v>
      </c>
      <c r="P222" s="105">
        <f>COUNTIF([4]Sheet1!$A:$A,K:K)</f>
        <v/>
      </c>
    </row>
    <row r="223">
      <c r="A223" s="2" t="n">
        <v>163</v>
      </c>
      <c r="B223" s="878" t="inlineStr">
        <is>
          <t>chanhua</t>
        </is>
      </c>
      <c r="C223" s="139" t="n">
        <v>46038</v>
      </c>
      <c r="D223" s="879" t="inlineStr">
        <is>
          <t>新加坡比特</t>
        </is>
      </c>
      <c r="E223" s="52" t="inlineStr">
        <is>
          <t>XJ</t>
        </is>
      </c>
      <c r="F223" s="140" t="inlineStr">
        <is>
          <t>泰国群光</t>
        </is>
      </c>
      <c r="G223" s="52" t="inlineStr">
        <is>
          <t>BM1370PF</t>
        </is>
      </c>
      <c r="H223" s="879">
        <f>VLOOKUP(G223,编码对账表!C:D,2,0)</f>
        <v/>
      </c>
      <c r="I223" s="157" t="n">
        <v>60813</v>
      </c>
      <c r="J223" s="169" t="inlineStr">
        <is>
          <t>DPT202601160012</t>
        </is>
      </c>
      <c r="K223" s="237" t="inlineStr">
        <is>
          <t>1403260120215105</t>
        </is>
      </c>
      <c r="L223" s="902" t="n">
        <v>8.8315</v>
      </c>
      <c r="P223" s="105">
        <f>COUNTIF([4]Sheet1!$A:$A,K:K)</f>
        <v/>
      </c>
    </row>
    <row r="224">
      <c r="A224" s="2" t="n">
        <v>164</v>
      </c>
      <c r="B224" s="878" t="inlineStr">
        <is>
          <t>chanhua</t>
        </is>
      </c>
      <c r="C224" s="139" t="n">
        <v>46038</v>
      </c>
      <c r="D224" s="879" t="inlineStr">
        <is>
          <t>新加坡比特</t>
        </is>
      </c>
      <c r="E224" s="52" t="inlineStr">
        <is>
          <t>NJVT</t>
        </is>
      </c>
      <c r="F224" s="140" t="inlineStr">
        <is>
          <t>MOLT</t>
        </is>
      </c>
      <c r="G224" s="52" t="inlineStr">
        <is>
          <t>BM1370PF</t>
        </is>
      </c>
      <c r="H224" s="879">
        <f>VLOOKUP(G224,编码对账表!C:D,2,0)</f>
        <v/>
      </c>
      <c r="I224" s="157" t="n">
        <v>44516</v>
      </c>
      <c r="J224" s="169" t="inlineStr">
        <is>
          <t>DPT202601160013</t>
        </is>
      </c>
      <c r="K224" s="237" t="inlineStr">
        <is>
          <t>1403260120215113</t>
        </is>
      </c>
      <c r="L224" s="902" t="n">
        <v>8.8315</v>
      </c>
      <c r="P224" s="105">
        <f>COUNTIF([4]Sheet1!$A:$A,K:K)</f>
        <v/>
      </c>
    </row>
    <row r="225" ht="16.5" customHeight="1" s="184">
      <c r="A225" s="2" t="n">
        <v>165</v>
      </c>
      <c r="B225" s="878" t="inlineStr">
        <is>
          <t>chanhua</t>
        </is>
      </c>
      <c r="C225" s="139" t="n">
        <v>46038</v>
      </c>
      <c r="D225" s="879" t="inlineStr">
        <is>
          <t>新加坡比特</t>
        </is>
      </c>
      <c r="E225" s="57" t="inlineStr">
        <is>
          <t>SPILSZ</t>
        </is>
      </c>
      <c r="F225" s="140" t="inlineStr">
        <is>
          <t>BTDLAZZYCL</t>
        </is>
      </c>
      <c r="G225" s="52" t="inlineStr">
        <is>
          <t>BM1370PF</t>
        </is>
      </c>
      <c r="H225" s="879">
        <f>VLOOKUP(G225,编码对账表!C:D,2,0)</f>
        <v/>
      </c>
      <c r="I225" s="157" t="n">
        <v>142911</v>
      </c>
      <c r="J225" s="158" t="inlineStr">
        <is>
          <t>BTD202601160010</t>
        </is>
      </c>
      <c r="K225" s="237" t="inlineStr">
        <is>
          <t>1155260120214948</t>
        </is>
      </c>
      <c r="L225" s="901" t="inlineStr">
        <is>
          <t xml:space="preserve">13.68 </t>
        </is>
      </c>
      <c r="P225" s="105">
        <f>COUNTIF([4]Sheet1!$A:$A,K:K)</f>
        <v/>
      </c>
    </row>
    <row r="226">
      <c r="A226" s="2" t="n">
        <v>166</v>
      </c>
      <c r="B226" s="878" t="inlineStr">
        <is>
          <t>chanhua</t>
        </is>
      </c>
      <c r="C226" s="139" t="n">
        <v>46043</v>
      </c>
      <c r="D226" s="879" t="inlineStr">
        <is>
          <t>新加坡比特</t>
        </is>
      </c>
      <c r="E226" s="52" t="inlineStr">
        <is>
          <t>JSCC</t>
        </is>
      </c>
      <c r="F226" s="140" t="inlineStr">
        <is>
          <t>MOLT</t>
        </is>
      </c>
      <c r="G226" s="52" t="inlineStr">
        <is>
          <t>BM1370PF</t>
        </is>
      </c>
      <c r="H226" s="879">
        <f>VLOOKUP(G226,编码对账表!C:D,2,0)</f>
        <v/>
      </c>
      <c r="I226" s="157" t="n">
        <v>25361</v>
      </c>
      <c r="J226" s="169" t="inlineStr">
        <is>
          <t>DPT202601210001</t>
        </is>
      </c>
      <c r="K226" s="237" t="inlineStr">
        <is>
          <t>1403260122153232</t>
        </is>
      </c>
      <c r="L226" s="902" t="n">
        <v>8.8315</v>
      </c>
      <c r="P226" s="105">
        <f>COUNTIF([4]Sheet1!$A:$A,K:K)</f>
        <v/>
      </c>
    </row>
    <row r="227" ht="16.5" customHeight="1" s="184">
      <c r="A227" s="2" t="n">
        <v>167</v>
      </c>
      <c r="B227" s="878" t="inlineStr">
        <is>
          <t>chanhua</t>
        </is>
      </c>
      <c r="C227" s="139" t="n">
        <v>46044</v>
      </c>
      <c r="D227" s="879" t="inlineStr">
        <is>
          <t>新加坡比特</t>
        </is>
      </c>
      <c r="E227" s="52" t="inlineStr">
        <is>
          <t>ASECL</t>
        </is>
      </c>
      <c r="F227" s="140" t="inlineStr">
        <is>
          <t>BTDLAZZYCL</t>
        </is>
      </c>
      <c r="G227" s="52" t="inlineStr">
        <is>
          <t>BM1370PF</t>
        </is>
      </c>
      <c r="H227" s="879">
        <f>VLOOKUP(G227,编码对账表!C:D,2,0)</f>
        <v/>
      </c>
      <c r="I227" s="147" t="n">
        <v>243985</v>
      </c>
      <c r="J227" s="158" t="inlineStr">
        <is>
          <t>BTD202601220010</t>
        </is>
      </c>
      <c r="K227" s="237" t="inlineStr">
        <is>
          <t>1155260124211334</t>
        </is>
      </c>
      <c r="L227" s="901" t="inlineStr">
        <is>
          <t xml:space="preserve">13.68  </t>
        </is>
      </c>
      <c r="P227" s="105">
        <f>COUNTIF([4]Sheet1!$A:$A,K:K)</f>
        <v/>
      </c>
    </row>
    <row r="228">
      <c r="A228" s="2" t="n">
        <v>168</v>
      </c>
      <c r="B228" s="878" t="inlineStr">
        <is>
          <t>chanhua</t>
        </is>
      </c>
      <c r="C228" s="139" t="n">
        <v>46041</v>
      </c>
      <c r="D228" s="879" t="inlineStr">
        <is>
          <t>新加坡比特</t>
        </is>
      </c>
      <c r="E228" s="52" t="inlineStr">
        <is>
          <t>WX-HN</t>
        </is>
      </c>
      <c r="F228" s="140" t="inlineStr">
        <is>
          <t>MOLT</t>
        </is>
      </c>
      <c r="G228" s="52" t="inlineStr">
        <is>
          <t>BM1370PF</t>
        </is>
      </c>
      <c r="H228" s="879">
        <f>VLOOKUP(G228,编码对账表!C:D,2,0)</f>
        <v/>
      </c>
      <c r="I228" s="157" t="n">
        <v>8658</v>
      </c>
      <c r="J228" s="169" t="inlineStr">
        <is>
          <t>DPT202601190100</t>
        </is>
      </c>
      <c r="K228" s="237" t="inlineStr">
        <is>
          <t>1403260127161447</t>
        </is>
      </c>
      <c r="L228" s="902" t="n">
        <v>8.8315</v>
      </c>
      <c r="P228" s="105">
        <f>COUNTIF([4]Sheet1!$A:$A,K:K)</f>
        <v/>
      </c>
    </row>
    <row r="229" ht="16.5" customHeight="1" s="184">
      <c r="A229" s="2" t="n">
        <v>169</v>
      </c>
      <c r="B229" s="878" t="inlineStr">
        <is>
          <t>chanhua</t>
        </is>
      </c>
      <c r="C229" s="139" t="n">
        <v>46050</v>
      </c>
      <c r="D229" s="879" t="inlineStr">
        <is>
          <t>新加坡比特</t>
        </is>
      </c>
      <c r="E229" s="57" t="inlineStr">
        <is>
          <t>SPILSZ</t>
        </is>
      </c>
      <c r="F229" s="140" t="inlineStr">
        <is>
          <t>BTGLAZZYCL</t>
        </is>
      </c>
      <c r="G229" s="52" t="inlineStr">
        <is>
          <t>BM1370PF</t>
        </is>
      </c>
      <c r="H229" s="879">
        <f>VLOOKUP(G229,编码对账表!C:D,2,0)</f>
        <v/>
      </c>
      <c r="I229" s="157" t="n">
        <v>50132</v>
      </c>
      <c r="J229" s="158" t="inlineStr">
        <is>
          <t>BTG202601280001</t>
        </is>
      </c>
      <c r="K229" s="237" t="inlineStr">
        <is>
          <t>1155260130114651</t>
        </is>
      </c>
      <c r="L229" s="897" t="n">
        <v>13.64</v>
      </c>
      <c r="P229" s="105">
        <f>COUNTIF([4]Sheet1!$A:$A,K:K)</f>
        <v/>
      </c>
    </row>
    <row r="230" ht="16.5" customHeight="1" s="184">
      <c r="A230" s="2" t="n">
        <v>170</v>
      </c>
      <c r="B230" s="878" t="inlineStr">
        <is>
          <t>chanhua</t>
        </is>
      </c>
      <c r="C230" s="139" t="n">
        <v>46050</v>
      </c>
      <c r="D230" s="879" t="inlineStr">
        <is>
          <t>新加坡比特</t>
        </is>
      </c>
      <c r="E230" s="52" t="inlineStr">
        <is>
          <t>WX-HN</t>
        </is>
      </c>
      <c r="F230" s="140" t="inlineStr">
        <is>
          <t>BTGLAZZYCL</t>
        </is>
      </c>
      <c r="G230" s="52" t="inlineStr">
        <is>
          <t>BM1370PF</t>
        </is>
      </c>
      <c r="H230" s="879">
        <f>VLOOKUP(G230,编码对账表!C:D,2,0)</f>
        <v/>
      </c>
      <c r="I230" s="157" t="n">
        <v>76141</v>
      </c>
      <c r="J230" s="158" t="inlineStr">
        <is>
          <t>BTG202601280002</t>
        </is>
      </c>
      <c r="K230" s="237" t="inlineStr">
        <is>
          <t>1155260130114800</t>
        </is>
      </c>
      <c r="L230" s="903" t="n">
        <v>13.65</v>
      </c>
      <c r="P230" s="105">
        <f>COUNTIF([4]Sheet1!$A:$A,K:K)</f>
        <v/>
      </c>
    </row>
    <row r="231" ht="16.5" customHeight="1" s="184">
      <c r="A231" s="2" t="n">
        <v>171</v>
      </c>
      <c r="B231" s="878" t="inlineStr">
        <is>
          <t>chanhua</t>
        </is>
      </c>
      <c r="C231" s="139" t="n">
        <v>46050</v>
      </c>
      <c r="D231" s="879" t="inlineStr">
        <is>
          <t>新加坡比特</t>
        </is>
      </c>
      <c r="E231" s="52" t="inlineStr">
        <is>
          <t>XJ</t>
        </is>
      </c>
      <c r="F231" s="140" t="inlineStr">
        <is>
          <t>BTGLAZZYCL</t>
        </is>
      </c>
      <c r="G231" s="52" t="inlineStr">
        <is>
          <t>BM1370PF</t>
        </is>
      </c>
      <c r="H231" s="879">
        <f>VLOOKUP(G231,编码对账表!C:D,2,0)</f>
        <v/>
      </c>
      <c r="I231" s="157" t="n">
        <v>59941</v>
      </c>
      <c r="J231" s="158" t="inlineStr">
        <is>
          <t>BTG202601280003</t>
        </is>
      </c>
      <c r="K231" s="237" t="inlineStr">
        <is>
          <t>1155260130114808</t>
        </is>
      </c>
      <c r="L231" s="903" t="n">
        <v>13.66</v>
      </c>
      <c r="P231" s="105">
        <f>COUNTIF([4]Sheet1!$A:$A,K:K)</f>
        <v/>
      </c>
    </row>
    <row r="232" ht="16.5" customHeight="1" s="184">
      <c r="A232" s="2" t="n">
        <v>172</v>
      </c>
      <c r="B232" s="878" t="inlineStr">
        <is>
          <t>chanhua</t>
        </is>
      </c>
      <c r="C232" s="139" t="n">
        <v>46050</v>
      </c>
      <c r="D232" s="879" t="inlineStr">
        <is>
          <t>新加坡比特</t>
        </is>
      </c>
      <c r="E232" s="57" t="inlineStr">
        <is>
          <t>SPILSZ</t>
        </is>
      </c>
      <c r="F232" s="140" t="inlineStr">
        <is>
          <t>BTGLAZZYCL</t>
        </is>
      </c>
      <c r="G232" s="52" t="inlineStr">
        <is>
          <t>BM1373AA</t>
        </is>
      </c>
      <c r="H232" s="879">
        <f>VLOOKUP(G232,编码对账表!C:D,2,0)</f>
        <v/>
      </c>
      <c r="I232" s="157" t="n">
        <v>38000</v>
      </c>
      <c r="J232" s="158" t="inlineStr">
        <is>
          <t>BTG202601280004</t>
        </is>
      </c>
      <c r="K232" s="237" t="inlineStr">
        <is>
          <t>1155260130143221</t>
        </is>
      </c>
      <c r="L232" s="903" t="n">
        <v>67.14</v>
      </c>
      <c r="P232" s="105">
        <f>COUNTIF([4]Sheet1!$A:$A,K:K)</f>
        <v/>
      </c>
    </row>
    <row r="233">
      <c r="A233" s="2" t="n">
        <v>173</v>
      </c>
      <c r="B233" s="878" t="inlineStr">
        <is>
          <t>chanhua</t>
        </is>
      </c>
      <c r="C233" s="139" t="n">
        <v>46051</v>
      </c>
      <c r="D233" s="879" t="inlineStr">
        <is>
          <t>新加坡比特</t>
        </is>
      </c>
      <c r="E233" s="52" t="inlineStr">
        <is>
          <t>XJ</t>
        </is>
      </c>
      <c r="F233" s="140" t="inlineStr">
        <is>
          <t>泰国群光</t>
        </is>
      </c>
      <c r="G233" s="52" t="inlineStr">
        <is>
          <t>BM1373AA</t>
        </is>
      </c>
      <c r="H233" s="879">
        <f>VLOOKUP(G233,编码对账表!C:D,2,0)</f>
        <v/>
      </c>
      <c r="I233" s="157" t="n">
        <v>14104</v>
      </c>
      <c r="J233" s="169" t="inlineStr">
        <is>
          <t>DPT202601300100</t>
        </is>
      </c>
      <c r="K233" s="237" t="inlineStr">
        <is>
          <t>1403260202144816</t>
        </is>
      </c>
      <c r="L233" s="902" t="n">
        <v>31.8513</v>
      </c>
      <c r="P233" s="105">
        <f>COUNTIF([4]Sheet1!$A:$A,K:K)</f>
        <v/>
      </c>
    </row>
    <row r="234">
      <c r="A234" s="2" t="n">
        <v>174</v>
      </c>
      <c r="B234" s="878" t="inlineStr">
        <is>
          <t>chanhua</t>
        </is>
      </c>
      <c r="C234" s="139" t="n">
        <v>46051</v>
      </c>
      <c r="D234" s="879" t="inlineStr">
        <is>
          <t>新加坡比特</t>
        </is>
      </c>
      <c r="E234" s="52" t="inlineStr">
        <is>
          <t>XJ</t>
        </is>
      </c>
      <c r="F234" s="140" t="inlineStr">
        <is>
          <t>泰国群光</t>
        </is>
      </c>
      <c r="G234" s="52" t="inlineStr">
        <is>
          <t>BM1373CC</t>
        </is>
      </c>
      <c r="H234" s="879">
        <f>VLOOKUP(G234,编码对账表!C:D,2,0)</f>
        <v/>
      </c>
      <c r="I234" s="157" t="n">
        <v>90935</v>
      </c>
      <c r="J234" s="169" t="inlineStr">
        <is>
          <t>DPT202601300101</t>
        </is>
      </c>
      <c r="K234" s="237" t="inlineStr">
        <is>
          <t>1403260202144836</t>
        </is>
      </c>
      <c r="L234" s="902" t="n">
        <v>31.8513</v>
      </c>
      <c r="P234" s="105">
        <f>COUNTIF([4]Sheet1!$A:$A,K:K)</f>
        <v/>
      </c>
    </row>
    <row r="235">
      <c r="A235" s="2" t="n">
        <v>175</v>
      </c>
      <c r="B235" s="878" t="inlineStr">
        <is>
          <t>chanhua</t>
        </is>
      </c>
      <c r="C235" s="139" t="n">
        <v>46051</v>
      </c>
      <c r="D235" s="879" t="inlineStr">
        <is>
          <t>新加坡比特</t>
        </is>
      </c>
      <c r="E235" s="52" t="inlineStr">
        <is>
          <t>XJ</t>
        </is>
      </c>
      <c r="F235" s="140" t="inlineStr">
        <is>
          <t>泰国群光</t>
        </is>
      </c>
      <c r="G235" s="52" t="inlineStr">
        <is>
          <t>BM1491AA</t>
        </is>
      </c>
      <c r="H235" s="879">
        <f>VLOOKUP(G235,编码对账表!C:D,2,0)</f>
        <v/>
      </c>
      <c r="I235" s="157" t="n">
        <v>708110</v>
      </c>
      <c r="J235" s="169" t="inlineStr">
        <is>
          <t>DPT202601300102</t>
        </is>
      </c>
      <c r="K235" s="237" t="inlineStr">
        <is>
          <t>1403260202144848</t>
        </is>
      </c>
      <c r="L235" s="904" t="n">
        <v>12.6945</v>
      </c>
      <c r="P235" s="105">
        <f>COUNTIF([4]Sheet1!$A:$A,K:K)</f>
        <v/>
      </c>
    </row>
    <row r="236" ht="15.75" customHeight="1" s="184">
      <c r="A236" s="2" t="n">
        <v>176</v>
      </c>
      <c r="B236" s="878" t="inlineStr">
        <is>
          <t>chanhua</t>
        </is>
      </c>
      <c r="C236" s="139" t="n">
        <v>46051</v>
      </c>
      <c r="D236" s="879" t="inlineStr">
        <is>
          <t>新加坡比特</t>
        </is>
      </c>
      <c r="E236" s="57" t="inlineStr">
        <is>
          <t>SPILSZ</t>
        </is>
      </c>
      <c r="F236" s="140" t="inlineStr">
        <is>
          <t>MOLT</t>
        </is>
      </c>
      <c r="G236" s="52" t="inlineStr">
        <is>
          <t>BM1373AA</t>
        </is>
      </c>
      <c r="H236" s="879">
        <f>VLOOKUP(G236,编码对账表!C:D,2,0)</f>
        <v/>
      </c>
      <c r="I236" s="157" t="n">
        <v>34000</v>
      </c>
      <c r="J236" s="169" t="inlineStr">
        <is>
          <t>DPT202601300103</t>
        </is>
      </c>
      <c r="K236" s="237" t="inlineStr">
        <is>
          <t>1403260202144856</t>
        </is>
      </c>
      <c r="L236" s="902" t="n">
        <v>31.8513</v>
      </c>
      <c r="P236" s="105">
        <f>COUNTIF([4]Sheet1!$A:$A,K:K)</f>
        <v/>
      </c>
    </row>
    <row r="237" ht="15.75" customHeight="1" s="184">
      <c r="A237" s="2" t="n">
        <v>177</v>
      </c>
      <c r="B237" s="878" t="inlineStr">
        <is>
          <t>chanhua</t>
        </is>
      </c>
      <c r="C237" s="139" t="n">
        <v>46051</v>
      </c>
      <c r="D237" s="879" t="inlineStr">
        <is>
          <t>新加坡比特</t>
        </is>
      </c>
      <c r="E237" s="57" t="inlineStr">
        <is>
          <t>SPILSZ</t>
        </is>
      </c>
      <c r="F237" s="140" t="inlineStr">
        <is>
          <t>SZQH</t>
        </is>
      </c>
      <c r="G237" s="52" t="inlineStr">
        <is>
          <t>BM1370AA</t>
        </is>
      </c>
      <c r="H237" s="879">
        <f>VLOOKUP(G237,编码对账表!C:D,2,0)</f>
        <v/>
      </c>
      <c r="I237" s="157" t="n">
        <v>211227</v>
      </c>
      <c r="J237" s="169" t="inlineStr">
        <is>
          <t>DPT202601300104</t>
        </is>
      </c>
      <c r="K237" s="237" t="inlineStr">
        <is>
          <t>1403260202144903</t>
        </is>
      </c>
      <c r="L237" s="902" t="n">
        <v>8.8315</v>
      </c>
      <c r="P237" s="105">
        <f>COUNTIF([4]Sheet1!$A:$A,K:K)</f>
        <v/>
      </c>
    </row>
    <row r="238" ht="15.75" customHeight="1" s="184">
      <c r="A238" s="2" t="n">
        <v>178</v>
      </c>
      <c r="B238" s="878" t="inlineStr">
        <is>
          <t>chanhua</t>
        </is>
      </c>
      <c r="C238" s="139" t="n">
        <v>46051</v>
      </c>
      <c r="D238" s="879" t="inlineStr">
        <is>
          <t>新加坡比特</t>
        </is>
      </c>
      <c r="E238" s="57" t="inlineStr">
        <is>
          <t>SPILSZ</t>
        </is>
      </c>
      <c r="F238" s="140" t="inlineStr">
        <is>
          <t>SZQH</t>
        </is>
      </c>
      <c r="G238" s="52" t="inlineStr">
        <is>
          <t>BM1370PA</t>
        </is>
      </c>
      <c r="H238" s="879">
        <f>VLOOKUP(G238,编码对账表!C:D,2,0)</f>
        <v/>
      </c>
      <c r="I238" s="157" t="n">
        <v>833687</v>
      </c>
      <c r="J238" s="169" t="inlineStr">
        <is>
          <t>DPT202601300105</t>
        </is>
      </c>
      <c r="K238" s="237" t="inlineStr">
        <is>
          <t>1403260202144909</t>
        </is>
      </c>
      <c r="L238" s="902" t="n">
        <v>8.8315</v>
      </c>
      <c r="P238" s="105">
        <f>COUNTIF([4]Sheet1!$A:$A,K:K)</f>
        <v/>
      </c>
    </row>
    <row r="239" ht="15.75" customHeight="1" s="184">
      <c r="A239" s="2" t="n">
        <v>179</v>
      </c>
      <c r="B239" s="878" t="inlineStr">
        <is>
          <t>chanhua</t>
        </is>
      </c>
      <c r="C239" s="139" t="n">
        <v>46051</v>
      </c>
      <c r="D239" s="879" t="inlineStr">
        <is>
          <t>新加坡比特</t>
        </is>
      </c>
      <c r="E239" s="57" t="inlineStr">
        <is>
          <t>SPILSZ</t>
        </is>
      </c>
      <c r="F239" s="140" t="inlineStr">
        <is>
          <t>SZQH</t>
        </is>
      </c>
      <c r="G239" s="52" t="inlineStr">
        <is>
          <t>BM1370PF</t>
        </is>
      </c>
      <c r="H239" s="879">
        <f>VLOOKUP(G239,编码对账表!C:D,2,0)</f>
        <v/>
      </c>
      <c r="I239" s="157" t="n">
        <v>596600</v>
      </c>
      <c r="J239" s="169" t="inlineStr">
        <is>
          <t>DPT202601300106</t>
        </is>
      </c>
      <c r="K239" s="237" t="inlineStr">
        <is>
          <t>1403260202144916</t>
        </is>
      </c>
      <c r="L239" s="902" t="n">
        <v>8.8315</v>
      </c>
      <c r="P239" s="105">
        <f>COUNTIF([4]Sheet1!$A:$A,K:K)</f>
        <v/>
      </c>
    </row>
    <row r="240" ht="15.75" customHeight="1" s="184">
      <c r="A240" s="2" t="n">
        <v>180</v>
      </c>
      <c r="B240" s="878" t="inlineStr">
        <is>
          <t>chanhua</t>
        </is>
      </c>
      <c r="C240" s="139" t="n">
        <v>46051</v>
      </c>
      <c r="D240" s="879" t="inlineStr">
        <is>
          <t>新加坡比特</t>
        </is>
      </c>
      <c r="E240" s="57" t="inlineStr">
        <is>
          <t>SPILSZ</t>
        </is>
      </c>
      <c r="F240" s="140" t="inlineStr">
        <is>
          <t>SZQH</t>
        </is>
      </c>
      <c r="G240" s="52" t="inlineStr">
        <is>
          <t>BM1370PZ</t>
        </is>
      </c>
      <c r="H240" s="879">
        <f>VLOOKUP(G240,编码对账表!C:D,2,0)</f>
        <v/>
      </c>
      <c r="I240" s="157" t="n">
        <v>295062</v>
      </c>
      <c r="J240" s="169" t="inlineStr">
        <is>
          <t>DPT202601300107</t>
        </is>
      </c>
      <c r="K240" s="237" t="inlineStr">
        <is>
          <t>1403260202144926</t>
        </is>
      </c>
      <c r="L240" s="902" t="n">
        <v>8.8315</v>
      </c>
      <c r="P240" s="105">
        <f>COUNTIF([4]Sheet1!$A:$A,K:K)</f>
        <v/>
      </c>
    </row>
    <row r="241" ht="15.75" customHeight="1" s="184">
      <c r="A241" s="2" t="n">
        <v>181</v>
      </c>
      <c r="B241" s="878" t="inlineStr">
        <is>
          <t>chanhua</t>
        </is>
      </c>
      <c r="C241" s="139" t="n">
        <v>46036</v>
      </c>
      <c r="D241" s="879" t="inlineStr">
        <is>
          <t>新加坡比特</t>
        </is>
      </c>
      <c r="E241" s="57" t="inlineStr">
        <is>
          <t>SPILSZ</t>
        </is>
      </c>
      <c r="F241" s="140" t="inlineStr">
        <is>
          <t>泰国群光</t>
        </is>
      </c>
      <c r="G241" s="52" t="inlineStr">
        <is>
          <t>BM1370PF</t>
        </is>
      </c>
      <c r="H241" s="879">
        <f>VLOOKUP(G241,编码对账表!C:D,2,0)</f>
        <v/>
      </c>
      <c r="I241" s="157" t="n">
        <v>33570</v>
      </c>
      <c r="J241" s="169" t="inlineStr">
        <is>
          <t>DPT202601300108</t>
        </is>
      </c>
      <c r="K241" s="237" t="inlineStr">
        <is>
          <t>1403260202144931</t>
        </is>
      </c>
      <c r="L241" s="902" t="n">
        <v>8.8315</v>
      </c>
      <c r="P241" s="105">
        <f>COUNTIF([4]Sheet1!$A:$A,K:K)</f>
        <v/>
      </c>
    </row>
    <row r="242" ht="15.75" customHeight="1" s="184">
      <c r="A242" s="2" t="n">
        <v>182</v>
      </c>
      <c r="B242" s="878" t="inlineStr">
        <is>
          <t>chanhua</t>
        </is>
      </c>
      <c r="C242" s="139" t="n">
        <v>46048</v>
      </c>
      <c r="D242" s="879" t="inlineStr">
        <is>
          <t>新加坡比特</t>
        </is>
      </c>
      <c r="E242" s="57" t="inlineStr">
        <is>
          <t>SPILSZ</t>
        </is>
      </c>
      <c r="F242" s="140" t="inlineStr">
        <is>
          <t>泰国群光</t>
        </is>
      </c>
      <c r="G242" s="52" t="inlineStr">
        <is>
          <t>BM1373CC</t>
        </is>
      </c>
      <c r="H242" s="879">
        <f>VLOOKUP(G242,编码对账表!C:D,2,0)</f>
        <v/>
      </c>
      <c r="I242" s="157" t="n">
        <v>86000</v>
      </c>
      <c r="J242" s="169" t="inlineStr">
        <is>
          <t>DPT202601300109</t>
        </is>
      </c>
      <c r="K242" s="237" t="inlineStr">
        <is>
          <t>1403260202144938</t>
        </is>
      </c>
      <c r="L242" s="902" t="n">
        <v>31.8513</v>
      </c>
      <c r="P242" s="105">
        <f>COUNTIF([4]Sheet1!$A:$A,K:K)</f>
        <v/>
      </c>
    </row>
    <row r="243" ht="15.75" customHeight="1" s="184">
      <c r="A243" s="2" t="n">
        <v>183</v>
      </c>
      <c r="B243" s="878" t="inlineStr">
        <is>
          <t>chanhua</t>
        </is>
      </c>
      <c r="C243" s="139" t="n">
        <v>46050</v>
      </c>
      <c r="D243" s="879" t="inlineStr">
        <is>
          <t>新加坡比特</t>
        </is>
      </c>
      <c r="E243" s="57" t="inlineStr">
        <is>
          <t>SPILSZ</t>
        </is>
      </c>
      <c r="F243" s="140" t="inlineStr">
        <is>
          <t>泰国群光</t>
        </is>
      </c>
      <c r="G243" s="52" t="inlineStr">
        <is>
          <t>BM2384BA</t>
        </is>
      </c>
      <c r="H243" s="879">
        <f>VLOOKUP(G243,编码对账表!C:D,2,0)</f>
        <v/>
      </c>
      <c r="I243" s="157" t="n">
        <v>179443</v>
      </c>
      <c r="J243" s="169" t="inlineStr">
        <is>
          <t>DPT202601300110</t>
        </is>
      </c>
      <c r="K243" s="237" t="inlineStr">
        <is>
          <t>1403260202144945</t>
        </is>
      </c>
      <c r="L243" s="902" t="n">
        <v>7.8502</v>
      </c>
      <c r="P243" s="105">
        <f>COUNTIF([4]Sheet1!$A:$A,K:K)</f>
        <v/>
      </c>
    </row>
    <row r="244">
      <c r="A244" s="2" t="n">
        <v>184</v>
      </c>
      <c r="B244" s="878" t="inlineStr">
        <is>
          <t>chanhua</t>
        </is>
      </c>
      <c r="C244" s="139" t="n">
        <v>46050</v>
      </c>
      <c r="D244" s="879" t="inlineStr">
        <is>
          <t>新加坡比特</t>
        </is>
      </c>
      <c r="E244" s="52" t="inlineStr">
        <is>
          <t>NJVT</t>
        </is>
      </c>
      <c r="F244" s="140" t="inlineStr">
        <is>
          <t>泰国群光</t>
        </is>
      </c>
      <c r="G244" s="52" t="inlineStr">
        <is>
          <t>BM1373CC</t>
        </is>
      </c>
      <c r="H244" s="879">
        <f>VLOOKUP(G244,编码对账表!C:D,2,0)</f>
        <v/>
      </c>
      <c r="I244" s="157" t="n">
        <v>206184</v>
      </c>
      <c r="J244" s="169" t="inlineStr">
        <is>
          <t>DPT202601300111</t>
        </is>
      </c>
      <c r="K244" s="237" t="inlineStr">
        <is>
          <t>1403260202144951</t>
        </is>
      </c>
      <c r="L244" s="902" t="n">
        <v>31.8513</v>
      </c>
      <c r="P244" s="105">
        <f>COUNTIF([4]Sheet1!$A:$A,K:K)</f>
        <v/>
      </c>
    </row>
    <row r="245">
      <c r="A245" s="2" t="n">
        <v>185</v>
      </c>
      <c r="B245" s="878" t="inlineStr">
        <is>
          <t>chanhua</t>
        </is>
      </c>
      <c r="C245" s="139" t="n">
        <v>46052</v>
      </c>
      <c r="D245" s="879" t="inlineStr">
        <is>
          <t>新加坡比特</t>
        </is>
      </c>
      <c r="E245" s="52" t="inlineStr">
        <is>
          <t>ASECL</t>
        </is>
      </c>
      <c r="F245" s="140" t="inlineStr">
        <is>
          <t>MOLT</t>
        </is>
      </c>
      <c r="G245" s="52" t="inlineStr">
        <is>
          <t>BM1373AA</t>
        </is>
      </c>
      <c r="H245" s="879">
        <f>VLOOKUP(G245,编码对账表!C:D,2,0)</f>
        <v/>
      </c>
      <c r="I245" s="157" t="n">
        <v>48000</v>
      </c>
      <c r="J245" s="169" t="inlineStr">
        <is>
          <t>DPT202601300113</t>
        </is>
      </c>
      <c r="K245" s="237" t="inlineStr">
        <is>
          <t>1403260202144958</t>
        </is>
      </c>
      <c r="L245" s="902" t="n">
        <v>31.8513</v>
      </c>
      <c r="P245" s="105">
        <f>COUNTIF([4]Sheet1!$A:$A,K:K)</f>
        <v/>
      </c>
    </row>
    <row r="246">
      <c r="A246" s="2" t="n">
        <v>186</v>
      </c>
      <c r="B246" s="878" t="inlineStr">
        <is>
          <t>chanhua</t>
        </is>
      </c>
      <c r="C246" s="139" t="n">
        <v>46045</v>
      </c>
      <c r="D246" s="879" t="inlineStr">
        <is>
          <t>新加坡比特</t>
        </is>
      </c>
      <c r="E246" s="52" t="inlineStr">
        <is>
          <t>ASECL</t>
        </is>
      </c>
      <c r="F246" s="140" t="inlineStr">
        <is>
          <t>泰国群光</t>
        </is>
      </c>
      <c r="G246" s="52" t="inlineStr">
        <is>
          <t>BM1373CC</t>
        </is>
      </c>
      <c r="H246" s="879">
        <f>VLOOKUP(G246,编码对账表!C:D,2,0)</f>
        <v/>
      </c>
      <c r="I246" s="157" t="n">
        <v>117600</v>
      </c>
      <c r="J246" s="169" t="inlineStr">
        <is>
          <t>DPT202601300114</t>
        </is>
      </c>
      <c r="K246" s="237" t="inlineStr">
        <is>
          <t>1403260202145006</t>
        </is>
      </c>
      <c r="L246" s="902" t="n">
        <v>31.8513</v>
      </c>
      <c r="P246" s="105">
        <f>COUNTIF([4]Sheet1!$A:$A,K:K)</f>
        <v/>
      </c>
    </row>
    <row r="247">
      <c r="A247" s="2" t="n">
        <v>187</v>
      </c>
      <c r="B247" s="878" t="inlineStr">
        <is>
          <t>chanhua</t>
        </is>
      </c>
      <c r="C247" s="139" t="n">
        <v>46052</v>
      </c>
      <c r="D247" s="879" t="inlineStr">
        <is>
          <t>新加坡比特</t>
        </is>
      </c>
      <c r="E247" s="52" t="inlineStr">
        <is>
          <t>ASECL</t>
        </is>
      </c>
      <c r="F247" s="140" t="inlineStr">
        <is>
          <t>泰国群光</t>
        </is>
      </c>
      <c r="G247" s="52" t="inlineStr">
        <is>
          <t>BM1373AA</t>
        </is>
      </c>
      <c r="H247" s="879">
        <f>VLOOKUP(G247,编码对账表!C:D,2,0)</f>
        <v/>
      </c>
      <c r="I247" s="157" t="n">
        <v>10800</v>
      </c>
      <c r="J247" s="169" t="inlineStr">
        <is>
          <t>DPT202601300115</t>
        </is>
      </c>
      <c r="K247" s="237" t="inlineStr">
        <is>
          <t>1403260202145012</t>
        </is>
      </c>
      <c r="L247" s="902" t="n">
        <v>31.8513</v>
      </c>
      <c r="P247" s="105">
        <f>COUNTIF([4]Sheet1!$A:$A,K:K)</f>
        <v/>
      </c>
    </row>
    <row r="248" ht="16.5" customHeight="1" s="184">
      <c r="A248" s="2" t="n">
        <v>188</v>
      </c>
      <c r="B248" s="878" t="inlineStr">
        <is>
          <t>chanhua</t>
        </is>
      </c>
      <c r="C248" s="139" t="n">
        <v>46052</v>
      </c>
      <c r="D248" s="879" t="inlineStr">
        <is>
          <t>新加坡比特</t>
        </is>
      </c>
      <c r="E248" s="52" t="inlineStr">
        <is>
          <t>ASECL</t>
        </is>
      </c>
      <c r="F248" s="140" t="inlineStr">
        <is>
          <t>BTGLAZZYCL</t>
        </is>
      </c>
      <c r="G248" s="52" t="inlineStr">
        <is>
          <t>BM1370PF</t>
        </is>
      </c>
      <c r="H248" s="879">
        <f>VLOOKUP(G248,编码对账表!C:D,2,0)</f>
        <v/>
      </c>
      <c r="I248" s="157" t="n">
        <v>11110</v>
      </c>
      <c r="J248" s="158" t="inlineStr">
        <is>
          <t>BTG202601300000</t>
        </is>
      </c>
      <c r="K248" s="237" t="inlineStr">
        <is>
          <t>1155260202173237</t>
        </is>
      </c>
      <c r="L248" s="901" t="inlineStr">
        <is>
          <t xml:space="preserve">13.46 </t>
        </is>
      </c>
      <c r="P248" s="105">
        <f>COUNTIF([4]Sheet1!$A:$A,K:K)</f>
        <v/>
      </c>
    </row>
    <row r="249" ht="16.5" customHeight="1" s="184">
      <c r="A249" s="2" t="n">
        <v>189</v>
      </c>
      <c r="B249" s="878" t="inlineStr">
        <is>
          <t>chanhua</t>
        </is>
      </c>
      <c r="C249" s="139" t="n">
        <v>46052</v>
      </c>
      <c r="D249" s="879" t="inlineStr">
        <is>
          <t>新加坡比特</t>
        </is>
      </c>
      <c r="E249" s="52" t="inlineStr">
        <is>
          <t>NJVT</t>
        </is>
      </c>
      <c r="F249" s="140" t="inlineStr">
        <is>
          <t>BTGLAZZYCL</t>
        </is>
      </c>
      <c r="G249" s="52" t="inlineStr">
        <is>
          <t>BM1370PF</t>
        </is>
      </c>
      <c r="H249" s="879">
        <f>VLOOKUP(G249,编码对账表!C:D,2,0)</f>
        <v/>
      </c>
      <c r="I249" s="157" t="n">
        <v>8532</v>
      </c>
      <c r="J249" s="158" t="inlineStr">
        <is>
          <t>BTG202601300002</t>
        </is>
      </c>
      <c r="K249" s="237" t="inlineStr">
        <is>
          <t>1155260202145133</t>
        </is>
      </c>
      <c r="L249" s="901" t="inlineStr">
        <is>
          <t xml:space="preserve">13.58  </t>
        </is>
      </c>
      <c r="P249" s="105">
        <f>COUNTIF([4]Sheet1!$A:$A,K:K)</f>
        <v/>
      </c>
    </row>
    <row r="250">
      <c r="A250" s="2" t="n">
        <v>190</v>
      </c>
      <c r="B250" s="878" t="inlineStr">
        <is>
          <t>chanhua</t>
        </is>
      </c>
      <c r="C250" s="139" t="n">
        <v>46050</v>
      </c>
      <c r="D250" s="879" t="inlineStr">
        <is>
          <t>新加坡比特</t>
        </is>
      </c>
      <c r="E250" s="52" t="inlineStr">
        <is>
          <t>XJ</t>
        </is>
      </c>
      <c r="F250" s="140" t="inlineStr">
        <is>
          <t>MOLT</t>
        </is>
      </c>
      <c r="G250" s="52" t="inlineStr">
        <is>
          <t>BM1373AA</t>
        </is>
      </c>
      <c r="H250" s="879">
        <f>VLOOKUP(G250,编码对账表!C:D,2,0)</f>
        <v/>
      </c>
      <c r="I250" s="157" t="n">
        <v>47444</v>
      </c>
      <c r="J250" s="169" t="inlineStr">
        <is>
          <t>DPT202601300112</t>
        </is>
      </c>
      <c r="K250" s="237" t="inlineStr">
        <is>
          <t>1403260203102919</t>
        </is>
      </c>
      <c r="L250" s="902" t="n">
        <v>31.8513</v>
      </c>
      <c r="P250" s="105">
        <f>COUNTIF([4]Sheet1!$A:$A,K:K)</f>
        <v/>
      </c>
    </row>
    <row r="251">
      <c r="A251" s="2" t="n">
        <v>191</v>
      </c>
      <c r="B251" s="878" t="inlineStr">
        <is>
          <t>chanhua</t>
        </is>
      </c>
      <c r="C251" s="139" t="n">
        <v>46059</v>
      </c>
      <c r="D251" s="879" t="inlineStr">
        <is>
          <t>新加坡比特</t>
        </is>
      </c>
      <c r="E251" s="52" t="inlineStr">
        <is>
          <t>XJ</t>
        </is>
      </c>
      <c r="F251" s="140" t="inlineStr">
        <is>
          <t>MOLT</t>
        </is>
      </c>
      <c r="G251" s="52" t="inlineStr">
        <is>
          <t>BM1373CC</t>
        </is>
      </c>
      <c r="H251" s="879">
        <f>VLOOKUP(G251,编码对账表!C:D,2,0)</f>
        <v/>
      </c>
      <c r="I251" s="157" t="n">
        <v>33923</v>
      </c>
      <c r="J251" s="169" t="inlineStr">
        <is>
          <t>DPT202602060100</t>
        </is>
      </c>
      <c r="K251" s="237" t="inlineStr">
        <is>
          <t>1403260207170726</t>
        </is>
      </c>
      <c r="L251" s="902" t="n">
        <v>31.5619</v>
      </c>
      <c r="P251" s="105">
        <f>COUNTIF([4]Sheet1!$A:$A,K:K)</f>
        <v/>
      </c>
    </row>
    <row r="252" ht="16.5" customHeight="1" s="184">
      <c r="A252" s="2" t="n">
        <v>192</v>
      </c>
      <c r="B252" s="878" t="inlineStr">
        <is>
          <t>chanhua</t>
        </is>
      </c>
      <c r="C252" s="139" t="n">
        <v>46059</v>
      </c>
      <c r="D252" s="879" t="inlineStr">
        <is>
          <t>新加坡比特</t>
        </is>
      </c>
      <c r="E252" s="52" t="inlineStr">
        <is>
          <t>WX-HN</t>
        </is>
      </c>
      <c r="F252" s="140" t="inlineStr">
        <is>
          <t>BTGLAZZYCL</t>
        </is>
      </c>
      <c r="G252" s="52" t="inlineStr">
        <is>
          <t>BM1370PF</t>
        </is>
      </c>
      <c r="H252" s="879">
        <f>VLOOKUP(G252,编码对账表!C:D,2,0)</f>
        <v/>
      </c>
      <c r="I252" s="157" t="n">
        <v>176573</v>
      </c>
      <c r="J252" s="158" t="inlineStr">
        <is>
          <t>BTG202602060001</t>
        </is>
      </c>
      <c r="K252" s="237" t="inlineStr">
        <is>
          <t>1155260209102603</t>
        </is>
      </c>
      <c r="L252" s="897" t="n">
        <v>13.63</v>
      </c>
      <c r="P252" s="105">
        <f>COUNTIF([4]Sheet1!$A:$A,K:K)</f>
        <v/>
      </c>
    </row>
    <row r="253" ht="16.5" customHeight="1" s="184">
      <c r="A253" s="2" t="n">
        <v>193</v>
      </c>
      <c r="B253" s="878" t="inlineStr">
        <is>
          <t>chanhua</t>
        </is>
      </c>
      <c r="C253" s="139" t="n">
        <v>46059</v>
      </c>
      <c r="D253" s="879" t="inlineStr">
        <is>
          <t>新加坡比特</t>
        </is>
      </c>
      <c r="E253" s="52" t="inlineStr">
        <is>
          <t>XJ</t>
        </is>
      </c>
      <c r="F253" s="140" t="inlineStr">
        <is>
          <t>BTGLAZZYCL</t>
        </is>
      </c>
      <c r="G253" s="52" t="inlineStr">
        <is>
          <t>BM1370PF</t>
        </is>
      </c>
      <c r="H253" s="879">
        <f>VLOOKUP(G253,编码对账表!C:D,2,0)</f>
        <v/>
      </c>
      <c r="I253" s="157" t="n">
        <v>202395</v>
      </c>
      <c r="J253" s="158" t="inlineStr">
        <is>
          <t>BTG202602060002</t>
        </is>
      </c>
      <c r="K253" s="237" t="inlineStr">
        <is>
          <t>1155260209102610</t>
        </is>
      </c>
      <c r="L253" s="903" t="n">
        <v>13.64</v>
      </c>
      <c r="P253" s="105">
        <f>COUNTIF([4]Sheet1!$A:$A,K:K)</f>
        <v/>
      </c>
    </row>
    <row r="254">
      <c r="A254" s="2" t="n">
        <v>194</v>
      </c>
      <c r="B254" s="878" t="inlineStr">
        <is>
          <t>chanhua</t>
        </is>
      </c>
      <c r="C254" s="139" t="n">
        <v>46058</v>
      </c>
      <c r="D254" s="879" t="inlineStr">
        <is>
          <t>新加坡比特</t>
        </is>
      </c>
      <c r="E254" s="52" t="inlineStr">
        <is>
          <t>WX-HN</t>
        </is>
      </c>
      <c r="F254" s="140" t="inlineStr">
        <is>
          <t>泰国群光</t>
        </is>
      </c>
      <c r="G254" s="52" t="inlineStr">
        <is>
          <t>BM1370BC</t>
        </is>
      </c>
      <c r="H254" s="879">
        <f>VLOOKUP(G254,编码对账表!C:D,2,0)</f>
        <v/>
      </c>
      <c r="I254" s="157" t="n">
        <v>122849</v>
      </c>
      <c r="J254" s="169" t="inlineStr">
        <is>
          <t>DPT202602050100</t>
        </is>
      </c>
      <c r="K254" s="237" t="inlineStr">
        <is>
          <t>1403260210110150</t>
        </is>
      </c>
      <c r="L254" s="902" t="n">
        <v>8.632400000000001</v>
      </c>
      <c r="P254" s="105">
        <f>COUNTIF([4]Sheet1!$A:$A,K:K)</f>
        <v/>
      </c>
    </row>
    <row r="255">
      <c r="A255" s="2" t="n">
        <v>195</v>
      </c>
      <c r="B255" s="878" t="inlineStr">
        <is>
          <t>chanhua</t>
        </is>
      </c>
      <c r="C255" s="139" t="n">
        <v>46053</v>
      </c>
      <c r="D255" s="879" t="inlineStr">
        <is>
          <t>新加坡比特</t>
        </is>
      </c>
      <c r="E255" s="52" t="inlineStr">
        <is>
          <t>NJVT</t>
        </is>
      </c>
      <c r="F255" s="140" t="inlineStr">
        <is>
          <t>MOLT</t>
        </is>
      </c>
      <c r="G255" s="52" t="inlineStr">
        <is>
          <t>BM1373AA</t>
        </is>
      </c>
      <c r="H255" s="879">
        <f>VLOOKUP(G255,编码对账表!C:D,2,0)</f>
        <v/>
      </c>
      <c r="I255" s="157" t="n">
        <v>22815</v>
      </c>
      <c r="J255" s="169" t="inlineStr">
        <is>
          <t>DPT202601310100</t>
        </is>
      </c>
      <c r="K255" s="237" t="inlineStr">
        <is>
          <t>1403260210110425</t>
        </is>
      </c>
      <c r="L255" s="902" t="n">
        <v>31.5619</v>
      </c>
      <c r="P255" s="105">
        <f>COUNTIF([4]Sheet1!$A:$A,K:K)</f>
        <v/>
      </c>
    </row>
    <row r="256">
      <c r="A256" s="2" t="n">
        <v>196</v>
      </c>
      <c r="B256" s="878" t="inlineStr">
        <is>
          <t>chanhua</t>
        </is>
      </c>
      <c r="C256" s="139" t="n">
        <v>46057</v>
      </c>
      <c r="D256" s="879" t="inlineStr">
        <is>
          <t>新加坡比特</t>
        </is>
      </c>
      <c r="E256" s="52" t="inlineStr">
        <is>
          <t>ASECL</t>
        </is>
      </c>
      <c r="F256" s="140" t="inlineStr">
        <is>
          <t>泰国群光</t>
        </is>
      </c>
      <c r="G256" s="52" t="inlineStr">
        <is>
          <t>BM1373CC</t>
        </is>
      </c>
      <c r="H256" s="879">
        <f>VLOOKUP(G256,编码对账表!C:D,2,0)</f>
        <v/>
      </c>
      <c r="I256" s="157" t="n">
        <v>66000</v>
      </c>
      <c r="J256" s="169" t="inlineStr">
        <is>
          <t>DPT202602040100</t>
        </is>
      </c>
      <c r="K256" s="237" t="inlineStr">
        <is>
          <t>1403260210110437</t>
        </is>
      </c>
      <c r="L256" s="902" t="n">
        <v>31.5619</v>
      </c>
      <c r="P256" s="105">
        <f>COUNTIF([4]Sheet1!$A:$A,K:K)</f>
        <v/>
      </c>
    </row>
    <row r="257">
      <c r="A257" s="2" t="n">
        <v>197</v>
      </c>
      <c r="B257" s="878" t="inlineStr">
        <is>
          <t>chanhua</t>
        </is>
      </c>
      <c r="C257" s="139" t="n">
        <v>46059</v>
      </c>
      <c r="D257" s="879" t="inlineStr">
        <is>
          <t>新加坡比特</t>
        </is>
      </c>
      <c r="E257" s="52" t="inlineStr">
        <is>
          <t>ASECL</t>
        </is>
      </c>
      <c r="F257" s="140" t="inlineStr">
        <is>
          <t>MOLT</t>
        </is>
      </c>
      <c r="G257" s="52" t="inlineStr">
        <is>
          <t>BM1373CC</t>
        </is>
      </c>
      <c r="H257" s="879">
        <f>VLOOKUP(G257,编码对账表!C:D,2,0)</f>
        <v/>
      </c>
      <c r="I257" s="157" t="n">
        <v>127200</v>
      </c>
      <c r="J257" s="169" t="inlineStr">
        <is>
          <t>DPT202602060200</t>
        </is>
      </c>
      <c r="K257" s="237" t="inlineStr">
        <is>
          <t>1403260210110445</t>
        </is>
      </c>
      <c r="L257" s="902" t="n">
        <v>31.5619</v>
      </c>
      <c r="P257" s="105">
        <f>COUNTIF([4]Sheet1!$A:$A,K:K)</f>
        <v/>
      </c>
    </row>
    <row r="258" ht="15.75" customFormat="1" customHeight="1" s="866">
      <c r="A258" s="2" t="n">
        <v>198</v>
      </c>
      <c r="B258" s="878" t="inlineStr">
        <is>
          <t>chanhua</t>
        </is>
      </c>
      <c r="C258" s="139" t="n">
        <v>46059</v>
      </c>
      <c r="D258" s="879" t="inlineStr">
        <is>
          <t>新加坡比特</t>
        </is>
      </c>
      <c r="E258" s="57" t="inlineStr">
        <is>
          <t>SPILSZ</t>
        </is>
      </c>
      <c r="F258" s="140" t="inlineStr">
        <is>
          <t>泰国群光</t>
        </is>
      </c>
      <c r="G258" s="52" t="inlineStr">
        <is>
          <t>BM1373AA</t>
        </is>
      </c>
      <c r="H258" s="879">
        <f>VLOOKUP(G258,编码对账表!C:D,2,0)</f>
        <v/>
      </c>
      <c r="I258" s="157" t="n">
        <v>60000</v>
      </c>
      <c r="J258" s="169" t="inlineStr">
        <is>
          <t>DPT202602060300</t>
        </is>
      </c>
      <c r="K258" s="237" t="inlineStr">
        <is>
          <t>1403260210110452</t>
        </is>
      </c>
      <c r="L258" s="902" t="n">
        <v>31.5619</v>
      </c>
      <c r="P258" s="105">
        <f>COUNTIF([4]Sheet1!$A:$A,K:K)</f>
        <v/>
      </c>
    </row>
    <row r="259" ht="15.75" customFormat="1" customHeight="1" s="866">
      <c r="A259" s="2" t="n">
        <v>199</v>
      </c>
      <c r="B259" s="878" t="inlineStr">
        <is>
          <t>chanhua</t>
        </is>
      </c>
      <c r="C259" s="139" t="n">
        <v>46059</v>
      </c>
      <c r="D259" s="879" t="inlineStr">
        <is>
          <t>新加坡比特</t>
        </is>
      </c>
      <c r="E259" s="57" t="inlineStr">
        <is>
          <t>SPILSZ</t>
        </is>
      </c>
      <c r="F259" s="140" t="inlineStr">
        <is>
          <t>泰国群光</t>
        </is>
      </c>
      <c r="G259" s="52" t="inlineStr">
        <is>
          <t>BM1373CC</t>
        </is>
      </c>
      <c r="H259" s="879">
        <f>VLOOKUP(G259,编码对账表!C:D,2,0)</f>
        <v/>
      </c>
      <c r="I259" s="157" t="n">
        <v>34000</v>
      </c>
      <c r="J259" s="169" t="inlineStr">
        <is>
          <t>DPT202602060400</t>
        </is>
      </c>
      <c r="K259" s="237" t="inlineStr">
        <is>
          <t>1403260210110501</t>
        </is>
      </c>
      <c r="L259" s="902" t="n">
        <v>31.5619</v>
      </c>
      <c r="P259" s="105">
        <f>COUNTIF([4]Sheet1!$A:$A,K:K)</f>
        <v/>
      </c>
    </row>
    <row r="260" ht="15.75" customFormat="1" customHeight="1" s="780">
      <c r="A260" s="2" t="n">
        <v>200</v>
      </c>
      <c r="B260" s="878" t="inlineStr">
        <is>
          <t>chanhua</t>
        </is>
      </c>
      <c r="C260" s="139" t="n">
        <v>46059</v>
      </c>
      <c r="D260" s="879" t="inlineStr">
        <is>
          <t>新加坡比特</t>
        </is>
      </c>
      <c r="E260" s="57" t="inlineStr">
        <is>
          <t>SPILSZ</t>
        </is>
      </c>
      <c r="F260" s="140" t="inlineStr">
        <is>
          <t>MOLT</t>
        </is>
      </c>
      <c r="G260" s="52" t="inlineStr">
        <is>
          <t>BM1373AA</t>
        </is>
      </c>
      <c r="H260" s="879">
        <f>VLOOKUP(G260,编码对账表!C:D,2,0)</f>
        <v/>
      </c>
      <c r="I260" s="157" t="n">
        <v>52000</v>
      </c>
      <c r="J260" s="169" t="inlineStr">
        <is>
          <t>DPT202602060500</t>
        </is>
      </c>
      <c r="K260" s="237" t="inlineStr">
        <is>
          <t>1403260210110509</t>
        </is>
      </c>
      <c r="L260" s="902" t="n">
        <v>31.5619</v>
      </c>
      <c r="P260" s="105">
        <f>COUNTIF([4]Sheet1!$A:$A,K:K)</f>
        <v/>
      </c>
    </row>
    <row r="261" ht="15.75" customFormat="1" customHeight="1" s="780">
      <c r="A261" s="2" t="n">
        <v>201</v>
      </c>
      <c r="B261" s="878" t="inlineStr">
        <is>
          <t>chanhua</t>
        </is>
      </c>
      <c r="C261" s="139" t="n">
        <v>46059</v>
      </c>
      <c r="D261" s="879" t="inlineStr">
        <is>
          <t>新加坡比特</t>
        </is>
      </c>
      <c r="E261" s="57" t="inlineStr">
        <is>
          <t>SPILSZ</t>
        </is>
      </c>
      <c r="F261" s="140" t="inlineStr">
        <is>
          <t>MOLT</t>
        </is>
      </c>
      <c r="G261" s="52" t="inlineStr">
        <is>
          <t>BM1373CC</t>
        </is>
      </c>
      <c r="H261" s="879">
        <f>VLOOKUP(G261,编码对账表!C:D,2,0)</f>
        <v/>
      </c>
      <c r="I261" s="157" t="n">
        <v>288000</v>
      </c>
      <c r="J261" s="169" t="inlineStr">
        <is>
          <t>DPT202602060600</t>
        </is>
      </c>
      <c r="K261" s="237" t="inlineStr">
        <is>
          <t>1403260210110517</t>
        </is>
      </c>
      <c r="L261" s="902" t="n">
        <v>31.5619</v>
      </c>
      <c r="P261" s="105">
        <f>COUNTIF([4]Sheet1!$A:$A,K:K)</f>
        <v/>
      </c>
    </row>
    <row r="262" ht="16.5" customFormat="1" customHeight="1" s="866">
      <c r="A262" s="2" t="n">
        <v>202</v>
      </c>
      <c r="B262" s="878" t="inlineStr">
        <is>
          <t>chanhua</t>
        </is>
      </c>
      <c r="C262" s="139" t="n">
        <v>46062</v>
      </c>
      <c r="D262" s="879" t="inlineStr">
        <is>
          <t>新加坡比特</t>
        </is>
      </c>
      <c r="E262" s="57" t="inlineStr">
        <is>
          <t>SPILSZ</t>
        </is>
      </c>
      <c r="F262" s="140" t="inlineStr">
        <is>
          <t>BTGLAZZYCL</t>
        </is>
      </c>
      <c r="G262" s="52" t="inlineStr">
        <is>
          <t>BM1370PF</t>
        </is>
      </c>
      <c r="H262" s="879">
        <f>VLOOKUP(G262,编码对账表!C:D,2,0)</f>
        <v/>
      </c>
      <c r="I262" s="157" t="n">
        <v>695552</v>
      </c>
      <c r="J262" s="158" t="inlineStr">
        <is>
          <t>BTG202602090001</t>
        </is>
      </c>
      <c r="K262" s="237" t="inlineStr">
        <is>
          <t>1155260210111052</t>
        </is>
      </c>
      <c r="L262" s="903" t="n">
        <v>13.64</v>
      </c>
      <c r="P262" s="105">
        <f>COUNTIF([4]Sheet1!$A:$A,K:K)</f>
        <v/>
      </c>
    </row>
    <row r="263" ht="16.5" customHeight="1" s="184">
      <c r="A263" s="2" t="n">
        <v>203</v>
      </c>
      <c r="B263" s="878" t="inlineStr">
        <is>
          <t>chanhua</t>
        </is>
      </c>
      <c r="C263" s="139" t="n">
        <v>46062</v>
      </c>
      <c r="D263" s="879" t="inlineStr">
        <is>
          <t>新加坡比特</t>
        </is>
      </c>
      <c r="E263" s="52" t="inlineStr">
        <is>
          <t>ASECL</t>
        </is>
      </c>
      <c r="F263" s="140" t="inlineStr">
        <is>
          <t>BTGLAZZYCL</t>
        </is>
      </c>
      <c r="G263" s="52" t="inlineStr">
        <is>
          <t>BM1370PF</t>
        </is>
      </c>
      <c r="H263" s="879">
        <f>VLOOKUP(G263,编码对账表!C:D,2,0)</f>
        <v/>
      </c>
      <c r="I263" s="157" t="n">
        <v>22961</v>
      </c>
      <c r="J263" s="158" t="inlineStr">
        <is>
          <t>BTG202602090002</t>
        </is>
      </c>
      <c r="K263" s="237" t="inlineStr">
        <is>
          <t>1155260210111059</t>
        </is>
      </c>
      <c r="L263" s="897" t="n">
        <v>13.63</v>
      </c>
      <c r="P263" s="105">
        <f>COUNTIF([4]Sheet1!$A:$A,K:K)</f>
        <v/>
      </c>
    </row>
    <row r="264">
      <c r="A264" s="2" t="n">
        <v>204</v>
      </c>
      <c r="B264" s="878" t="inlineStr">
        <is>
          <t>chanhua</t>
        </is>
      </c>
      <c r="C264" s="139" t="n">
        <v>46044</v>
      </c>
      <c r="D264" s="879" t="inlineStr">
        <is>
          <t>新加坡比特</t>
        </is>
      </c>
      <c r="E264" s="52" t="inlineStr">
        <is>
          <t>XJ</t>
        </is>
      </c>
      <c r="F264" s="140" t="inlineStr">
        <is>
          <t>MOLT</t>
        </is>
      </c>
      <c r="G264" s="52" t="inlineStr">
        <is>
          <t>BM1370PF</t>
        </is>
      </c>
      <c r="H264" s="879">
        <f>VLOOKUP(G264,编码对账表!C:D,2,0)</f>
        <v/>
      </c>
      <c r="I264" s="157" t="n">
        <v>3816</v>
      </c>
      <c r="J264" s="169" t="inlineStr">
        <is>
          <t>DPT202601220100</t>
        </is>
      </c>
      <c r="K264" s="237" t="inlineStr">
        <is>
          <t>1403260213170548</t>
        </is>
      </c>
      <c r="L264" s="902" t="n">
        <v>8.8315</v>
      </c>
      <c r="P264" s="105">
        <f>COUNTIF([4]Sheet1!$A:$A,K:K)</f>
        <v/>
      </c>
    </row>
    <row r="265">
      <c r="A265" s="2" t="n">
        <v>205</v>
      </c>
      <c r="B265" s="878" t="inlineStr">
        <is>
          <t>chanhua</t>
        </is>
      </c>
      <c r="C265" s="139" t="n">
        <v>46063</v>
      </c>
      <c r="D265" s="879" t="inlineStr">
        <is>
          <t>新加坡比特</t>
        </is>
      </c>
      <c r="E265" s="52" t="inlineStr">
        <is>
          <t>XJ</t>
        </is>
      </c>
      <c r="F265" s="140" t="inlineStr">
        <is>
          <t>MOLT</t>
        </is>
      </c>
      <c r="G265" s="52" t="inlineStr">
        <is>
          <t>BM1370PF</t>
        </is>
      </c>
      <c r="H265" s="879">
        <f>VLOOKUP(G265,编码对账表!C:D,2,0)</f>
        <v/>
      </c>
      <c r="I265" s="157" t="n">
        <v>26382</v>
      </c>
      <c r="J265" s="169" t="inlineStr">
        <is>
          <t>DPT202602100100</t>
        </is>
      </c>
      <c r="K265" s="237" t="inlineStr">
        <is>
          <t>1403260213170559</t>
        </is>
      </c>
      <c r="L265" s="902" t="n">
        <v>8.632400000000001</v>
      </c>
      <c r="P265" s="105">
        <f>COUNTIF([4]Sheet1!$A:$A,K:K)</f>
        <v/>
      </c>
    </row>
    <row r="266" ht="14" customHeight="1" s="184">
      <c r="A266" s="2" t="n">
        <v>206</v>
      </c>
      <c r="B266" s="878" t="inlineStr">
        <is>
          <t>chanhua</t>
        </is>
      </c>
      <c r="C266" s="139" t="n">
        <v>46064</v>
      </c>
      <c r="D266" s="879" t="inlineStr">
        <is>
          <t>新加坡比特</t>
        </is>
      </c>
      <c r="E266" s="52" t="inlineStr">
        <is>
          <t>NJVT</t>
        </is>
      </c>
      <c r="F266" s="140" t="inlineStr">
        <is>
          <t>MOLT</t>
        </is>
      </c>
      <c r="G266" s="52" t="inlineStr">
        <is>
          <t>BM1370PF</t>
        </is>
      </c>
      <c r="H266" s="879">
        <f>VLOOKUP(G266,编码对账表!C:D,2,0)</f>
        <v/>
      </c>
      <c r="I266" s="157" t="n">
        <v>141832</v>
      </c>
      <c r="J266" s="169" t="inlineStr">
        <is>
          <t>DPT202602110100</t>
        </is>
      </c>
      <c r="K266" s="237" t="inlineStr">
        <is>
          <t>1403260213170607</t>
        </is>
      </c>
      <c r="L266" s="902" t="n">
        <v>8.632400000000001</v>
      </c>
      <c r="P266" s="105">
        <f>COUNTIF([4]Sheet1!$A:$A,K:K)</f>
        <v/>
      </c>
    </row>
    <row r="267" customFormat="1" s="905">
      <c r="A267" s="171" t="n">
        <v>207</v>
      </c>
      <c r="B267" s="906" t="inlineStr">
        <is>
          <t>chanhua</t>
        </is>
      </c>
      <c r="C267" s="173" t="n">
        <v>46062</v>
      </c>
      <c r="D267" s="907" t="inlineStr">
        <is>
          <t>新加坡比特</t>
        </is>
      </c>
      <c r="E267" s="175" t="inlineStr">
        <is>
          <t>NJVT</t>
        </is>
      </c>
      <c r="F267" s="176" t="inlineStr">
        <is>
          <t>MOLT</t>
        </is>
      </c>
      <c r="G267" s="175" t="inlineStr">
        <is>
          <t>BM1373CC</t>
        </is>
      </c>
      <c r="H267" s="907">
        <f>VLOOKUP(G267,编码对账表!C:D,2,0)</f>
        <v/>
      </c>
      <c r="I267" s="177" t="n">
        <v>305627</v>
      </c>
      <c r="J267" s="178" t="inlineStr">
        <is>
          <t>DPT202602091100</t>
        </is>
      </c>
      <c r="K267" s="179" t="inlineStr">
        <is>
          <t>1403260214153424</t>
        </is>
      </c>
      <c r="L267" s="908" t="n">
        <v>31.5619</v>
      </c>
      <c r="M267" s="866" t="n"/>
      <c r="N267" s="866" t="n"/>
      <c r="O267" s="866" t="n"/>
      <c r="P267" s="105">
        <f>COUNTIF([4]Sheet1!$A:$A,K:K)</f>
        <v/>
      </c>
      <c r="Q267" s="866" t="n"/>
      <c r="R267" s="866" t="n"/>
      <c r="S267" s="866" t="n"/>
      <c r="T267" s="866" t="n"/>
      <c r="U267" s="866" t="n"/>
      <c r="V267" s="866" t="n"/>
      <c r="W267" s="866" t="n"/>
      <c r="X267" s="866" t="n"/>
      <c r="Y267" s="866" t="n"/>
      <c r="Z267" s="866" t="n"/>
      <c r="AA267" s="866" t="n"/>
      <c r="AB267" s="866" t="n"/>
    </row>
    <row r="268" customFormat="1" s="905">
      <c r="A268" s="171" t="n">
        <v>208</v>
      </c>
      <c r="B268" s="906" t="inlineStr">
        <is>
          <t>chanhua</t>
        </is>
      </c>
      <c r="C268" s="173" t="n">
        <v>46062</v>
      </c>
      <c r="D268" s="907" t="inlineStr">
        <is>
          <t>新加坡比特</t>
        </is>
      </c>
      <c r="E268" s="175" t="inlineStr">
        <is>
          <t>NJVT</t>
        </is>
      </c>
      <c r="F268" s="176" t="inlineStr">
        <is>
          <t>泰国群光</t>
        </is>
      </c>
      <c r="G268" s="175" t="inlineStr">
        <is>
          <t>BM1370BC</t>
        </is>
      </c>
      <c r="H268" s="907">
        <f>VLOOKUP(G268,编码对账表!C:D,2,0)</f>
        <v/>
      </c>
      <c r="I268" s="177" t="n">
        <v>72080</v>
      </c>
      <c r="J268" s="178" t="inlineStr">
        <is>
          <t>DPT202602091200</t>
        </is>
      </c>
      <c r="K268" s="179" t="inlineStr">
        <is>
          <t>1403260214153435</t>
        </is>
      </c>
      <c r="L268" s="908" t="n">
        <v>8.632400000000001</v>
      </c>
      <c r="M268" s="866" t="n"/>
      <c r="N268" s="866" t="n"/>
      <c r="O268" s="866" t="n"/>
      <c r="P268" s="105">
        <f>COUNTIF([4]Sheet1!$A:$A,K:K)</f>
        <v/>
      </c>
      <c r="Q268" s="866" t="n"/>
      <c r="R268" s="866" t="n"/>
      <c r="S268" s="866" t="n"/>
      <c r="T268" s="866" t="n"/>
      <c r="U268" s="866" t="n"/>
      <c r="V268" s="866" t="n"/>
      <c r="W268" s="866" t="n"/>
      <c r="X268" s="866" t="n"/>
      <c r="Y268" s="866" t="n"/>
      <c r="Z268" s="866" t="n"/>
      <c r="AA268" s="866" t="n"/>
      <c r="AB268" s="866" t="n"/>
    </row>
    <row r="269" customFormat="1" s="905">
      <c r="A269" s="171" t="n">
        <v>209</v>
      </c>
      <c r="B269" s="906" t="inlineStr">
        <is>
          <t>chanhua</t>
        </is>
      </c>
      <c r="C269" s="173" t="n">
        <v>46062</v>
      </c>
      <c r="D269" s="907" t="inlineStr">
        <is>
          <t>新加坡比特</t>
        </is>
      </c>
      <c r="E269" s="175" t="inlineStr">
        <is>
          <t>NJVT</t>
        </is>
      </c>
      <c r="F269" s="176" t="inlineStr">
        <is>
          <t>泰国群光</t>
        </is>
      </c>
      <c r="G269" s="175" t="inlineStr">
        <is>
          <t>BM1373CC</t>
        </is>
      </c>
      <c r="H269" s="907">
        <f>VLOOKUP(G269,编码对账表!C:D,2,0)</f>
        <v/>
      </c>
      <c r="I269" s="177" t="n">
        <v>83474</v>
      </c>
      <c r="J269" s="178" t="inlineStr">
        <is>
          <t>DPT202602091300</t>
        </is>
      </c>
      <c r="K269" s="179" t="inlineStr">
        <is>
          <t>1403260214153441</t>
        </is>
      </c>
      <c r="L269" s="908" t="n">
        <v>31.5619</v>
      </c>
      <c r="M269" s="866" t="n"/>
      <c r="N269" s="866" t="n"/>
      <c r="O269" s="866" t="n"/>
      <c r="P269" s="105">
        <f>COUNTIF([4]Sheet1!$A:$A,K:K)</f>
        <v/>
      </c>
      <c r="Q269" s="866" t="n"/>
      <c r="R269" s="866" t="n"/>
      <c r="S269" s="866" t="n"/>
      <c r="T269" s="866" t="n"/>
      <c r="U269" s="866" t="n"/>
      <c r="V269" s="866" t="n"/>
      <c r="W269" s="866" t="n"/>
      <c r="X269" s="866" t="n"/>
      <c r="Y269" s="866" t="n"/>
      <c r="Z269" s="866" t="n"/>
      <c r="AA269" s="866" t="n"/>
      <c r="AB269" s="866" t="n"/>
    </row>
    <row r="270">
      <c r="A270" s="2" t="n">
        <v>210</v>
      </c>
      <c r="B270" s="878" t="inlineStr">
        <is>
          <t>chanhua</t>
        </is>
      </c>
      <c r="C270" s="139" t="n">
        <v>46062</v>
      </c>
      <c r="D270" s="879" t="inlineStr">
        <is>
          <t>新加坡比特</t>
        </is>
      </c>
      <c r="E270" s="52" t="inlineStr">
        <is>
          <t>WX-HN</t>
        </is>
      </c>
      <c r="F270" s="140" t="inlineStr">
        <is>
          <t>MOLT</t>
        </is>
      </c>
      <c r="G270" s="52" t="inlineStr">
        <is>
          <t>BM1370PF</t>
        </is>
      </c>
      <c r="H270" s="879">
        <f>VLOOKUP(G270,编码对账表!C:D,2,0)</f>
        <v/>
      </c>
      <c r="I270" s="157" t="n">
        <v>367475</v>
      </c>
      <c r="J270" s="393" t="inlineStr">
        <is>
          <t>DPT202602119001</t>
        </is>
      </c>
      <c r="K270" s="608" t="inlineStr">
        <is>
          <t>1403260211194836</t>
        </is>
      </c>
      <c r="L270" s="902" t="n">
        <v>8.8315</v>
      </c>
      <c r="P270" s="105">
        <f>COUNTIF([4]Sheet1!$A:$A,K:K)</f>
        <v/>
      </c>
    </row>
    <row r="271" ht="15.75" customHeight="1" s="184">
      <c r="A271" s="2" t="n">
        <v>211</v>
      </c>
      <c r="B271" s="878" t="inlineStr">
        <is>
          <t>chanhua</t>
        </is>
      </c>
      <c r="C271" s="139" t="n">
        <v>46064</v>
      </c>
      <c r="D271" s="879" t="inlineStr">
        <is>
          <t>新加坡比特</t>
        </is>
      </c>
      <c r="E271" s="57" t="inlineStr">
        <is>
          <t>SPILSZ</t>
        </is>
      </c>
      <c r="F271" s="140" t="inlineStr">
        <is>
          <t>MOLT</t>
        </is>
      </c>
      <c r="G271" s="52" t="inlineStr">
        <is>
          <t>BM1370PF</t>
        </is>
      </c>
      <c r="H271" s="879">
        <f>VLOOKUP(G271,编码对账表!C:D,2,0)</f>
        <v/>
      </c>
      <c r="I271" s="157" t="n">
        <v>2090</v>
      </c>
      <c r="J271" s="169" t="inlineStr">
        <is>
          <t>DPT202602110200</t>
        </is>
      </c>
      <c r="K271" s="237" t="inlineStr">
        <is>
          <t>1403260213170636</t>
        </is>
      </c>
      <c r="L271" s="902" t="n">
        <v>8.8315</v>
      </c>
      <c r="P271" s="105">
        <f>COUNTIF([4]Sheet1!$A:$A,K:K)</f>
        <v/>
      </c>
    </row>
    <row r="272" ht="15" customFormat="1" customHeight="1" s="905">
      <c r="A272" s="171" t="n">
        <v>212</v>
      </c>
      <c r="B272" s="906" t="inlineStr">
        <is>
          <t>chanhua</t>
        </is>
      </c>
      <c r="C272" s="173" t="n">
        <v>46065</v>
      </c>
      <c r="D272" s="907" t="inlineStr">
        <is>
          <t>新加坡比特</t>
        </is>
      </c>
      <c r="E272" s="182" t="inlineStr">
        <is>
          <t>SPILSZ</t>
        </is>
      </c>
      <c r="F272" s="176" t="inlineStr">
        <is>
          <t>MOLT</t>
        </is>
      </c>
      <c r="G272" s="175" t="inlineStr">
        <is>
          <t>BM1373AA</t>
        </is>
      </c>
      <c r="H272" s="907">
        <f>VLOOKUP(G272,编码对账表!C:D,2,0)</f>
        <v/>
      </c>
      <c r="I272" s="177" t="n">
        <v>26000</v>
      </c>
      <c r="J272" s="178" t="inlineStr">
        <is>
          <t>DPT202602051200</t>
        </is>
      </c>
      <c r="K272" s="179" t="inlineStr">
        <is>
          <t>1403260214153454</t>
        </is>
      </c>
      <c r="L272" s="908" t="n">
        <v>31.5619</v>
      </c>
      <c r="M272" s="866" t="n"/>
      <c r="N272" s="866" t="n"/>
      <c r="O272" s="866" t="n"/>
      <c r="P272" s="105">
        <f>COUNTIF([4]Sheet1!$A:$A,K:K)</f>
        <v/>
      </c>
      <c r="Q272" s="866" t="n"/>
      <c r="R272" s="866" t="n"/>
      <c r="S272" s="866" t="n"/>
      <c r="T272" s="866" t="n"/>
      <c r="U272" s="866" t="n"/>
      <c r="V272" s="866" t="n"/>
      <c r="W272" s="866" t="n"/>
      <c r="X272" s="866" t="n"/>
      <c r="Y272" s="866" t="n"/>
      <c r="Z272" s="866" t="n"/>
      <c r="AA272" s="866" t="n"/>
      <c r="AB272" s="866" t="n"/>
    </row>
    <row r="273">
      <c r="A273" s="2" t="n">
        <v>213</v>
      </c>
      <c r="B273" s="878" t="inlineStr">
        <is>
          <t>chanhua</t>
        </is>
      </c>
      <c r="C273" s="139" t="n">
        <v>46064</v>
      </c>
      <c r="D273" s="879" t="inlineStr">
        <is>
          <t>新加坡比特</t>
        </is>
      </c>
      <c r="E273" s="52" t="inlineStr">
        <is>
          <t>ASECL</t>
        </is>
      </c>
      <c r="F273" s="140" t="inlineStr">
        <is>
          <t>MOLT</t>
        </is>
      </c>
      <c r="G273" s="52" t="inlineStr">
        <is>
          <t>BM1370PF</t>
        </is>
      </c>
      <c r="H273" s="879">
        <f>VLOOKUP(G273,编码对账表!C:D,2,0)</f>
        <v/>
      </c>
      <c r="I273" s="157" t="n">
        <v>272257</v>
      </c>
      <c r="J273" s="169" t="inlineStr">
        <is>
          <t>DPT202602110300</t>
        </is>
      </c>
      <c r="K273" s="237" t="inlineStr">
        <is>
          <t>1403260213170654</t>
        </is>
      </c>
      <c r="L273" s="902" t="n">
        <v>8.632400000000001</v>
      </c>
      <c r="P273" s="105">
        <f>COUNTIF([4]Sheet1!$A:$A,K:K)</f>
        <v/>
      </c>
    </row>
    <row r="274">
      <c r="A274" s="2" t="n">
        <v>214</v>
      </c>
      <c r="B274" s="878" t="inlineStr">
        <is>
          <t>chanhua</t>
        </is>
      </c>
      <c r="C274" s="909" t="n">
        <v>46066</v>
      </c>
      <c r="D274" s="879" t="inlineStr">
        <is>
          <t>新加坡比特</t>
        </is>
      </c>
      <c r="E274" s="393" t="inlineStr">
        <is>
          <t>SPILSZ</t>
        </is>
      </c>
      <c r="F274" s="393" t="inlineStr">
        <is>
          <t>THQG</t>
        </is>
      </c>
      <c r="G274" s="393" t="inlineStr">
        <is>
          <t>BM1370PF</t>
        </is>
      </c>
      <c r="H274" s="393" t="inlineStr">
        <is>
          <t>Y31010536</t>
        </is>
      </c>
      <c r="I274" s="393" t="n">
        <v>1413882</v>
      </c>
      <c r="J274" s="393" t="inlineStr">
        <is>
          <t>DPT202602139802</t>
        </is>
      </c>
      <c r="K274" s="609" t="inlineStr">
        <is>
          <t>1403260214163202</t>
        </is>
      </c>
      <c r="L274" s="902" t="n">
        <v>8.632400000000001</v>
      </c>
      <c r="P274" s="105">
        <f>COUNTIF([4]Sheet1!$A:$A,K:K)</f>
        <v/>
      </c>
    </row>
    <row r="275" ht="16.5" customHeight="1" s="184">
      <c r="A275" s="2" t="n"/>
      <c r="B275" s="878" t="n"/>
      <c r="C275" s="910" t="n"/>
      <c r="D275" s="879" t="n"/>
      <c r="E275" s="140" t="inlineStr">
        <is>
          <t>BTGLAZZYCL</t>
        </is>
      </c>
      <c r="F275" s="866" t="inlineStr">
        <is>
          <t>BTDLAZZYCL</t>
        </is>
      </c>
      <c r="G275" s="393" t="inlineStr">
        <is>
          <t>BM1370PF</t>
        </is>
      </c>
      <c r="H275" s="393" t="inlineStr">
        <is>
          <t>Y31010536</t>
        </is>
      </c>
      <c r="I275" s="157" t="n">
        <v>50132</v>
      </c>
      <c r="J275" s="186" t="inlineStr">
        <is>
          <t>BTD202601280011</t>
        </is>
      </c>
      <c r="K275" s="620" t="inlineStr">
        <is>
          <t>1127260224153915</t>
        </is>
      </c>
      <c r="L275" s="897" t="n">
        <v>13.64</v>
      </c>
      <c r="P275" s="105">
        <f>COUNTIF([4]Sheet1!$A:$A,K:K)</f>
        <v/>
      </c>
    </row>
    <row r="276" ht="16.5" customHeight="1" s="184">
      <c r="A276" s="2" t="n"/>
      <c r="B276" s="878" t="n"/>
      <c r="C276" s="910" t="n"/>
      <c r="D276" s="879" t="n"/>
      <c r="E276" s="140" t="inlineStr">
        <is>
          <t>BTGLAZZYCL</t>
        </is>
      </c>
      <c r="F276" s="866" t="inlineStr">
        <is>
          <t>BTDLAZZYCL</t>
        </is>
      </c>
      <c r="G276" s="393" t="inlineStr">
        <is>
          <t>BM1373AA</t>
        </is>
      </c>
      <c r="H276" s="393" t="inlineStr">
        <is>
          <t>Y31010540</t>
        </is>
      </c>
      <c r="I276" s="157" t="n">
        <v>38000</v>
      </c>
      <c r="J276" s="186" t="inlineStr">
        <is>
          <t>BTD202601280024</t>
        </is>
      </c>
      <c r="K276" s="911" t="inlineStr">
        <is>
          <t>1127260225144620</t>
        </is>
      </c>
      <c r="L276" s="903" t="n">
        <v>67.14</v>
      </c>
      <c r="P276" s="105">
        <f>COUNTIF([4]Sheet1!$A:$A,K:K)</f>
        <v/>
      </c>
    </row>
    <row r="277" ht="16.5" customHeight="1" s="184">
      <c r="E277" s="140" t="inlineStr">
        <is>
          <t>BTGLAZZYCL</t>
        </is>
      </c>
      <c r="F277" s="866" t="inlineStr">
        <is>
          <t>BTDLAZZYCL</t>
        </is>
      </c>
      <c r="G277" s="393" t="inlineStr">
        <is>
          <t>BM1370PF</t>
        </is>
      </c>
      <c r="H277" s="393" t="inlineStr">
        <is>
          <t>Y31010536</t>
        </is>
      </c>
      <c r="I277" s="157" t="n">
        <v>76141</v>
      </c>
      <c r="J277" s="186" t="inlineStr">
        <is>
          <t>BTD202601280012</t>
        </is>
      </c>
      <c r="K277" s="237" t="inlineStr">
        <is>
          <t>1127260224153933</t>
        </is>
      </c>
      <c r="L277" s="903" t="n">
        <v>13.65</v>
      </c>
      <c r="P277" s="105">
        <f>COUNTIF([4]Sheet1!$A:$A,K:K)</f>
        <v/>
      </c>
    </row>
    <row r="278" ht="16.5" customHeight="1" s="184">
      <c r="E278" s="140" t="inlineStr">
        <is>
          <t>BTGLAZZYCL</t>
        </is>
      </c>
      <c r="F278" s="866" t="inlineStr">
        <is>
          <t>BTDLAZZYCL</t>
        </is>
      </c>
      <c r="G278" s="393" t="inlineStr">
        <is>
          <t>BM1370PF</t>
        </is>
      </c>
      <c r="H278" s="393" t="inlineStr">
        <is>
          <t>Y31010536</t>
        </is>
      </c>
      <c r="I278" s="157" t="n">
        <v>11110</v>
      </c>
      <c r="J278" s="186" t="inlineStr">
        <is>
          <t>BTD202601300000</t>
        </is>
      </c>
      <c r="K278" s="620" t="inlineStr">
        <is>
          <t>1127260224153941</t>
        </is>
      </c>
      <c r="L278" s="901" t="inlineStr">
        <is>
          <t xml:space="preserve">13.46 </t>
        </is>
      </c>
      <c r="P278" s="105">
        <f>COUNTIF([4]Sheet1!$A:$A,K:K)</f>
        <v/>
      </c>
    </row>
    <row r="279" ht="16.5" customHeight="1" s="184">
      <c r="E279" s="140" t="inlineStr">
        <is>
          <t>BTGLAZZYCL</t>
        </is>
      </c>
      <c r="F279" s="866" t="inlineStr">
        <is>
          <t>BTDLAZZYCL</t>
        </is>
      </c>
      <c r="G279" s="393" t="inlineStr">
        <is>
          <t>BM1370PF</t>
        </is>
      </c>
      <c r="H279" s="393" t="inlineStr">
        <is>
          <t>Y31010536</t>
        </is>
      </c>
      <c r="I279" s="157" t="n">
        <v>8532</v>
      </c>
      <c r="J279" s="186" t="inlineStr">
        <is>
          <t>BTD202601300002</t>
        </is>
      </c>
      <c r="K279" s="620" t="inlineStr">
        <is>
          <t>1127260224153949</t>
        </is>
      </c>
      <c r="L279" s="901" t="inlineStr">
        <is>
          <t xml:space="preserve">13.58  </t>
        </is>
      </c>
      <c r="P279" s="105">
        <f>COUNTIF([4]Sheet1!$A:$A,K:K)</f>
        <v/>
      </c>
    </row>
    <row r="280" ht="16.5" customHeight="1" s="184">
      <c r="E280" s="140" t="inlineStr">
        <is>
          <t>BTGLAZZYCL</t>
        </is>
      </c>
      <c r="F280" s="866" t="inlineStr">
        <is>
          <t>BTDLAZZYCL</t>
        </is>
      </c>
      <c r="G280" s="393" t="inlineStr">
        <is>
          <t>BM1370PF</t>
        </is>
      </c>
      <c r="H280" s="393" t="inlineStr">
        <is>
          <t>Y31010536</t>
        </is>
      </c>
      <c r="I280" s="157" t="n">
        <v>59941</v>
      </c>
      <c r="J280" s="186" t="inlineStr">
        <is>
          <t>BTD202601280013</t>
        </is>
      </c>
      <c r="K280" s="620" t="inlineStr">
        <is>
          <t>1127260224153958</t>
        </is>
      </c>
      <c r="L280" s="903" t="n">
        <v>13.66</v>
      </c>
      <c r="P280" s="105">
        <f>COUNTIF([4]Sheet1!$A:$A,K:K)</f>
        <v/>
      </c>
    </row>
    <row r="281" ht="16.5" customHeight="1" s="184">
      <c r="E281" s="140" t="inlineStr">
        <is>
          <t>BTGLAZZYCL</t>
        </is>
      </c>
      <c r="F281" s="866" t="inlineStr">
        <is>
          <t>BTDLAZZYCL</t>
        </is>
      </c>
      <c r="G281" s="393" t="inlineStr">
        <is>
          <t>BM1370PF</t>
        </is>
      </c>
      <c r="H281" s="393" t="inlineStr">
        <is>
          <t>Y31010536</t>
        </is>
      </c>
      <c r="I281" s="157" t="n">
        <v>202395</v>
      </c>
      <c r="J281" s="186" t="inlineStr">
        <is>
          <t>BTD202602060002</t>
        </is>
      </c>
      <c r="K281" s="620" t="inlineStr">
        <is>
          <t>1127260224154006</t>
        </is>
      </c>
      <c r="L281" s="903" t="n">
        <v>13.64</v>
      </c>
      <c r="P281" s="105">
        <f>COUNTIF([4]Sheet1!$A:$A,K:K)</f>
        <v/>
      </c>
    </row>
    <row r="282" ht="16.5" customHeight="1" s="184">
      <c r="E282" s="140" t="inlineStr">
        <is>
          <t>BTGLAZZYCL</t>
        </is>
      </c>
      <c r="F282" s="866" t="inlineStr">
        <is>
          <t>BTDLAZZYCL</t>
        </is>
      </c>
      <c r="G282" s="393" t="inlineStr">
        <is>
          <t>BM1370PF</t>
        </is>
      </c>
      <c r="H282" s="393" t="inlineStr">
        <is>
          <t>Y31010536</t>
        </is>
      </c>
      <c r="I282" s="157" t="n">
        <v>176573</v>
      </c>
      <c r="J282" s="186" t="inlineStr">
        <is>
          <t>BTD202602060001</t>
        </is>
      </c>
      <c r="K282" s="620" t="inlineStr">
        <is>
          <t>1127260224154015</t>
        </is>
      </c>
      <c r="L282" s="897" t="n">
        <v>13.63</v>
      </c>
      <c r="P282" s="105">
        <f>COUNTIF([4]Sheet1!$A:$A,K:K)</f>
        <v/>
      </c>
    </row>
    <row r="283" ht="16.5" customHeight="1" s="184">
      <c r="E283" s="140" t="inlineStr">
        <is>
          <t>BTGLAZZYCL</t>
        </is>
      </c>
      <c r="F283" s="866" t="inlineStr">
        <is>
          <t>BTDLAZZYCL</t>
        </is>
      </c>
      <c r="G283" s="393" t="inlineStr">
        <is>
          <t>BM1370PF</t>
        </is>
      </c>
      <c r="H283" s="393" t="inlineStr">
        <is>
          <t>Y31010536</t>
        </is>
      </c>
      <c r="I283" s="157" t="n">
        <v>22961</v>
      </c>
      <c r="J283" s="186" t="inlineStr">
        <is>
          <t>BTD202602090002</t>
        </is>
      </c>
      <c r="K283" s="911" t="inlineStr">
        <is>
          <t>1127260224154023</t>
        </is>
      </c>
      <c r="L283" s="897" t="n">
        <v>13.63</v>
      </c>
      <c r="P283" s="105">
        <f>COUNTIF([4]Sheet1!$A:$A,K:K)</f>
        <v/>
      </c>
    </row>
    <row r="284">
      <c r="C284" s="866" t="n"/>
      <c r="E284" s="140" t="inlineStr">
        <is>
          <t>BTGLAZZYCL</t>
        </is>
      </c>
      <c r="F284" s="866" t="inlineStr">
        <is>
          <t>BTDLAZZYCL</t>
        </is>
      </c>
      <c r="G284" s="393" t="inlineStr">
        <is>
          <t>BM1370PF</t>
        </is>
      </c>
      <c r="H284" s="393" t="inlineStr">
        <is>
          <t>Y31010536</t>
        </is>
      </c>
      <c r="I284" s="157" t="n">
        <v>695552</v>
      </c>
      <c r="J284" s="912" t="inlineStr">
        <is>
          <t>BTD202602090011</t>
        </is>
      </c>
      <c r="K284" s="911" t="inlineStr">
        <is>
          <t>1127260228093308</t>
        </is>
      </c>
      <c r="L284" s="903" t="n">
        <v>13.64</v>
      </c>
      <c r="P284" s="105">
        <f>COUNTIF([4]Sheet1!$A:$A,K:K)</f>
        <v/>
      </c>
    </row>
    <row r="285">
      <c r="C285" s="866" t="n"/>
      <c r="E285" s="140" t="inlineStr">
        <is>
          <t>BTGLAZZYCL</t>
        </is>
      </c>
      <c r="F285" s="866" t="inlineStr">
        <is>
          <t>BTDLAZZYCL</t>
        </is>
      </c>
      <c r="G285" s="393" t="inlineStr">
        <is>
          <t>BM1370PF</t>
        </is>
      </c>
      <c r="H285" s="393" t="inlineStr">
        <is>
          <t>Y31010536</t>
        </is>
      </c>
      <c r="I285" s="189" t="n">
        <v>273600</v>
      </c>
      <c r="J285" s="912" t="inlineStr">
        <is>
          <t>BTD202602139813</t>
        </is>
      </c>
      <c r="K285" s="911" t="inlineStr">
        <is>
          <t>1127260228093206</t>
        </is>
      </c>
      <c r="L285" s="190" t="n">
        <v>13.62</v>
      </c>
      <c r="P285" s="105">
        <f>COUNTIF([4]Sheet1!$A:$A,K:K)</f>
        <v/>
      </c>
    </row>
    <row r="286">
      <c r="A286" s="2" t="n">
        <v>217</v>
      </c>
      <c r="B286" s="878" t="inlineStr">
        <is>
          <t>chanhua</t>
        </is>
      </c>
      <c r="C286" s="910" t="n">
        <v>46067</v>
      </c>
      <c r="D286" s="879" t="inlineStr">
        <is>
          <t>新加坡比特</t>
        </is>
      </c>
      <c r="E286" s="393" t="inlineStr">
        <is>
          <t>SPILSZ</t>
        </is>
      </c>
      <c r="F286" s="780" t="inlineStr">
        <is>
          <t>THQG</t>
        </is>
      </c>
      <c r="G286" s="393" t="inlineStr">
        <is>
          <t>BM1373AA</t>
        </is>
      </c>
      <c r="H286" s="393" t="inlineStr">
        <is>
          <t>Y31010540</t>
        </is>
      </c>
      <c r="I286" s="393" t="n">
        <v>8000</v>
      </c>
      <c r="J286" s="234" t="inlineStr">
        <is>
          <t>DPT202602149002</t>
        </is>
      </c>
      <c r="K286" s="609" t="inlineStr">
        <is>
          <t>1403260225094950</t>
        </is>
      </c>
      <c r="L286" s="899" t="n">
        <v>31.5619</v>
      </c>
      <c r="P286" s="105">
        <f>COUNTIF([4]Sheet1!$A:$A,K:K)</f>
        <v/>
      </c>
    </row>
    <row r="287">
      <c r="A287" s="2" t="n">
        <v>218</v>
      </c>
      <c r="B287" s="878" t="inlineStr">
        <is>
          <t>chanhua</t>
        </is>
      </c>
      <c r="C287" s="910" t="n">
        <v>46072</v>
      </c>
      <c r="D287" s="879" t="inlineStr">
        <is>
          <t>新加坡比特</t>
        </is>
      </c>
      <c r="E287" s="393" t="inlineStr">
        <is>
          <t>ASECL</t>
        </is>
      </c>
      <c r="F287" s="780" t="inlineStr">
        <is>
          <t>PIE</t>
        </is>
      </c>
      <c r="G287" s="393" t="inlineStr">
        <is>
          <t>BM1370PF</t>
        </is>
      </c>
      <c r="H287" s="393" t="inlineStr">
        <is>
          <t>Y31010536</t>
        </is>
      </c>
      <c r="I287" s="393" t="n">
        <v>140600</v>
      </c>
      <c r="J287" s="234" t="inlineStr">
        <is>
          <t>DPT202602199002</t>
        </is>
      </c>
      <c r="K287" s="619" t="inlineStr">
        <is>
          <t>1403260225095047</t>
        </is>
      </c>
      <c r="L287" s="194" t="n">
        <v>8.632400000000001</v>
      </c>
      <c r="P287" s="105">
        <f>COUNTIF([4]Sheet1!$A:$A,K:K)</f>
        <v/>
      </c>
    </row>
    <row r="288">
      <c r="A288" s="2" t="n">
        <v>219</v>
      </c>
      <c r="B288" s="878" t="inlineStr">
        <is>
          <t>chanhua</t>
        </is>
      </c>
      <c r="C288" s="236" t="n">
        <v>46076</v>
      </c>
      <c r="D288" s="879" t="inlineStr">
        <is>
          <t>新加坡比特</t>
        </is>
      </c>
      <c r="E288" s="393" t="inlineStr">
        <is>
          <t>ASECL</t>
        </is>
      </c>
      <c r="F288" s="393" t="inlineStr">
        <is>
          <t>THQG</t>
        </is>
      </c>
      <c r="G288" s="233" t="inlineStr">
        <is>
          <t>BM1370PF</t>
        </is>
      </c>
      <c r="H288" s="393" t="inlineStr">
        <is>
          <t>Y31010536</t>
        </is>
      </c>
      <c r="I288" s="393" t="n">
        <v>2264893</v>
      </c>
      <c r="J288" s="234" t="inlineStr">
        <is>
          <t>DPT202602279001</t>
        </is>
      </c>
      <c r="K288" s="609" t="inlineStr">
        <is>
          <t>1403260227112439</t>
        </is>
      </c>
      <c r="L288" s="194" t="n">
        <v>8.632400000000001</v>
      </c>
      <c r="P288" s="105">
        <f>COUNTIF([4]Sheet1!$A:$A,K:K)</f>
        <v/>
      </c>
    </row>
    <row r="289">
      <c r="A289" s="2" t="n">
        <v>220</v>
      </c>
      <c r="B289" s="878" t="inlineStr">
        <is>
          <t>chanhua</t>
        </is>
      </c>
      <c r="C289" s="231" t="n">
        <v>46076</v>
      </c>
      <c r="D289" s="879" t="inlineStr">
        <is>
          <t>新加坡比特</t>
        </is>
      </c>
      <c r="E289" s="393" t="inlineStr">
        <is>
          <t>ASECL</t>
        </is>
      </c>
      <c r="F289" s="393" t="inlineStr">
        <is>
          <t>THQG</t>
        </is>
      </c>
      <c r="G289" s="233" t="inlineStr">
        <is>
          <t>BM1373CC</t>
        </is>
      </c>
      <c r="H289" s="393" t="inlineStr">
        <is>
          <t>Y31010549</t>
        </is>
      </c>
      <c r="I289" s="393" t="n">
        <v>120000</v>
      </c>
      <c r="J289" s="234" t="inlineStr">
        <is>
          <t>DPT202602279002</t>
        </is>
      </c>
      <c r="K289" s="609" t="inlineStr">
        <is>
          <t>1403260227112448</t>
        </is>
      </c>
      <c r="L289" s="913" t="n">
        <v>31.5619</v>
      </c>
      <c r="P289" s="105">
        <f>COUNTIF([4]Sheet1!$A:$A,K:K)</f>
        <v/>
      </c>
    </row>
    <row r="290">
      <c r="A290" s="2" t="n">
        <v>221</v>
      </c>
      <c r="B290" s="878" t="inlineStr">
        <is>
          <t>chanhua</t>
        </is>
      </c>
      <c r="C290" s="236" t="n">
        <v>46077</v>
      </c>
      <c r="D290" s="879" t="inlineStr">
        <is>
          <t>新加坡比特</t>
        </is>
      </c>
      <c r="E290" s="393" t="inlineStr">
        <is>
          <t>SPILSZ</t>
        </is>
      </c>
      <c r="F290" s="393" t="inlineStr">
        <is>
          <t>MOLT</t>
        </is>
      </c>
      <c r="G290" s="233" t="inlineStr">
        <is>
          <t>BM1373CC</t>
        </is>
      </c>
      <c r="H290" s="393" t="inlineStr">
        <is>
          <t>Y31010549</t>
        </is>
      </c>
      <c r="I290" s="393" t="n">
        <v>80000</v>
      </c>
      <c r="J290" s="234" t="inlineStr">
        <is>
          <t>DPT202602279003</t>
        </is>
      </c>
      <c r="K290" s="619" t="inlineStr">
        <is>
          <t>1403260227112459</t>
        </is>
      </c>
      <c r="L290" s="914" t="n">
        <v>31.5619</v>
      </c>
      <c r="P290" s="105">
        <f>COUNTIF([4]Sheet1!$A:$A,K:K)</f>
        <v/>
      </c>
    </row>
    <row r="291">
      <c r="A291" s="2" t="n">
        <v>222</v>
      </c>
      <c r="B291" s="878" t="inlineStr">
        <is>
          <t>chanhua</t>
        </is>
      </c>
      <c r="C291" s="231" t="n">
        <v>46077</v>
      </c>
      <c r="D291" s="879" t="inlineStr">
        <is>
          <t>新加坡比特</t>
        </is>
      </c>
      <c r="E291" s="233" t="inlineStr">
        <is>
          <t>SPILSZ</t>
        </is>
      </c>
      <c r="F291" s="233" t="inlineStr">
        <is>
          <t>THQG</t>
        </is>
      </c>
      <c r="G291" s="233" t="inlineStr">
        <is>
          <t>BM1373CC</t>
        </is>
      </c>
      <c r="H291" s="233" t="inlineStr">
        <is>
          <t>Y31010549</t>
        </is>
      </c>
      <c r="I291" s="233" t="n">
        <v>172000</v>
      </c>
      <c r="J291" s="234" t="inlineStr">
        <is>
          <t>DPT202602279004</t>
        </is>
      </c>
      <c r="K291" s="609" t="inlineStr">
        <is>
          <t>1403260227112506</t>
        </is>
      </c>
      <c r="L291" s="914" t="n">
        <v>31.5619</v>
      </c>
      <c r="P291" s="105">
        <f>COUNTIF([4]Sheet1!$A:$A,K:K)</f>
        <v/>
      </c>
    </row>
    <row r="292">
      <c r="A292" s="2" t="n">
        <v>223</v>
      </c>
      <c r="B292" s="878" t="inlineStr">
        <is>
          <t>chanhua</t>
        </is>
      </c>
      <c r="C292" s="231" t="n">
        <v>46078</v>
      </c>
      <c r="D292" s="879" t="inlineStr">
        <is>
          <t>新加坡比特</t>
        </is>
      </c>
      <c r="E292" s="393" t="inlineStr">
        <is>
          <t>ASECL</t>
        </is>
      </c>
      <c r="F292" s="393" t="inlineStr">
        <is>
          <t>MOLT</t>
        </is>
      </c>
      <c r="G292" s="233" t="inlineStr">
        <is>
          <t>BM1373CC</t>
        </is>
      </c>
      <c r="H292" s="393" t="inlineStr">
        <is>
          <t>Y31010549</t>
        </is>
      </c>
      <c r="I292" s="393" t="n">
        <v>108000</v>
      </c>
      <c r="J292" s="234" t="inlineStr">
        <is>
          <t>DPT202602279005</t>
        </is>
      </c>
      <c r="K292" s="609" t="inlineStr">
        <is>
          <t>1403260227112517</t>
        </is>
      </c>
      <c r="L292" s="914" t="n">
        <v>31.5619</v>
      </c>
      <c r="P292" s="105">
        <f>COUNTIF([4]Sheet1!$A:$A,K:K)</f>
        <v/>
      </c>
    </row>
    <row r="293">
      <c r="A293" s="2" t="n">
        <v>224</v>
      </c>
      <c r="B293" s="878" t="inlineStr">
        <is>
          <t>chanhua</t>
        </is>
      </c>
      <c r="C293" s="231" t="n">
        <v>46079</v>
      </c>
      <c r="D293" s="879" t="inlineStr">
        <is>
          <t>新加坡比特</t>
        </is>
      </c>
      <c r="E293" s="233" t="inlineStr">
        <is>
          <t>JSCC</t>
        </is>
      </c>
      <c r="F293" s="233" t="inlineStr">
        <is>
          <t>PIE</t>
        </is>
      </c>
      <c r="G293" s="233" t="inlineStr">
        <is>
          <t>BM1370BC</t>
        </is>
      </c>
      <c r="H293" s="233" t="inlineStr">
        <is>
          <t>Y31010527</t>
        </is>
      </c>
      <c r="I293" s="393" t="n">
        <v>622635</v>
      </c>
      <c r="J293" s="234" t="inlineStr">
        <is>
          <t>DPT202602289006</t>
        </is>
      </c>
      <c r="K293" s="619" t="inlineStr">
        <is>
          <t>1403260228095534</t>
        </is>
      </c>
      <c r="L293" s="194" t="n">
        <v>8.632400000000001</v>
      </c>
      <c r="P293" s="105">
        <f>COUNTIF([4]Sheet1!$A:$A,K:K)</f>
        <v/>
      </c>
    </row>
    <row r="294">
      <c r="A294" s="2" t="n">
        <v>225</v>
      </c>
      <c r="B294" s="878" t="inlineStr">
        <is>
          <t>chanhua</t>
        </is>
      </c>
      <c r="C294" s="231" t="n">
        <v>46066</v>
      </c>
      <c r="D294" s="879" t="inlineStr">
        <is>
          <t>新加坡比特</t>
        </is>
      </c>
      <c r="E294" s="233" t="inlineStr">
        <is>
          <t>XJ</t>
        </is>
      </c>
      <c r="F294" s="233" t="inlineStr">
        <is>
          <t>THQG</t>
        </is>
      </c>
      <c r="G294" s="233" t="inlineStr">
        <is>
          <t>BM1491AA</t>
        </is>
      </c>
      <c r="H294" s="233" t="inlineStr">
        <is>
          <t>Y31030502</t>
        </is>
      </c>
      <c r="I294" s="233" t="n">
        <v>75213</v>
      </c>
      <c r="J294" s="234" t="inlineStr">
        <is>
          <t>DPT202602279007</t>
        </is>
      </c>
      <c r="K294" s="619" t="inlineStr">
        <is>
          <t>1403260227112534</t>
        </is>
      </c>
      <c r="L294" s="915" t="n">
        <v>12.745</v>
      </c>
      <c r="P294" s="105">
        <f>COUNTIF([4]Sheet1!$A:$A,K:K)</f>
        <v/>
      </c>
    </row>
    <row r="295">
      <c r="A295" s="2" t="n">
        <v>226</v>
      </c>
      <c r="B295" s="878" t="inlineStr">
        <is>
          <t>chanhua</t>
        </is>
      </c>
      <c r="C295" s="916" t="n">
        <v>46066</v>
      </c>
      <c r="D295" s="879" t="inlineStr">
        <is>
          <t>新加坡比特</t>
        </is>
      </c>
      <c r="E295" s="189" t="inlineStr">
        <is>
          <t>SPILSZ</t>
        </is>
      </c>
      <c r="F295" s="140" t="inlineStr">
        <is>
          <t>BTGLAZZYCL</t>
        </is>
      </c>
      <c r="G295" s="189" t="inlineStr">
        <is>
          <t>BM1370PF</t>
        </is>
      </c>
      <c r="H295" s="189" t="inlineStr">
        <is>
          <t>Y31010536</t>
        </is>
      </c>
      <c r="I295" s="189" t="n">
        <v>273600</v>
      </c>
      <c r="J295" s="205" t="inlineStr">
        <is>
          <t>BTG202602139803</t>
        </is>
      </c>
      <c r="K295" s="614" t="inlineStr">
        <is>
          <t>1155260215130618</t>
        </is>
      </c>
      <c r="L295" s="190" t="n">
        <v>13.62</v>
      </c>
      <c r="P295" s="105">
        <f>COUNTIF([4]Sheet1!$A:$A,K:K)</f>
        <v/>
      </c>
    </row>
    <row r="296">
      <c r="A296" s="2" t="n">
        <v>227</v>
      </c>
      <c r="B296" s="878" t="inlineStr">
        <is>
          <t>chanhua</t>
        </is>
      </c>
      <c r="C296" s="236" t="n">
        <v>46079</v>
      </c>
      <c r="D296" s="879" t="inlineStr">
        <is>
          <t>新加坡比特</t>
        </is>
      </c>
      <c r="E296" s="393" t="inlineStr">
        <is>
          <t>ASECL</t>
        </is>
      </c>
      <c r="F296" s="393" t="inlineStr">
        <is>
          <t>PIE</t>
        </is>
      </c>
      <c r="G296" s="233" t="inlineStr">
        <is>
          <t>BM1370BC</t>
        </is>
      </c>
      <c r="H296" s="393" t="inlineStr">
        <is>
          <t>Y31010527</t>
        </is>
      </c>
      <c r="I296" s="393" t="n">
        <v>98652</v>
      </c>
      <c r="J296" s="234" t="inlineStr">
        <is>
          <t>DPT202602269004</t>
        </is>
      </c>
      <c r="K296" s="609" t="inlineStr">
        <is>
          <t>1403260228095549</t>
        </is>
      </c>
      <c r="L296" s="194" t="n">
        <v>8.632400000000001</v>
      </c>
      <c r="P296" s="105">
        <f>COUNTIF([4]Sheet1!$A:$A,K:K)</f>
        <v/>
      </c>
    </row>
    <row r="297">
      <c r="A297" s="2" t="n">
        <v>228</v>
      </c>
      <c r="B297" s="878" t="inlineStr">
        <is>
          <t>chanhua</t>
        </is>
      </c>
      <c r="C297" s="236" t="n">
        <v>46079</v>
      </c>
      <c r="D297" s="879" t="inlineStr">
        <is>
          <t>新加坡比特</t>
        </is>
      </c>
      <c r="E297" s="393" t="inlineStr">
        <is>
          <t>ASECL</t>
        </is>
      </c>
      <c r="F297" s="393" t="inlineStr">
        <is>
          <t>PIE</t>
        </is>
      </c>
      <c r="G297" s="233" t="inlineStr">
        <is>
          <t>BM1370AA</t>
        </is>
      </c>
      <c r="H297" s="393" t="inlineStr">
        <is>
          <t>Y31010519</t>
        </is>
      </c>
      <c r="I297" s="393" t="n">
        <v>4573</v>
      </c>
      <c r="J297" s="234" t="inlineStr">
        <is>
          <t>DPT202602269005</t>
        </is>
      </c>
      <c r="K297" s="609" t="inlineStr">
        <is>
          <t>1403260228095556</t>
        </is>
      </c>
      <c r="L297" s="208" t="n">
        <v>8.632400000000001</v>
      </c>
      <c r="P297" s="105">
        <f>COUNTIF([4]Sheet1!$A:$A,K:K)</f>
        <v/>
      </c>
    </row>
    <row r="298">
      <c r="A298" s="2" t="n">
        <v>229</v>
      </c>
      <c r="B298" s="878" t="inlineStr">
        <is>
          <t>chanhua</t>
        </is>
      </c>
      <c r="C298" s="236" t="n">
        <v>46079</v>
      </c>
      <c r="D298" s="879" t="inlineStr">
        <is>
          <t>新加坡比特</t>
        </is>
      </c>
      <c r="E298" s="393" t="inlineStr">
        <is>
          <t>ASECL</t>
        </is>
      </c>
      <c r="F298" s="393" t="inlineStr">
        <is>
          <t>THQG</t>
        </is>
      </c>
      <c r="G298" s="233" t="inlineStr">
        <is>
          <t>BM1370BC</t>
        </is>
      </c>
      <c r="H298" s="393" t="inlineStr">
        <is>
          <t>Y31010527</t>
        </is>
      </c>
      <c r="I298" s="393" t="n">
        <v>34200</v>
      </c>
      <c r="J298" s="234" t="inlineStr">
        <is>
          <t>DPT202602269006</t>
        </is>
      </c>
      <c r="K298" s="619" t="inlineStr">
        <is>
          <t>1403260228095604</t>
        </is>
      </c>
      <c r="L298" s="208" t="n">
        <v>8.632400000000001</v>
      </c>
      <c r="P298" s="105">
        <f>COUNTIF([4]Sheet1!$A:$A,K:K)</f>
        <v/>
      </c>
    </row>
    <row r="299">
      <c r="A299" s="2" t="n">
        <v>230</v>
      </c>
      <c r="B299" s="878" t="inlineStr">
        <is>
          <t>chanhua</t>
        </is>
      </c>
      <c r="C299" s="231" t="n">
        <v>46081</v>
      </c>
      <c r="D299" s="879" t="inlineStr">
        <is>
          <t>新加坡比特</t>
        </is>
      </c>
      <c r="E299" s="393" t="inlineStr">
        <is>
          <t>WX-HN</t>
        </is>
      </c>
      <c r="F299" s="393" t="inlineStr">
        <is>
          <t>THQG</t>
        </is>
      </c>
      <c r="G299" s="233" t="inlineStr">
        <is>
          <t>BM1370BC</t>
        </is>
      </c>
      <c r="H299" s="393" t="inlineStr">
        <is>
          <t>Y31010527</t>
        </is>
      </c>
      <c r="I299" s="393" t="n">
        <v>607671</v>
      </c>
      <c r="J299" s="234" t="inlineStr">
        <is>
          <t>DPT2026030269003</t>
        </is>
      </c>
      <c r="K299" s="609" t="inlineStr">
        <is>
          <t>1403260302190724</t>
        </is>
      </c>
      <c r="L299" s="194" t="n">
        <v>8.632400000000001</v>
      </c>
      <c r="P299" s="105">
        <f>COUNTIF([4]Sheet1!$A:$A,K:K)</f>
        <v/>
      </c>
    </row>
    <row r="300">
      <c r="A300" s="2" t="n">
        <v>231</v>
      </c>
      <c r="B300" s="878" t="inlineStr">
        <is>
          <t>chanhua</t>
        </is>
      </c>
      <c r="C300" s="236" t="n">
        <v>46079</v>
      </c>
      <c r="D300" s="879" t="inlineStr">
        <is>
          <t>新加坡比特</t>
        </is>
      </c>
      <c r="E300" s="393" t="inlineStr">
        <is>
          <t>XJ</t>
        </is>
      </c>
      <c r="F300" s="393" t="inlineStr">
        <is>
          <t>THQG</t>
        </is>
      </c>
      <c r="G300" s="233" t="inlineStr">
        <is>
          <t>BM1370BC</t>
        </is>
      </c>
      <c r="H300" s="393" t="inlineStr">
        <is>
          <t>Y31010527</t>
        </is>
      </c>
      <c r="I300" s="393" t="n">
        <v>24307</v>
      </c>
      <c r="J300" s="234" t="inlineStr">
        <is>
          <t>DPT2026030269004</t>
        </is>
      </c>
      <c r="K300" s="609" t="inlineStr">
        <is>
          <t>1403260302190731</t>
        </is>
      </c>
      <c r="L300" s="208" t="n">
        <v>8.632400000000001</v>
      </c>
      <c r="P300" s="105">
        <f>COUNTIF([4]Sheet1!$A:$A,K:K)</f>
        <v/>
      </c>
    </row>
    <row r="301">
      <c r="A301" s="2" t="n">
        <v>232</v>
      </c>
      <c r="B301" s="878" t="inlineStr">
        <is>
          <t>chanhua</t>
        </is>
      </c>
      <c r="C301" s="236" t="n">
        <v>46079</v>
      </c>
      <c r="D301" s="879" t="inlineStr">
        <is>
          <t>新加坡比特</t>
        </is>
      </c>
      <c r="E301" s="393" t="inlineStr">
        <is>
          <t>XJ</t>
        </is>
      </c>
      <c r="F301" s="393" t="inlineStr">
        <is>
          <t>THQG</t>
        </is>
      </c>
      <c r="G301" s="233" t="inlineStr">
        <is>
          <t>BM1370PA</t>
        </is>
      </c>
      <c r="H301" s="393" t="inlineStr">
        <is>
          <t>Y31010530</t>
        </is>
      </c>
      <c r="I301" s="393" t="n">
        <v>2801</v>
      </c>
      <c r="J301" s="234" t="inlineStr">
        <is>
          <t>DPT2026030269005</t>
        </is>
      </c>
      <c r="K301" s="609" t="inlineStr">
        <is>
          <t>1403260302190741</t>
        </is>
      </c>
      <c r="L301" s="208" t="n">
        <v>8.632400000000001</v>
      </c>
      <c r="P301" s="105">
        <f>COUNTIF([4]Sheet1!$A:$A,K:K)</f>
        <v/>
      </c>
    </row>
    <row r="302">
      <c r="A302" s="2" t="n">
        <v>233</v>
      </c>
      <c r="B302" s="878" t="inlineStr">
        <is>
          <t>chanhua</t>
        </is>
      </c>
      <c r="C302" s="231" t="n">
        <v>46079</v>
      </c>
      <c r="D302" s="879" t="inlineStr">
        <is>
          <t>新加坡比特</t>
        </is>
      </c>
      <c r="E302" s="233" t="inlineStr">
        <is>
          <t>XJ</t>
        </is>
      </c>
      <c r="F302" s="233" t="inlineStr">
        <is>
          <t>THQG</t>
        </is>
      </c>
      <c r="G302" s="233" t="inlineStr">
        <is>
          <t>BM1373CC</t>
        </is>
      </c>
      <c r="H302" s="233" t="inlineStr">
        <is>
          <t>Y31010549</t>
        </is>
      </c>
      <c r="I302" s="233" t="n">
        <v>75800</v>
      </c>
      <c r="J302" s="234" t="inlineStr">
        <is>
          <t>DPT2026030269006</t>
        </is>
      </c>
      <c r="K302" s="609" t="inlineStr">
        <is>
          <t>1403260302190804</t>
        </is>
      </c>
      <c r="L302" s="899" t="n">
        <v>31.5619</v>
      </c>
      <c r="P302" s="105">
        <f>COUNTIF([4]Sheet1!$A:$A,K:K)</f>
        <v/>
      </c>
    </row>
    <row r="303">
      <c r="A303" s="2" t="n">
        <v>234</v>
      </c>
      <c r="B303" s="878" t="inlineStr">
        <is>
          <t>chanhua</t>
        </is>
      </c>
      <c r="C303" s="231" t="n">
        <v>46085</v>
      </c>
      <c r="D303" s="879" t="inlineStr">
        <is>
          <t>新加坡比特</t>
        </is>
      </c>
      <c r="E303" s="393" t="inlineStr">
        <is>
          <t>JSCC</t>
        </is>
      </c>
      <c r="F303" s="233" t="inlineStr">
        <is>
          <t>THQG</t>
        </is>
      </c>
      <c r="G303" s="233" t="inlineStr">
        <is>
          <t>BM1370PF</t>
        </is>
      </c>
      <c r="H303" s="393" t="inlineStr">
        <is>
          <t>Y31010536</t>
        </is>
      </c>
      <c r="I303" s="393" t="n">
        <v>456389</v>
      </c>
      <c r="J303" s="234" t="inlineStr">
        <is>
          <t>DPT2026030569004</t>
        </is>
      </c>
      <c r="K303" s="609" t="inlineStr">
        <is>
          <t>1403260305170907</t>
        </is>
      </c>
      <c r="L303" s="194" t="n">
        <v>8.632400000000001</v>
      </c>
    </row>
    <row r="304">
      <c r="A304" s="2" t="n">
        <v>235</v>
      </c>
      <c r="B304" s="878" t="inlineStr">
        <is>
          <t>chanhua</t>
        </is>
      </c>
      <c r="C304" s="231" t="n">
        <v>46086</v>
      </c>
      <c r="D304" s="879" t="inlineStr">
        <is>
          <t>新加坡比特</t>
        </is>
      </c>
      <c r="E304" s="393" t="inlineStr">
        <is>
          <t>SPILSZ</t>
        </is>
      </c>
      <c r="F304" s="393" t="inlineStr">
        <is>
          <t>THQG</t>
        </is>
      </c>
      <c r="G304" s="233" t="inlineStr">
        <is>
          <t>BM1370PF</t>
        </is>
      </c>
      <c r="H304" s="393" t="inlineStr">
        <is>
          <t>Y31010536</t>
        </is>
      </c>
      <c r="I304" s="393" t="n">
        <v>37874</v>
      </c>
      <c r="J304" s="234" t="inlineStr">
        <is>
          <t>DPT2026030569006</t>
        </is>
      </c>
      <c r="K304" s="609" t="inlineStr">
        <is>
          <t>1403260305170923</t>
        </is>
      </c>
      <c r="L304" s="208" t="n">
        <v>8.632400000000001</v>
      </c>
    </row>
    <row r="305">
      <c r="A305" s="2" t="n">
        <v>236</v>
      </c>
      <c r="B305" s="878" t="inlineStr">
        <is>
          <t>chanhua</t>
        </is>
      </c>
      <c r="C305" s="236" t="n">
        <v>46086</v>
      </c>
      <c r="D305" s="879" t="inlineStr">
        <is>
          <t>新加坡比特</t>
        </is>
      </c>
      <c r="E305" s="393" t="inlineStr">
        <is>
          <t>WX-HN</t>
        </is>
      </c>
      <c r="F305" s="393" t="inlineStr">
        <is>
          <t>PIE</t>
        </is>
      </c>
      <c r="G305" s="233" t="inlineStr">
        <is>
          <t>BM1370PF</t>
        </is>
      </c>
      <c r="H305" s="393" t="inlineStr">
        <is>
          <t>Y31010536</t>
        </is>
      </c>
      <c r="I305" s="393" t="n">
        <v>474354</v>
      </c>
      <c r="J305" s="234" t="inlineStr">
        <is>
          <t>DPT2026030569008</t>
        </is>
      </c>
      <c r="K305" s="609" t="inlineStr">
        <is>
          <t>1403260305170941</t>
        </is>
      </c>
      <c r="L305" s="208" t="n">
        <v>8.632400000000001</v>
      </c>
    </row>
    <row r="306">
      <c r="A306" s="2" t="n">
        <v>237</v>
      </c>
      <c r="B306" s="878" t="inlineStr">
        <is>
          <t>chanhua</t>
        </is>
      </c>
      <c r="C306" s="236" t="n">
        <v>46086</v>
      </c>
      <c r="D306" s="879" t="inlineStr">
        <is>
          <t>新加坡比特</t>
        </is>
      </c>
      <c r="E306" s="393" t="inlineStr">
        <is>
          <t>SPILSZ</t>
        </is>
      </c>
      <c r="F306" s="393" t="inlineStr">
        <is>
          <t>THQG</t>
        </is>
      </c>
      <c r="G306" s="233" t="inlineStr">
        <is>
          <t>BM1370PF</t>
        </is>
      </c>
      <c r="H306" s="393" t="inlineStr">
        <is>
          <t>Y31010536</t>
        </is>
      </c>
      <c r="I306" s="393" t="n">
        <v>74256</v>
      </c>
      <c r="J306" s="234" t="inlineStr">
        <is>
          <t>DPT2026030669008</t>
        </is>
      </c>
      <c r="K306" s="619" t="inlineStr">
        <is>
          <t>1403260306185118</t>
        </is>
      </c>
      <c r="L306" s="208" t="n">
        <v>8.632400000000001</v>
      </c>
    </row>
    <row r="307">
      <c r="A307" s="2" t="n">
        <v>238</v>
      </c>
      <c r="B307" s="878" t="inlineStr">
        <is>
          <t>chanhua</t>
        </is>
      </c>
      <c r="C307" s="236" t="n">
        <v>46090</v>
      </c>
      <c r="D307" s="879" t="inlineStr">
        <is>
          <t>新加坡比特</t>
        </is>
      </c>
      <c r="E307" s="393" t="inlineStr">
        <is>
          <t>WX-HN</t>
        </is>
      </c>
      <c r="F307" s="393" t="inlineStr">
        <is>
          <t>MOLT</t>
        </is>
      </c>
      <c r="G307" s="233" t="inlineStr">
        <is>
          <t>BM1370PF</t>
        </is>
      </c>
      <c r="H307" s="393" t="inlineStr">
        <is>
          <t>Y31010536</t>
        </is>
      </c>
      <c r="I307" s="209" t="n">
        <v>394639</v>
      </c>
      <c r="J307" s="912" t="inlineStr">
        <is>
          <t>DPT202603099008</t>
        </is>
      </c>
      <c r="K307" s="911" t="inlineStr">
        <is>
          <t>1403260309173630</t>
        </is>
      </c>
      <c r="L307" s="208" t="n">
        <v>8.632400000000001</v>
      </c>
    </row>
    <row r="308" ht="16.5" customHeight="1" s="184">
      <c r="A308" s="2" t="n">
        <v>239</v>
      </c>
      <c r="B308" s="878" t="inlineStr">
        <is>
          <t>chanhua</t>
        </is>
      </c>
      <c r="C308" s="236" t="n">
        <v>46090</v>
      </c>
      <c r="D308" s="879" t="inlineStr">
        <is>
          <t>新加坡比特</t>
        </is>
      </c>
      <c r="E308" s="393" t="inlineStr">
        <is>
          <t>SPILSZ</t>
        </is>
      </c>
      <c r="F308" s="393" t="inlineStr">
        <is>
          <t>PIE</t>
        </is>
      </c>
      <c r="G308" s="393" t="inlineStr">
        <is>
          <t>BM1373AA</t>
        </is>
      </c>
      <c r="H308" s="393" t="inlineStr">
        <is>
          <t>Y31010540</t>
        </is>
      </c>
      <c r="I308" s="210" t="n">
        <v>153306</v>
      </c>
      <c r="J308" s="234" t="inlineStr">
        <is>
          <t>DPT202603099009</t>
        </is>
      </c>
      <c r="K308" s="620" t="inlineStr">
        <is>
          <t>1403260309185432</t>
        </is>
      </c>
      <c r="L308" s="899" t="n">
        <v>31.5619</v>
      </c>
    </row>
    <row r="309">
      <c r="A309" s="2" t="n">
        <v>240</v>
      </c>
      <c r="B309" s="878" t="inlineStr">
        <is>
          <t>chanhua</t>
        </is>
      </c>
      <c r="C309" s="236" t="n">
        <v>46090</v>
      </c>
      <c r="D309" s="879" t="inlineStr">
        <is>
          <t>新加坡比特</t>
        </is>
      </c>
      <c r="E309" s="393" t="inlineStr">
        <is>
          <t>SPILSZ</t>
        </is>
      </c>
      <c r="F309" s="393" t="inlineStr">
        <is>
          <t>THQG</t>
        </is>
      </c>
      <c r="G309" s="233" t="inlineStr">
        <is>
          <t>BM1370PF</t>
        </is>
      </c>
      <c r="H309" s="393" t="inlineStr">
        <is>
          <t>Y31010536</t>
        </is>
      </c>
      <c r="I309" s="393" t="n">
        <v>74256</v>
      </c>
      <c r="J309" s="234" t="inlineStr">
        <is>
          <t>DPT202603099010</t>
        </is>
      </c>
      <c r="K309" s="620" t="inlineStr">
        <is>
          <t>1403260309190506</t>
        </is>
      </c>
      <c r="L309" s="208" t="n">
        <v>8.632400000000001</v>
      </c>
    </row>
    <row r="310">
      <c r="A310" s="2" t="n">
        <v>241</v>
      </c>
      <c r="B310" s="878" t="inlineStr">
        <is>
          <t>chanhua</t>
        </is>
      </c>
      <c r="C310" s="236" t="n">
        <v>46090</v>
      </c>
      <c r="D310" s="879" t="inlineStr">
        <is>
          <t>新加坡比特</t>
        </is>
      </c>
      <c r="E310" s="233" t="inlineStr">
        <is>
          <t>SPILSZ</t>
        </is>
      </c>
      <c r="F310" s="393" t="inlineStr">
        <is>
          <t>THQG</t>
        </is>
      </c>
      <c r="G310" s="393" t="inlineStr">
        <is>
          <t>BM1373AA</t>
        </is>
      </c>
      <c r="H310" s="393" t="inlineStr">
        <is>
          <t>Y31010540</t>
        </is>
      </c>
      <c r="I310" s="393" t="n">
        <v>161005</v>
      </c>
      <c r="J310" s="234" t="inlineStr">
        <is>
          <t>DPT202603099011</t>
        </is>
      </c>
      <c r="K310" s="620" t="inlineStr">
        <is>
          <t>1403260309190009</t>
        </is>
      </c>
      <c r="L310" s="899" t="n">
        <v>31.5619</v>
      </c>
    </row>
    <row r="311">
      <c r="A311" s="2" t="n">
        <v>242</v>
      </c>
      <c r="B311" s="878" t="inlineStr">
        <is>
          <t>chanhua</t>
        </is>
      </c>
      <c r="C311" s="236" t="n">
        <v>46092</v>
      </c>
      <c r="D311" s="879" t="inlineStr">
        <is>
          <t>新加坡比特</t>
        </is>
      </c>
      <c r="E311" s="393" t="inlineStr">
        <is>
          <t>XJ</t>
        </is>
      </c>
      <c r="F311" s="393" t="inlineStr">
        <is>
          <t>MOLT</t>
        </is>
      </c>
      <c r="G311" s="233" t="inlineStr">
        <is>
          <t>BM1370PF</t>
        </is>
      </c>
      <c r="H311" s="393" t="inlineStr">
        <is>
          <t>Y31010536</t>
        </is>
      </c>
      <c r="I311" s="393" t="n">
        <v>688216</v>
      </c>
      <c r="J311" s="234" t="inlineStr">
        <is>
          <t>DPT202603119011</t>
        </is>
      </c>
      <c r="K311" s="620" t="inlineStr">
        <is>
          <t>1403260311173707</t>
        </is>
      </c>
      <c r="L311" s="208" t="n">
        <v>8.632400000000001</v>
      </c>
    </row>
    <row r="312">
      <c r="A312" s="2" t="n">
        <v>243</v>
      </c>
      <c r="B312" s="878" t="inlineStr">
        <is>
          <t>chanhua</t>
        </is>
      </c>
      <c r="C312" s="236" t="n">
        <v>46090</v>
      </c>
      <c r="D312" s="879" t="inlineStr">
        <is>
          <t>新加坡比特</t>
        </is>
      </c>
      <c r="E312" s="393" t="inlineStr">
        <is>
          <t>ASECL</t>
        </is>
      </c>
      <c r="F312" s="393" t="inlineStr">
        <is>
          <t>PIE</t>
        </is>
      </c>
      <c r="G312" s="233" t="inlineStr">
        <is>
          <t>BM1373AA</t>
        </is>
      </c>
      <c r="H312" s="393" t="inlineStr">
        <is>
          <t>Y31010540</t>
        </is>
      </c>
      <c r="I312" s="393" t="n">
        <v>91200</v>
      </c>
      <c r="J312" s="912" t="inlineStr">
        <is>
          <t>DPT202603119038</t>
        </is>
      </c>
      <c r="K312" s="609" t="inlineStr">
        <is>
          <t>1403260311180043</t>
        </is>
      </c>
      <c r="L312" s="913" t="n">
        <v>31.5619</v>
      </c>
    </row>
    <row r="313">
      <c r="A313" s="2" t="n">
        <v>244</v>
      </c>
      <c r="B313" s="878" t="inlineStr">
        <is>
          <t>chanhua</t>
        </is>
      </c>
      <c r="C313" s="236" t="n">
        <v>46090</v>
      </c>
      <c r="D313" s="879" t="inlineStr">
        <is>
          <t>新加坡比特</t>
        </is>
      </c>
      <c r="E313" s="393" t="inlineStr">
        <is>
          <t>ASECL</t>
        </is>
      </c>
      <c r="F313" s="393" t="inlineStr">
        <is>
          <t>THQG</t>
        </is>
      </c>
      <c r="G313" s="233" t="inlineStr">
        <is>
          <t>BM1370PF</t>
        </is>
      </c>
      <c r="H313" s="393" t="inlineStr">
        <is>
          <t>Y31010536</t>
        </is>
      </c>
      <c r="I313" s="393" t="n">
        <v>124359</v>
      </c>
      <c r="J313" s="912" t="inlineStr">
        <is>
          <t>DPT202603119039</t>
        </is>
      </c>
      <c r="K313" s="609" t="inlineStr">
        <is>
          <t>1403260311180053</t>
        </is>
      </c>
      <c r="L313" s="213" t="n">
        <v>8.632400000000001</v>
      </c>
    </row>
    <row r="314">
      <c r="A314" s="2" t="n">
        <v>245</v>
      </c>
      <c r="B314" s="878" t="inlineStr">
        <is>
          <t>chanhua</t>
        </is>
      </c>
      <c r="C314" s="236" t="n">
        <v>46090</v>
      </c>
      <c r="D314" s="879" t="inlineStr">
        <is>
          <t>新加坡比特</t>
        </is>
      </c>
      <c r="E314" s="393" t="inlineStr">
        <is>
          <t>ASECL</t>
        </is>
      </c>
      <c r="F314" s="393" t="inlineStr">
        <is>
          <t>THQG</t>
        </is>
      </c>
      <c r="G314" s="233" t="inlineStr">
        <is>
          <t>BM1373AA</t>
        </is>
      </c>
      <c r="H314" s="393" t="inlineStr">
        <is>
          <t>Y31010540</t>
        </is>
      </c>
      <c r="I314" s="393" t="n">
        <v>177600</v>
      </c>
      <c r="J314" s="234" t="inlineStr">
        <is>
          <t>DPT202603119031</t>
        </is>
      </c>
      <c r="K314" s="609" t="inlineStr">
        <is>
          <t>1403260311180100</t>
        </is>
      </c>
      <c r="L314" s="913" t="n">
        <v>31.5619</v>
      </c>
    </row>
    <row r="315">
      <c r="A315" s="2" t="n">
        <v>246</v>
      </c>
      <c r="B315" s="878" t="inlineStr">
        <is>
          <t>chanhua</t>
        </is>
      </c>
      <c r="C315" s="231" t="n">
        <v>46086</v>
      </c>
      <c r="D315" s="879" t="inlineStr">
        <is>
          <t>新加坡比特</t>
        </is>
      </c>
      <c r="E315" s="233" t="inlineStr">
        <is>
          <t>NJVT</t>
        </is>
      </c>
      <c r="F315" s="233" t="inlineStr">
        <is>
          <t>PIE</t>
        </is>
      </c>
      <c r="G315" s="233" t="inlineStr">
        <is>
          <t>BM1370PF</t>
        </is>
      </c>
      <c r="H315" s="233" t="inlineStr">
        <is>
          <t>Y31010536</t>
        </is>
      </c>
      <c r="I315" s="233" t="n">
        <v>300494</v>
      </c>
      <c r="J315" s="234" t="inlineStr">
        <is>
          <t>DPT202603119059</t>
        </is>
      </c>
      <c r="K315" s="609" t="inlineStr">
        <is>
          <t>1403260311180108</t>
        </is>
      </c>
      <c r="L315" s="213" t="n">
        <v>8.632400000000001</v>
      </c>
    </row>
    <row r="316">
      <c r="A316" s="2" t="n">
        <v>247</v>
      </c>
      <c r="B316" s="878" t="inlineStr">
        <is>
          <t>chanhua</t>
        </is>
      </c>
      <c r="C316" s="236" t="n">
        <v>46091</v>
      </c>
      <c r="D316" s="879" t="inlineStr">
        <is>
          <t>新加坡比特</t>
        </is>
      </c>
      <c r="E316" s="393" t="inlineStr">
        <is>
          <t>ASECL</t>
        </is>
      </c>
      <c r="F316" s="393" t="inlineStr">
        <is>
          <t>MOLT</t>
        </is>
      </c>
      <c r="G316" s="233" t="inlineStr">
        <is>
          <t>BM1370PF</t>
        </is>
      </c>
      <c r="H316" s="393" t="inlineStr">
        <is>
          <t>Y31010536</t>
        </is>
      </c>
      <c r="I316" s="157" t="n">
        <v>152836</v>
      </c>
      <c r="J316" s="234" t="inlineStr">
        <is>
          <t>DPT202603119088</t>
        </is>
      </c>
      <c r="K316" s="609" t="inlineStr">
        <is>
          <t>1403260311203904</t>
        </is>
      </c>
      <c r="L316" s="213" t="n">
        <v>8.632400000000001</v>
      </c>
    </row>
    <row r="317" ht="16.5" customHeight="1" s="184">
      <c r="A317" s="2" t="n">
        <v>248</v>
      </c>
      <c r="B317" s="866" t="inlineStr">
        <is>
          <t>chanhua</t>
        </is>
      </c>
      <c r="C317" s="236" t="n">
        <v>46092</v>
      </c>
      <c r="D317" s="866" t="inlineStr">
        <is>
          <t>新加坡比特</t>
        </is>
      </c>
      <c r="E317" s="866" t="inlineStr">
        <is>
          <t>WX-HN</t>
        </is>
      </c>
      <c r="F317" s="866" t="inlineStr">
        <is>
          <t>MOLT</t>
        </is>
      </c>
      <c r="G317" s="866" t="inlineStr">
        <is>
          <t>BM1370PF</t>
        </is>
      </c>
      <c r="H317" s="866" t="inlineStr">
        <is>
          <t>Y31010536</t>
        </is>
      </c>
      <c r="I317" s="225" t="n">
        <v>248207</v>
      </c>
      <c r="J317" s="866" t="inlineStr">
        <is>
          <t>DPT202603129088</t>
        </is>
      </c>
      <c r="K317" s="237" t="inlineStr">
        <is>
          <t>1403260312141752</t>
        </is>
      </c>
      <c r="L317" s="213" t="n">
        <v>8.632400000000001</v>
      </c>
    </row>
    <row r="318">
      <c r="A318" s="2" t="n">
        <v>249</v>
      </c>
      <c r="B318" s="878" t="inlineStr">
        <is>
          <t>chanhua</t>
        </is>
      </c>
      <c r="C318" s="236" t="n">
        <v>46094</v>
      </c>
      <c r="D318" s="879" t="inlineStr">
        <is>
          <t>新加坡比特</t>
        </is>
      </c>
      <c r="E318" s="233" t="inlineStr">
        <is>
          <t>SPILSZ</t>
        </is>
      </c>
      <c r="F318" s="393" t="inlineStr">
        <is>
          <t>THQG</t>
        </is>
      </c>
      <c r="G318" s="393" t="inlineStr">
        <is>
          <t>BM1373AA</t>
        </is>
      </c>
      <c r="H318" s="393" t="inlineStr">
        <is>
          <t>Y31010540</t>
        </is>
      </c>
      <c r="I318" s="393" t="n">
        <v>42000</v>
      </c>
      <c r="J318" s="234" t="inlineStr">
        <is>
          <t>DPT202603139011</t>
        </is>
      </c>
      <c r="K318" s="620" t="inlineStr">
        <is>
          <t>1403260313160357</t>
        </is>
      </c>
      <c r="L318" s="899" t="n">
        <v>31.5619</v>
      </c>
    </row>
    <row r="319">
      <c r="A319" s="2" t="n">
        <v>250</v>
      </c>
      <c r="B319" s="878" t="inlineStr">
        <is>
          <t>chanhua</t>
        </is>
      </c>
      <c r="C319" s="236" t="n">
        <v>46094</v>
      </c>
      <c r="D319" s="879" t="inlineStr">
        <is>
          <t>新加坡比特</t>
        </is>
      </c>
      <c r="E319" s="393" t="inlineStr">
        <is>
          <t>ASECL</t>
        </is>
      </c>
      <c r="F319" s="393" t="inlineStr">
        <is>
          <t>MOLT</t>
        </is>
      </c>
      <c r="G319" s="233" t="inlineStr">
        <is>
          <t>BM1370PF</t>
        </is>
      </c>
      <c r="H319" s="393" t="inlineStr">
        <is>
          <t>Y31010536</t>
        </is>
      </c>
      <c r="I319" s="215" t="n">
        <v>563398</v>
      </c>
      <c r="J319" s="234" t="inlineStr">
        <is>
          <t>DPT202603139012</t>
        </is>
      </c>
      <c r="K319" s="237" t="inlineStr">
        <is>
          <t>‘1403260313171347</t>
        </is>
      </c>
      <c r="L319" s="213" t="n">
        <v>8.632400000000001</v>
      </c>
    </row>
    <row r="320">
      <c r="A320" s="2" t="n">
        <v>251</v>
      </c>
      <c r="B320" s="878" t="inlineStr">
        <is>
          <t>chanhua</t>
        </is>
      </c>
      <c r="C320" s="236" t="n">
        <v>46097</v>
      </c>
      <c r="D320" s="879" t="inlineStr">
        <is>
          <t>新加坡比特</t>
        </is>
      </c>
      <c r="E320" s="393" t="inlineStr">
        <is>
          <t>ASECL</t>
        </is>
      </c>
      <c r="F320" s="393" t="inlineStr">
        <is>
          <t>THQG</t>
        </is>
      </c>
      <c r="G320" s="233" t="inlineStr">
        <is>
          <t>BM1373CC</t>
        </is>
      </c>
      <c r="H320" s="393" t="inlineStr">
        <is>
          <t>Y31010549</t>
        </is>
      </c>
      <c r="I320" s="233" t="n">
        <v>214800</v>
      </c>
      <c r="J320" s="234" t="inlineStr">
        <is>
          <t>DPT202603169012</t>
        </is>
      </c>
      <c r="K320" s="237" t="inlineStr">
        <is>
          <t>’1403260318160520</t>
        </is>
      </c>
      <c r="L320" s="899" t="n">
        <v>31.5619</v>
      </c>
    </row>
    <row r="321">
      <c r="A321" s="2" t="n">
        <v>252</v>
      </c>
      <c r="B321" s="878" t="inlineStr">
        <is>
          <t>chanhua</t>
        </is>
      </c>
      <c r="C321" s="236" t="n">
        <v>46097</v>
      </c>
      <c r="D321" s="879" t="inlineStr">
        <is>
          <t>新加坡比特</t>
        </is>
      </c>
      <c r="E321" s="393" t="inlineStr">
        <is>
          <t>ASECL</t>
        </is>
      </c>
      <c r="F321" s="393" t="inlineStr">
        <is>
          <t>THQG</t>
        </is>
      </c>
      <c r="G321" s="393" t="inlineStr">
        <is>
          <t>BM1373AA</t>
        </is>
      </c>
      <c r="H321" s="393" t="inlineStr">
        <is>
          <t>Y31010540</t>
        </is>
      </c>
      <c r="I321" s="233" t="n">
        <v>80400</v>
      </c>
      <c r="J321" s="234" t="inlineStr">
        <is>
          <t>DPT202603169013</t>
        </is>
      </c>
      <c r="K321" s="237" t="inlineStr">
        <is>
          <t>‘1403260318160529</t>
        </is>
      </c>
      <c r="L321" s="899" t="n">
        <v>31.5619</v>
      </c>
    </row>
    <row r="322">
      <c r="A322" s="2" t="n">
        <v>253</v>
      </c>
      <c r="B322" s="878" t="inlineStr">
        <is>
          <t>chanhua</t>
        </is>
      </c>
      <c r="C322" s="236" t="n">
        <v>46097</v>
      </c>
      <c r="D322" s="879" t="inlineStr">
        <is>
          <t>新加坡比特</t>
        </is>
      </c>
      <c r="E322" s="393" t="inlineStr">
        <is>
          <t>ASECL</t>
        </is>
      </c>
      <c r="F322" s="393" t="inlineStr">
        <is>
          <t>PIE</t>
        </is>
      </c>
      <c r="G322" s="233" t="inlineStr">
        <is>
          <t>BM1373CC</t>
        </is>
      </c>
      <c r="H322" s="393" t="inlineStr">
        <is>
          <t>Y31010549</t>
        </is>
      </c>
      <c r="I322" s="233" t="n">
        <v>63600</v>
      </c>
      <c r="J322" s="234" t="inlineStr">
        <is>
          <t>DPT202603169014</t>
        </is>
      </c>
      <c r="K322" s="237" t="inlineStr">
        <is>
          <t>’1403260318160538</t>
        </is>
      </c>
      <c r="L322" s="899" t="n">
        <v>31.5619</v>
      </c>
    </row>
    <row r="323">
      <c r="A323" s="2" t="n">
        <v>254</v>
      </c>
      <c r="B323" s="878" t="inlineStr">
        <is>
          <t>chanhua</t>
        </is>
      </c>
      <c r="C323" s="236" t="n">
        <v>46097</v>
      </c>
      <c r="D323" s="879" t="inlineStr">
        <is>
          <t>新加坡比特</t>
        </is>
      </c>
      <c r="E323" s="393" t="inlineStr">
        <is>
          <t>ASECL</t>
        </is>
      </c>
      <c r="F323" s="393" t="inlineStr">
        <is>
          <t>PIE</t>
        </is>
      </c>
      <c r="G323" s="393" t="inlineStr">
        <is>
          <t>BM1373AA</t>
        </is>
      </c>
      <c r="H323" s="393" t="inlineStr">
        <is>
          <t>Y31010540</t>
        </is>
      </c>
      <c r="I323" s="233" t="n">
        <v>74400</v>
      </c>
      <c r="J323" s="234" t="inlineStr">
        <is>
          <t>DPT202603169015</t>
        </is>
      </c>
      <c r="K323" s="237" t="inlineStr">
        <is>
          <t>‘1403260318160547</t>
        </is>
      </c>
      <c r="L323" s="899" t="n">
        <v>31.5619</v>
      </c>
    </row>
    <row r="324">
      <c r="A324" s="2" t="n">
        <v>255</v>
      </c>
      <c r="B324" s="878" t="inlineStr">
        <is>
          <t>chanhua</t>
        </is>
      </c>
      <c r="C324" s="236" t="n">
        <v>46097</v>
      </c>
      <c r="D324" s="879" t="inlineStr">
        <is>
          <t>新加坡比特</t>
        </is>
      </c>
      <c r="E324" s="393" t="inlineStr">
        <is>
          <t>ASECL</t>
        </is>
      </c>
      <c r="F324" s="393" t="inlineStr">
        <is>
          <t>PIE</t>
        </is>
      </c>
      <c r="G324" s="233" t="inlineStr">
        <is>
          <t>BM1370PF</t>
        </is>
      </c>
      <c r="H324" s="393" t="inlineStr">
        <is>
          <t>Y31010536</t>
        </is>
      </c>
      <c r="I324" s="157" t="n">
        <v>34775</v>
      </c>
      <c r="J324" s="234" t="inlineStr">
        <is>
          <t>DPT202603169016</t>
        </is>
      </c>
      <c r="K324" s="237" t="inlineStr">
        <is>
          <t>’1403260318160605</t>
        </is>
      </c>
      <c r="L324" s="213" t="n">
        <v>8.632400000000001</v>
      </c>
    </row>
    <row r="325">
      <c r="A325" s="2" t="n">
        <v>256</v>
      </c>
      <c r="B325" s="878" t="inlineStr">
        <is>
          <t>chanhua</t>
        </is>
      </c>
      <c r="C325" s="236" t="n">
        <v>46097</v>
      </c>
      <c r="D325" s="879" t="inlineStr">
        <is>
          <t>新加坡比特</t>
        </is>
      </c>
      <c r="E325" s="393" t="inlineStr">
        <is>
          <t>XJ</t>
        </is>
      </c>
      <c r="F325" s="393" t="inlineStr">
        <is>
          <t>PIE</t>
        </is>
      </c>
      <c r="G325" s="233" t="inlineStr">
        <is>
          <t>BM1370PF</t>
        </is>
      </c>
      <c r="H325" s="393" t="inlineStr">
        <is>
          <t>Y31010536</t>
        </is>
      </c>
      <c r="I325" s="157" t="n">
        <v>59742</v>
      </c>
      <c r="J325" s="234" t="inlineStr">
        <is>
          <t>DPT202603169017</t>
        </is>
      </c>
      <c r="K325" s="237" t="inlineStr">
        <is>
          <t>‘1403260318160613</t>
        </is>
      </c>
      <c r="L325" s="213" t="n">
        <v>8.632400000000001</v>
      </c>
    </row>
    <row r="326">
      <c r="A326" s="2" t="n">
        <v>257</v>
      </c>
      <c r="B326" s="878" t="inlineStr">
        <is>
          <t>chanhua</t>
        </is>
      </c>
      <c r="C326" s="236" t="n">
        <v>46097</v>
      </c>
      <c r="D326" s="879" t="inlineStr">
        <is>
          <t>新加坡比特</t>
        </is>
      </c>
      <c r="E326" s="393" t="inlineStr">
        <is>
          <t>XJ</t>
        </is>
      </c>
      <c r="F326" s="393" t="inlineStr">
        <is>
          <t>PIE</t>
        </is>
      </c>
      <c r="G326" s="866" t="inlineStr">
        <is>
          <t>BM1746AA</t>
        </is>
      </c>
      <c r="H326" s="216" t="inlineStr">
        <is>
          <t>Y09BM1746010</t>
        </is>
      </c>
      <c r="I326" s="157" t="n">
        <v>10451</v>
      </c>
      <c r="J326" s="234" t="inlineStr">
        <is>
          <t>DPT202603169018</t>
        </is>
      </c>
      <c r="K326" s="237" t="inlineStr">
        <is>
          <t>’1403260318160622</t>
        </is>
      </c>
      <c r="L326" s="902" t="n">
        <v>53.3444</v>
      </c>
    </row>
    <row r="327" ht="17.25" customHeight="1" s="184">
      <c r="A327" s="2" t="n">
        <v>258</v>
      </c>
      <c r="B327" s="878" t="inlineStr">
        <is>
          <t>chanhua</t>
        </is>
      </c>
      <c r="C327" s="236" t="n">
        <v>46097</v>
      </c>
      <c r="D327" s="879" t="inlineStr">
        <is>
          <t>新加坡比特</t>
        </is>
      </c>
      <c r="E327" s="393" t="inlineStr">
        <is>
          <t>XJ</t>
        </is>
      </c>
      <c r="F327" s="393" t="inlineStr">
        <is>
          <t>THQG</t>
        </is>
      </c>
      <c r="G327" s="917" t="inlineStr">
        <is>
          <t>BM1491AA</t>
        </is>
      </c>
      <c r="H327" s="233" t="inlineStr">
        <is>
          <t>Y31030502</t>
        </is>
      </c>
      <c r="I327" s="157" t="n">
        <v>5835</v>
      </c>
      <c r="J327" s="234" t="inlineStr">
        <is>
          <t>DPT202603169019</t>
        </is>
      </c>
      <c r="K327" s="237" t="inlineStr">
        <is>
          <t>‘1403260318160633</t>
        </is>
      </c>
      <c r="L327" s="915" t="n">
        <v>12.745</v>
      </c>
    </row>
    <row r="328">
      <c r="A328" s="2" t="n">
        <v>259</v>
      </c>
      <c r="B328" s="878" t="inlineStr">
        <is>
          <t>chanhua</t>
        </is>
      </c>
      <c r="C328" s="236" t="n">
        <v>46097</v>
      </c>
      <c r="D328" s="879" t="inlineStr">
        <is>
          <t>新加坡比特</t>
        </is>
      </c>
      <c r="E328" s="393" t="inlineStr">
        <is>
          <t>XJ</t>
        </is>
      </c>
      <c r="F328" s="393" t="inlineStr">
        <is>
          <t>THQG</t>
        </is>
      </c>
      <c r="G328" s="866" t="inlineStr">
        <is>
          <t>BM1746AA</t>
        </is>
      </c>
      <c r="H328" s="216" t="inlineStr">
        <is>
          <t>Y09BM1746010</t>
        </is>
      </c>
      <c r="I328" s="157" t="n">
        <v>9830</v>
      </c>
      <c r="J328" s="234" t="inlineStr">
        <is>
          <t>DPT202603169020</t>
        </is>
      </c>
      <c r="K328" s="237" t="inlineStr">
        <is>
          <t>’1403260318160645</t>
        </is>
      </c>
      <c r="L328" s="902" t="n">
        <v>53.3444</v>
      </c>
    </row>
    <row r="329">
      <c r="A329" s="2" t="n">
        <v>260</v>
      </c>
      <c r="B329" s="878" t="inlineStr">
        <is>
          <t>chanhua</t>
        </is>
      </c>
      <c r="C329" s="236" t="n">
        <v>46102</v>
      </c>
      <c r="D329" s="879" t="inlineStr">
        <is>
          <t>新加坡比特</t>
        </is>
      </c>
      <c r="E329" s="393" t="inlineStr">
        <is>
          <t>XJ</t>
        </is>
      </c>
      <c r="F329" s="393" t="inlineStr">
        <is>
          <t>PIE</t>
        </is>
      </c>
      <c r="G329" s="233" t="inlineStr">
        <is>
          <t>BM1370PA</t>
        </is>
      </c>
      <c r="H329" s="393" t="inlineStr">
        <is>
          <t>Y31010530</t>
        </is>
      </c>
      <c r="I329" s="157" t="n">
        <v>16881</v>
      </c>
      <c r="J329" s="912" t="inlineStr">
        <is>
          <t>DPT202603239020</t>
        </is>
      </c>
      <c r="K329" s="620" t="inlineStr">
        <is>
          <t>1403260323091835</t>
        </is>
      </c>
      <c r="L329" s="213" t="n">
        <v>8.632400000000001</v>
      </c>
    </row>
    <row r="330">
      <c r="A330" s="2" t="n">
        <v>261</v>
      </c>
      <c r="B330" s="878" t="inlineStr">
        <is>
          <t>chanhua</t>
        </is>
      </c>
      <c r="C330" s="236" t="n">
        <v>46102</v>
      </c>
      <c r="D330" s="879" t="inlineStr">
        <is>
          <t>新加坡比特</t>
        </is>
      </c>
      <c r="E330" s="393" t="inlineStr">
        <is>
          <t>XJ</t>
        </is>
      </c>
      <c r="F330" s="393" t="inlineStr">
        <is>
          <t>PIE</t>
        </is>
      </c>
      <c r="G330" s="866" t="inlineStr">
        <is>
          <t>BM1370PF</t>
        </is>
      </c>
      <c r="H330" s="866" t="inlineStr">
        <is>
          <t>Y31010536</t>
        </is>
      </c>
      <c r="I330" s="157" t="n">
        <v>14578</v>
      </c>
      <c r="J330" s="911" t="inlineStr">
        <is>
          <t>DPT202603239019</t>
        </is>
      </c>
      <c r="K330" s="620" t="inlineStr">
        <is>
          <t>1403260323091820</t>
        </is>
      </c>
      <c r="L330" s="213" t="n">
        <v>8.632400000000001</v>
      </c>
    </row>
    <row r="331">
      <c r="A331" s="2" t="n">
        <v>262</v>
      </c>
      <c r="B331" s="878" t="inlineStr">
        <is>
          <t>chanhua</t>
        </is>
      </c>
      <c r="C331" s="236" t="n">
        <v>46104</v>
      </c>
      <c r="D331" s="879" t="inlineStr">
        <is>
          <t>新加坡比特</t>
        </is>
      </c>
      <c r="E331" s="393" t="inlineStr">
        <is>
          <t>ASECL</t>
        </is>
      </c>
      <c r="F331" s="393" t="inlineStr">
        <is>
          <t>MOLT</t>
        </is>
      </c>
      <c r="G331" s="393" t="inlineStr">
        <is>
          <t>BM1373AA</t>
        </is>
      </c>
      <c r="H331" s="393" t="inlineStr">
        <is>
          <t>Y31010540</t>
        </is>
      </c>
      <c r="I331" s="157" t="n">
        <v>278400</v>
      </c>
      <c r="J331" s="234" t="inlineStr">
        <is>
          <t>DPT202603249020</t>
        </is>
      </c>
      <c r="K331" s="620" t="inlineStr">
        <is>
          <t>1403260331093542</t>
        </is>
      </c>
      <c r="L331" s="899" t="n">
        <v>31.5619</v>
      </c>
    </row>
    <row r="332">
      <c r="A332" s="2" t="n">
        <v>263</v>
      </c>
      <c r="B332" s="878" t="inlineStr">
        <is>
          <t>chanhua</t>
        </is>
      </c>
      <c r="C332" s="236" t="n">
        <v>46104</v>
      </c>
      <c r="D332" s="879" t="inlineStr">
        <is>
          <t>新加坡比特</t>
        </is>
      </c>
      <c r="E332" s="393" t="inlineStr">
        <is>
          <t>ASECL</t>
        </is>
      </c>
      <c r="F332" s="393" t="inlineStr">
        <is>
          <t>MOLT</t>
        </is>
      </c>
      <c r="G332" s="233" t="inlineStr">
        <is>
          <t>BM1373CC</t>
        </is>
      </c>
      <c r="H332" s="393" t="inlineStr">
        <is>
          <t>Y31010549</t>
        </is>
      </c>
      <c r="I332" s="157" t="n">
        <v>1423200</v>
      </c>
      <c r="J332" s="912" t="inlineStr">
        <is>
          <t>DPT202603249021</t>
        </is>
      </c>
      <c r="K332" s="620" t="inlineStr">
        <is>
          <t>1403260331093556</t>
        </is>
      </c>
      <c r="L332" s="213" t="n">
        <v>8.632400000000001</v>
      </c>
    </row>
    <row r="333">
      <c r="A333" s="2" t="n">
        <v>264</v>
      </c>
      <c r="B333" s="878" t="inlineStr">
        <is>
          <t>chanhua</t>
        </is>
      </c>
      <c r="C333" s="236" t="n">
        <v>46104</v>
      </c>
      <c r="D333" s="879" t="inlineStr">
        <is>
          <t>新加坡比特</t>
        </is>
      </c>
      <c r="E333" s="393" t="inlineStr">
        <is>
          <t>ASECL</t>
        </is>
      </c>
      <c r="F333" s="393" t="inlineStr">
        <is>
          <t>PIE</t>
        </is>
      </c>
      <c r="G333" s="866" t="inlineStr">
        <is>
          <t>BM1370PF</t>
        </is>
      </c>
      <c r="H333" s="866" t="inlineStr">
        <is>
          <t>Y31010536</t>
        </is>
      </c>
      <c r="I333" s="157" t="n">
        <v>9566</v>
      </c>
      <c r="J333" s="911" t="inlineStr">
        <is>
          <t>DPT202603249019</t>
        </is>
      </c>
      <c r="K333" s="620" t="inlineStr">
        <is>
          <t>1403260331093607</t>
        </is>
      </c>
      <c r="L333" s="213" t="n">
        <v>8.632400000000001</v>
      </c>
    </row>
    <row r="334">
      <c r="A334" s="2" t="n">
        <v>265</v>
      </c>
      <c r="B334" s="878" t="inlineStr">
        <is>
          <t>chanhua</t>
        </is>
      </c>
      <c r="C334" s="236" t="n">
        <v>46102</v>
      </c>
      <c r="D334" s="879" t="inlineStr">
        <is>
          <t>新加坡比特</t>
        </is>
      </c>
      <c r="E334" s="393" t="inlineStr">
        <is>
          <t>SPILSZ</t>
        </is>
      </c>
      <c r="F334" s="393" t="inlineStr">
        <is>
          <t>MOLT</t>
        </is>
      </c>
      <c r="G334" s="233" t="inlineStr">
        <is>
          <t>BM1373CC</t>
        </is>
      </c>
      <c r="H334" s="393" t="inlineStr">
        <is>
          <t>Y31010549</t>
        </is>
      </c>
      <c r="I334" s="393" t="n">
        <v>364000</v>
      </c>
      <c r="J334" s="234" t="inlineStr">
        <is>
          <t>DPT202603259013</t>
        </is>
      </c>
      <c r="K334" s="615" t="inlineStr">
        <is>
          <t>1403260331094025</t>
        </is>
      </c>
      <c r="L334" s="899" t="n">
        <v>31.5619</v>
      </c>
    </row>
    <row r="335">
      <c r="A335" s="2" t="n">
        <v>266</v>
      </c>
      <c r="B335" s="878" t="inlineStr">
        <is>
          <t>chanhua</t>
        </is>
      </c>
      <c r="C335" s="236" t="n">
        <v>46103</v>
      </c>
      <c r="D335" s="879" t="inlineStr">
        <is>
          <t>新加坡比特</t>
        </is>
      </c>
      <c r="E335" s="393" t="inlineStr">
        <is>
          <t>SPILSZ</t>
        </is>
      </c>
      <c r="F335" s="393" t="inlineStr">
        <is>
          <t>MOLT</t>
        </is>
      </c>
      <c r="G335" s="233" t="inlineStr">
        <is>
          <t>BM1373CC</t>
        </is>
      </c>
      <c r="H335" s="393" t="inlineStr">
        <is>
          <t>Y31010549</t>
        </is>
      </c>
      <c r="I335" s="393" t="n">
        <v>140000</v>
      </c>
      <c r="J335" s="234" t="inlineStr">
        <is>
          <t>DPT202603259013</t>
        </is>
      </c>
      <c r="K335" s="615" t="inlineStr">
        <is>
          <t>1403260331094025</t>
        </is>
      </c>
      <c r="L335" s="899" t="n">
        <v>31.5619</v>
      </c>
    </row>
    <row r="336">
      <c r="A336" s="2" t="n">
        <v>267</v>
      </c>
      <c r="B336" s="878" t="inlineStr">
        <is>
          <t>chanhua</t>
        </is>
      </c>
      <c r="C336" s="236" t="n">
        <v>46104</v>
      </c>
      <c r="D336" s="879" t="inlineStr">
        <is>
          <t>新加坡比特</t>
        </is>
      </c>
      <c r="E336" s="393" t="inlineStr">
        <is>
          <t>SPILSZ</t>
        </is>
      </c>
      <c r="F336" s="393" t="inlineStr">
        <is>
          <t>MOLT</t>
        </is>
      </c>
      <c r="G336" s="233" t="inlineStr">
        <is>
          <t>BM1373CC</t>
        </is>
      </c>
      <c r="H336" s="393" t="inlineStr">
        <is>
          <t>Y31010549</t>
        </is>
      </c>
      <c r="I336" s="393" t="n">
        <v>646547</v>
      </c>
      <c r="J336" s="234" t="inlineStr">
        <is>
          <t>DPT202603259013</t>
        </is>
      </c>
      <c r="K336" s="615" t="inlineStr">
        <is>
          <t>1403260331094025</t>
        </is>
      </c>
      <c r="L336" s="899" t="n">
        <v>31.5619</v>
      </c>
    </row>
    <row r="337">
      <c r="A337" s="2" t="n">
        <v>268</v>
      </c>
      <c r="B337" s="878" t="inlineStr">
        <is>
          <t>chanhua</t>
        </is>
      </c>
      <c r="C337" s="236" t="n">
        <v>46104</v>
      </c>
      <c r="D337" s="879" t="inlineStr">
        <is>
          <t>新加坡比特</t>
        </is>
      </c>
      <c r="E337" s="393" t="inlineStr">
        <is>
          <t>SPILSZ</t>
        </is>
      </c>
      <c r="F337" s="393" t="inlineStr">
        <is>
          <t>THQG</t>
        </is>
      </c>
      <c r="G337" s="233" t="inlineStr">
        <is>
          <t>BM1373AA</t>
        </is>
      </c>
      <c r="H337" s="393" t="inlineStr">
        <is>
          <t>Y31010540</t>
        </is>
      </c>
      <c r="I337" s="393" t="n">
        <v>343155</v>
      </c>
      <c r="J337" s="234" t="inlineStr">
        <is>
          <t>DPT202603259014</t>
        </is>
      </c>
      <c r="K337" s="615" t="inlineStr">
        <is>
          <t>1403260331094035</t>
        </is>
      </c>
      <c r="L337" s="899" t="n">
        <v>31.5619</v>
      </c>
    </row>
    <row r="338">
      <c r="A338" s="2" t="n">
        <v>269</v>
      </c>
      <c r="B338" s="878" t="inlineStr">
        <is>
          <t>chanhua</t>
        </is>
      </c>
      <c r="C338" s="236" t="n">
        <v>46104</v>
      </c>
      <c r="D338" s="879" t="inlineStr">
        <is>
          <t>新加坡比特</t>
        </is>
      </c>
      <c r="E338" s="393" t="inlineStr">
        <is>
          <t>SPILSZ</t>
        </is>
      </c>
      <c r="F338" s="393" t="inlineStr">
        <is>
          <t>Keytronic</t>
        </is>
      </c>
      <c r="G338" s="233" t="inlineStr">
        <is>
          <t>BM1373CC</t>
        </is>
      </c>
      <c r="H338" s="393" t="inlineStr">
        <is>
          <t>Y31010549</t>
        </is>
      </c>
      <c r="I338" s="393" t="n">
        <v>252376</v>
      </c>
      <c r="J338" s="234" t="inlineStr">
        <is>
          <t>BTG202603259019</t>
        </is>
      </c>
      <c r="K338" s="918" t="inlineStr">
        <is>
          <t>1155260330145436</t>
        </is>
      </c>
      <c r="L338" s="899" t="n">
        <v>31.5619</v>
      </c>
    </row>
    <row r="339">
      <c r="A339" s="2" t="n">
        <v>270</v>
      </c>
      <c r="B339" s="878" t="inlineStr">
        <is>
          <t>chanhua</t>
        </is>
      </c>
      <c r="C339" s="231" t="n">
        <v>46104</v>
      </c>
      <c r="D339" s="879" t="inlineStr">
        <is>
          <t>新加坡比特</t>
        </is>
      </c>
      <c r="E339" s="393" t="inlineStr">
        <is>
          <t>SPILSZ</t>
        </is>
      </c>
      <c r="F339" s="393" t="inlineStr">
        <is>
          <t>Meritronics</t>
        </is>
      </c>
      <c r="G339" s="233" t="inlineStr">
        <is>
          <t>BM1373AA</t>
        </is>
      </c>
      <c r="H339" s="393" t="inlineStr">
        <is>
          <t>Y31010540</t>
        </is>
      </c>
      <c r="I339" s="393" t="n">
        <v>132976</v>
      </c>
      <c r="J339" s="919" t="inlineStr">
        <is>
          <t>BTG202603309019</t>
        </is>
      </c>
      <c r="K339" s="615" t="inlineStr">
        <is>
          <t>1155260330145818</t>
        </is>
      </c>
      <c r="L339" s="899" t="n">
        <v>31.5619</v>
      </c>
    </row>
    <row r="340">
      <c r="A340" s="2" t="n">
        <v>271</v>
      </c>
      <c r="B340" s="878" t="inlineStr">
        <is>
          <t>chanhua</t>
        </is>
      </c>
      <c r="C340" s="236" t="n">
        <v>46104</v>
      </c>
      <c r="D340" s="879" t="inlineStr">
        <is>
          <t>新加坡比特</t>
        </is>
      </c>
      <c r="E340" s="393" t="inlineStr">
        <is>
          <t>SPILSZ</t>
        </is>
      </c>
      <c r="F340" s="393" t="inlineStr">
        <is>
          <t>THQG</t>
        </is>
      </c>
      <c r="G340" s="233" t="inlineStr">
        <is>
          <t>BM1373AA</t>
        </is>
      </c>
      <c r="H340" s="393" t="inlineStr">
        <is>
          <t>Y31010540</t>
        </is>
      </c>
      <c r="I340" s="393" t="n">
        <v>225980</v>
      </c>
      <c r="J340" s="234" t="inlineStr">
        <is>
          <t>DPT202603259015</t>
        </is>
      </c>
      <c r="K340" s="615" t="inlineStr">
        <is>
          <t>1403260331094100</t>
        </is>
      </c>
      <c r="L340" s="899" t="n">
        <v>31.5619</v>
      </c>
    </row>
    <row r="341">
      <c r="A341" s="2" t="n">
        <v>272</v>
      </c>
      <c r="B341" s="878" t="inlineStr">
        <is>
          <t>chanhua</t>
        </is>
      </c>
      <c r="C341" s="236" t="n">
        <v>46104</v>
      </c>
      <c r="D341" s="879" t="inlineStr">
        <is>
          <t>新加坡比特</t>
        </is>
      </c>
      <c r="E341" s="393" t="inlineStr">
        <is>
          <t>SPILSZ</t>
        </is>
      </c>
      <c r="F341" s="393" t="inlineStr">
        <is>
          <t>MOLT</t>
        </is>
      </c>
      <c r="G341" s="233" t="inlineStr">
        <is>
          <t>BM1373CC</t>
        </is>
      </c>
      <c r="H341" s="393" t="inlineStr">
        <is>
          <t>Y31010549</t>
        </is>
      </c>
      <c r="I341" s="393" t="n">
        <v>191696</v>
      </c>
      <c r="J341" s="234" t="inlineStr">
        <is>
          <t>DPT202603259016</t>
        </is>
      </c>
      <c r="K341" s="615" t="inlineStr">
        <is>
          <t>1403260331094110</t>
        </is>
      </c>
      <c r="L341" s="899" t="n">
        <v>31.5619</v>
      </c>
    </row>
    <row r="342" ht="17.25" customHeight="1" s="184">
      <c r="A342" s="2" t="n">
        <v>273</v>
      </c>
      <c r="B342" s="878" t="inlineStr">
        <is>
          <t>chanhua</t>
        </is>
      </c>
      <c r="C342" s="236" t="n">
        <v>46108</v>
      </c>
      <c r="D342" s="879" t="inlineStr">
        <is>
          <t>新加坡比特</t>
        </is>
      </c>
      <c r="E342" s="393" t="inlineStr">
        <is>
          <t>XJ</t>
        </is>
      </c>
      <c r="F342" s="393" t="inlineStr">
        <is>
          <t>PIE</t>
        </is>
      </c>
      <c r="G342" s="920" t="inlineStr">
        <is>
          <t>BM1746AA</t>
        </is>
      </c>
      <c r="H342" s="216" t="inlineStr">
        <is>
          <t>Y09BM1746010</t>
        </is>
      </c>
      <c r="I342" s="393" t="n">
        <v>10449</v>
      </c>
      <c r="J342" s="912" t="inlineStr">
        <is>
          <t>DPT202603319020</t>
        </is>
      </c>
      <c r="K342" s="911" t="inlineStr">
        <is>
          <t>1403260331103222</t>
        </is>
      </c>
      <c r="L342" s="902" t="n">
        <v>53.3444</v>
      </c>
    </row>
    <row r="343">
      <c r="A343" s="2" t="n">
        <v>274</v>
      </c>
      <c r="B343" s="878" t="inlineStr">
        <is>
          <t>chanhua</t>
        </is>
      </c>
      <c r="C343" s="236" t="n">
        <v>46113</v>
      </c>
      <c r="D343" s="879" t="inlineStr">
        <is>
          <t>新加坡比特</t>
        </is>
      </c>
      <c r="E343" s="393" t="inlineStr">
        <is>
          <t>SPILSZ</t>
        </is>
      </c>
      <c r="F343" s="393" t="inlineStr">
        <is>
          <t>THQG</t>
        </is>
      </c>
      <c r="G343" s="921" t="inlineStr">
        <is>
          <t>BM1373CC</t>
        </is>
      </c>
      <c r="H343" s="393" t="inlineStr">
        <is>
          <t>Y31010549</t>
        </is>
      </c>
      <c r="I343" s="393" t="n">
        <v>30103</v>
      </c>
      <c r="J343" s="234" t="inlineStr">
        <is>
          <t>DPT202604011000</t>
        </is>
      </c>
      <c r="K343" s="237" t="inlineStr">
        <is>
          <t>1403260401152749</t>
        </is>
      </c>
      <c r="L343" s="902" t="n">
        <v>31.5619</v>
      </c>
    </row>
    <row r="344">
      <c r="A344" s="2" t="n">
        <v>275</v>
      </c>
      <c r="B344" s="878" t="inlineStr">
        <is>
          <t>chanhua</t>
        </is>
      </c>
      <c r="C344" s="236" t="n">
        <v>46113</v>
      </c>
      <c r="D344" s="879" t="inlineStr">
        <is>
          <t>新加坡比特</t>
        </is>
      </c>
      <c r="E344" s="393" t="inlineStr">
        <is>
          <t>WX-HN</t>
        </is>
      </c>
      <c r="F344" s="393" t="inlineStr">
        <is>
          <t>PIE</t>
        </is>
      </c>
      <c r="G344" s="921" t="inlineStr">
        <is>
          <t>BM1370PA</t>
        </is>
      </c>
      <c r="H344" s="393" t="inlineStr">
        <is>
          <t>Y31010530</t>
        </is>
      </c>
      <c r="I344" s="393" t="n">
        <v>14862</v>
      </c>
      <c r="J344" s="234" t="inlineStr">
        <is>
          <t>DPT202604011001</t>
        </is>
      </c>
      <c r="K344" s="620" t="inlineStr">
        <is>
          <t>1403260401165408</t>
        </is>
      </c>
      <c r="L344" s="902" t="n">
        <v>8.632400000000001</v>
      </c>
    </row>
    <row r="345">
      <c r="A345" s="2" t="n">
        <v>276</v>
      </c>
      <c r="B345" s="878" t="inlineStr">
        <is>
          <t>chanhua</t>
        </is>
      </c>
      <c r="C345" s="236" t="n">
        <v>46113</v>
      </c>
      <c r="D345" s="879" t="inlineStr">
        <is>
          <t>新加坡比特</t>
        </is>
      </c>
      <c r="E345" s="393" t="inlineStr">
        <is>
          <t>WX-HN</t>
        </is>
      </c>
      <c r="F345" s="393" t="inlineStr">
        <is>
          <t>PIE</t>
        </is>
      </c>
      <c r="G345" s="222" t="inlineStr">
        <is>
          <t>BM1370PF</t>
        </is>
      </c>
      <c r="H345" s="393" t="inlineStr">
        <is>
          <t>Y31010536</t>
        </is>
      </c>
      <c r="I345" s="393" t="n">
        <v>93000</v>
      </c>
      <c r="J345" s="234" t="inlineStr">
        <is>
          <t>DPT202604011002</t>
        </is>
      </c>
      <c r="K345" s="620" t="inlineStr">
        <is>
          <t>1403260401165427</t>
        </is>
      </c>
      <c r="L345" s="902" t="n">
        <v>8.632400000000001</v>
      </c>
    </row>
    <row r="346">
      <c r="A346" s="2" t="n">
        <v>277</v>
      </c>
      <c r="B346" s="878" t="inlineStr">
        <is>
          <t>chanhua</t>
        </is>
      </c>
      <c r="C346" s="236" t="n">
        <v>46114</v>
      </c>
      <c r="D346" s="879" t="inlineStr">
        <is>
          <t>新加坡比特</t>
        </is>
      </c>
      <c r="E346" s="393" t="inlineStr">
        <is>
          <t>XJ</t>
        </is>
      </c>
      <c r="F346" s="393" t="inlineStr">
        <is>
          <t>PIE</t>
        </is>
      </c>
      <c r="G346" s="921" t="inlineStr">
        <is>
          <t>BM1370PF</t>
        </is>
      </c>
      <c r="H346" s="393" t="inlineStr">
        <is>
          <t>Y31010536</t>
        </is>
      </c>
      <c r="I346" s="393" t="n">
        <v>241359</v>
      </c>
      <c r="J346" s="234" t="inlineStr">
        <is>
          <t>DPT202604021001</t>
        </is>
      </c>
      <c r="K346" s="620" t="inlineStr">
        <is>
          <t>1403260402143849</t>
        </is>
      </c>
      <c r="L346" s="902" t="n">
        <v>8.8315</v>
      </c>
    </row>
    <row r="347">
      <c r="A347" s="2" t="n">
        <v>278</v>
      </c>
      <c r="B347" s="878" t="inlineStr">
        <is>
          <t>chanhua</t>
        </is>
      </c>
      <c r="C347" s="236" t="n">
        <v>46114</v>
      </c>
      <c r="D347" s="879" t="inlineStr">
        <is>
          <t>新加坡比特</t>
        </is>
      </c>
      <c r="E347" s="393" t="inlineStr">
        <is>
          <t>XJ</t>
        </is>
      </c>
      <c r="F347" s="393" t="inlineStr">
        <is>
          <t>PIE</t>
        </is>
      </c>
      <c r="G347" s="222" t="inlineStr">
        <is>
          <t>BM1370PA</t>
        </is>
      </c>
      <c r="H347" s="393" t="inlineStr">
        <is>
          <t>Y31010530</t>
        </is>
      </c>
      <c r="I347" s="393" t="n">
        <v>8919</v>
      </c>
      <c r="J347" s="234" t="inlineStr">
        <is>
          <t>DPT202604021002</t>
        </is>
      </c>
      <c r="K347" s="620" t="inlineStr">
        <is>
          <t>1403260402143900</t>
        </is>
      </c>
      <c r="L347" s="902" t="n">
        <v>8.8315</v>
      </c>
    </row>
    <row r="348">
      <c r="A348" s="2" t="n">
        <v>279</v>
      </c>
      <c r="B348" s="878" t="inlineStr">
        <is>
          <t>chanhua</t>
        </is>
      </c>
      <c r="C348" s="236" t="n">
        <v>46127</v>
      </c>
      <c r="D348" s="879" t="inlineStr">
        <is>
          <t>新加坡比特</t>
        </is>
      </c>
      <c r="E348" s="393" t="inlineStr">
        <is>
          <t>XJ</t>
        </is>
      </c>
      <c r="F348" s="393" t="inlineStr">
        <is>
          <t>PIE</t>
        </is>
      </c>
      <c r="G348" s="921" t="inlineStr">
        <is>
          <t>BM1746AA</t>
        </is>
      </c>
      <c r="H348" s="216" t="inlineStr">
        <is>
          <t>Y09BM1746010</t>
        </is>
      </c>
      <c r="I348" s="393" t="n">
        <v>11359</v>
      </c>
      <c r="J348" s="234" t="inlineStr">
        <is>
          <t>DPT202604151000</t>
        </is>
      </c>
      <c r="K348" s="620" t="inlineStr">
        <is>
          <t>1403260415170644</t>
        </is>
      </c>
      <c r="L348" s="902" t="n">
        <v>57.6365</v>
      </c>
    </row>
    <row r="349">
      <c r="A349" s="2" t="n">
        <v>279</v>
      </c>
      <c r="B349" s="878" t="inlineStr">
        <is>
          <t>chanhua</t>
        </is>
      </c>
      <c r="C349" s="236" t="n">
        <v>46127</v>
      </c>
      <c r="D349" s="879" t="inlineStr">
        <is>
          <t>新加坡比特</t>
        </is>
      </c>
      <c r="E349" s="393" t="inlineStr">
        <is>
          <t>XJ</t>
        </is>
      </c>
      <c r="F349" s="393" t="inlineStr">
        <is>
          <t>THQG</t>
        </is>
      </c>
      <c r="G349" s="921" t="inlineStr">
        <is>
          <t>BM1746AA</t>
        </is>
      </c>
      <c r="H349" s="216" t="inlineStr">
        <is>
          <t>Y09BM1746010</t>
        </is>
      </c>
      <c r="I349" s="393" t="n">
        <v>14133</v>
      </c>
      <c r="J349" s="234" t="inlineStr">
        <is>
          <t>DPT202604151001</t>
        </is>
      </c>
      <c r="K349" s="620" t="inlineStr">
        <is>
          <t>1403260415170656</t>
        </is>
      </c>
      <c r="L349" s="902" t="n">
        <v>57.6365</v>
      </c>
    </row>
    <row r="350" ht="17.25" customHeight="1" s="184">
      <c r="A350" s="2" t="n">
        <v>279</v>
      </c>
      <c r="B350" s="878" t="inlineStr">
        <is>
          <t>chanhua</t>
        </is>
      </c>
      <c r="C350" s="236" t="n">
        <v>46122</v>
      </c>
      <c r="D350" s="879" t="inlineStr">
        <is>
          <t>新加坡比特</t>
        </is>
      </c>
      <c r="E350" s="393" t="inlineStr">
        <is>
          <t>XJ</t>
        </is>
      </c>
      <c r="F350" s="393" t="inlineStr">
        <is>
          <t>PIE</t>
        </is>
      </c>
      <c r="G350" s="233" t="inlineStr">
        <is>
          <t>BM1746AA</t>
        </is>
      </c>
      <c r="H350" s="393" t="inlineStr">
        <is>
          <t>Y09BM1746010</t>
        </is>
      </c>
      <c r="I350" s="393" t="n">
        <v>11914</v>
      </c>
      <c r="J350" s="223" t="inlineStr">
        <is>
          <t>DPT202604107777</t>
        </is>
      </c>
      <c r="K350" s="609" t="inlineStr">
        <is>
          <t>1403260410152813</t>
        </is>
      </c>
      <c r="L350" s="902" t="n">
        <v>57.6365</v>
      </c>
    </row>
    <row r="351">
      <c r="A351" s="2" t="n">
        <v>279</v>
      </c>
      <c r="B351" s="878" t="inlineStr">
        <is>
          <t>chanhua</t>
        </is>
      </c>
      <c r="C351" s="236" t="n">
        <v>46124</v>
      </c>
      <c r="D351" s="879" t="inlineStr">
        <is>
          <t>新加坡比特</t>
        </is>
      </c>
      <c r="E351" s="393" t="inlineStr">
        <is>
          <t>SPILSZ</t>
        </is>
      </c>
      <c r="F351" s="393" t="inlineStr">
        <is>
          <t>SZQH</t>
        </is>
      </c>
      <c r="G351" s="233" t="inlineStr">
        <is>
          <t>BM1373CC</t>
        </is>
      </c>
      <c r="H351" s="393" t="inlineStr">
        <is>
          <t>Y31010549</t>
        </is>
      </c>
      <c r="I351" s="393" t="n">
        <v>583652</v>
      </c>
      <c r="J351" s="234" t="inlineStr">
        <is>
          <t>DPT202604179009</t>
        </is>
      </c>
      <c r="K351" s="608" t="inlineStr">
        <is>
          <t>1403260417152148</t>
        </is>
      </c>
      <c r="L351" s="908" t="n">
        <v>31.5304</v>
      </c>
    </row>
    <row r="352">
      <c r="A352" s="2" t="n">
        <v>279</v>
      </c>
      <c r="B352" s="878" t="inlineStr">
        <is>
          <t>chanhua</t>
        </is>
      </c>
      <c r="C352" s="236" t="n">
        <v>46129</v>
      </c>
      <c r="D352" s="879" t="inlineStr">
        <is>
          <t>新加坡比特</t>
        </is>
      </c>
      <c r="E352" s="393" t="inlineStr">
        <is>
          <t>XJ</t>
        </is>
      </c>
      <c r="F352" s="393" t="inlineStr">
        <is>
          <t>PIE</t>
        </is>
      </c>
      <c r="G352" s="233" t="inlineStr">
        <is>
          <t>BM1746AA</t>
        </is>
      </c>
      <c r="H352" s="393" t="inlineStr">
        <is>
          <t>Y09BM1746010</t>
        </is>
      </c>
      <c r="I352" s="393" t="n">
        <v>14113</v>
      </c>
      <c r="J352" s="234" t="inlineStr">
        <is>
          <t>DPT202604179010</t>
        </is>
      </c>
      <c r="K352" s="609" t="inlineStr">
        <is>
          <t>1403260417152207</t>
        </is>
      </c>
      <c r="L352" s="902" t="n">
        <v>57.6365</v>
      </c>
    </row>
    <row r="353">
      <c r="A353" s="2" t="n">
        <v>281</v>
      </c>
      <c r="B353" s="878" t="inlineStr">
        <is>
          <t>chanhua</t>
        </is>
      </c>
      <c r="C353" s="236" t="n">
        <v>46132</v>
      </c>
      <c r="D353" s="879" t="inlineStr">
        <is>
          <t>新加坡比特</t>
        </is>
      </c>
      <c r="E353" s="393" t="inlineStr">
        <is>
          <t>XJ</t>
        </is>
      </c>
      <c r="F353" s="393" t="inlineStr">
        <is>
          <t>PIE</t>
        </is>
      </c>
      <c r="G353" s="921" t="inlineStr">
        <is>
          <t>BM1746AA</t>
        </is>
      </c>
      <c r="H353" s="216" t="inlineStr">
        <is>
          <t>Y09BM1746010</t>
        </is>
      </c>
      <c r="I353" s="224" t="n">
        <v>10022</v>
      </c>
      <c r="J353" s="234" t="inlineStr">
        <is>
          <t>DPT202604201000</t>
        </is>
      </c>
      <c r="K353" s="620" t="inlineStr">
        <is>
          <t>1403260420150728</t>
        </is>
      </c>
      <c r="L353" s="902" t="n">
        <v>57.6365</v>
      </c>
    </row>
    <row r="354">
      <c r="A354" s="2" t="n">
        <v>282</v>
      </c>
      <c r="B354" s="878" t="inlineStr">
        <is>
          <t>chanhua</t>
        </is>
      </c>
      <c r="C354" s="236" t="n">
        <v>46135</v>
      </c>
      <c r="D354" s="879" t="inlineStr">
        <is>
          <t>新加坡比特</t>
        </is>
      </c>
      <c r="E354" s="393" t="inlineStr">
        <is>
          <t>XJ</t>
        </is>
      </c>
      <c r="F354" s="393" t="inlineStr">
        <is>
          <t>PIE</t>
        </is>
      </c>
      <c r="G354" s="921" t="inlineStr">
        <is>
          <t>BM1746AA</t>
        </is>
      </c>
      <c r="H354" s="216" t="inlineStr">
        <is>
          <t>Y09BM1746010</t>
        </is>
      </c>
      <c r="I354" s="224" t="n">
        <v>3429</v>
      </c>
      <c r="J354" s="234" t="inlineStr">
        <is>
          <t>DPT202604231000</t>
        </is>
      </c>
      <c r="K354" s="620" t="inlineStr">
        <is>
          <t>1403260423172939</t>
        </is>
      </c>
      <c r="L354" s="902" t="n">
        <v>57.6365</v>
      </c>
    </row>
    <row r="355">
      <c r="A355" s="2" t="n">
        <v>279</v>
      </c>
      <c r="B355" s="878" t="inlineStr">
        <is>
          <t>chanhua</t>
        </is>
      </c>
      <c r="C355" s="236" t="n">
        <v>46136</v>
      </c>
      <c r="D355" s="879" t="inlineStr">
        <is>
          <t>新加坡比特</t>
        </is>
      </c>
      <c r="E355" s="393" t="inlineStr">
        <is>
          <t>XJ</t>
        </is>
      </c>
      <c r="F355" s="393" t="inlineStr">
        <is>
          <t>THQG</t>
        </is>
      </c>
      <c r="G355" s="921" t="inlineStr">
        <is>
          <t>BM1746AA</t>
        </is>
      </c>
      <c r="H355" s="216" t="inlineStr">
        <is>
          <t>Y09BM1746010</t>
        </is>
      </c>
      <c r="I355" s="393" t="n">
        <v>9120</v>
      </c>
      <c r="J355" s="234" t="inlineStr">
        <is>
          <t>DPT202604241000</t>
        </is>
      </c>
      <c r="K355" s="237" t="inlineStr">
        <is>
          <t>’1403260424153813</t>
        </is>
      </c>
      <c r="L355" s="902" t="n">
        <v>57.6365</v>
      </c>
    </row>
    <row r="356">
      <c r="A356" s="2" t="n">
        <v>281</v>
      </c>
      <c r="B356" s="878" t="inlineStr">
        <is>
          <t>chanhua</t>
        </is>
      </c>
      <c r="C356" s="236" t="n">
        <v>46136</v>
      </c>
      <c r="D356" s="879" t="inlineStr">
        <is>
          <t>新加坡比特</t>
        </is>
      </c>
      <c r="E356" s="393" t="inlineStr">
        <is>
          <t>NJVT</t>
        </is>
      </c>
      <c r="F356" s="393" t="inlineStr">
        <is>
          <t>THQG</t>
        </is>
      </c>
      <c r="G356" s="921" t="inlineStr">
        <is>
          <t xml:space="preserve">BM1370PA  </t>
        </is>
      </c>
      <c r="H356" s="393" t="inlineStr">
        <is>
          <t>Y31010530</t>
        </is>
      </c>
      <c r="I356" s="157" t="n">
        <v>428050</v>
      </c>
      <c r="J356" s="234" t="inlineStr">
        <is>
          <t>DPT202604181000</t>
        </is>
      </c>
      <c r="K356" s="237" t="inlineStr">
        <is>
          <t>‘1403260424170638</t>
        </is>
      </c>
      <c r="L356" s="902" t="n">
        <v>8.632400000000001</v>
      </c>
    </row>
    <row r="357">
      <c r="A357" s="2" t="n">
        <v>282</v>
      </c>
      <c r="B357" s="878" t="inlineStr">
        <is>
          <t>chanhua</t>
        </is>
      </c>
      <c r="C357" s="236" t="n">
        <v>46136</v>
      </c>
      <c r="D357" s="879" t="inlineStr">
        <is>
          <t>新加坡比特</t>
        </is>
      </c>
      <c r="E357" s="393" t="inlineStr">
        <is>
          <t>NJVT</t>
        </is>
      </c>
      <c r="F357" s="393" t="inlineStr">
        <is>
          <t>THQG</t>
        </is>
      </c>
      <c r="G357" s="921" t="inlineStr">
        <is>
          <t>BM1370PF</t>
        </is>
      </c>
      <c r="H357" s="393" t="inlineStr">
        <is>
          <t>Y31010536</t>
        </is>
      </c>
      <c r="I357" s="157" t="n">
        <v>2056</v>
      </c>
      <c r="J357" s="234" t="inlineStr">
        <is>
          <t>DPT202604181001</t>
        </is>
      </c>
      <c r="K357" s="620" t="inlineStr">
        <is>
          <t>1403260424170647</t>
        </is>
      </c>
      <c r="L357" s="902" t="n">
        <v>8.632400000000001</v>
      </c>
    </row>
    <row r="358" ht="16.5" customHeight="1" s="184">
      <c r="A358" s="2" t="n">
        <v>279</v>
      </c>
      <c r="B358" s="878" t="inlineStr">
        <is>
          <t>chanhua</t>
        </is>
      </c>
      <c r="C358" s="236" t="n">
        <v>46139</v>
      </c>
      <c r="D358" s="879" t="inlineStr">
        <is>
          <t>新加坡比特</t>
        </is>
      </c>
      <c r="E358" s="393" t="inlineStr">
        <is>
          <t>XJ</t>
        </is>
      </c>
      <c r="F358" s="393" t="inlineStr">
        <is>
          <t>THQG</t>
        </is>
      </c>
      <c r="G358" s="921" t="inlineStr">
        <is>
          <t>BM1746AA</t>
        </is>
      </c>
      <c r="H358" s="216" t="inlineStr">
        <is>
          <t>Y09BM1746010</t>
        </is>
      </c>
      <c r="I358" s="225" t="n">
        <v>29138</v>
      </c>
      <c r="J358" s="234" t="inlineStr">
        <is>
          <t>DPT202604281000</t>
        </is>
      </c>
      <c r="K358" s="620" t="inlineStr">
        <is>
          <t>1403260428113246</t>
        </is>
      </c>
      <c r="L358" s="902" t="n">
        <v>57.6365</v>
      </c>
    </row>
    <row r="359">
      <c r="A359" s="2" t="n">
        <v>286</v>
      </c>
      <c r="B359" s="878" t="inlineStr">
        <is>
          <t>chanhua</t>
        </is>
      </c>
      <c r="C359" s="236" t="n">
        <v>46142</v>
      </c>
      <c r="D359" s="879" t="inlineStr">
        <is>
          <t>新加坡比特</t>
        </is>
      </c>
      <c r="E359" s="393" t="inlineStr">
        <is>
          <t>XJ</t>
        </is>
      </c>
      <c r="F359" s="393" t="inlineStr">
        <is>
          <t>THQG</t>
        </is>
      </c>
      <c r="G359" s="921" t="inlineStr">
        <is>
          <t>BM1746AA</t>
        </is>
      </c>
      <c r="H359" s="216" t="inlineStr">
        <is>
          <t>Y09BM1746010</t>
        </is>
      </c>
      <c r="I359" s="157" t="n">
        <v>20189</v>
      </c>
      <c r="J359" s="234" t="inlineStr">
        <is>
          <t>DPT202604301000</t>
        </is>
      </c>
      <c r="K359" s="620" t="inlineStr">
        <is>
          <t>1403260430141640</t>
        </is>
      </c>
      <c r="L359" s="902" t="n">
        <v>57.6365</v>
      </c>
    </row>
    <row r="360">
      <c r="A360" s="2" t="n">
        <v>286</v>
      </c>
      <c r="B360" s="878" t="inlineStr">
        <is>
          <t>chanhua</t>
        </is>
      </c>
      <c r="C360" s="236" t="n">
        <v>46148</v>
      </c>
      <c r="D360" s="879" t="inlineStr">
        <is>
          <t>新加坡比特</t>
        </is>
      </c>
      <c r="E360" s="393" t="inlineStr">
        <is>
          <t>XJ</t>
        </is>
      </c>
      <c r="F360" s="393" t="inlineStr">
        <is>
          <t>THQG</t>
        </is>
      </c>
      <c r="G360" s="921" t="inlineStr">
        <is>
          <t>BM1746AA</t>
        </is>
      </c>
      <c r="H360" s="216" t="inlineStr">
        <is>
          <t>Y09BM1746010</t>
        </is>
      </c>
      <c r="I360" s="157" t="n">
        <v>8298</v>
      </c>
      <c r="J360" s="234" t="inlineStr">
        <is>
          <t>DPT202605061000</t>
        </is>
      </c>
      <c r="K360" s="620" t="inlineStr">
        <is>
          <t>1403260506152359</t>
        </is>
      </c>
      <c r="L360" s="902" t="n">
        <v>57.6365</v>
      </c>
    </row>
    <row r="361" ht="16.5" customFormat="1" customHeight="1" s="866">
      <c r="A361" s="2" t="n">
        <v>283</v>
      </c>
      <c r="C361" s="236" t="n">
        <v>46136</v>
      </c>
      <c r="E361" s="140" t="inlineStr">
        <is>
          <t>BTGLAZZYCL</t>
        </is>
      </c>
      <c r="F361" s="866" t="inlineStr">
        <is>
          <t>BTDLAZZYCL</t>
        </is>
      </c>
      <c r="G361" s="922" t="inlineStr">
        <is>
          <t>BM1373CC</t>
        </is>
      </c>
      <c r="H361" s="922" t="inlineStr">
        <is>
          <t>Y31010549</t>
        </is>
      </c>
      <c r="I361" s="224" t="n">
        <v>252376</v>
      </c>
      <c r="J361" s="186" t="inlineStr">
        <is>
          <t>BTD202604241000</t>
        </is>
      </c>
      <c r="K361" s="620" t="inlineStr">
        <is>
          <t>‘1127260424151602</t>
        </is>
      </c>
      <c r="L361" s="780" t="inlineStr">
        <is>
          <t xml:space="preserve">67.42 </t>
        </is>
      </c>
    </row>
    <row r="362">
      <c r="B362" s="878" t="inlineStr">
        <is>
          <t>chanhua</t>
        </is>
      </c>
      <c r="C362" s="236" t="n">
        <v>46151</v>
      </c>
      <c r="D362" s="879" t="inlineStr">
        <is>
          <t>新加坡比特</t>
        </is>
      </c>
      <c r="E362" s="393" t="inlineStr">
        <is>
          <t>XJ</t>
        </is>
      </c>
      <c r="F362" s="393" t="inlineStr">
        <is>
          <t>泰国群光</t>
        </is>
      </c>
      <c r="G362" s="921" t="inlineStr">
        <is>
          <t>BM1746AA</t>
        </is>
      </c>
      <c r="H362" s="216" t="inlineStr">
        <is>
          <t>Y09BM1746010</t>
        </is>
      </c>
      <c r="I362" s="157" t="n">
        <v>2047</v>
      </c>
      <c r="J362" s="234" t="inlineStr">
        <is>
          <t>DPT202605091000</t>
        </is>
      </c>
      <c r="K362" s="620" t="inlineStr">
        <is>
          <t>1403260509143403</t>
        </is>
      </c>
      <c r="L362" s="902" t="n">
        <v>57.6365</v>
      </c>
    </row>
    <row r="363">
      <c r="B363" s="878" t="inlineStr">
        <is>
          <t>chanhua</t>
        </is>
      </c>
      <c r="C363" s="236" t="n">
        <v>46151</v>
      </c>
      <c r="D363" s="879" t="inlineStr">
        <is>
          <t>新加坡比特</t>
        </is>
      </c>
      <c r="E363" s="780" t="inlineStr">
        <is>
          <t>ASECL</t>
        </is>
      </c>
      <c r="F363" s="780" t="inlineStr">
        <is>
          <t>SZQH</t>
        </is>
      </c>
      <c r="G363" s="923" t="inlineStr">
        <is>
          <t>BM1370PF</t>
        </is>
      </c>
      <c r="H363" s="393" t="inlineStr">
        <is>
          <t>Y31010536</t>
        </is>
      </c>
      <c r="I363" s="177" t="n">
        <v>222972</v>
      </c>
      <c r="J363" s="234" t="inlineStr">
        <is>
          <t>DPT202605091001</t>
        </is>
      </c>
      <c r="K363" s="620" t="inlineStr">
        <is>
          <t>1403260509161159</t>
        </is>
      </c>
      <c r="L363" s="902" t="n">
        <v>8.44382699824801</v>
      </c>
    </row>
    <row r="364">
      <c r="B364" s="878" t="inlineStr">
        <is>
          <t>chanhua</t>
        </is>
      </c>
      <c r="C364" s="236" t="n">
        <v>46151</v>
      </c>
      <c r="D364" s="879" t="inlineStr">
        <is>
          <t>新加坡比特</t>
        </is>
      </c>
      <c r="E364" s="780" t="inlineStr">
        <is>
          <t>ASECL</t>
        </is>
      </c>
      <c r="F364" s="780" t="inlineStr">
        <is>
          <t>SZQH</t>
        </is>
      </c>
      <c r="G364" s="923" t="inlineStr">
        <is>
          <t>BM1373AA</t>
        </is>
      </c>
      <c r="H364" s="393" t="inlineStr">
        <is>
          <t>Y31010540</t>
        </is>
      </c>
      <c r="I364" s="177" t="n">
        <v>185038</v>
      </c>
      <c r="J364" s="234" t="inlineStr">
        <is>
          <t>DPT202605091002</t>
        </is>
      </c>
      <c r="K364" s="620" t="inlineStr">
        <is>
          <t>1403260509161209</t>
        </is>
      </c>
      <c r="L364" s="902" t="n">
        <v>31.53035528</v>
      </c>
    </row>
    <row r="365">
      <c r="B365" s="878" t="inlineStr">
        <is>
          <t>chanhua</t>
        </is>
      </c>
      <c r="C365" s="236" t="n">
        <v>46151</v>
      </c>
      <c r="D365" s="879" t="inlineStr">
        <is>
          <t>新加坡比特</t>
        </is>
      </c>
      <c r="E365" s="780" t="inlineStr">
        <is>
          <t>ASECL</t>
        </is>
      </c>
      <c r="F365" s="780" t="inlineStr">
        <is>
          <t>SZQH</t>
        </is>
      </c>
      <c r="G365" s="923" t="inlineStr">
        <is>
          <t>BM1370PA</t>
        </is>
      </c>
      <c r="H365" s="393" t="inlineStr">
        <is>
          <t>Y31010530</t>
        </is>
      </c>
      <c r="I365" s="177" t="n">
        <v>319681</v>
      </c>
      <c r="J365" s="234" t="inlineStr">
        <is>
          <t>DPT202605091003</t>
        </is>
      </c>
      <c r="K365" s="620" t="inlineStr">
        <is>
          <t>1403260509161217</t>
        </is>
      </c>
      <c r="L365" s="902" t="n">
        <v>8.44382699824801</v>
      </c>
    </row>
    <row r="366">
      <c r="B366" s="878" t="inlineStr">
        <is>
          <t>chanhua</t>
        </is>
      </c>
      <c r="C366" s="236" t="n">
        <v>46151</v>
      </c>
      <c r="D366" s="879" t="inlineStr">
        <is>
          <t>新加坡比特</t>
        </is>
      </c>
      <c r="E366" s="780" t="inlineStr">
        <is>
          <t>ASECL</t>
        </is>
      </c>
      <c r="F366" s="780" t="inlineStr">
        <is>
          <t>SZQH</t>
        </is>
      </c>
      <c r="G366" s="923" t="inlineStr">
        <is>
          <t>BM1373CC</t>
        </is>
      </c>
      <c r="H366" s="393" t="inlineStr">
        <is>
          <t>Y31010549</t>
        </is>
      </c>
      <c r="I366" s="177" t="n">
        <v>612754</v>
      </c>
      <c r="J366" s="234" t="inlineStr">
        <is>
          <t>DPT202605091004</t>
        </is>
      </c>
      <c r="K366" s="620" t="inlineStr">
        <is>
          <t>1403260509161226</t>
        </is>
      </c>
      <c r="L366" s="902" t="n">
        <v>31.53035528</v>
      </c>
    </row>
    <row r="367">
      <c r="B367" s="878" t="inlineStr">
        <is>
          <t>chanhua</t>
        </is>
      </c>
      <c r="C367" s="236" t="n">
        <v>46151</v>
      </c>
      <c r="D367" s="879" t="inlineStr">
        <is>
          <t>新加坡比特</t>
        </is>
      </c>
      <c r="E367" s="780" t="inlineStr">
        <is>
          <t>ASECL</t>
        </is>
      </c>
      <c r="F367" s="780" t="inlineStr">
        <is>
          <t>SZQH</t>
        </is>
      </c>
      <c r="G367" s="923" t="inlineStr">
        <is>
          <t>BM1370AA</t>
        </is>
      </c>
      <c r="H367" s="393" t="inlineStr">
        <is>
          <t>Y31010519</t>
        </is>
      </c>
      <c r="I367" s="177" t="n">
        <v>1319</v>
      </c>
      <c r="J367" s="234" t="inlineStr">
        <is>
          <t>DPT202605091005</t>
        </is>
      </c>
      <c r="K367" s="237" t="inlineStr">
        <is>
          <t>;1403260509161233</t>
        </is>
      </c>
      <c r="L367" s="902" t="n">
        <v>8.44382699824801</v>
      </c>
    </row>
    <row r="368">
      <c r="B368" s="878" t="inlineStr">
        <is>
          <t>chanhua</t>
        </is>
      </c>
      <c r="C368" s="236" t="n">
        <v>46151</v>
      </c>
      <c r="D368" s="879" t="inlineStr">
        <is>
          <t>新加坡比特</t>
        </is>
      </c>
      <c r="E368" s="780" t="inlineStr">
        <is>
          <t>ASECL</t>
        </is>
      </c>
      <c r="F368" s="780" t="inlineStr">
        <is>
          <t>SZQH</t>
        </is>
      </c>
      <c r="G368" s="923" t="inlineStr">
        <is>
          <t>BM1370BC</t>
        </is>
      </c>
      <c r="H368" s="393" t="inlineStr">
        <is>
          <t>Y31010527</t>
        </is>
      </c>
      <c r="I368" s="177" t="n">
        <v>8855</v>
      </c>
      <c r="J368" s="234" t="inlineStr">
        <is>
          <t>DPT202605091006</t>
        </is>
      </c>
      <c r="K368" s="620" t="inlineStr">
        <is>
          <t>1403260509161240</t>
        </is>
      </c>
      <c r="L368" s="902" t="n">
        <v>8.44382699824801</v>
      </c>
    </row>
    <row r="369">
      <c r="B369" s="878" t="inlineStr">
        <is>
          <t>chanhua</t>
        </is>
      </c>
      <c r="C369" s="236" t="n">
        <v>46149</v>
      </c>
      <c r="D369" s="879" t="inlineStr">
        <is>
          <t>新加坡比特</t>
        </is>
      </c>
      <c r="E369" s="924" t="inlineStr">
        <is>
          <t>SPILSZ</t>
        </is>
      </c>
      <c r="F369" s="780" t="inlineStr">
        <is>
          <t>SZQH</t>
        </is>
      </c>
      <c r="G369" s="925" t="inlineStr">
        <is>
          <t>BM1370PF</t>
        </is>
      </c>
      <c r="H369" s="393" t="inlineStr">
        <is>
          <t>Y31010536</t>
        </is>
      </c>
      <c r="I369" s="157" t="n">
        <v>14673</v>
      </c>
      <c r="J369" s="234" t="inlineStr">
        <is>
          <t>DPT202605071007</t>
        </is>
      </c>
      <c r="K369" s="620" t="inlineStr">
        <is>
          <t>1403260509173340</t>
        </is>
      </c>
      <c r="L369" s="902" t="n">
        <v>8.44382699824801</v>
      </c>
    </row>
    <row r="370">
      <c r="B370" s="878" t="inlineStr">
        <is>
          <t>chanhua</t>
        </is>
      </c>
      <c r="C370" s="236" t="n">
        <v>46149</v>
      </c>
      <c r="D370" s="879" t="inlineStr">
        <is>
          <t>新加坡比特</t>
        </is>
      </c>
      <c r="E370" s="924" t="inlineStr">
        <is>
          <t>XJ</t>
        </is>
      </c>
      <c r="F370" s="780" t="inlineStr">
        <is>
          <t>SZQH</t>
        </is>
      </c>
      <c r="G370" s="925" t="inlineStr">
        <is>
          <t>BM1370PF</t>
        </is>
      </c>
      <c r="H370" s="393" t="inlineStr">
        <is>
          <t>Y31010536</t>
        </is>
      </c>
      <c r="I370" s="157" t="n">
        <v>305587</v>
      </c>
      <c r="J370" s="234" t="inlineStr">
        <is>
          <t>DPT202605071010</t>
        </is>
      </c>
      <c r="K370" s="620" t="inlineStr">
        <is>
          <t>1403260509183456</t>
        </is>
      </c>
      <c r="L370" s="902" t="n">
        <v>8.44382699824801</v>
      </c>
    </row>
    <row r="371">
      <c r="B371" s="878" t="inlineStr">
        <is>
          <t>chanhua</t>
        </is>
      </c>
      <c r="C371" s="236" t="n">
        <v>46149</v>
      </c>
      <c r="D371" s="879" t="inlineStr">
        <is>
          <t>新加坡比特</t>
        </is>
      </c>
      <c r="E371" s="924" t="inlineStr">
        <is>
          <t>XJ</t>
        </is>
      </c>
      <c r="F371" s="780" t="inlineStr">
        <is>
          <t>SZQH</t>
        </is>
      </c>
      <c r="G371" s="923" t="inlineStr">
        <is>
          <t>BM1370PA</t>
        </is>
      </c>
      <c r="H371" s="393" t="inlineStr">
        <is>
          <t>Y31010530</t>
        </is>
      </c>
      <c r="I371" s="157" t="n">
        <v>86376</v>
      </c>
      <c r="J371" s="234" t="inlineStr">
        <is>
          <t>DPT202605071011</t>
        </is>
      </c>
      <c r="K371" s="620" t="inlineStr">
        <is>
          <t>1403260509183505</t>
        </is>
      </c>
      <c r="L371" s="902" t="n">
        <v>8.44382699824801</v>
      </c>
    </row>
    <row r="372">
      <c r="B372" s="878" t="inlineStr">
        <is>
          <t>chanhua</t>
        </is>
      </c>
      <c r="C372" s="236" t="n">
        <v>46149</v>
      </c>
      <c r="D372" s="879" t="inlineStr">
        <is>
          <t>新加坡比特</t>
        </is>
      </c>
      <c r="E372" s="393" t="inlineStr">
        <is>
          <t>NJVT</t>
        </is>
      </c>
      <c r="F372" s="780" t="inlineStr">
        <is>
          <t>SZQH</t>
        </is>
      </c>
      <c r="G372" s="925" t="inlineStr">
        <is>
          <t>BM1370PF</t>
        </is>
      </c>
      <c r="H372" s="393" t="inlineStr">
        <is>
          <t>Y31010536</t>
        </is>
      </c>
      <c r="I372" s="157" t="n">
        <v>123718</v>
      </c>
      <c r="J372" s="234" t="inlineStr">
        <is>
          <t>DPT202605071012</t>
        </is>
      </c>
      <c r="K372" s="620" t="inlineStr">
        <is>
          <t>1403260509183512</t>
        </is>
      </c>
      <c r="L372" s="902" t="n">
        <v>8.44382699824801</v>
      </c>
    </row>
    <row r="373">
      <c r="B373" s="878" t="inlineStr">
        <is>
          <t>chanhua</t>
        </is>
      </c>
      <c r="C373" s="236" t="n">
        <v>46149</v>
      </c>
      <c r="D373" s="879" t="inlineStr">
        <is>
          <t>新加坡比特</t>
        </is>
      </c>
      <c r="E373" s="393" t="inlineStr">
        <is>
          <t>NJVT</t>
        </is>
      </c>
      <c r="F373" s="780" t="inlineStr">
        <is>
          <t>SZQH</t>
        </is>
      </c>
      <c r="G373" s="923" t="inlineStr">
        <is>
          <t>BM1370PA</t>
        </is>
      </c>
      <c r="H373" s="393" t="inlineStr">
        <is>
          <t>Y31010530</t>
        </is>
      </c>
      <c r="I373" s="157" t="n">
        <v>46876</v>
      </c>
      <c r="J373" s="234" t="inlineStr">
        <is>
          <t>DPT202605071013</t>
        </is>
      </c>
      <c r="K373" s="620" t="inlineStr">
        <is>
          <t>1403260509183521</t>
        </is>
      </c>
      <c r="L373" s="902" t="n">
        <v>8.44382699824801</v>
      </c>
    </row>
    <row r="374">
      <c r="B374" s="878" t="inlineStr">
        <is>
          <t>chanhua</t>
        </is>
      </c>
      <c r="C374" s="231" t="n">
        <v>46150</v>
      </c>
      <c r="D374" s="879" t="inlineStr">
        <is>
          <t>新加坡比特</t>
        </is>
      </c>
      <c r="E374" s="393" t="inlineStr">
        <is>
          <t>WX-HN</t>
        </is>
      </c>
      <c r="F374" s="393" t="inlineStr">
        <is>
          <t>SZQH</t>
        </is>
      </c>
      <c r="G374" s="233" t="inlineStr">
        <is>
          <t>BM1370PF</t>
        </is>
      </c>
      <c r="H374" s="393" t="inlineStr">
        <is>
          <t>Y31010536</t>
        </is>
      </c>
      <c r="I374" s="393" t="n">
        <v>252258</v>
      </c>
      <c r="J374" s="234" t="inlineStr">
        <is>
          <t>DPT2026051169007</t>
        </is>
      </c>
      <c r="K374" s="619" t="inlineStr">
        <is>
          <t>1403260511120715</t>
        </is>
      </c>
      <c r="L374" s="902" t="n">
        <v>8.44382699824801</v>
      </c>
    </row>
    <row r="375">
      <c r="B375" s="878" t="inlineStr">
        <is>
          <t>chanhua</t>
        </is>
      </c>
      <c r="C375" s="236" t="n">
        <v>46143</v>
      </c>
      <c r="D375" s="879" t="inlineStr">
        <is>
          <t>新加坡比特</t>
        </is>
      </c>
      <c r="E375" s="393" t="inlineStr">
        <is>
          <t>SPILSZ</t>
        </is>
      </c>
      <c r="F375" s="393" t="inlineStr">
        <is>
          <t>SZQH</t>
        </is>
      </c>
      <c r="G375" s="233" t="inlineStr">
        <is>
          <t>BM1373AA</t>
        </is>
      </c>
      <c r="H375" s="393" t="inlineStr">
        <is>
          <t>Y31010540</t>
        </is>
      </c>
      <c r="I375" s="393" t="n">
        <v>621748</v>
      </c>
      <c r="J375" s="234" t="inlineStr">
        <is>
          <t>DPT2026051169005</t>
        </is>
      </c>
      <c r="K375" s="620" t="inlineStr">
        <is>
          <t>1403260511120659</t>
        </is>
      </c>
      <c r="L375" s="899" t="n">
        <v>31.5304</v>
      </c>
    </row>
    <row r="376">
      <c r="B376" s="878" t="inlineStr">
        <is>
          <t>chanhua</t>
        </is>
      </c>
      <c r="C376" s="236" t="n">
        <v>46143</v>
      </c>
      <c r="D376" s="879" t="inlineStr">
        <is>
          <t>新加坡比特</t>
        </is>
      </c>
      <c r="E376" s="393" t="inlineStr">
        <is>
          <t>SPILSZ</t>
        </is>
      </c>
      <c r="F376" s="393" t="inlineStr">
        <is>
          <t>SZQH</t>
        </is>
      </c>
      <c r="G376" s="233" t="inlineStr">
        <is>
          <t>BM1373CC</t>
        </is>
      </c>
      <c r="H376" s="393" t="inlineStr">
        <is>
          <t>Y31010549</t>
        </is>
      </c>
      <c r="I376" s="393" t="n">
        <v>509754</v>
      </c>
      <c r="J376" s="234" t="inlineStr">
        <is>
          <t>DPT2026051169006</t>
        </is>
      </c>
      <c r="K376" s="620" t="inlineStr">
        <is>
          <t>1403260511120707</t>
        </is>
      </c>
      <c r="L376" s="926" t="n">
        <v>31.5304</v>
      </c>
    </row>
    <row r="377">
      <c r="A377" s="927" t="n">
        <v>376</v>
      </c>
      <c r="B377" s="780" t="inlineStr">
        <is>
          <t>chanhua</t>
        </is>
      </c>
      <c r="C377" s="951" t="n">
        <v>46164</v>
      </c>
      <c r="D377" s="780" t="inlineStr">
        <is>
          <t>Bitmain Development PTE. LTD.</t>
        </is>
      </c>
      <c r="E377" s="780" t="inlineStr">
        <is>
          <t>XJ</t>
        </is>
      </c>
      <c r="F377" s="780" t="inlineStr">
        <is>
          <t>泰国ONETEC</t>
        </is>
      </c>
      <c r="G377" s="780" t="inlineStr">
        <is>
          <t>BM1746AA</t>
        </is>
      </c>
      <c r="H377" s="780" t="inlineStr">
        <is>
          <t>Y09BM1746010</t>
        </is>
      </c>
      <c r="I377" s="927" t="n">
        <v>10313</v>
      </c>
      <c r="J377" s="780" t="inlineStr">
        <is>
          <t>DPT202605210001</t>
        </is>
      </c>
      <c r="K377" s="780" t="inlineStr"/>
      <c r="L377" s="929" t="n">
        <v>57.64</v>
      </c>
      <c r="M377" s="780" t="inlineStr"/>
      <c r="N377" s="780" t="inlineStr"/>
      <c r="O377" s="780" t="inlineStr"/>
    </row>
  </sheetData>
  <autoFilter ref="A1:Y3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35" activePane="bottomLeft" state="frozen"/>
      <selection activeCell="A1" sqref="A1"/>
      <selection pane="bottomLeft" activeCell="K261" sqref="K261"/>
    </sheetView>
  </sheetViews>
  <sheetFormatPr baseColWidth="8" defaultColWidth="8.91666666666667" defaultRowHeight="14.25"/>
  <cols>
    <col width="8.91666666666667" customWidth="1" style="184" min="1" max="1"/>
    <col width="15.9166666666667" customWidth="1" style="184" min="3" max="3"/>
    <col width="14.5833333333333" customWidth="1" style="184" min="4" max="4"/>
    <col width="13.75" customWidth="1" style="184" min="5" max="5"/>
    <col width="15.0833333333333" customWidth="1" style="184" min="6" max="6"/>
    <col width="13.6666666666667" customWidth="1" style="184" min="7" max="7"/>
    <col width="13.5833333333333" customWidth="1" style="930" min="8" max="8"/>
    <col width="19.4166666666667" customWidth="1" style="184" min="9" max="9"/>
    <col width="13.5833333333333" customWidth="1" style="184" min="10" max="10"/>
    <col width="8.91666666666667" customWidth="1" style="184" min="11" max="11"/>
    <col width="20" customWidth="1" style="77" min="12" max="12"/>
    <col width="30.5833333333333" customWidth="1" style="184" min="13" max="13"/>
  </cols>
  <sheetData>
    <row r="1" ht="15" customFormat="1" customHeight="1" s="693">
      <c r="A1" s="8" t="inlineStr">
        <is>
          <t>序号</t>
        </is>
      </c>
      <c r="B1" s="9" t="inlineStr">
        <is>
          <t>芯片主体</t>
        </is>
      </c>
      <c r="C1" s="9" t="inlineStr">
        <is>
          <t>出货日期</t>
        </is>
      </c>
      <c r="D1" s="9" t="inlineStr">
        <is>
          <t>退料外协主体</t>
        </is>
      </c>
      <c r="E1" s="726" t="inlineStr">
        <is>
          <t>退运测试厂</t>
        </is>
      </c>
      <c r="F1" s="726" t="inlineStr">
        <is>
          <t>型号</t>
        </is>
      </c>
      <c r="G1" s="726" t="inlineStr">
        <is>
          <t>物料编码</t>
        </is>
      </c>
      <c r="H1" s="931" t="inlineStr">
        <is>
          <t>数量</t>
        </is>
      </c>
      <c r="I1" s="726" t="inlineStr">
        <is>
          <t>RMA SO</t>
        </is>
      </c>
      <c r="J1" s="726" t="inlineStr">
        <is>
          <t>退料外协</t>
        </is>
      </c>
      <c r="K1" s="726" t="inlineStr">
        <is>
          <t>单价</t>
        </is>
      </c>
      <c r="L1" s="441" t="inlineStr">
        <is>
          <t>退运PO</t>
        </is>
      </c>
      <c r="M1" s="441" t="inlineStr">
        <is>
          <t>退运涉及SO</t>
        </is>
      </c>
    </row>
    <row r="2" ht="16.5" customFormat="1" customHeight="1" s="693">
      <c r="A2" s="1" t="n">
        <v>1</v>
      </c>
      <c r="B2" s="733" t="inlineStr">
        <is>
          <t>chanhua</t>
        </is>
      </c>
      <c r="C2" s="733" t="n">
        <v>45397</v>
      </c>
      <c r="D2" s="673" t="inlineStr">
        <is>
          <t>香港比特</t>
        </is>
      </c>
      <c r="E2" s="734" t="inlineStr">
        <is>
          <t>XJ</t>
        </is>
      </c>
      <c r="F2" s="734" t="inlineStr">
        <is>
          <t>BM1368AA</t>
        </is>
      </c>
      <c r="G2" s="673">
        <f>VLOOKUP(F2,编码对账表!C:D,2,0)</f>
        <v/>
      </c>
      <c r="H2" s="932" t="n">
        <v>1064167</v>
      </c>
      <c r="I2" s="741" t="inlineStr">
        <is>
          <t>140302404151100</t>
        </is>
      </c>
      <c r="J2" s="736" t="inlineStr">
        <is>
          <t>印尼奥海</t>
        </is>
      </c>
      <c r="K2" s="736" t="n">
        <v>5.428</v>
      </c>
      <c r="L2" s="85" t="n"/>
    </row>
    <row r="3" ht="16.5" customFormat="1" customHeight="1" s="693">
      <c r="A3" s="1" t="n">
        <v>2</v>
      </c>
      <c r="B3" s="733" t="inlineStr">
        <is>
          <t>chanhua</t>
        </is>
      </c>
      <c r="C3" s="733" t="n">
        <v>45432</v>
      </c>
      <c r="D3" s="673" t="inlineStr">
        <is>
          <t>香港比特</t>
        </is>
      </c>
      <c r="E3" s="734" t="inlineStr">
        <is>
          <t>NJVT</t>
        </is>
      </c>
      <c r="F3" s="734" t="inlineStr">
        <is>
          <t>BM1368PV</t>
        </is>
      </c>
      <c r="G3" s="673">
        <f>VLOOKUP(F3,编码对账表!C:D,2,0)</f>
        <v/>
      </c>
      <c r="H3" s="932" t="n">
        <v>192575</v>
      </c>
      <c r="I3" s="741" t="inlineStr">
        <is>
          <t>140302405201100</t>
        </is>
      </c>
      <c r="J3" s="736" t="inlineStr">
        <is>
          <t>泰国益权</t>
        </is>
      </c>
      <c r="K3" s="736" t="n">
        <v>4.3949</v>
      </c>
      <c r="L3" s="85" t="n"/>
    </row>
    <row r="4" ht="16.5" customFormat="1" customHeight="1" s="693">
      <c r="A4" s="1" t="n">
        <v>3</v>
      </c>
      <c r="B4" s="733" t="inlineStr">
        <is>
          <t>chanhua</t>
        </is>
      </c>
      <c r="C4" s="733" t="n">
        <v>45432</v>
      </c>
      <c r="D4" s="673" t="inlineStr">
        <is>
          <t>香港比特</t>
        </is>
      </c>
      <c r="E4" s="734" t="inlineStr">
        <is>
          <t>NJVT</t>
        </is>
      </c>
      <c r="F4" s="734" t="inlineStr">
        <is>
          <t>BM1368PB</t>
        </is>
      </c>
      <c r="G4" s="673">
        <f>VLOOKUP(F4,编码对账表!C:D,2,0)</f>
        <v/>
      </c>
      <c r="H4" s="932" t="n">
        <v>479384</v>
      </c>
      <c r="I4" s="741" t="inlineStr">
        <is>
          <t>140302405201101</t>
        </is>
      </c>
      <c r="J4" s="736" t="inlineStr">
        <is>
          <t>泰国益权</t>
        </is>
      </c>
      <c r="K4" s="736" t="n">
        <v>4.3949</v>
      </c>
      <c r="L4" s="85" t="n"/>
    </row>
    <row r="5" ht="16.5" customFormat="1" customHeight="1" s="693">
      <c r="A5" s="1" t="n">
        <v>4</v>
      </c>
      <c r="B5" s="733" t="inlineStr">
        <is>
          <t>chanhua</t>
        </is>
      </c>
      <c r="C5" s="733" t="n">
        <v>45432</v>
      </c>
      <c r="D5" s="673" t="inlineStr">
        <is>
          <t>香港比特</t>
        </is>
      </c>
      <c r="E5" s="734" t="inlineStr">
        <is>
          <t>NJVT</t>
        </is>
      </c>
      <c r="F5" s="734" t="inlineStr">
        <is>
          <t>BM1368PB</t>
        </is>
      </c>
      <c r="G5" s="673">
        <f>VLOOKUP(F5,编码对账表!C:D,2,0)</f>
        <v/>
      </c>
      <c r="H5" s="932" t="n">
        <v>9426</v>
      </c>
      <c r="I5" s="741" t="inlineStr">
        <is>
          <t>140302405201102</t>
        </is>
      </c>
      <c r="J5" s="736" t="inlineStr">
        <is>
          <t>印尼奥海</t>
        </is>
      </c>
      <c r="K5" s="736" t="n">
        <v>4.3949</v>
      </c>
      <c r="L5" s="85" t="n"/>
    </row>
    <row r="6" ht="16.5" customFormat="1" customHeight="1" s="693">
      <c r="A6" s="1" t="n">
        <v>5</v>
      </c>
      <c r="B6" s="733" t="inlineStr">
        <is>
          <t>chanhua</t>
        </is>
      </c>
      <c r="C6" s="733" t="n">
        <v>45432</v>
      </c>
      <c r="D6" s="673" t="inlineStr">
        <is>
          <t>香港比特</t>
        </is>
      </c>
      <c r="E6" s="734" t="inlineStr">
        <is>
          <t>WX-HN</t>
        </is>
      </c>
      <c r="F6" s="734" t="inlineStr">
        <is>
          <t>BM1368PB</t>
        </is>
      </c>
      <c r="G6" s="673">
        <f>VLOOKUP(F6,编码对账表!C:D,2,0)</f>
        <v/>
      </c>
      <c r="H6" s="932" t="n">
        <v>1623</v>
      </c>
      <c r="I6" s="741" t="inlineStr">
        <is>
          <t>140302405201102</t>
        </is>
      </c>
      <c r="J6" s="736" t="inlineStr">
        <is>
          <t>印尼奥海</t>
        </is>
      </c>
      <c r="K6" s="736" t="n">
        <v>4.3949</v>
      </c>
      <c r="L6" s="85" t="n"/>
    </row>
    <row r="7" ht="16.5" customFormat="1" customHeight="1" s="693">
      <c r="A7" s="1" t="n">
        <v>6</v>
      </c>
      <c r="B7" s="733" t="inlineStr">
        <is>
          <t>chanhua</t>
        </is>
      </c>
      <c r="C7" s="733" t="n">
        <v>45432</v>
      </c>
      <c r="D7" s="673" t="inlineStr">
        <is>
          <t>香港比特</t>
        </is>
      </c>
      <c r="E7" s="734" t="inlineStr">
        <is>
          <t>XJ</t>
        </is>
      </c>
      <c r="F7" s="734" t="inlineStr">
        <is>
          <t>BM1368PB</t>
        </is>
      </c>
      <c r="G7" s="673">
        <f>VLOOKUP(F7,编码对账表!C:D,2,0)</f>
        <v/>
      </c>
      <c r="H7" s="932" t="n">
        <v>155396</v>
      </c>
      <c r="I7" s="741" t="inlineStr">
        <is>
          <t>140302405201102</t>
        </is>
      </c>
      <c r="J7" s="736" t="inlineStr">
        <is>
          <t>印尼奥海</t>
        </is>
      </c>
      <c r="K7" s="736" t="n">
        <v>4.3949</v>
      </c>
      <c r="L7" s="85" t="n"/>
    </row>
    <row r="8" ht="16.5" customFormat="1" customHeight="1" s="693">
      <c r="A8" s="1" t="n">
        <v>7</v>
      </c>
      <c r="B8" s="733" t="inlineStr">
        <is>
          <t>chanhua</t>
        </is>
      </c>
      <c r="C8" s="733" t="n">
        <v>45432</v>
      </c>
      <c r="D8" s="673" t="inlineStr">
        <is>
          <t>香港比特</t>
        </is>
      </c>
      <c r="E8" s="734" t="inlineStr">
        <is>
          <t>XJ</t>
        </is>
      </c>
      <c r="F8" s="734" t="inlineStr">
        <is>
          <t>BM1366BP</t>
        </is>
      </c>
      <c r="G8" s="673">
        <f>VLOOKUP(F8,编码对账表!C:D,2,0)</f>
        <v/>
      </c>
      <c r="H8" s="932" t="n">
        <v>15139</v>
      </c>
      <c r="I8" s="741" t="inlineStr">
        <is>
          <t>140302405201103</t>
        </is>
      </c>
      <c r="J8" s="736" t="inlineStr">
        <is>
          <t>印尼奥海</t>
        </is>
      </c>
      <c r="K8" s="736" t="n">
        <v>4.07</v>
      </c>
      <c r="L8" s="85" t="n"/>
    </row>
    <row r="9" ht="16.5" customFormat="1" customHeight="1" s="693">
      <c r="A9" s="1" t="n">
        <v>8</v>
      </c>
      <c r="B9" s="733" t="inlineStr">
        <is>
          <t>chanhua</t>
        </is>
      </c>
      <c r="C9" s="733" t="n">
        <v>45432</v>
      </c>
      <c r="D9" s="673" t="inlineStr">
        <is>
          <t>香港比特</t>
        </is>
      </c>
      <c r="E9" s="734" t="inlineStr">
        <is>
          <t>NJVT</t>
        </is>
      </c>
      <c r="F9" s="734" t="inlineStr">
        <is>
          <t>BM1368PV</t>
        </is>
      </c>
      <c r="G9" s="673">
        <f>VLOOKUP(F9,编码对账表!C:D,2,0)</f>
        <v/>
      </c>
      <c r="H9" s="932" t="n">
        <v>268</v>
      </c>
      <c r="I9" s="741" t="inlineStr">
        <is>
          <t>140302405201104</t>
        </is>
      </c>
      <c r="J9" s="736" t="inlineStr">
        <is>
          <t>印尼奥海</t>
        </is>
      </c>
      <c r="K9" s="736" t="n">
        <v>4.3949</v>
      </c>
      <c r="L9" s="85" t="n"/>
    </row>
    <row r="10" ht="16.5" customFormat="1" customHeight="1" s="693">
      <c r="A10" s="1" t="n">
        <v>9</v>
      </c>
      <c r="B10" s="733" t="inlineStr">
        <is>
          <t>chanhua</t>
        </is>
      </c>
      <c r="C10" s="733" t="n">
        <v>45432</v>
      </c>
      <c r="D10" s="673" t="inlineStr">
        <is>
          <t>香港比特</t>
        </is>
      </c>
      <c r="E10" s="734" t="inlineStr">
        <is>
          <t>WX-HN</t>
        </is>
      </c>
      <c r="F10" s="734" t="inlineStr">
        <is>
          <t>BM1368PV</t>
        </is>
      </c>
      <c r="G10" s="673">
        <f>VLOOKUP(F10,编码对账表!C:D,2,0)</f>
        <v/>
      </c>
      <c r="H10" s="932" t="n">
        <v>3693</v>
      </c>
      <c r="I10" s="741" t="inlineStr">
        <is>
          <t>140302405201104</t>
        </is>
      </c>
      <c r="J10" s="736" t="inlineStr">
        <is>
          <t>印尼奥海</t>
        </is>
      </c>
      <c r="K10" s="736" t="n">
        <v>4.3949</v>
      </c>
      <c r="L10" s="85" t="n"/>
    </row>
    <row r="11" ht="16.5" customFormat="1" customHeight="1" s="693">
      <c r="A11" s="1" t="n">
        <v>10</v>
      </c>
      <c r="B11" s="733" t="inlineStr">
        <is>
          <t>chanhua</t>
        </is>
      </c>
      <c r="C11" s="733" t="n">
        <v>45432</v>
      </c>
      <c r="D11" s="673" t="inlineStr">
        <is>
          <t>香港比特</t>
        </is>
      </c>
      <c r="E11" s="734" t="inlineStr">
        <is>
          <t>XJ</t>
        </is>
      </c>
      <c r="F11" s="734" t="inlineStr">
        <is>
          <t>BM1368PV</t>
        </is>
      </c>
      <c r="G11" s="673">
        <f>VLOOKUP(F11,编码对账表!C:D,2,0)</f>
        <v/>
      </c>
      <c r="H11" s="932" t="n">
        <v>72</v>
      </c>
      <c r="I11" s="741" t="inlineStr">
        <is>
          <t>140302405201104</t>
        </is>
      </c>
      <c r="J11" s="736" t="inlineStr">
        <is>
          <t>印尼奥海</t>
        </is>
      </c>
      <c r="K11" s="736" t="n">
        <v>4.3949</v>
      </c>
      <c r="L11" s="85" t="n"/>
    </row>
    <row r="12" ht="16.5" customFormat="1" customHeight="1" s="693">
      <c r="A12" s="1" t="n">
        <v>11</v>
      </c>
      <c r="B12" s="733" t="inlineStr">
        <is>
          <t>chanhua</t>
        </is>
      </c>
      <c r="C12" s="733" t="n">
        <v>45449</v>
      </c>
      <c r="D12" s="673" t="inlineStr">
        <is>
          <t>香港比特</t>
        </is>
      </c>
      <c r="E12" s="734" t="n">
        <v>4</v>
      </c>
      <c r="F12" s="734" t="inlineStr">
        <is>
          <t>BM1368PV</t>
        </is>
      </c>
      <c r="G12" s="673">
        <f>VLOOKUP(F12,编码对账表!C:D,2,0)</f>
        <v/>
      </c>
      <c r="H12" s="932" t="n">
        <v>3888</v>
      </c>
      <c r="I12" s="741" t="inlineStr">
        <is>
          <t>140302406061100</t>
        </is>
      </c>
      <c r="J12" s="736" t="inlineStr">
        <is>
          <t>泰国群光</t>
        </is>
      </c>
      <c r="K12" s="736" t="n">
        <v>4.3949</v>
      </c>
      <c r="L12" s="85" t="n"/>
    </row>
    <row r="13" ht="16.5" customFormat="1" customHeight="1" s="693">
      <c r="A13" s="1" t="n">
        <v>12</v>
      </c>
      <c r="B13" s="733" t="inlineStr">
        <is>
          <t>chanhua</t>
        </is>
      </c>
      <c r="C13" s="733" t="n">
        <v>45449</v>
      </c>
      <c r="D13" s="673" t="inlineStr">
        <is>
          <t>香港比特</t>
        </is>
      </c>
      <c r="E13" s="734" t="inlineStr">
        <is>
          <t>XJ</t>
        </is>
      </c>
      <c r="F13" s="734" t="inlineStr">
        <is>
          <t>BM1368AA</t>
        </is>
      </c>
      <c r="G13" s="673">
        <f>VLOOKUP(F13,编码对账表!C:D,2,0)</f>
        <v/>
      </c>
      <c r="H13" s="932" t="n">
        <v>38433</v>
      </c>
      <c r="I13" s="741" t="inlineStr">
        <is>
          <t>140302406061101</t>
        </is>
      </c>
      <c r="J13" s="736" t="inlineStr">
        <is>
          <t>泰国群光</t>
        </is>
      </c>
      <c r="K13" s="736" t="n">
        <v>5.428</v>
      </c>
      <c r="L13" s="85" t="n"/>
    </row>
    <row r="14" ht="16.5" customFormat="1" customHeight="1" s="693">
      <c r="A14" s="1" t="n">
        <v>13</v>
      </c>
      <c r="B14" s="733" t="inlineStr">
        <is>
          <t>chanhua</t>
        </is>
      </c>
      <c r="C14" s="733" t="n">
        <v>45449</v>
      </c>
      <c r="D14" s="673" t="inlineStr">
        <is>
          <t>香港比特</t>
        </is>
      </c>
      <c r="E14" s="734" t="inlineStr">
        <is>
          <t>WX-HN</t>
        </is>
      </c>
      <c r="F14" s="734" t="inlineStr">
        <is>
          <t>BM1368AA</t>
        </is>
      </c>
      <c r="G14" s="673">
        <f>VLOOKUP(F14,编码对账表!C:D,2,0)</f>
        <v/>
      </c>
      <c r="H14" s="932" t="n">
        <v>405432</v>
      </c>
      <c r="I14" s="741" t="inlineStr">
        <is>
          <t>140302406061102</t>
        </is>
      </c>
      <c r="J14" s="736" t="inlineStr">
        <is>
          <t>泰国群光</t>
        </is>
      </c>
      <c r="K14" s="736" t="n">
        <v>5.428</v>
      </c>
      <c r="L14" s="85" t="n"/>
    </row>
    <row r="15" ht="16.5" customFormat="1" customHeight="1" s="693">
      <c r="A15" s="1" t="n">
        <v>14</v>
      </c>
      <c r="B15" s="733" t="inlineStr">
        <is>
          <t>chanhua</t>
        </is>
      </c>
      <c r="C15" s="733" t="n">
        <v>45519</v>
      </c>
      <c r="D15" s="673" t="inlineStr">
        <is>
          <t>香港比特</t>
        </is>
      </c>
      <c r="E15" s="734" t="inlineStr">
        <is>
          <t>XJ</t>
        </is>
      </c>
      <c r="F15" s="734" t="inlineStr">
        <is>
          <t>BM1368PB</t>
        </is>
      </c>
      <c r="G15" s="673">
        <f>VLOOKUP(F15,编码对账表!C:D,2,0)</f>
        <v/>
      </c>
      <c r="H15" s="932" t="n">
        <v>812944</v>
      </c>
      <c r="I15" s="85" t="inlineStr">
        <is>
          <t>140302409051101</t>
        </is>
      </c>
      <c r="J15" s="736" t="inlineStr">
        <is>
          <t>泰国益权</t>
        </is>
      </c>
      <c r="K15" s="736" t="n">
        <v>4.3949</v>
      </c>
      <c r="L15" s="85" t="n"/>
    </row>
    <row r="16" ht="16.5" customFormat="1" customHeight="1" s="693">
      <c r="A16" s="1" t="n">
        <v>15</v>
      </c>
      <c r="B16" s="733" t="inlineStr">
        <is>
          <t>chanhua</t>
        </is>
      </c>
      <c r="C16" s="733" t="n">
        <v>45519</v>
      </c>
      <c r="D16" s="673" t="inlineStr">
        <is>
          <t>香港比特</t>
        </is>
      </c>
      <c r="E16" s="734" t="inlineStr">
        <is>
          <t>XJ</t>
        </is>
      </c>
      <c r="F16" s="734" t="inlineStr">
        <is>
          <t>BM1368PV</t>
        </is>
      </c>
      <c r="G16" s="673">
        <f>VLOOKUP(F16,编码对账表!C:D,2,0)</f>
        <v/>
      </c>
      <c r="H16" s="932" t="n">
        <v>128705</v>
      </c>
      <c r="I16" s="85" t="inlineStr">
        <is>
          <t>140302409051101</t>
        </is>
      </c>
      <c r="J16" s="736" t="inlineStr">
        <is>
          <t>泰国益权</t>
        </is>
      </c>
      <c r="K16" s="736" t="n">
        <v>4.3949</v>
      </c>
      <c r="L16" s="85" t="n"/>
    </row>
    <row r="17" ht="16.5" customFormat="1" customHeight="1" s="693">
      <c r="A17" s="1" t="n">
        <v>16</v>
      </c>
      <c r="B17" s="733" t="inlineStr">
        <is>
          <t>chanhua</t>
        </is>
      </c>
      <c r="C17" s="733" t="n">
        <v>45523</v>
      </c>
      <c r="D17" s="673" t="inlineStr">
        <is>
          <t>香港比特</t>
        </is>
      </c>
      <c r="E17" s="734" t="inlineStr">
        <is>
          <t>WX-HN</t>
        </is>
      </c>
      <c r="F17" s="734" t="inlineStr">
        <is>
          <t>BM1368AA</t>
        </is>
      </c>
      <c r="G17" s="673">
        <f>VLOOKUP(F17,编码对账表!C:D,2,0)</f>
        <v/>
      </c>
      <c r="H17" s="932" t="n">
        <v>16533</v>
      </c>
      <c r="I17" s="85" t="inlineStr">
        <is>
          <t>140302409051102</t>
        </is>
      </c>
      <c r="J17" s="736" t="inlineStr">
        <is>
          <t>印尼奥海</t>
        </is>
      </c>
      <c r="K17" s="736" t="n">
        <v>5.428</v>
      </c>
      <c r="L17" s="85" t="inlineStr">
        <is>
          <t>HKK202403210004</t>
        </is>
      </c>
    </row>
    <row r="18" ht="16.5" customFormat="1" customHeight="1" s="693">
      <c r="A18" s="1" t="n">
        <v>17</v>
      </c>
      <c r="B18" s="733" t="inlineStr">
        <is>
          <t>chanhua</t>
        </is>
      </c>
      <c r="C18" s="733" t="n">
        <v>45523</v>
      </c>
      <c r="D18" s="673" t="inlineStr">
        <is>
          <t>香港比特</t>
        </is>
      </c>
      <c r="E18" s="734" t="inlineStr">
        <is>
          <t>WX-HN</t>
        </is>
      </c>
      <c r="F18" s="734" t="inlineStr">
        <is>
          <t>BM1368PB</t>
        </is>
      </c>
      <c r="G18" s="673">
        <f>VLOOKUP(F18,编码对账表!C:D,2,0)</f>
        <v/>
      </c>
      <c r="H18" s="932" t="n">
        <v>111954</v>
      </c>
      <c r="I18" s="85" t="inlineStr">
        <is>
          <t>140302409051102</t>
        </is>
      </c>
      <c r="J18" s="736" t="inlineStr">
        <is>
          <t>印尼奥海</t>
        </is>
      </c>
      <c r="K18" s="736" t="n">
        <v>4.3949</v>
      </c>
      <c r="L18" s="85" t="inlineStr">
        <is>
          <t>HKK202403130004</t>
        </is>
      </c>
    </row>
    <row r="19" ht="16.5" customFormat="1" customHeight="1" s="693">
      <c r="A19" s="1" t="n">
        <v>18</v>
      </c>
      <c r="B19" s="733" t="inlineStr">
        <is>
          <t>chanhua</t>
        </is>
      </c>
      <c r="C19" s="733" t="n">
        <v>45523</v>
      </c>
      <c r="D19" s="673" t="inlineStr">
        <is>
          <t>香港比特</t>
        </is>
      </c>
      <c r="E19" s="734" t="inlineStr">
        <is>
          <t>WX-HN</t>
        </is>
      </c>
      <c r="F19" s="734" t="inlineStr">
        <is>
          <t>BM1368PV</t>
        </is>
      </c>
      <c r="G19" s="673">
        <f>VLOOKUP(F19,编码对账表!C:D,2,0)</f>
        <v/>
      </c>
      <c r="H19" s="932">
        <f>1251958-H20</f>
        <v/>
      </c>
      <c r="I19" s="85" t="inlineStr">
        <is>
          <t>140302409051102</t>
        </is>
      </c>
      <c r="J19" s="736" t="inlineStr">
        <is>
          <t>印尼奥海</t>
        </is>
      </c>
      <c r="K19" s="736" t="n">
        <v>4.3949</v>
      </c>
      <c r="L19" s="85" t="inlineStr">
        <is>
          <t>HKK202403210005</t>
        </is>
      </c>
    </row>
    <row r="20" ht="16.5" customFormat="1" customHeight="1" s="693">
      <c r="A20" s="1" t="n">
        <v>19</v>
      </c>
      <c r="B20" s="733" t="inlineStr">
        <is>
          <t>chanhua</t>
        </is>
      </c>
      <c r="C20" s="733" t="n">
        <v>45523</v>
      </c>
      <c r="D20" s="673" t="inlineStr">
        <is>
          <t>香港比特</t>
        </is>
      </c>
      <c r="E20" s="734" t="inlineStr">
        <is>
          <t>WX-HN</t>
        </is>
      </c>
      <c r="F20" s="734" t="inlineStr">
        <is>
          <t>BM1368PV</t>
        </is>
      </c>
      <c r="G20" s="673">
        <f>VLOOKUP(F20,编码对账表!C:D,2,0)</f>
        <v/>
      </c>
      <c r="H20" s="932" t="n">
        <v>1157230</v>
      </c>
      <c r="I20" s="85" t="inlineStr">
        <is>
          <t>140302409051102</t>
        </is>
      </c>
      <c r="J20" s="736" t="inlineStr">
        <is>
          <t>印尼奥海</t>
        </is>
      </c>
      <c r="K20" s="736" t="n">
        <v>4.38743741920208</v>
      </c>
      <c r="L20" s="85" t="inlineStr">
        <is>
          <t>HKK202405080002</t>
        </is>
      </c>
    </row>
    <row r="21" ht="16.5" customFormat="1" customHeight="1" s="693">
      <c r="A21" s="1" t="n">
        <v>20</v>
      </c>
      <c r="B21" s="733" t="inlineStr">
        <is>
          <t>chanhua</t>
        </is>
      </c>
      <c r="C21" s="733" t="n">
        <v>45579</v>
      </c>
      <c r="D21" s="673" t="inlineStr">
        <is>
          <t>新加坡比特</t>
        </is>
      </c>
      <c r="E21" s="734" t="inlineStr">
        <is>
          <t>XJ</t>
        </is>
      </c>
      <c r="F21" s="734" t="inlineStr">
        <is>
          <t>BM1368AA</t>
        </is>
      </c>
      <c r="G21" s="673">
        <f>VLOOKUP(F21,编码对账表!C:D,2,0)</f>
        <v/>
      </c>
      <c r="H21" s="932" t="n">
        <v>75288</v>
      </c>
      <c r="I21" s="85" t="inlineStr">
        <is>
          <t>140302410161101</t>
        </is>
      </c>
      <c r="J21" s="736" t="inlineStr">
        <is>
          <t>SMTT</t>
        </is>
      </c>
      <c r="K21" s="736" t="n">
        <v>5.428</v>
      </c>
      <c r="L21" s="85" t="inlineStr">
        <is>
          <t>202403280002</t>
        </is>
      </c>
    </row>
    <row r="22" ht="16.5" customFormat="1" customHeight="1" s="693">
      <c r="A22" s="1" t="n">
        <v>21</v>
      </c>
      <c r="B22" s="733" t="inlineStr">
        <is>
          <t>chanhua</t>
        </is>
      </c>
      <c r="C22" s="733" t="n">
        <v>45582</v>
      </c>
      <c r="D22" s="673" t="inlineStr">
        <is>
          <t>新加坡比特</t>
        </is>
      </c>
      <c r="E22" s="734" t="inlineStr">
        <is>
          <t>WX-HN</t>
        </is>
      </c>
      <c r="F22" s="734" t="inlineStr">
        <is>
          <t>BM1368AA</t>
        </is>
      </c>
      <c r="G22" s="673">
        <f>VLOOKUP(F22,编码对账表!C:D,2,0)</f>
        <v/>
      </c>
      <c r="H22" s="932" t="n">
        <v>41265</v>
      </c>
      <c r="I22" s="85" t="inlineStr">
        <is>
          <t>140302410171102</t>
        </is>
      </c>
      <c r="J22" s="736" t="inlineStr">
        <is>
          <t>Nationgate</t>
        </is>
      </c>
      <c r="K22" s="736" t="n">
        <v>5.428</v>
      </c>
      <c r="L22" s="85" t="inlineStr">
        <is>
          <t>202403260001</t>
        </is>
      </c>
      <c r="M22" s="85" t="inlineStr">
        <is>
          <t>1403240326092230/退WXHN</t>
        </is>
      </c>
    </row>
    <row r="23" ht="16.5" customFormat="1" customHeight="1" s="693">
      <c r="A23" s="1" t="n">
        <v>22</v>
      </c>
      <c r="B23" s="733" t="inlineStr">
        <is>
          <t>chanhua</t>
        </is>
      </c>
      <c r="C23" s="733" t="n">
        <v>45582</v>
      </c>
      <c r="D23" s="673" t="inlineStr">
        <is>
          <t>新加坡比特</t>
        </is>
      </c>
      <c r="E23" s="734" t="inlineStr">
        <is>
          <t>WX-HN</t>
        </is>
      </c>
      <c r="F23" s="734" t="inlineStr">
        <is>
          <t>BM1368PB</t>
        </is>
      </c>
      <c r="G23" s="673">
        <f>VLOOKUP(F23,编码对账表!C:D,2,0)</f>
        <v/>
      </c>
      <c r="H23" s="932" t="n">
        <v>284744</v>
      </c>
      <c r="I23" s="85" t="inlineStr">
        <is>
          <t>140302410171102</t>
        </is>
      </c>
      <c r="J23" s="736" t="inlineStr">
        <is>
          <t>Nationgate</t>
        </is>
      </c>
      <c r="K23" s="736" t="n">
        <v>4.3949</v>
      </c>
      <c r="L23" s="85" t="inlineStr">
        <is>
          <t>202403260001</t>
        </is>
      </c>
      <c r="M23" s="85" t="inlineStr">
        <is>
          <t>1403240326092230/退WXHN</t>
        </is>
      </c>
    </row>
    <row r="24" ht="16.5" customFormat="1" customHeight="1" s="693">
      <c r="A24" s="1" t="n">
        <v>23</v>
      </c>
      <c r="B24" s="733" t="inlineStr">
        <is>
          <t>chanhua</t>
        </is>
      </c>
      <c r="C24" s="733" t="n">
        <v>45582</v>
      </c>
      <c r="D24" s="673" t="inlineStr">
        <is>
          <t>新加坡比特</t>
        </is>
      </c>
      <c r="E24" s="734" t="inlineStr">
        <is>
          <t>WX-HN</t>
        </is>
      </c>
      <c r="F24" s="734" t="inlineStr">
        <is>
          <t>BM1368PV</t>
        </is>
      </c>
      <c r="G24" s="673">
        <f>VLOOKUP(F24,编码对账表!C:D,2,0)</f>
        <v/>
      </c>
      <c r="H24" s="932" t="n">
        <v>1206000</v>
      </c>
      <c r="I24" s="85" t="inlineStr">
        <is>
          <t>140302410171103</t>
        </is>
      </c>
      <c r="J24" s="736" t="inlineStr">
        <is>
          <t>Nationgate</t>
        </is>
      </c>
      <c r="K24" s="736" t="n">
        <v>4.3874</v>
      </c>
      <c r="L24" s="85" t="inlineStr">
        <is>
          <t>202405280002</t>
        </is>
      </c>
      <c r="M24" s="85" t="inlineStr">
        <is>
          <t>1403240528155505/退WXHN</t>
        </is>
      </c>
    </row>
    <row r="25" ht="16.5" customFormat="1" customHeight="1" s="693">
      <c r="A25" s="1" t="n">
        <v>24</v>
      </c>
      <c r="B25" s="733" t="inlineStr">
        <is>
          <t>chanhua</t>
        </is>
      </c>
      <c r="C25" s="733" t="n">
        <v>45582</v>
      </c>
      <c r="D25" s="673" t="inlineStr">
        <is>
          <t>香港比特</t>
        </is>
      </c>
      <c r="E25" s="734" t="inlineStr">
        <is>
          <t>ASECL</t>
        </is>
      </c>
      <c r="F25" s="734" t="inlineStr">
        <is>
          <t>BM1370PA</t>
        </is>
      </c>
      <c r="G25" s="673">
        <f>VLOOKUP(F25,编码对账表!C:D,2,0)</f>
        <v/>
      </c>
      <c r="H25" s="932" t="n">
        <v>220401</v>
      </c>
      <c r="I25" s="85" t="inlineStr">
        <is>
          <t>140302410172010</t>
        </is>
      </c>
      <c r="J25" s="736" t="inlineStr">
        <is>
          <t>泰国群光</t>
        </is>
      </c>
      <c r="K25" s="736" t="n">
        <v>8.552899999999999</v>
      </c>
      <c r="L25" s="85" t="inlineStr">
        <is>
          <t>HKK202409020005</t>
        </is>
      </c>
      <c r="M25" s="85" t="inlineStr">
        <is>
          <t>140302409041016/退ASECL</t>
        </is>
      </c>
    </row>
    <row r="26" ht="16.5" customFormat="1" customHeight="1" s="693">
      <c r="A26" s="1" t="n">
        <v>25</v>
      </c>
      <c r="B26" s="733" t="inlineStr">
        <is>
          <t>chanhua</t>
        </is>
      </c>
      <c r="C26" s="733" t="n">
        <v>45588</v>
      </c>
      <c r="D26" s="673" t="inlineStr">
        <is>
          <t>新加坡比特</t>
        </is>
      </c>
      <c r="E26" s="734" t="inlineStr">
        <is>
          <t>WX-HN</t>
        </is>
      </c>
      <c r="F26" s="734" t="inlineStr">
        <is>
          <t>BM1368PV</t>
        </is>
      </c>
      <c r="G26" s="673">
        <f>VLOOKUP(F26,编码对账表!C:D,2,0)</f>
        <v/>
      </c>
      <c r="H26" s="932" t="n">
        <v>173324</v>
      </c>
      <c r="I26" s="85" t="inlineStr">
        <is>
          <t>140302410252010</t>
        </is>
      </c>
      <c r="J26" s="736" t="inlineStr">
        <is>
          <t>PIE</t>
        </is>
      </c>
      <c r="K26" s="736" t="n">
        <v>4.3949</v>
      </c>
      <c r="L26" s="85" t="inlineStr">
        <is>
          <t>202404180003</t>
        </is>
      </c>
      <c r="M26" s="85" t="inlineStr">
        <is>
          <t>1403240418121954/退WXHN</t>
        </is>
      </c>
    </row>
    <row r="27" ht="16.5" customFormat="1" customHeight="1" s="693">
      <c r="A27" s="1" t="n">
        <v>26</v>
      </c>
      <c r="B27" s="733" t="inlineStr">
        <is>
          <t>chanhua</t>
        </is>
      </c>
      <c r="C27" s="733" t="n">
        <v>45588</v>
      </c>
      <c r="D27" s="673" t="inlineStr">
        <is>
          <t>新加坡比特</t>
        </is>
      </c>
      <c r="E27" s="734" t="inlineStr">
        <is>
          <t>WX-HN</t>
        </is>
      </c>
      <c r="F27" s="734" t="inlineStr">
        <is>
          <t>BM1368AA</t>
        </is>
      </c>
      <c r="G27" s="673">
        <f>VLOOKUP(F27,编码对账表!C:D,2,0)</f>
        <v/>
      </c>
      <c r="H27" s="932" t="n">
        <v>43153</v>
      </c>
      <c r="I27" s="85" t="inlineStr">
        <is>
          <t>140302410252011</t>
        </is>
      </c>
      <c r="J27" s="736" t="inlineStr">
        <is>
          <t>PIE</t>
        </is>
      </c>
      <c r="K27" s="736" t="n">
        <v>5.428</v>
      </c>
      <c r="L27" s="85" t="inlineStr">
        <is>
          <t>202403140014</t>
        </is>
      </c>
      <c r="M27" s="85" t="inlineStr">
        <is>
          <t>1403240314144336/退WXHN</t>
        </is>
      </c>
    </row>
    <row r="28" ht="16.5" customFormat="1" customHeight="1" s="693">
      <c r="A28" s="1" t="n">
        <v>27</v>
      </c>
      <c r="B28" s="733" t="inlineStr">
        <is>
          <t>chanhua</t>
        </is>
      </c>
      <c r="C28" s="733" t="n">
        <v>45626</v>
      </c>
      <c r="D28" s="673" t="inlineStr">
        <is>
          <t>新加坡比特</t>
        </is>
      </c>
      <c r="E28" s="734" t="inlineStr">
        <is>
          <t>XJ</t>
        </is>
      </c>
      <c r="F28" s="734" t="inlineStr">
        <is>
          <t>BM1368PB</t>
        </is>
      </c>
      <c r="G28" s="673">
        <f>VLOOKUP(F28,编码对账表!C:D,2,0)</f>
        <v/>
      </c>
      <c r="H28" s="932" t="n">
        <v>138263</v>
      </c>
      <c r="I28" s="85" t="inlineStr">
        <is>
          <t>14032024121913541</t>
        </is>
      </c>
      <c r="J28" s="736" t="inlineStr">
        <is>
          <t>PIE</t>
        </is>
      </c>
      <c r="K28" s="736" t="n">
        <v>4.3949</v>
      </c>
      <c r="L28" s="85" t="inlineStr">
        <is>
          <t>202404050002</t>
        </is>
      </c>
      <c r="M28" s="85" t="inlineStr">
        <is>
          <t>1403240405092603/退XJ</t>
        </is>
      </c>
    </row>
    <row r="29" ht="16.5" customFormat="1" customHeight="1" s="693">
      <c r="A29" s="1" t="n">
        <v>28</v>
      </c>
      <c r="B29" s="733" t="inlineStr">
        <is>
          <t>chanhua</t>
        </is>
      </c>
      <c r="C29" s="733" t="n">
        <v>45626</v>
      </c>
      <c r="D29" s="673" t="inlineStr">
        <is>
          <t>新加坡比特</t>
        </is>
      </c>
      <c r="E29" s="734" t="inlineStr">
        <is>
          <t>XJ</t>
        </is>
      </c>
      <c r="F29" s="734" t="inlineStr">
        <is>
          <t>BM1368PV</t>
        </is>
      </c>
      <c r="G29" s="673">
        <f>VLOOKUP(F29,编码对账表!C:D,2,0)</f>
        <v/>
      </c>
      <c r="H29" s="932" t="n">
        <v>376715</v>
      </c>
      <c r="I29" s="85" t="inlineStr">
        <is>
          <t>14032024121913561</t>
        </is>
      </c>
      <c r="J29" s="736" t="inlineStr">
        <is>
          <t>PIE</t>
        </is>
      </c>
      <c r="K29" s="736" t="n">
        <v>4.3874</v>
      </c>
      <c r="L29" s="85" t="inlineStr">
        <is>
          <t>202405280003</t>
        </is>
      </c>
      <c r="M29" s="85" t="inlineStr">
        <is>
          <t>1403240528160113/退XJ</t>
        </is>
      </c>
    </row>
    <row r="30" ht="16.5" customFormat="1" customHeight="1" s="693">
      <c r="A30" s="1" t="n">
        <v>29</v>
      </c>
      <c r="B30" s="733" t="inlineStr">
        <is>
          <t>chanhua</t>
        </is>
      </c>
      <c r="C30" s="733" t="n">
        <v>45657</v>
      </c>
      <c r="D30" s="673" t="inlineStr">
        <is>
          <t>新加坡比特</t>
        </is>
      </c>
      <c r="E30" s="734" t="inlineStr">
        <is>
          <t>XJ</t>
        </is>
      </c>
      <c r="F30" s="734" t="inlineStr">
        <is>
          <t>BM1368PB</t>
        </is>
      </c>
      <c r="G30" s="673">
        <f>VLOOKUP(F30,编码对账表!C:D,2,0)</f>
        <v/>
      </c>
      <c r="H30" s="932" t="n">
        <v>4085</v>
      </c>
      <c r="I30" s="85" t="inlineStr">
        <is>
          <t>1403202412319001</t>
        </is>
      </c>
      <c r="J30" s="736" t="inlineStr">
        <is>
          <t>泰国ONETEC</t>
        </is>
      </c>
      <c r="K30" s="736" t="n">
        <v>4.3949</v>
      </c>
      <c r="L30" s="621" t="inlineStr">
        <is>
          <t>202403210005</t>
        </is>
      </c>
      <c r="M30" s="85" t="n"/>
    </row>
    <row r="31" ht="16.5" customFormat="1" customHeight="1" s="693">
      <c r="A31" s="1" t="n">
        <v>30</v>
      </c>
      <c r="B31" s="733" t="inlineStr">
        <is>
          <t>chanhua</t>
        </is>
      </c>
      <c r="C31" s="733" t="n">
        <v>45657</v>
      </c>
      <c r="D31" s="673" t="inlineStr">
        <is>
          <t>新加坡比特</t>
        </is>
      </c>
      <c r="E31" s="734" t="inlineStr">
        <is>
          <t>XJ</t>
        </is>
      </c>
      <c r="F31" s="734" t="inlineStr">
        <is>
          <t>BM1368PV</t>
        </is>
      </c>
      <c r="G31" s="673">
        <f>VLOOKUP(F31,编码对账表!C:D,2,0)</f>
        <v/>
      </c>
      <c r="H31" s="932" t="n">
        <v>259114</v>
      </c>
      <c r="I31" s="85" t="inlineStr">
        <is>
          <t>1403202412319001</t>
        </is>
      </c>
      <c r="J31" s="736" t="inlineStr">
        <is>
          <t>泰国ONETEC</t>
        </is>
      </c>
      <c r="K31" s="736" t="n">
        <v>4.3949</v>
      </c>
      <c r="L31" s="621" t="inlineStr">
        <is>
          <t>202403210005</t>
        </is>
      </c>
      <c r="M31" s="85" t="n"/>
    </row>
    <row r="32" ht="16.5" customFormat="1" customHeight="1" s="693">
      <c r="A32" s="1" t="n">
        <v>31</v>
      </c>
      <c r="B32" s="733" t="inlineStr">
        <is>
          <t>chanhua</t>
        </is>
      </c>
      <c r="C32" s="733" t="n">
        <v>45681</v>
      </c>
      <c r="D32" s="673" t="inlineStr">
        <is>
          <t>香港比特</t>
        </is>
      </c>
      <c r="E32" s="734" t="inlineStr">
        <is>
          <t>XJ</t>
        </is>
      </c>
      <c r="F32" s="734" t="inlineStr">
        <is>
          <t>BM1368AA</t>
        </is>
      </c>
      <c r="G32" s="673">
        <f>VLOOKUP(F32,编码对账表!C:D,2,0)</f>
        <v/>
      </c>
      <c r="H32" s="932" t="n">
        <v>1390990</v>
      </c>
      <c r="I32" s="85" t="inlineStr">
        <is>
          <t>1403202501249001</t>
        </is>
      </c>
      <c r="J32" s="736" t="inlineStr">
        <is>
          <t>印尼奥海</t>
        </is>
      </c>
      <c r="K32" s="736" t="n">
        <v>5.4151</v>
      </c>
      <c r="L32" s="85" t="inlineStr">
        <is>
          <t>HKK202411110011</t>
        </is>
      </c>
      <c r="M32" s="85" t="n"/>
    </row>
    <row r="33" ht="16.5" customFormat="1" customHeight="1" s="693">
      <c r="A33" s="1" t="n">
        <v>32</v>
      </c>
      <c r="B33" s="733" t="inlineStr">
        <is>
          <t>chanhua</t>
        </is>
      </c>
      <c r="C33" s="733" t="n">
        <v>45710</v>
      </c>
      <c r="D33" s="673" t="inlineStr">
        <is>
          <t>新加坡比特</t>
        </is>
      </c>
      <c r="E33" s="734" t="inlineStr">
        <is>
          <t>XJ</t>
        </is>
      </c>
      <c r="F33" s="734" t="inlineStr">
        <is>
          <t>BM1368PB</t>
        </is>
      </c>
      <c r="G33" s="673">
        <f>VLOOKUP(F33,编码对账表!C:D,2,0)</f>
        <v/>
      </c>
      <c r="H33" s="932" t="n">
        <v>7757</v>
      </c>
      <c r="I33" s="85" t="inlineStr">
        <is>
          <t>1403202502229001</t>
        </is>
      </c>
      <c r="J33" s="736" t="inlineStr">
        <is>
          <t>Nationgate</t>
        </is>
      </c>
      <c r="K33" s="736" t="n">
        <v>4.3874</v>
      </c>
      <c r="L33" s="85" t="inlineStr">
        <is>
          <t>1403240528155505</t>
        </is>
      </c>
      <c r="M33" s="85" t="n"/>
    </row>
    <row r="34" ht="16.5" customFormat="1" customHeight="1" s="693">
      <c r="A34" s="1" t="n">
        <v>33</v>
      </c>
      <c r="B34" s="733" t="inlineStr">
        <is>
          <t>chanhua</t>
        </is>
      </c>
      <c r="C34" s="733" t="n">
        <v>45710</v>
      </c>
      <c r="D34" s="673" t="inlineStr">
        <is>
          <t>新加坡比特</t>
        </is>
      </c>
      <c r="E34" s="734" t="inlineStr">
        <is>
          <t>XJ</t>
        </is>
      </c>
      <c r="F34" s="734" t="inlineStr">
        <is>
          <t>BM1368PB</t>
        </is>
      </c>
      <c r="G34" s="673">
        <f>VLOOKUP(F34,编码对账表!C:D,2,0)</f>
        <v/>
      </c>
      <c r="H34" s="932" t="n">
        <v>663500</v>
      </c>
      <c r="I34" s="85" t="inlineStr">
        <is>
          <t>1403202502229003</t>
        </is>
      </c>
      <c r="J34" s="736" t="inlineStr">
        <is>
          <t>Nationgate</t>
        </is>
      </c>
      <c r="K34" s="736" t="n">
        <v>4.3874</v>
      </c>
      <c r="L34" s="85" t="inlineStr">
        <is>
          <t>1403240528155505</t>
        </is>
      </c>
      <c r="M34" s="85" t="n"/>
    </row>
    <row r="35" ht="16.5" customFormat="1" customHeight="1" s="693">
      <c r="A35" s="1" t="n">
        <v>34</v>
      </c>
      <c r="B35" s="733" t="inlineStr">
        <is>
          <t>chanhua</t>
        </is>
      </c>
      <c r="C35" s="733" t="n">
        <v>45710</v>
      </c>
      <c r="D35" s="673" t="inlineStr">
        <is>
          <t>新加坡比特</t>
        </is>
      </c>
      <c r="E35" s="734" t="inlineStr">
        <is>
          <t>XJ</t>
        </is>
      </c>
      <c r="F35" s="734" t="inlineStr">
        <is>
          <t>BM1368PV</t>
        </is>
      </c>
      <c r="G35" s="673">
        <f>VLOOKUP(F35,编码对账表!C:D,2,0)</f>
        <v/>
      </c>
      <c r="H35" s="932" t="n">
        <v>9980</v>
      </c>
      <c r="I35" s="85" t="inlineStr">
        <is>
          <t>1403202502229003</t>
        </is>
      </c>
      <c r="J35" s="736" t="inlineStr">
        <is>
          <t>Nationgate</t>
        </is>
      </c>
      <c r="K35" s="736" t="n">
        <v>4.3874</v>
      </c>
      <c r="L35" s="85" t="inlineStr">
        <is>
          <t>1403240528155505</t>
        </is>
      </c>
      <c r="M35" s="85" t="n"/>
    </row>
    <row r="36" ht="16.5" customFormat="1" customHeight="1" s="693">
      <c r="A36" s="1" t="n">
        <v>35</v>
      </c>
      <c r="B36" s="733" t="inlineStr">
        <is>
          <t>chanhua</t>
        </is>
      </c>
      <c r="C36" s="733" t="n">
        <v>45710</v>
      </c>
      <c r="D36" s="673" t="inlineStr">
        <is>
          <t>新加坡比特</t>
        </is>
      </c>
      <c r="E36" s="734" t="inlineStr">
        <is>
          <t>XJ</t>
        </is>
      </c>
      <c r="F36" s="734" t="inlineStr">
        <is>
          <t>BM1491AA</t>
        </is>
      </c>
      <c r="G36" s="673">
        <f>VLOOKUP(F36,编码对账表!C:D,2,0)</f>
        <v/>
      </c>
      <c r="H36" s="932" t="n">
        <v>1832</v>
      </c>
      <c r="I36" s="85" t="inlineStr">
        <is>
          <t>1403202502249001</t>
        </is>
      </c>
      <c r="J36" s="736" t="inlineStr">
        <is>
          <t>印尼奥海</t>
        </is>
      </c>
      <c r="K36" s="736" t="n">
        <v>11.0314</v>
      </c>
      <c r="L36" s="85" t="inlineStr">
        <is>
          <t>1403250124154453</t>
        </is>
      </c>
      <c r="M36" s="85" t="n"/>
    </row>
    <row r="37" ht="16.5" customFormat="1" customHeight="1" s="693">
      <c r="A37" s="1" t="n">
        <v>36</v>
      </c>
      <c r="B37" s="733" t="inlineStr">
        <is>
          <t>chanhua</t>
        </is>
      </c>
      <c r="C37" s="733" t="n">
        <v>45750</v>
      </c>
      <c r="D37" s="673" t="inlineStr">
        <is>
          <t>新加坡比特</t>
        </is>
      </c>
      <c r="E37" s="734" t="inlineStr">
        <is>
          <t>XJ</t>
        </is>
      </c>
      <c r="F37" s="734" t="inlineStr">
        <is>
          <t>BM1368AA</t>
        </is>
      </c>
      <c r="G37" s="673">
        <f>VLOOKUP(F37,编码对账表!C:D,2,0)</f>
        <v/>
      </c>
      <c r="H37" s="932">
        <f>287648-126058-H39</f>
        <v/>
      </c>
      <c r="I37" s="85" t="inlineStr">
        <is>
          <t>1403202504141713</t>
        </is>
      </c>
      <c r="J37" s="736" t="inlineStr">
        <is>
          <t>印尼奥海</t>
        </is>
      </c>
      <c r="K37" s="736" t="n">
        <v>5.4151</v>
      </c>
      <c r="L37" s="85" t="inlineStr">
        <is>
          <t>HKK202411110011</t>
        </is>
      </c>
      <c r="M37" s="85" t="n"/>
    </row>
    <row r="38" ht="16.5" customFormat="1" customHeight="1" s="693">
      <c r="A38" s="1" t="n">
        <v>37</v>
      </c>
      <c r="B38" s="733" t="inlineStr">
        <is>
          <t>chanhua</t>
        </is>
      </c>
      <c r="C38" s="733" t="n">
        <v>45750</v>
      </c>
      <c r="D38" s="673" t="inlineStr">
        <is>
          <t>新加坡比特</t>
        </is>
      </c>
      <c r="E38" s="734" t="inlineStr">
        <is>
          <t>XJ</t>
        </is>
      </c>
      <c r="F38" s="734" t="inlineStr">
        <is>
          <t>BM1368PA</t>
        </is>
      </c>
      <c r="G38" s="673">
        <f>VLOOKUP(F38,编码对账表!C:D,2,0)</f>
        <v/>
      </c>
      <c r="H38" s="932">
        <f>544936-H40</f>
        <v/>
      </c>
      <c r="I38" s="85" t="inlineStr">
        <is>
          <t>1403202504141713</t>
        </is>
      </c>
      <c r="J38" s="736" t="inlineStr">
        <is>
          <t>印尼奥海</t>
        </is>
      </c>
      <c r="K38" s="736" t="n">
        <v>4.38743741920208</v>
      </c>
      <c r="L38" s="85" t="inlineStr">
        <is>
          <t>HKK202406060002</t>
        </is>
      </c>
      <c r="M38" s="85" t="n"/>
    </row>
    <row r="39" ht="16.5" customFormat="1" customHeight="1" s="693">
      <c r="A39" s="1" t="n">
        <v>36</v>
      </c>
      <c r="B39" s="733" t="inlineStr">
        <is>
          <t>chanhua</t>
        </is>
      </c>
      <c r="C39" s="733" t="n">
        <v>45750</v>
      </c>
      <c r="D39" s="673" t="inlineStr">
        <is>
          <t>新加坡比特</t>
        </is>
      </c>
      <c r="E39" s="734" t="inlineStr">
        <is>
          <t>XJ</t>
        </is>
      </c>
      <c r="F39" s="734" t="inlineStr">
        <is>
          <t>BM1368AA</t>
        </is>
      </c>
      <c r="G39" s="673">
        <f>VLOOKUP(F39,编码对账表!C:D,2,0)</f>
        <v/>
      </c>
      <c r="H39" s="932" t="n">
        <v>158303</v>
      </c>
      <c r="I39" s="85" t="inlineStr">
        <is>
          <t>1403202504141818</t>
        </is>
      </c>
      <c r="J39" s="736" t="inlineStr">
        <is>
          <t>印尼奥海</t>
        </is>
      </c>
      <c r="K39" s="736" t="n">
        <v>5.4151</v>
      </c>
      <c r="L39" s="85" t="inlineStr">
        <is>
          <t>202410127010</t>
        </is>
      </c>
      <c r="M39" s="85" t="n"/>
    </row>
    <row r="40" ht="16.5" customFormat="1" customHeight="1" s="693">
      <c r="A40" s="1" t="n">
        <v>38</v>
      </c>
      <c r="B40" s="733" t="inlineStr">
        <is>
          <t>chanhua</t>
        </is>
      </c>
      <c r="C40" s="733" t="n">
        <v>45750</v>
      </c>
      <c r="D40" s="673" t="inlineStr">
        <is>
          <t>新加坡比特</t>
        </is>
      </c>
      <c r="E40" s="734" t="inlineStr">
        <is>
          <t>XJ</t>
        </is>
      </c>
      <c r="F40" s="734" t="inlineStr">
        <is>
          <t>BM1368PA</t>
        </is>
      </c>
      <c r="G40" s="673">
        <f>VLOOKUP(F40,编码对账表!C:D,2,0)</f>
        <v/>
      </c>
      <c r="H40" s="932" t="n">
        <v>537405</v>
      </c>
      <c r="I40" s="85" t="inlineStr">
        <is>
          <t>1403202504141818</t>
        </is>
      </c>
      <c r="J40" s="736" t="inlineStr">
        <is>
          <t>印尼奥海</t>
        </is>
      </c>
      <c r="K40" s="736" t="n">
        <v>4.382</v>
      </c>
      <c r="L40" s="85" t="inlineStr">
        <is>
          <t>202410127010</t>
        </is>
      </c>
      <c r="M40" s="85" t="n"/>
    </row>
    <row r="41" ht="16.5" customFormat="1" customHeight="1" s="693">
      <c r="A41" s="1" t="n">
        <v>39</v>
      </c>
      <c r="B41" s="733" t="inlineStr">
        <is>
          <t>chanhua</t>
        </is>
      </c>
      <c r="C41" s="733" t="n">
        <v>45750</v>
      </c>
      <c r="D41" s="673" t="inlineStr">
        <is>
          <t>新加坡比特</t>
        </is>
      </c>
      <c r="E41" s="734" t="inlineStr">
        <is>
          <t>XJ</t>
        </is>
      </c>
      <c r="F41" s="734" t="inlineStr">
        <is>
          <t>BM1368PB</t>
        </is>
      </c>
      <c r="G41" s="673">
        <f>VLOOKUP(F41,编码对账表!C:D,2,0)</f>
        <v/>
      </c>
      <c r="H41" s="932" t="n">
        <v>145414</v>
      </c>
      <c r="I41" s="85" t="inlineStr">
        <is>
          <t>1403202504141818</t>
        </is>
      </c>
      <c r="J41" s="736" t="inlineStr">
        <is>
          <t>印尼奥海</t>
        </is>
      </c>
      <c r="K41" s="736" t="n">
        <v>4.382</v>
      </c>
      <c r="L41" s="85" t="inlineStr">
        <is>
          <t>202410127010</t>
        </is>
      </c>
      <c r="M41" s="85" t="n"/>
    </row>
    <row r="42" ht="16.5" customFormat="1" customHeight="1" s="693">
      <c r="A42" s="1" t="n">
        <v>40</v>
      </c>
      <c r="B42" s="733" t="inlineStr">
        <is>
          <t>chanhua</t>
        </is>
      </c>
      <c r="C42" s="733" t="n">
        <v>45750</v>
      </c>
      <c r="D42" s="673" t="inlineStr">
        <is>
          <t>新加坡比特</t>
        </is>
      </c>
      <c r="E42" s="734" t="inlineStr">
        <is>
          <t>XJ</t>
        </is>
      </c>
      <c r="F42" s="734" t="inlineStr">
        <is>
          <t>BM1368PV</t>
        </is>
      </c>
      <c r="G42" s="673">
        <f>VLOOKUP(F42,编码对账表!C:D,2,0)</f>
        <v/>
      </c>
      <c r="H42" s="932" t="n">
        <v>313739</v>
      </c>
      <c r="I42" s="85" t="inlineStr">
        <is>
          <t>1403202504141818</t>
        </is>
      </c>
      <c r="J42" s="736" t="inlineStr">
        <is>
          <t>印尼奥海</t>
        </is>
      </c>
      <c r="K42" s="736" t="n">
        <v>4.382</v>
      </c>
      <c r="L42" s="85" t="inlineStr">
        <is>
          <t>202410127010</t>
        </is>
      </c>
      <c r="M42" s="85" t="n"/>
    </row>
    <row r="43" ht="16.5" customFormat="1" customHeight="1" s="693">
      <c r="A43" s="1" t="n">
        <v>41</v>
      </c>
      <c r="B43" s="733" t="inlineStr">
        <is>
          <t>chanhua</t>
        </is>
      </c>
      <c r="C43" s="733" t="n">
        <v>45723</v>
      </c>
      <c r="D43" s="673" t="inlineStr">
        <is>
          <t>新加坡比特</t>
        </is>
      </c>
      <c r="E43" s="734" t="inlineStr">
        <is>
          <t>JSCC</t>
        </is>
      </c>
      <c r="F43" s="734" t="inlineStr">
        <is>
          <t>BM1370PA</t>
        </is>
      </c>
      <c r="G43" s="673">
        <f>VLOOKUP(F43,编码对账表!C:D,2,0)</f>
        <v/>
      </c>
      <c r="H43" s="932" t="n">
        <v>379398</v>
      </c>
      <c r="I43" s="621" t="inlineStr">
        <is>
          <t>14032508191654</t>
        </is>
      </c>
      <c r="J43" s="736" t="inlineStr">
        <is>
          <t>泰国群光</t>
        </is>
      </c>
      <c r="K43" s="736" t="n"/>
      <c r="L43" s="85" t="inlineStr">
        <is>
          <t>202503070013</t>
        </is>
      </c>
      <c r="M43" s="621" t="inlineStr">
        <is>
          <t>1403250307111402</t>
        </is>
      </c>
    </row>
    <row r="44" ht="16.5" customFormat="1" customHeight="1" s="693">
      <c r="A44" s="1" t="n">
        <v>42</v>
      </c>
      <c r="B44" s="733" t="inlineStr">
        <is>
          <t>chanhua</t>
        </is>
      </c>
      <c r="C44" s="733" t="n">
        <v>45804</v>
      </c>
      <c r="D44" s="673" t="inlineStr">
        <is>
          <t>新加坡比特</t>
        </is>
      </c>
      <c r="E44" s="734" t="inlineStr">
        <is>
          <t>ASECL</t>
        </is>
      </c>
      <c r="F44" s="734" t="inlineStr">
        <is>
          <t>BM1370PA</t>
        </is>
      </c>
      <c r="G44" s="673">
        <f>VLOOKUP(F44,编码对账表!C:D,2,0)</f>
        <v/>
      </c>
      <c r="H44" s="932" t="n">
        <v>12000</v>
      </c>
      <c r="I44" s="621" t="inlineStr">
        <is>
          <t>14032508191656</t>
        </is>
      </c>
      <c r="J44" s="736" t="inlineStr">
        <is>
          <t>泰国群光</t>
        </is>
      </c>
      <c r="K44" s="736" t="n"/>
      <c r="L44" s="85" t="inlineStr">
        <is>
          <t>202505270013</t>
        </is>
      </c>
      <c r="M44" s="621" t="inlineStr">
        <is>
          <t>1403250527144908</t>
        </is>
      </c>
    </row>
    <row r="45" ht="16.5" customFormat="1" customHeight="1" s="693">
      <c r="A45" s="1" t="n">
        <v>43</v>
      </c>
      <c r="B45" s="733" t="inlineStr">
        <is>
          <t>chanhua</t>
        </is>
      </c>
      <c r="C45" s="733" t="n">
        <v>45719</v>
      </c>
      <c r="D45" s="673" t="inlineStr">
        <is>
          <t>新加坡比特</t>
        </is>
      </c>
      <c r="E45" s="734" t="inlineStr">
        <is>
          <t>SPILSZ</t>
        </is>
      </c>
      <c r="F45" s="734" t="inlineStr">
        <is>
          <t>BM1370PA</t>
        </is>
      </c>
      <c r="G45" s="673">
        <f>VLOOKUP(F45,编码对账表!C:D,2,0)</f>
        <v/>
      </c>
      <c r="H45" s="932" t="n">
        <v>113561</v>
      </c>
      <c r="I45" s="621" t="inlineStr">
        <is>
          <t>14032508071401</t>
        </is>
      </c>
      <c r="J45" s="736" t="inlineStr">
        <is>
          <t>泰国ONETEC</t>
        </is>
      </c>
      <c r="K45" s="736" t="n"/>
      <c r="L45" s="85" t="inlineStr">
        <is>
          <t>202503070012</t>
        </is>
      </c>
      <c r="M45" s="621" t="inlineStr">
        <is>
          <t>1403250307111356</t>
        </is>
      </c>
    </row>
    <row r="46" ht="16.5" customFormat="1" customHeight="1" s="693">
      <c r="A46" s="1" t="n">
        <v>44</v>
      </c>
      <c r="B46" s="733" t="inlineStr">
        <is>
          <t>chanhua</t>
        </is>
      </c>
      <c r="C46" s="733" t="n">
        <v>45758</v>
      </c>
      <c r="D46" s="673" t="inlineStr">
        <is>
          <t>新加坡比特</t>
        </is>
      </c>
      <c r="E46" s="734" t="inlineStr">
        <is>
          <t>XJ</t>
        </is>
      </c>
      <c r="F46" s="734" t="inlineStr">
        <is>
          <t>BM1370PA</t>
        </is>
      </c>
      <c r="G46" s="673">
        <f>VLOOKUP(F46,编码对账表!C:D,2,0)</f>
        <v/>
      </c>
      <c r="H46" s="932" t="n">
        <v>30499</v>
      </c>
      <c r="I46" s="621" t="inlineStr">
        <is>
          <t>14032508071419</t>
        </is>
      </c>
      <c r="J46" s="736" t="inlineStr">
        <is>
          <t>泰国ONETEC</t>
        </is>
      </c>
      <c r="K46" s="736" t="n"/>
      <c r="L46" s="85" t="inlineStr">
        <is>
          <t>202504140012</t>
        </is>
      </c>
      <c r="M46" s="621" t="inlineStr">
        <is>
          <t>1403250414135954</t>
        </is>
      </c>
    </row>
    <row r="47" ht="16.5" customFormat="1" customHeight="1" s="693">
      <c r="A47" s="1" t="n">
        <v>45</v>
      </c>
      <c r="B47" s="733" t="inlineStr">
        <is>
          <t>chanhua</t>
        </is>
      </c>
      <c r="C47" s="733" t="n">
        <v>45764</v>
      </c>
      <c r="D47" s="673" t="inlineStr">
        <is>
          <t>新加坡比特</t>
        </is>
      </c>
      <c r="E47" s="734" t="inlineStr">
        <is>
          <t>ASECL</t>
        </is>
      </c>
      <c r="F47" s="734" t="inlineStr">
        <is>
          <t>BM1370PA</t>
        </is>
      </c>
      <c r="G47" s="673">
        <f>VLOOKUP(F47,编码对账表!C:D,2,0)</f>
        <v/>
      </c>
      <c r="H47" s="932" t="n">
        <v>151</v>
      </c>
      <c r="I47" s="621" t="inlineStr">
        <is>
          <t>14032508071421</t>
        </is>
      </c>
      <c r="J47" s="736" t="inlineStr">
        <is>
          <t>泰国ONETEC</t>
        </is>
      </c>
      <c r="K47" s="736" t="n"/>
      <c r="L47" s="85" t="inlineStr">
        <is>
          <t>202504210013</t>
        </is>
      </c>
      <c r="M47" s="621" t="inlineStr">
        <is>
          <t>1403250421113147</t>
        </is>
      </c>
    </row>
    <row r="48" ht="16.5" customFormat="1" customHeight="1" s="693">
      <c r="A48" s="1" t="n">
        <v>46</v>
      </c>
      <c r="B48" s="733" t="inlineStr">
        <is>
          <t>chanhua</t>
        </is>
      </c>
      <c r="C48" s="733" t="n">
        <v>45777</v>
      </c>
      <c r="D48" s="673" t="inlineStr">
        <is>
          <t>新加坡比特</t>
        </is>
      </c>
      <c r="E48" s="734" t="inlineStr">
        <is>
          <t>XJ</t>
        </is>
      </c>
      <c r="F48" s="734" t="inlineStr">
        <is>
          <t>BM1370PA</t>
        </is>
      </c>
      <c r="G48" s="673">
        <f>VLOOKUP(F48,编码对账表!C:D,2,0)</f>
        <v/>
      </c>
      <c r="H48" s="932" t="n">
        <v>33884</v>
      </c>
      <c r="I48" s="621" t="inlineStr">
        <is>
          <t>14032508071423</t>
        </is>
      </c>
      <c r="J48" s="736" t="inlineStr">
        <is>
          <t>泰国ONETEC</t>
        </is>
      </c>
      <c r="K48" s="736" t="n"/>
      <c r="L48" s="85" t="inlineStr">
        <is>
          <t>202505060012</t>
        </is>
      </c>
      <c r="M48" s="621" t="inlineStr">
        <is>
          <t>1403250506164606</t>
        </is>
      </c>
    </row>
  </sheetData>
  <autoFilter ref="A1:M48"/>
  <pageMargins left="0.75" right="0.75" top="1" bottom="1" header="0.5" footer="0.5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K261" sqref="K261"/>
    </sheetView>
  </sheetViews>
  <sheetFormatPr baseColWidth="8" defaultColWidth="8.66666666666667" defaultRowHeight="14.25" outlineLevelRow="7"/>
  <cols>
    <col width="10.6666666666667" customWidth="1" style="184" min="1" max="1"/>
    <col width="12.6666666666667" customWidth="1" style="184" min="2" max="2"/>
  </cols>
  <sheetData>
    <row r="1">
      <c r="A1" s="71" t="inlineStr">
        <is>
          <t>PIE</t>
        </is>
      </c>
      <c r="B1" s="72" t="inlineStr">
        <is>
          <t>DPTPIECL</t>
        </is>
      </c>
    </row>
    <row r="2">
      <c r="A2" s="71" t="inlineStr">
        <is>
          <t>Aohai</t>
        </is>
      </c>
      <c r="B2" s="72" t="inlineStr">
        <is>
          <t>DPTAHYCL</t>
        </is>
      </c>
    </row>
    <row r="3">
      <c r="A3" s="71" t="inlineStr">
        <is>
          <t>THQG</t>
        </is>
      </c>
      <c r="B3" s="72" t="inlineStr">
        <is>
          <t>DPTQGYCL</t>
        </is>
      </c>
    </row>
    <row r="4">
      <c r="A4" s="71" t="inlineStr">
        <is>
          <t>THOT</t>
        </is>
      </c>
      <c r="B4" s="72" t="inlineStr">
        <is>
          <t>DPTONETYCL</t>
        </is>
      </c>
    </row>
    <row r="5">
      <c r="A5" s="71" t="inlineStr">
        <is>
          <t>MOLT</t>
        </is>
      </c>
      <c r="B5" s="72" t="inlineStr">
        <is>
          <t>DPTMOLTYCL</t>
        </is>
      </c>
    </row>
    <row r="6">
      <c r="A6" s="71" t="inlineStr">
        <is>
          <t>NSM</t>
        </is>
      </c>
      <c r="B6" s="72" t="inlineStr">
        <is>
          <t>DPTNSMCL</t>
        </is>
      </c>
    </row>
    <row r="7">
      <c r="A7" s="71" t="inlineStr">
        <is>
          <t>KPMI</t>
        </is>
      </c>
      <c r="B7" s="72" t="inlineStr">
        <is>
          <t>DPTKPMCL</t>
        </is>
      </c>
    </row>
    <row r="8">
      <c r="A8" s="73" t="inlineStr">
        <is>
          <t>BTDLAZZYCL</t>
        </is>
      </c>
      <c r="B8" s="73" t="inlineStr">
        <is>
          <t>BTDLAZZYCL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zoomScale="115" zoomScaleNormal="115" workbookViewId="0">
      <selection activeCell="K261" sqref="K261"/>
    </sheetView>
  </sheetViews>
  <sheetFormatPr baseColWidth="8" defaultColWidth="8.83333333333333" defaultRowHeight="12"/>
  <cols>
    <col width="9.5" customWidth="1" style="59" min="1" max="1"/>
    <col width="13.3333333333333" customWidth="1" style="58" min="2" max="2"/>
    <col width="16.25" customWidth="1" style="58" min="3" max="3"/>
    <col width="27.0416666666667" customWidth="1" style="933" min="4" max="4"/>
    <col width="8.83333333333333" customWidth="1" style="59" min="5" max="16384"/>
  </cols>
  <sheetData>
    <row r="1" customFormat="1" s="58">
      <c r="A1" s="62" t="inlineStr">
        <is>
          <t>芯片型号</t>
        </is>
      </c>
      <c r="B1" s="62" t="inlineStr">
        <is>
          <t>时间</t>
        </is>
      </c>
      <c r="C1" s="62" t="inlineStr">
        <is>
          <t>贸易流</t>
        </is>
      </c>
      <c r="D1" s="934" t="inlineStr">
        <is>
          <t>价格保留四位小数（USD）</t>
        </is>
      </c>
    </row>
    <row r="2" customFormat="1" s="59">
      <c r="A2" s="64" t="inlineStr">
        <is>
          <t>BM1398</t>
        </is>
      </c>
      <c r="B2" s="65" t="n">
        <v>202602</v>
      </c>
      <c r="C2" s="65" t="inlineStr">
        <is>
          <t>Chanhua——&gt;SG/HK</t>
        </is>
      </c>
      <c r="D2" s="902" t="n">
        <v>3.7699</v>
      </c>
    </row>
    <row r="3" customFormat="1" s="59">
      <c r="A3" s="64" t="inlineStr">
        <is>
          <t>BM1746</t>
        </is>
      </c>
      <c r="B3" s="65" t="n">
        <v>202602</v>
      </c>
      <c r="C3" s="65" t="inlineStr">
        <is>
          <t>Chanhua——&gt;SG/HK</t>
        </is>
      </c>
      <c r="D3" s="902" t="n">
        <v>53.3444</v>
      </c>
      <c r="E3" s="59" t="inlineStr">
        <is>
          <t>更新</t>
        </is>
      </c>
    </row>
    <row r="4" customFormat="1" s="59">
      <c r="A4" s="64" t="inlineStr">
        <is>
          <t>BM1362</t>
        </is>
      </c>
      <c r="B4" s="65" t="n">
        <v>202602</v>
      </c>
      <c r="C4" s="65" t="inlineStr">
        <is>
          <t>Chanhua——&gt;SG/HK</t>
        </is>
      </c>
      <c r="D4" s="902" t="n">
        <v>2.4828</v>
      </c>
    </row>
    <row r="5" customFormat="1" s="59">
      <c r="A5" s="64" t="inlineStr">
        <is>
          <t>BM1368+</t>
        </is>
      </c>
      <c r="B5" s="65" t="n">
        <v>202602</v>
      </c>
      <c r="C5" s="65" t="inlineStr">
        <is>
          <t>Chanhua——&gt;SG/HK</t>
        </is>
      </c>
      <c r="D5" s="902" t="n">
        <v>4.0901</v>
      </c>
      <c r="E5" s="59" t="inlineStr">
        <is>
          <t>更新</t>
        </is>
      </c>
    </row>
    <row r="6" customFormat="1" s="59">
      <c r="A6" s="64" t="inlineStr">
        <is>
          <t>BM1368</t>
        </is>
      </c>
      <c r="B6" s="65" t="n">
        <v>202602</v>
      </c>
      <c r="C6" s="65" t="inlineStr">
        <is>
          <t>Chanhua——&gt;SG/HK</t>
        </is>
      </c>
      <c r="D6" s="902" t="n">
        <v>5.0536</v>
      </c>
      <c r="E6" s="59" t="inlineStr">
        <is>
          <t>更新</t>
        </is>
      </c>
    </row>
    <row r="7" customFormat="1" s="59">
      <c r="A7" s="64" t="inlineStr">
        <is>
          <t>BM1764</t>
        </is>
      </c>
      <c r="B7" s="65" t="n">
        <v>202602</v>
      </c>
      <c r="C7" s="65" t="inlineStr">
        <is>
          <t>Chanhua——&gt;SG/HK</t>
        </is>
      </c>
      <c r="D7" s="902" t="n">
        <v>3.5349</v>
      </c>
      <c r="E7" s="59" t="inlineStr">
        <is>
          <t>更新</t>
        </is>
      </c>
    </row>
    <row r="8" customFormat="1" s="59">
      <c r="A8" s="64" t="inlineStr">
        <is>
          <t>BM1798</t>
        </is>
      </c>
      <c r="B8" s="65" t="n">
        <v>202602</v>
      </c>
      <c r="C8" s="65" t="inlineStr">
        <is>
          <t>Chanhua——&gt;SG/HK</t>
        </is>
      </c>
      <c r="D8" s="902" t="n">
        <v>200.2487</v>
      </c>
    </row>
    <row r="9" customFormat="1" s="59">
      <c r="A9" s="64" t="inlineStr">
        <is>
          <t>BM1489</t>
        </is>
      </c>
      <c r="B9" s="65" t="n">
        <v>202602</v>
      </c>
      <c r="C9" s="65" t="inlineStr">
        <is>
          <t>Chanhua——&gt;SG/HK</t>
        </is>
      </c>
      <c r="D9" s="902" t="n">
        <v>5.2113</v>
      </c>
    </row>
    <row r="10" customFormat="1" s="59">
      <c r="A10" s="64" t="inlineStr">
        <is>
          <t>BM1366</t>
        </is>
      </c>
      <c r="B10" s="65" t="n">
        <v>202602</v>
      </c>
      <c r="C10" s="65" t="inlineStr">
        <is>
          <t>Chanhua——&gt;SG/HK</t>
        </is>
      </c>
      <c r="D10" s="902" t="n">
        <v>3.7914</v>
      </c>
      <c r="E10" s="59" t="inlineStr">
        <is>
          <t>更新</t>
        </is>
      </c>
    </row>
    <row r="11" customFormat="1" s="59">
      <c r="A11" s="64" t="inlineStr">
        <is>
          <t>BM2100</t>
        </is>
      </c>
      <c r="B11" s="65" t="n">
        <v>202602</v>
      </c>
      <c r="C11" s="65" t="inlineStr">
        <is>
          <t>Chanhua——&gt;SG/HK</t>
        </is>
      </c>
      <c r="D11" s="902" t="n">
        <v>3.4623</v>
      </c>
    </row>
    <row r="12" customFormat="1" s="59">
      <c r="A12" s="64" t="inlineStr">
        <is>
          <t>BM1727</t>
        </is>
      </c>
      <c r="B12" s="65" t="n">
        <v>202602</v>
      </c>
      <c r="C12" s="65" t="inlineStr">
        <is>
          <t>Chanhua——&gt;SG/HK</t>
        </is>
      </c>
      <c r="D12" s="902" t="n">
        <v>3.4712</v>
      </c>
    </row>
    <row r="13" customFormat="1" s="59">
      <c r="A13" s="64" t="inlineStr">
        <is>
          <t>BM1766</t>
        </is>
      </c>
      <c r="B13" s="65" t="n">
        <v>202602</v>
      </c>
      <c r="C13" s="65" t="inlineStr">
        <is>
          <t>Chanhua——&gt;SG/HK</t>
        </is>
      </c>
      <c r="D13" s="902" t="n">
        <v>3.4712</v>
      </c>
    </row>
    <row r="14" customFormat="1" s="59">
      <c r="A14" s="64" t="inlineStr">
        <is>
          <t>BM2042</t>
        </is>
      </c>
      <c r="B14" s="65" t="n">
        <v>202602</v>
      </c>
      <c r="C14" s="65" t="inlineStr">
        <is>
          <t>Chanhua——&gt;SG/HK</t>
        </is>
      </c>
      <c r="D14" s="902" t="n">
        <v>3.4712</v>
      </c>
    </row>
    <row r="15" customFormat="1" s="59">
      <c r="A15" s="64" t="inlineStr">
        <is>
          <t>BM2110</t>
        </is>
      </c>
      <c r="B15" s="65" t="n">
        <v>202602</v>
      </c>
      <c r="C15" s="65" t="inlineStr">
        <is>
          <t>Chanhua——&gt;SG/HK</t>
        </is>
      </c>
      <c r="D15" s="902" t="n">
        <v>3.4712</v>
      </c>
    </row>
    <row r="16" customFormat="1" s="59">
      <c r="A16" s="64" t="inlineStr">
        <is>
          <t>BM2130</t>
        </is>
      </c>
      <c r="B16" s="65" t="n">
        <v>202602</v>
      </c>
      <c r="C16" s="65" t="inlineStr">
        <is>
          <t>Chanhua——&gt;SG/HK</t>
        </is>
      </c>
      <c r="D16" s="902" t="n">
        <v>3.4712</v>
      </c>
    </row>
    <row r="17" customFormat="1" s="59">
      <c r="A17" s="64" t="inlineStr">
        <is>
          <t>BM2280</t>
        </is>
      </c>
      <c r="B17" s="65" t="n">
        <v>202602</v>
      </c>
      <c r="C17" s="65" t="inlineStr">
        <is>
          <t>Chanhua——&gt;SG/HK</t>
        </is>
      </c>
      <c r="D17" s="902" t="n">
        <v>250.5673</v>
      </c>
    </row>
    <row r="18" customFormat="1" s="59">
      <c r="A18" s="64" t="inlineStr">
        <is>
          <t>BM1684</t>
        </is>
      </c>
      <c r="B18" s="65" t="n">
        <v>202602</v>
      </c>
      <c r="C18" s="65" t="inlineStr">
        <is>
          <t>Chanhua——&gt;SG/HK</t>
        </is>
      </c>
      <c r="D18" s="902" t="n">
        <v>55.1336</v>
      </c>
    </row>
    <row r="19" customFormat="1" s="59">
      <c r="A19" s="64" t="inlineStr">
        <is>
          <t>BM2280 8A</t>
        </is>
      </c>
      <c r="B19" s="65" t="n">
        <v>202602</v>
      </c>
      <c r="C19" s="65" t="inlineStr">
        <is>
          <t>Chanhua——&gt;SG/HK</t>
        </is>
      </c>
      <c r="D19" s="902" t="n">
        <v>2324.8445</v>
      </c>
    </row>
    <row r="20" customFormat="1" s="59">
      <c r="A20" s="64" t="inlineStr">
        <is>
          <t>BM2380</t>
        </is>
      </c>
      <c r="B20" s="65" t="n">
        <v>202602</v>
      </c>
      <c r="C20" s="65" t="inlineStr">
        <is>
          <t>Chanhua——&gt;SG/HK</t>
        </is>
      </c>
      <c r="D20" s="902" t="n">
        <v>2.2925</v>
      </c>
    </row>
    <row r="21" customFormat="1" s="59">
      <c r="A21" s="64" t="inlineStr">
        <is>
          <t>BM1370</t>
        </is>
      </c>
      <c r="B21" s="65" t="n">
        <v>202602</v>
      </c>
      <c r="C21" s="65" t="inlineStr">
        <is>
          <t>Chanhua——&gt;SG/HK</t>
        </is>
      </c>
      <c r="D21" s="902" t="n">
        <v>8.632400000000001</v>
      </c>
      <c r="E21" s="59" t="inlineStr">
        <is>
          <t>更新</t>
        </is>
      </c>
    </row>
    <row r="22" customFormat="1" s="59">
      <c r="A22" s="64" t="inlineStr">
        <is>
          <t>BM2382</t>
        </is>
      </c>
      <c r="B22" s="65" t="n">
        <v>202602</v>
      </c>
      <c r="C22" s="65" t="inlineStr">
        <is>
          <t>Chanhua——&gt;SG/HK</t>
        </is>
      </c>
      <c r="D22" s="902" t="n">
        <v>2.9837</v>
      </c>
    </row>
    <row r="23" customFormat="1" s="60">
      <c r="A23" s="67" t="inlineStr">
        <is>
          <t>BM1491</t>
        </is>
      </c>
      <c r="B23" s="65" t="n">
        <v>202602</v>
      </c>
      <c r="C23" s="68" t="inlineStr">
        <is>
          <t>Chanhua——&gt;SG/HK</t>
        </is>
      </c>
      <c r="D23" s="904" t="n">
        <v>12.745</v>
      </c>
      <c r="E23" s="59" t="inlineStr">
        <is>
          <t>更新</t>
        </is>
      </c>
    </row>
    <row r="24" customFormat="1" s="60">
      <c r="A24" s="67" t="inlineStr">
        <is>
          <t>BM1372</t>
        </is>
      </c>
      <c r="B24" s="65" t="n">
        <v>202602</v>
      </c>
      <c r="C24" s="68" t="inlineStr">
        <is>
          <t>Chanhua——&gt;SG/HK</t>
        </is>
      </c>
      <c r="D24" s="904" t="n">
        <v>31.8244</v>
      </c>
    </row>
    <row r="25" customFormat="1" s="60">
      <c r="A25" s="67" t="inlineStr">
        <is>
          <t>BM2460</t>
        </is>
      </c>
      <c r="B25" s="65" t="n">
        <v>202602</v>
      </c>
      <c r="C25" s="68" t="inlineStr">
        <is>
          <t>Chanhua——&gt;SG/HK</t>
        </is>
      </c>
      <c r="D25" s="904" t="n">
        <v>11.2214</v>
      </c>
    </row>
    <row r="26" customFormat="1" s="60">
      <c r="A26" s="67" t="inlineStr">
        <is>
          <t>BM1368MD</t>
        </is>
      </c>
      <c r="B26" s="65" t="n">
        <v>202602</v>
      </c>
      <c r="C26" s="68" t="inlineStr">
        <is>
          <t>Chanhua——&gt;SG/HK</t>
        </is>
      </c>
      <c r="D26" s="904" t="n">
        <v>2176.6463</v>
      </c>
    </row>
    <row r="27" ht="14.25" customFormat="1" customHeight="1" s="60">
      <c r="A27" s="70" t="inlineStr">
        <is>
          <t>BM1340</t>
        </is>
      </c>
      <c r="B27" s="65" t="n">
        <v>202602</v>
      </c>
      <c r="C27" s="68" t="inlineStr">
        <is>
          <t>Chanhua——&gt;SG/HK</t>
        </is>
      </c>
      <c r="D27" s="904" t="n">
        <v>17.4733</v>
      </c>
      <c r="E27" s="59" t="inlineStr">
        <is>
          <t>更新</t>
        </is>
      </c>
    </row>
    <row r="28" customFormat="1" s="59">
      <c r="A28" s="64" t="inlineStr">
        <is>
          <t>BM2384</t>
        </is>
      </c>
      <c r="B28" s="65" t="n">
        <v>202602</v>
      </c>
      <c r="C28" s="68" t="inlineStr">
        <is>
          <t>Chanhua——&gt;SG/HK</t>
        </is>
      </c>
      <c r="D28" s="902" t="n">
        <v>7.8846</v>
      </c>
      <c r="E28" s="59" t="inlineStr">
        <is>
          <t>更新</t>
        </is>
      </c>
    </row>
    <row r="29" customFormat="1" s="59">
      <c r="A29" s="64" t="inlineStr">
        <is>
          <t>BM1373</t>
        </is>
      </c>
      <c r="B29" s="65" t="n">
        <v>202602</v>
      </c>
      <c r="C29" s="68" t="inlineStr">
        <is>
          <t>Chanhua——&gt;SG/HK</t>
        </is>
      </c>
      <c r="D29" s="902" t="n">
        <v>31.5619</v>
      </c>
      <c r="E29" s="59" t="inlineStr">
        <is>
          <t>更新</t>
        </is>
      </c>
    </row>
    <row r="30" customFormat="1" s="59">
      <c r="A30" s="64" t="inlineStr">
        <is>
          <t>BM1493</t>
        </is>
      </c>
      <c r="B30" s="65" t="n">
        <v>202602</v>
      </c>
      <c r="C30" s="68" t="inlineStr">
        <is>
          <t>Chanhua——&gt;SG/HK</t>
        </is>
      </c>
      <c r="D30" s="902" t="n">
        <v>21.1352</v>
      </c>
      <c r="E30" s="59" t="inlineStr">
        <is>
          <t>更新</t>
        </is>
      </c>
    </row>
    <row r="31" customFormat="1" s="59">
      <c r="A31" s="64" t="inlineStr">
        <is>
          <t>BM1374</t>
        </is>
      </c>
      <c r="B31" s="65" t="n">
        <v>202602</v>
      </c>
      <c r="C31" s="68" t="inlineStr">
        <is>
          <t>Chanhua——&gt;SG/HK</t>
        </is>
      </c>
      <c r="D31" s="902" t="n">
        <v>41.8227</v>
      </c>
      <c r="E31" s="59" t="inlineStr">
        <is>
          <t>更新</t>
        </is>
      </c>
    </row>
    <row r="32" customFormat="1" s="59">
      <c r="B32" s="58" t="n"/>
      <c r="C32" s="58" t="n"/>
      <c r="D32" s="93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filterMode="1">
    <outlinePr summaryBelow="1" summaryRight="1"/>
    <pageSetUpPr/>
  </sheetPr>
  <dimension ref="A1:I13"/>
  <sheetViews>
    <sheetView topLeftCell="C1" workbookViewId="0">
      <selection activeCell="C3" sqref="C3:H9"/>
    </sheetView>
  </sheetViews>
  <sheetFormatPr baseColWidth="8" defaultColWidth="8.66666666666667" defaultRowHeight="14.25"/>
  <cols>
    <col width="10.4166666666667" customWidth="1" style="184" min="3" max="3"/>
    <col width="10.5" customWidth="1" style="184" min="4" max="4"/>
    <col width="17.4166666666667" customWidth="1" style="184" min="7" max="7"/>
    <col width="18.3333333333333" customWidth="1" style="184" min="8" max="8"/>
  </cols>
  <sheetData>
    <row r="1">
      <c r="A1" s="780" t="inlineStr">
        <is>
          <t>芯片料号</t>
        </is>
      </c>
    </row>
    <row r="2" ht="9" customHeight="1" s="184"/>
    <row r="3" ht="19" customHeight="1" s="184">
      <c r="C3" s="935" t="inlineStr">
        <is>
          <t>DEVICE</t>
        </is>
      </c>
      <c r="D3" s="935" t="inlineStr">
        <is>
          <t>芯片料号</t>
        </is>
      </c>
      <c r="E3" s="935" t="inlineStr">
        <is>
          <t>发运数量</t>
        </is>
      </c>
      <c r="F3" s="935" t="inlineStr">
        <is>
          <t>OSAT</t>
        </is>
      </c>
      <c r="G3" s="935" t="inlineStr">
        <is>
          <t>PO</t>
        </is>
      </c>
      <c r="H3" s="935" t="inlineStr">
        <is>
          <t>SO</t>
        </is>
      </c>
    </row>
    <row r="4" hidden="1" s="184">
      <c r="C4" s="780" t="inlineStr">
        <is>
          <t>BM1370PF</t>
        </is>
      </c>
      <c r="D4" s="780" t="inlineStr">
        <is>
          <t>Y31010536</t>
        </is>
      </c>
      <c r="E4" s="157" t="n">
        <v>3816</v>
      </c>
      <c r="F4" s="52" t="inlineStr">
        <is>
          <t>XJ</t>
        </is>
      </c>
      <c r="G4" s="169" t="inlineStr">
        <is>
          <t>DPT202601220100</t>
        </is>
      </c>
      <c r="H4" s="237" t="inlineStr">
        <is>
          <t>1403260213170548</t>
        </is>
      </c>
      <c r="I4" s="140" t="inlineStr">
        <is>
          <t>MOLT</t>
        </is>
      </c>
    </row>
    <row r="5" hidden="1" s="184">
      <c r="C5" s="780" t="inlineStr">
        <is>
          <t>BM1370PF</t>
        </is>
      </c>
      <c r="D5" s="780" t="inlineStr">
        <is>
          <t>Y31010536</t>
        </is>
      </c>
      <c r="E5" s="157" t="n">
        <v>26382</v>
      </c>
      <c r="F5" s="52" t="inlineStr">
        <is>
          <t>XJ</t>
        </is>
      </c>
      <c r="G5" s="169" t="inlineStr">
        <is>
          <t>DPT202602100100</t>
        </is>
      </c>
      <c r="H5" s="237" t="inlineStr">
        <is>
          <t>1403260213170559</t>
        </is>
      </c>
      <c r="I5" s="140" t="inlineStr">
        <is>
          <t>MOLT</t>
        </is>
      </c>
    </row>
    <row r="6" hidden="1" s="184">
      <c r="C6" s="780" t="inlineStr">
        <is>
          <t>BM1370PF</t>
        </is>
      </c>
      <c r="D6" s="780" t="inlineStr">
        <is>
          <t>Y31010536</t>
        </is>
      </c>
      <c r="E6" s="157" t="n">
        <v>141832</v>
      </c>
      <c r="F6" s="52" t="inlineStr">
        <is>
          <t>NJVT</t>
        </is>
      </c>
      <c r="G6" s="169" t="inlineStr">
        <is>
          <t>DPT202602110100</t>
        </is>
      </c>
      <c r="H6" s="237" t="inlineStr">
        <is>
          <t>1403260213170607</t>
        </is>
      </c>
      <c r="I6" s="140" t="inlineStr">
        <is>
          <t>MOLT</t>
        </is>
      </c>
    </row>
    <row r="7" hidden="1" s="184">
      <c r="C7" s="780" t="inlineStr">
        <is>
          <t>BM1373CC</t>
        </is>
      </c>
      <c r="D7" s="780" t="inlineStr">
        <is>
          <t>Y31010549</t>
        </is>
      </c>
      <c r="E7" s="157" t="n">
        <v>305627</v>
      </c>
      <c r="F7" s="52" t="inlineStr">
        <is>
          <t>NJVT</t>
        </is>
      </c>
      <c r="G7" s="169" t="inlineStr">
        <is>
          <t>DPT202602090100</t>
        </is>
      </c>
      <c r="H7" s="237" t="inlineStr">
        <is>
          <t>1403260213170614</t>
        </is>
      </c>
      <c r="I7" s="140" t="inlineStr">
        <is>
          <t>MOLT</t>
        </is>
      </c>
    </row>
    <row r="8">
      <c r="C8" s="780" t="inlineStr">
        <is>
          <t>BM1370BC</t>
        </is>
      </c>
      <c r="D8" s="780" t="inlineStr">
        <is>
          <t>Y31010527</t>
        </is>
      </c>
      <c r="E8" s="157" t="n">
        <v>72080</v>
      </c>
      <c r="F8" s="52" t="inlineStr">
        <is>
          <t>NJVT</t>
        </is>
      </c>
      <c r="G8" s="169" t="inlineStr">
        <is>
          <t>DPT202602090200</t>
        </is>
      </c>
      <c r="H8" s="237" t="inlineStr">
        <is>
          <t>1403260213170624</t>
        </is>
      </c>
      <c r="I8" s="140" t="inlineStr">
        <is>
          <t>泰国群光</t>
        </is>
      </c>
    </row>
    <row r="9">
      <c r="C9" s="780" t="inlineStr">
        <is>
          <t>BM1373CC</t>
        </is>
      </c>
      <c r="D9" s="780" t="inlineStr">
        <is>
          <t>Y31010549</t>
        </is>
      </c>
      <c r="E9" s="157" t="n">
        <v>83474</v>
      </c>
      <c r="F9" s="52" t="inlineStr">
        <is>
          <t>NJVT</t>
        </is>
      </c>
      <c r="G9" s="169" t="inlineStr">
        <is>
          <t>DPT202602090300</t>
        </is>
      </c>
      <c r="H9" s="237" t="inlineStr">
        <is>
          <t>1403260213170628</t>
        </is>
      </c>
      <c r="I9" s="140" t="inlineStr">
        <is>
          <t>泰国群光</t>
        </is>
      </c>
    </row>
    <row r="10" hidden="1" s="184">
      <c r="C10" s="780" t="inlineStr">
        <is>
          <t>BM1370PF</t>
        </is>
      </c>
      <c r="D10" s="780" t="inlineStr">
        <is>
          <t>Y31010536</t>
        </is>
      </c>
      <c r="E10" s="157" t="n">
        <v>367475</v>
      </c>
      <c r="F10" s="52" t="inlineStr">
        <is>
          <t>NJVT</t>
        </is>
      </c>
      <c r="G10" s="169" t="inlineStr">
        <is>
          <t>DPT202602050100</t>
        </is>
      </c>
      <c r="H10" s="237" t="inlineStr">
        <is>
          <t>1403260211194846</t>
        </is>
      </c>
      <c r="I10" s="140" t="inlineStr">
        <is>
          <t>MOLT</t>
        </is>
      </c>
    </row>
    <row r="11" hidden="1" ht="15.75" customHeight="1" s="184">
      <c r="C11" s="780" t="inlineStr">
        <is>
          <t>BM1370PF</t>
        </is>
      </c>
      <c r="D11" s="780" t="inlineStr">
        <is>
          <t>Y31010536</t>
        </is>
      </c>
      <c r="E11" s="157" t="n">
        <v>2090</v>
      </c>
      <c r="F11" s="57" t="inlineStr">
        <is>
          <t>SPILSZ</t>
        </is>
      </c>
      <c r="G11" s="169" t="inlineStr">
        <is>
          <t>DPT202602110200</t>
        </is>
      </c>
      <c r="H11" s="237" t="inlineStr">
        <is>
          <t>1403260213170636</t>
        </is>
      </c>
      <c r="I11" s="140" t="inlineStr">
        <is>
          <t>MOLT</t>
        </is>
      </c>
    </row>
    <row r="12" hidden="1" ht="15.75" customHeight="1" s="184">
      <c r="C12" s="780" t="inlineStr">
        <is>
          <t>BM1373AA</t>
        </is>
      </c>
      <c r="D12" s="780" t="inlineStr">
        <is>
          <t>Y31010540</t>
        </is>
      </c>
      <c r="E12" s="157" t="n">
        <v>26000</v>
      </c>
      <c r="F12" s="57" t="inlineStr">
        <is>
          <t>SPILSZ</t>
        </is>
      </c>
      <c r="G12" s="169" t="inlineStr">
        <is>
          <t>DPT202602050200</t>
        </is>
      </c>
      <c r="H12" s="237" t="inlineStr">
        <is>
          <t>1403260213170644</t>
        </is>
      </c>
      <c r="I12" s="140" t="inlineStr">
        <is>
          <t>MOLT</t>
        </is>
      </c>
    </row>
    <row r="13" hidden="1" s="184">
      <c r="C13" s="780" t="inlineStr">
        <is>
          <t>BM1370PF</t>
        </is>
      </c>
      <c r="D13" s="780" t="inlineStr">
        <is>
          <t>Y31010536</t>
        </is>
      </c>
      <c r="E13" s="157" t="n">
        <v>272257</v>
      </c>
      <c r="F13" s="52" t="inlineStr">
        <is>
          <t>ASECL</t>
        </is>
      </c>
      <c r="G13" s="169" t="inlineStr">
        <is>
          <t>DPT202602110300</t>
        </is>
      </c>
      <c r="H13" s="237" t="inlineStr">
        <is>
          <t>1403260213170654</t>
        </is>
      </c>
      <c r="I13" s="140" t="inlineStr">
        <is>
          <t>MOLT</t>
        </is>
      </c>
    </row>
  </sheetData>
  <autoFilter ref="A3:I13">
    <filterColumn colId="8" hiddenButton="0" showButton="1">
      <customFilters>
        <customFilter val="泰国群光" operator="equal"/>
      </custom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FD62"/>
  <sheetViews>
    <sheetView zoomScale="70" zoomScaleNormal="70" workbookViewId="0">
      <pane ySplit="2" topLeftCell="A38" activePane="bottomLeft" state="frozen"/>
      <selection activeCell="A1" sqref="A1"/>
      <selection pane="bottomLeft" activeCell="K261" sqref="K261"/>
    </sheetView>
  </sheetViews>
  <sheetFormatPr baseColWidth="8" defaultColWidth="8.66666666666667" defaultRowHeight="14.25"/>
  <cols>
    <col width="3.41666666666667" customWidth="1" style="936" min="1" max="1"/>
    <col width="11.6666666666667" customWidth="1" style="936" min="2" max="2"/>
    <col width="10.5" customWidth="1" style="936" min="3" max="3"/>
    <col width="13.8083333333333" customWidth="1" style="936" min="4" max="4"/>
    <col width="12.1666666666667" customWidth="1" style="936" min="5" max="5"/>
    <col width="9.41666666666667" customWidth="1" style="936" min="6" max="6"/>
    <col width="13.0916666666667" customWidth="1" style="936" min="7" max="7"/>
    <col width="10.3333333333333" customWidth="1" style="30" min="8" max="8"/>
    <col width="20.5833333333333" customWidth="1" style="936" min="9" max="9"/>
    <col width="32.8333333333333" customWidth="1" style="936" min="10" max="10"/>
    <col width="13.8333333333333" customWidth="1" style="936" min="11" max="11"/>
    <col width="19.4166666666667" customWidth="1" style="936" min="12" max="12"/>
    <col width="9.41666666666667" customWidth="1" style="937" min="13" max="13"/>
    <col width="8.58333333333333" customWidth="1" style="936" min="14" max="14"/>
    <col width="4.58333333333333" customWidth="1" style="936" min="15" max="16"/>
    <col width="8.66666666666667" customWidth="1" style="936" min="17" max="17"/>
    <col width="17.25" customWidth="1" style="936" min="19" max="19"/>
    <col width="23.9333333333333" customWidth="1" style="936" min="20" max="20"/>
    <col width="8.66666666666667" customWidth="1" style="936" min="21" max="23"/>
    <col width="17.25" customWidth="1" style="936" min="24" max="24"/>
    <col width="26.0416666666667" customWidth="1" style="936" min="25" max="25"/>
    <col width="8.66666666666667" customWidth="1" style="936" min="26" max="16384"/>
  </cols>
  <sheetData>
    <row r="1" ht="42" customFormat="1" customHeight="1" s="1">
      <c r="A1" s="8" t="inlineStr">
        <is>
          <t>序号</t>
        </is>
      </c>
      <c r="B1" s="9" t="inlineStr">
        <is>
          <t>抬头</t>
        </is>
      </c>
      <c r="C1" s="9" t="inlineStr">
        <is>
          <t>出货日期</t>
        </is>
      </c>
      <c r="D1" s="9" t="inlineStr">
        <is>
          <t>主体</t>
        </is>
      </c>
      <c r="E1" s="726" t="inlineStr">
        <is>
          <t>测试厂</t>
        </is>
      </c>
      <c r="F1" s="726" t="inlineStr">
        <is>
          <t>型号</t>
        </is>
      </c>
      <c r="G1" s="726" t="inlineStr">
        <is>
          <t>物料编码</t>
        </is>
      </c>
      <c r="H1" s="8" t="inlineStr">
        <is>
          <t>数量</t>
        </is>
      </c>
      <c r="I1" s="441" t="inlineStr">
        <is>
          <t>新PO</t>
        </is>
      </c>
      <c r="J1" s="12" t="inlineStr">
        <is>
          <t>SO</t>
        </is>
      </c>
      <c r="K1" s="726" t="inlineStr">
        <is>
          <t>发料外协</t>
        </is>
      </c>
      <c r="L1" s="441" t="n">
        <v>10000900</v>
      </c>
      <c r="M1" s="14" t="inlineStr">
        <is>
          <t>是否已出</t>
        </is>
      </c>
      <c r="N1" s="12" t="inlineStr">
        <is>
          <t>对比</t>
        </is>
      </c>
      <c r="O1" s="12" t="inlineStr">
        <is>
          <t>标记</t>
        </is>
      </c>
      <c r="P1" s="15" t="n"/>
      <c r="Q1" s="15" t="n"/>
      <c r="R1" s="15" t="n"/>
      <c r="S1" s="15" t="n"/>
      <c r="T1" s="16" t="n"/>
      <c r="U1" s="16" t="n"/>
      <c r="V1" s="16" t="n"/>
      <c r="W1" s="16" t="n"/>
      <c r="X1" s="16" t="n"/>
      <c r="Y1" s="16" t="n"/>
      <c r="XFD1" s="936" t="n"/>
    </row>
    <row r="2" ht="28.5" customFormat="1" customHeight="1" s="2">
      <c r="A2" s="2" t="inlineStr">
        <is>
          <t>序号</t>
        </is>
      </c>
      <c r="B2" s="17" t="inlineStr">
        <is>
          <t>抬头</t>
        </is>
      </c>
      <c r="C2" s="17" t="inlineStr">
        <is>
          <t>出货日期</t>
        </is>
      </c>
      <c r="D2" s="17" t="inlineStr">
        <is>
          <t>主体</t>
        </is>
      </c>
      <c r="E2" s="938" t="inlineStr">
        <is>
          <t>测试厂</t>
        </is>
      </c>
      <c r="F2" s="938" t="inlineStr">
        <is>
          <t>型号</t>
        </is>
      </c>
      <c r="G2" s="938" t="inlineStr">
        <is>
          <t>物料编码</t>
        </is>
      </c>
      <c r="H2" s="2" t="inlineStr">
        <is>
          <t>数量</t>
        </is>
      </c>
      <c r="I2" s="19" t="inlineStr">
        <is>
          <t>新PO</t>
        </is>
      </c>
      <c r="J2" s="19" t="inlineStr">
        <is>
          <t>SO</t>
        </is>
      </c>
      <c r="K2" s="938" t="inlineStr">
        <is>
          <t>发料外协</t>
        </is>
      </c>
      <c r="L2" s="19" t="n">
        <v>10000900</v>
      </c>
      <c r="M2" s="939" t="inlineStr">
        <is>
          <t>单价</t>
        </is>
      </c>
      <c r="N2" s="2" t="inlineStr">
        <is>
          <t>是否已出</t>
        </is>
      </c>
      <c r="O2" s="19" t="inlineStr">
        <is>
          <t>对比</t>
        </is>
      </c>
      <c r="P2" s="19" t="inlineStr">
        <is>
          <t>标记</t>
        </is>
      </c>
      <c r="Q2" s="22" t="n"/>
      <c r="S2" s="22" t="n"/>
      <c r="T2" s="22" t="n"/>
      <c r="U2" s="23" t="n"/>
      <c r="V2" s="23" t="n"/>
      <c r="W2" s="23" t="n"/>
      <c r="X2" s="23" t="n"/>
      <c r="Y2" s="23" t="n"/>
      <c r="Z2" s="23" t="n"/>
    </row>
    <row r="3" customFormat="1" s="936">
      <c r="A3" s="2" t="n">
        <v>1</v>
      </c>
      <c r="B3" s="940" t="inlineStr">
        <is>
          <t>chanhua</t>
        </is>
      </c>
      <c r="C3" s="940" t="n">
        <v>45903</v>
      </c>
      <c r="D3" s="938" t="inlineStr">
        <is>
          <t>新加坡比特</t>
        </is>
      </c>
      <c r="E3" s="941" t="inlineStr">
        <is>
          <t>JSCC</t>
        </is>
      </c>
      <c r="F3" s="941" t="inlineStr">
        <is>
          <t>BM1370PF</t>
        </is>
      </c>
      <c r="G3" s="938">
        <f>VLOOKUP(F3,编码对账表!C:D,2,0)</f>
        <v/>
      </c>
      <c r="H3" s="26" t="n">
        <v>2885</v>
      </c>
      <c r="I3" s="22" t="inlineStr">
        <is>
          <t>DPT202509040010</t>
        </is>
      </c>
      <c r="J3" s="27" t="inlineStr">
        <is>
          <t>1403250904203332</t>
        </is>
      </c>
      <c r="K3" s="942" t="inlineStr">
        <is>
          <t>Nationgate</t>
        </is>
      </c>
      <c r="L3" s="941" t="inlineStr">
        <is>
          <t>CHANHUA PTE. LTD.</t>
        </is>
      </c>
      <c r="M3" s="942" t="n">
        <v>8.558</v>
      </c>
      <c r="N3" s="938" t="n"/>
      <c r="O3" s="30" t="n"/>
      <c r="P3" s="22" t="n"/>
      <c r="Q3" s="22" t="n"/>
      <c r="S3" s="22" t="n"/>
      <c r="T3" s="22" t="n"/>
      <c r="U3" s="943" t="n"/>
      <c r="V3" s="943" t="n"/>
      <c r="W3" s="943" t="n"/>
      <c r="X3" s="943" t="n"/>
      <c r="Y3" s="943" t="n"/>
    </row>
    <row r="4" customFormat="1" s="936">
      <c r="A4" s="2" t="n">
        <v>2</v>
      </c>
      <c r="B4" s="940" t="inlineStr">
        <is>
          <t>chanhua</t>
        </is>
      </c>
      <c r="C4" s="940" t="n">
        <v>45903</v>
      </c>
      <c r="D4" s="938" t="inlineStr">
        <is>
          <t>新加坡比特</t>
        </is>
      </c>
      <c r="E4" s="941" t="inlineStr">
        <is>
          <t>XJ</t>
        </is>
      </c>
      <c r="F4" s="941" t="inlineStr">
        <is>
          <t>BM1370PF</t>
        </is>
      </c>
      <c r="G4" s="938">
        <f>VLOOKUP(F4,编码对账表!C:D,2,0)</f>
        <v/>
      </c>
      <c r="H4" s="26" t="n">
        <v>315425</v>
      </c>
      <c r="I4" s="22" t="inlineStr">
        <is>
          <t>DPT202509040011</t>
        </is>
      </c>
      <c r="J4" s="27" t="inlineStr">
        <is>
          <t>1403250904203340</t>
        </is>
      </c>
      <c r="K4" s="942" t="inlineStr">
        <is>
          <t>墨西哥欧陆通</t>
        </is>
      </c>
      <c r="L4" s="941" t="inlineStr">
        <is>
          <t>CHANHUA PTE. LTD.</t>
        </is>
      </c>
      <c r="M4" s="942" t="n">
        <v>8.558</v>
      </c>
      <c r="N4" s="938" t="n"/>
      <c r="O4" s="30" t="n"/>
      <c r="P4" s="22" t="n"/>
      <c r="Q4" s="22" t="n"/>
      <c r="S4" s="22" t="n"/>
      <c r="T4" s="22" t="n"/>
      <c r="U4" s="943" t="n"/>
      <c r="V4" s="943" t="n"/>
      <c r="W4" s="943" t="n"/>
      <c r="X4" s="943" t="n"/>
      <c r="Y4" s="943" t="n"/>
    </row>
    <row r="5" customFormat="1" s="936">
      <c r="A5" s="2" t="n">
        <v>3</v>
      </c>
      <c r="B5" s="940" t="inlineStr">
        <is>
          <t>chanhua</t>
        </is>
      </c>
      <c r="C5" s="940" t="n">
        <v>45904</v>
      </c>
      <c r="D5" s="938" t="inlineStr">
        <is>
          <t>新加坡比特</t>
        </is>
      </c>
      <c r="E5" s="941" t="inlineStr">
        <is>
          <t>SPILSZ</t>
        </is>
      </c>
      <c r="F5" s="941" t="inlineStr">
        <is>
          <t>BM1370PF</t>
        </is>
      </c>
      <c r="G5" s="938">
        <f>VLOOKUP(F5,编码对账表!C:D,2,0)</f>
        <v/>
      </c>
      <c r="H5" s="26" t="n">
        <v>475000</v>
      </c>
      <c r="I5" s="22" t="inlineStr">
        <is>
          <t>DPT202509040012</t>
        </is>
      </c>
      <c r="J5" s="27" t="inlineStr">
        <is>
          <t>1403250904203346</t>
        </is>
      </c>
      <c r="K5" s="942" t="inlineStr">
        <is>
          <t>墨西哥欧陆通</t>
        </is>
      </c>
      <c r="L5" s="941" t="inlineStr">
        <is>
          <t>CHANHUA PTE. LTD.</t>
        </is>
      </c>
      <c r="M5" s="942" t="n">
        <v>8.558</v>
      </c>
      <c r="N5" s="938" t="n"/>
      <c r="O5" s="30" t="n"/>
      <c r="P5" s="22" t="n"/>
      <c r="Q5" s="22" t="n"/>
      <c r="S5" s="22" t="n"/>
      <c r="T5" s="22" t="n"/>
      <c r="U5" s="943" t="n"/>
      <c r="V5" s="943" t="n"/>
      <c r="W5" s="943" t="n"/>
      <c r="X5" s="943" t="n"/>
      <c r="Y5" s="943" t="n"/>
    </row>
    <row r="6" customFormat="1" s="936">
      <c r="A6" s="2" t="n">
        <v>4</v>
      </c>
      <c r="B6" s="940" t="inlineStr">
        <is>
          <t>chanhua</t>
        </is>
      </c>
      <c r="C6" s="940" t="n">
        <v>45903</v>
      </c>
      <c r="D6" s="938" t="inlineStr">
        <is>
          <t>新加坡比特</t>
        </is>
      </c>
      <c r="E6" s="941" t="inlineStr">
        <is>
          <t>JSCC</t>
        </is>
      </c>
      <c r="F6" s="941" t="inlineStr">
        <is>
          <t>BM1370PM</t>
        </is>
      </c>
      <c r="G6" s="938">
        <f>VLOOKUP(F6,编码对账表!C:D,2,0)</f>
        <v/>
      </c>
      <c r="H6" s="26" t="n">
        <v>123215</v>
      </c>
      <c r="I6" s="22" t="inlineStr">
        <is>
          <t>DPT202509040013</t>
        </is>
      </c>
      <c r="J6" s="27" t="inlineStr">
        <is>
          <t>1403250904203401</t>
        </is>
      </c>
      <c r="K6" s="942" t="inlineStr">
        <is>
          <t>泰国ONETEC</t>
        </is>
      </c>
      <c r="L6" s="941" t="inlineStr">
        <is>
          <t>CHANHUA PTE. LTD.</t>
        </is>
      </c>
      <c r="M6" s="942" t="n">
        <v>8.558</v>
      </c>
      <c r="N6" s="938" t="n"/>
      <c r="O6" s="30" t="n"/>
      <c r="P6" s="22" t="n"/>
      <c r="Q6" s="22" t="n"/>
      <c r="S6" s="22" t="n"/>
      <c r="T6" s="22" t="n"/>
      <c r="U6" s="943" t="n"/>
      <c r="V6" s="943" t="n"/>
      <c r="W6" s="943" t="n"/>
      <c r="X6" s="943" t="n"/>
      <c r="Y6" s="943" t="n"/>
    </row>
    <row r="7" customFormat="1" s="936">
      <c r="A7" s="2" t="n">
        <v>5</v>
      </c>
      <c r="B7" s="940" t="inlineStr">
        <is>
          <t>chanhua</t>
        </is>
      </c>
      <c r="C7" s="940" t="n">
        <v>45904</v>
      </c>
      <c r="D7" s="938" t="inlineStr">
        <is>
          <t>新加坡比特</t>
        </is>
      </c>
      <c r="E7" s="941" t="inlineStr">
        <is>
          <t>SPILSZ</t>
        </is>
      </c>
      <c r="F7" s="941" t="inlineStr">
        <is>
          <t>BM1370PF</t>
        </is>
      </c>
      <c r="G7" s="938">
        <f>VLOOKUP(F7,编码对账表!C:D,2,0)</f>
        <v/>
      </c>
      <c r="H7" s="26" t="n">
        <v>463600</v>
      </c>
      <c r="I7" s="22" t="inlineStr">
        <is>
          <t>DPT202509040014</t>
        </is>
      </c>
      <c r="J7" s="27" t="inlineStr">
        <is>
          <t>1403250904203408</t>
        </is>
      </c>
      <c r="K7" s="942" t="inlineStr">
        <is>
          <t>泰国群光</t>
        </is>
      </c>
      <c r="L7" s="941" t="inlineStr">
        <is>
          <t>CHANHUA PTE. LTD.</t>
        </is>
      </c>
      <c r="M7" s="942" t="n">
        <v>8.558</v>
      </c>
      <c r="N7" s="938" t="n"/>
      <c r="O7" s="30" t="n"/>
      <c r="P7" s="22" t="n"/>
      <c r="Q7" s="22" t="n"/>
      <c r="S7" s="22" t="n"/>
      <c r="T7" s="22" t="n"/>
      <c r="U7" s="943" t="n"/>
      <c r="V7" s="943" t="n"/>
      <c r="W7" s="943" t="n"/>
      <c r="X7" s="943" t="n"/>
      <c r="Y7" s="943" t="n"/>
    </row>
    <row r="8" customFormat="1" s="936">
      <c r="A8" s="2" t="n">
        <v>6</v>
      </c>
      <c r="B8" s="940" t="inlineStr">
        <is>
          <t>chanhua</t>
        </is>
      </c>
      <c r="C8" s="940" t="n">
        <v>45897</v>
      </c>
      <c r="D8" s="938" t="inlineStr">
        <is>
          <t>新加坡比特</t>
        </is>
      </c>
      <c r="E8" s="941" t="inlineStr">
        <is>
          <t>ASE-KH</t>
        </is>
      </c>
      <c r="F8" s="941" t="inlineStr">
        <is>
          <t>BM1370BC</t>
        </is>
      </c>
      <c r="G8" s="938">
        <f>VLOOKUP(F8,编码对账表!C:D,2,0)</f>
        <v/>
      </c>
      <c r="H8" s="26" t="n">
        <v>22664</v>
      </c>
      <c r="I8" s="22" t="inlineStr">
        <is>
          <t>DPT202509040015</t>
        </is>
      </c>
      <c r="J8" s="27" t="inlineStr">
        <is>
          <t>1403250904203417</t>
        </is>
      </c>
      <c r="K8" s="942" t="inlineStr">
        <is>
          <t>印尼奥海</t>
        </is>
      </c>
      <c r="L8" s="941" t="inlineStr">
        <is>
          <t>CHANHUA PTE. LTD.</t>
        </is>
      </c>
      <c r="M8" s="942" t="n">
        <v>8.558</v>
      </c>
      <c r="N8" s="938" t="n"/>
      <c r="O8" s="30" t="n"/>
      <c r="P8" s="22" t="n"/>
      <c r="Q8" s="22" t="n"/>
      <c r="S8" s="22" t="n"/>
      <c r="T8" s="22" t="n"/>
      <c r="U8" s="943" t="n"/>
      <c r="V8" s="943" t="n"/>
      <c r="W8" s="943" t="n"/>
      <c r="X8" s="943" t="n"/>
      <c r="Y8" s="943" t="n"/>
    </row>
    <row r="9" customFormat="1" s="936">
      <c r="A9" s="2" t="n">
        <v>7</v>
      </c>
      <c r="B9" s="940" t="inlineStr">
        <is>
          <t>chanhua</t>
        </is>
      </c>
      <c r="C9" s="940" t="n">
        <v>45900</v>
      </c>
      <c r="D9" s="938" t="inlineStr">
        <is>
          <t>新加坡比特</t>
        </is>
      </c>
      <c r="E9" s="941" t="inlineStr">
        <is>
          <t>XJ</t>
        </is>
      </c>
      <c r="F9" s="941" t="inlineStr">
        <is>
          <t>BM1370PA</t>
        </is>
      </c>
      <c r="G9" s="938">
        <f>VLOOKUP(F9,编码对账表!C:D,2,0)</f>
        <v/>
      </c>
      <c r="H9" s="26" t="n">
        <v>9613</v>
      </c>
      <c r="I9" s="22" t="inlineStr">
        <is>
          <t>DPT202509040016</t>
        </is>
      </c>
      <c r="J9" s="27" t="inlineStr">
        <is>
          <t>1403250904203419</t>
        </is>
      </c>
      <c r="K9" s="942" t="inlineStr">
        <is>
          <t>印尼奥海</t>
        </is>
      </c>
      <c r="L9" s="941" t="inlineStr">
        <is>
          <t>CHANHUA PTE. LTD.</t>
        </is>
      </c>
      <c r="M9" s="942" t="n">
        <v>8.558</v>
      </c>
      <c r="N9" s="938" t="n"/>
      <c r="O9" s="30" t="n"/>
      <c r="P9" s="22" t="n"/>
      <c r="Q9" s="22" t="n"/>
      <c r="S9" s="22" t="n"/>
      <c r="T9" s="22" t="n"/>
      <c r="U9" s="943" t="n"/>
      <c r="V9" s="943" t="n"/>
      <c r="W9" s="943" t="n"/>
      <c r="X9" s="943" t="n"/>
      <c r="Y9" s="943" t="n"/>
    </row>
    <row r="10" customFormat="1" s="936">
      <c r="A10" s="2" t="n">
        <v>8</v>
      </c>
      <c r="B10" s="940" t="inlineStr">
        <is>
          <t>新加坡比特</t>
        </is>
      </c>
      <c r="C10" s="940" t="n">
        <v>45911</v>
      </c>
      <c r="D10" s="938" t="inlineStr">
        <is>
          <t>chanhua</t>
        </is>
      </c>
      <c r="E10" s="941" t="n"/>
      <c r="F10" s="941" t="inlineStr">
        <is>
          <t>BM1493</t>
        </is>
      </c>
      <c r="G10" s="938" t="inlineStr">
        <is>
          <t>Y31030503</t>
        </is>
      </c>
      <c r="H10" s="26" t="n">
        <v>480</v>
      </c>
      <c r="I10" s="22" t="inlineStr">
        <is>
          <t>CHH202509110010</t>
        </is>
      </c>
      <c r="J10" s="27" t="inlineStr">
        <is>
          <t>1155202509110001</t>
        </is>
      </c>
      <c r="K10" s="942" t="inlineStr">
        <is>
          <t>SPILSZ</t>
        </is>
      </c>
      <c r="L10" s="941" t="n"/>
      <c r="M10" s="942" t="n">
        <v>25.3022</v>
      </c>
      <c r="N10" s="938" t="n"/>
      <c r="O10" s="30" t="n"/>
      <c r="P10" s="22" t="n"/>
      <c r="Q10" s="22" t="n"/>
      <c r="S10" s="22" t="n"/>
      <c r="T10" s="22" t="n"/>
      <c r="U10" s="943" t="n"/>
      <c r="V10" s="943" t="n"/>
      <c r="W10" s="943" t="n"/>
      <c r="X10" s="943" t="n"/>
      <c r="Y10" s="943" t="n"/>
    </row>
    <row r="11" customFormat="1" s="936">
      <c r="A11" s="2" t="n">
        <v>9</v>
      </c>
      <c r="B11" s="940" t="inlineStr">
        <is>
          <t>chanhua</t>
        </is>
      </c>
      <c r="C11" s="940" t="n">
        <v>45904</v>
      </c>
      <c r="D11" s="938" t="inlineStr">
        <is>
          <t>新加坡比特</t>
        </is>
      </c>
      <c r="E11" s="941" t="inlineStr">
        <is>
          <t>ASECL</t>
        </is>
      </c>
      <c r="F11" s="941" t="inlineStr">
        <is>
          <t>BM1370PF</t>
        </is>
      </c>
      <c r="G11" s="938">
        <f>VLOOKUP(F11,编码对账表!C:D,2,0)</f>
        <v/>
      </c>
      <c r="H11" s="32" t="n">
        <v>300200</v>
      </c>
      <c r="I11" s="22" t="inlineStr">
        <is>
          <t>BTD202509090020</t>
        </is>
      </c>
      <c r="J11" s="27" t="inlineStr">
        <is>
          <t xml:space="preserve"> 1155250909182839</t>
        </is>
      </c>
      <c r="K11" s="942" t="inlineStr">
        <is>
          <t>Nationgate</t>
        </is>
      </c>
      <c r="L11" s="941" t="inlineStr">
        <is>
          <t>CHANHUA PTE. LTD.</t>
        </is>
      </c>
      <c r="M11" s="942" t="n">
        <v>13.69</v>
      </c>
      <c r="N11" s="938" t="n"/>
      <c r="O11" s="30" t="n"/>
      <c r="P11" s="22" t="n"/>
      <c r="Q11" s="22" t="n"/>
      <c r="S11" s="22" t="n"/>
      <c r="T11" s="22" t="n"/>
      <c r="U11" s="943" t="n"/>
      <c r="V11" s="943" t="n"/>
      <c r="W11" s="943" t="n"/>
      <c r="X11" s="943" t="n"/>
      <c r="Y11" s="943" t="n"/>
    </row>
    <row r="12" customFormat="1" s="936">
      <c r="A12" s="2" t="n">
        <v>10</v>
      </c>
      <c r="B12" s="940" t="inlineStr">
        <is>
          <t>chanhua</t>
        </is>
      </c>
      <c r="C12" s="940" t="n">
        <v>45904</v>
      </c>
      <c r="D12" s="938" t="inlineStr">
        <is>
          <t>新加坡比特</t>
        </is>
      </c>
      <c r="E12" s="941" t="inlineStr">
        <is>
          <t>ASECL</t>
        </is>
      </c>
      <c r="F12" s="941" t="inlineStr">
        <is>
          <t>BM1370PF</t>
        </is>
      </c>
      <c r="G12" s="938">
        <f>VLOOKUP(F12,编码对账表!C:D,2,0)</f>
        <v/>
      </c>
      <c r="H12" s="26" t="n">
        <v>805600</v>
      </c>
      <c r="I12" s="22" t="inlineStr">
        <is>
          <t>DPT202509040021</t>
        </is>
      </c>
      <c r="J12" s="27" t="inlineStr">
        <is>
          <t>1403250913164357</t>
        </is>
      </c>
      <c r="K12" s="942" t="inlineStr">
        <is>
          <t>PIE</t>
        </is>
      </c>
      <c r="L12" s="941" t="inlineStr">
        <is>
          <t>CHANHUA PTE. LTD.</t>
        </is>
      </c>
      <c r="M12" s="942" t="n">
        <v>10.0037</v>
      </c>
      <c r="N12" s="938" t="n"/>
      <c r="O12" s="30" t="n"/>
      <c r="P12" s="22" t="n"/>
      <c r="Q12" s="22" t="n"/>
      <c r="S12" s="22" t="n"/>
      <c r="T12" s="22" t="n"/>
      <c r="U12" s="943" t="n"/>
      <c r="V12" s="943" t="n"/>
      <c r="W12" s="943" t="n"/>
      <c r="X12" s="943" t="n"/>
      <c r="Y12" s="943" t="n"/>
    </row>
    <row r="13" customFormat="1" s="936">
      <c r="A13" s="2" t="n">
        <v>11</v>
      </c>
      <c r="B13" s="940" t="inlineStr">
        <is>
          <t>chanhua</t>
        </is>
      </c>
      <c r="C13" s="940" t="n">
        <v>45905</v>
      </c>
      <c r="D13" s="938" t="inlineStr">
        <is>
          <t>新加坡比特</t>
        </is>
      </c>
      <c r="E13" s="941" t="inlineStr">
        <is>
          <t>JSCC</t>
        </is>
      </c>
      <c r="F13" s="941" t="inlineStr">
        <is>
          <t>BM1370PF</t>
        </is>
      </c>
      <c r="G13" s="938">
        <f>VLOOKUP(F13,编码对账表!C:D,2,0)</f>
        <v/>
      </c>
      <c r="H13" s="26" t="n">
        <v>62069</v>
      </c>
      <c r="I13" s="22" t="inlineStr">
        <is>
          <t>DPT202509050010</t>
        </is>
      </c>
      <c r="J13" s="27" t="inlineStr">
        <is>
          <t>1403250913164404</t>
        </is>
      </c>
      <c r="K13" s="942" t="inlineStr">
        <is>
          <t>泰国ONETEC</t>
        </is>
      </c>
      <c r="L13" s="941" t="inlineStr">
        <is>
          <t>CHANHUA PTE. LTD.</t>
        </is>
      </c>
      <c r="M13" s="942" t="n">
        <v>10.0037</v>
      </c>
      <c r="N13" s="938" t="n"/>
      <c r="O13" s="30" t="n"/>
      <c r="P13" s="22" t="n"/>
      <c r="Q13" s="22" t="n"/>
      <c r="S13" s="22" t="n"/>
      <c r="T13" s="22" t="n"/>
      <c r="U13" s="943" t="n"/>
      <c r="V13" s="943" t="n"/>
      <c r="W13" s="943" t="n"/>
      <c r="X13" s="943" t="n"/>
      <c r="Y13" s="943" t="n"/>
    </row>
    <row r="14" customFormat="1" s="936">
      <c r="A14" s="2" t="n">
        <v>12</v>
      </c>
      <c r="B14" s="940" t="inlineStr">
        <is>
          <t>chanhua</t>
        </is>
      </c>
      <c r="C14" s="940" t="n">
        <v>45906</v>
      </c>
      <c r="D14" s="938" t="inlineStr">
        <is>
          <t>新加坡比特</t>
        </is>
      </c>
      <c r="E14" s="941" t="inlineStr">
        <is>
          <t>NJ-VT</t>
        </is>
      </c>
      <c r="F14" s="941" t="inlineStr">
        <is>
          <t>BM1370PF</t>
        </is>
      </c>
      <c r="G14" s="938">
        <f>VLOOKUP(F14,编码对账表!C:D,2,0)</f>
        <v/>
      </c>
      <c r="H14" s="26" t="n">
        <v>98396</v>
      </c>
      <c r="I14" s="22" t="inlineStr">
        <is>
          <t>DPT202509060010</t>
        </is>
      </c>
      <c r="J14" s="27" t="inlineStr">
        <is>
          <t>1403250913164412</t>
        </is>
      </c>
      <c r="K14" s="942" t="inlineStr">
        <is>
          <t>泰国群光</t>
        </is>
      </c>
      <c r="L14" s="941" t="inlineStr">
        <is>
          <t>CHANHUA PTE. LTD.</t>
        </is>
      </c>
      <c r="M14" s="942" t="n">
        <v>10.0037</v>
      </c>
      <c r="N14" s="938" t="n"/>
      <c r="O14" s="30" t="n"/>
      <c r="P14" s="22" t="n"/>
      <c r="Q14" s="22" t="n"/>
      <c r="S14" s="22" t="n"/>
      <c r="T14" s="22" t="n"/>
      <c r="U14" s="943" t="n"/>
      <c r="V14" s="943" t="n"/>
      <c r="W14" s="943" t="n"/>
      <c r="X14" s="943" t="n"/>
      <c r="Y14" s="943" t="n"/>
    </row>
    <row r="15" customFormat="1" s="936">
      <c r="A15" s="2" t="n">
        <v>13</v>
      </c>
      <c r="B15" s="940" t="inlineStr">
        <is>
          <t>chanhua</t>
        </is>
      </c>
      <c r="C15" s="940" t="n">
        <v>45908</v>
      </c>
      <c r="D15" s="938" t="inlineStr">
        <is>
          <t>新加坡比特</t>
        </is>
      </c>
      <c r="E15" s="941" t="inlineStr">
        <is>
          <t>JSCC</t>
        </is>
      </c>
      <c r="F15" s="941" t="inlineStr">
        <is>
          <t>BM1370PF</t>
        </is>
      </c>
      <c r="G15" s="938">
        <f>VLOOKUP(F15,编码对账表!C:D,2,0)</f>
        <v/>
      </c>
      <c r="H15" s="26" t="n">
        <v>145474</v>
      </c>
      <c r="I15" s="22" t="inlineStr">
        <is>
          <t>DPT202509080010</t>
        </is>
      </c>
      <c r="J15" s="27" t="inlineStr">
        <is>
          <t>1403250913164421</t>
        </is>
      </c>
      <c r="K15" s="942" t="inlineStr">
        <is>
          <t>泰国ONETEC</t>
        </is>
      </c>
      <c r="L15" s="941" t="inlineStr">
        <is>
          <t>CHANHUA PTE. LTD.</t>
        </is>
      </c>
      <c r="M15" s="942" t="n">
        <v>10.0037</v>
      </c>
      <c r="N15" s="938" t="n"/>
      <c r="O15" s="30" t="n"/>
      <c r="P15" s="22" t="n"/>
      <c r="Q15" s="22" t="n"/>
      <c r="S15" s="22" t="n"/>
      <c r="T15" s="22" t="n"/>
      <c r="U15" s="943" t="n"/>
      <c r="V15" s="943" t="n"/>
      <c r="W15" s="943" t="n"/>
      <c r="X15" s="943" t="n"/>
      <c r="Y15" s="943" t="n"/>
    </row>
    <row r="16" customFormat="1" s="936">
      <c r="A16" s="2" t="n">
        <v>14</v>
      </c>
      <c r="B16" s="940" t="inlineStr">
        <is>
          <t>chanhua</t>
        </is>
      </c>
      <c r="C16" s="940" t="n">
        <v>45909</v>
      </c>
      <c r="D16" s="938" t="inlineStr">
        <is>
          <t>新加坡比特</t>
        </is>
      </c>
      <c r="E16" s="941" t="inlineStr">
        <is>
          <t>SPILSZ</t>
        </is>
      </c>
      <c r="F16" s="941" t="inlineStr">
        <is>
          <t>BM1370PF</t>
        </is>
      </c>
      <c r="G16" s="938">
        <f>VLOOKUP(F16,编码对账表!C:D,2,0)</f>
        <v/>
      </c>
      <c r="H16" s="26" t="n">
        <v>619400</v>
      </c>
      <c r="I16" s="22" t="inlineStr">
        <is>
          <t>DPT202509090010</t>
        </is>
      </c>
      <c r="J16" s="27" t="inlineStr">
        <is>
          <t>1403250913164430</t>
        </is>
      </c>
      <c r="K16" s="942" t="inlineStr">
        <is>
          <t>Nationgate</t>
        </is>
      </c>
      <c r="L16" s="941" t="inlineStr">
        <is>
          <t>CHANHUA PTE. LTD.</t>
        </is>
      </c>
      <c r="M16" s="942" t="n">
        <v>10.0037</v>
      </c>
      <c r="N16" s="938" t="n"/>
      <c r="O16" s="30" t="n"/>
      <c r="P16" s="22" t="n"/>
      <c r="Q16" s="22" t="n"/>
      <c r="S16" s="22" t="n"/>
      <c r="T16" s="22" t="n"/>
      <c r="U16" s="943" t="n"/>
      <c r="V16" s="943" t="n"/>
      <c r="W16" s="943" t="n"/>
      <c r="X16" s="943" t="n"/>
      <c r="Y16" s="943" t="n"/>
    </row>
    <row r="17" customFormat="1" s="936">
      <c r="A17" s="2" t="n">
        <v>15</v>
      </c>
      <c r="B17" s="940" t="inlineStr">
        <is>
          <t>chanhua</t>
        </is>
      </c>
      <c r="C17" s="940" t="n">
        <v>45909</v>
      </c>
      <c r="D17" s="938" t="inlineStr">
        <is>
          <t>新加坡比特</t>
        </is>
      </c>
      <c r="E17" s="941" t="inlineStr">
        <is>
          <t>SPILSZ</t>
        </is>
      </c>
      <c r="F17" s="941" t="inlineStr">
        <is>
          <t>BM1370PF</t>
        </is>
      </c>
      <c r="G17" s="938">
        <f>VLOOKUP(F17,编码对账表!C:D,2,0)</f>
        <v/>
      </c>
      <c r="H17" s="26" t="n">
        <v>269800</v>
      </c>
      <c r="I17" s="22" t="inlineStr">
        <is>
          <t>DPT202509090011</t>
        </is>
      </c>
      <c r="J17" s="27" t="inlineStr">
        <is>
          <t>1403250913164439</t>
        </is>
      </c>
      <c r="K17" s="942" t="inlineStr">
        <is>
          <t>泰国群光</t>
        </is>
      </c>
      <c r="L17" s="941" t="inlineStr">
        <is>
          <t>CHANHUA PTE. LTD.</t>
        </is>
      </c>
      <c r="M17" s="942" t="n">
        <v>10.0037</v>
      </c>
      <c r="N17" s="938" t="n"/>
      <c r="O17" s="30" t="n"/>
      <c r="P17" s="22" t="n"/>
      <c r="Q17" s="22" t="n"/>
      <c r="S17" s="22" t="n"/>
      <c r="T17" s="22" t="n"/>
      <c r="U17" s="943" t="n"/>
      <c r="V17" s="943" t="n"/>
      <c r="W17" s="943" t="n"/>
      <c r="X17" s="943" t="n"/>
      <c r="Y17" s="943" t="n"/>
    </row>
    <row r="18" customFormat="1" s="936">
      <c r="A18" s="2" t="n">
        <v>16</v>
      </c>
      <c r="B18" s="940" t="inlineStr">
        <is>
          <t>chanhua</t>
        </is>
      </c>
      <c r="C18" s="940" t="n">
        <v>45909</v>
      </c>
      <c r="D18" s="938" t="inlineStr">
        <is>
          <t>新加坡比特</t>
        </is>
      </c>
      <c r="E18" s="941" t="inlineStr">
        <is>
          <t>XJ</t>
        </is>
      </c>
      <c r="F18" s="941" t="inlineStr">
        <is>
          <t>BM1370PF</t>
        </is>
      </c>
      <c r="G18" s="938">
        <f>VLOOKUP(F18,编码对账表!C:D,2,0)</f>
        <v/>
      </c>
      <c r="H18" s="26" t="n">
        <v>14434</v>
      </c>
      <c r="I18" s="22" t="inlineStr">
        <is>
          <t>DPT202509090012</t>
        </is>
      </c>
      <c r="J18" s="27" t="inlineStr">
        <is>
          <t>1403250913164447</t>
        </is>
      </c>
      <c r="K18" s="942" t="inlineStr">
        <is>
          <t>Nationgate</t>
        </is>
      </c>
      <c r="L18" s="941" t="inlineStr">
        <is>
          <t>CHANHUA PTE. LTD.</t>
        </is>
      </c>
      <c r="M18" s="942" t="n">
        <v>10.0037</v>
      </c>
      <c r="N18" s="938" t="n"/>
      <c r="O18" s="30" t="n"/>
      <c r="P18" s="22" t="n"/>
      <c r="Q18" s="22" t="n"/>
      <c r="S18" s="22" t="n"/>
      <c r="T18" s="22" t="n"/>
      <c r="U18" s="943" t="n"/>
      <c r="V18" s="943" t="n"/>
      <c r="W18" s="943" t="n"/>
      <c r="X18" s="943" t="n"/>
      <c r="Y18" s="943" t="n"/>
    </row>
    <row r="19" customFormat="1" s="936">
      <c r="A19" s="2" t="n">
        <v>17</v>
      </c>
      <c r="B19" s="940" t="inlineStr">
        <is>
          <t>chanhua</t>
        </is>
      </c>
      <c r="C19" s="940" t="n">
        <v>45909</v>
      </c>
      <c r="D19" s="938" t="inlineStr">
        <is>
          <t>新加坡比特</t>
        </is>
      </c>
      <c r="E19" s="941" t="inlineStr">
        <is>
          <t>XJ</t>
        </is>
      </c>
      <c r="F19" s="941" t="inlineStr">
        <is>
          <t>BM1370PF</t>
        </is>
      </c>
      <c r="G19" s="938">
        <f>VLOOKUP(F19,编码对账表!C:D,2,0)</f>
        <v/>
      </c>
      <c r="H19" s="26" t="n">
        <v>202659</v>
      </c>
      <c r="I19" s="22" t="inlineStr">
        <is>
          <t>DPT202509090013</t>
        </is>
      </c>
      <c r="J19" s="27" t="inlineStr">
        <is>
          <t>1403250913164454</t>
        </is>
      </c>
      <c r="K19" s="942" t="inlineStr">
        <is>
          <t>PIE</t>
        </is>
      </c>
      <c r="L19" s="941" t="inlineStr">
        <is>
          <t>CHANHUA PTE. LTD.</t>
        </is>
      </c>
      <c r="M19" s="942" t="n">
        <v>10.0037</v>
      </c>
      <c r="N19" s="938" t="n"/>
      <c r="O19" s="30" t="n"/>
      <c r="P19" s="22" t="n"/>
      <c r="Q19" s="22" t="n"/>
      <c r="S19" s="22" t="n"/>
      <c r="T19" s="22" t="n"/>
      <c r="U19" s="943" t="n"/>
      <c r="V19" s="943" t="n"/>
      <c r="W19" s="943" t="n"/>
      <c r="X19" s="943" t="n"/>
      <c r="Y19" s="943" t="n"/>
    </row>
    <row r="20" customFormat="1" s="936">
      <c r="A20" s="2" t="n">
        <v>18</v>
      </c>
      <c r="B20" s="940" t="inlineStr">
        <is>
          <t>chanhua</t>
        </is>
      </c>
      <c r="C20" s="940" t="n">
        <v>45909</v>
      </c>
      <c r="D20" s="938" t="inlineStr">
        <is>
          <t>新加坡比特</t>
        </is>
      </c>
      <c r="E20" s="941" t="inlineStr">
        <is>
          <t>XJ</t>
        </is>
      </c>
      <c r="F20" s="941" t="inlineStr">
        <is>
          <t>BM1370PF</t>
        </is>
      </c>
      <c r="G20" s="938">
        <f>VLOOKUP(F20,编码对账表!C:D,2,0)</f>
        <v/>
      </c>
      <c r="H20" s="26" t="n">
        <v>531462</v>
      </c>
      <c r="I20" s="22" t="inlineStr">
        <is>
          <t>DPT202509090014</t>
        </is>
      </c>
      <c r="J20" s="27" t="inlineStr">
        <is>
          <t>1403250913164502</t>
        </is>
      </c>
      <c r="K20" s="942" t="inlineStr">
        <is>
          <t>泰国ONETEC</t>
        </is>
      </c>
      <c r="L20" s="941" t="inlineStr">
        <is>
          <t>CHANHUA PTE. LTD.</t>
        </is>
      </c>
      <c r="M20" s="942" t="n">
        <v>10.0037</v>
      </c>
      <c r="N20" s="938" t="n"/>
      <c r="O20" s="30" t="n"/>
      <c r="P20" s="22" t="n"/>
      <c r="Q20" s="22" t="n"/>
      <c r="S20" s="22" t="n"/>
      <c r="T20" s="22" t="n"/>
      <c r="U20" s="943" t="n"/>
      <c r="V20" s="943" t="n"/>
      <c r="W20" s="943" t="n"/>
      <c r="X20" s="943" t="n"/>
      <c r="Y20" s="943" t="n"/>
    </row>
    <row r="21" customFormat="1" s="936">
      <c r="A21" s="2" t="n">
        <v>19</v>
      </c>
      <c r="B21" s="940" t="inlineStr">
        <is>
          <t>chanhua</t>
        </is>
      </c>
      <c r="C21" s="940" t="n">
        <v>45909</v>
      </c>
      <c r="D21" s="938" t="inlineStr">
        <is>
          <t>新加坡比特</t>
        </is>
      </c>
      <c r="E21" s="941" t="inlineStr">
        <is>
          <t>XJ</t>
        </is>
      </c>
      <c r="F21" s="941" t="inlineStr">
        <is>
          <t>BM1370PF</t>
        </is>
      </c>
      <c r="G21" s="938">
        <f>VLOOKUP(F21,编码对账表!C:D,2,0)</f>
        <v/>
      </c>
      <c r="H21" s="26" t="n">
        <v>240000</v>
      </c>
      <c r="I21" s="22" t="inlineStr">
        <is>
          <t>DPT202509090015</t>
        </is>
      </c>
      <c r="J21" s="27" t="inlineStr">
        <is>
          <t>1403250913164509</t>
        </is>
      </c>
      <c r="K21" s="942" t="inlineStr">
        <is>
          <t>泰国群光</t>
        </is>
      </c>
      <c r="L21" s="941" t="inlineStr">
        <is>
          <t>CHANHUA PTE. LTD.</t>
        </is>
      </c>
      <c r="M21" s="942" t="n">
        <v>10.0037</v>
      </c>
      <c r="N21" s="938" t="n"/>
      <c r="O21" s="30" t="n"/>
      <c r="P21" s="22" t="n"/>
      <c r="Q21" s="22" t="n"/>
      <c r="S21" s="22" t="n"/>
      <c r="T21" s="22" t="n"/>
      <c r="U21" s="943" t="n"/>
      <c r="V21" s="943" t="n"/>
      <c r="W21" s="943" t="n"/>
      <c r="X21" s="943" t="n"/>
      <c r="Y21" s="943" t="n"/>
    </row>
    <row r="22" customFormat="1" s="936">
      <c r="A22" s="2" t="n">
        <v>20</v>
      </c>
      <c r="B22" s="940" t="inlineStr">
        <is>
          <t>chanhua</t>
        </is>
      </c>
      <c r="C22" s="940" t="n">
        <v>45911</v>
      </c>
      <c r="D22" s="938" t="inlineStr">
        <is>
          <t>新加坡比特</t>
        </is>
      </c>
      <c r="E22" s="941" t="inlineStr">
        <is>
          <t>SPILSZ</t>
        </is>
      </c>
      <c r="F22" s="941" t="inlineStr">
        <is>
          <t>BM1370PF</t>
        </is>
      </c>
      <c r="G22" s="938">
        <f>VLOOKUP(F22,编码对账表!C:D,2,0)</f>
        <v/>
      </c>
      <c r="H22" s="26" t="n">
        <v>22800</v>
      </c>
      <c r="I22" s="22" t="inlineStr">
        <is>
          <t>DPT202509110010</t>
        </is>
      </c>
      <c r="J22" s="27" t="inlineStr">
        <is>
          <t>1403250913164517</t>
        </is>
      </c>
      <c r="K22" s="942" t="inlineStr">
        <is>
          <t>PIE</t>
        </is>
      </c>
      <c r="L22" s="941" t="inlineStr">
        <is>
          <t>CHANHUA PTE. LTD.</t>
        </is>
      </c>
      <c r="M22" s="942" t="n">
        <v>10.0037</v>
      </c>
      <c r="N22" s="938" t="n"/>
      <c r="O22" s="30" t="n"/>
      <c r="P22" s="22" t="n"/>
      <c r="Q22" s="22" t="n"/>
      <c r="S22" s="22" t="n"/>
      <c r="T22" s="22" t="n"/>
      <c r="U22" s="943" t="n"/>
      <c r="V22" s="943" t="n"/>
      <c r="W22" s="943" t="n"/>
      <c r="X22" s="943" t="n"/>
      <c r="Y22" s="943" t="n"/>
    </row>
    <row r="23" customFormat="1" s="936">
      <c r="A23" s="2" t="n">
        <v>21</v>
      </c>
      <c r="B23" s="940" t="inlineStr">
        <is>
          <t>chanhua</t>
        </is>
      </c>
      <c r="C23" s="940" t="n">
        <v>45911</v>
      </c>
      <c r="D23" s="938" t="inlineStr">
        <is>
          <t>新加坡比特</t>
        </is>
      </c>
      <c r="E23" s="941" t="inlineStr">
        <is>
          <t>SPILSZ</t>
        </is>
      </c>
      <c r="F23" s="941" t="inlineStr">
        <is>
          <t>BM1370PF</t>
        </is>
      </c>
      <c r="G23" s="938">
        <f>VLOOKUP(F23,编码对账表!C:D,2,0)</f>
        <v/>
      </c>
      <c r="H23" s="26" t="n">
        <v>247000</v>
      </c>
      <c r="I23" s="22" t="inlineStr">
        <is>
          <t>DPT202509110011</t>
        </is>
      </c>
      <c r="J23" s="27" t="inlineStr">
        <is>
          <t>1403250913164525</t>
        </is>
      </c>
      <c r="K23" s="942" t="inlineStr">
        <is>
          <t>墨西哥欧陆通</t>
        </is>
      </c>
      <c r="L23" s="941" t="inlineStr">
        <is>
          <t>CHANHUA PTE. LTD.</t>
        </is>
      </c>
      <c r="M23" s="942" t="n">
        <v>10.0037</v>
      </c>
      <c r="N23" s="938" t="n"/>
      <c r="O23" s="30" t="n"/>
      <c r="P23" s="22" t="n"/>
      <c r="Q23" s="22" t="n"/>
      <c r="S23" s="22" t="n"/>
      <c r="T23" s="22" t="n"/>
      <c r="U23" s="943" t="n"/>
      <c r="V23" s="943" t="n"/>
      <c r="W23" s="943" t="n"/>
      <c r="X23" s="943" t="n"/>
      <c r="Y23" s="943" t="n"/>
    </row>
    <row r="24" ht="28.5" customFormat="1" customHeight="1" s="936">
      <c r="A24" s="2" t="n">
        <v>22</v>
      </c>
      <c r="B24" s="940" t="inlineStr">
        <is>
          <t>chanhua</t>
        </is>
      </c>
      <c r="C24" s="940" t="n">
        <v>45912</v>
      </c>
      <c r="D24" s="938" t="inlineStr">
        <is>
          <t>新加坡比特</t>
        </is>
      </c>
      <c r="E24" s="941" t="inlineStr">
        <is>
          <t>WX-HN</t>
        </is>
      </c>
      <c r="F24" s="941" t="inlineStr">
        <is>
          <t>BM1370PF</t>
        </is>
      </c>
      <c r="G24" s="938">
        <f>VLOOKUP(F24,编码对账表!C:D,2,0)</f>
        <v/>
      </c>
      <c r="H24" s="26" t="n">
        <v>55798</v>
      </c>
      <c r="I24" s="22" t="inlineStr">
        <is>
          <t>DPT202509120010</t>
        </is>
      </c>
      <c r="J24" s="33" t="inlineStr">
        <is>
          <t>DPT202509120010
'202509261500432144</t>
        </is>
      </c>
      <c r="K24" s="942" t="inlineStr">
        <is>
          <t>PIE</t>
        </is>
      </c>
      <c r="L24" s="941" t="inlineStr">
        <is>
          <t>CHANHUA PTE. LTD.</t>
        </is>
      </c>
      <c r="M24" s="942" t="n">
        <v>10.0037</v>
      </c>
      <c r="N24" s="938" t="n"/>
      <c r="O24" s="30" t="n"/>
      <c r="P24" s="22" t="n"/>
      <c r="Q24" s="22" t="n"/>
      <c r="S24" s="22" t="n"/>
      <c r="T24" s="22" t="n"/>
      <c r="U24" s="943" t="n"/>
      <c r="V24" s="943" t="n"/>
      <c r="W24" s="943" t="n"/>
      <c r="X24" s="943" t="n"/>
      <c r="Y24" s="943" t="n"/>
    </row>
    <row r="25" customFormat="1" s="936">
      <c r="A25" s="2" t="n">
        <v>23</v>
      </c>
      <c r="B25" s="940" t="inlineStr">
        <is>
          <t>chanhua</t>
        </is>
      </c>
      <c r="C25" s="940" t="n">
        <v>45912</v>
      </c>
      <c r="D25" s="938" t="inlineStr">
        <is>
          <t>新加坡比特</t>
        </is>
      </c>
      <c r="E25" s="941" t="inlineStr">
        <is>
          <t>WX-HN</t>
        </is>
      </c>
      <c r="F25" s="941" t="inlineStr">
        <is>
          <t>BM1370PF</t>
        </is>
      </c>
      <c r="G25" s="938">
        <f>VLOOKUP(F25,编码对账表!C:D,2,0)</f>
        <v/>
      </c>
      <c r="H25" s="26" t="n">
        <v>82281</v>
      </c>
      <c r="I25" s="22" t="inlineStr">
        <is>
          <t>DPT202509120011</t>
        </is>
      </c>
      <c r="J25" s="27" t="inlineStr">
        <is>
          <t>1403250913164532</t>
        </is>
      </c>
      <c r="K25" s="942" t="inlineStr">
        <is>
          <t>墨西哥欧陆通</t>
        </is>
      </c>
      <c r="L25" s="941" t="inlineStr">
        <is>
          <t>CHANHUA PTE. LTD.</t>
        </is>
      </c>
      <c r="M25" s="942" t="n">
        <v>10.0037</v>
      </c>
      <c r="N25" s="938" t="n"/>
      <c r="O25" s="30" t="n"/>
      <c r="P25" s="22" t="n"/>
      <c r="Q25" s="22" t="n"/>
      <c r="S25" s="22" t="n"/>
      <c r="T25" s="22" t="n"/>
      <c r="U25" s="943" t="n"/>
      <c r="V25" s="943" t="n"/>
      <c r="W25" s="943" t="n"/>
      <c r="X25" s="943" t="n"/>
      <c r="Y25" s="943" t="n"/>
    </row>
    <row r="26" customFormat="1" s="944">
      <c r="A26" s="2" t="n">
        <v>24</v>
      </c>
      <c r="B26" s="940" t="inlineStr">
        <is>
          <t>chanhua</t>
        </is>
      </c>
      <c r="C26" s="940" t="n">
        <v>45913</v>
      </c>
      <c r="D26" s="938" t="inlineStr">
        <is>
          <t>新加坡比特</t>
        </is>
      </c>
      <c r="E26" s="945" t="inlineStr">
        <is>
          <t>ASECL</t>
        </is>
      </c>
      <c r="F26" s="945" t="inlineStr">
        <is>
          <t>BM1370PF</t>
        </is>
      </c>
      <c r="G26" s="938">
        <f>VLOOKUP(F26,编码对账表!C:D,2,0)</f>
        <v/>
      </c>
      <c r="H26" s="35" t="n">
        <v>1683400</v>
      </c>
      <c r="I26" s="22" t="inlineStr">
        <is>
          <t>DPT202509160010</t>
        </is>
      </c>
      <c r="K26" s="945" t="inlineStr">
        <is>
          <t>印尼奥海</t>
        </is>
      </c>
      <c r="L26" s="941" t="inlineStr">
        <is>
          <t>CHANHUA PTE. LTD.</t>
        </is>
      </c>
      <c r="M26" s="946" t="n">
        <v>10.0037</v>
      </c>
    </row>
    <row r="27">
      <c r="A27" s="2" t="n">
        <v>25</v>
      </c>
      <c r="B27" s="940" t="inlineStr">
        <is>
          <t>chanhua</t>
        </is>
      </c>
      <c r="C27" s="940" t="n">
        <v>45920</v>
      </c>
      <c r="D27" s="938" t="inlineStr">
        <is>
          <t>美国比特</t>
        </is>
      </c>
      <c r="E27" s="941" t="inlineStr">
        <is>
          <t>ASECL</t>
        </is>
      </c>
      <c r="F27" s="892" t="inlineStr">
        <is>
          <t>BM1370PF</t>
        </is>
      </c>
      <c r="G27" s="938">
        <f>VLOOKUP(F27,编码对账表!C:D,2,0)</f>
        <v/>
      </c>
      <c r="H27" s="38" t="n">
        <v>418000</v>
      </c>
      <c r="I27" s="22" t="inlineStr">
        <is>
          <t>BTD202509200011</t>
        </is>
      </c>
      <c r="J27" s="39" t="inlineStr">
        <is>
          <t>1155250922195444</t>
        </is>
      </c>
      <c r="K27" s="945" t="inlineStr">
        <is>
          <t>Meritronics</t>
        </is>
      </c>
      <c r="L27" s="941" t="inlineStr">
        <is>
          <t>CHANHUA PTE. LTD.</t>
        </is>
      </c>
      <c r="M27" s="947" t="n">
        <v>13.69</v>
      </c>
    </row>
    <row r="28">
      <c r="A28" s="2" t="n">
        <v>26</v>
      </c>
      <c r="B28" s="940" t="inlineStr">
        <is>
          <t>chanhua</t>
        </is>
      </c>
      <c r="C28" s="940" t="n">
        <v>45920</v>
      </c>
      <c r="D28" s="938" t="inlineStr">
        <is>
          <t>美国比特</t>
        </is>
      </c>
      <c r="E28" s="941" t="inlineStr">
        <is>
          <t>WX-HN</t>
        </is>
      </c>
      <c r="F28" s="892" t="inlineStr">
        <is>
          <t>BM1370PF</t>
        </is>
      </c>
      <c r="G28" s="938">
        <f>VLOOKUP(F28,编码对账表!C:D,2,0)</f>
        <v/>
      </c>
      <c r="H28" s="38" t="n">
        <v>277077</v>
      </c>
      <c r="I28" s="22" t="inlineStr">
        <is>
          <t>BTD202509200010</t>
        </is>
      </c>
      <c r="J28" s="41" t="inlineStr">
        <is>
          <t>1155250922195435</t>
        </is>
      </c>
      <c r="K28" s="945" t="inlineStr">
        <is>
          <t>Meritronics</t>
        </is>
      </c>
      <c r="L28" s="941" t="inlineStr">
        <is>
          <t>CHANHUA PTE. LTD.</t>
        </is>
      </c>
      <c r="M28" s="947" t="n">
        <v>13.69</v>
      </c>
      <c r="N28" s="936" t="inlineStr">
        <is>
          <t>是</t>
        </is>
      </c>
    </row>
    <row r="29">
      <c r="A29" s="2" t="n">
        <v>27</v>
      </c>
      <c r="B29" s="940" t="inlineStr">
        <is>
          <t>chanhua</t>
        </is>
      </c>
      <c r="C29" s="940" t="n">
        <v>45924</v>
      </c>
      <c r="D29" s="938" t="inlineStr">
        <is>
          <t>美国比特</t>
        </is>
      </c>
      <c r="E29" s="941" t="inlineStr">
        <is>
          <t>XJ</t>
        </is>
      </c>
      <c r="F29" s="892" t="inlineStr">
        <is>
          <t>BM1370PF</t>
        </is>
      </c>
      <c r="G29" s="938">
        <f>VLOOKUP(F29,编码对账表!C:D,2,0)</f>
        <v/>
      </c>
      <c r="H29" s="38" t="n">
        <v>167126</v>
      </c>
      <c r="I29" s="22" t="inlineStr">
        <is>
          <t>BTD202509240010</t>
        </is>
      </c>
      <c r="J29" s="41" t="inlineStr">
        <is>
          <t>1155250924113926</t>
        </is>
      </c>
      <c r="K29" s="945" t="inlineStr">
        <is>
          <t>Meritronics</t>
        </is>
      </c>
      <c r="L29" s="941" t="inlineStr">
        <is>
          <t>CHANHUA PTE. LTD.</t>
        </is>
      </c>
      <c r="M29" s="947" t="n">
        <v>13.69</v>
      </c>
    </row>
    <row r="30" customFormat="1" s="936">
      <c r="A30" s="2" t="n">
        <v>28</v>
      </c>
      <c r="B30" s="940" t="inlineStr">
        <is>
          <t>chanhua</t>
        </is>
      </c>
      <c r="C30" s="940" t="n">
        <v>45912</v>
      </c>
      <c r="D30" s="938" t="inlineStr">
        <is>
          <t>新加坡比特</t>
        </is>
      </c>
      <c r="E30" s="941" t="inlineStr">
        <is>
          <t>ASECL</t>
        </is>
      </c>
      <c r="F30" s="941" t="inlineStr">
        <is>
          <t>BM1370PF</t>
        </is>
      </c>
      <c r="G30" s="938">
        <f>VLOOKUP(F30,编码对账表!C:D,2,0)</f>
        <v/>
      </c>
      <c r="H30" s="26" t="n">
        <v>676400</v>
      </c>
      <c r="I30" s="22" t="inlineStr">
        <is>
          <t>DPT202509240010</t>
        </is>
      </c>
      <c r="J30" s="27" t="inlineStr">
        <is>
          <t>1403250924203337</t>
        </is>
      </c>
      <c r="K30" s="942" t="inlineStr">
        <is>
          <t>墨西哥欧陆通</t>
        </is>
      </c>
      <c r="L30" s="941" t="inlineStr">
        <is>
          <t>CHANHUA PTE. LTD.</t>
        </is>
      </c>
      <c r="M30" s="942" t="n">
        <v>10.0037</v>
      </c>
      <c r="N30" s="938" t="n"/>
      <c r="O30" s="30" t="n"/>
      <c r="P30" s="22" t="n"/>
      <c r="Q30" s="22" t="n"/>
      <c r="S30" s="22" t="n"/>
      <c r="T30" s="22" t="n"/>
      <c r="U30" s="943" t="n"/>
      <c r="V30" s="943" t="n"/>
      <c r="W30" s="943" t="n"/>
      <c r="X30" s="943" t="n"/>
      <c r="Y30" s="943" t="n"/>
    </row>
    <row r="31" customFormat="1" s="936">
      <c r="A31" s="2" t="n">
        <v>29</v>
      </c>
      <c r="B31" s="940" t="inlineStr">
        <is>
          <t>chanhua</t>
        </is>
      </c>
      <c r="C31" s="940" t="n">
        <v>45921</v>
      </c>
      <c r="D31" s="938" t="inlineStr">
        <is>
          <t>新加坡比特</t>
        </is>
      </c>
      <c r="E31" s="941" t="inlineStr">
        <is>
          <t>SPILSZ</t>
        </is>
      </c>
      <c r="F31" s="941" t="inlineStr">
        <is>
          <t>BM1370PF</t>
        </is>
      </c>
      <c r="G31" s="938">
        <f>VLOOKUP(F31,编码对账表!C:D,2,0)</f>
        <v/>
      </c>
      <c r="H31" s="26" t="n">
        <v>181861</v>
      </c>
      <c r="I31" s="22" t="inlineStr">
        <is>
          <t>DPT202509260010</t>
        </is>
      </c>
      <c r="J31" s="948" t="inlineStr">
        <is>
          <t>‘1403250926160145</t>
        </is>
      </c>
      <c r="K31" s="942" t="inlineStr">
        <is>
          <t>PIE</t>
        </is>
      </c>
      <c r="L31" s="941" t="inlineStr">
        <is>
          <t>CHANHUA PTE. LTD.</t>
        </is>
      </c>
      <c r="M31" s="942" t="n">
        <v>10.0037</v>
      </c>
      <c r="N31" s="938" t="n"/>
      <c r="O31" s="30" t="n"/>
      <c r="P31" s="22" t="n"/>
      <c r="Q31" s="22" t="n"/>
      <c r="S31" s="22" t="n"/>
      <c r="T31" s="22" t="n"/>
      <c r="U31" s="943" t="n"/>
      <c r="V31" s="943" t="n"/>
      <c r="W31" s="943" t="n"/>
      <c r="X31" s="943" t="n"/>
      <c r="Y31" s="943" t="n"/>
    </row>
    <row r="32" customFormat="1" s="936">
      <c r="A32" s="2" t="n">
        <v>30</v>
      </c>
      <c r="B32" s="940" t="inlineStr">
        <is>
          <t>chanhua</t>
        </is>
      </c>
      <c r="C32" s="940" t="n">
        <v>45914</v>
      </c>
      <c r="D32" s="938" t="inlineStr">
        <is>
          <t>新加坡比特</t>
        </is>
      </c>
      <c r="E32" s="941" t="inlineStr">
        <is>
          <t>XJ</t>
        </is>
      </c>
      <c r="F32" s="941" t="inlineStr">
        <is>
          <t>BM1370PF</t>
        </is>
      </c>
      <c r="G32" s="938">
        <f>VLOOKUP(F32,编码对账表!C:D,2,0)</f>
        <v/>
      </c>
      <c r="H32" s="26" t="n">
        <v>931177</v>
      </c>
      <c r="I32" s="22" t="inlineStr">
        <is>
          <t>DPT202509260011</t>
        </is>
      </c>
      <c r="J32" s="948" t="inlineStr">
        <is>
          <t>’1403250926160155</t>
        </is>
      </c>
      <c r="K32" s="942" t="inlineStr">
        <is>
          <t>泰国ONETEC</t>
        </is>
      </c>
      <c r="L32" s="941" t="inlineStr">
        <is>
          <t>CHANHUA PTE. LTD.</t>
        </is>
      </c>
      <c r="M32" s="942" t="n">
        <v>10.0037</v>
      </c>
      <c r="N32" s="938" t="n"/>
      <c r="O32" s="30" t="n"/>
      <c r="P32" s="22" t="n"/>
      <c r="Q32" s="22" t="n"/>
      <c r="S32" s="22" t="n"/>
      <c r="T32" s="22" t="n"/>
      <c r="U32" s="943" t="n"/>
      <c r="V32" s="943" t="n"/>
      <c r="W32" s="943" t="n"/>
      <c r="X32" s="943" t="n"/>
      <c r="Y32" s="943" t="n"/>
    </row>
    <row r="33" customFormat="1" s="936">
      <c r="A33" s="2" t="n">
        <v>31</v>
      </c>
      <c r="B33" s="940" t="inlineStr">
        <is>
          <t>chanhua</t>
        </is>
      </c>
      <c r="C33" s="940" t="n">
        <v>45909</v>
      </c>
      <c r="D33" s="938" t="inlineStr">
        <is>
          <t>新加坡比特</t>
        </is>
      </c>
      <c r="E33" s="941" t="inlineStr">
        <is>
          <t>ASECL</t>
        </is>
      </c>
      <c r="F33" s="941" t="inlineStr">
        <is>
          <t>BM1370PF</t>
        </is>
      </c>
      <c r="G33" s="938">
        <f>VLOOKUP(F33,编码对账表!C:D,2,0)</f>
        <v/>
      </c>
      <c r="H33" s="26" t="n">
        <v>220400</v>
      </c>
      <c r="I33" s="22" t="inlineStr">
        <is>
          <t>DPT202509260012</t>
        </is>
      </c>
      <c r="J33" s="948" t="inlineStr">
        <is>
          <t>‘1403250926160203</t>
        </is>
      </c>
      <c r="K33" s="942" t="inlineStr">
        <is>
          <t>泰国群光</t>
        </is>
      </c>
      <c r="L33" s="941" t="inlineStr">
        <is>
          <t>CHANHUA PTE. LTD.</t>
        </is>
      </c>
      <c r="M33" s="942" t="n">
        <v>10.0037</v>
      </c>
      <c r="N33" s="938" t="n"/>
      <c r="O33" s="30" t="n"/>
      <c r="P33" s="22" t="n"/>
      <c r="Q33" s="22" t="n"/>
      <c r="S33" s="22" t="n"/>
      <c r="T33" s="22" t="n"/>
      <c r="U33" s="943" t="n"/>
      <c r="V33" s="943" t="n"/>
      <c r="W33" s="943" t="n"/>
      <c r="X33" s="943" t="n"/>
      <c r="Y33" s="943" t="n"/>
    </row>
    <row r="34" customFormat="1" s="936">
      <c r="A34" s="2" t="n">
        <v>32</v>
      </c>
      <c r="B34" s="940" t="inlineStr">
        <is>
          <t>chanhua</t>
        </is>
      </c>
      <c r="C34" s="940" t="n">
        <v>45912</v>
      </c>
      <c r="D34" s="938" t="inlineStr">
        <is>
          <t>新加坡比特</t>
        </is>
      </c>
      <c r="E34" s="941" t="inlineStr">
        <is>
          <t>JSCC</t>
        </is>
      </c>
      <c r="F34" s="941" t="inlineStr">
        <is>
          <t>BM1370PF</t>
        </is>
      </c>
      <c r="G34" s="938">
        <f>VLOOKUP(F34,编码对账表!C:D,2,0)</f>
        <v/>
      </c>
      <c r="H34" s="26" t="n">
        <v>181955</v>
      </c>
      <c r="I34" s="22" t="inlineStr">
        <is>
          <t>DPT202509260013</t>
        </is>
      </c>
      <c r="J34" s="948" t="inlineStr">
        <is>
          <t>’1403250926160208</t>
        </is>
      </c>
      <c r="K34" s="942" t="inlineStr">
        <is>
          <t>泰国群光</t>
        </is>
      </c>
      <c r="L34" s="941" t="inlineStr">
        <is>
          <t>CHANHUA PTE. LTD.</t>
        </is>
      </c>
      <c r="M34" s="942" t="n">
        <v>10.0037</v>
      </c>
      <c r="N34" s="938" t="n"/>
      <c r="O34" s="30" t="n"/>
      <c r="P34" s="22" t="n"/>
      <c r="Q34" s="22" t="n"/>
      <c r="S34" s="22" t="n"/>
      <c r="T34" s="22" t="n"/>
      <c r="U34" s="943" t="n"/>
      <c r="V34" s="943" t="n"/>
      <c r="W34" s="943" t="n"/>
      <c r="X34" s="943" t="n"/>
      <c r="Y34" s="943" t="n"/>
    </row>
    <row r="35" customFormat="1" s="936">
      <c r="A35" s="2" t="n">
        <v>33</v>
      </c>
      <c r="B35" s="940" t="inlineStr">
        <is>
          <t>chanhua</t>
        </is>
      </c>
      <c r="C35" s="940" t="n">
        <v>45914</v>
      </c>
      <c r="D35" s="938" t="inlineStr">
        <is>
          <t>新加坡比特</t>
        </is>
      </c>
      <c r="E35" s="941" t="inlineStr">
        <is>
          <t>SPILSZ</t>
        </is>
      </c>
      <c r="F35" s="941" t="inlineStr">
        <is>
          <t>BM1370PF</t>
        </is>
      </c>
      <c r="G35" s="938">
        <f>VLOOKUP(F35,编码对账表!C:D,2,0)</f>
        <v/>
      </c>
      <c r="H35" s="26" t="n">
        <v>808330</v>
      </c>
      <c r="I35" s="22" t="inlineStr">
        <is>
          <t>DPT202509260014</t>
        </is>
      </c>
      <c r="J35" s="948" t="inlineStr">
        <is>
          <t>‘1403250926160213</t>
        </is>
      </c>
      <c r="K35" s="942" t="inlineStr">
        <is>
          <t>泰国群光</t>
        </is>
      </c>
      <c r="L35" s="941" t="inlineStr">
        <is>
          <t>CHANHUA PTE. LTD.</t>
        </is>
      </c>
      <c r="M35" s="942" t="n">
        <v>10.0037</v>
      </c>
      <c r="N35" s="938" t="n"/>
      <c r="O35" s="30" t="n"/>
      <c r="P35" s="22" t="n"/>
      <c r="Q35" s="22" t="n"/>
      <c r="S35" s="22" t="n"/>
      <c r="T35" s="22" t="n"/>
      <c r="U35" s="943" t="n"/>
      <c r="V35" s="943" t="n"/>
      <c r="W35" s="943" t="n"/>
      <c r="X35" s="943" t="n"/>
      <c r="Y35" s="943" t="n"/>
    </row>
    <row r="36" customFormat="1" s="936">
      <c r="A36" s="2" t="n">
        <v>34</v>
      </c>
      <c r="B36" s="940" t="inlineStr">
        <is>
          <t>chanhua</t>
        </is>
      </c>
      <c r="C36" s="940" t="n">
        <v>45914</v>
      </c>
      <c r="D36" s="938" t="inlineStr">
        <is>
          <t>新加坡比特</t>
        </is>
      </c>
      <c r="E36" s="941" t="inlineStr">
        <is>
          <t>NJ-VT</t>
        </is>
      </c>
      <c r="F36" s="941" t="inlineStr">
        <is>
          <t>BM1370PF</t>
        </is>
      </c>
      <c r="G36" s="938">
        <f>VLOOKUP(F36,编码对账表!C:D,2,0)</f>
        <v/>
      </c>
      <c r="H36" s="26" t="n">
        <v>118110</v>
      </c>
      <c r="I36" s="22" t="inlineStr">
        <is>
          <t>DPT202509260015</t>
        </is>
      </c>
      <c r="J36" s="948" t="inlineStr">
        <is>
          <t>’1403250926160220</t>
        </is>
      </c>
      <c r="K36" s="942" t="inlineStr">
        <is>
          <t>泰国群光</t>
        </is>
      </c>
      <c r="L36" s="941" t="inlineStr">
        <is>
          <t>CHANHUA PTE. LTD.</t>
        </is>
      </c>
      <c r="M36" s="942" t="n">
        <v>10.0037</v>
      </c>
      <c r="N36" s="938" t="n"/>
      <c r="O36" s="30" t="n"/>
      <c r="P36" s="22" t="n"/>
      <c r="Q36" s="22" t="n"/>
      <c r="S36" s="22" t="n"/>
      <c r="T36" s="22" t="n"/>
      <c r="U36" s="943" t="n"/>
      <c r="V36" s="943" t="n"/>
      <c r="W36" s="943" t="n"/>
      <c r="X36" s="943" t="n"/>
      <c r="Y36" s="943" t="n"/>
    </row>
    <row r="37" customFormat="1" s="936">
      <c r="A37" s="2" t="n">
        <v>35</v>
      </c>
      <c r="B37" s="940" t="inlineStr">
        <is>
          <t>chanhua</t>
        </is>
      </c>
      <c r="C37" s="940" t="n">
        <v>45914</v>
      </c>
      <c r="D37" s="938" t="inlineStr">
        <is>
          <t>新加坡比特</t>
        </is>
      </c>
      <c r="E37" s="941" t="inlineStr">
        <is>
          <t>WX-HN</t>
        </is>
      </c>
      <c r="F37" s="941" t="inlineStr">
        <is>
          <t>BM1370PF</t>
        </is>
      </c>
      <c r="G37" s="938">
        <f>VLOOKUP(F37,编码对账表!C:D,2,0)</f>
        <v/>
      </c>
      <c r="H37" s="26" t="n">
        <v>32126</v>
      </c>
      <c r="I37" s="622" t="inlineStr">
        <is>
          <t>202509221035552748</t>
        </is>
      </c>
      <c r="J37" s="623" t="inlineStr">
        <is>
          <t>202509221035552748</t>
        </is>
      </c>
      <c r="K37" s="942" t="inlineStr">
        <is>
          <t>泰国群光</t>
        </is>
      </c>
      <c r="L37" s="941" t="inlineStr">
        <is>
          <t>CHANHUA PTE. LTD.</t>
        </is>
      </c>
      <c r="M37" s="942" t="n">
        <v>10.0037</v>
      </c>
      <c r="N37" s="938" t="n"/>
      <c r="O37" s="30" t="n"/>
      <c r="P37" s="22" t="inlineStr">
        <is>
          <t>XAP</t>
        </is>
      </c>
      <c r="Q37" s="22" t="inlineStr">
        <is>
          <t>DPTQGYCL</t>
        </is>
      </c>
      <c r="S37" s="22" t="n"/>
      <c r="T37" s="22" t="n"/>
      <c r="U37" s="943" t="n"/>
      <c r="V37" s="943" t="n"/>
      <c r="W37" s="943" t="n"/>
      <c r="X37" s="943" t="n"/>
      <c r="Y37" s="943" t="n"/>
    </row>
    <row r="38" customFormat="1" s="936">
      <c r="A38" s="2" t="n">
        <v>36</v>
      </c>
      <c r="B38" s="940" t="inlineStr">
        <is>
          <t>chanhua</t>
        </is>
      </c>
      <c r="C38" s="940" t="n">
        <v>45926</v>
      </c>
      <c r="D38" s="938" t="inlineStr">
        <is>
          <t>新加坡比特</t>
        </is>
      </c>
      <c r="E38" s="941" t="inlineStr">
        <is>
          <t>ASECL</t>
        </is>
      </c>
      <c r="F38" s="941" t="inlineStr">
        <is>
          <t>BM1370BC</t>
        </is>
      </c>
      <c r="G38" s="938" t="inlineStr">
        <is>
          <t>Y31010527</t>
        </is>
      </c>
      <c r="H38" s="26" t="n">
        <v>36723</v>
      </c>
      <c r="I38" s="45" t="inlineStr">
        <is>
          <t>DPT202509260021</t>
        </is>
      </c>
      <c r="J38" s="46" t="inlineStr">
        <is>
          <t>1403251003133416</t>
        </is>
      </c>
      <c r="K38" s="942" t="inlineStr">
        <is>
          <t>PIE</t>
        </is>
      </c>
      <c r="L38" s="941" t="inlineStr">
        <is>
          <t>CHANHUA PTE. LTD.</t>
        </is>
      </c>
      <c r="M38" s="942" t="n">
        <v>10.0037</v>
      </c>
      <c r="N38" s="938" t="n"/>
      <c r="O38" s="30" t="n"/>
      <c r="P38" s="22" t="n"/>
      <c r="Q38" s="22" t="n"/>
      <c r="S38" s="22" t="n"/>
      <c r="T38" s="22" t="n"/>
      <c r="U38" s="943" t="n"/>
      <c r="V38" s="943" t="n"/>
      <c r="W38" s="943" t="n"/>
      <c r="X38" s="22" t="n"/>
      <c r="Y38" s="943" t="n"/>
    </row>
    <row r="39" customFormat="1" s="936">
      <c r="A39" s="2" t="n">
        <v>37</v>
      </c>
      <c r="B39" s="940" t="inlineStr">
        <is>
          <t>chanhua</t>
        </is>
      </c>
      <c r="C39" s="940" t="n">
        <v>45926</v>
      </c>
      <c r="D39" s="938" t="inlineStr">
        <is>
          <t>新加坡比特</t>
        </is>
      </c>
      <c r="E39" s="941" t="inlineStr">
        <is>
          <t>ASECL</t>
        </is>
      </c>
      <c r="F39" s="941" t="inlineStr">
        <is>
          <t>BM1370PA</t>
        </is>
      </c>
      <c r="G39" s="938" t="inlineStr">
        <is>
          <t>Y31010530</t>
        </is>
      </c>
      <c r="H39" s="26" t="n">
        <v>183308</v>
      </c>
      <c r="I39" s="45" t="inlineStr">
        <is>
          <t>DPT202509260022</t>
        </is>
      </c>
      <c r="J39" s="949" t="inlineStr">
        <is>
          <t>1403251003133424</t>
        </is>
      </c>
      <c r="K39" s="942" t="inlineStr">
        <is>
          <t>PIE</t>
        </is>
      </c>
      <c r="L39" s="941" t="inlineStr">
        <is>
          <t>CHANHUA PTE. LTD.</t>
        </is>
      </c>
      <c r="M39" s="942" t="n">
        <v>10.0037</v>
      </c>
      <c r="N39" s="938" t="n"/>
      <c r="O39" s="30" t="n"/>
      <c r="P39" s="22" t="n"/>
      <c r="Q39" s="22" t="n"/>
      <c r="S39" s="22" t="n"/>
      <c r="T39" s="22" t="n"/>
      <c r="U39" s="943" t="n"/>
      <c r="V39" s="943" t="n"/>
      <c r="W39" s="943" t="n"/>
      <c r="X39" s="22" t="n"/>
      <c r="Y39" s="943" t="n"/>
    </row>
    <row r="40" customFormat="1" s="936">
      <c r="A40" s="2" t="n">
        <v>38</v>
      </c>
      <c r="B40" s="940" t="inlineStr">
        <is>
          <t>chanhua</t>
        </is>
      </c>
      <c r="C40" s="940" t="n">
        <v>45926</v>
      </c>
      <c r="D40" s="938" t="inlineStr">
        <is>
          <t>新加坡比特</t>
        </is>
      </c>
      <c r="E40" s="941" t="inlineStr">
        <is>
          <t>ASECL</t>
        </is>
      </c>
      <c r="F40" s="941" t="inlineStr">
        <is>
          <t>BM1370PF</t>
        </is>
      </c>
      <c r="G40" s="938" t="inlineStr">
        <is>
          <t>Y31010536</t>
        </is>
      </c>
      <c r="H40" s="26" t="n">
        <v>64600</v>
      </c>
      <c r="I40" s="48" t="inlineStr">
        <is>
          <t>DPT202509260023</t>
        </is>
      </c>
      <c r="J40" s="950" t="inlineStr">
        <is>
          <t>1403251003133427</t>
        </is>
      </c>
      <c r="K40" s="942" t="inlineStr">
        <is>
          <t>PIE</t>
        </is>
      </c>
      <c r="L40" s="941" t="inlineStr">
        <is>
          <t>CHANHUA PTE. LTD.</t>
        </is>
      </c>
      <c r="M40" s="942" t="n">
        <v>10.0037</v>
      </c>
      <c r="N40" s="938" t="n"/>
      <c r="O40" s="30" t="n"/>
      <c r="P40" s="22" t="n"/>
      <c r="Q40" s="22" t="n"/>
      <c r="S40" s="22" t="n"/>
      <c r="T40" s="22" t="n"/>
      <c r="U40" s="943" t="n"/>
      <c r="V40" s="943" t="n"/>
      <c r="W40" s="943" t="n"/>
      <c r="X40" s="23" t="n"/>
      <c r="Y40" s="943" t="n"/>
    </row>
    <row r="41" customFormat="1" s="936">
      <c r="A41" s="2" t="n">
        <v>39</v>
      </c>
      <c r="B41" s="940" t="inlineStr">
        <is>
          <t>chanhua</t>
        </is>
      </c>
      <c r="C41" s="940" t="n">
        <v>45926</v>
      </c>
      <c r="D41" s="938" t="inlineStr">
        <is>
          <t>新加坡比特</t>
        </is>
      </c>
      <c r="E41" s="941" t="inlineStr">
        <is>
          <t>ASECL</t>
        </is>
      </c>
      <c r="F41" s="941" t="inlineStr">
        <is>
          <t>BM1370PA</t>
        </is>
      </c>
      <c r="G41" s="938" t="inlineStr">
        <is>
          <t>Y31010530</t>
        </is>
      </c>
      <c r="H41" s="26" t="n">
        <v>38000</v>
      </c>
      <c r="I41" s="45" t="inlineStr">
        <is>
          <t>DPT202509260024</t>
        </is>
      </c>
      <c r="J41" s="950" t="inlineStr">
        <is>
          <t>1403251003133434</t>
        </is>
      </c>
      <c r="K41" s="942" t="inlineStr">
        <is>
          <t>印尼奥海</t>
        </is>
      </c>
      <c r="L41" s="941" t="inlineStr">
        <is>
          <t>CHANHUA PTE. LTD.</t>
        </is>
      </c>
      <c r="M41" s="942" t="n">
        <v>10.0037</v>
      </c>
      <c r="N41" s="938" t="n"/>
      <c r="O41" s="30" t="n"/>
      <c r="P41" s="22" t="n"/>
      <c r="Q41" s="22" t="n"/>
      <c r="S41" s="22" t="n"/>
      <c r="T41" s="22" t="n"/>
      <c r="U41" s="943" t="n"/>
      <c r="V41" s="943" t="n"/>
      <c r="W41" s="943" t="n"/>
      <c r="X41" s="22" t="n"/>
      <c r="Y41" s="943" t="n"/>
    </row>
    <row r="42" customFormat="1" s="936">
      <c r="A42" s="2" t="n">
        <v>40</v>
      </c>
      <c r="B42" s="940" t="inlineStr">
        <is>
          <t>chanhua</t>
        </is>
      </c>
      <c r="C42" s="940" t="n">
        <v>45926</v>
      </c>
      <c r="D42" s="938" t="inlineStr">
        <is>
          <t>新加坡比特</t>
        </is>
      </c>
      <c r="E42" s="941" t="inlineStr">
        <is>
          <t>JSCC</t>
        </is>
      </c>
      <c r="F42" s="941" t="inlineStr">
        <is>
          <t>BM1370BC</t>
        </is>
      </c>
      <c r="G42" s="938" t="inlineStr">
        <is>
          <t>Y31010527</t>
        </is>
      </c>
      <c r="H42" s="26" t="n">
        <v>110703</v>
      </c>
      <c r="I42" s="45" t="inlineStr">
        <is>
          <t>DPT202509260025</t>
        </is>
      </c>
      <c r="J42" s="950" t="inlineStr">
        <is>
          <t>1403251003133440</t>
        </is>
      </c>
      <c r="K42" s="942" t="inlineStr">
        <is>
          <t>PIE</t>
        </is>
      </c>
      <c r="L42" s="941" t="inlineStr">
        <is>
          <t>CHANHUA PTE. LTD.</t>
        </is>
      </c>
      <c r="M42" s="942" t="n">
        <v>10.0037</v>
      </c>
      <c r="N42" s="938" t="n"/>
      <c r="O42" s="30" t="n"/>
      <c r="P42" s="22" t="n"/>
      <c r="Q42" s="22" t="n"/>
      <c r="S42" s="22" t="n"/>
      <c r="T42" s="22" t="n"/>
      <c r="U42" s="943" t="n"/>
      <c r="V42" s="943" t="n"/>
      <c r="W42" s="943" t="n"/>
      <c r="X42" s="22" t="n"/>
      <c r="Y42" s="943" t="n"/>
    </row>
    <row r="43" customFormat="1" s="936">
      <c r="A43" s="2" t="n">
        <v>41</v>
      </c>
      <c r="B43" s="940" t="inlineStr">
        <is>
          <t>chanhua</t>
        </is>
      </c>
      <c r="C43" s="940" t="n">
        <v>45926</v>
      </c>
      <c r="D43" s="938" t="inlineStr">
        <is>
          <t>新加坡比特</t>
        </is>
      </c>
      <c r="E43" s="941" t="inlineStr">
        <is>
          <t>JSCC</t>
        </is>
      </c>
      <c r="F43" s="941" t="inlineStr">
        <is>
          <t>BM1370PF</t>
        </is>
      </c>
      <c r="G43" s="938" t="inlineStr">
        <is>
          <t>Y31010536</t>
        </is>
      </c>
      <c r="H43" s="26" t="n">
        <v>47801</v>
      </c>
      <c r="I43" s="45" t="inlineStr">
        <is>
          <t>DPT202509260026</t>
        </is>
      </c>
      <c r="J43" s="950" t="inlineStr">
        <is>
          <t>1403251003133451</t>
        </is>
      </c>
      <c r="K43" s="942" t="inlineStr">
        <is>
          <t>PIE</t>
        </is>
      </c>
      <c r="L43" s="941" t="inlineStr">
        <is>
          <t>CHANHUA PTE. LTD.</t>
        </is>
      </c>
      <c r="M43" s="942" t="n">
        <v>10.0037</v>
      </c>
      <c r="N43" s="938" t="n"/>
      <c r="O43" s="30" t="n"/>
      <c r="P43" s="22" t="n"/>
      <c r="Q43" s="22" t="n"/>
      <c r="S43" s="22" t="n"/>
      <c r="T43" s="22" t="n"/>
      <c r="U43" s="943" t="n"/>
      <c r="V43" s="943" t="n"/>
      <c r="W43" s="943" t="n"/>
      <c r="X43" s="22" t="n"/>
      <c r="Y43" s="943" t="n"/>
    </row>
    <row r="44" customFormat="1" s="936">
      <c r="A44" s="2" t="n">
        <v>42</v>
      </c>
      <c r="B44" s="940" t="inlineStr">
        <is>
          <t>chanhua</t>
        </is>
      </c>
      <c r="C44" s="940" t="n">
        <v>45926</v>
      </c>
      <c r="D44" s="938" t="inlineStr">
        <is>
          <t>新加坡比特</t>
        </is>
      </c>
      <c r="E44" s="941" t="inlineStr">
        <is>
          <t>JSCC</t>
        </is>
      </c>
      <c r="F44" s="941" t="inlineStr">
        <is>
          <t>BM1370PM</t>
        </is>
      </c>
      <c r="G44" s="938" t="inlineStr">
        <is>
          <t>Y31010533</t>
        </is>
      </c>
      <c r="H44" s="26" t="n">
        <v>251467</v>
      </c>
      <c r="I44" s="45" t="inlineStr">
        <is>
          <t>DPT202509260027</t>
        </is>
      </c>
      <c r="J44" s="950" t="inlineStr">
        <is>
          <t>1403251003133458</t>
        </is>
      </c>
      <c r="K44" s="942" t="inlineStr">
        <is>
          <t>泰国ONETEC</t>
        </is>
      </c>
      <c r="L44" s="941" t="inlineStr">
        <is>
          <t>CHANHUA PTE. LTD.</t>
        </is>
      </c>
      <c r="M44" s="942" t="n">
        <v>8.558</v>
      </c>
      <c r="N44" s="938" t="n"/>
      <c r="O44" s="30" t="n"/>
      <c r="P44" s="22" t="n"/>
      <c r="Q44" s="22" t="n"/>
      <c r="S44" s="22" t="n"/>
      <c r="T44" s="22" t="n"/>
      <c r="U44" s="943" t="n"/>
      <c r="V44" s="943" t="n"/>
      <c r="W44" s="943" t="n"/>
      <c r="X44" s="22" t="n"/>
      <c r="Y44" s="943" t="n"/>
    </row>
    <row r="45" customFormat="1" s="936">
      <c r="A45" s="2" t="n">
        <v>43</v>
      </c>
      <c r="B45" s="940" t="inlineStr">
        <is>
          <t>chanhua</t>
        </is>
      </c>
      <c r="C45" s="940" t="n">
        <v>45926</v>
      </c>
      <c r="D45" s="938" t="inlineStr">
        <is>
          <t>新加坡比特</t>
        </is>
      </c>
      <c r="E45" s="941" t="inlineStr">
        <is>
          <t>JSCC</t>
        </is>
      </c>
      <c r="F45" s="941" t="inlineStr">
        <is>
          <t>BM1370PA</t>
        </is>
      </c>
      <c r="G45" s="938" t="inlineStr">
        <is>
          <t>Y31010530</t>
        </is>
      </c>
      <c r="H45" s="26" t="n">
        <v>60561</v>
      </c>
      <c r="I45" s="45" t="inlineStr">
        <is>
          <t>DPT202509260028</t>
        </is>
      </c>
      <c r="J45" s="950" t="inlineStr">
        <is>
          <t>1403251003133504</t>
        </is>
      </c>
      <c r="K45" s="942" t="inlineStr">
        <is>
          <t>印尼奥海</t>
        </is>
      </c>
      <c r="L45" s="941" t="inlineStr">
        <is>
          <t>CHANHUA PTE. LTD.</t>
        </is>
      </c>
      <c r="M45" s="942" t="n">
        <v>10.0037</v>
      </c>
      <c r="N45" s="938" t="n"/>
      <c r="O45" s="30" t="n"/>
      <c r="P45" s="22" t="n"/>
      <c r="Q45" s="22" t="n"/>
      <c r="S45" s="22" t="n"/>
      <c r="T45" s="22" t="n"/>
      <c r="U45" s="943" t="n"/>
      <c r="V45" s="943" t="n"/>
      <c r="W45" s="943" t="n"/>
      <c r="X45" s="22" t="n"/>
      <c r="Y45" s="943" t="n"/>
    </row>
    <row r="46" customFormat="1" s="936">
      <c r="A46" s="2" t="n">
        <v>44</v>
      </c>
      <c r="B46" s="940" t="inlineStr">
        <is>
          <t>chanhua</t>
        </is>
      </c>
      <c r="C46" s="940" t="n">
        <v>45926</v>
      </c>
      <c r="D46" s="938" t="inlineStr">
        <is>
          <t>新加坡比特</t>
        </is>
      </c>
      <c r="E46" s="941" t="inlineStr">
        <is>
          <t>SPILSZ</t>
        </is>
      </c>
      <c r="F46" s="941" t="inlineStr">
        <is>
          <t>BM1370PF</t>
        </is>
      </c>
      <c r="G46" s="938" t="inlineStr">
        <is>
          <t>Y31010536</t>
        </is>
      </c>
      <c r="H46" s="26" t="n">
        <v>858800</v>
      </c>
      <c r="I46" s="45" t="inlineStr">
        <is>
          <t>DPT202509260029</t>
        </is>
      </c>
      <c r="J46" s="950" t="inlineStr">
        <is>
          <t>1403251003133511</t>
        </is>
      </c>
      <c r="K46" s="942" t="inlineStr">
        <is>
          <t>MOLT</t>
        </is>
      </c>
      <c r="L46" s="941" t="inlineStr">
        <is>
          <t>CHANHUA PTE. LTD.</t>
        </is>
      </c>
      <c r="M46" s="942" t="n">
        <v>10.0037</v>
      </c>
      <c r="N46" s="938" t="n"/>
      <c r="O46" s="30" t="n"/>
      <c r="P46" s="22" t="n"/>
      <c r="Q46" s="22" t="n"/>
      <c r="S46" s="22" t="n"/>
      <c r="T46" s="22" t="n"/>
      <c r="U46" s="943" t="n"/>
      <c r="V46" s="943" t="n"/>
      <c r="W46" s="943" t="n"/>
      <c r="X46" s="22" t="n"/>
      <c r="Y46" s="943" t="n"/>
    </row>
    <row r="47" customFormat="1" s="936">
      <c r="A47" s="2" t="n">
        <v>45</v>
      </c>
      <c r="B47" s="940" t="inlineStr">
        <is>
          <t>chanhua</t>
        </is>
      </c>
      <c r="C47" s="940" t="n">
        <v>45926</v>
      </c>
      <c r="D47" s="938" t="inlineStr">
        <is>
          <t>新加坡比特</t>
        </is>
      </c>
      <c r="E47" s="941" t="inlineStr">
        <is>
          <t>SPILSZ</t>
        </is>
      </c>
      <c r="F47" s="941" t="inlineStr">
        <is>
          <t>BM1370PF</t>
        </is>
      </c>
      <c r="G47" s="938" t="inlineStr">
        <is>
          <t>Y31010536</t>
        </is>
      </c>
      <c r="H47" s="26" t="n">
        <v>106400</v>
      </c>
      <c r="I47" s="45" t="inlineStr">
        <is>
          <t>DPT202509260031</t>
        </is>
      </c>
      <c r="J47" s="950" t="inlineStr">
        <is>
          <t>1403251003133517</t>
        </is>
      </c>
      <c r="K47" s="942" t="inlineStr">
        <is>
          <t>PIE</t>
        </is>
      </c>
      <c r="L47" s="941" t="inlineStr">
        <is>
          <t>CHANHUA PTE. LTD.</t>
        </is>
      </c>
      <c r="M47" s="942" t="n">
        <v>10.0037</v>
      </c>
      <c r="N47" s="938" t="n"/>
      <c r="O47" s="30" t="n"/>
      <c r="P47" s="22" t="n"/>
      <c r="Q47" s="22" t="n"/>
      <c r="S47" s="22" t="n"/>
      <c r="T47" s="22" t="n"/>
      <c r="U47" s="943" t="n"/>
      <c r="V47" s="943" t="n"/>
      <c r="W47" s="943" t="n"/>
      <c r="X47" s="22" t="n"/>
      <c r="Y47" s="943" t="n"/>
    </row>
    <row r="48" customFormat="1" s="936">
      <c r="A48" s="2" t="n">
        <v>46</v>
      </c>
      <c r="B48" s="940" t="inlineStr">
        <is>
          <t>chanhua</t>
        </is>
      </c>
      <c r="C48" s="940" t="n">
        <v>45926</v>
      </c>
      <c r="D48" s="938" t="inlineStr">
        <is>
          <t>新加坡比特</t>
        </is>
      </c>
      <c r="E48" s="941" t="inlineStr">
        <is>
          <t>SPILSZ</t>
        </is>
      </c>
      <c r="F48" s="941" t="inlineStr">
        <is>
          <t>BM1370PA</t>
        </is>
      </c>
      <c r="G48" s="938" t="inlineStr">
        <is>
          <t>Y31010530</t>
        </is>
      </c>
      <c r="H48" s="26" t="n">
        <v>202052</v>
      </c>
      <c r="I48" s="45" t="inlineStr">
        <is>
          <t>DPT202509260032</t>
        </is>
      </c>
      <c r="J48" s="950" t="inlineStr">
        <is>
          <t>1403251003133525</t>
        </is>
      </c>
      <c r="K48" s="942" t="inlineStr">
        <is>
          <t>THQG</t>
        </is>
      </c>
      <c r="L48" s="941" t="inlineStr">
        <is>
          <t>CHANHUA PTE. LTD.</t>
        </is>
      </c>
      <c r="M48" s="942" t="n">
        <v>10.0037</v>
      </c>
      <c r="N48" s="938" t="n"/>
      <c r="O48" s="30" t="n"/>
      <c r="P48" s="22" t="n"/>
      <c r="Q48" s="22" t="n"/>
      <c r="S48" s="22" t="n"/>
      <c r="T48" s="22" t="n"/>
      <c r="U48" s="943" t="n"/>
      <c r="V48" s="943" t="n"/>
      <c r="W48" s="943" t="n"/>
      <c r="X48" s="22" t="n"/>
      <c r="Y48" s="943" t="n"/>
    </row>
    <row r="49" customFormat="1" s="936">
      <c r="A49" s="2" t="n">
        <v>47</v>
      </c>
      <c r="B49" s="940" t="inlineStr">
        <is>
          <t>chanhua</t>
        </is>
      </c>
      <c r="C49" s="940" t="n">
        <v>45926</v>
      </c>
      <c r="D49" s="938" t="inlineStr">
        <is>
          <t>新加坡比特</t>
        </is>
      </c>
      <c r="E49" s="941" t="inlineStr">
        <is>
          <t>SPILSZ</t>
        </is>
      </c>
      <c r="F49" s="941" t="inlineStr">
        <is>
          <t>BM1370PF</t>
        </is>
      </c>
      <c r="G49" s="938" t="inlineStr">
        <is>
          <t>Y31010536</t>
        </is>
      </c>
      <c r="H49" s="26" t="n">
        <v>706768</v>
      </c>
      <c r="I49" s="45" t="inlineStr">
        <is>
          <t>DPT202509260033</t>
        </is>
      </c>
      <c r="J49" s="950" t="inlineStr">
        <is>
          <t>1403251003133532</t>
        </is>
      </c>
      <c r="K49" s="942" t="inlineStr">
        <is>
          <t>THQG</t>
        </is>
      </c>
      <c r="L49" s="941" t="inlineStr">
        <is>
          <t>CHANHUA PTE. LTD.</t>
        </is>
      </c>
      <c r="M49" s="942" t="n">
        <v>10.0037</v>
      </c>
      <c r="N49" s="938" t="n"/>
      <c r="O49" s="30" t="n"/>
      <c r="P49" s="22" t="n"/>
      <c r="Q49" s="22" t="n"/>
      <c r="S49" s="22" t="n"/>
      <c r="T49" s="22" t="n"/>
      <c r="U49" s="943" t="n"/>
      <c r="V49" s="943" t="n"/>
      <c r="W49" s="943" t="n"/>
      <c r="X49" s="22" t="n"/>
      <c r="Y49" s="943" t="n"/>
    </row>
    <row r="50" customFormat="1" s="936">
      <c r="A50" s="2" t="n">
        <v>48</v>
      </c>
      <c r="B50" s="940" t="inlineStr">
        <is>
          <t>chanhua</t>
        </is>
      </c>
      <c r="C50" s="940" t="n">
        <v>45927</v>
      </c>
      <c r="D50" s="938" t="inlineStr">
        <is>
          <t>新加坡比特</t>
        </is>
      </c>
      <c r="E50" s="941" t="inlineStr">
        <is>
          <t>XJ</t>
        </is>
      </c>
      <c r="F50" s="941" t="inlineStr">
        <is>
          <t>BM1370PF</t>
        </is>
      </c>
      <c r="G50" s="938" t="inlineStr">
        <is>
          <t>Y31010536</t>
        </is>
      </c>
      <c r="H50" s="26" t="n">
        <v>329069</v>
      </c>
      <c r="I50" s="45" t="inlineStr">
        <is>
          <t>DPT202509270011</t>
        </is>
      </c>
      <c r="J50" s="949" t="inlineStr">
        <is>
          <t>1403251003133539</t>
        </is>
      </c>
      <c r="K50" s="942" t="inlineStr">
        <is>
          <t>Nationgate</t>
        </is>
      </c>
      <c r="L50" s="941" t="inlineStr">
        <is>
          <t>CHANHUA PTE. LTD.</t>
        </is>
      </c>
      <c r="M50" s="942" t="n">
        <v>10.0037</v>
      </c>
      <c r="N50" s="938" t="n"/>
      <c r="O50" s="30" t="n"/>
      <c r="P50" s="22" t="n"/>
      <c r="Q50" s="22" t="n"/>
      <c r="S50" s="22" t="n"/>
      <c r="T50" s="22" t="n"/>
      <c r="U50" s="943" t="n"/>
      <c r="V50" s="943" t="n"/>
      <c r="W50" s="943" t="n"/>
      <c r="X50" s="22" t="n"/>
      <c r="Y50" s="943" t="n"/>
    </row>
    <row r="51" customFormat="1" s="936">
      <c r="A51" s="2" t="n">
        <v>49</v>
      </c>
      <c r="B51" s="940" t="inlineStr">
        <is>
          <t>chanhua</t>
        </is>
      </c>
      <c r="C51" s="940" t="n">
        <v>45927</v>
      </c>
      <c r="D51" s="938" t="inlineStr">
        <is>
          <t>新加坡比特</t>
        </is>
      </c>
      <c r="E51" s="941" t="inlineStr">
        <is>
          <t>XJ</t>
        </is>
      </c>
      <c r="F51" s="941" t="inlineStr">
        <is>
          <t>BM1370PF</t>
        </is>
      </c>
      <c r="G51" s="938" t="inlineStr">
        <is>
          <t>Y31010536</t>
        </is>
      </c>
      <c r="H51" s="26" t="n">
        <v>71059</v>
      </c>
      <c r="I51" s="45" t="inlineStr">
        <is>
          <t>DPT202509270012</t>
        </is>
      </c>
      <c r="J51" s="949" t="inlineStr">
        <is>
          <t>1403251003133547</t>
        </is>
      </c>
      <c r="K51" s="942" t="inlineStr">
        <is>
          <t>PIE</t>
        </is>
      </c>
      <c r="L51" s="941" t="inlineStr">
        <is>
          <t>CHANHUA PTE. LTD.</t>
        </is>
      </c>
      <c r="M51" s="942" t="n">
        <v>10.0037</v>
      </c>
      <c r="N51" s="938" t="n"/>
      <c r="O51" s="30" t="n"/>
      <c r="P51" s="22" t="n"/>
      <c r="Q51" s="22" t="n"/>
      <c r="S51" s="22" t="n"/>
      <c r="T51" s="22" t="n"/>
      <c r="U51" s="943" t="n"/>
      <c r="V51" s="943" t="n"/>
      <c r="W51" s="943" t="n"/>
      <c r="X51" s="22" t="n"/>
      <c r="Y51" s="943" t="n"/>
    </row>
    <row r="52" customFormat="1" s="936">
      <c r="A52" s="2" t="n">
        <v>50</v>
      </c>
      <c r="B52" s="940" t="inlineStr">
        <is>
          <t>chanhua</t>
        </is>
      </c>
      <c r="C52" s="940" t="n">
        <v>45927</v>
      </c>
      <c r="D52" s="938" t="inlineStr">
        <is>
          <t>新加坡比特</t>
        </is>
      </c>
      <c r="E52" s="941" t="inlineStr">
        <is>
          <t>XJ</t>
        </is>
      </c>
      <c r="F52" s="941" t="inlineStr">
        <is>
          <t>BM1370PF</t>
        </is>
      </c>
      <c r="G52" s="938" t="inlineStr">
        <is>
          <t>Y31010536</t>
        </is>
      </c>
      <c r="H52" s="26" t="n">
        <v>101833</v>
      </c>
      <c r="I52" s="45" t="inlineStr">
        <is>
          <t>DPT202509270013</t>
        </is>
      </c>
      <c r="J52" s="949" t="inlineStr">
        <is>
          <t>1403251003133553</t>
        </is>
      </c>
      <c r="K52" s="942" t="inlineStr">
        <is>
          <t>泰国群光</t>
        </is>
      </c>
      <c r="L52" s="941" t="inlineStr">
        <is>
          <t>CHANHUA PTE. LTD.</t>
        </is>
      </c>
      <c r="M52" s="942" t="n">
        <v>10.0037</v>
      </c>
      <c r="N52" s="938" t="n"/>
      <c r="O52" s="30" t="n"/>
      <c r="P52" s="22" t="n"/>
      <c r="Q52" s="22" t="n"/>
      <c r="S52" s="22" t="n"/>
      <c r="T52" s="22" t="n"/>
      <c r="U52" s="943" t="n"/>
      <c r="V52" s="943" t="n"/>
      <c r="W52" s="943" t="n"/>
      <c r="X52" s="22" t="n"/>
      <c r="Y52" s="943" t="n"/>
    </row>
    <row r="53" customFormat="1" s="936">
      <c r="A53" s="2" t="n">
        <v>51</v>
      </c>
      <c r="B53" s="940" t="inlineStr">
        <is>
          <t>chanhua</t>
        </is>
      </c>
      <c r="C53" s="940" t="n">
        <v>45929</v>
      </c>
      <c r="D53" s="938" t="inlineStr">
        <is>
          <t>新加坡比特</t>
        </is>
      </c>
      <c r="E53" s="941" t="inlineStr">
        <is>
          <t>XJ</t>
        </is>
      </c>
      <c r="F53" s="941" t="inlineStr">
        <is>
          <t>BM1370PF</t>
        </is>
      </c>
      <c r="G53" s="938" t="inlineStr">
        <is>
          <t>Y31010536</t>
        </is>
      </c>
      <c r="H53" s="26" t="n">
        <v>1169301</v>
      </c>
      <c r="I53" s="45" t="inlineStr">
        <is>
          <t>DPT202509290011</t>
        </is>
      </c>
      <c r="J53" s="949" t="inlineStr">
        <is>
          <t>1403251003133600</t>
        </is>
      </c>
      <c r="K53" s="942" t="inlineStr">
        <is>
          <t>印尼奥海</t>
        </is>
      </c>
      <c r="L53" s="941" t="inlineStr">
        <is>
          <t>CHANHUA PTE. LTD.</t>
        </is>
      </c>
      <c r="M53" s="942" t="n">
        <v>10.0037</v>
      </c>
      <c r="N53" s="938" t="n"/>
      <c r="O53" s="30" t="n"/>
      <c r="P53" s="22" t="n"/>
      <c r="Q53" s="22" t="n"/>
      <c r="S53" s="22" t="n"/>
      <c r="T53" s="22" t="n"/>
      <c r="U53" s="943" t="n"/>
      <c r="V53" s="943" t="n"/>
      <c r="W53" s="943" t="n"/>
      <c r="X53" s="22" t="n"/>
      <c r="Y53" s="943" t="n"/>
    </row>
    <row r="54" customFormat="1" s="936">
      <c r="A54" s="2" t="n">
        <v>52</v>
      </c>
      <c r="B54" s="940" t="inlineStr">
        <is>
          <t>chanhua</t>
        </is>
      </c>
      <c r="C54" s="940" t="n">
        <v>45930</v>
      </c>
      <c r="D54" s="938" t="inlineStr">
        <is>
          <t>新加坡比特</t>
        </is>
      </c>
      <c r="E54" s="941" t="inlineStr">
        <is>
          <t>XJ</t>
        </is>
      </c>
      <c r="F54" s="941" t="inlineStr">
        <is>
          <t>BM1370PA</t>
        </is>
      </c>
      <c r="G54" s="938" t="inlineStr">
        <is>
          <t>Y31010530</t>
        </is>
      </c>
      <c r="H54" s="26" t="n">
        <v>772888</v>
      </c>
      <c r="I54" s="45" t="inlineStr">
        <is>
          <t>DPT202509300011</t>
        </is>
      </c>
      <c r="J54" s="949" t="inlineStr">
        <is>
          <t>1403251003133608</t>
        </is>
      </c>
      <c r="K54" s="942" t="inlineStr">
        <is>
          <t>Nationgate</t>
        </is>
      </c>
      <c r="L54" s="941" t="inlineStr">
        <is>
          <t>CHANHUA PTE. LTD.</t>
        </is>
      </c>
      <c r="M54" s="942" t="n">
        <v>10.0037</v>
      </c>
      <c r="N54" s="938" t="inlineStr">
        <is>
          <t>是</t>
        </is>
      </c>
      <c r="O54" s="30" t="n"/>
      <c r="P54" s="22" t="n"/>
      <c r="Q54" s="22" t="n"/>
      <c r="S54" s="22" t="n"/>
      <c r="T54" s="22" t="n"/>
      <c r="U54" s="943" t="n"/>
      <c r="V54" s="943" t="n"/>
      <c r="W54" s="943" t="n"/>
      <c r="X54" s="22" t="n"/>
      <c r="Y54" s="943" t="n"/>
    </row>
    <row r="55" customFormat="1" s="936">
      <c r="A55" s="2" t="n">
        <v>55</v>
      </c>
      <c r="B55" s="940" t="inlineStr">
        <is>
          <t>chanhua</t>
        </is>
      </c>
      <c r="C55" s="940" t="n">
        <v>45931</v>
      </c>
      <c r="D55" s="938" t="inlineStr">
        <is>
          <t>新加坡比特</t>
        </is>
      </c>
      <c r="E55" s="941" t="inlineStr">
        <is>
          <t>SPILSZ</t>
        </is>
      </c>
      <c r="F55" s="941" t="inlineStr">
        <is>
          <t>BM1370PF</t>
        </is>
      </c>
      <c r="G55" s="938" t="inlineStr">
        <is>
          <t>Y31010536</t>
        </is>
      </c>
      <c r="H55" s="26" t="n">
        <v>254600</v>
      </c>
      <c r="I55" s="45" t="inlineStr">
        <is>
          <t>DPT202510010013</t>
        </is>
      </c>
      <c r="J55" s="949" t="inlineStr">
        <is>
          <t>1403251003133624</t>
        </is>
      </c>
      <c r="K55" s="942" t="inlineStr">
        <is>
          <t>MOLT</t>
        </is>
      </c>
      <c r="L55" s="941" t="inlineStr">
        <is>
          <t>CHANHUA PTE. LTD.</t>
        </is>
      </c>
      <c r="M55" s="942" t="n">
        <v>10.0037</v>
      </c>
      <c r="N55" s="938" t="n"/>
      <c r="O55" s="30" t="n"/>
      <c r="P55" s="22" t="n"/>
      <c r="Q55" s="22" t="n"/>
      <c r="S55" s="22" t="n"/>
      <c r="T55" s="22" t="n"/>
      <c r="U55" s="943" t="n"/>
      <c r="V55" s="943" t="n"/>
      <c r="W55" s="943" t="n"/>
      <c r="X55" s="22" t="n"/>
      <c r="Y55" s="943" t="n"/>
    </row>
    <row r="56" customFormat="1" s="936">
      <c r="A56" s="2" t="n">
        <v>56</v>
      </c>
      <c r="B56" s="940" t="inlineStr">
        <is>
          <t>chanhua</t>
        </is>
      </c>
      <c r="C56" s="940" t="n">
        <v>45931</v>
      </c>
      <c r="D56" s="938" t="inlineStr">
        <is>
          <t>新加坡比特</t>
        </is>
      </c>
      <c r="E56" s="941" t="inlineStr">
        <is>
          <t>SPILSZ</t>
        </is>
      </c>
      <c r="F56" s="941" t="inlineStr">
        <is>
          <t>BM1370PF</t>
        </is>
      </c>
      <c r="G56" s="938" t="inlineStr">
        <is>
          <t>Y31010536</t>
        </is>
      </c>
      <c r="H56" s="26" t="n">
        <v>57000</v>
      </c>
      <c r="I56" s="45" t="inlineStr">
        <is>
          <t>DPT202510010014</t>
        </is>
      </c>
      <c r="J56" s="949" t="inlineStr">
        <is>
          <t>1403251003133629</t>
        </is>
      </c>
      <c r="K56" s="942" t="inlineStr">
        <is>
          <t>Nationgate</t>
        </is>
      </c>
      <c r="L56" s="941" t="inlineStr">
        <is>
          <t>CHANHUA PTE. LTD.</t>
        </is>
      </c>
      <c r="M56" s="942" t="n">
        <v>10.0037</v>
      </c>
      <c r="N56" s="938" t="n"/>
      <c r="O56" s="30" t="n"/>
      <c r="P56" s="22" t="n"/>
      <c r="Q56" s="22" t="n"/>
      <c r="S56" s="22" t="n"/>
      <c r="T56" s="22" t="n"/>
      <c r="U56" s="943" t="n"/>
      <c r="V56" s="943" t="n"/>
      <c r="W56" s="943" t="n"/>
      <c r="X56" s="22" t="n"/>
      <c r="Y56" s="943" t="n"/>
    </row>
    <row r="57" customFormat="1" s="936">
      <c r="A57" s="2" t="n">
        <v>57</v>
      </c>
      <c r="B57" s="940" t="inlineStr">
        <is>
          <t>chanhua</t>
        </is>
      </c>
      <c r="C57" s="940" t="n">
        <v>45931</v>
      </c>
      <c r="D57" s="938" t="inlineStr">
        <is>
          <t>新加坡比特</t>
        </is>
      </c>
      <c r="E57" s="941" t="inlineStr">
        <is>
          <t>SPILSZ</t>
        </is>
      </c>
      <c r="F57" s="941" t="inlineStr">
        <is>
          <t>BM1370PF</t>
        </is>
      </c>
      <c r="G57" s="938" t="inlineStr">
        <is>
          <t>Y31010536</t>
        </is>
      </c>
      <c r="H57" s="26" t="n">
        <v>516800</v>
      </c>
      <c r="I57" s="45" t="inlineStr">
        <is>
          <t>DPT202510010015</t>
        </is>
      </c>
      <c r="J57" s="949" t="inlineStr">
        <is>
          <t>1403251003133637</t>
        </is>
      </c>
      <c r="K57" s="942" t="inlineStr">
        <is>
          <t>PIE</t>
        </is>
      </c>
      <c r="L57" s="941" t="inlineStr">
        <is>
          <t>CHANHUA PTE. LTD.</t>
        </is>
      </c>
      <c r="M57" s="942" t="n">
        <v>10.0037</v>
      </c>
      <c r="N57" s="938" t="n"/>
      <c r="O57" s="30" t="n"/>
      <c r="P57" s="22" t="n"/>
      <c r="Q57" s="22" t="n"/>
      <c r="S57" s="22" t="n"/>
      <c r="T57" s="22" t="n"/>
      <c r="U57" s="943" t="n"/>
      <c r="V57" s="943" t="n"/>
      <c r="W57" s="943" t="n"/>
      <c r="X57" s="22" t="n"/>
      <c r="Y57" s="943" t="n"/>
    </row>
    <row r="58">
      <c r="T58" s="22" t="n"/>
    </row>
    <row r="59">
      <c r="T59" s="22" t="n"/>
    </row>
    <row r="60">
      <c r="T60" s="22" t="n"/>
    </row>
    <row r="61">
      <c r="T61" s="22" t="n"/>
    </row>
    <row r="62">
      <c r="T62" s="22" t="n"/>
    </row>
  </sheetData>
  <autoFilter ref="A2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陈哲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2026-05-22T11:16:20Z</dcterms:modified>
  <cp:lastModifiedBy>小穆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B6BC43FB29CF4669B5FE761F143A4AE8_13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5B77E7CEEC58BC6AFAE8886BEB80DBEB" fmtid="{D5CDD505-2E9C-101B-9397-08002B2CF9AE}" pid="4">
    <vt:lpwstr xmlns:vt="http://schemas.openxmlformats.org/officeDocument/2006/docPropsVTypes">otCYQxs9Dbw2bUEn/Soxv9pYAoWsCRIsU8+gIbxzzmNcJN13+qHIPyWmbF9hFzPHyi2m8DLwi54E5OVVM5pJ0yGmgAiYTaR6oYUdYZxdjep6I9xviFUFZ9aTScfBW9OGYg4Euv20SJilbV4bAhSFNx7Xt7OdwvbouT0XLKGWeXwpPd1ueFHZjjmwB71047PNI1tveeAo+O5BXZM31QjfM/K82Hb563p92Ap8rEQBbc21IlCaNji96oNAkXAwOxu</vt:lpwstr>
  </property>
  <property name="CalculationRule" fmtid="{D5CDD505-2E9C-101B-9397-08002B2CF9AE}" pid="5">
    <vt:i4 xmlns:vt="http://schemas.openxmlformats.org/officeDocument/2006/docPropsVTypes">0</vt:i4>
  </property>
</Properties>
</file>