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P_Public_Data\PMC\Super Billy\Super billy 生产计划\"/>
    </mc:Choice>
  </mc:AlternateContent>
  <bookViews>
    <workbookView xWindow="0" yWindow="0" windowWidth="23040" windowHeight="9230"/>
  </bookViews>
  <sheets>
    <sheet name="7-1" sheetId="1" r:id="rId1"/>
  </sheets>
  <definedNames>
    <definedName name="_xlnm._FilterDatabase" localSheetId="0" hidden="1">'7-1'!$A$2:$K$16</definedName>
    <definedName name="aaa">#REF!</definedName>
    <definedName name="Bust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F9" i="1"/>
  <c r="J9" i="1" l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L17" i="1"/>
  <c r="I22" i="1" l="1"/>
  <c r="I19" i="1"/>
  <c r="I20" i="1"/>
  <c r="J20" i="1" s="1"/>
  <c r="F26" i="1" l="1"/>
  <c r="F25" i="1"/>
  <c r="F23" i="1"/>
  <c r="F22" i="1"/>
  <c r="F20" i="1"/>
  <c r="F19" i="1"/>
  <c r="I23" i="1" l="1"/>
  <c r="I25" i="1"/>
  <c r="I26" i="1"/>
  <c r="I4" i="1"/>
  <c r="I5" i="1"/>
  <c r="I6" i="1"/>
  <c r="I7" i="1"/>
  <c r="I8" i="1"/>
  <c r="I10" i="1"/>
  <c r="I11" i="1"/>
  <c r="I12" i="1"/>
  <c r="I13" i="1"/>
  <c r="I14" i="1"/>
  <c r="I15" i="1"/>
  <c r="I16" i="1"/>
  <c r="I3" i="1"/>
  <c r="F3" i="1" l="1"/>
  <c r="J3" i="1"/>
  <c r="F4" i="1"/>
  <c r="J4" i="1" s="1"/>
  <c r="F5" i="1"/>
  <c r="J5" i="1" s="1"/>
  <c r="F6" i="1"/>
  <c r="J6" i="1"/>
  <c r="F7" i="1"/>
  <c r="J7" i="1"/>
  <c r="F8" i="1"/>
  <c r="J8" i="1" s="1"/>
  <c r="F10" i="1"/>
  <c r="J10" i="1" s="1"/>
  <c r="F11" i="1"/>
  <c r="J11" i="1" s="1"/>
  <c r="F12" i="1"/>
  <c r="J12" i="1" s="1"/>
  <c r="F13" i="1"/>
  <c r="J13" i="1" s="1"/>
  <c r="F14" i="1"/>
  <c r="J14" i="1"/>
  <c r="F15" i="1"/>
  <c r="J15" i="1"/>
  <c r="F16" i="1"/>
  <c r="J16" i="1" s="1"/>
  <c r="D17" i="1"/>
  <c r="E17" i="1"/>
  <c r="G17" i="1"/>
  <c r="H17" i="1"/>
  <c r="F17" i="1" l="1"/>
  <c r="I17" i="1"/>
  <c r="J17" i="1"/>
  <c r="J26" i="1" l="1"/>
  <c r="J25" i="1"/>
  <c r="J23" i="1" l="1"/>
  <c r="J22" i="1" l="1"/>
  <c r="J19" i="1" l="1"/>
</calcChain>
</file>

<file path=xl/comments1.xml><?xml version="1.0" encoding="utf-8"?>
<comments xmlns="http://schemas.openxmlformats.org/spreadsheetml/2006/main">
  <authors>
    <author>Tao_Min(80PMC SH_Tao-Min)</author>
  </authors>
  <commentList>
    <comment ref="J3" authorId="0" shapeId="0">
      <text>
        <r>
          <rPr>
            <sz val="12"/>
            <color indexed="81"/>
            <rFont val="宋体"/>
            <family val="3"/>
            <charset val="134"/>
          </rPr>
          <t>通知暂停生产。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7" authorId="0" shapeId="0">
      <text>
        <r>
          <rPr>
            <sz val="12"/>
            <color indexed="81"/>
            <rFont val="宋体"/>
            <family val="3"/>
            <charset val="134"/>
          </rPr>
          <t>芯片8号航班到料齐套.   运算板辅料LDO齐132台，其余无交期。
控制板辅料预计13日齐套。
交付计划为风险排产</t>
        </r>
      </text>
    </comment>
    <comment ref="G11" authorId="0" shapeId="0">
      <text>
        <r>
          <rPr>
            <b/>
            <sz val="12"/>
            <color indexed="81"/>
            <rFont val="宋体"/>
            <family val="3"/>
            <charset val="134"/>
          </rPr>
          <t xml:space="preserve">BIN5 PCBA 被隔离 359台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20" authorId="0" shapeId="0">
      <text>
        <r>
          <rPr>
            <b/>
            <sz val="12"/>
            <color indexed="81"/>
            <rFont val="宋体"/>
            <family val="3"/>
            <charset val="134"/>
          </rPr>
          <t>6月需入库10034,实际入库7620,还有2414台未完成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22" authorId="0" shapeId="0">
      <text>
        <r>
          <rPr>
            <sz val="12"/>
            <color indexed="81"/>
            <rFont val="宋体"/>
            <family val="3"/>
            <charset val="134"/>
          </rPr>
          <t>83601 散热片预计7日到料。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23" authorId="0" shapeId="0">
      <text>
        <r>
          <rPr>
            <b/>
            <sz val="12"/>
            <color indexed="81"/>
            <rFont val="宋体"/>
            <family val="3"/>
            <charset val="134"/>
          </rPr>
          <t>总计划交付1774台，6月交付284台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23" authorId="0" shapeId="0">
      <text>
        <r>
          <rPr>
            <sz val="12"/>
            <color indexed="81"/>
            <rFont val="宋体"/>
            <family val="3"/>
            <charset val="134"/>
          </rPr>
          <t>83602 221台散热片7号到料，剩余132台延到15号到</t>
        </r>
      </text>
    </comment>
    <comment ref="Z23" authorId="0" shapeId="0">
      <text>
        <r>
          <rPr>
            <sz val="12"/>
            <color indexed="81"/>
            <rFont val="宋体"/>
            <family val="3"/>
            <charset val="134"/>
          </rPr>
          <t>83602 132台散热片预计15日到料。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<sst xmlns="http://schemas.openxmlformats.org/spreadsheetml/2006/main" count="92" uniqueCount="57">
  <si>
    <t>外协</t>
  </si>
  <si>
    <t>机型</t>
  </si>
  <si>
    <t>版本</t>
  </si>
  <si>
    <t>芯片
欠数</t>
  </si>
  <si>
    <t>辅料
欠数</t>
  </si>
  <si>
    <t>合计排产（只排齐套的部分+有在途信息的部分，无到料信息和预估不良数不排）</t>
  </si>
  <si>
    <t>未排产
风险</t>
  </si>
  <si>
    <t>风险说明（单位：台）
所有风险说明相加数等于未排产的风险数</t>
  </si>
  <si>
    <t>THQG</t>
  </si>
  <si>
    <t>S21+</t>
  </si>
  <si>
    <t>S21+ Hyd.</t>
  </si>
  <si>
    <t>S21e Hyd.</t>
  </si>
  <si>
    <t>H6HB70801</t>
  </si>
  <si>
    <t>TTL</t>
    <phoneticPr fontId="10" type="noConversion"/>
  </si>
  <si>
    <t>A3HB70703</t>
    <phoneticPr fontId="10" type="noConversion"/>
  </si>
  <si>
    <t>1）芯片风险：
2）辅料风险：0
3）不良维修：67
4）待清尾固件：
5）档位不匹配待组装：43
6）待定责：10
7）其他非自身维修的原因：</t>
    <phoneticPr fontId="10" type="noConversion"/>
  </si>
  <si>
    <t>S23 Hyd.</t>
    <phoneticPr fontId="10" type="noConversion"/>
  </si>
  <si>
    <t>H6HB83601</t>
    <phoneticPr fontId="10" type="noConversion"/>
  </si>
  <si>
    <r>
      <t>1）芯片风险：
2）辅料风险：0
3）不良维修： 
4）待清尾固件：0
5）档位不匹配待组装： 
6）待定责： 
7）其他非自身维修的原因：</t>
    </r>
    <r>
      <rPr>
        <sz val="11"/>
        <color rgb="FFFF0000"/>
        <rFont val="等线"/>
        <family val="3"/>
        <charset val="134"/>
      </rPr>
      <t>通知暂停生产</t>
    </r>
    <phoneticPr fontId="10" type="noConversion"/>
  </si>
  <si>
    <t>1）芯片风险：200
2）辅料风险：0
3）不良维修：
4）待清尾固件：
5）档位不匹配待组装：
6）待定责：
7）其他非自身维修的原因：</t>
    <phoneticPr fontId="10" type="noConversion"/>
  </si>
  <si>
    <t>H6HB70704</t>
    <phoneticPr fontId="10" type="noConversion"/>
  </si>
  <si>
    <t>1）芯片风险：0
2）辅料风险：0
3）不良维修：
4）待清尾固件：
5）档位不匹配待组装：
6）待定责：
7）其他非自身维修的原因：辅料齐料时间较晚。</t>
    <phoneticPr fontId="10" type="noConversion"/>
  </si>
  <si>
    <t>H7HB83701</t>
    <phoneticPr fontId="10" type="noConversion"/>
  </si>
  <si>
    <t>L9</t>
  </si>
  <si>
    <t>KS7</t>
  </si>
  <si>
    <t>BSL41601</t>
    <phoneticPr fontId="10" type="noConversion"/>
  </si>
  <si>
    <t>A3KK34601</t>
    <phoneticPr fontId="10" type="noConversion"/>
  </si>
  <si>
    <t>H6HB83602</t>
    <phoneticPr fontId="10" type="noConversion"/>
  </si>
  <si>
    <t>S21 XP+ Hyd.</t>
  </si>
  <si>
    <t>H1HB70604</t>
    <phoneticPr fontId="10" type="noConversion"/>
  </si>
  <si>
    <t>U3S21EXPH</t>
    <phoneticPr fontId="10" type="noConversion"/>
  </si>
  <si>
    <t>S21j XP Hyd.</t>
    <phoneticPr fontId="10" type="noConversion"/>
  </si>
  <si>
    <t>H7HB83702</t>
    <phoneticPr fontId="10" type="noConversion"/>
  </si>
  <si>
    <t>Z15 Pro</t>
    <phoneticPr fontId="10" type="noConversion"/>
  </si>
  <si>
    <t>BEZ36501</t>
    <phoneticPr fontId="10" type="noConversion"/>
  </si>
  <si>
    <t>S21 Pro</t>
    <phoneticPr fontId="10" type="noConversion"/>
  </si>
  <si>
    <t>A3HB70601  A3HB70602</t>
    <phoneticPr fontId="10" type="noConversion"/>
  </si>
  <si>
    <t>S21+</t>
    <phoneticPr fontId="10" type="noConversion"/>
  </si>
  <si>
    <t>S21++</t>
    <phoneticPr fontId="10" type="noConversion"/>
  </si>
  <si>
    <t>A3HB70701  A3HB70702</t>
    <phoneticPr fontId="10" type="noConversion"/>
  </si>
  <si>
    <t>H7HB83705</t>
    <phoneticPr fontId="10" type="noConversion"/>
  </si>
  <si>
    <t>1）芯片风险：8200
2）辅料风险：0
3）不良维修：
4）待清尾固件：
5）档位不匹配待组装：
6）待定责：
7）其他非自身维修的原因：</t>
    <phoneticPr fontId="10" type="noConversion"/>
  </si>
  <si>
    <t>S21 Pro+</t>
    <phoneticPr fontId="10" type="noConversion"/>
  </si>
  <si>
    <t>L11</t>
    <phoneticPr fontId="10" type="noConversion"/>
  </si>
  <si>
    <t>A3SL53801</t>
  </si>
  <si>
    <t>不良待清尾</t>
    <phoneticPr fontId="10" type="noConversion"/>
  </si>
  <si>
    <t>S23 Hyd.</t>
    <phoneticPr fontId="10" type="noConversion"/>
  </si>
  <si>
    <t>H6HB83601  H6HB83602</t>
    <phoneticPr fontId="10" type="noConversion"/>
  </si>
  <si>
    <t>6月ERP在制订单结余</t>
    <phoneticPr fontId="10" type="noConversion"/>
  </si>
  <si>
    <t>7月工单</t>
    <phoneticPr fontId="10" type="noConversion"/>
  </si>
  <si>
    <t>7月期初（7月交付目标）</t>
    <phoneticPr fontId="10" type="noConversion"/>
  </si>
  <si>
    <t>总计划交付1774台，6月交付284台</t>
    <phoneticPr fontId="10" type="noConversion"/>
  </si>
  <si>
    <t>维修清尾，预计可入库400台左右。</t>
    <phoneticPr fontId="10" type="noConversion"/>
  </si>
  <si>
    <t>6月尚余1795台未拆机，7月拆机14051台，共计15846台</t>
    <phoneticPr fontId="10" type="noConversion"/>
  </si>
  <si>
    <t>7月拆机14051*0.9=12646台，加6月需入库的2414台。</t>
    <phoneticPr fontId="10" type="noConversion"/>
  </si>
  <si>
    <t>总计需重工1972台，6月拆完1388台。</t>
    <phoneticPr fontId="10" type="noConversion"/>
  </si>
  <si>
    <t>H6HB70707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</si>
</sst>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m/d;@"/>
    <numFmt numFmtId="177" formatCode="[$-804]aaa;@"/>
    <numFmt numFmtId="178" formatCode="0_ "/>
  </numFmts>
  <fonts count="17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等线"/>
      <family val="3"/>
      <charset val="134"/>
    </font>
    <font>
      <sz val="12"/>
      <color theme="1"/>
      <name val="等线"/>
      <family val="3"/>
      <charset val="134"/>
    </font>
    <font>
      <b/>
      <sz val="12"/>
      <color theme="0"/>
      <name val="微软雅黑"/>
      <family val="2"/>
    </font>
    <font>
      <b/>
      <sz val="12"/>
      <color theme="0"/>
      <name val="等线"/>
      <family val="3"/>
      <charset val="134"/>
    </font>
    <font>
      <b/>
      <sz val="12"/>
      <color rgb="FFFF0000"/>
      <name val="等线"/>
      <family val="3"/>
      <charset val="134"/>
    </font>
    <font>
      <sz val="11"/>
      <color theme="1"/>
      <name val="等线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等线"/>
      <family val="3"/>
      <charset val="134"/>
    </font>
    <font>
      <b/>
      <sz val="12"/>
      <color indexed="81"/>
      <name val="宋体"/>
      <family val="3"/>
      <charset val="134"/>
    </font>
    <font>
      <sz val="12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rgb="FFFF0000"/>
      <name val="等线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177" fontId="4" fillId="5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77" fontId="4" fillId="8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 wrapText="1"/>
    </xf>
    <xf numFmtId="0" fontId="16" fillId="9" borderId="3" xfId="0" applyFont="1" applyFill="1" applyBorder="1" applyAlignment="1">
      <alignment horizontal="left" vertical="center" wrapText="1"/>
    </xf>
    <xf numFmtId="178" fontId="3" fillId="0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left" vertical="center" wrapText="1"/>
    </xf>
    <xf numFmtId="176" fontId="5" fillId="2" borderId="1" xfId="0" applyNumberFormat="1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left" vertical="center" wrapText="1"/>
    </xf>
  </cellXfs>
  <cellStyles count="3">
    <cellStyle name="常规" xfId="0" builtinId="0"/>
    <cellStyle name="常规 2" xfId="2"/>
    <cellStyle name="千位分隔 9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28"/>
  <sheetViews>
    <sheetView tabSelected="1" zoomScale="60" zoomScaleNormal="60" workbookViewId="0">
      <pane xSplit="11" ySplit="2" topLeftCell="AC3" activePane="bottomRight" state="frozen"/>
      <selection pane="topRight" activeCell="L1" sqref="L1"/>
      <selection pane="bottomLeft" activeCell="A3" sqref="A3"/>
      <selection pane="bottomRight" activeCell="AM12" sqref="AM12"/>
    </sheetView>
  </sheetViews>
  <sheetFormatPr defaultColWidth="8.81640625" defaultRowHeight="24" customHeight="1" x14ac:dyDescent="0.25"/>
  <cols>
    <col min="1" max="1" width="13" customWidth="1"/>
    <col min="2" max="2" width="15.1796875" customWidth="1"/>
    <col min="3" max="3" width="19.1796875" customWidth="1"/>
    <col min="6" max="6" width="10.81640625" customWidth="1"/>
    <col min="9" max="9" width="23.1796875" customWidth="1"/>
    <col min="11" max="11" width="25.81640625" customWidth="1"/>
    <col min="12" max="42" width="8.36328125" style="26" customWidth="1"/>
  </cols>
  <sheetData>
    <row r="1" spans="1:42" s="1" customFormat="1" ht="24" customHeight="1" x14ac:dyDescent="0.25">
      <c r="A1" s="46" t="s">
        <v>0</v>
      </c>
      <c r="B1" s="46" t="s">
        <v>1</v>
      </c>
      <c r="C1" s="46" t="s">
        <v>2</v>
      </c>
      <c r="D1" s="46" t="s">
        <v>48</v>
      </c>
      <c r="E1" s="46" t="s">
        <v>49</v>
      </c>
      <c r="F1" s="46" t="s">
        <v>50</v>
      </c>
      <c r="G1" s="46" t="s">
        <v>3</v>
      </c>
      <c r="H1" s="46" t="s">
        <v>4</v>
      </c>
      <c r="I1" s="47" t="s">
        <v>5</v>
      </c>
      <c r="J1" s="46" t="s">
        <v>6</v>
      </c>
      <c r="K1" s="44" t="s">
        <v>7</v>
      </c>
      <c r="L1" s="30">
        <v>46204</v>
      </c>
      <c r="M1" s="30">
        <v>46205</v>
      </c>
      <c r="N1" s="30">
        <v>46206</v>
      </c>
      <c r="O1" s="24">
        <v>46207</v>
      </c>
      <c r="P1" s="24">
        <v>46208</v>
      </c>
      <c r="Q1" s="30">
        <v>46209</v>
      </c>
      <c r="R1" s="30">
        <v>46210</v>
      </c>
      <c r="S1" s="30">
        <v>46211</v>
      </c>
      <c r="T1" s="30">
        <v>46212</v>
      </c>
      <c r="U1" s="30">
        <v>46213</v>
      </c>
      <c r="V1" s="24">
        <v>46214</v>
      </c>
      <c r="W1" s="24">
        <v>46215</v>
      </c>
      <c r="X1" s="30">
        <v>46216</v>
      </c>
      <c r="Y1" s="30">
        <v>46217</v>
      </c>
      <c r="Z1" s="30">
        <v>46218</v>
      </c>
      <c r="AA1" s="30">
        <v>46219</v>
      </c>
      <c r="AB1" s="30">
        <v>46220</v>
      </c>
      <c r="AC1" s="30">
        <v>46221</v>
      </c>
      <c r="AD1" s="24">
        <v>46222</v>
      </c>
      <c r="AE1" s="30">
        <v>46223</v>
      </c>
      <c r="AF1" s="30">
        <v>46224</v>
      </c>
      <c r="AG1" s="30">
        <v>46225</v>
      </c>
      <c r="AH1" s="30">
        <v>46226</v>
      </c>
      <c r="AI1" s="30">
        <v>46227</v>
      </c>
      <c r="AJ1" s="24">
        <v>46228</v>
      </c>
      <c r="AK1" s="24">
        <v>46229</v>
      </c>
      <c r="AL1" s="30">
        <v>46230</v>
      </c>
      <c r="AM1" s="24">
        <v>46231</v>
      </c>
      <c r="AN1" s="30">
        <v>46232</v>
      </c>
      <c r="AO1" s="30">
        <v>46233</v>
      </c>
      <c r="AP1" s="30">
        <v>46234</v>
      </c>
    </row>
    <row r="2" spans="1:42" s="2" customFormat="1" ht="24" customHeight="1" x14ac:dyDescent="0.25">
      <c r="A2" s="45"/>
      <c r="B2" s="45"/>
      <c r="C2" s="45"/>
      <c r="D2" s="45"/>
      <c r="E2" s="45"/>
      <c r="F2" s="45"/>
      <c r="G2" s="45"/>
      <c r="H2" s="45"/>
      <c r="I2" s="48"/>
      <c r="J2" s="45"/>
      <c r="K2" s="45"/>
      <c r="L2" s="31">
        <v>46204</v>
      </c>
      <c r="M2" s="31">
        <v>46205</v>
      </c>
      <c r="N2" s="31">
        <v>46206</v>
      </c>
      <c r="O2" s="25">
        <v>46207</v>
      </c>
      <c r="P2" s="25">
        <v>46208</v>
      </c>
      <c r="Q2" s="31">
        <v>46209</v>
      </c>
      <c r="R2" s="31">
        <v>46210</v>
      </c>
      <c r="S2" s="31">
        <v>46211</v>
      </c>
      <c r="T2" s="31">
        <v>46212</v>
      </c>
      <c r="U2" s="31">
        <v>46213</v>
      </c>
      <c r="V2" s="25">
        <v>46214</v>
      </c>
      <c r="W2" s="25">
        <v>46215</v>
      </c>
      <c r="X2" s="31">
        <v>46216</v>
      </c>
      <c r="Y2" s="31">
        <v>46217</v>
      </c>
      <c r="Z2" s="31">
        <v>46218</v>
      </c>
      <c r="AA2" s="31">
        <v>46219</v>
      </c>
      <c r="AB2" s="31">
        <v>46220</v>
      </c>
      <c r="AC2" s="31">
        <v>46221</v>
      </c>
      <c r="AD2" s="25">
        <v>46222</v>
      </c>
      <c r="AE2" s="31">
        <v>46223</v>
      </c>
      <c r="AF2" s="31">
        <v>46224</v>
      </c>
      <c r="AG2" s="31">
        <v>46225</v>
      </c>
      <c r="AH2" s="31">
        <v>46226</v>
      </c>
      <c r="AI2" s="31">
        <v>46227</v>
      </c>
      <c r="AJ2" s="25">
        <v>46228</v>
      </c>
      <c r="AK2" s="25">
        <v>46229</v>
      </c>
      <c r="AL2" s="31">
        <v>46230</v>
      </c>
      <c r="AM2" s="25">
        <v>46231</v>
      </c>
      <c r="AN2" s="31">
        <v>46232</v>
      </c>
      <c r="AO2" s="31">
        <v>46233</v>
      </c>
      <c r="AP2" s="31">
        <v>46234</v>
      </c>
    </row>
    <row r="3" spans="1:42" s="3" customFormat="1" ht="24" customHeight="1" x14ac:dyDescent="0.25">
      <c r="A3" s="4" t="s">
        <v>8</v>
      </c>
      <c r="B3" s="4" t="s">
        <v>9</v>
      </c>
      <c r="C3" s="5" t="s">
        <v>14</v>
      </c>
      <c r="D3" s="5">
        <v>22</v>
      </c>
      <c r="E3" s="5">
        <v>0</v>
      </c>
      <c r="F3" s="5">
        <f t="shared" ref="F3:F4" si="0">D3+E3</f>
        <v>22</v>
      </c>
      <c r="G3" s="6"/>
      <c r="H3" s="6"/>
      <c r="I3" s="13">
        <f>SUM(L3:AP3)</f>
        <v>0</v>
      </c>
      <c r="J3" s="13">
        <f t="shared" ref="J3:J4" si="1">I3-F3</f>
        <v>-22</v>
      </c>
      <c r="K3" s="14" t="s">
        <v>18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spans="1:42" s="3" customFormat="1" ht="24" customHeight="1" x14ac:dyDescent="0.25">
      <c r="A4" s="7" t="s">
        <v>8</v>
      </c>
      <c r="B4" s="7" t="s">
        <v>23</v>
      </c>
      <c r="C4" s="8" t="s">
        <v>25</v>
      </c>
      <c r="D4" s="8">
        <v>166</v>
      </c>
      <c r="E4" s="8">
        <v>0</v>
      </c>
      <c r="F4" s="19">
        <f t="shared" si="0"/>
        <v>166</v>
      </c>
      <c r="G4" s="20"/>
      <c r="H4" s="20"/>
      <c r="I4" s="13">
        <f t="shared" ref="I4:I16" si="2">SUM(L4:AP4)</f>
        <v>44</v>
      </c>
      <c r="J4" s="21">
        <f t="shared" si="1"/>
        <v>-122</v>
      </c>
      <c r="K4" s="23" t="s">
        <v>19</v>
      </c>
      <c r="L4" s="28"/>
      <c r="M4" s="28"/>
      <c r="N4" s="39">
        <v>26</v>
      </c>
      <c r="O4" s="28"/>
      <c r="P4" s="28"/>
      <c r="Q4" s="39">
        <v>10</v>
      </c>
      <c r="R4" s="39">
        <v>4</v>
      </c>
      <c r="S4" s="28"/>
      <c r="T4" s="39">
        <v>4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 spans="1:42" s="3" customFormat="1" ht="24" customHeight="1" x14ac:dyDescent="0.25">
      <c r="A5" s="7" t="s">
        <v>8</v>
      </c>
      <c r="B5" s="7" t="s">
        <v>43</v>
      </c>
      <c r="C5" s="8" t="s">
        <v>44</v>
      </c>
      <c r="D5" s="8">
        <v>13</v>
      </c>
      <c r="E5" s="8">
        <v>0</v>
      </c>
      <c r="F5" s="19">
        <f t="shared" ref="F5:F8" si="3">D5+E5</f>
        <v>13</v>
      </c>
      <c r="G5" s="20"/>
      <c r="H5" s="20"/>
      <c r="I5" s="13">
        <f t="shared" si="2"/>
        <v>0</v>
      </c>
      <c r="J5" s="21">
        <f t="shared" ref="J5:J8" si="4">I5-F5</f>
        <v>-13</v>
      </c>
      <c r="K5" s="23" t="s">
        <v>19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</row>
    <row r="6" spans="1:42" s="3" customFormat="1" ht="24" customHeight="1" x14ac:dyDescent="0.25">
      <c r="A6" s="7" t="s">
        <v>8</v>
      </c>
      <c r="B6" s="7" t="s">
        <v>24</v>
      </c>
      <c r="C6" s="8" t="s">
        <v>26</v>
      </c>
      <c r="D6" s="8">
        <v>54</v>
      </c>
      <c r="E6" s="8">
        <v>0</v>
      </c>
      <c r="F6" s="19">
        <f t="shared" si="3"/>
        <v>54</v>
      </c>
      <c r="G6" s="20"/>
      <c r="H6" s="20"/>
      <c r="I6" s="13">
        <f t="shared" si="2"/>
        <v>0</v>
      </c>
      <c r="J6" s="21">
        <f t="shared" si="4"/>
        <v>-54</v>
      </c>
      <c r="K6" s="23" t="s">
        <v>19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s="3" customFormat="1" ht="24" customHeight="1" x14ac:dyDescent="0.25">
      <c r="A7" s="7" t="s">
        <v>8</v>
      </c>
      <c r="B7" s="7" t="s">
        <v>33</v>
      </c>
      <c r="C7" s="8" t="s">
        <v>34</v>
      </c>
      <c r="D7" s="8">
        <v>497</v>
      </c>
      <c r="E7" s="8">
        <v>1994</v>
      </c>
      <c r="F7" s="19">
        <f>D7+E7</f>
        <v>2491</v>
      </c>
      <c r="G7" s="20"/>
      <c r="H7" s="20"/>
      <c r="I7" s="13">
        <f t="shared" si="2"/>
        <v>2082</v>
      </c>
      <c r="J7" s="21">
        <f>I7-F7</f>
        <v>-409</v>
      </c>
      <c r="K7" s="23" t="s">
        <v>19</v>
      </c>
      <c r="L7" s="28"/>
      <c r="M7" s="28"/>
      <c r="N7" s="39">
        <v>84</v>
      </c>
      <c r="O7" s="28"/>
      <c r="P7" s="28"/>
      <c r="Q7" s="39">
        <v>1</v>
      </c>
      <c r="R7" s="39">
        <v>16</v>
      </c>
      <c r="S7" s="39">
        <v>61</v>
      </c>
      <c r="T7" s="39">
        <v>1</v>
      </c>
      <c r="U7" s="39">
        <v>39</v>
      </c>
      <c r="V7" s="39">
        <v>8</v>
      </c>
      <c r="W7" s="28"/>
      <c r="X7" s="19"/>
      <c r="Y7" s="39">
        <v>9</v>
      </c>
      <c r="Z7" s="19"/>
      <c r="AA7" s="28"/>
      <c r="AB7" s="39">
        <v>13</v>
      </c>
      <c r="AC7" s="28"/>
      <c r="AD7" s="19"/>
      <c r="AE7" s="19"/>
      <c r="AF7" s="19"/>
      <c r="AG7" s="19"/>
      <c r="AH7" s="19"/>
      <c r="AI7" s="19"/>
      <c r="AJ7" s="37">
        <v>100</v>
      </c>
      <c r="AK7" s="28"/>
      <c r="AL7" s="37">
        <v>200</v>
      </c>
      <c r="AM7" s="28">
        <v>350</v>
      </c>
      <c r="AN7" s="37">
        <v>400</v>
      </c>
      <c r="AO7" s="37">
        <v>400</v>
      </c>
      <c r="AP7" s="37">
        <v>400</v>
      </c>
    </row>
    <row r="8" spans="1:42" s="3" customFormat="1" ht="24" customHeight="1" x14ac:dyDescent="0.25">
      <c r="A8" s="7" t="s">
        <v>8</v>
      </c>
      <c r="B8" s="7" t="s">
        <v>30</v>
      </c>
      <c r="C8" s="8" t="s">
        <v>29</v>
      </c>
      <c r="D8" s="8">
        <v>164</v>
      </c>
      <c r="E8" s="8">
        <v>0</v>
      </c>
      <c r="F8" s="19">
        <f t="shared" si="3"/>
        <v>164</v>
      </c>
      <c r="G8" s="20"/>
      <c r="H8" s="20"/>
      <c r="I8" s="13">
        <f t="shared" si="2"/>
        <v>40</v>
      </c>
      <c r="J8" s="21">
        <f t="shared" si="4"/>
        <v>-124</v>
      </c>
      <c r="K8" s="23" t="s">
        <v>19</v>
      </c>
      <c r="L8" s="28"/>
      <c r="M8" s="28"/>
      <c r="N8" s="28"/>
      <c r="O8" s="28"/>
      <c r="P8" s="28"/>
      <c r="Q8" s="39">
        <v>9</v>
      </c>
      <c r="R8" s="19"/>
      <c r="S8" s="28"/>
      <c r="T8" s="28"/>
      <c r="U8" s="39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39">
        <v>30</v>
      </c>
      <c r="AG8" s="28"/>
      <c r="AH8" s="28"/>
      <c r="AI8" s="28"/>
      <c r="AJ8" s="28"/>
      <c r="AK8" s="28"/>
      <c r="AL8" s="28"/>
      <c r="AM8" s="28"/>
      <c r="AN8" s="28"/>
      <c r="AO8" s="28"/>
      <c r="AP8" s="28"/>
    </row>
    <row r="9" spans="1:42" s="3" customFormat="1" ht="24" customHeight="1" x14ac:dyDescent="0.25">
      <c r="A9" s="4" t="s">
        <v>8</v>
      </c>
      <c r="B9" s="4" t="s">
        <v>10</v>
      </c>
      <c r="C9" s="5" t="s">
        <v>20</v>
      </c>
      <c r="D9" s="32">
        <v>59</v>
      </c>
      <c r="E9" s="5">
        <v>1000</v>
      </c>
      <c r="F9" s="5">
        <f>D9+E9</f>
        <v>1059</v>
      </c>
      <c r="G9" s="6"/>
      <c r="H9" s="6"/>
      <c r="I9" s="13">
        <f t="shared" ref="I9" si="5">SUM(L9:AP9)</f>
        <v>986</v>
      </c>
      <c r="J9" s="13">
        <f>I9-F9</f>
        <v>-73</v>
      </c>
      <c r="K9" s="14" t="s">
        <v>21</v>
      </c>
      <c r="L9" s="8"/>
      <c r="M9" s="8"/>
      <c r="N9" s="8"/>
      <c r="O9" s="8"/>
      <c r="P9" s="8"/>
      <c r="Q9" s="28"/>
      <c r="R9" s="39">
        <v>7</v>
      </c>
      <c r="S9" s="8"/>
      <c r="T9" s="8"/>
      <c r="U9" s="40">
        <v>18</v>
      </c>
      <c r="V9" s="40">
        <v>5</v>
      </c>
      <c r="W9" s="8"/>
      <c r="X9" s="8"/>
      <c r="Y9" s="8"/>
      <c r="Z9" s="8"/>
      <c r="AA9" s="8"/>
      <c r="AB9" s="40">
        <v>6</v>
      </c>
      <c r="AC9" s="8"/>
      <c r="AD9" s="8"/>
      <c r="AE9" s="8"/>
      <c r="AF9" s="8"/>
      <c r="AG9" s="8"/>
      <c r="AH9" s="8"/>
      <c r="AI9" s="8">
        <v>50</v>
      </c>
      <c r="AJ9" s="8">
        <v>100</v>
      </c>
      <c r="AK9" s="8"/>
      <c r="AL9" s="8">
        <v>200</v>
      </c>
      <c r="AM9" s="8">
        <v>200</v>
      </c>
      <c r="AN9" s="8">
        <v>200</v>
      </c>
      <c r="AO9" s="8">
        <v>200</v>
      </c>
      <c r="AP9" s="8"/>
    </row>
    <row r="10" spans="1:42" s="3" customFormat="1" ht="24" customHeight="1" x14ac:dyDescent="0.25">
      <c r="A10" s="4" t="s">
        <v>8</v>
      </c>
      <c r="B10" s="4" t="s">
        <v>10</v>
      </c>
      <c r="C10" s="5" t="s">
        <v>56</v>
      </c>
      <c r="D10" s="32">
        <v>0</v>
      </c>
      <c r="E10" s="5">
        <v>2000</v>
      </c>
      <c r="F10" s="5">
        <f>D10+E10</f>
        <v>2000</v>
      </c>
      <c r="G10" s="6"/>
      <c r="H10" s="6"/>
      <c r="I10" s="13">
        <f t="shared" si="2"/>
        <v>0</v>
      </c>
      <c r="J10" s="13">
        <f>I10-F10</f>
        <v>-2000</v>
      </c>
      <c r="K10" s="14" t="s">
        <v>21</v>
      </c>
      <c r="L10" s="8"/>
      <c r="M10" s="8"/>
      <c r="N10" s="8"/>
      <c r="O10" s="8"/>
      <c r="P10" s="8"/>
      <c r="Q10" s="19"/>
      <c r="R10" s="19"/>
      <c r="S10" s="8"/>
      <c r="T10" s="8"/>
      <c r="U10" s="22"/>
      <c r="V10" s="22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s="3" customFormat="1" ht="24" customHeight="1" x14ac:dyDescent="0.25">
      <c r="A11" s="7" t="s">
        <v>8</v>
      </c>
      <c r="B11" s="7" t="s">
        <v>11</v>
      </c>
      <c r="C11" s="8" t="s">
        <v>12</v>
      </c>
      <c r="D11" s="8">
        <v>402</v>
      </c>
      <c r="E11" s="8">
        <v>0</v>
      </c>
      <c r="F11" s="19">
        <f>D11+E11</f>
        <v>402</v>
      </c>
      <c r="G11" s="9">
        <v>359</v>
      </c>
      <c r="H11" s="9"/>
      <c r="I11" s="13">
        <f t="shared" si="2"/>
        <v>5</v>
      </c>
      <c r="J11" s="15">
        <f>I11-F11</f>
        <v>-397</v>
      </c>
      <c r="K11" s="14" t="s">
        <v>15</v>
      </c>
      <c r="L11" s="28"/>
      <c r="M11" s="28"/>
      <c r="N11" s="39">
        <v>3</v>
      </c>
      <c r="O11" s="28"/>
      <c r="P11" s="28"/>
      <c r="Q11" s="28"/>
      <c r="R11" s="28"/>
      <c r="S11" s="28"/>
      <c r="T11" s="28"/>
      <c r="U11" s="39">
        <v>2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</row>
    <row r="12" spans="1:42" s="3" customFormat="1" ht="24" customHeight="1" x14ac:dyDescent="0.25">
      <c r="A12" s="7" t="s">
        <v>8</v>
      </c>
      <c r="B12" s="7" t="s">
        <v>16</v>
      </c>
      <c r="C12" s="8" t="s">
        <v>17</v>
      </c>
      <c r="D12" s="8">
        <v>27</v>
      </c>
      <c r="E12" s="8">
        <v>0</v>
      </c>
      <c r="F12" s="19">
        <f t="shared" ref="F12:F16" si="6">D12+E12</f>
        <v>27</v>
      </c>
      <c r="G12" s="20"/>
      <c r="H12" s="20"/>
      <c r="I12" s="13">
        <f t="shared" si="2"/>
        <v>0</v>
      </c>
      <c r="J12" s="21">
        <f t="shared" ref="J12" si="7">I12-F12</f>
        <v>-27</v>
      </c>
      <c r="K12" s="23" t="s">
        <v>19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</row>
    <row r="13" spans="1:42" s="3" customFormat="1" ht="24" customHeight="1" x14ac:dyDescent="0.25">
      <c r="A13" s="7" t="s">
        <v>8</v>
      </c>
      <c r="B13" s="7" t="s">
        <v>16</v>
      </c>
      <c r="C13" s="8" t="s">
        <v>27</v>
      </c>
      <c r="D13" s="8">
        <v>18</v>
      </c>
      <c r="E13" s="8">
        <v>0</v>
      </c>
      <c r="F13" s="19">
        <f t="shared" si="6"/>
        <v>18</v>
      </c>
      <c r="G13" s="20"/>
      <c r="H13" s="20"/>
      <c r="I13" s="13">
        <f t="shared" si="2"/>
        <v>1</v>
      </c>
      <c r="J13" s="21">
        <f t="shared" ref="J13:J16" si="8">I13-F13</f>
        <v>-17</v>
      </c>
      <c r="K13" s="23" t="s">
        <v>19</v>
      </c>
      <c r="L13" s="28"/>
      <c r="M13" s="28"/>
      <c r="N13" s="39">
        <v>1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</row>
    <row r="14" spans="1:42" s="3" customFormat="1" ht="24" customHeight="1" x14ac:dyDescent="0.25">
      <c r="A14" s="7" t="s">
        <v>8</v>
      </c>
      <c r="B14" s="7" t="s">
        <v>28</v>
      </c>
      <c r="C14" s="8" t="s">
        <v>22</v>
      </c>
      <c r="D14" s="8">
        <v>62</v>
      </c>
      <c r="E14" s="8">
        <v>0</v>
      </c>
      <c r="F14" s="19">
        <f t="shared" ref="F14" si="9">D14+E14</f>
        <v>62</v>
      </c>
      <c r="G14" s="20"/>
      <c r="H14" s="20"/>
      <c r="I14" s="13">
        <f t="shared" si="2"/>
        <v>37</v>
      </c>
      <c r="J14" s="21">
        <f t="shared" ref="J14" si="10">I14-F14</f>
        <v>-25</v>
      </c>
      <c r="K14" s="23" t="s">
        <v>19</v>
      </c>
      <c r="L14" s="28"/>
      <c r="M14" s="28"/>
      <c r="N14" s="39">
        <v>1</v>
      </c>
      <c r="O14" s="28"/>
      <c r="P14" s="28"/>
      <c r="Q14" s="28"/>
      <c r="R14" s="28"/>
      <c r="S14" s="28"/>
      <c r="T14" s="39">
        <v>22</v>
      </c>
      <c r="U14" s="28"/>
      <c r="V14" s="39">
        <v>4</v>
      </c>
      <c r="W14" s="28"/>
      <c r="X14" s="39">
        <v>3</v>
      </c>
      <c r="Y14" s="28"/>
      <c r="Z14" s="39">
        <v>3</v>
      </c>
      <c r="AA14" s="28"/>
      <c r="AB14" s="39">
        <v>1</v>
      </c>
      <c r="AC14" s="39">
        <v>1</v>
      </c>
      <c r="AD14" s="28"/>
      <c r="AE14" s="28"/>
      <c r="AF14" s="39">
        <v>2</v>
      </c>
      <c r="AG14" s="28"/>
      <c r="AH14" s="28"/>
      <c r="AI14" s="28"/>
      <c r="AJ14" s="28"/>
      <c r="AK14" s="28"/>
      <c r="AL14" s="28"/>
      <c r="AM14" s="28"/>
      <c r="AN14" s="28"/>
      <c r="AO14" s="28"/>
      <c r="AP14" s="28"/>
    </row>
    <row r="15" spans="1:42" s="3" customFormat="1" ht="24" customHeight="1" x14ac:dyDescent="0.25">
      <c r="A15" s="7" t="s">
        <v>8</v>
      </c>
      <c r="B15" s="7" t="s">
        <v>28</v>
      </c>
      <c r="C15" s="8" t="s">
        <v>40</v>
      </c>
      <c r="D15" s="8">
        <v>427</v>
      </c>
      <c r="E15" s="8">
        <v>0</v>
      </c>
      <c r="F15" s="19">
        <f t="shared" si="6"/>
        <v>427</v>
      </c>
      <c r="G15" s="20"/>
      <c r="H15" s="20"/>
      <c r="I15" s="13">
        <f t="shared" si="2"/>
        <v>205</v>
      </c>
      <c r="J15" s="21">
        <f>I15-F15</f>
        <v>-222</v>
      </c>
      <c r="K15" s="23" t="s">
        <v>41</v>
      </c>
      <c r="L15" s="28"/>
      <c r="M15" s="28"/>
      <c r="N15" s="28"/>
      <c r="O15" s="28"/>
      <c r="P15" s="28"/>
      <c r="Q15" s="28"/>
      <c r="R15" s="39">
        <v>57</v>
      </c>
      <c r="S15" s="28"/>
      <c r="T15" s="28"/>
      <c r="U15" s="39">
        <v>25</v>
      </c>
      <c r="V15" s="39">
        <v>27</v>
      </c>
      <c r="W15" s="28"/>
      <c r="X15" s="39">
        <v>74</v>
      </c>
      <c r="Y15" s="28"/>
      <c r="Z15" s="28"/>
      <c r="AA15" s="28"/>
      <c r="AB15" s="39">
        <v>7</v>
      </c>
      <c r="AC15" s="28"/>
      <c r="AD15" s="28"/>
      <c r="AE15" s="39">
        <v>15</v>
      </c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</row>
    <row r="16" spans="1:42" s="3" customFormat="1" ht="24" customHeight="1" x14ac:dyDescent="0.25">
      <c r="A16" s="7" t="s">
        <v>8</v>
      </c>
      <c r="B16" s="7" t="s">
        <v>31</v>
      </c>
      <c r="C16" s="8" t="s">
        <v>32</v>
      </c>
      <c r="D16" s="8">
        <v>44</v>
      </c>
      <c r="E16" s="8">
        <v>0</v>
      </c>
      <c r="F16" s="19">
        <f t="shared" si="6"/>
        <v>44</v>
      </c>
      <c r="G16" s="20"/>
      <c r="H16" s="20"/>
      <c r="I16" s="13">
        <f t="shared" si="2"/>
        <v>30</v>
      </c>
      <c r="J16" s="21">
        <f t="shared" si="8"/>
        <v>-14</v>
      </c>
      <c r="K16" s="23" t="s">
        <v>19</v>
      </c>
      <c r="L16" s="28"/>
      <c r="M16" s="28"/>
      <c r="N16" s="28"/>
      <c r="O16" s="28"/>
      <c r="P16" s="28"/>
      <c r="Q16" s="28"/>
      <c r="R16" s="28"/>
      <c r="S16" s="39">
        <v>2</v>
      </c>
      <c r="T16" s="39">
        <v>14</v>
      </c>
      <c r="U16" s="28"/>
      <c r="V16" s="28"/>
      <c r="W16" s="28"/>
      <c r="X16" s="28"/>
      <c r="Y16" s="28"/>
      <c r="Z16" s="28"/>
      <c r="AA16" s="28"/>
      <c r="AB16" s="39">
        <v>4</v>
      </c>
      <c r="AC16" s="39">
        <v>9</v>
      </c>
      <c r="AD16" s="28"/>
      <c r="AE16" s="28"/>
      <c r="AF16" s="39">
        <v>1</v>
      </c>
      <c r="AG16" s="28"/>
      <c r="AH16" s="28"/>
      <c r="AI16" s="28"/>
      <c r="AJ16" s="28"/>
      <c r="AK16" s="28"/>
      <c r="AL16" s="28"/>
      <c r="AM16" s="28"/>
      <c r="AN16" s="28"/>
      <c r="AO16" s="28"/>
      <c r="AP16" s="28"/>
    </row>
    <row r="17" spans="1:42" s="3" customFormat="1" ht="24" customHeight="1" x14ac:dyDescent="0.25">
      <c r="A17" s="41" t="s">
        <v>13</v>
      </c>
      <c r="B17" s="42"/>
      <c r="C17" s="43"/>
      <c r="D17" s="27">
        <f t="shared" ref="D17:AP17" si="11">SUM(D3:D16)</f>
        <v>1955</v>
      </c>
      <c r="E17" s="27">
        <f t="shared" si="11"/>
        <v>4994</v>
      </c>
      <c r="F17" s="27">
        <f t="shared" si="11"/>
        <v>6949</v>
      </c>
      <c r="G17" s="29">
        <f t="shared" si="11"/>
        <v>359</v>
      </c>
      <c r="H17" s="29">
        <f t="shared" si="11"/>
        <v>0</v>
      </c>
      <c r="I17" s="27">
        <f t="shared" si="11"/>
        <v>3430</v>
      </c>
      <c r="J17" s="27">
        <f t="shared" si="11"/>
        <v>-3519</v>
      </c>
      <c r="K17" s="27"/>
      <c r="L17" s="27">
        <f t="shared" si="11"/>
        <v>0</v>
      </c>
      <c r="M17" s="27">
        <f t="shared" si="11"/>
        <v>0</v>
      </c>
      <c r="N17" s="27">
        <f t="shared" si="11"/>
        <v>115</v>
      </c>
      <c r="O17" s="27">
        <f t="shared" si="11"/>
        <v>0</v>
      </c>
      <c r="P17" s="27">
        <f t="shared" si="11"/>
        <v>0</v>
      </c>
      <c r="Q17" s="27">
        <f t="shared" si="11"/>
        <v>20</v>
      </c>
      <c r="R17" s="27">
        <f t="shared" si="11"/>
        <v>84</v>
      </c>
      <c r="S17" s="27">
        <f t="shared" si="11"/>
        <v>63</v>
      </c>
      <c r="T17" s="27">
        <f t="shared" si="11"/>
        <v>41</v>
      </c>
      <c r="U17" s="27">
        <f t="shared" si="11"/>
        <v>85</v>
      </c>
      <c r="V17" s="27">
        <f t="shared" si="11"/>
        <v>44</v>
      </c>
      <c r="W17" s="27">
        <f t="shared" si="11"/>
        <v>0</v>
      </c>
      <c r="X17" s="27">
        <f t="shared" si="11"/>
        <v>77</v>
      </c>
      <c r="Y17" s="27">
        <f t="shared" si="11"/>
        <v>9</v>
      </c>
      <c r="Z17" s="27">
        <f t="shared" si="11"/>
        <v>3</v>
      </c>
      <c r="AA17" s="27">
        <f t="shared" si="11"/>
        <v>0</v>
      </c>
      <c r="AB17" s="27">
        <f t="shared" si="11"/>
        <v>31</v>
      </c>
      <c r="AC17" s="27">
        <f t="shared" si="11"/>
        <v>10</v>
      </c>
      <c r="AD17" s="27">
        <f t="shared" si="11"/>
        <v>0</v>
      </c>
      <c r="AE17" s="27">
        <f t="shared" si="11"/>
        <v>15</v>
      </c>
      <c r="AF17" s="27">
        <f t="shared" si="11"/>
        <v>33</v>
      </c>
      <c r="AG17" s="27">
        <f t="shared" si="11"/>
        <v>0</v>
      </c>
      <c r="AH17" s="27">
        <f t="shared" si="11"/>
        <v>0</v>
      </c>
      <c r="AI17" s="27">
        <f t="shared" si="11"/>
        <v>50</v>
      </c>
      <c r="AJ17" s="27">
        <f t="shared" si="11"/>
        <v>200</v>
      </c>
      <c r="AK17" s="27">
        <f t="shared" si="11"/>
        <v>0</v>
      </c>
      <c r="AL17" s="27">
        <f t="shared" si="11"/>
        <v>400</v>
      </c>
      <c r="AM17" s="27">
        <f t="shared" si="11"/>
        <v>550</v>
      </c>
      <c r="AN17" s="27">
        <f t="shared" si="11"/>
        <v>600</v>
      </c>
      <c r="AO17" s="27">
        <f t="shared" si="11"/>
        <v>600</v>
      </c>
      <c r="AP17" s="27">
        <f t="shared" si="11"/>
        <v>400</v>
      </c>
    </row>
    <row r="18" spans="1:42" ht="7.5" customHeight="1" x14ac:dyDescent="0.25"/>
    <row r="19" spans="1:42" s="3" customFormat="1" ht="28" customHeight="1" x14ac:dyDescent="0.25">
      <c r="A19" s="18" t="s">
        <v>8</v>
      </c>
      <c r="B19" s="18" t="s">
        <v>37</v>
      </c>
      <c r="C19" s="21" t="s">
        <v>39</v>
      </c>
      <c r="D19" s="19">
        <v>18100</v>
      </c>
      <c r="E19" s="19"/>
      <c r="F19" s="19">
        <f t="shared" ref="F19:F26" si="12">D19+E19</f>
        <v>18100</v>
      </c>
      <c r="G19" s="20"/>
      <c r="H19" s="20"/>
      <c r="I19" s="13">
        <f>SUM(L19:AP19)</f>
        <v>17360</v>
      </c>
      <c r="J19" s="21">
        <f>I19-F19</f>
        <v>-740</v>
      </c>
      <c r="K19" s="33" t="s">
        <v>53</v>
      </c>
      <c r="L19" s="28">
        <v>620</v>
      </c>
      <c r="M19" s="28">
        <v>780</v>
      </c>
      <c r="N19" s="28">
        <v>870</v>
      </c>
      <c r="O19" s="28">
        <v>560</v>
      </c>
      <c r="P19" s="28"/>
      <c r="Q19" s="28">
        <v>820</v>
      </c>
      <c r="R19" s="28">
        <v>680</v>
      </c>
      <c r="S19" s="28">
        <v>860</v>
      </c>
      <c r="T19" s="28">
        <v>820</v>
      </c>
      <c r="U19" s="28">
        <v>570</v>
      </c>
      <c r="V19" s="28">
        <v>680</v>
      </c>
      <c r="W19" s="28"/>
      <c r="X19" s="28">
        <v>960</v>
      </c>
      <c r="Y19" s="28">
        <v>740</v>
      </c>
      <c r="Z19" s="28">
        <v>800</v>
      </c>
      <c r="AA19" s="28">
        <v>800</v>
      </c>
      <c r="AB19" s="28">
        <v>800</v>
      </c>
      <c r="AC19" s="28">
        <v>800</v>
      </c>
      <c r="AD19" s="28"/>
      <c r="AE19" s="28">
        <v>800</v>
      </c>
      <c r="AF19" s="28">
        <v>350</v>
      </c>
      <c r="AG19" s="28">
        <v>350</v>
      </c>
      <c r="AH19" s="28">
        <v>350</v>
      </c>
      <c r="AI19" s="28">
        <v>350</v>
      </c>
      <c r="AJ19" s="28">
        <v>350</v>
      </c>
      <c r="AK19" s="28"/>
      <c r="AL19" s="28">
        <v>350</v>
      </c>
      <c r="AM19" s="28">
        <v>350</v>
      </c>
      <c r="AN19" s="28">
        <v>350</v>
      </c>
      <c r="AO19" s="28">
        <v>800</v>
      </c>
      <c r="AP19" s="28">
        <v>800</v>
      </c>
    </row>
    <row r="20" spans="1:42" s="3" customFormat="1" ht="28" customHeight="1" x14ac:dyDescent="0.25">
      <c r="A20" s="18" t="s">
        <v>8</v>
      </c>
      <c r="B20" s="18" t="s">
        <v>38</v>
      </c>
      <c r="C20" s="21" t="s">
        <v>39</v>
      </c>
      <c r="D20" s="35">
        <v>2414</v>
      </c>
      <c r="E20" s="19">
        <v>12646</v>
      </c>
      <c r="F20" s="19">
        <f t="shared" si="12"/>
        <v>15060</v>
      </c>
      <c r="G20" s="20"/>
      <c r="H20" s="20"/>
      <c r="I20" s="13">
        <f>SUM(L20:AP20)</f>
        <v>15390</v>
      </c>
      <c r="J20" s="21">
        <f>I20-F20</f>
        <v>330</v>
      </c>
      <c r="K20" s="34" t="s">
        <v>54</v>
      </c>
      <c r="L20" s="39">
        <v>627</v>
      </c>
      <c r="M20" s="39">
        <v>411</v>
      </c>
      <c r="N20" s="39">
        <v>736</v>
      </c>
      <c r="O20" s="39">
        <v>1012</v>
      </c>
      <c r="P20" s="28"/>
      <c r="Q20" s="39">
        <v>648</v>
      </c>
      <c r="R20" s="39">
        <v>385</v>
      </c>
      <c r="S20" s="39">
        <v>760</v>
      </c>
      <c r="T20" s="39">
        <v>459</v>
      </c>
      <c r="U20" s="39">
        <v>909</v>
      </c>
      <c r="V20" s="39">
        <v>486</v>
      </c>
      <c r="W20" s="28"/>
      <c r="X20" s="39">
        <v>799</v>
      </c>
      <c r="Y20" s="39">
        <v>868</v>
      </c>
      <c r="Z20" s="39">
        <v>659</v>
      </c>
      <c r="AA20" s="39">
        <v>733</v>
      </c>
      <c r="AB20" s="39">
        <v>455</v>
      </c>
      <c r="AC20" s="39">
        <v>864</v>
      </c>
      <c r="AD20" s="28"/>
      <c r="AE20" s="39">
        <v>811</v>
      </c>
      <c r="AF20" s="39">
        <v>768</v>
      </c>
      <c r="AG20" s="28">
        <v>750</v>
      </c>
      <c r="AH20" s="28">
        <v>300</v>
      </c>
      <c r="AI20" s="28">
        <v>300</v>
      </c>
      <c r="AJ20" s="28">
        <v>300</v>
      </c>
      <c r="AK20" s="28"/>
      <c r="AL20" s="28">
        <v>300</v>
      </c>
      <c r="AM20" s="28">
        <v>300</v>
      </c>
      <c r="AN20" s="28">
        <v>300</v>
      </c>
      <c r="AO20" s="28">
        <v>300</v>
      </c>
      <c r="AP20" s="28">
        <v>150</v>
      </c>
    </row>
    <row r="21" spans="1:42" s="1" customFormat="1" ht="5" customHeight="1" x14ac:dyDescent="0.25">
      <c r="A21" s="10"/>
      <c r="B21" s="10"/>
      <c r="D21" s="11"/>
      <c r="G21" s="12"/>
      <c r="H21" s="12"/>
      <c r="I21" s="13"/>
      <c r="J21" s="11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</row>
    <row r="22" spans="1:42" s="3" customFormat="1" ht="28" customHeight="1" x14ac:dyDescent="0.25">
      <c r="A22" s="18" t="s">
        <v>8</v>
      </c>
      <c r="B22" s="18" t="s">
        <v>46</v>
      </c>
      <c r="C22" s="21" t="s">
        <v>47</v>
      </c>
      <c r="D22" s="19">
        <v>1688</v>
      </c>
      <c r="E22" s="19">
        <v>0</v>
      </c>
      <c r="F22" s="19">
        <f t="shared" si="12"/>
        <v>1688</v>
      </c>
      <c r="G22" s="20"/>
      <c r="H22" s="20"/>
      <c r="I22" s="13">
        <f>SUM(L22:AP22)</f>
        <v>584</v>
      </c>
      <c r="J22" s="21">
        <f>I22-F22</f>
        <v>-1104</v>
      </c>
      <c r="K22" s="33" t="s">
        <v>55</v>
      </c>
      <c r="L22" s="28"/>
      <c r="M22" s="28"/>
      <c r="N22" s="28"/>
      <c r="O22" s="28"/>
      <c r="P22" s="28"/>
      <c r="Q22" s="28"/>
      <c r="R22" s="36">
        <v>200</v>
      </c>
      <c r="S22" s="36">
        <v>200</v>
      </c>
      <c r="T22" s="36">
        <v>184</v>
      </c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</row>
    <row r="23" spans="1:42" s="3" customFormat="1" ht="28" customHeight="1" x14ac:dyDescent="0.25">
      <c r="A23" s="18" t="s">
        <v>8</v>
      </c>
      <c r="B23" s="18" t="s">
        <v>46</v>
      </c>
      <c r="C23" s="21" t="s">
        <v>47</v>
      </c>
      <c r="D23" s="19">
        <v>1490</v>
      </c>
      <c r="E23" s="19">
        <v>0</v>
      </c>
      <c r="F23" s="19">
        <f t="shared" si="12"/>
        <v>1490</v>
      </c>
      <c r="G23" s="20"/>
      <c r="H23" s="20"/>
      <c r="I23" s="13">
        <f t="shared" ref="I23:I26" si="13">SUM(L23:AP23)</f>
        <v>1219</v>
      </c>
      <c r="J23" s="21">
        <f>I23-F23</f>
        <v>-271</v>
      </c>
      <c r="K23" s="34" t="s">
        <v>51</v>
      </c>
      <c r="L23" s="39">
        <v>446</v>
      </c>
      <c r="M23" s="39">
        <v>148</v>
      </c>
      <c r="N23" s="39">
        <v>103</v>
      </c>
      <c r="O23" s="28"/>
      <c r="P23" s="28"/>
      <c r="Q23" s="28"/>
      <c r="R23" s="28"/>
      <c r="S23" s="28"/>
      <c r="T23" s="39">
        <v>200</v>
      </c>
      <c r="U23" s="39">
        <v>17</v>
      </c>
      <c r="V23" s="39">
        <v>22</v>
      </c>
      <c r="W23" s="28"/>
      <c r="X23" s="19"/>
      <c r="Y23" s="19"/>
      <c r="Z23" s="39">
        <v>188</v>
      </c>
      <c r="AA23" s="39">
        <v>85</v>
      </c>
      <c r="AB23" s="39">
        <v>1</v>
      </c>
      <c r="AC23" s="39">
        <v>9</v>
      </c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</row>
    <row r="24" spans="1:42" ht="5" customHeight="1" x14ac:dyDescent="0.25">
      <c r="I24" s="13"/>
    </row>
    <row r="25" spans="1:42" s="3" customFormat="1" ht="24" customHeight="1" x14ac:dyDescent="0.25">
      <c r="A25" s="18" t="s">
        <v>8</v>
      </c>
      <c r="B25" s="18" t="s">
        <v>35</v>
      </c>
      <c r="C25" s="21" t="s">
        <v>36</v>
      </c>
      <c r="D25" s="19"/>
      <c r="E25" s="19">
        <v>0</v>
      </c>
      <c r="F25" s="19">
        <f t="shared" si="12"/>
        <v>0</v>
      </c>
      <c r="G25" s="20"/>
      <c r="H25" s="20"/>
      <c r="I25" s="13">
        <f t="shared" si="13"/>
        <v>0</v>
      </c>
      <c r="J25" s="21">
        <f>I25-F25</f>
        <v>0</v>
      </c>
      <c r="K25" s="33" t="s">
        <v>45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</row>
    <row r="26" spans="1:42" s="3" customFormat="1" ht="24" customHeight="1" x14ac:dyDescent="0.25">
      <c r="A26" s="18" t="s">
        <v>8</v>
      </c>
      <c r="B26" s="18" t="s">
        <v>42</v>
      </c>
      <c r="C26" s="21" t="s">
        <v>36</v>
      </c>
      <c r="D26" s="19">
        <v>1559</v>
      </c>
      <c r="E26" s="19">
        <v>0</v>
      </c>
      <c r="F26" s="19">
        <f t="shared" si="12"/>
        <v>1559</v>
      </c>
      <c r="G26" s="20"/>
      <c r="H26" s="20"/>
      <c r="I26" s="21">
        <f t="shared" si="13"/>
        <v>593</v>
      </c>
      <c r="J26" s="21">
        <f>I26-F26</f>
        <v>-966</v>
      </c>
      <c r="K26" s="34" t="s">
        <v>52</v>
      </c>
      <c r="L26" s="28"/>
      <c r="M26" s="28"/>
      <c r="N26" s="28"/>
      <c r="O26" s="39">
        <v>2</v>
      </c>
      <c r="P26" s="28"/>
      <c r="Q26" s="39">
        <v>105</v>
      </c>
      <c r="R26" s="39">
        <v>14</v>
      </c>
      <c r="S26" s="39">
        <v>2</v>
      </c>
      <c r="T26" s="28"/>
      <c r="U26" s="39">
        <v>25</v>
      </c>
      <c r="V26" s="39">
        <v>1</v>
      </c>
      <c r="W26" s="28"/>
      <c r="X26" s="39">
        <v>25</v>
      </c>
      <c r="Y26" s="39">
        <v>1</v>
      </c>
      <c r="Z26" s="39">
        <v>3</v>
      </c>
      <c r="AA26" s="28"/>
      <c r="AB26" s="39">
        <v>12</v>
      </c>
      <c r="AC26" s="28"/>
      <c r="AD26" s="28"/>
      <c r="AE26" s="28"/>
      <c r="AF26" s="39">
        <v>3</v>
      </c>
      <c r="AG26" s="28"/>
      <c r="AH26" s="28"/>
      <c r="AI26" s="28">
        <v>200</v>
      </c>
      <c r="AJ26" s="28"/>
      <c r="AK26" s="28"/>
      <c r="AL26" s="28"/>
      <c r="AM26" s="28"/>
      <c r="AN26" s="28"/>
      <c r="AO26" s="28"/>
      <c r="AP26" s="28">
        <v>200</v>
      </c>
    </row>
    <row r="28" spans="1:42" ht="24" customHeight="1" x14ac:dyDescent="0.25">
      <c r="I28" s="38"/>
    </row>
  </sheetData>
  <mergeCells count="12">
    <mergeCell ref="A17:C17"/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10" type="noConversion"/>
  <pageMargins left="0.75" right="0.75" top="1" bottom="1" header="0.5" footer="0.5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yu.zhang</dc:creator>
  <cp:lastModifiedBy>Tao_Min(80PMC SH_Tao-Min)</cp:lastModifiedBy>
  <dcterms:created xsi:type="dcterms:W3CDTF">2025-08-03T07:00:00Z</dcterms:created>
  <dcterms:modified xsi:type="dcterms:W3CDTF">2026-07-22T08:12:35Z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7EBB134B14114CDFA79427B8B3027ED6_13</vt:lpwstr>
  </property>
  <property fmtid="{D5CDD505-2E9C-101B-9397-08002B2CF9AE}" pid="3" name="KSOProductBuildVer">
    <vt:lpwstr>2052-12.1.0.21915</vt:lpwstr>
  </property>
</Properties>
</file>